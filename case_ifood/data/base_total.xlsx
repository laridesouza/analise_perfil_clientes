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analise_dados_pratica\case_ifood\"/>
    </mc:Choice>
  </mc:AlternateContent>
  <xr:revisionPtr revIDLastSave="0" documentId="13_ncr:1_{563697C1-45BB-41A8-8A7C-E9970AF9A649}" xr6:coauthVersionLast="47" xr6:coauthVersionMax="47" xr10:uidLastSave="{00000000-0000-0000-0000-000000000000}"/>
  <bookViews>
    <workbookView xWindow="0" yWindow="0" windowWidth="14400" windowHeight="15600" xr2:uid="{A3D4352C-4F64-4383-B487-8D50B5C5AC09}"/>
  </bookViews>
  <sheets>
    <sheet name="Base de Dados" sheetId="2" r:id="rId1"/>
  </sheets>
  <definedNames>
    <definedName name="_xlnm._FilterDatabase" localSheetId="0" hidden="1">'Base de Dados'!$A$1:$AS$2206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" i="2" l="1" a="1"/>
  <c r="X3" i="2" s="1"/>
  <c r="X4" i="2" a="1"/>
  <c r="X4" i="2" s="1"/>
  <c r="X5" i="2" a="1"/>
  <c r="X5" i="2" s="1"/>
  <c r="X6" i="2" a="1"/>
  <c r="X6" i="2" s="1"/>
  <c r="X7" i="2" a="1"/>
  <c r="X7" i="2" s="1"/>
  <c r="X8" i="2" a="1"/>
  <c r="X8" i="2"/>
  <c r="X9" i="2" a="1"/>
  <c r="X9" i="2" s="1"/>
  <c r="X10" i="2" a="1"/>
  <c r="X10" i="2" s="1"/>
  <c r="X11" i="2" a="1"/>
  <c r="X11" i="2" s="1"/>
  <c r="X12" i="2" a="1"/>
  <c r="X12" i="2" s="1"/>
  <c r="X13" i="2" a="1"/>
  <c r="X13" i="2" s="1"/>
  <c r="X14" i="2" a="1"/>
  <c r="X14" i="2"/>
  <c r="X15" i="2" a="1"/>
  <c r="X15" i="2" s="1"/>
  <c r="X16" i="2" a="1"/>
  <c r="X16" i="2" s="1"/>
  <c r="X17" i="2" a="1"/>
  <c r="X17" i="2" s="1"/>
  <c r="X18" i="2" a="1"/>
  <c r="X18" i="2" s="1"/>
  <c r="X19" i="2" a="1"/>
  <c r="X19" i="2" s="1"/>
  <c r="X20" i="2" a="1"/>
  <c r="X20" i="2"/>
  <c r="X21" i="2" a="1"/>
  <c r="X21" i="2" s="1"/>
  <c r="X22" i="2" a="1"/>
  <c r="X22" i="2" s="1"/>
  <c r="X23" i="2" a="1"/>
  <c r="X23" i="2" s="1"/>
  <c r="X24" i="2" a="1"/>
  <c r="X24" i="2" s="1"/>
  <c r="X25" i="2" a="1"/>
  <c r="X25" i="2" s="1"/>
  <c r="X26" i="2" a="1"/>
  <c r="X26" i="2"/>
  <c r="X27" i="2" a="1"/>
  <c r="X27" i="2" s="1"/>
  <c r="X28" i="2" a="1"/>
  <c r="X28" i="2" s="1"/>
  <c r="X29" i="2" a="1"/>
  <c r="X29" i="2" s="1"/>
  <c r="X30" i="2" a="1"/>
  <c r="X30" i="2" s="1"/>
  <c r="X31" i="2" a="1"/>
  <c r="X31" i="2" s="1"/>
  <c r="X32" i="2" a="1"/>
  <c r="X32" i="2"/>
  <c r="X33" i="2" a="1"/>
  <c r="X33" i="2" s="1"/>
  <c r="X34" i="2" a="1"/>
  <c r="X34" i="2" s="1"/>
  <c r="X35" i="2" a="1"/>
  <c r="X35" i="2" s="1"/>
  <c r="X36" i="2" a="1"/>
  <c r="X36" i="2" s="1"/>
  <c r="X37" i="2" a="1"/>
  <c r="X37" i="2" s="1"/>
  <c r="X38" i="2" a="1"/>
  <c r="X38" i="2"/>
  <c r="X39" i="2" a="1"/>
  <c r="X39" i="2" s="1"/>
  <c r="X40" i="2" a="1"/>
  <c r="X40" i="2" s="1"/>
  <c r="X41" i="2" a="1"/>
  <c r="X41" i="2" s="1"/>
  <c r="X42" i="2" a="1"/>
  <c r="X42" i="2" s="1"/>
  <c r="X43" i="2" a="1"/>
  <c r="X43" i="2" s="1"/>
  <c r="X44" i="2" a="1"/>
  <c r="X44" i="2" s="1"/>
  <c r="X45" i="2" a="1"/>
  <c r="X45" i="2" s="1"/>
  <c r="X46" i="2" a="1"/>
  <c r="X46" i="2" s="1"/>
  <c r="X47" i="2" a="1"/>
  <c r="X47" i="2" s="1"/>
  <c r="X48" i="2" a="1"/>
  <c r="X48" i="2" s="1"/>
  <c r="X49" i="2" a="1"/>
  <c r="X49" i="2" s="1"/>
  <c r="X50" i="2" a="1"/>
  <c r="X50" i="2"/>
  <c r="X51" i="2" a="1"/>
  <c r="X51" i="2" s="1"/>
  <c r="X52" i="2" a="1"/>
  <c r="X52" i="2" s="1"/>
  <c r="X53" i="2" a="1"/>
  <c r="X53" i="2" s="1"/>
  <c r="X54" i="2" a="1"/>
  <c r="X54" i="2" s="1"/>
  <c r="X55" i="2" a="1"/>
  <c r="X55" i="2" s="1"/>
  <c r="X56" i="2" a="1"/>
  <c r="X56" i="2" s="1"/>
  <c r="X57" i="2" a="1"/>
  <c r="X57" i="2" s="1"/>
  <c r="X58" i="2" a="1"/>
  <c r="X58" i="2" s="1"/>
  <c r="X59" i="2" a="1"/>
  <c r="X59" i="2" s="1"/>
  <c r="X60" i="2" a="1"/>
  <c r="X60" i="2" s="1"/>
  <c r="X61" i="2" a="1"/>
  <c r="X61" i="2" s="1"/>
  <c r="X62" i="2" a="1"/>
  <c r="X62" i="2" s="1"/>
  <c r="X63" i="2" a="1"/>
  <c r="X63" i="2" s="1"/>
  <c r="X64" i="2" a="1"/>
  <c r="X64" i="2" s="1"/>
  <c r="X65" i="2" a="1"/>
  <c r="X65" i="2" s="1"/>
  <c r="X66" i="2" a="1"/>
  <c r="X66" i="2" s="1"/>
  <c r="X67" i="2" a="1"/>
  <c r="X67" i="2" s="1"/>
  <c r="X68" i="2" a="1"/>
  <c r="X68" i="2" s="1"/>
  <c r="X69" i="2" a="1"/>
  <c r="X69" i="2" s="1"/>
  <c r="X70" i="2" a="1"/>
  <c r="X70" i="2" s="1"/>
  <c r="X71" i="2" a="1"/>
  <c r="X71" i="2" s="1"/>
  <c r="X72" i="2" a="1"/>
  <c r="X72" i="2" s="1"/>
  <c r="X73" i="2" a="1"/>
  <c r="X73" i="2" s="1"/>
  <c r="X74" i="2" a="1"/>
  <c r="X74" i="2"/>
  <c r="X75" i="2" a="1"/>
  <c r="X75" i="2" s="1"/>
  <c r="X76" i="2" a="1"/>
  <c r="X76" i="2" s="1"/>
  <c r="X77" i="2" a="1"/>
  <c r="X77" i="2" s="1"/>
  <c r="X78" i="2" a="1"/>
  <c r="X78" i="2" s="1"/>
  <c r="X79" i="2" a="1"/>
  <c r="X79" i="2" s="1"/>
  <c r="X80" i="2" a="1"/>
  <c r="X80" i="2" s="1"/>
  <c r="X81" i="2" a="1"/>
  <c r="X81" i="2" s="1"/>
  <c r="X82" i="2" a="1"/>
  <c r="X82" i="2" s="1"/>
  <c r="X83" i="2" a="1"/>
  <c r="X83" i="2" s="1"/>
  <c r="X84" i="2" a="1"/>
  <c r="X84" i="2" s="1"/>
  <c r="X85" i="2" a="1"/>
  <c r="X85" i="2" s="1"/>
  <c r="X86" i="2" a="1"/>
  <c r="X86" i="2"/>
  <c r="X87" i="2" a="1"/>
  <c r="X87" i="2" s="1"/>
  <c r="X88" i="2" a="1"/>
  <c r="X88" i="2" s="1"/>
  <c r="X89" i="2" a="1"/>
  <c r="X89" i="2" s="1"/>
  <c r="X90" i="2" a="1"/>
  <c r="X90" i="2" s="1"/>
  <c r="X91" i="2" a="1"/>
  <c r="X91" i="2" s="1"/>
  <c r="X92" i="2" a="1"/>
  <c r="X92" i="2"/>
  <c r="X93" i="2" a="1"/>
  <c r="X93" i="2" s="1"/>
  <c r="X94" i="2" a="1"/>
  <c r="X94" i="2" s="1"/>
  <c r="X95" i="2" a="1"/>
  <c r="X95" i="2" s="1"/>
  <c r="X96" i="2" a="1"/>
  <c r="X96" i="2" s="1"/>
  <c r="X97" i="2" a="1"/>
  <c r="X97" i="2" s="1"/>
  <c r="X98" i="2" a="1"/>
  <c r="X98" i="2"/>
  <c r="X99" i="2" a="1"/>
  <c r="X99" i="2" s="1"/>
  <c r="X100" i="2" a="1"/>
  <c r="X100" i="2" s="1"/>
  <c r="X101" i="2" a="1"/>
  <c r="X101" i="2" s="1"/>
  <c r="X102" i="2" a="1"/>
  <c r="X102" i="2" s="1"/>
  <c r="X103" i="2" a="1"/>
  <c r="X103" i="2" s="1"/>
  <c r="X104" i="2" a="1"/>
  <c r="X104" i="2" s="1"/>
  <c r="X105" i="2" a="1"/>
  <c r="X105" i="2" s="1"/>
  <c r="X106" i="2" a="1"/>
  <c r="X106" i="2" s="1"/>
  <c r="X107" i="2" a="1"/>
  <c r="X107" i="2" s="1"/>
  <c r="X108" i="2" a="1"/>
  <c r="X108" i="2" s="1"/>
  <c r="X109" i="2" a="1"/>
  <c r="X109" i="2" s="1"/>
  <c r="X110" i="2" a="1"/>
  <c r="X110" i="2" s="1"/>
  <c r="X111" i="2" a="1"/>
  <c r="X111" i="2" s="1"/>
  <c r="X112" i="2" a="1"/>
  <c r="X112" i="2" s="1"/>
  <c r="X113" i="2" a="1"/>
  <c r="X113" i="2" s="1"/>
  <c r="X114" i="2" a="1"/>
  <c r="X114" i="2" s="1"/>
  <c r="X115" i="2" a="1"/>
  <c r="X115" i="2" s="1"/>
  <c r="X116" i="2" a="1"/>
  <c r="X116" i="2" s="1"/>
  <c r="X117" i="2" a="1"/>
  <c r="X117" i="2" s="1"/>
  <c r="X118" i="2" a="1"/>
  <c r="X118" i="2" s="1"/>
  <c r="X119" i="2" a="1"/>
  <c r="X119" i="2" s="1"/>
  <c r="X120" i="2" a="1"/>
  <c r="X120" i="2" s="1"/>
  <c r="X121" i="2" a="1"/>
  <c r="X121" i="2" s="1"/>
  <c r="X122" i="2" a="1"/>
  <c r="X122" i="2"/>
  <c r="X123" i="2" a="1"/>
  <c r="X123" i="2" s="1"/>
  <c r="X124" i="2" a="1"/>
  <c r="X124" i="2" s="1"/>
  <c r="X125" i="2" a="1"/>
  <c r="X125" i="2" s="1"/>
  <c r="X126" i="2" a="1"/>
  <c r="X126" i="2" s="1"/>
  <c r="X127" i="2" a="1"/>
  <c r="X127" i="2" s="1"/>
  <c r="X128" i="2" a="1"/>
  <c r="X128" i="2" s="1"/>
  <c r="X129" i="2" a="1"/>
  <c r="X129" i="2" s="1"/>
  <c r="X130" i="2" a="1"/>
  <c r="X130" i="2" s="1"/>
  <c r="X131" i="2" a="1"/>
  <c r="X131" i="2" s="1"/>
  <c r="X132" i="2" a="1"/>
  <c r="X132" i="2" s="1"/>
  <c r="X133" i="2" a="1"/>
  <c r="X133" i="2" s="1"/>
  <c r="X134" i="2" a="1"/>
  <c r="X134" i="2" s="1"/>
  <c r="X135" i="2" a="1"/>
  <c r="X135" i="2" s="1"/>
  <c r="X136" i="2" a="1"/>
  <c r="X136" i="2" s="1"/>
  <c r="X137" i="2" a="1"/>
  <c r="X137" i="2" s="1"/>
  <c r="X138" i="2" a="1"/>
  <c r="X138" i="2" s="1"/>
  <c r="X139" i="2" a="1"/>
  <c r="X139" i="2" s="1"/>
  <c r="X140" i="2" a="1"/>
  <c r="X140" i="2" s="1"/>
  <c r="X141" i="2" a="1"/>
  <c r="X141" i="2" s="1"/>
  <c r="X142" i="2" a="1"/>
  <c r="X142" i="2" s="1"/>
  <c r="X143" i="2" a="1"/>
  <c r="X143" i="2" s="1"/>
  <c r="X144" i="2" a="1"/>
  <c r="X144" i="2" s="1"/>
  <c r="X145" i="2" a="1"/>
  <c r="X145" i="2" s="1"/>
  <c r="X146" i="2" a="1"/>
  <c r="X146" i="2"/>
  <c r="X147" i="2" a="1"/>
  <c r="X147" i="2" s="1"/>
  <c r="X148" i="2" a="1"/>
  <c r="X148" i="2" s="1"/>
  <c r="X149" i="2" a="1"/>
  <c r="X149" i="2" s="1"/>
  <c r="X150" i="2" a="1"/>
  <c r="X150" i="2" s="1"/>
  <c r="X151" i="2" a="1"/>
  <c r="X151" i="2" s="1"/>
  <c r="X152" i="2" a="1"/>
  <c r="X152" i="2" s="1"/>
  <c r="X153" i="2" a="1"/>
  <c r="X153" i="2" s="1"/>
  <c r="X154" i="2" a="1"/>
  <c r="X154" i="2" s="1"/>
  <c r="X155" i="2" a="1"/>
  <c r="X155" i="2" s="1"/>
  <c r="X156" i="2" a="1"/>
  <c r="X156" i="2" s="1"/>
  <c r="X157" i="2" a="1"/>
  <c r="X157" i="2" s="1"/>
  <c r="X158" i="2" a="1"/>
  <c r="X158" i="2"/>
  <c r="X159" i="2" a="1"/>
  <c r="X159" i="2" s="1"/>
  <c r="X160" i="2" a="1"/>
  <c r="X160" i="2" s="1"/>
  <c r="X161" i="2" a="1"/>
  <c r="X161" i="2" s="1"/>
  <c r="X162" i="2" a="1"/>
  <c r="X162" i="2" s="1"/>
  <c r="X163" i="2" a="1"/>
  <c r="X163" i="2" s="1"/>
  <c r="X164" i="2" a="1"/>
  <c r="X164" i="2" s="1"/>
  <c r="X165" i="2" a="1"/>
  <c r="X165" i="2" s="1"/>
  <c r="X166" i="2" a="1"/>
  <c r="X166" i="2" s="1"/>
  <c r="X167" i="2" a="1"/>
  <c r="X167" i="2" s="1"/>
  <c r="X168" i="2" a="1"/>
  <c r="X168" i="2" s="1"/>
  <c r="X169" i="2" a="1"/>
  <c r="X169" i="2" s="1"/>
  <c r="X170" i="2" a="1"/>
  <c r="X170" i="2"/>
  <c r="X171" i="2" a="1"/>
  <c r="X171" i="2" s="1"/>
  <c r="X172" i="2" a="1"/>
  <c r="X172" i="2" s="1"/>
  <c r="X173" i="2" a="1"/>
  <c r="X173" i="2" s="1"/>
  <c r="X174" i="2" a="1"/>
  <c r="X174" i="2" s="1"/>
  <c r="X175" i="2" a="1"/>
  <c r="X175" i="2" s="1"/>
  <c r="X176" i="2" a="1"/>
  <c r="X176" i="2" s="1"/>
  <c r="X177" i="2" a="1"/>
  <c r="X177" i="2" s="1"/>
  <c r="X178" i="2" a="1"/>
  <c r="X178" i="2" s="1"/>
  <c r="X179" i="2" a="1"/>
  <c r="X179" i="2" s="1"/>
  <c r="X180" i="2" a="1"/>
  <c r="X180" i="2" s="1"/>
  <c r="X181" i="2" a="1"/>
  <c r="X181" i="2" s="1"/>
  <c r="X182" i="2" a="1"/>
  <c r="X182" i="2" s="1"/>
  <c r="X183" i="2" a="1"/>
  <c r="X183" i="2" s="1"/>
  <c r="X184" i="2" a="1"/>
  <c r="X184" i="2" s="1"/>
  <c r="X185" i="2" a="1"/>
  <c r="X185" i="2" s="1"/>
  <c r="X186" i="2" a="1"/>
  <c r="X186" i="2" s="1"/>
  <c r="X187" i="2" a="1"/>
  <c r="X187" i="2" s="1"/>
  <c r="X188" i="2" a="1"/>
  <c r="X188" i="2" s="1"/>
  <c r="X189" i="2" a="1"/>
  <c r="X189" i="2" s="1"/>
  <c r="X190" i="2" a="1"/>
  <c r="X190" i="2" s="1"/>
  <c r="X191" i="2" a="1"/>
  <c r="X191" i="2" s="1"/>
  <c r="X192" i="2" a="1"/>
  <c r="X192" i="2" s="1"/>
  <c r="X193" i="2" a="1"/>
  <c r="X193" i="2" s="1"/>
  <c r="X194" i="2" a="1"/>
  <c r="X194" i="2"/>
  <c r="X195" i="2" a="1"/>
  <c r="X195" i="2" s="1"/>
  <c r="X196" i="2" a="1"/>
  <c r="X196" i="2" s="1"/>
  <c r="X197" i="2" a="1"/>
  <c r="X197" i="2" s="1"/>
  <c r="X198" i="2" a="1"/>
  <c r="X198" i="2" s="1"/>
  <c r="X199" i="2" a="1"/>
  <c r="X199" i="2" s="1"/>
  <c r="X200" i="2" a="1"/>
  <c r="X200" i="2" s="1"/>
  <c r="X201" i="2" a="1"/>
  <c r="X201" i="2" s="1"/>
  <c r="X202" i="2" a="1"/>
  <c r="X202" i="2" s="1"/>
  <c r="X203" i="2" a="1"/>
  <c r="X203" i="2" s="1"/>
  <c r="X204" i="2" a="1"/>
  <c r="X204" i="2" s="1"/>
  <c r="X205" i="2" a="1"/>
  <c r="X205" i="2" s="1"/>
  <c r="X206" i="2" a="1"/>
  <c r="X206" i="2" s="1"/>
  <c r="X207" i="2" a="1"/>
  <c r="X207" i="2" s="1"/>
  <c r="X208" i="2" a="1"/>
  <c r="X208" i="2" s="1"/>
  <c r="X209" i="2" a="1"/>
  <c r="X209" i="2" s="1"/>
  <c r="X210" i="2" a="1"/>
  <c r="X210" i="2" s="1"/>
  <c r="X211" i="2" a="1"/>
  <c r="X211" i="2" s="1"/>
  <c r="X212" i="2" a="1"/>
  <c r="X212" i="2" s="1"/>
  <c r="X213" i="2" a="1"/>
  <c r="X213" i="2" s="1"/>
  <c r="X214" i="2" a="1"/>
  <c r="X214" i="2" s="1"/>
  <c r="X215" i="2" a="1"/>
  <c r="X215" i="2" s="1"/>
  <c r="X216" i="2" a="1"/>
  <c r="X216" i="2" s="1"/>
  <c r="X217" i="2" a="1"/>
  <c r="X217" i="2" s="1"/>
  <c r="X218" i="2" a="1"/>
  <c r="X218" i="2"/>
  <c r="X219" i="2" a="1"/>
  <c r="X219" i="2" s="1"/>
  <c r="X220" i="2" a="1"/>
  <c r="X220" i="2" s="1"/>
  <c r="X221" i="2" a="1"/>
  <c r="X221" i="2" s="1"/>
  <c r="X222" i="2" a="1"/>
  <c r="X222" i="2" s="1"/>
  <c r="X223" i="2" a="1"/>
  <c r="X223" i="2" s="1"/>
  <c r="X224" i="2" a="1"/>
  <c r="X224" i="2" s="1"/>
  <c r="X225" i="2" a="1"/>
  <c r="X225" i="2" s="1"/>
  <c r="X226" i="2" a="1"/>
  <c r="X226" i="2" s="1"/>
  <c r="X227" i="2" a="1"/>
  <c r="X227" i="2" s="1"/>
  <c r="X228" i="2" a="1"/>
  <c r="X228" i="2" s="1"/>
  <c r="X229" i="2" a="1"/>
  <c r="X229" i="2" s="1"/>
  <c r="X230" i="2" a="1"/>
  <c r="X230" i="2"/>
  <c r="X231" i="2" a="1"/>
  <c r="X231" i="2" s="1"/>
  <c r="X232" i="2" a="1"/>
  <c r="X232" i="2" s="1"/>
  <c r="X233" i="2" a="1"/>
  <c r="X233" i="2" s="1"/>
  <c r="X234" i="2" a="1"/>
  <c r="X234" i="2" s="1"/>
  <c r="X235" i="2" a="1"/>
  <c r="X235" i="2" s="1"/>
  <c r="X236" i="2" a="1"/>
  <c r="X236" i="2" s="1"/>
  <c r="X237" i="2" a="1"/>
  <c r="X237" i="2" s="1"/>
  <c r="X238" i="2" a="1"/>
  <c r="X238" i="2" s="1"/>
  <c r="X239" i="2" a="1"/>
  <c r="X239" i="2" s="1"/>
  <c r="X240" i="2" a="1"/>
  <c r="X240" i="2" s="1"/>
  <c r="X241" i="2" a="1"/>
  <c r="X241" i="2" s="1"/>
  <c r="X242" i="2" a="1"/>
  <c r="X242" i="2"/>
  <c r="X243" i="2" a="1"/>
  <c r="X243" i="2" s="1"/>
  <c r="X244" i="2" a="1"/>
  <c r="X244" i="2" s="1"/>
  <c r="X245" i="2" a="1"/>
  <c r="X245" i="2" s="1"/>
  <c r="X246" i="2" a="1"/>
  <c r="X246" i="2" s="1"/>
  <c r="X247" i="2" a="1"/>
  <c r="X247" i="2" s="1"/>
  <c r="X248" i="2" a="1"/>
  <c r="X248" i="2" s="1"/>
  <c r="X249" i="2" a="1"/>
  <c r="X249" i="2" s="1"/>
  <c r="X250" i="2" a="1"/>
  <c r="X250" i="2" s="1"/>
  <c r="X251" i="2" a="1"/>
  <c r="X251" i="2" s="1"/>
  <c r="X252" i="2" a="1"/>
  <c r="X252" i="2" s="1"/>
  <c r="X253" i="2" a="1"/>
  <c r="X253" i="2" s="1"/>
  <c r="X254" i="2" a="1"/>
  <c r="X254" i="2" s="1"/>
  <c r="X255" i="2" a="1"/>
  <c r="X255" i="2" s="1"/>
  <c r="X256" i="2" a="1"/>
  <c r="X256" i="2" s="1"/>
  <c r="X257" i="2" a="1"/>
  <c r="X257" i="2" s="1"/>
  <c r="X258" i="2" a="1"/>
  <c r="X258" i="2" s="1"/>
  <c r="X259" i="2" a="1"/>
  <c r="X259" i="2" s="1"/>
  <c r="X260" i="2" a="1"/>
  <c r="X260" i="2" s="1"/>
  <c r="X261" i="2" a="1"/>
  <c r="X261" i="2" s="1"/>
  <c r="X262" i="2" a="1"/>
  <c r="X262" i="2" s="1"/>
  <c r="X263" i="2" a="1"/>
  <c r="X263" i="2" s="1"/>
  <c r="X264" i="2" a="1"/>
  <c r="X264" i="2" s="1"/>
  <c r="X265" i="2" a="1"/>
  <c r="X265" i="2" s="1"/>
  <c r="X266" i="2" a="1"/>
  <c r="X266" i="2"/>
  <c r="X267" i="2" a="1"/>
  <c r="X267" i="2" s="1"/>
  <c r="X268" i="2" a="1"/>
  <c r="X268" i="2" s="1"/>
  <c r="X269" i="2" a="1"/>
  <c r="X269" i="2" s="1"/>
  <c r="X270" i="2" a="1"/>
  <c r="X270" i="2" s="1"/>
  <c r="X271" i="2" a="1"/>
  <c r="X271" i="2" s="1"/>
  <c r="X272" i="2" a="1"/>
  <c r="X272" i="2" s="1"/>
  <c r="X273" i="2" a="1"/>
  <c r="X273" i="2" s="1"/>
  <c r="X274" i="2" a="1"/>
  <c r="X274" i="2" s="1"/>
  <c r="X275" i="2" a="1"/>
  <c r="X275" i="2" s="1"/>
  <c r="X276" i="2" a="1"/>
  <c r="X276" i="2" s="1"/>
  <c r="X277" i="2" a="1"/>
  <c r="X277" i="2" s="1"/>
  <c r="X278" i="2" a="1"/>
  <c r="X278" i="2" s="1"/>
  <c r="X279" i="2" a="1"/>
  <c r="X279" i="2" s="1"/>
  <c r="X280" i="2" a="1"/>
  <c r="X280" i="2" s="1"/>
  <c r="X281" i="2" a="1"/>
  <c r="X281" i="2" s="1"/>
  <c r="X282" i="2" a="1"/>
  <c r="X282" i="2" s="1"/>
  <c r="X283" i="2" a="1"/>
  <c r="X283" i="2" s="1"/>
  <c r="X284" i="2" a="1"/>
  <c r="X284" i="2" s="1"/>
  <c r="X285" i="2" a="1"/>
  <c r="X285" i="2" s="1"/>
  <c r="X286" i="2" a="1"/>
  <c r="X286" i="2" s="1"/>
  <c r="X287" i="2" a="1"/>
  <c r="X287" i="2" s="1"/>
  <c r="X288" i="2" a="1"/>
  <c r="X288" i="2" s="1"/>
  <c r="X289" i="2" a="1"/>
  <c r="X289" i="2" s="1"/>
  <c r="X290" i="2" a="1"/>
  <c r="X290" i="2"/>
  <c r="X291" i="2" a="1"/>
  <c r="X291" i="2" s="1"/>
  <c r="X292" i="2" a="1"/>
  <c r="X292" i="2" s="1"/>
  <c r="X293" i="2" a="1"/>
  <c r="X293" i="2" s="1"/>
  <c r="X294" i="2" a="1"/>
  <c r="X294" i="2" s="1"/>
  <c r="X295" i="2" a="1"/>
  <c r="X295" i="2" s="1"/>
  <c r="X296" i="2" a="1"/>
  <c r="X296" i="2" s="1"/>
  <c r="X297" i="2" a="1"/>
  <c r="X297" i="2" s="1"/>
  <c r="X298" i="2" a="1"/>
  <c r="X298" i="2" s="1"/>
  <c r="X299" i="2" a="1"/>
  <c r="X299" i="2" s="1"/>
  <c r="X300" i="2" a="1"/>
  <c r="X300" i="2" s="1"/>
  <c r="X301" i="2" a="1"/>
  <c r="X301" i="2" s="1"/>
  <c r="X302" i="2" a="1"/>
  <c r="X302" i="2"/>
  <c r="X303" i="2" a="1"/>
  <c r="X303" i="2" s="1"/>
  <c r="X304" i="2" a="1"/>
  <c r="X304" i="2" s="1"/>
  <c r="X305" i="2" a="1"/>
  <c r="X305" i="2" s="1"/>
  <c r="X306" i="2" a="1"/>
  <c r="X306" i="2" s="1"/>
  <c r="X307" i="2" a="1"/>
  <c r="X307" i="2" s="1"/>
  <c r="X308" i="2" a="1"/>
  <c r="X308" i="2" s="1"/>
  <c r="X309" i="2" a="1"/>
  <c r="X309" i="2" s="1"/>
  <c r="X310" i="2" a="1"/>
  <c r="X310" i="2" s="1"/>
  <c r="X311" i="2" a="1"/>
  <c r="X311" i="2" s="1"/>
  <c r="X312" i="2" a="1"/>
  <c r="X312" i="2" s="1"/>
  <c r="X313" i="2" a="1"/>
  <c r="X313" i="2" s="1"/>
  <c r="X314" i="2" a="1"/>
  <c r="X314" i="2"/>
  <c r="X315" i="2" a="1"/>
  <c r="X315" i="2" s="1"/>
  <c r="X316" i="2" a="1"/>
  <c r="X316" i="2" s="1"/>
  <c r="X317" i="2" a="1"/>
  <c r="X317" i="2" s="1"/>
  <c r="X318" i="2" a="1"/>
  <c r="X318" i="2" s="1"/>
  <c r="X319" i="2" a="1"/>
  <c r="X319" i="2" s="1"/>
  <c r="X320" i="2" a="1"/>
  <c r="X320" i="2" s="1"/>
  <c r="X321" i="2" a="1"/>
  <c r="X321" i="2" s="1"/>
  <c r="X322" i="2" a="1"/>
  <c r="X322" i="2" s="1"/>
  <c r="X323" i="2" a="1"/>
  <c r="X323" i="2" s="1"/>
  <c r="X324" i="2" a="1"/>
  <c r="X324" i="2" s="1"/>
  <c r="X325" i="2" a="1"/>
  <c r="X325" i="2" s="1"/>
  <c r="X326" i="2" a="1"/>
  <c r="X326" i="2" s="1"/>
  <c r="X327" i="2" a="1"/>
  <c r="X327" i="2" s="1"/>
  <c r="X328" i="2" a="1"/>
  <c r="X328" i="2" s="1"/>
  <c r="X329" i="2" a="1"/>
  <c r="X329" i="2" s="1"/>
  <c r="X330" i="2" a="1"/>
  <c r="X330" i="2" s="1"/>
  <c r="X331" i="2" a="1"/>
  <c r="X331" i="2" s="1"/>
  <c r="X332" i="2" a="1"/>
  <c r="X332" i="2" s="1"/>
  <c r="X333" i="2" a="1"/>
  <c r="X333" i="2" s="1"/>
  <c r="X334" i="2" a="1"/>
  <c r="X334" i="2" s="1"/>
  <c r="X335" i="2" a="1"/>
  <c r="X335" i="2" s="1"/>
  <c r="X336" i="2" a="1"/>
  <c r="X336" i="2" s="1"/>
  <c r="X337" i="2" a="1"/>
  <c r="X337" i="2" s="1"/>
  <c r="X338" i="2" a="1"/>
  <c r="X338" i="2"/>
  <c r="X339" i="2" a="1"/>
  <c r="X339" i="2" s="1"/>
  <c r="X340" i="2" a="1"/>
  <c r="X340" i="2" s="1"/>
  <c r="X341" i="2" a="1"/>
  <c r="X341" i="2" s="1"/>
  <c r="X342" i="2" a="1"/>
  <c r="X342" i="2" s="1"/>
  <c r="X343" i="2" a="1"/>
  <c r="X343" i="2" s="1"/>
  <c r="X344" i="2" a="1"/>
  <c r="X344" i="2" s="1"/>
  <c r="X345" i="2" a="1"/>
  <c r="X345" i="2" s="1"/>
  <c r="X346" i="2" a="1"/>
  <c r="X346" i="2" s="1"/>
  <c r="X347" i="2" a="1"/>
  <c r="X347" i="2" s="1"/>
  <c r="X348" i="2" a="1"/>
  <c r="X348" i="2" s="1"/>
  <c r="X349" i="2" a="1"/>
  <c r="X349" i="2" s="1"/>
  <c r="X350" i="2" a="1"/>
  <c r="X350" i="2" s="1"/>
  <c r="X351" i="2" a="1"/>
  <c r="X351" i="2" s="1"/>
  <c r="X352" i="2" a="1"/>
  <c r="X352" i="2" s="1"/>
  <c r="X353" i="2" a="1"/>
  <c r="X353" i="2" s="1"/>
  <c r="X354" i="2" a="1"/>
  <c r="X354" i="2" s="1"/>
  <c r="X355" i="2" a="1"/>
  <c r="X355" i="2" s="1"/>
  <c r="X356" i="2" a="1"/>
  <c r="X356" i="2" s="1"/>
  <c r="X357" i="2" a="1"/>
  <c r="X357" i="2" s="1"/>
  <c r="X358" i="2" a="1"/>
  <c r="X358" i="2" s="1"/>
  <c r="X359" i="2" a="1"/>
  <c r="X359" i="2" s="1"/>
  <c r="X360" i="2" a="1"/>
  <c r="X360" i="2" s="1"/>
  <c r="X361" i="2" a="1"/>
  <c r="X361" i="2" s="1"/>
  <c r="X362" i="2" a="1"/>
  <c r="X362" i="2"/>
  <c r="X363" i="2" a="1"/>
  <c r="X363" i="2" s="1"/>
  <c r="X364" i="2" a="1"/>
  <c r="X364" i="2" s="1"/>
  <c r="X365" i="2" a="1"/>
  <c r="X365" i="2" s="1"/>
  <c r="X366" i="2" a="1"/>
  <c r="X366" i="2" s="1"/>
  <c r="X367" i="2" a="1"/>
  <c r="X367" i="2" s="1"/>
  <c r="X368" i="2" a="1"/>
  <c r="X368" i="2" s="1"/>
  <c r="X369" i="2" a="1"/>
  <c r="X369" i="2" s="1"/>
  <c r="X370" i="2" a="1"/>
  <c r="X370" i="2" s="1"/>
  <c r="X371" i="2" a="1"/>
  <c r="X371" i="2" s="1"/>
  <c r="X372" i="2" a="1"/>
  <c r="X372" i="2" s="1"/>
  <c r="X373" i="2" a="1"/>
  <c r="X373" i="2" s="1"/>
  <c r="X374" i="2" a="1"/>
  <c r="X374" i="2"/>
  <c r="X375" i="2" a="1"/>
  <c r="X375" i="2" s="1"/>
  <c r="X376" i="2" a="1"/>
  <c r="X376" i="2" s="1"/>
  <c r="X377" i="2" a="1"/>
  <c r="X377" i="2" s="1"/>
  <c r="X378" i="2" a="1"/>
  <c r="X378" i="2" s="1"/>
  <c r="X379" i="2" a="1"/>
  <c r="X379" i="2" s="1"/>
  <c r="X380" i="2" a="1"/>
  <c r="X380" i="2" s="1"/>
  <c r="X381" i="2" a="1"/>
  <c r="X381" i="2" s="1"/>
  <c r="X382" i="2" a="1"/>
  <c r="X382" i="2" s="1"/>
  <c r="X383" i="2" a="1"/>
  <c r="X383" i="2" s="1"/>
  <c r="X384" i="2" a="1"/>
  <c r="X384" i="2" s="1"/>
  <c r="X385" i="2" a="1"/>
  <c r="X385" i="2" s="1"/>
  <c r="X386" i="2" a="1"/>
  <c r="X386" i="2"/>
  <c r="X387" i="2" a="1"/>
  <c r="X387" i="2" s="1"/>
  <c r="X388" i="2" a="1"/>
  <c r="X388" i="2" s="1"/>
  <c r="X389" i="2" a="1"/>
  <c r="X389" i="2" s="1"/>
  <c r="X390" i="2" a="1"/>
  <c r="X390" i="2" s="1"/>
  <c r="X391" i="2" a="1"/>
  <c r="X391" i="2" s="1"/>
  <c r="X392" i="2" a="1"/>
  <c r="X392" i="2" s="1"/>
  <c r="X393" i="2" a="1"/>
  <c r="X393" i="2" s="1"/>
  <c r="X394" i="2" a="1"/>
  <c r="X394" i="2" s="1"/>
  <c r="X395" i="2" a="1"/>
  <c r="X395" i="2" s="1"/>
  <c r="X396" i="2" a="1"/>
  <c r="X396" i="2" s="1"/>
  <c r="X397" i="2" a="1"/>
  <c r="X397" i="2" s="1"/>
  <c r="X398" i="2" a="1"/>
  <c r="X398" i="2" s="1"/>
  <c r="X399" i="2" a="1"/>
  <c r="X399" i="2" s="1"/>
  <c r="X400" i="2" a="1"/>
  <c r="X400" i="2" s="1"/>
  <c r="X401" i="2" a="1"/>
  <c r="X401" i="2" s="1"/>
  <c r="X402" i="2" a="1"/>
  <c r="X402" i="2" s="1"/>
  <c r="X403" i="2" a="1"/>
  <c r="X403" i="2" s="1"/>
  <c r="X404" i="2" a="1"/>
  <c r="X404" i="2" s="1"/>
  <c r="X405" i="2" a="1"/>
  <c r="X405" i="2" s="1"/>
  <c r="X406" i="2" a="1"/>
  <c r="X406" i="2" s="1"/>
  <c r="X407" i="2" a="1"/>
  <c r="X407" i="2" s="1"/>
  <c r="X408" i="2" a="1"/>
  <c r="X408" i="2" s="1"/>
  <c r="X409" i="2" a="1"/>
  <c r="X409" i="2" s="1"/>
  <c r="X410" i="2" a="1"/>
  <c r="X410" i="2"/>
  <c r="X411" i="2" a="1"/>
  <c r="X411" i="2" s="1"/>
  <c r="X412" i="2" a="1"/>
  <c r="X412" i="2" s="1"/>
  <c r="X413" i="2" a="1"/>
  <c r="X413" i="2" s="1"/>
  <c r="X414" i="2" a="1"/>
  <c r="X414" i="2" s="1"/>
  <c r="X415" i="2" a="1"/>
  <c r="X415" i="2" s="1"/>
  <c r="X416" i="2" a="1"/>
  <c r="X416" i="2" s="1"/>
  <c r="X417" i="2" a="1"/>
  <c r="X417" i="2" s="1"/>
  <c r="X418" i="2" a="1"/>
  <c r="X418" i="2" s="1"/>
  <c r="X419" i="2" a="1"/>
  <c r="X419" i="2" s="1"/>
  <c r="X420" i="2" a="1"/>
  <c r="X420" i="2" s="1"/>
  <c r="X421" i="2" a="1"/>
  <c r="X421" i="2" s="1"/>
  <c r="X422" i="2" a="1"/>
  <c r="X422" i="2" s="1"/>
  <c r="X423" i="2" a="1"/>
  <c r="X423" i="2" s="1"/>
  <c r="X424" i="2" a="1"/>
  <c r="X424" i="2" s="1"/>
  <c r="X425" i="2" a="1"/>
  <c r="X425" i="2" s="1"/>
  <c r="X426" i="2" a="1"/>
  <c r="X426" i="2" s="1"/>
  <c r="X427" i="2" a="1"/>
  <c r="X427" i="2" s="1"/>
  <c r="X428" i="2" a="1"/>
  <c r="X428" i="2" s="1"/>
  <c r="X429" i="2" a="1"/>
  <c r="X429" i="2" s="1"/>
  <c r="X430" i="2" a="1"/>
  <c r="X430" i="2" s="1"/>
  <c r="X431" i="2" a="1"/>
  <c r="X431" i="2" s="1"/>
  <c r="X432" i="2" a="1"/>
  <c r="X432" i="2" s="1"/>
  <c r="X433" i="2" a="1"/>
  <c r="X433" i="2" s="1"/>
  <c r="X434" i="2" a="1"/>
  <c r="X434" i="2"/>
  <c r="X435" i="2" a="1"/>
  <c r="X435" i="2" s="1"/>
  <c r="X436" i="2" a="1"/>
  <c r="X436" i="2" s="1"/>
  <c r="X437" i="2" a="1"/>
  <c r="X437" i="2" s="1"/>
  <c r="X438" i="2" a="1"/>
  <c r="X438" i="2" s="1"/>
  <c r="X439" i="2" a="1"/>
  <c r="X439" i="2" s="1"/>
  <c r="X440" i="2" a="1"/>
  <c r="X440" i="2" s="1"/>
  <c r="X441" i="2" a="1"/>
  <c r="X441" i="2" s="1"/>
  <c r="X442" i="2" a="1"/>
  <c r="X442" i="2" s="1"/>
  <c r="X443" i="2" a="1"/>
  <c r="X443" i="2" s="1"/>
  <c r="X444" i="2" a="1"/>
  <c r="X444" i="2" s="1"/>
  <c r="X445" i="2" a="1"/>
  <c r="X445" i="2" s="1"/>
  <c r="X446" i="2" a="1"/>
  <c r="X446" i="2"/>
  <c r="X447" i="2" a="1"/>
  <c r="X447" i="2" s="1"/>
  <c r="X448" i="2" a="1"/>
  <c r="X448" i="2" s="1"/>
  <c r="X449" i="2" a="1"/>
  <c r="X449" i="2" s="1"/>
  <c r="X450" i="2" a="1"/>
  <c r="X450" i="2" s="1"/>
  <c r="X451" i="2" a="1"/>
  <c r="X451" i="2" s="1"/>
  <c r="X452" i="2" a="1"/>
  <c r="X452" i="2" s="1"/>
  <c r="X453" i="2" a="1"/>
  <c r="X453" i="2" s="1"/>
  <c r="X454" i="2" a="1"/>
  <c r="X454" i="2" s="1"/>
  <c r="X455" i="2" a="1"/>
  <c r="X455" i="2" s="1"/>
  <c r="X456" i="2" a="1"/>
  <c r="X456" i="2" s="1"/>
  <c r="X457" i="2" a="1"/>
  <c r="X457" i="2" s="1"/>
  <c r="X458" i="2" a="1"/>
  <c r="X458" i="2"/>
  <c r="X459" i="2" a="1"/>
  <c r="X459" i="2" s="1"/>
  <c r="X460" i="2" a="1"/>
  <c r="X460" i="2" s="1"/>
  <c r="X461" i="2" a="1"/>
  <c r="X461" i="2" s="1"/>
  <c r="X462" i="2" a="1"/>
  <c r="X462" i="2" s="1"/>
  <c r="X463" i="2" a="1"/>
  <c r="X463" i="2" s="1"/>
  <c r="X464" i="2" a="1"/>
  <c r="X464" i="2" s="1"/>
  <c r="X465" i="2" a="1"/>
  <c r="X465" i="2" s="1"/>
  <c r="X466" i="2" a="1"/>
  <c r="X466" i="2" s="1"/>
  <c r="X467" i="2" a="1"/>
  <c r="X467" i="2" s="1"/>
  <c r="X468" i="2" a="1"/>
  <c r="X468" i="2" s="1"/>
  <c r="X469" i="2" a="1"/>
  <c r="X469" i="2" s="1"/>
  <c r="X470" i="2" a="1"/>
  <c r="X470" i="2" s="1"/>
  <c r="X471" i="2" a="1"/>
  <c r="X471" i="2" s="1"/>
  <c r="X472" i="2" a="1"/>
  <c r="X472" i="2" s="1"/>
  <c r="X473" i="2" a="1"/>
  <c r="X473" i="2" s="1"/>
  <c r="X474" i="2" a="1"/>
  <c r="X474" i="2" s="1"/>
  <c r="X475" i="2" a="1"/>
  <c r="X475" i="2" s="1"/>
  <c r="X476" i="2" a="1"/>
  <c r="X476" i="2" s="1"/>
  <c r="X477" i="2" a="1"/>
  <c r="X477" i="2" s="1"/>
  <c r="X478" i="2" a="1"/>
  <c r="X478" i="2" s="1"/>
  <c r="X479" i="2" a="1"/>
  <c r="X479" i="2" s="1"/>
  <c r="X480" i="2" a="1"/>
  <c r="X480" i="2" s="1"/>
  <c r="X481" i="2" a="1"/>
  <c r="X481" i="2" s="1"/>
  <c r="X482" i="2" a="1"/>
  <c r="X482" i="2"/>
  <c r="X483" i="2" a="1"/>
  <c r="X483" i="2" s="1"/>
  <c r="X484" i="2" a="1"/>
  <c r="X484" i="2" s="1"/>
  <c r="X485" i="2" a="1"/>
  <c r="X485" i="2" s="1"/>
  <c r="X486" i="2" a="1"/>
  <c r="X486" i="2" s="1"/>
  <c r="X487" i="2" a="1"/>
  <c r="X487" i="2" s="1"/>
  <c r="X488" i="2" a="1"/>
  <c r="X488" i="2" s="1"/>
  <c r="X489" i="2" a="1"/>
  <c r="X489" i="2" s="1"/>
  <c r="X490" i="2" a="1"/>
  <c r="X490" i="2" s="1"/>
  <c r="X491" i="2" a="1"/>
  <c r="X491" i="2" s="1"/>
  <c r="X492" i="2" a="1"/>
  <c r="X492" i="2" s="1"/>
  <c r="X493" i="2" a="1"/>
  <c r="X493" i="2" s="1"/>
  <c r="X494" i="2" a="1"/>
  <c r="X494" i="2"/>
  <c r="X495" i="2" a="1"/>
  <c r="X495" i="2" s="1"/>
  <c r="X496" i="2" a="1"/>
  <c r="X496" i="2" s="1"/>
  <c r="X497" i="2" a="1"/>
  <c r="X497" i="2" s="1"/>
  <c r="X498" i="2" a="1"/>
  <c r="X498" i="2" s="1"/>
  <c r="X499" i="2" a="1"/>
  <c r="X499" i="2" s="1"/>
  <c r="X500" i="2" a="1"/>
  <c r="X500" i="2" s="1"/>
  <c r="X501" i="2" a="1"/>
  <c r="X501" i="2" s="1"/>
  <c r="X502" i="2" a="1"/>
  <c r="X502" i="2" s="1"/>
  <c r="X503" i="2" a="1"/>
  <c r="X503" i="2" s="1"/>
  <c r="X504" i="2" a="1"/>
  <c r="X504" i="2" s="1"/>
  <c r="X505" i="2" a="1"/>
  <c r="X505" i="2" s="1"/>
  <c r="X506" i="2" a="1"/>
  <c r="X506" i="2"/>
  <c r="X507" i="2" a="1"/>
  <c r="X507" i="2" s="1"/>
  <c r="X508" i="2" a="1"/>
  <c r="X508" i="2" s="1"/>
  <c r="X509" i="2" a="1"/>
  <c r="X509" i="2" s="1"/>
  <c r="X510" i="2" a="1"/>
  <c r="X510" i="2" s="1"/>
  <c r="X511" i="2" a="1"/>
  <c r="X511" i="2" s="1"/>
  <c r="X512" i="2" a="1"/>
  <c r="X512" i="2" s="1"/>
  <c r="X513" i="2" a="1"/>
  <c r="X513" i="2" s="1"/>
  <c r="X514" i="2" a="1"/>
  <c r="X514" i="2" s="1"/>
  <c r="X515" i="2" a="1"/>
  <c r="X515" i="2" s="1"/>
  <c r="X516" i="2" a="1"/>
  <c r="X516" i="2" s="1"/>
  <c r="X517" i="2" a="1"/>
  <c r="X517" i="2" s="1"/>
  <c r="X518" i="2" a="1"/>
  <c r="X518" i="2" s="1"/>
  <c r="X519" i="2" a="1"/>
  <c r="X519" i="2" s="1"/>
  <c r="X520" i="2" a="1"/>
  <c r="X520" i="2" s="1"/>
  <c r="X521" i="2" a="1"/>
  <c r="X521" i="2" s="1"/>
  <c r="X522" i="2" a="1"/>
  <c r="X522" i="2" s="1"/>
  <c r="X523" i="2" a="1"/>
  <c r="X523" i="2" s="1"/>
  <c r="X524" i="2" a="1"/>
  <c r="X524" i="2" s="1"/>
  <c r="X525" i="2" a="1"/>
  <c r="X525" i="2" s="1"/>
  <c r="X526" i="2" a="1"/>
  <c r="X526" i="2" s="1"/>
  <c r="X527" i="2" a="1"/>
  <c r="X527" i="2" s="1"/>
  <c r="X528" i="2" a="1"/>
  <c r="X528" i="2" s="1"/>
  <c r="X529" i="2" a="1"/>
  <c r="X529" i="2" s="1"/>
  <c r="X530" i="2" a="1"/>
  <c r="X530" i="2" s="1"/>
  <c r="X531" i="2" a="1"/>
  <c r="X531" i="2" s="1"/>
  <c r="X532" i="2" a="1"/>
  <c r="X532" i="2" s="1"/>
  <c r="X533" i="2" a="1"/>
  <c r="X533" i="2" s="1"/>
  <c r="X534" i="2" a="1"/>
  <c r="X534" i="2" s="1"/>
  <c r="X535" i="2" a="1"/>
  <c r="X535" i="2" s="1"/>
  <c r="X536" i="2" a="1"/>
  <c r="X536" i="2" s="1"/>
  <c r="X537" i="2" a="1"/>
  <c r="X537" i="2" s="1"/>
  <c r="X538" i="2" a="1"/>
  <c r="X538" i="2" s="1"/>
  <c r="X539" i="2" a="1"/>
  <c r="X539" i="2" s="1"/>
  <c r="X540" i="2" a="1"/>
  <c r="X540" i="2" s="1"/>
  <c r="X541" i="2" a="1"/>
  <c r="X541" i="2" s="1"/>
  <c r="X542" i="2" a="1"/>
  <c r="X542" i="2" s="1"/>
  <c r="X543" i="2" a="1"/>
  <c r="X543" i="2" s="1"/>
  <c r="X544" i="2" a="1"/>
  <c r="X544" i="2" s="1"/>
  <c r="X545" i="2" a="1"/>
  <c r="X545" i="2" s="1"/>
  <c r="X546" i="2" a="1"/>
  <c r="X546" i="2" s="1"/>
  <c r="X547" i="2" a="1"/>
  <c r="X547" i="2" s="1"/>
  <c r="X548" i="2" a="1"/>
  <c r="X548" i="2" s="1"/>
  <c r="X549" i="2" a="1"/>
  <c r="X549" i="2" s="1"/>
  <c r="X550" i="2" a="1"/>
  <c r="X550" i="2" s="1"/>
  <c r="X551" i="2" a="1"/>
  <c r="X551" i="2" s="1"/>
  <c r="X552" i="2" a="1"/>
  <c r="X552" i="2" s="1"/>
  <c r="X553" i="2" a="1"/>
  <c r="X553" i="2" s="1"/>
  <c r="X554" i="2" a="1"/>
  <c r="X554" i="2" s="1"/>
  <c r="X555" i="2" a="1"/>
  <c r="X555" i="2" s="1"/>
  <c r="X556" i="2" a="1"/>
  <c r="X556" i="2" s="1"/>
  <c r="X557" i="2" a="1"/>
  <c r="X557" i="2" s="1"/>
  <c r="X558" i="2" a="1"/>
  <c r="X558" i="2" s="1"/>
  <c r="X559" i="2" a="1"/>
  <c r="X559" i="2" s="1"/>
  <c r="X560" i="2" a="1"/>
  <c r="X560" i="2" s="1"/>
  <c r="X561" i="2" a="1"/>
  <c r="X561" i="2" s="1"/>
  <c r="X562" i="2" a="1"/>
  <c r="X562" i="2" s="1"/>
  <c r="X563" i="2" a="1"/>
  <c r="X563" i="2" s="1"/>
  <c r="X564" i="2" a="1"/>
  <c r="X564" i="2" s="1"/>
  <c r="X565" i="2" a="1"/>
  <c r="X565" i="2" s="1"/>
  <c r="X566" i="2" a="1"/>
  <c r="X566" i="2" s="1"/>
  <c r="X567" i="2" a="1"/>
  <c r="X567" i="2" s="1"/>
  <c r="X568" i="2" a="1"/>
  <c r="X568" i="2" s="1"/>
  <c r="X569" i="2" a="1"/>
  <c r="X569" i="2" s="1"/>
  <c r="X570" i="2" a="1"/>
  <c r="X570" i="2" s="1"/>
  <c r="X571" i="2" a="1"/>
  <c r="X571" i="2" s="1"/>
  <c r="X572" i="2" a="1"/>
  <c r="X572" i="2" s="1"/>
  <c r="X573" i="2" a="1"/>
  <c r="X573" i="2" s="1"/>
  <c r="X574" i="2" a="1"/>
  <c r="X574" i="2" s="1"/>
  <c r="X575" i="2" a="1"/>
  <c r="X575" i="2" s="1"/>
  <c r="X576" i="2" a="1"/>
  <c r="X576" i="2" s="1"/>
  <c r="X577" i="2" a="1"/>
  <c r="X577" i="2" s="1"/>
  <c r="X578" i="2" a="1"/>
  <c r="X578" i="2" s="1"/>
  <c r="X579" i="2" a="1"/>
  <c r="X579" i="2" s="1"/>
  <c r="X580" i="2" a="1"/>
  <c r="X580" i="2" s="1"/>
  <c r="X581" i="2" a="1"/>
  <c r="X581" i="2" s="1"/>
  <c r="X582" i="2" a="1"/>
  <c r="X582" i="2" s="1"/>
  <c r="X583" i="2" a="1"/>
  <c r="X583" i="2" s="1"/>
  <c r="X584" i="2" a="1"/>
  <c r="X584" i="2" s="1"/>
  <c r="X585" i="2" a="1"/>
  <c r="X585" i="2" s="1"/>
  <c r="X586" i="2" a="1"/>
  <c r="X586" i="2" s="1"/>
  <c r="X587" i="2" a="1"/>
  <c r="X587" i="2" s="1"/>
  <c r="X588" i="2" a="1"/>
  <c r="X588" i="2" s="1"/>
  <c r="X589" i="2" a="1"/>
  <c r="X589" i="2" s="1"/>
  <c r="X590" i="2" a="1"/>
  <c r="X590" i="2" s="1"/>
  <c r="X591" i="2" a="1"/>
  <c r="X591" i="2" s="1"/>
  <c r="X592" i="2" a="1"/>
  <c r="X592" i="2" s="1"/>
  <c r="X593" i="2" a="1"/>
  <c r="X593" i="2" s="1"/>
  <c r="X594" i="2" a="1"/>
  <c r="X594" i="2" s="1"/>
  <c r="X595" i="2" a="1"/>
  <c r="X595" i="2" s="1"/>
  <c r="X596" i="2" a="1"/>
  <c r="X596" i="2" s="1"/>
  <c r="X597" i="2" a="1"/>
  <c r="X597" i="2" s="1"/>
  <c r="X598" i="2" a="1"/>
  <c r="X598" i="2" s="1"/>
  <c r="X599" i="2" a="1"/>
  <c r="X599" i="2" s="1"/>
  <c r="X600" i="2" a="1"/>
  <c r="X600" i="2" s="1"/>
  <c r="X601" i="2" a="1"/>
  <c r="X601" i="2" s="1"/>
  <c r="X602" i="2" a="1"/>
  <c r="X602" i="2" s="1"/>
  <c r="X603" i="2" a="1"/>
  <c r="X603" i="2" s="1"/>
  <c r="X604" i="2" a="1"/>
  <c r="X604" i="2" s="1"/>
  <c r="X605" i="2" a="1"/>
  <c r="X605" i="2" s="1"/>
  <c r="X606" i="2" a="1"/>
  <c r="X606" i="2" s="1"/>
  <c r="X607" i="2" a="1"/>
  <c r="X607" i="2" s="1"/>
  <c r="X608" i="2" a="1"/>
  <c r="X608" i="2" s="1"/>
  <c r="X609" i="2" a="1"/>
  <c r="X609" i="2" s="1"/>
  <c r="X610" i="2" a="1"/>
  <c r="X610" i="2" s="1"/>
  <c r="X611" i="2" a="1"/>
  <c r="X611" i="2" s="1"/>
  <c r="X612" i="2" a="1"/>
  <c r="X612" i="2" s="1"/>
  <c r="X613" i="2" a="1"/>
  <c r="X613" i="2" s="1"/>
  <c r="X614" i="2" a="1"/>
  <c r="X614" i="2" s="1"/>
  <c r="X615" i="2" a="1"/>
  <c r="X615" i="2" s="1"/>
  <c r="X616" i="2" a="1"/>
  <c r="X616" i="2" s="1"/>
  <c r="X617" i="2" a="1"/>
  <c r="X617" i="2" s="1"/>
  <c r="X618" i="2" a="1"/>
  <c r="X618" i="2" s="1"/>
  <c r="X619" i="2" a="1"/>
  <c r="X619" i="2" s="1"/>
  <c r="X620" i="2" a="1"/>
  <c r="X620" i="2" s="1"/>
  <c r="X621" i="2" a="1"/>
  <c r="X621" i="2" s="1"/>
  <c r="X622" i="2" a="1"/>
  <c r="X622" i="2" s="1"/>
  <c r="X623" i="2" a="1"/>
  <c r="X623" i="2" s="1"/>
  <c r="X624" i="2" a="1"/>
  <c r="X624" i="2" s="1"/>
  <c r="X625" i="2" a="1"/>
  <c r="X625" i="2" s="1"/>
  <c r="X626" i="2" a="1"/>
  <c r="X626" i="2" s="1"/>
  <c r="X627" i="2" a="1"/>
  <c r="X627" i="2" s="1"/>
  <c r="X628" i="2" a="1"/>
  <c r="X628" i="2" s="1"/>
  <c r="X629" i="2" a="1"/>
  <c r="X629" i="2" s="1"/>
  <c r="X630" i="2" a="1"/>
  <c r="X630" i="2" s="1"/>
  <c r="X631" i="2" a="1"/>
  <c r="X631" i="2" s="1"/>
  <c r="X632" i="2" a="1"/>
  <c r="X632" i="2" s="1"/>
  <c r="X633" i="2" a="1"/>
  <c r="X633" i="2" s="1"/>
  <c r="X634" i="2" a="1"/>
  <c r="X634" i="2" s="1"/>
  <c r="X635" i="2" a="1"/>
  <c r="X635" i="2" s="1"/>
  <c r="X636" i="2" a="1"/>
  <c r="X636" i="2" s="1"/>
  <c r="X637" i="2" a="1"/>
  <c r="X637" i="2" s="1"/>
  <c r="X638" i="2" a="1"/>
  <c r="X638" i="2" s="1"/>
  <c r="X639" i="2" a="1"/>
  <c r="X639" i="2" s="1"/>
  <c r="X640" i="2" a="1"/>
  <c r="X640" i="2" s="1"/>
  <c r="X641" i="2" a="1"/>
  <c r="X641" i="2" s="1"/>
  <c r="X642" i="2" a="1"/>
  <c r="X642" i="2" s="1"/>
  <c r="X643" i="2" a="1"/>
  <c r="X643" i="2" s="1"/>
  <c r="X644" i="2" a="1"/>
  <c r="X644" i="2" s="1"/>
  <c r="X645" i="2" a="1"/>
  <c r="X645" i="2" s="1"/>
  <c r="X646" i="2" a="1"/>
  <c r="X646" i="2" s="1"/>
  <c r="X647" i="2" a="1"/>
  <c r="X647" i="2" s="1"/>
  <c r="X648" i="2" a="1"/>
  <c r="X648" i="2" s="1"/>
  <c r="X649" i="2" a="1"/>
  <c r="X649" i="2" s="1"/>
  <c r="X650" i="2" a="1"/>
  <c r="X650" i="2" s="1"/>
  <c r="X651" i="2" a="1"/>
  <c r="X651" i="2" s="1"/>
  <c r="X652" i="2" a="1"/>
  <c r="X652" i="2" s="1"/>
  <c r="X653" i="2" a="1"/>
  <c r="X653" i="2" s="1"/>
  <c r="X654" i="2" a="1"/>
  <c r="X654" i="2" s="1"/>
  <c r="X655" i="2" a="1"/>
  <c r="X655" i="2" s="1"/>
  <c r="X656" i="2" a="1"/>
  <c r="X656" i="2" s="1"/>
  <c r="X657" i="2" a="1"/>
  <c r="X657" i="2" s="1"/>
  <c r="X658" i="2" a="1"/>
  <c r="X658" i="2" s="1"/>
  <c r="X659" i="2" a="1"/>
  <c r="X659" i="2" s="1"/>
  <c r="X660" i="2" a="1"/>
  <c r="X660" i="2" s="1"/>
  <c r="X661" i="2" a="1"/>
  <c r="X661" i="2" s="1"/>
  <c r="X662" i="2" a="1"/>
  <c r="X662" i="2" s="1"/>
  <c r="X663" i="2" a="1"/>
  <c r="X663" i="2" s="1"/>
  <c r="X664" i="2" a="1"/>
  <c r="X664" i="2" s="1"/>
  <c r="X665" i="2" a="1"/>
  <c r="X665" i="2" s="1"/>
  <c r="X666" i="2" a="1"/>
  <c r="X666" i="2" s="1"/>
  <c r="X667" i="2" a="1"/>
  <c r="X667" i="2" s="1"/>
  <c r="X668" i="2" a="1"/>
  <c r="X668" i="2" s="1"/>
  <c r="X669" i="2" a="1"/>
  <c r="X669" i="2" s="1"/>
  <c r="X670" i="2" a="1"/>
  <c r="X670" i="2" s="1"/>
  <c r="X671" i="2" a="1"/>
  <c r="X671" i="2" s="1"/>
  <c r="X672" i="2" a="1"/>
  <c r="X672" i="2" s="1"/>
  <c r="X673" i="2" a="1"/>
  <c r="X673" i="2" s="1"/>
  <c r="X674" i="2" a="1"/>
  <c r="X674" i="2" s="1"/>
  <c r="X675" i="2" a="1"/>
  <c r="X675" i="2" s="1"/>
  <c r="X676" i="2" a="1"/>
  <c r="X676" i="2" s="1"/>
  <c r="X677" i="2" a="1"/>
  <c r="X677" i="2" s="1"/>
  <c r="X678" i="2" a="1"/>
  <c r="X678" i="2" s="1"/>
  <c r="X679" i="2" a="1"/>
  <c r="X679" i="2" s="1"/>
  <c r="X680" i="2" a="1"/>
  <c r="X680" i="2" s="1"/>
  <c r="X681" i="2" a="1"/>
  <c r="X681" i="2" s="1"/>
  <c r="X682" i="2" a="1"/>
  <c r="X682" i="2" s="1"/>
  <c r="X683" i="2" a="1"/>
  <c r="X683" i="2" s="1"/>
  <c r="X684" i="2" a="1"/>
  <c r="X684" i="2" s="1"/>
  <c r="X685" i="2" a="1"/>
  <c r="X685" i="2" s="1"/>
  <c r="X686" i="2" a="1"/>
  <c r="X686" i="2" s="1"/>
  <c r="X687" i="2" a="1"/>
  <c r="X687" i="2" s="1"/>
  <c r="X688" i="2" a="1"/>
  <c r="X688" i="2" s="1"/>
  <c r="X689" i="2" a="1"/>
  <c r="X689" i="2" s="1"/>
  <c r="X690" i="2" a="1"/>
  <c r="X690" i="2" s="1"/>
  <c r="X691" i="2" a="1"/>
  <c r="X691" i="2" s="1"/>
  <c r="X692" i="2" a="1"/>
  <c r="X692" i="2" s="1"/>
  <c r="X693" i="2" a="1"/>
  <c r="X693" i="2" s="1"/>
  <c r="X694" i="2" a="1"/>
  <c r="X694" i="2" s="1"/>
  <c r="X695" i="2" a="1"/>
  <c r="X695" i="2" s="1"/>
  <c r="X696" i="2" a="1"/>
  <c r="X696" i="2" s="1"/>
  <c r="X697" i="2" a="1"/>
  <c r="X697" i="2" s="1"/>
  <c r="X698" i="2" a="1"/>
  <c r="X698" i="2" s="1"/>
  <c r="X699" i="2" a="1"/>
  <c r="X699" i="2" s="1"/>
  <c r="X700" i="2" a="1"/>
  <c r="X700" i="2" s="1"/>
  <c r="X701" i="2" a="1"/>
  <c r="X701" i="2" s="1"/>
  <c r="X702" i="2" a="1"/>
  <c r="X702" i="2" s="1"/>
  <c r="X703" i="2" a="1"/>
  <c r="X703" i="2" s="1"/>
  <c r="X704" i="2" a="1"/>
  <c r="X704" i="2" s="1"/>
  <c r="X705" i="2" a="1"/>
  <c r="X705" i="2" s="1"/>
  <c r="X706" i="2" a="1"/>
  <c r="X706" i="2" s="1"/>
  <c r="X707" i="2" a="1"/>
  <c r="X707" i="2" s="1"/>
  <c r="X708" i="2" a="1"/>
  <c r="X708" i="2" s="1"/>
  <c r="X709" i="2" a="1"/>
  <c r="X709" i="2" s="1"/>
  <c r="X710" i="2" a="1"/>
  <c r="X710" i="2" s="1"/>
  <c r="X711" i="2" a="1"/>
  <c r="X711" i="2" s="1"/>
  <c r="X712" i="2" a="1"/>
  <c r="X712" i="2" s="1"/>
  <c r="X713" i="2" a="1"/>
  <c r="X713" i="2" s="1"/>
  <c r="X714" i="2" a="1"/>
  <c r="X714" i="2" s="1"/>
  <c r="X715" i="2" a="1"/>
  <c r="X715" i="2" s="1"/>
  <c r="X716" i="2" a="1"/>
  <c r="X716" i="2" s="1"/>
  <c r="X717" i="2" a="1"/>
  <c r="X717" i="2" s="1"/>
  <c r="X718" i="2" a="1"/>
  <c r="X718" i="2" s="1"/>
  <c r="X719" i="2" a="1"/>
  <c r="X719" i="2" s="1"/>
  <c r="X720" i="2" a="1"/>
  <c r="X720" i="2" s="1"/>
  <c r="X721" i="2" a="1"/>
  <c r="X721" i="2" s="1"/>
  <c r="X722" i="2" a="1"/>
  <c r="X722" i="2" s="1"/>
  <c r="X723" i="2" a="1"/>
  <c r="X723" i="2" s="1"/>
  <c r="X724" i="2" a="1"/>
  <c r="X724" i="2" s="1"/>
  <c r="X725" i="2" a="1"/>
  <c r="X725" i="2" s="1"/>
  <c r="X726" i="2" a="1"/>
  <c r="X726" i="2" s="1"/>
  <c r="X727" i="2" a="1"/>
  <c r="X727" i="2" s="1"/>
  <c r="X728" i="2" a="1"/>
  <c r="X728" i="2" s="1"/>
  <c r="X729" i="2" a="1"/>
  <c r="X729" i="2" s="1"/>
  <c r="X730" i="2" a="1"/>
  <c r="X730" i="2" s="1"/>
  <c r="X731" i="2" a="1"/>
  <c r="X731" i="2" s="1"/>
  <c r="X732" i="2" a="1"/>
  <c r="X732" i="2" s="1"/>
  <c r="X733" i="2" a="1"/>
  <c r="X733" i="2" s="1"/>
  <c r="X734" i="2" a="1"/>
  <c r="X734" i="2" s="1"/>
  <c r="X735" i="2" a="1"/>
  <c r="X735" i="2" s="1"/>
  <c r="X736" i="2" a="1"/>
  <c r="X736" i="2" s="1"/>
  <c r="X737" i="2" a="1"/>
  <c r="X737" i="2" s="1"/>
  <c r="X738" i="2" a="1"/>
  <c r="X738" i="2" s="1"/>
  <c r="X739" i="2" a="1"/>
  <c r="X739" i="2"/>
  <c r="X740" i="2" a="1"/>
  <c r="X740" i="2" s="1"/>
  <c r="X741" i="2" a="1"/>
  <c r="X741" i="2" s="1"/>
  <c r="X742" i="2" a="1"/>
  <c r="X742" i="2" s="1"/>
  <c r="X743" i="2" a="1"/>
  <c r="X743" i="2" s="1"/>
  <c r="X744" i="2" a="1"/>
  <c r="X744" i="2" s="1"/>
  <c r="X745" i="2" a="1"/>
  <c r="X745" i="2"/>
  <c r="X746" i="2" a="1"/>
  <c r="X746" i="2" s="1"/>
  <c r="X747" i="2" a="1"/>
  <c r="X747" i="2" s="1"/>
  <c r="X748" i="2" a="1"/>
  <c r="X748" i="2" s="1"/>
  <c r="X749" i="2" a="1"/>
  <c r="X749" i="2" s="1"/>
  <c r="X750" i="2" a="1"/>
  <c r="X750" i="2" s="1"/>
  <c r="X751" i="2" a="1"/>
  <c r="X751" i="2"/>
  <c r="X752" i="2" a="1"/>
  <c r="X752" i="2" s="1"/>
  <c r="X753" i="2" a="1"/>
  <c r="X753" i="2" s="1"/>
  <c r="X754" i="2" a="1"/>
  <c r="X754" i="2" s="1"/>
  <c r="X755" i="2" a="1"/>
  <c r="X755" i="2" s="1"/>
  <c r="X756" i="2" a="1"/>
  <c r="X756" i="2" s="1"/>
  <c r="X757" i="2" a="1"/>
  <c r="X757" i="2"/>
  <c r="X758" i="2" a="1"/>
  <c r="X758" i="2" s="1"/>
  <c r="X759" i="2" a="1"/>
  <c r="X759" i="2" s="1"/>
  <c r="X760" i="2" a="1"/>
  <c r="X760" i="2" s="1"/>
  <c r="X761" i="2" a="1"/>
  <c r="X761" i="2" s="1"/>
  <c r="X762" i="2" a="1"/>
  <c r="X762" i="2" s="1"/>
  <c r="X763" i="2" a="1"/>
  <c r="X763" i="2"/>
  <c r="X764" i="2" a="1"/>
  <c r="X764" i="2" s="1"/>
  <c r="X765" i="2" a="1"/>
  <c r="X765" i="2" s="1"/>
  <c r="X766" i="2" a="1"/>
  <c r="X766" i="2" s="1"/>
  <c r="X767" i="2" a="1"/>
  <c r="X767" i="2" s="1"/>
  <c r="X768" i="2" a="1"/>
  <c r="X768" i="2" s="1"/>
  <c r="X769" i="2" a="1"/>
  <c r="X769" i="2"/>
  <c r="X770" i="2" a="1"/>
  <c r="X770" i="2" s="1"/>
  <c r="X771" i="2" a="1"/>
  <c r="X771" i="2" s="1"/>
  <c r="X772" i="2" a="1"/>
  <c r="X772" i="2" s="1"/>
  <c r="X773" i="2" a="1"/>
  <c r="X773" i="2" s="1"/>
  <c r="X774" i="2" a="1"/>
  <c r="X774" i="2" s="1"/>
  <c r="X775" i="2" a="1"/>
  <c r="X775" i="2" s="1"/>
  <c r="X776" i="2" a="1"/>
  <c r="X776" i="2" s="1"/>
  <c r="X777" i="2" a="1"/>
  <c r="X777" i="2" s="1"/>
  <c r="X778" i="2" a="1"/>
  <c r="X778" i="2" s="1"/>
  <c r="X779" i="2" a="1"/>
  <c r="X779" i="2" s="1"/>
  <c r="X780" i="2" a="1"/>
  <c r="X780" i="2" s="1"/>
  <c r="X781" i="2" a="1"/>
  <c r="X781" i="2" s="1"/>
  <c r="X782" i="2" a="1"/>
  <c r="X782" i="2" s="1"/>
  <c r="X783" i="2" a="1"/>
  <c r="X783" i="2" s="1"/>
  <c r="X784" i="2" a="1"/>
  <c r="X784" i="2" s="1"/>
  <c r="X785" i="2" a="1"/>
  <c r="X785" i="2" s="1"/>
  <c r="X786" i="2" a="1"/>
  <c r="X786" i="2" s="1"/>
  <c r="X787" i="2" a="1"/>
  <c r="X787" i="2" s="1"/>
  <c r="X788" i="2" a="1"/>
  <c r="X788" i="2" s="1"/>
  <c r="X789" i="2" a="1"/>
  <c r="X789" i="2" s="1"/>
  <c r="X790" i="2" a="1"/>
  <c r="X790" i="2" s="1"/>
  <c r="X791" i="2" a="1"/>
  <c r="X791" i="2" s="1"/>
  <c r="X792" i="2" a="1"/>
  <c r="X792" i="2" s="1"/>
  <c r="X793" i="2" a="1"/>
  <c r="X793" i="2" s="1"/>
  <c r="X794" i="2" a="1"/>
  <c r="X794" i="2" s="1"/>
  <c r="X795" i="2" a="1"/>
  <c r="X795" i="2" s="1"/>
  <c r="X796" i="2" a="1"/>
  <c r="X796" i="2" s="1"/>
  <c r="X797" i="2" a="1"/>
  <c r="X797" i="2" s="1"/>
  <c r="X798" i="2" a="1"/>
  <c r="X798" i="2" s="1"/>
  <c r="X799" i="2" a="1"/>
  <c r="X799" i="2" s="1"/>
  <c r="X800" i="2" a="1"/>
  <c r="X800" i="2" s="1"/>
  <c r="X801" i="2" a="1"/>
  <c r="X801" i="2" s="1"/>
  <c r="X802" i="2" a="1"/>
  <c r="X802" i="2" s="1"/>
  <c r="X803" i="2" a="1"/>
  <c r="X803" i="2" s="1"/>
  <c r="X804" i="2" a="1"/>
  <c r="X804" i="2" s="1"/>
  <c r="X805" i="2" a="1"/>
  <c r="X805" i="2" s="1"/>
  <c r="X806" i="2" a="1"/>
  <c r="X806" i="2" s="1"/>
  <c r="X807" i="2" a="1"/>
  <c r="X807" i="2" s="1"/>
  <c r="X808" i="2" a="1"/>
  <c r="X808" i="2" s="1"/>
  <c r="X809" i="2" a="1"/>
  <c r="X809" i="2" s="1"/>
  <c r="X810" i="2" a="1"/>
  <c r="X810" i="2" s="1"/>
  <c r="X811" i="2" a="1"/>
  <c r="X811" i="2"/>
  <c r="X812" i="2" a="1"/>
  <c r="X812" i="2" s="1"/>
  <c r="X813" i="2" a="1"/>
  <c r="X813" i="2" s="1"/>
  <c r="X814" i="2" a="1"/>
  <c r="X814" i="2" s="1"/>
  <c r="X815" i="2" a="1"/>
  <c r="X815" i="2" s="1"/>
  <c r="X816" i="2" a="1"/>
  <c r="X816" i="2" s="1"/>
  <c r="X817" i="2" a="1"/>
  <c r="X817" i="2"/>
  <c r="X818" i="2" a="1"/>
  <c r="X818" i="2" s="1"/>
  <c r="X819" i="2" a="1"/>
  <c r="X819" i="2" s="1"/>
  <c r="X820" i="2" a="1"/>
  <c r="X820" i="2" s="1"/>
  <c r="X821" i="2" a="1"/>
  <c r="X821" i="2" s="1"/>
  <c r="X822" i="2" a="1"/>
  <c r="X822" i="2" s="1"/>
  <c r="X823" i="2" a="1"/>
  <c r="X823" i="2"/>
  <c r="X824" i="2" a="1"/>
  <c r="X824" i="2" s="1"/>
  <c r="X825" i="2" a="1"/>
  <c r="X825" i="2" s="1"/>
  <c r="X826" i="2" a="1"/>
  <c r="X826" i="2" s="1"/>
  <c r="X827" i="2" a="1"/>
  <c r="X827" i="2" s="1"/>
  <c r="X828" i="2" a="1"/>
  <c r="X828" i="2" s="1"/>
  <c r="X829" i="2" a="1"/>
  <c r="X829" i="2"/>
  <c r="X830" i="2" a="1"/>
  <c r="X830" i="2" s="1"/>
  <c r="X831" i="2" a="1"/>
  <c r="X831" i="2" s="1"/>
  <c r="X832" i="2" a="1"/>
  <c r="X832" i="2" s="1"/>
  <c r="X833" i="2" a="1"/>
  <c r="X833" i="2" s="1"/>
  <c r="X834" i="2" a="1"/>
  <c r="X834" i="2" s="1"/>
  <c r="X835" i="2" a="1"/>
  <c r="X835" i="2"/>
  <c r="X836" i="2" a="1"/>
  <c r="X836" i="2" s="1"/>
  <c r="X837" i="2" a="1"/>
  <c r="X837" i="2" s="1"/>
  <c r="X838" i="2" a="1"/>
  <c r="X838" i="2" s="1"/>
  <c r="X839" i="2" a="1"/>
  <c r="X839" i="2" s="1"/>
  <c r="X840" i="2" a="1"/>
  <c r="X840" i="2" s="1"/>
  <c r="X841" i="2" a="1"/>
  <c r="X841" i="2"/>
  <c r="X842" i="2" a="1"/>
  <c r="X842" i="2" s="1"/>
  <c r="X843" i="2" a="1"/>
  <c r="X843" i="2" s="1"/>
  <c r="X844" i="2" a="1"/>
  <c r="X844" i="2" s="1"/>
  <c r="X845" i="2" a="1"/>
  <c r="X845" i="2" s="1"/>
  <c r="X846" i="2" a="1"/>
  <c r="X846" i="2" s="1"/>
  <c r="X847" i="2" a="1"/>
  <c r="X847" i="2" s="1"/>
  <c r="X848" i="2" a="1"/>
  <c r="X848" i="2" s="1"/>
  <c r="X849" i="2" a="1"/>
  <c r="X849" i="2" s="1"/>
  <c r="X850" i="2" a="1"/>
  <c r="X850" i="2" s="1"/>
  <c r="X851" i="2" a="1"/>
  <c r="X851" i="2" s="1"/>
  <c r="X852" i="2" a="1"/>
  <c r="X852" i="2" s="1"/>
  <c r="X853" i="2" a="1"/>
  <c r="X853" i="2" s="1"/>
  <c r="X854" i="2" a="1"/>
  <c r="X854" i="2" s="1"/>
  <c r="X855" i="2" a="1"/>
  <c r="X855" i="2" s="1"/>
  <c r="X856" i="2" a="1"/>
  <c r="X856" i="2" s="1"/>
  <c r="X857" i="2" a="1"/>
  <c r="X857" i="2" s="1"/>
  <c r="X858" i="2" a="1"/>
  <c r="X858" i="2" s="1"/>
  <c r="X859" i="2" a="1"/>
  <c r="X859" i="2" s="1"/>
  <c r="X860" i="2" a="1"/>
  <c r="X860" i="2" s="1"/>
  <c r="X861" i="2" a="1"/>
  <c r="X861" i="2" s="1"/>
  <c r="X862" i="2" a="1"/>
  <c r="X862" i="2" s="1"/>
  <c r="X863" i="2" a="1"/>
  <c r="X863" i="2" s="1"/>
  <c r="X864" i="2" a="1"/>
  <c r="X864" i="2" s="1"/>
  <c r="X865" i="2" a="1"/>
  <c r="X865" i="2" s="1"/>
  <c r="X866" i="2" a="1"/>
  <c r="X866" i="2" s="1"/>
  <c r="X867" i="2" a="1"/>
  <c r="X867" i="2" s="1"/>
  <c r="X868" i="2" a="1"/>
  <c r="X868" i="2" s="1"/>
  <c r="X869" i="2" a="1"/>
  <c r="X869" i="2" s="1"/>
  <c r="X870" i="2" a="1"/>
  <c r="X870" i="2" s="1"/>
  <c r="X871" i="2" a="1"/>
  <c r="X871" i="2" s="1"/>
  <c r="X872" i="2" a="1"/>
  <c r="X872" i="2" s="1"/>
  <c r="X873" i="2" a="1"/>
  <c r="X873" i="2" s="1"/>
  <c r="X874" i="2" a="1"/>
  <c r="X874" i="2" s="1"/>
  <c r="X875" i="2" a="1"/>
  <c r="X875" i="2" s="1"/>
  <c r="X876" i="2" a="1"/>
  <c r="X876" i="2" s="1"/>
  <c r="X877" i="2" a="1"/>
  <c r="X877" i="2" s="1"/>
  <c r="X878" i="2" a="1"/>
  <c r="X878" i="2" s="1"/>
  <c r="X879" i="2" a="1"/>
  <c r="X879" i="2" s="1"/>
  <c r="X880" i="2" a="1"/>
  <c r="X880" i="2" s="1"/>
  <c r="X881" i="2" a="1"/>
  <c r="X881" i="2" s="1"/>
  <c r="X882" i="2" a="1"/>
  <c r="X882" i="2" s="1"/>
  <c r="X883" i="2" a="1"/>
  <c r="X883" i="2"/>
  <c r="X884" i="2" a="1"/>
  <c r="X884" i="2" s="1"/>
  <c r="X885" i="2" a="1"/>
  <c r="X885" i="2" s="1"/>
  <c r="X886" i="2" a="1"/>
  <c r="X886" i="2" s="1"/>
  <c r="X887" i="2" a="1"/>
  <c r="X887" i="2" s="1"/>
  <c r="X888" i="2" a="1"/>
  <c r="X888" i="2" s="1"/>
  <c r="X889" i="2" a="1"/>
  <c r="X889" i="2"/>
  <c r="X890" i="2" a="1"/>
  <c r="X890" i="2" s="1"/>
  <c r="X891" i="2" a="1"/>
  <c r="X891" i="2" s="1"/>
  <c r="X892" i="2" a="1"/>
  <c r="X892" i="2" s="1"/>
  <c r="X893" i="2" a="1"/>
  <c r="X893" i="2" s="1"/>
  <c r="X894" i="2" a="1"/>
  <c r="X894" i="2" s="1"/>
  <c r="X895" i="2" a="1"/>
  <c r="X895" i="2"/>
  <c r="X896" i="2" a="1"/>
  <c r="X896" i="2" s="1"/>
  <c r="X897" i="2" a="1"/>
  <c r="X897" i="2" s="1"/>
  <c r="X898" i="2" a="1"/>
  <c r="X898" i="2" s="1"/>
  <c r="X899" i="2" a="1"/>
  <c r="X899" i="2" s="1"/>
  <c r="X900" i="2" a="1"/>
  <c r="X900" i="2" s="1"/>
  <c r="X901" i="2" a="1"/>
  <c r="X901" i="2" s="1"/>
  <c r="X902" i="2" a="1"/>
  <c r="X902" i="2" s="1"/>
  <c r="X903" i="2" a="1"/>
  <c r="X903" i="2" s="1"/>
  <c r="X904" i="2" a="1"/>
  <c r="X904" i="2" s="1"/>
  <c r="X905" i="2" a="1"/>
  <c r="X905" i="2" s="1"/>
  <c r="X906" i="2" a="1"/>
  <c r="X906" i="2" s="1"/>
  <c r="X907" i="2" a="1"/>
  <c r="X907" i="2"/>
  <c r="X908" i="2" a="1"/>
  <c r="X908" i="2" s="1"/>
  <c r="X909" i="2" a="1"/>
  <c r="X909" i="2" s="1"/>
  <c r="X910" i="2" a="1"/>
  <c r="X910" i="2" s="1"/>
  <c r="X911" i="2" a="1"/>
  <c r="X911" i="2" s="1"/>
  <c r="X912" i="2" a="1"/>
  <c r="X912" i="2" s="1"/>
  <c r="X913" i="2" a="1"/>
  <c r="X913" i="2"/>
  <c r="X914" i="2" a="1"/>
  <c r="X914" i="2" s="1"/>
  <c r="X915" i="2" a="1"/>
  <c r="X915" i="2" s="1"/>
  <c r="X916" i="2" a="1"/>
  <c r="X916" i="2" s="1"/>
  <c r="X917" i="2" a="1"/>
  <c r="X917" i="2" s="1"/>
  <c r="X918" i="2" a="1"/>
  <c r="X918" i="2" s="1"/>
  <c r="X919" i="2" a="1"/>
  <c r="X919" i="2" s="1"/>
  <c r="X920" i="2" a="1"/>
  <c r="X920" i="2" s="1"/>
  <c r="X921" i="2" a="1"/>
  <c r="X921" i="2" s="1"/>
  <c r="X922" i="2" a="1"/>
  <c r="X922" i="2" s="1"/>
  <c r="X923" i="2" a="1"/>
  <c r="X923" i="2" s="1"/>
  <c r="X924" i="2" a="1"/>
  <c r="X924" i="2" s="1"/>
  <c r="X925" i="2" a="1"/>
  <c r="X925" i="2" s="1"/>
  <c r="X926" i="2" a="1"/>
  <c r="X926" i="2" s="1"/>
  <c r="X927" i="2" a="1"/>
  <c r="X927" i="2" s="1"/>
  <c r="X928" i="2" a="1"/>
  <c r="X928" i="2" s="1"/>
  <c r="X929" i="2" a="1"/>
  <c r="X929" i="2" s="1"/>
  <c r="X930" i="2" a="1"/>
  <c r="X930" i="2" s="1"/>
  <c r="X931" i="2" a="1"/>
  <c r="X931" i="2" s="1"/>
  <c r="X932" i="2" a="1"/>
  <c r="X932" i="2" s="1"/>
  <c r="X933" i="2" a="1"/>
  <c r="X933" i="2" s="1"/>
  <c r="X934" i="2" a="1"/>
  <c r="X934" i="2" s="1"/>
  <c r="X935" i="2" a="1"/>
  <c r="X935" i="2" s="1"/>
  <c r="X936" i="2" a="1"/>
  <c r="X936" i="2" s="1"/>
  <c r="X937" i="2" a="1"/>
  <c r="X937" i="2" s="1"/>
  <c r="X938" i="2" a="1"/>
  <c r="X938" i="2" s="1"/>
  <c r="X939" i="2" a="1"/>
  <c r="X939" i="2" s="1"/>
  <c r="X940" i="2" a="1"/>
  <c r="X940" i="2" s="1"/>
  <c r="X941" i="2" a="1"/>
  <c r="X941" i="2" s="1"/>
  <c r="X942" i="2" a="1"/>
  <c r="X942" i="2" s="1"/>
  <c r="X943" i="2" a="1"/>
  <c r="X943" i="2"/>
  <c r="X944" i="2" a="1"/>
  <c r="X944" i="2" s="1"/>
  <c r="X945" i="2" a="1"/>
  <c r="X945" i="2" s="1"/>
  <c r="X946" i="2" a="1"/>
  <c r="X946" i="2" s="1"/>
  <c r="X947" i="2" a="1"/>
  <c r="X947" i="2" s="1"/>
  <c r="X948" i="2" a="1"/>
  <c r="X948" i="2" s="1"/>
  <c r="X949" i="2" a="1"/>
  <c r="X949" i="2" s="1"/>
  <c r="X950" i="2" a="1"/>
  <c r="X950" i="2" s="1"/>
  <c r="X951" i="2" a="1"/>
  <c r="X951" i="2" s="1"/>
  <c r="X952" i="2" a="1"/>
  <c r="X952" i="2" s="1"/>
  <c r="X953" i="2" a="1"/>
  <c r="X953" i="2" s="1"/>
  <c r="X954" i="2" a="1"/>
  <c r="X954" i="2" s="1"/>
  <c r="X955" i="2" a="1"/>
  <c r="X955" i="2"/>
  <c r="X956" i="2" a="1"/>
  <c r="X956" i="2" s="1"/>
  <c r="X957" i="2" a="1"/>
  <c r="X957" i="2" s="1"/>
  <c r="X958" i="2" a="1"/>
  <c r="X958" i="2" s="1"/>
  <c r="X959" i="2" a="1"/>
  <c r="X959" i="2" s="1"/>
  <c r="X960" i="2" a="1"/>
  <c r="X960" i="2" s="1"/>
  <c r="X961" i="2" a="1"/>
  <c r="X961" i="2"/>
  <c r="X962" i="2" a="1"/>
  <c r="X962" i="2" s="1"/>
  <c r="X963" i="2" a="1"/>
  <c r="X963" i="2" s="1"/>
  <c r="X964" i="2" a="1"/>
  <c r="X964" i="2" s="1"/>
  <c r="X965" i="2" a="1"/>
  <c r="X965" i="2" s="1"/>
  <c r="X966" i="2" a="1"/>
  <c r="X966" i="2" s="1"/>
  <c r="X967" i="2" a="1"/>
  <c r="X967" i="2"/>
  <c r="X968" i="2" a="1"/>
  <c r="X968" i="2" s="1"/>
  <c r="X969" i="2" a="1"/>
  <c r="X969" i="2" s="1"/>
  <c r="X970" i="2" a="1"/>
  <c r="X970" i="2" s="1"/>
  <c r="X971" i="2" a="1"/>
  <c r="X971" i="2" s="1"/>
  <c r="X972" i="2" a="1"/>
  <c r="X972" i="2" s="1"/>
  <c r="X973" i="2" a="1"/>
  <c r="X973" i="2" s="1"/>
  <c r="X974" i="2" a="1"/>
  <c r="X974" i="2" s="1"/>
  <c r="X975" i="2" a="1"/>
  <c r="X975" i="2" s="1"/>
  <c r="X976" i="2" a="1"/>
  <c r="X976" i="2" s="1"/>
  <c r="X977" i="2" a="1"/>
  <c r="X977" i="2" s="1"/>
  <c r="X978" i="2" a="1"/>
  <c r="X978" i="2" s="1"/>
  <c r="X979" i="2" a="1"/>
  <c r="X979" i="2"/>
  <c r="X980" i="2" a="1"/>
  <c r="X980" i="2" s="1"/>
  <c r="X981" i="2" a="1"/>
  <c r="X981" i="2" s="1"/>
  <c r="X982" i="2" a="1"/>
  <c r="X982" i="2" s="1"/>
  <c r="X983" i="2" a="1"/>
  <c r="X983" i="2" s="1"/>
  <c r="X984" i="2" a="1"/>
  <c r="X984" i="2"/>
  <c r="X985" i="2" a="1"/>
  <c r="X985" i="2" s="1"/>
  <c r="X986" i="2" a="1"/>
  <c r="X986" i="2" s="1"/>
  <c r="X987" i="2" a="1"/>
  <c r="X987" i="2" s="1"/>
  <c r="X988" i="2" a="1"/>
  <c r="X988" i="2"/>
  <c r="X989" i="2" a="1"/>
  <c r="X989" i="2" s="1"/>
  <c r="X990" i="2" a="1"/>
  <c r="X990" i="2" s="1"/>
  <c r="X991" i="2" a="1"/>
  <c r="X991" i="2" s="1"/>
  <c r="X992" i="2" a="1"/>
  <c r="X992" i="2" s="1"/>
  <c r="X993" i="2" a="1"/>
  <c r="X993" i="2" s="1"/>
  <c r="X994" i="2" a="1"/>
  <c r="X994" i="2"/>
  <c r="X995" i="2" a="1"/>
  <c r="X995" i="2" s="1"/>
  <c r="X996" i="2" a="1"/>
  <c r="X996" i="2" s="1"/>
  <c r="X997" i="2" a="1"/>
  <c r="X997" i="2" s="1"/>
  <c r="X998" i="2" a="1"/>
  <c r="X998" i="2" s="1"/>
  <c r="X999" i="2" a="1"/>
  <c r="X999" i="2" s="1"/>
  <c r="X1000" i="2" a="1"/>
  <c r="X1000" i="2"/>
  <c r="X1001" i="2" a="1"/>
  <c r="X1001" i="2" s="1"/>
  <c r="X1002" i="2" a="1"/>
  <c r="X1002" i="2" s="1"/>
  <c r="X1003" i="2" a="1"/>
  <c r="X1003" i="2" s="1"/>
  <c r="X1004" i="2" a="1"/>
  <c r="X1004" i="2" s="1"/>
  <c r="X1005" i="2" a="1"/>
  <c r="X1005" i="2" s="1"/>
  <c r="X1006" i="2" a="1"/>
  <c r="X1006" i="2"/>
  <c r="X1007" i="2" a="1"/>
  <c r="X1007" i="2" s="1"/>
  <c r="X1008" i="2" a="1"/>
  <c r="X1008" i="2" s="1"/>
  <c r="X1009" i="2" a="1"/>
  <c r="X1009" i="2" s="1"/>
  <c r="X1010" i="2" a="1"/>
  <c r="X1010" i="2" s="1"/>
  <c r="X1011" i="2" a="1"/>
  <c r="X1011" i="2" s="1"/>
  <c r="X1012" i="2" a="1"/>
  <c r="X1012" i="2"/>
  <c r="X1013" i="2" a="1"/>
  <c r="X1013" i="2" s="1"/>
  <c r="X1014" i="2" a="1"/>
  <c r="X1014" i="2" s="1"/>
  <c r="X1015" i="2" a="1"/>
  <c r="X1015" i="2" s="1"/>
  <c r="X1016" i="2" a="1"/>
  <c r="X1016" i="2" s="1"/>
  <c r="X1017" i="2" a="1"/>
  <c r="X1017" i="2" s="1"/>
  <c r="X1018" i="2" a="1"/>
  <c r="X1018" i="2"/>
  <c r="X1019" i="2" a="1"/>
  <c r="X1019" i="2" s="1"/>
  <c r="X1020" i="2" a="1"/>
  <c r="X1020" i="2" s="1"/>
  <c r="X1021" i="2" a="1"/>
  <c r="X1021" i="2" s="1"/>
  <c r="X1022" i="2" a="1"/>
  <c r="X1022" i="2" s="1"/>
  <c r="X1023" i="2" a="1"/>
  <c r="X1023" i="2" s="1"/>
  <c r="X1024" i="2" a="1"/>
  <c r="X1024" i="2"/>
  <c r="X1025" i="2" a="1"/>
  <c r="X1025" i="2" s="1"/>
  <c r="X1026" i="2" a="1"/>
  <c r="X1026" i="2" s="1"/>
  <c r="X1027" i="2" a="1"/>
  <c r="X1027" i="2" s="1"/>
  <c r="X1028" i="2" a="1"/>
  <c r="X1028" i="2" s="1"/>
  <c r="X1029" i="2" a="1"/>
  <c r="X1029" i="2" s="1"/>
  <c r="X1030" i="2" a="1"/>
  <c r="X1030" i="2"/>
  <c r="X1031" i="2" a="1"/>
  <c r="X1031" i="2" s="1"/>
  <c r="X1032" i="2" a="1"/>
  <c r="X1032" i="2" s="1"/>
  <c r="X1033" i="2" a="1"/>
  <c r="X1033" i="2" s="1"/>
  <c r="X1034" i="2" a="1"/>
  <c r="X1034" i="2" s="1"/>
  <c r="X1035" i="2" a="1"/>
  <c r="X1035" i="2" s="1"/>
  <c r="X1036" i="2" a="1"/>
  <c r="X1036" i="2"/>
  <c r="X1037" i="2" a="1"/>
  <c r="X1037" i="2" s="1"/>
  <c r="X1038" i="2" a="1"/>
  <c r="X1038" i="2" s="1"/>
  <c r="X1039" i="2" a="1"/>
  <c r="X1039" i="2" s="1"/>
  <c r="X1040" i="2" a="1"/>
  <c r="X1040" i="2" s="1"/>
  <c r="X1041" i="2" a="1"/>
  <c r="X1041" i="2" s="1"/>
  <c r="X1042" i="2" a="1"/>
  <c r="X1042" i="2"/>
  <c r="X1043" i="2" a="1"/>
  <c r="X1043" i="2" s="1"/>
  <c r="X1044" i="2" a="1"/>
  <c r="X1044" i="2" s="1"/>
  <c r="X1045" i="2" a="1"/>
  <c r="X1045" i="2" s="1"/>
  <c r="X1046" i="2" a="1"/>
  <c r="X1046" i="2" s="1"/>
  <c r="X1047" i="2" a="1"/>
  <c r="X1047" i="2" s="1"/>
  <c r="X1048" i="2" a="1"/>
  <c r="X1048" i="2"/>
  <c r="X1049" i="2" a="1"/>
  <c r="X1049" i="2" s="1"/>
  <c r="X1050" i="2" a="1"/>
  <c r="X1050" i="2" s="1"/>
  <c r="X1051" i="2" a="1"/>
  <c r="X1051" i="2" s="1"/>
  <c r="X1052" i="2" a="1"/>
  <c r="X1052" i="2" s="1"/>
  <c r="X1053" i="2" a="1"/>
  <c r="X1053" i="2" s="1"/>
  <c r="X1054" i="2" a="1"/>
  <c r="X1054" i="2"/>
  <c r="X1055" i="2" a="1"/>
  <c r="X1055" i="2" s="1"/>
  <c r="X1056" i="2" a="1"/>
  <c r="X1056" i="2" s="1"/>
  <c r="X1057" i="2" a="1"/>
  <c r="X1057" i="2" s="1"/>
  <c r="X1058" i="2" a="1"/>
  <c r="X1058" i="2" s="1"/>
  <c r="X1059" i="2" a="1"/>
  <c r="X1059" i="2" s="1"/>
  <c r="X1060" i="2" a="1"/>
  <c r="X1060" i="2"/>
  <c r="X1061" i="2" a="1"/>
  <c r="X1061" i="2" s="1"/>
  <c r="X1062" i="2" a="1"/>
  <c r="X1062" i="2" s="1"/>
  <c r="X1063" i="2" a="1"/>
  <c r="X1063" i="2" s="1"/>
  <c r="X1064" i="2" a="1"/>
  <c r="X1064" i="2" s="1"/>
  <c r="X1065" i="2" a="1"/>
  <c r="X1065" i="2" s="1"/>
  <c r="X1066" i="2" a="1"/>
  <c r="X1066" i="2"/>
  <c r="X1067" i="2" a="1"/>
  <c r="X1067" i="2" s="1"/>
  <c r="X1068" i="2" a="1"/>
  <c r="X1068" i="2" s="1"/>
  <c r="X1069" i="2" a="1"/>
  <c r="X1069" i="2" s="1"/>
  <c r="X1070" i="2" a="1"/>
  <c r="X1070" i="2" s="1"/>
  <c r="X1071" i="2" a="1"/>
  <c r="X1071" i="2" s="1"/>
  <c r="X1072" i="2" a="1"/>
  <c r="X1072" i="2"/>
  <c r="X1073" i="2" a="1"/>
  <c r="X1073" i="2" s="1"/>
  <c r="X1074" i="2" a="1"/>
  <c r="X1074" i="2" s="1"/>
  <c r="X1075" i="2" a="1"/>
  <c r="X1075" i="2" s="1"/>
  <c r="X1076" i="2" a="1"/>
  <c r="X1076" i="2" s="1"/>
  <c r="X1077" i="2" a="1"/>
  <c r="X1077" i="2" s="1"/>
  <c r="X1078" i="2" a="1"/>
  <c r="X1078" i="2"/>
  <c r="X1079" i="2" a="1"/>
  <c r="X1079" i="2" s="1"/>
  <c r="X1080" i="2" a="1"/>
  <c r="X1080" i="2" s="1"/>
  <c r="X1081" i="2" a="1"/>
  <c r="X1081" i="2" s="1"/>
  <c r="X1082" i="2" a="1"/>
  <c r="X1082" i="2" s="1"/>
  <c r="X1083" i="2" a="1"/>
  <c r="X1083" i="2" s="1"/>
  <c r="X1084" i="2" a="1"/>
  <c r="X1084" i="2"/>
  <c r="X1085" i="2" a="1"/>
  <c r="X1085" i="2" s="1"/>
  <c r="X1086" i="2" a="1"/>
  <c r="X1086" i="2" s="1"/>
  <c r="X1087" i="2" a="1"/>
  <c r="X1087" i="2" s="1"/>
  <c r="X1088" i="2" a="1"/>
  <c r="X1088" i="2" s="1"/>
  <c r="X1089" i="2" a="1"/>
  <c r="X1089" i="2" s="1"/>
  <c r="X1090" i="2" a="1"/>
  <c r="X1090" i="2" s="1"/>
  <c r="X1091" i="2" a="1"/>
  <c r="X1091" i="2" s="1"/>
  <c r="X1092" i="2" a="1"/>
  <c r="X1092" i="2" s="1"/>
  <c r="X1093" i="2" a="1"/>
  <c r="X1093" i="2" s="1"/>
  <c r="X1094" i="2" a="1"/>
  <c r="X1094" i="2" s="1"/>
  <c r="X1095" i="2" a="1"/>
  <c r="X1095" i="2" s="1"/>
  <c r="X1096" i="2" a="1"/>
  <c r="X1096" i="2" s="1"/>
  <c r="X1097" i="2" a="1"/>
  <c r="X1097" i="2" s="1"/>
  <c r="X1098" i="2" a="1"/>
  <c r="X1098" i="2" s="1"/>
  <c r="X1099" i="2" a="1"/>
  <c r="X1099" i="2" s="1"/>
  <c r="X1100" i="2" a="1"/>
  <c r="X1100" i="2" s="1"/>
  <c r="X1101" i="2" a="1"/>
  <c r="X1101" i="2" s="1"/>
  <c r="X1102" i="2" a="1"/>
  <c r="X1102" i="2" s="1"/>
  <c r="X1103" i="2" a="1"/>
  <c r="X1103" i="2" s="1"/>
  <c r="X1104" i="2" a="1"/>
  <c r="X1104" i="2" s="1"/>
  <c r="X1105" i="2" a="1"/>
  <c r="X1105" i="2" s="1"/>
  <c r="X1106" i="2" a="1"/>
  <c r="X1106" i="2" s="1"/>
  <c r="X1107" i="2" a="1"/>
  <c r="X1107" i="2" s="1"/>
  <c r="X1108" i="2" a="1"/>
  <c r="X1108" i="2" s="1"/>
  <c r="X1109" i="2" a="1"/>
  <c r="X1109" i="2" s="1"/>
  <c r="X1110" i="2" a="1"/>
  <c r="X1110" i="2" s="1"/>
  <c r="X1111" i="2" a="1"/>
  <c r="X1111" i="2" s="1"/>
  <c r="X1112" i="2" a="1"/>
  <c r="X1112" i="2" s="1"/>
  <c r="X1113" i="2" a="1"/>
  <c r="X1113" i="2" s="1"/>
  <c r="X1114" i="2" a="1"/>
  <c r="X1114" i="2"/>
  <c r="X1115" i="2" a="1"/>
  <c r="X1115" i="2" s="1"/>
  <c r="X1116" i="2" a="1"/>
  <c r="X1116" i="2" s="1"/>
  <c r="X1117" i="2" a="1"/>
  <c r="X1117" i="2" s="1"/>
  <c r="X1118" i="2" a="1"/>
  <c r="X1118" i="2" s="1"/>
  <c r="X1119" i="2" a="1"/>
  <c r="X1119" i="2" s="1"/>
  <c r="X1120" i="2" a="1"/>
  <c r="X1120" i="2"/>
  <c r="X1121" i="2" a="1"/>
  <c r="X1121" i="2" s="1"/>
  <c r="X1122" i="2" a="1"/>
  <c r="X1122" i="2" s="1"/>
  <c r="X1123" i="2" a="1"/>
  <c r="X1123" i="2" s="1"/>
  <c r="X1124" i="2" a="1"/>
  <c r="X1124" i="2" s="1"/>
  <c r="X1125" i="2" a="1"/>
  <c r="X1125" i="2" s="1"/>
  <c r="X1126" i="2" a="1"/>
  <c r="X1126" i="2"/>
  <c r="X1127" i="2" a="1"/>
  <c r="X1127" i="2" s="1"/>
  <c r="X1128" i="2" a="1"/>
  <c r="X1128" i="2" s="1"/>
  <c r="X1129" i="2" a="1"/>
  <c r="X1129" i="2" s="1"/>
  <c r="X1130" i="2" a="1"/>
  <c r="X1130" i="2" s="1"/>
  <c r="X1131" i="2" a="1"/>
  <c r="X1131" i="2" s="1"/>
  <c r="X1132" i="2" a="1"/>
  <c r="X1132" i="2"/>
  <c r="X1133" i="2" a="1"/>
  <c r="X1133" i="2" s="1"/>
  <c r="X1134" i="2" a="1"/>
  <c r="X1134" i="2" s="1"/>
  <c r="X1135" i="2" a="1"/>
  <c r="X1135" i="2" s="1"/>
  <c r="X1136" i="2" a="1"/>
  <c r="X1136" i="2" s="1"/>
  <c r="X1137" i="2" a="1"/>
  <c r="X1137" i="2" s="1"/>
  <c r="X1138" i="2" a="1"/>
  <c r="X1138" i="2"/>
  <c r="X1139" i="2" a="1"/>
  <c r="X1139" i="2" s="1"/>
  <c r="X1140" i="2" a="1"/>
  <c r="X1140" i="2" s="1"/>
  <c r="X1141" i="2" a="1"/>
  <c r="X1141" i="2" s="1"/>
  <c r="X1142" i="2" a="1"/>
  <c r="X1142" i="2" s="1"/>
  <c r="X1143" i="2" a="1"/>
  <c r="X1143" i="2" s="1"/>
  <c r="X1144" i="2" a="1"/>
  <c r="X1144" i="2"/>
  <c r="X1145" i="2" a="1"/>
  <c r="X1145" i="2" s="1"/>
  <c r="X1146" i="2" a="1"/>
  <c r="X1146" i="2" s="1"/>
  <c r="X1147" i="2" a="1"/>
  <c r="X1147" i="2" s="1"/>
  <c r="X1148" i="2" a="1"/>
  <c r="X1148" i="2" s="1"/>
  <c r="X1149" i="2" a="1"/>
  <c r="X1149" i="2" s="1"/>
  <c r="X1150" i="2" a="1"/>
  <c r="X1150" i="2"/>
  <c r="X1151" i="2" a="1"/>
  <c r="X1151" i="2" s="1"/>
  <c r="X1152" i="2" a="1"/>
  <c r="X1152" i="2" s="1"/>
  <c r="X1153" i="2" a="1"/>
  <c r="X1153" i="2" s="1"/>
  <c r="X1154" i="2" a="1"/>
  <c r="X1154" i="2" s="1"/>
  <c r="X1155" i="2" a="1"/>
  <c r="X1155" i="2" s="1"/>
  <c r="X1156" i="2" a="1"/>
  <c r="X1156" i="2"/>
  <c r="X1157" i="2" a="1"/>
  <c r="X1157" i="2" s="1"/>
  <c r="X1158" i="2" a="1"/>
  <c r="X1158" i="2" s="1"/>
  <c r="X1159" i="2" a="1"/>
  <c r="X1159" i="2" s="1"/>
  <c r="X1160" i="2" a="1"/>
  <c r="X1160" i="2" s="1"/>
  <c r="X1161" i="2" a="1"/>
  <c r="X1161" i="2" s="1"/>
  <c r="X1162" i="2" a="1"/>
  <c r="X1162" i="2" s="1"/>
  <c r="X1163" i="2" a="1"/>
  <c r="X1163" i="2" s="1"/>
  <c r="X1164" i="2" a="1"/>
  <c r="X1164" i="2" s="1"/>
  <c r="X1165" i="2" a="1"/>
  <c r="X1165" i="2" s="1"/>
  <c r="X1166" i="2" a="1"/>
  <c r="X1166" i="2" s="1"/>
  <c r="X1167" i="2" a="1"/>
  <c r="X1167" i="2" s="1"/>
  <c r="X1168" i="2" a="1"/>
  <c r="X1168" i="2" s="1"/>
  <c r="X1169" i="2" a="1"/>
  <c r="X1169" i="2" s="1"/>
  <c r="X1170" i="2" a="1"/>
  <c r="X1170" i="2" s="1"/>
  <c r="X1171" i="2" a="1"/>
  <c r="X1171" i="2" s="1"/>
  <c r="X1172" i="2" a="1"/>
  <c r="X1172" i="2" s="1"/>
  <c r="X1173" i="2" a="1"/>
  <c r="X1173" i="2" s="1"/>
  <c r="X1174" i="2" a="1"/>
  <c r="X1174" i="2" s="1"/>
  <c r="X1175" i="2" a="1"/>
  <c r="X1175" i="2" s="1"/>
  <c r="X1176" i="2" a="1"/>
  <c r="X1176" i="2" s="1"/>
  <c r="X1177" i="2" a="1"/>
  <c r="X1177" i="2" s="1"/>
  <c r="X1178" i="2" a="1"/>
  <c r="X1178" i="2" s="1"/>
  <c r="X1179" i="2" a="1"/>
  <c r="X1179" i="2" s="1"/>
  <c r="X1180" i="2" a="1"/>
  <c r="X1180" i="2" s="1"/>
  <c r="X1181" i="2" a="1"/>
  <c r="X1181" i="2" s="1"/>
  <c r="X1182" i="2" a="1"/>
  <c r="X1182" i="2" s="1"/>
  <c r="X1183" i="2" a="1"/>
  <c r="X1183" i="2" s="1"/>
  <c r="X1184" i="2" a="1"/>
  <c r="X1184" i="2" s="1"/>
  <c r="X1185" i="2" a="1"/>
  <c r="X1185" i="2" s="1"/>
  <c r="X1186" i="2" a="1"/>
  <c r="X1186" i="2"/>
  <c r="X1187" i="2" a="1"/>
  <c r="X1187" i="2" s="1"/>
  <c r="X1188" i="2" a="1"/>
  <c r="X1188" i="2" s="1"/>
  <c r="X1189" i="2" a="1"/>
  <c r="X1189" i="2" s="1"/>
  <c r="X1190" i="2" a="1"/>
  <c r="X1190" i="2" s="1"/>
  <c r="X1191" i="2" a="1"/>
  <c r="X1191" i="2" s="1"/>
  <c r="X1192" i="2" a="1"/>
  <c r="X1192" i="2"/>
  <c r="X1193" i="2" a="1"/>
  <c r="X1193" i="2" s="1"/>
  <c r="X1194" i="2" a="1"/>
  <c r="X1194" i="2" s="1"/>
  <c r="X1195" i="2" a="1"/>
  <c r="X1195" i="2" s="1"/>
  <c r="X1196" i="2" a="1"/>
  <c r="X1196" i="2" s="1"/>
  <c r="X1197" i="2" a="1"/>
  <c r="X1197" i="2" s="1"/>
  <c r="X1198" i="2" a="1"/>
  <c r="X1198" i="2"/>
  <c r="X1199" i="2" a="1"/>
  <c r="X1199" i="2" s="1"/>
  <c r="X1200" i="2" a="1"/>
  <c r="X1200" i="2" s="1"/>
  <c r="X1201" i="2" a="1"/>
  <c r="X1201" i="2" s="1"/>
  <c r="X1202" i="2" a="1"/>
  <c r="X1202" i="2" s="1"/>
  <c r="X1203" i="2" a="1"/>
  <c r="X1203" i="2" s="1"/>
  <c r="X1204" i="2" a="1"/>
  <c r="X1204" i="2"/>
  <c r="X1205" i="2" a="1"/>
  <c r="X1205" i="2" s="1"/>
  <c r="X1206" i="2" a="1"/>
  <c r="X1206" i="2" s="1"/>
  <c r="X1207" i="2" a="1"/>
  <c r="X1207" i="2" s="1"/>
  <c r="X1208" i="2" a="1"/>
  <c r="X1208" i="2" s="1"/>
  <c r="X1209" i="2" a="1"/>
  <c r="X1209" i="2" s="1"/>
  <c r="X1210" i="2" a="1"/>
  <c r="X1210" i="2" s="1"/>
  <c r="X1211" i="2" a="1"/>
  <c r="X1211" i="2" s="1"/>
  <c r="X1212" i="2" a="1"/>
  <c r="X1212" i="2" s="1"/>
  <c r="X1213" i="2" a="1"/>
  <c r="X1213" i="2" s="1"/>
  <c r="X1214" i="2" a="1"/>
  <c r="X1214" i="2" s="1"/>
  <c r="X1215" i="2" a="1"/>
  <c r="X1215" i="2" s="1"/>
  <c r="X1216" i="2" a="1"/>
  <c r="X1216" i="2"/>
  <c r="X1217" i="2" a="1"/>
  <c r="X1217" i="2" s="1"/>
  <c r="X1218" i="2" a="1"/>
  <c r="X1218" i="2" s="1"/>
  <c r="X1219" i="2" a="1"/>
  <c r="X1219" i="2" s="1"/>
  <c r="X1220" i="2" a="1"/>
  <c r="X1220" i="2" s="1"/>
  <c r="X1221" i="2" a="1"/>
  <c r="X1221" i="2" s="1"/>
  <c r="X1222" i="2" a="1"/>
  <c r="X1222" i="2"/>
  <c r="X1223" i="2" a="1"/>
  <c r="X1223" i="2" s="1"/>
  <c r="X1224" i="2" a="1"/>
  <c r="X1224" i="2" s="1"/>
  <c r="X1225" i="2" a="1"/>
  <c r="X1225" i="2" s="1"/>
  <c r="X1226" i="2" a="1"/>
  <c r="X1226" i="2" s="1"/>
  <c r="X1227" i="2" a="1"/>
  <c r="X1227" i="2" s="1"/>
  <c r="X1228" i="2" a="1"/>
  <c r="X1228" i="2"/>
  <c r="X1229" i="2" a="1"/>
  <c r="X1229" i="2" s="1"/>
  <c r="X1230" i="2" a="1"/>
  <c r="X1230" i="2" s="1"/>
  <c r="X1231" i="2" a="1"/>
  <c r="X1231" i="2" s="1"/>
  <c r="X1232" i="2" a="1"/>
  <c r="X1232" i="2" s="1"/>
  <c r="X1233" i="2" a="1"/>
  <c r="X1233" i="2" s="1"/>
  <c r="X1234" i="2" a="1"/>
  <c r="X1234" i="2" s="1"/>
  <c r="X1235" i="2" a="1"/>
  <c r="X1235" i="2" s="1"/>
  <c r="X1236" i="2" a="1"/>
  <c r="X1236" i="2" s="1"/>
  <c r="X1237" i="2" a="1"/>
  <c r="X1237" i="2" s="1"/>
  <c r="X1238" i="2" a="1"/>
  <c r="X1238" i="2" s="1"/>
  <c r="X1239" i="2" a="1"/>
  <c r="X1239" i="2" s="1"/>
  <c r="X1240" i="2" a="1"/>
  <c r="X1240" i="2" s="1"/>
  <c r="X1241" i="2" a="1"/>
  <c r="X1241" i="2" s="1"/>
  <c r="X1242" i="2" a="1"/>
  <c r="X1242" i="2" s="1"/>
  <c r="X1243" i="2" a="1"/>
  <c r="X1243" i="2" s="1"/>
  <c r="X1244" i="2" a="1"/>
  <c r="X1244" i="2" s="1"/>
  <c r="X1245" i="2" a="1"/>
  <c r="X1245" i="2" s="1"/>
  <c r="X1246" i="2" a="1"/>
  <c r="X1246" i="2" s="1"/>
  <c r="X1247" i="2" a="1"/>
  <c r="X1247" i="2" s="1"/>
  <c r="X1248" i="2" a="1"/>
  <c r="X1248" i="2" s="1"/>
  <c r="X1249" i="2" a="1"/>
  <c r="X1249" i="2" s="1"/>
  <c r="X1250" i="2" a="1"/>
  <c r="X1250" i="2" s="1"/>
  <c r="X1251" i="2" a="1"/>
  <c r="X1251" i="2" s="1"/>
  <c r="X1252" i="2" a="1"/>
  <c r="X1252" i="2" s="1"/>
  <c r="X1253" i="2" a="1"/>
  <c r="X1253" i="2" s="1"/>
  <c r="X1254" i="2" a="1"/>
  <c r="X1254" i="2" s="1"/>
  <c r="X1255" i="2" a="1"/>
  <c r="X1255" i="2" s="1"/>
  <c r="X1256" i="2" a="1"/>
  <c r="X1256" i="2" s="1"/>
  <c r="X1257" i="2" a="1"/>
  <c r="X1257" i="2" s="1"/>
  <c r="X1258" i="2" a="1"/>
  <c r="X1258" i="2"/>
  <c r="X1259" i="2" a="1"/>
  <c r="X1259" i="2" s="1"/>
  <c r="X1260" i="2" a="1"/>
  <c r="X1260" i="2" s="1"/>
  <c r="X1261" i="2" a="1"/>
  <c r="X1261" i="2" s="1"/>
  <c r="X1262" i="2" a="1"/>
  <c r="X1262" i="2" s="1"/>
  <c r="X1263" i="2" a="1"/>
  <c r="X1263" i="2" s="1"/>
  <c r="X1264" i="2" a="1"/>
  <c r="X1264" i="2"/>
  <c r="X1265" i="2" a="1"/>
  <c r="X1265" i="2" s="1"/>
  <c r="X1266" i="2" a="1"/>
  <c r="X1266" i="2" s="1"/>
  <c r="X1267" i="2" a="1"/>
  <c r="X1267" i="2" s="1"/>
  <c r="X1268" i="2" a="1"/>
  <c r="X1268" i="2" s="1"/>
  <c r="X1269" i="2" a="1"/>
  <c r="X1269" i="2" s="1"/>
  <c r="X1270" i="2" a="1"/>
  <c r="X1270" i="2"/>
  <c r="X1271" i="2" a="1"/>
  <c r="X1271" i="2" s="1"/>
  <c r="X1272" i="2" a="1"/>
  <c r="X1272" i="2" s="1"/>
  <c r="X1273" i="2" a="1"/>
  <c r="X1273" i="2" s="1"/>
  <c r="X1274" i="2" a="1"/>
  <c r="X1274" i="2" s="1"/>
  <c r="X1275" i="2" a="1"/>
  <c r="X1275" i="2" s="1"/>
  <c r="X1276" i="2" a="1"/>
  <c r="X1276" i="2"/>
  <c r="X1277" i="2" a="1"/>
  <c r="X1277" i="2" s="1"/>
  <c r="X1278" i="2" a="1"/>
  <c r="X1278" i="2" s="1"/>
  <c r="X1279" i="2" a="1"/>
  <c r="X1279" i="2" s="1"/>
  <c r="X1280" i="2" a="1"/>
  <c r="X1280" i="2" s="1"/>
  <c r="X1281" i="2" a="1"/>
  <c r="X1281" i="2" s="1"/>
  <c r="X1282" i="2" a="1"/>
  <c r="X1282" i="2" s="1"/>
  <c r="X1283" i="2" a="1"/>
  <c r="X1283" i="2" s="1"/>
  <c r="X1284" i="2" a="1"/>
  <c r="X1284" i="2" s="1"/>
  <c r="X1285" i="2" a="1"/>
  <c r="X1285" i="2" s="1"/>
  <c r="X1286" i="2" a="1"/>
  <c r="X1286" i="2" s="1"/>
  <c r="X1287" i="2" a="1"/>
  <c r="X1287" i="2" s="1"/>
  <c r="X1288" i="2" a="1"/>
  <c r="X1288" i="2"/>
  <c r="X1289" i="2" a="1"/>
  <c r="X1289" i="2" s="1"/>
  <c r="X1290" i="2" a="1"/>
  <c r="X1290" i="2" s="1"/>
  <c r="X1291" i="2" a="1"/>
  <c r="X1291" i="2" s="1"/>
  <c r="X1292" i="2" a="1"/>
  <c r="X1292" i="2" s="1"/>
  <c r="X1293" i="2" a="1"/>
  <c r="X1293" i="2" s="1"/>
  <c r="X1294" i="2" a="1"/>
  <c r="X1294" i="2"/>
  <c r="X1295" i="2" a="1"/>
  <c r="X1295" i="2" s="1"/>
  <c r="X1296" i="2" a="1"/>
  <c r="X1296" i="2" s="1"/>
  <c r="X1297" i="2" a="1"/>
  <c r="X1297" i="2" s="1"/>
  <c r="X1298" i="2" a="1"/>
  <c r="X1298" i="2" s="1"/>
  <c r="X1299" i="2" a="1"/>
  <c r="X1299" i="2" s="1"/>
  <c r="X1300" i="2" a="1"/>
  <c r="X1300" i="2"/>
  <c r="X1301" i="2" a="1"/>
  <c r="X1301" i="2" s="1"/>
  <c r="X1302" i="2" a="1"/>
  <c r="X1302" i="2" s="1"/>
  <c r="X1303" i="2" a="1"/>
  <c r="X1303" i="2" s="1"/>
  <c r="X1304" i="2" a="1"/>
  <c r="X1304" i="2" s="1"/>
  <c r="X1305" i="2" a="1"/>
  <c r="X1305" i="2" s="1"/>
  <c r="X1306" i="2" a="1"/>
  <c r="X1306" i="2" s="1"/>
  <c r="X1307" i="2" a="1"/>
  <c r="X1307" i="2" s="1"/>
  <c r="X1308" i="2" a="1"/>
  <c r="X1308" i="2" s="1"/>
  <c r="X1309" i="2" a="1"/>
  <c r="X1309" i="2" s="1"/>
  <c r="X1310" i="2" a="1"/>
  <c r="X1310" i="2" s="1"/>
  <c r="X1311" i="2" a="1"/>
  <c r="X1311" i="2" s="1"/>
  <c r="X1312" i="2" a="1"/>
  <c r="X1312" i="2" s="1"/>
  <c r="X1313" i="2" a="1"/>
  <c r="X1313" i="2" s="1"/>
  <c r="X1314" i="2" a="1"/>
  <c r="X1314" i="2" s="1"/>
  <c r="X1315" i="2" a="1"/>
  <c r="X1315" i="2" s="1"/>
  <c r="X1316" i="2" a="1"/>
  <c r="X1316" i="2" s="1"/>
  <c r="X1317" i="2" a="1"/>
  <c r="X1317" i="2" s="1"/>
  <c r="X1318" i="2" a="1"/>
  <c r="X1318" i="2" s="1"/>
  <c r="X1319" i="2" a="1"/>
  <c r="X1319" i="2" s="1"/>
  <c r="X1320" i="2" a="1"/>
  <c r="X1320" i="2" s="1"/>
  <c r="X1321" i="2" a="1"/>
  <c r="X1321" i="2" s="1"/>
  <c r="X1322" i="2" a="1"/>
  <c r="X1322" i="2" s="1"/>
  <c r="X1323" i="2" a="1"/>
  <c r="X1323" i="2" s="1"/>
  <c r="X1324" i="2" a="1"/>
  <c r="X1324" i="2" s="1"/>
  <c r="X1325" i="2" a="1"/>
  <c r="X1325" i="2" s="1"/>
  <c r="X1326" i="2" a="1"/>
  <c r="X1326" i="2" s="1"/>
  <c r="X1327" i="2" a="1"/>
  <c r="X1327" i="2" s="1"/>
  <c r="X1328" i="2" a="1"/>
  <c r="X1328" i="2" s="1"/>
  <c r="X1329" i="2" a="1"/>
  <c r="X1329" i="2" s="1"/>
  <c r="X1330" i="2" a="1"/>
  <c r="X1330" i="2"/>
  <c r="X1331" i="2" a="1"/>
  <c r="X1331" i="2" s="1"/>
  <c r="X1332" i="2" a="1"/>
  <c r="X1332" i="2" s="1"/>
  <c r="X1333" i="2" a="1"/>
  <c r="X1333" i="2" s="1"/>
  <c r="X1334" i="2" a="1"/>
  <c r="X1334" i="2" s="1"/>
  <c r="X1335" i="2" a="1"/>
  <c r="X1335" i="2" s="1"/>
  <c r="X1336" i="2" a="1"/>
  <c r="X1336" i="2"/>
  <c r="X1337" i="2" a="1"/>
  <c r="X1337" i="2" s="1"/>
  <c r="X1338" i="2" a="1"/>
  <c r="X1338" i="2" s="1"/>
  <c r="X1339" i="2" a="1"/>
  <c r="X1339" i="2" s="1"/>
  <c r="X1340" i="2" a="1"/>
  <c r="X1340" i="2" s="1"/>
  <c r="X1341" i="2" a="1"/>
  <c r="X1341" i="2" s="1"/>
  <c r="X1342" i="2" a="1"/>
  <c r="X1342" i="2"/>
  <c r="X1343" i="2" a="1"/>
  <c r="X1343" i="2" s="1"/>
  <c r="X1344" i="2" a="1"/>
  <c r="X1344" i="2" s="1"/>
  <c r="X1345" i="2" a="1"/>
  <c r="X1345" i="2" s="1"/>
  <c r="X1346" i="2" a="1"/>
  <c r="X1346" i="2" s="1"/>
  <c r="X1347" i="2" a="1"/>
  <c r="X1347" i="2" s="1"/>
  <c r="X1348" i="2" a="1"/>
  <c r="X1348" i="2"/>
  <c r="X1349" i="2" a="1"/>
  <c r="X1349" i="2" s="1"/>
  <c r="X1350" i="2" a="1"/>
  <c r="X1350" i="2" s="1"/>
  <c r="X1351" i="2" a="1"/>
  <c r="X1351" i="2" s="1"/>
  <c r="X1352" i="2" a="1"/>
  <c r="X1352" i="2" s="1"/>
  <c r="X1353" i="2" a="1"/>
  <c r="X1353" i="2" s="1"/>
  <c r="X1354" i="2" a="1"/>
  <c r="X1354" i="2" s="1"/>
  <c r="X1355" i="2" a="1"/>
  <c r="X1355" i="2" s="1"/>
  <c r="X1356" i="2" a="1"/>
  <c r="X1356" i="2" s="1"/>
  <c r="X1357" i="2" a="1"/>
  <c r="X1357" i="2" s="1"/>
  <c r="X1358" i="2" a="1"/>
  <c r="X1358" i="2" s="1"/>
  <c r="X1359" i="2" a="1"/>
  <c r="X1359" i="2" s="1"/>
  <c r="X1360" i="2" a="1"/>
  <c r="X1360" i="2"/>
  <c r="X1361" i="2" a="1"/>
  <c r="X1361" i="2" s="1"/>
  <c r="X1362" i="2" a="1"/>
  <c r="X1362" i="2" s="1"/>
  <c r="X1363" i="2" a="1"/>
  <c r="X1363" i="2" s="1"/>
  <c r="X1364" i="2" a="1"/>
  <c r="X1364" i="2" s="1"/>
  <c r="X1365" i="2" a="1"/>
  <c r="X1365" i="2" s="1"/>
  <c r="X1366" i="2" a="1"/>
  <c r="X1366" i="2"/>
  <c r="X1367" i="2" a="1"/>
  <c r="X1367" i="2" s="1"/>
  <c r="X1368" i="2" a="1"/>
  <c r="X1368" i="2" s="1"/>
  <c r="X1369" i="2" a="1"/>
  <c r="X1369" i="2" s="1"/>
  <c r="X1370" i="2" a="1"/>
  <c r="X1370" i="2" s="1"/>
  <c r="X1371" i="2" a="1"/>
  <c r="X1371" i="2" s="1"/>
  <c r="X1372" i="2" a="1"/>
  <c r="X1372" i="2"/>
  <c r="X1373" i="2" a="1"/>
  <c r="X1373" i="2" s="1"/>
  <c r="X1374" i="2" a="1"/>
  <c r="X1374" i="2" s="1"/>
  <c r="X1375" i="2" a="1"/>
  <c r="X1375" i="2" s="1"/>
  <c r="X1376" i="2" a="1"/>
  <c r="X1376" i="2" s="1"/>
  <c r="X1377" i="2" a="1"/>
  <c r="X1377" i="2" s="1"/>
  <c r="X1378" i="2" a="1"/>
  <c r="X1378" i="2" s="1"/>
  <c r="X1379" i="2" a="1"/>
  <c r="X1379" i="2" s="1"/>
  <c r="X1380" i="2" a="1"/>
  <c r="X1380" i="2" s="1"/>
  <c r="X1381" i="2" a="1"/>
  <c r="X1381" i="2" s="1"/>
  <c r="X1382" i="2" a="1"/>
  <c r="X1382" i="2" s="1"/>
  <c r="X1383" i="2" a="1"/>
  <c r="X1383" i="2" s="1"/>
  <c r="X1384" i="2" a="1"/>
  <c r="X1384" i="2" s="1"/>
  <c r="X1385" i="2" a="1"/>
  <c r="X1385" i="2" s="1"/>
  <c r="X1386" i="2" a="1"/>
  <c r="X1386" i="2" s="1"/>
  <c r="X1387" i="2" a="1"/>
  <c r="X1387" i="2" s="1"/>
  <c r="X1388" i="2" a="1"/>
  <c r="X1388" i="2" s="1"/>
  <c r="X1389" i="2" a="1"/>
  <c r="X1389" i="2" s="1"/>
  <c r="X1390" i="2" a="1"/>
  <c r="X1390" i="2" s="1"/>
  <c r="X1391" i="2" a="1"/>
  <c r="X1391" i="2" s="1"/>
  <c r="X1392" i="2" a="1"/>
  <c r="X1392" i="2" s="1"/>
  <c r="X1393" i="2" a="1"/>
  <c r="X1393" i="2" s="1"/>
  <c r="X1394" i="2" a="1"/>
  <c r="X1394" i="2" s="1"/>
  <c r="X1395" i="2" a="1"/>
  <c r="X1395" i="2" s="1"/>
  <c r="X1396" i="2" a="1"/>
  <c r="X1396" i="2" s="1"/>
  <c r="X1397" i="2" a="1"/>
  <c r="X1397" i="2" s="1"/>
  <c r="X1398" i="2" a="1"/>
  <c r="X1398" i="2" s="1"/>
  <c r="X1399" i="2" a="1"/>
  <c r="X1399" i="2" s="1"/>
  <c r="X1400" i="2" a="1"/>
  <c r="X1400" i="2" s="1"/>
  <c r="X1401" i="2" a="1"/>
  <c r="X1401" i="2" s="1"/>
  <c r="X1402" i="2" a="1"/>
  <c r="X1402" i="2"/>
  <c r="X1403" i="2" a="1"/>
  <c r="X1403" i="2" s="1"/>
  <c r="X1404" i="2" a="1"/>
  <c r="X1404" i="2" s="1"/>
  <c r="X1405" i="2" a="1"/>
  <c r="X1405" i="2" s="1"/>
  <c r="X1406" i="2" a="1"/>
  <c r="X1406" i="2" s="1"/>
  <c r="X1407" i="2" a="1"/>
  <c r="X1407" i="2" s="1"/>
  <c r="X1408" i="2" a="1"/>
  <c r="X1408" i="2"/>
  <c r="X1409" i="2" a="1"/>
  <c r="X1409" i="2" s="1"/>
  <c r="X1410" i="2" a="1"/>
  <c r="X1410" i="2" s="1"/>
  <c r="X1411" i="2" a="1"/>
  <c r="X1411" i="2" s="1"/>
  <c r="X1412" i="2" a="1"/>
  <c r="X1412" i="2" s="1"/>
  <c r="X1413" i="2" a="1"/>
  <c r="X1413" i="2" s="1"/>
  <c r="X1414" i="2" a="1"/>
  <c r="X1414" i="2"/>
  <c r="X1415" i="2" a="1"/>
  <c r="X1415" i="2" s="1"/>
  <c r="X1416" i="2" a="1"/>
  <c r="X1416" i="2" s="1"/>
  <c r="X1417" i="2" a="1"/>
  <c r="X1417" i="2" s="1"/>
  <c r="X1418" i="2" a="1"/>
  <c r="X1418" i="2" s="1"/>
  <c r="X1419" i="2" a="1"/>
  <c r="X1419" i="2" s="1"/>
  <c r="X1420" i="2" a="1"/>
  <c r="X1420" i="2"/>
  <c r="X1421" i="2" a="1"/>
  <c r="X1421" i="2" s="1"/>
  <c r="X1422" i="2" a="1"/>
  <c r="X1422" i="2" s="1"/>
  <c r="X1423" i="2" a="1"/>
  <c r="X1423" i="2" s="1"/>
  <c r="X1424" i="2" a="1"/>
  <c r="X1424" i="2" s="1"/>
  <c r="X1425" i="2" a="1"/>
  <c r="X1425" i="2" s="1"/>
  <c r="X1426" i="2" a="1"/>
  <c r="X1426" i="2" s="1"/>
  <c r="X1427" i="2" a="1"/>
  <c r="X1427" i="2" s="1"/>
  <c r="X1428" i="2" a="1"/>
  <c r="X1428" i="2" s="1"/>
  <c r="X1429" i="2" a="1"/>
  <c r="X1429" i="2" s="1"/>
  <c r="X1430" i="2" a="1"/>
  <c r="X1430" i="2" s="1"/>
  <c r="X1431" i="2" a="1"/>
  <c r="X1431" i="2" s="1"/>
  <c r="X1432" i="2" a="1"/>
  <c r="X1432" i="2"/>
  <c r="X1433" i="2" a="1"/>
  <c r="X1433" i="2" s="1"/>
  <c r="X1434" i="2" a="1"/>
  <c r="X1434" i="2" s="1"/>
  <c r="X1435" i="2" a="1"/>
  <c r="X1435" i="2" s="1"/>
  <c r="X1436" i="2" a="1"/>
  <c r="X1436" i="2" s="1"/>
  <c r="X1437" i="2" a="1"/>
  <c r="X1437" i="2" s="1"/>
  <c r="X1438" i="2" a="1"/>
  <c r="X1438" i="2"/>
  <c r="X1439" i="2" a="1"/>
  <c r="X1439" i="2" s="1"/>
  <c r="X1440" i="2" a="1"/>
  <c r="X1440" i="2" s="1"/>
  <c r="X1441" i="2" a="1"/>
  <c r="X1441" i="2" s="1"/>
  <c r="X1442" i="2" a="1"/>
  <c r="X1442" i="2" s="1"/>
  <c r="X1443" i="2" a="1"/>
  <c r="X1443" i="2" s="1"/>
  <c r="X1444" i="2" a="1"/>
  <c r="X1444" i="2"/>
  <c r="X1445" i="2" a="1"/>
  <c r="X1445" i="2" s="1"/>
  <c r="X1446" i="2" a="1"/>
  <c r="X1446" i="2" s="1"/>
  <c r="X1447" i="2" a="1"/>
  <c r="X1447" i="2" s="1"/>
  <c r="X1448" i="2" a="1"/>
  <c r="X1448" i="2" s="1"/>
  <c r="X1449" i="2" a="1"/>
  <c r="X1449" i="2" s="1"/>
  <c r="X1450" i="2" a="1"/>
  <c r="X1450" i="2" s="1"/>
  <c r="X1451" i="2" a="1"/>
  <c r="X1451" i="2" s="1"/>
  <c r="X1452" i="2" a="1"/>
  <c r="X1452" i="2" s="1"/>
  <c r="X1453" i="2" a="1"/>
  <c r="X1453" i="2" s="1"/>
  <c r="X1454" i="2" a="1"/>
  <c r="X1454" i="2" s="1"/>
  <c r="X1455" i="2" a="1"/>
  <c r="X1455" i="2" s="1"/>
  <c r="X1456" i="2" a="1"/>
  <c r="X1456" i="2" s="1"/>
  <c r="X1457" i="2" a="1"/>
  <c r="X1457" i="2" s="1"/>
  <c r="X1458" i="2" a="1"/>
  <c r="X1458" i="2" s="1"/>
  <c r="X1459" i="2" a="1"/>
  <c r="X1459" i="2" s="1"/>
  <c r="X1460" i="2" a="1"/>
  <c r="X1460" i="2" s="1"/>
  <c r="X1461" i="2" a="1"/>
  <c r="X1461" i="2" s="1"/>
  <c r="X1462" i="2" a="1"/>
  <c r="X1462" i="2" s="1"/>
  <c r="X1463" i="2" a="1"/>
  <c r="X1463" i="2" s="1"/>
  <c r="X1464" i="2" a="1"/>
  <c r="X1464" i="2" s="1"/>
  <c r="X1465" i="2" a="1"/>
  <c r="X1465" i="2" s="1"/>
  <c r="X1466" i="2" a="1"/>
  <c r="X1466" i="2" s="1"/>
  <c r="X1467" i="2" a="1"/>
  <c r="X1467" i="2" s="1"/>
  <c r="X1468" i="2" a="1"/>
  <c r="X1468" i="2" s="1"/>
  <c r="X1469" i="2" a="1"/>
  <c r="X1469" i="2" s="1"/>
  <c r="X1470" i="2" a="1"/>
  <c r="X1470" i="2" s="1"/>
  <c r="X1471" i="2" a="1"/>
  <c r="X1471" i="2" s="1"/>
  <c r="X1472" i="2" a="1"/>
  <c r="X1472" i="2" s="1"/>
  <c r="X1473" i="2" a="1"/>
  <c r="X1473" i="2" s="1"/>
  <c r="X1474" i="2" a="1"/>
  <c r="X1474" i="2"/>
  <c r="X1475" i="2" a="1"/>
  <c r="X1475" i="2" s="1"/>
  <c r="X1476" i="2" a="1"/>
  <c r="X1476" i="2" s="1"/>
  <c r="X1477" i="2" a="1"/>
  <c r="X1477" i="2" s="1"/>
  <c r="X1478" i="2" a="1"/>
  <c r="X1478" i="2" s="1"/>
  <c r="X1479" i="2" a="1"/>
  <c r="X1479" i="2" s="1"/>
  <c r="X1480" i="2" a="1"/>
  <c r="X1480" i="2"/>
  <c r="X1481" i="2" a="1"/>
  <c r="X1481" i="2" s="1"/>
  <c r="X1482" i="2" a="1"/>
  <c r="X1482" i="2" s="1"/>
  <c r="X1483" i="2" a="1"/>
  <c r="X1483" i="2" s="1"/>
  <c r="X1484" i="2" a="1"/>
  <c r="X1484" i="2" s="1"/>
  <c r="X1485" i="2" a="1"/>
  <c r="X1485" i="2" s="1"/>
  <c r="X1486" i="2" a="1"/>
  <c r="X1486" i="2"/>
  <c r="X1487" i="2" a="1"/>
  <c r="X1487" i="2" s="1"/>
  <c r="X1488" i="2" a="1"/>
  <c r="X1488" i="2" s="1"/>
  <c r="X1489" i="2" a="1"/>
  <c r="X1489" i="2" s="1"/>
  <c r="X1490" i="2" a="1"/>
  <c r="X1490" i="2" s="1"/>
  <c r="X1491" i="2" a="1"/>
  <c r="X1491" i="2" s="1"/>
  <c r="X1492" i="2" a="1"/>
  <c r="X1492" i="2"/>
  <c r="X1493" i="2" a="1"/>
  <c r="X1493" i="2" s="1"/>
  <c r="X1494" i="2" a="1"/>
  <c r="X1494" i="2" s="1"/>
  <c r="X1495" i="2" a="1"/>
  <c r="X1495" i="2" s="1"/>
  <c r="X1496" i="2" a="1"/>
  <c r="X1496" i="2" s="1"/>
  <c r="X1497" i="2" a="1"/>
  <c r="X1497" i="2" s="1"/>
  <c r="X1498" i="2" a="1"/>
  <c r="X1498" i="2" s="1"/>
  <c r="X1499" i="2" a="1"/>
  <c r="X1499" i="2" s="1"/>
  <c r="X1500" i="2" a="1"/>
  <c r="X1500" i="2" s="1"/>
  <c r="X1501" i="2" a="1"/>
  <c r="X1501" i="2" s="1"/>
  <c r="X1502" i="2" a="1"/>
  <c r="X1502" i="2" s="1"/>
  <c r="X1503" i="2" a="1"/>
  <c r="X1503" i="2" s="1"/>
  <c r="X1504" i="2" a="1"/>
  <c r="X1504" i="2"/>
  <c r="X1505" i="2" a="1"/>
  <c r="X1505" i="2" s="1"/>
  <c r="X1506" i="2" a="1"/>
  <c r="X1506" i="2" s="1"/>
  <c r="X1507" i="2" a="1"/>
  <c r="X1507" i="2" s="1"/>
  <c r="X1508" i="2" a="1"/>
  <c r="X1508" i="2" s="1"/>
  <c r="X1509" i="2" a="1"/>
  <c r="X1509" i="2" s="1"/>
  <c r="X1510" i="2" a="1"/>
  <c r="X1510" i="2"/>
  <c r="X1511" i="2" a="1"/>
  <c r="X1511" i="2" s="1"/>
  <c r="X1512" i="2" a="1"/>
  <c r="X1512" i="2" s="1"/>
  <c r="X1513" i="2" a="1"/>
  <c r="X1513" i="2" s="1"/>
  <c r="X1514" i="2" a="1"/>
  <c r="X1514" i="2" s="1"/>
  <c r="X1515" i="2" a="1"/>
  <c r="X1515" i="2" s="1"/>
  <c r="X1516" i="2" a="1"/>
  <c r="X1516" i="2"/>
  <c r="X1517" i="2" a="1"/>
  <c r="X1517" i="2" s="1"/>
  <c r="X1518" i="2" a="1"/>
  <c r="X1518" i="2" s="1"/>
  <c r="X1519" i="2" a="1"/>
  <c r="X1519" i="2" s="1"/>
  <c r="X1520" i="2" a="1"/>
  <c r="X1520" i="2" s="1"/>
  <c r="X1521" i="2" a="1"/>
  <c r="X1521" i="2" s="1"/>
  <c r="X1522" i="2" a="1"/>
  <c r="X1522" i="2" s="1"/>
  <c r="X1523" i="2" a="1"/>
  <c r="X1523" i="2" s="1"/>
  <c r="X1524" i="2" a="1"/>
  <c r="X1524" i="2" s="1"/>
  <c r="X1525" i="2" a="1"/>
  <c r="X1525" i="2" s="1"/>
  <c r="X1526" i="2" a="1"/>
  <c r="X1526" i="2" s="1"/>
  <c r="X1527" i="2" a="1"/>
  <c r="X1527" i="2" s="1"/>
  <c r="X1528" i="2" a="1"/>
  <c r="X1528" i="2" s="1"/>
  <c r="X1529" i="2" a="1"/>
  <c r="X1529" i="2" s="1"/>
  <c r="X1530" i="2" a="1"/>
  <c r="X1530" i="2" s="1"/>
  <c r="X1531" i="2" a="1"/>
  <c r="X1531" i="2" s="1"/>
  <c r="X1532" i="2" a="1"/>
  <c r="X1532" i="2" s="1"/>
  <c r="X1533" i="2" a="1"/>
  <c r="X1533" i="2" s="1"/>
  <c r="X1534" i="2" a="1"/>
  <c r="X1534" i="2" s="1"/>
  <c r="X1535" i="2" a="1"/>
  <c r="X1535" i="2" s="1"/>
  <c r="X1536" i="2" a="1"/>
  <c r="X1536" i="2" s="1"/>
  <c r="X1537" i="2" a="1"/>
  <c r="X1537" i="2" s="1"/>
  <c r="X1538" i="2" a="1"/>
  <c r="X1538" i="2" s="1"/>
  <c r="X1539" i="2" a="1"/>
  <c r="X1539" i="2" s="1"/>
  <c r="X1540" i="2" a="1"/>
  <c r="X1540" i="2" s="1"/>
  <c r="X1541" i="2" a="1"/>
  <c r="X1541" i="2" s="1"/>
  <c r="X1542" i="2" a="1"/>
  <c r="X1542" i="2" s="1"/>
  <c r="X1543" i="2" a="1"/>
  <c r="X1543" i="2" s="1"/>
  <c r="X1544" i="2" a="1"/>
  <c r="X1544" i="2" s="1"/>
  <c r="X1545" i="2" a="1"/>
  <c r="X1545" i="2" s="1"/>
  <c r="X1546" i="2" a="1"/>
  <c r="X1546" i="2"/>
  <c r="X1547" i="2" a="1"/>
  <c r="X1547" i="2" s="1"/>
  <c r="X1548" i="2" a="1"/>
  <c r="X1548" i="2" s="1"/>
  <c r="X1549" i="2" a="1"/>
  <c r="X1549" i="2" s="1"/>
  <c r="X1550" i="2" a="1"/>
  <c r="X1550" i="2" s="1"/>
  <c r="X1551" i="2" a="1"/>
  <c r="X1551" i="2" s="1"/>
  <c r="X1552" i="2" a="1"/>
  <c r="X1552" i="2"/>
  <c r="X1553" i="2" a="1"/>
  <c r="X1553" i="2" s="1"/>
  <c r="X1554" i="2" a="1"/>
  <c r="X1554" i="2" s="1"/>
  <c r="X1555" i="2" a="1"/>
  <c r="X1555" i="2" s="1"/>
  <c r="X1556" i="2" a="1"/>
  <c r="X1556" i="2" s="1"/>
  <c r="X1557" i="2" a="1"/>
  <c r="X1557" i="2" s="1"/>
  <c r="X1558" i="2" a="1"/>
  <c r="X1558" i="2"/>
  <c r="X1559" i="2" a="1"/>
  <c r="X1559" i="2" s="1"/>
  <c r="X1560" i="2" a="1"/>
  <c r="X1560" i="2" s="1"/>
  <c r="X1561" i="2" a="1"/>
  <c r="X1561" i="2" s="1"/>
  <c r="X1562" i="2" a="1"/>
  <c r="X1562" i="2" s="1"/>
  <c r="X1563" i="2" a="1"/>
  <c r="X1563" i="2" s="1"/>
  <c r="X1564" i="2" a="1"/>
  <c r="X1564" i="2"/>
  <c r="X1565" i="2" a="1"/>
  <c r="X1565" i="2" s="1"/>
  <c r="X1566" i="2" a="1"/>
  <c r="X1566" i="2" s="1"/>
  <c r="X1567" i="2" a="1"/>
  <c r="X1567" i="2" s="1"/>
  <c r="X1568" i="2" a="1"/>
  <c r="X1568" i="2" s="1"/>
  <c r="X1569" i="2" a="1"/>
  <c r="X1569" i="2" s="1"/>
  <c r="X1570" i="2" a="1"/>
  <c r="X1570" i="2" s="1"/>
  <c r="X1571" i="2" a="1"/>
  <c r="X1571" i="2" s="1"/>
  <c r="X1572" i="2" a="1"/>
  <c r="X1572" i="2" s="1"/>
  <c r="X1573" i="2" a="1"/>
  <c r="X1573" i="2" s="1"/>
  <c r="X1574" i="2" a="1"/>
  <c r="X1574" i="2" s="1"/>
  <c r="X1575" i="2" a="1"/>
  <c r="X1575" i="2" s="1"/>
  <c r="X1576" i="2" a="1"/>
  <c r="X1576" i="2"/>
  <c r="X1577" i="2" a="1"/>
  <c r="X1577" i="2" s="1"/>
  <c r="X1578" i="2" a="1"/>
  <c r="X1578" i="2" s="1"/>
  <c r="X1579" i="2" a="1"/>
  <c r="X1579" i="2" s="1"/>
  <c r="X1580" i="2" a="1"/>
  <c r="X1580" i="2" s="1"/>
  <c r="X1581" i="2" a="1"/>
  <c r="X1581" i="2" s="1"/>
  <c r="X1582" i="2" a="1"/>
  <c r="X1582" i="2"/>
  <c r="X1583" i="2" a="1"/>
  <c r="X1583" i="2" s="1"/>
  <c r="X1584" i="2" a="1"/>
  <c r="X1584" i="2" s="1"/>
  <c r="X1585" i="2" a="1"/>
  <c r="X1585" i="2" s="1"/>
  <c r="X1586" i="2" a="1"/>
  <c r="X1586" i="2" s="1"/>
  <c r="X1587" i="2" a="1"/>
  <c r="X1587" i="2" s="1"/>
  <c r="X1588" i="2" a="1"/>
  <c r="X1588" i="2"/>
  <c r="X1589" i="2" a="1"/>
  <c r="X1589" i="2" s="1"/>
  <c r="X1590" i="2" a="1"/>
  <c r="X1590" i="2" s="1"/>
  <c r="X1591" i="2" a="1"/>
  <c r="X1591" i="2" s="1"/>
  <c r="X1592" i="2" a="1"/>
  <c r="X1592" i="2" s="1"/>
  <c r="X1593" i="2" a="1"/>
  <c r="X1593" i="2" s="1"/>
  <c r="X1594" i="2" a="1"/>
  <c r="X1594" i="2" s="1"/>
  <c r="X1595" i="2" a="1"/>
  <c r="X1595" i="2" s="1"/>
  <c r="X1596" i="2" a="1"/>
  <c r="X1596" i="2" s="1"/>
  <c r="X1597" i="2" a="1"/>
  <c r="X1597" i="2" s="1"/>
  <c r="X1598" i="2" a="1"/>
  <c r="X1598" i="2" s="1"/>
  <c r="X1599" i="2" a="1"/>
  <c r="X1599" i="2" s="1"/>
  <c r="X1600" i="2" a="1"/>
  <c r="X1600" i="2" s="1"/>
  <c r="X1601" i="2" a="1"/>
  <c r="X1601" i="2" s="1"/>
  <c r="X1602" i="2" a="1"/>
  <c r="X1602" i="2" s="1"/>
  <c r="X1603" i="2" a="1"/>
  <c r="X1603" i="2" s="1"/>
  <c r="X1604" i="2" a="1"/>
  <c r="X1604" i="2" s="1"/>
  <c r="X1605" i="2" a="1"/>
  <c r="X1605" i="2" s="1"/>
  <c r="X1606" i="2" a="1"/>
  <c r="X1606" i="2" s="1"/>
  <c r="X1607" i="2" a="1"/>
  <c r="X1607" i="2" s="1"/>
  <c r="X1608" i="2" a="1"/>
  <c r="X1608" i="2" s="1"/>
  <c r="X1609" i="2" a="1"/>
  <c r="X1609" i="2" s="1"/>
  <c r="X1610" i="2" a="1"/>
  <c r="X1610" i="2" s="1"/>
  <c r="X1611" i="2" a="1"/>
  <c r="X1611" i="2" s="1"/>
  <c r="X1612" i="2" a="1"/>
  <c r="X1612" i="2" s="1"/>
  <c r="X1613" i="2" a="1"/>
  <c r="X1613" i="2" s="1"/>
  <c r="X1614" i="2" a="1"/>
  <c r="X1614" i="2" s="1"/>
  <c r="X1615" i="2" a="1"/>
  <c r="X1615" i="2" s="1"/>
  <c r="X1616" i="2" a="1"/>
  <c r="X1616" i="2" s="1"/>
  <c r="X1617" i="2" a="1"/>
  <c r="X1617" i="2" s="1"/>
  <c r="X1618" i="2" a="1"/>
  <c r="X1618" i="2"/>
  <c r="X1619" i="2" a="1"/>
  <c r="X1619" i="2" s="1"/>
  <c r="X1620" i="2" a="1"/>
  <c r="X1620" i="2" s="1"/>
  <c r="X1621" i="2" a="1"/>
  <c r="X1621" i="2" s="1"/>
  <c r="X1622" i="2" a="1"/>
  <c r="X1622" i="2" s="1"/>
  <c r="X1623" i="2" a="1"/>
  <c r="X1623" i="2" s="1"/>
  <c r="X1624" i="2" a="1"/>
  <c r="X1624" i="2"/>
  <c r="X1625" i="2" a="1"/>
  <c r="X1625" i="2" s="1"/>
  <c r="X1626" i="2" a="1"/>
  <c r="X1626" i="2" s="1"/>
  <c r="X1627" i="2" a="1"/>
  <c r="X1627" i="2" s="1"/>
  <c r="X1628" i="2" a="1"/>
  <c r="X1628" i="2" s="1"/>
  <c r="X1629" i="2" a="1"/>
  <c r="X1629" i="2" s="1"/>
  <c r="X1630" i="2" a="1"/>
  <c r="X1630" i="2"/>
  <c r="X1631" i="2" a="1"/>
  <c r="X1631" i="2" s="1"/>
  <c r="X1632" i="2" a="1"/>
  <c r="X1632" i="2" s="1"/>
  <c r="X1633" i="2" a="1"/>
  <c r="X1633" i="2" s="1"/>
  <c r="X1634" i="2" a="1"/>
  <c r="X1634" i="2" s="1"/>
  <c r="X1635" i="2" a="1"/>
  <c r="X1635" i="2" s="1"/>
  <c r="X1636" i="2" a="1"/>
  <c r="X1636" i="2"/>
  <c r="X1637" i="2" a="1"/>
  <c r="X1637" i="2" s="1"/>
  <c r="X1638" i="2" a="1"/>
  <c r="X1638" i="2" s="1"/>
  <c r="X1639" i="2" a="1"/>
  <c r="X1639" i="2" s="1"/>
  <c r="X1640" i="2" a="1"/>
  <c r="X1640" i="2" s="1"/>
  <c r="X1641" i="2" a="1"/>
  <c r="X1641" i="2" s="1"/>
  <c r="X1642" i="2" a="1"/>
  <c r="X1642" i="2" s="1"/>
  <c r="X1643" i="2" a="1"/>
  <c r="X1643" i="2" s="1"/>
  <c r="X1644" i="2" a="1"/>
  <c r="X1644" i="2" s="1"/>
  <c r="X1645" i="2" a="1"/>
  <c r="X1645" i="2" s="1"/>
  <c r="X1646" i="2" a="1"/>
  <c r="X1646" i="2" s="1"/>
  <c r="X1647" i="2" a="1"/>
  <c r="X1647" i="2" s="1"/>
  <c r="X1648" i="2" a="1"/>
  <c r="X1648" i="2"/>
  <c r="X1649" i="2" a="1"/>
  <c r="X1649" i="2" s="1"/>
  <c r="X1650" i="2" a="1"/>
  <c r="X1650" i="2" s="1"/>
  <c r="X1651" i="2" a="1"/>
  <c r="X1651" i="2" s="1"/>
  <c r="X1652" i="2" a="1"/>
  <c r="X1652" i="2" s="1"/>
  <c r="X1653" i="2" a="1"/>
  <c r="X1653" i="2" s="1"/>
  <c r="X1654" i="2" a="1"/>
  <c r="X1654" i="2"/>
  <c r="X1655" i="2" a="1"/>
  <c r="X1655" i="2" s="1"/>
  <c r="X1656" i="2" a="1"/>
  <c r="X1656" i="2" s="1"/>
  <c r="X1657" i="2" a="1"/>
  <c r="X1657" i="2" s="1"/>
  <c r="X1658" i="2" a="1"/>
  <c r="X1658" i="2" s="1"/>
  <c r="X1659" i="2" a="1"/>
  <c r="X1659" i="2" s="1"/>
  <c r="X1660" i="2" a="1"/>
  <c r="X1660" i="2"/>
  <c r="X1661" i="2" a="1"/>
  <c r="X1661" i="2" s="1"/>
  <c r="X1662" i="2" a="1"/>
  <c r="X1662" i="2" s="1"/>
  <c r="X1663" i="2" a="1"/>
  <c r="X1663" i="2" s="1"/>
  <c r="X1664" i="2" a="1"/>
  <c r="X1664" i="2" s="1"/>
  <c r="X1665" i="2" a="1"/>
  <c r="X1665" i="2" s="1"/>
  <c r="X1666" i="2" a="1"/>
  <c r="X1666" i="2" s="1"/>
  <c r="X1667" i="2" a="1"/>
  <c r="X1667" i="2" s="1"/>
  <c r="X1668" i="2" a="1"/>
  <c r="X1668" i="2" s="1"/>
  <c r="X1669" i="2" a="1"/>
  <c r="X1669" i="2" s="1"/>
  <c r="X1670" i="2" a="1"/>
  <c r="X1670" i="2" s="1"/>
  <c r="X1671" i="2" a="1"/>
  <c r="X1671" i="2" s="1"/>
  <c r="X1672" i="2" a="1"/>
  <c r="X1672" i="2" s="1"/>
  <c r="X1673" i="2" a="1"/>
  <c r="X1673" i="2" s="1"/>
  <c r="X1674" i="2" a="1"/>
  <c r="X1674" i="2" s="1"/>
  <c r="X1675" i="2" a="1"/>
  <c r="X1675" i="2" s="1"/>
  <c r="X1676" i="2" a="1"/>
  <c r="X1676" i="2" s="1"/>
  <c r="X1677" i="2" a="1"/>
  <c r="X1677" i="2" s="1"/>
  <c r="X1678" i="2" a="1"/>
  <c r="X1678" i="2" s="1"/>
  <c r="X1679" i="2" a="1"/>
  <c r="X1679" i="2" s="1"/>
  <c r="X1680" i="2" a="1"/>
  <c r="X1680" i="2" s="1"/>
  <c r="X1681" i="2" a="1"/>
  <c r="X1681" i="2" s="1"/>
  <c r="X1682" i="2" a="1"/>
  <c r="X1682" i="2" s="1"/>
  <c r="X1683" i="2" a="1"/>
  <c r="X1683" i="2" s="1"/>
  <c r="X1684" i="2" a="1"/>
  <c r="X1684" i="2" s="1"/>
  <c r="X1685" i="2" a="1"/>
  <c r="X1685" i="2" s="1"/>
  <c r="X1686" i="2" a="1"/>
  <c r="X1686" i="2" s="1"/>
  <c r="X1687" i="2" a="1"/>
  <c r="X1687" i="2" s="1"/>
  <c r="X1688" i="2" a="1"/>
  <c r="X1688" i="2" s="1"/>
  <c r="X1689" i="2" a="1"/>
  <c r="X1689" i="2" s="1"/>
  <c r="X1690" i="2" a="1"/>
  <c r="X1690" i="2"/>
  <c r="X1691" i="2" a="1"/>
  <c r="X1691" i="2" s="1"/>
  <c r="X1692" i="2" a="1"/>
  <c r="X1692" i="2" s="1"/>
  <c r="X1693" i="2" a="1"/>
  <c r="X1693" i="2" s="1"/>
  <c r="X1694" i="2" a="1"/>
  <c r="X1694" i="2" s="1"/>
  <c r="X1695" i="2" a="1"/>
  <c r="X1695" i="2" s="1"/>
  <c r="X1696" i="2" a="1"/>
  <c r="X1696" i="2"/>
  <c r="X1697" i="2" a="1"/>
  <c r="X1697" i="2" s="1"/>
  <c r="X1698" i="2" a="1"/>
  <c r="X1698" i="2" s="1"/>
  <c r="X1699" i="2" a="1"/>
  <c r="X1699" i="2" s="1"/>
  <c r="X1700" i="2" a="1"/>
  <c r="X1700" i="2" s="1"/>
  <c r="X1701" i="2" a="1"/>
  <c r="X1701" i="2" s="1"/>
  <c r="X1702" i="2" a="1"/>
  <c r="X1702" i="2" s="1"/>
  <c r="X1703" i="2" a="1"/>
  <c r="X1703" i="2" s="1"/>
  <c r="X1704" i="2" a="1"/>
  <c r="X1704" i="2" s="1"/>
  <c r="X1705" i="2" a="1"/>
  <c r="X1705" i="2" s="1"/>
  <c r="X1706" i="2" a="1"/>
  <c r="X1706" i="2" s="1"/>
  <c r="X1707" i="2" a="1"/>
  <c r="X1707" i="2" s="1"/>
  <c r="X1708" i="2" a="1"/>
  <c r="X1708" i="2"/>
  <c r="X1709" i="2" a="1"/>
  <c r="X1709" i="2" s="1"/>
  <c r="X1710" i="2" a="1"/>
  <c r="X1710" i="2" s="1"/>
  <c r="X1711" i="2" a="1"/>
  <c r="X1711" i="2" s="1"/>
  <c r="X1712" i="2" a="1"/>
  <c r="X1712" i="2" s="1"/>
  <c r="X1713" i="2" a="1"/>
  <c r="X1713" i="2" s="1"/>
  <c r="X1714" i="2" a="1"/>
  <c r="X1714" i="2" s="1"/>
  <c r="X1715" i="2" a="1"/>
  <c r="X1715" i="2" s="1"/>
  <c r="X1716" i="2" a="1"/>
  <c r="X1716" i="2" s="1"/>
  <c r="X1717" i="2" a="1"/>
  <c r="X1717" i="2" s="1"/>
  <c r="X1718" i="2" a="1"/>
  <c r="X1718" i="2" s="1"/>
  <c r="X1719" i="2" a="1"/>
  <c r="X1719" i="2" s="1"/>
  <c r="X1720" i="2" a="1"/>
  <c r="X1720" i="2"/>
  <c r="X1721" i="2" a="1"/>
  <c r="X1721" i="2" s="1"/>
  <c r="X1722" i="2" a="1"/>
  <c r="X1722" i="2" s="1"/>
  <c r="X1723" i="2" a="1"/>
  <c r="X1723" i="2" s="1"/>
  <c r="X1724" i="2" a="1"/>
  <c r="X1724" i="2" s="1"/>
  <c r="X1725" i="2" a="1"/>
  <c r="X1725" i="2" s="1"/>
  <c r="X1726" i="2" a="1"/>
  <c r="X1726" i="2"/>
  <c r="X1727" i="2" a="1"/>
  <c r="X1727" i="2" s="1"/>
  <c r="X1728" i="2" a="1"/>
  <c r="X1728" i="2" s="1"/>
  <c r="X1729" i="2" a="1"/>
  <c r="X1729" i="2" s="1"/>
  <c r="X1730" i="2" a="1"/>
  <c r="X1730" i="2" s="1"/>
  <c r="X1731" i="2" a="1"/>
  <c r="X1731" i="2" s="1"/>
  <c r="X1732" i="2" a="1"/>
  <c r="X1732" i="2"/>
  <c r="X1733" i="2" a="1"/>
  <c r="X1733" i="2" s="1"/>
  <c r="X1734" i="2" a="1"/>
  <c r="X1734" i="2" s="1"/>
  <c r="X1735" i="2" a="1"/>
  <c r="X1735" i="2" s="1"/>
  <c r="X1736" i="2" a="1"/>
  <c r="X1736" i="2" s="1"/>
  <c r="X1737" i="2" a="1"/>
  <c r="X1737" i="2" s="1"/>
  <c r="X1738" i="2" a="1"/>
  <c r="X1738" i="2" s="1"/>
  <c r="X1739" i="2" a="1"/>
  <c r="X1739" i="2" s="1"/>
  <c r="X1740" i="2" a="1"/>
  <c r="X1740" i="2" s="1"/>
  <c r="X1741" i="2" a="1"/>
  <c r="X1741" i="2" s="1"/>
  <c r="X1742" i="2" a="1"/>
  <c r="X1742" i="2" s="1"/>
  <c r="X1743" i="2" a="1"/>
  <c r="X1743" i="2" s="1"/>
  <c r="X1744" i="2" a="1"/>
  <c r="X1744" i="2" s="1"/>
  <c r="X1745" i="2" a="1"/>
  <c r="X1745" i="2" s="1"/>
  <c r="X1746" i="2" a="1"/>
  <c r="X1746" i="2" s="1"/>
  <c r="X1747" i="2" a="1"/>
  <c r="X1747" i="2" s="1"/>
  <c r="X1748" i="2" a="1"/>
  <c r="X1748" i="2" s="1"/>
  <c r="X1749" i="2" a="1"/>
  <c r="X1749" i="2" s="1"/>
  <c r="X1750" i="2" a="1"/>
  <c r="X1750" i="2" s="1"/>
  <c r="X1751" i="2" a="1"/>
  <c r="X1751" i="2" s="1"/>
  <c r="X1752" i="2" a="1"/>
  <c r="X1752" i="2" s="1"/>
  <c r="X1753" i="2" a="1"/>
  <c r="X1753" i="2" s="1"/>
  <c r="X1754" i="2" a="1"/>
  <c r="X1754" i="2" s="1"/>
  <c r="X1755" i="2" a="1"/>
  <c r="X1755" i="2" s="1"/>
  <c r="X1756" i="2" a="1"/>
  <c r="X1756" i="2"/>
  <c r="X1757" i="2" a="1"/>
  <c r="X1757" i="2" s="1"/>
  <c r="X1758" i="2" a="1"/>
  <c r="X1758" i="2" s="1"/>
  <c r="X1759" i="2" a="1"/>
  <c r="X1759" i="2" s="1"/>
  <c r="X1760" i="2" a="1"/>
  <c r="X1760" i="2" s="1"/>
  <c r="X1761" i="2" a="1"/>
  <c r="X1761" i="2" s="1"/>
  <c r="X1762" i="2" a="1"/>
  <c r="X1762" i="2"/>
  <c r="X1763" i="2" a="1"/>
  <c r="X1763" i="2" s="1"/>
  <c r="X1764" i="2" a="1"/>
  <c r="X1764" i="2" s="1"/>
  <c r="X1765" i="2" a="1"/>
  <c r="X1765" i="2" s="1"/>
  <c r="X1766" i="2" a="1"/>
  <c r="X1766" i="2" s="1"/>
  <c r="X1767" i="2" a="1"/>
  <c r="X1767" i="2" s="1"/>
  <c r="X1768" i="2" a="1"/>
  <c r="X1768" i="2"/>
  <c r="X1769" i="2" a="1"/>
  <c r="X1769" i="2" s="1"/>
  <c r="X1770" i="2" a="1"/>
  <c r="X1770" i="2" s="1"/>
  <c r="X1771" i="2" a="1"/>
  <c r="X1771" i="2" s="1"/>
  <c r="X1772" i="2" a="1"/>
  <c r="X1772" i="2" s="1"/>
  <c r="X1773" i="2" a="1"/>
  <c r="X1773" i="2" s="1"/>
  <c r="X1774" i="2" a="1"/>
  <c r="X1774" i="2" s="1"/>
  <c r="X1775" i="2" a="1"/>
  <c r="X1775" i="2" s="1"/>
  <c r="X1776" i="2" a="1"/>
  <c r="X1776" i="2" s="1"/>
  <c r="X1777" i="2" a="1"/>
  <c r="X1777" i="2" s="1"/>
  <c r="X1778" i="2" a="1"/>
  <c r="X1778" i="2" s="1"/>
  <c r="X1779" i="2" a="1"/>
  <c r="X1779" i="2" s="1"/>
  <c r="X1780" i="2" a="1"/>
  <c r="X1780" i="2"/>
  <c r="X1781" i="2" a="1"/>
  <c r="X1781" i="2" s="1"/>
  <c r="X1782" i="2" a="1"/>
  <c r="X1782" i="2" s="1"/>
  <c r="X1783" i="2" a="1"/>
  <c r="X1783" i="2" s="1"/>
  <c r="X1784" i="2" a="1"/>
  <c r="X1784" i="2" s="1"/>
  <c r="X1785" i="2" a="1"/>
  <c r="X1785" i="2" s="1"/>
  <c r="X1786" i="2" a="1"/>
  <c r="X1786" i="2" s="1"/>
  <c r="X1787" i="2" a="1"/>
  <c r="X1787" i="2" s="1"/>
  <c r="X1788" i="2" a="1"/>
  <c r="X1788" i="2" s="1"/>
  <c r="X1789" i="2" a="1"/>
  <c r="X1789" i="2" s="1"/>
  <c r="X1790" i="2" a="1"/>
  <c r="X1790" i="2" s="1"/>
  <c r="X1791" i="2" a="1"/>
  <c r="X1791" i="2" s="1"/>
  <c r="X1792" i="2" a="1"/>
  <c r="X1792" i="2"/>
  <c r="X1793" i="2" a="1"/>
  <c r="X1793" i="2" s="1"/>
  <c r="X1794" i="2" a="1"/>
  <c r="X1794" i="2" s="1"/>
  <c r="X1795" i="2" a="1"/>
  <c r="X1795" i="2" s="1"/>
  <c r="X1796" i="2" a="1"/>
  <c r="X1796" i="2" s="1"/>
  <c r="X1797" i="2" a="1"/>
  <c r="X1797" i="2" s="1"/>
  <c r="X1798" i="2" a="1"/>
  <c r="X1798" i="2"/>
  <c r="X1799" i="2" a="1"/>
  <c r="X1799" i="2" s="1"/>
  <c r="X1800" i="2" a="1"/>
  <c r="X1800" i="2" s="1"/>
  <c r="X1801" i="2" a="1"/>
  <c r="X1801" i="2" s="1"/>
  <c r="X1802" i="2" a="1"/>
  <c r="X1802" i="2" s="1"/>
  <c r="X1803" i="2" a="1"/>
  <c r="X1803" i="2" s="1"/>
  <c r="X1804" i="2" a="1"/>
  <c r="X1804" i="2"/>
  <c r="X1805" i="2" a="1"/>
  <c r="X1805" i="2" s="1"/>
  <c r="X1806" i="2" a="1"/>
  <c r="X1806" i="2" s="1"/>
  <c r="X1807" i="2" a="1"/>
  <c r="X1807" i="2" s="1"/>
  <c r="X1808" i="2" a="1"/>
  <c r="X1808" i="2" s="1"/>
  <c r="X1809" i="2" a="1"/>
  <c r="X1809" i="2" s="1"/>
  <c r="X1810" i="2" a="1"/>
  <c r="X1810" i="2" s="1"/>
  <c r="X1811" i="2" a="1"/>
  <c r="X1811" i="2" s="1"/>
  <c r="X1812" i="2" a="1"/>
  <c r="X1812" i="2" s="1"/>
  <c r="X1813" i="2" a="1"/>
  <c r="X1813" i="2" s="1"/>
  <c r="X1814" i="2" a="1"/>
  <c r="X1814" i="2" s="1"/>
  <c r="X1815" i="2" a="1"/>
  <c r="X1815" i="2" s="1"/>
  <c r="X1816" i="2" a="1"/>
  <c r="X1816" i="2" s="1"/>
  <c r="X1817" i="2" a="1"/>
  <c r="X1817" i="2" s="1"/>
  <c r="X1818" i="2" a="1"/>
  <c r="X1818" i="2" s="1"/>
  <c r="X1819" i="2" a="1"/>
  <c r="X1819" i="2" s="1"/>
  <c r="X1820" i="2" a="1"/>
  <c r="X1820" i="2" s="1"/>
  <c r="X1821" i="2" a="1"/>
  <c r="X1821" i="2" s="1"/>
  <c r="X1822" i="2" a="1"/>
  <c r="X1822" i="2" s="1"/>
  <c r="X1823" i="2" a="1"/>
  <c r="X1823" i="2" s="1"/>
  <c r="X1824" i="2" a="1"/>
  <c r="X1824" i="2" s="1"/>
  <c r="X1825" i="2" a="1"/>
  <c r="X1825" i="2" s="1"/>
  <c r="X1826" i="2" a="1"/>
  <c r="X1826" i="2" s="1"/>
  <c r="X1827" i="2" a="1"/>
  <c r="X1827" i="2" s="1"/>
  <c r="X1828" i="2" a="1"/>
  <c r="X1828" i="2"/>
  <c r="X1829" i="2" a="1"/>
  <c r="X1829" i="2" s="1"/>
  <c r="X1830" i="2" a="1"/>
  <c r="X1830" i="2" s="1"/>
  <c r="X1831" i="2" a="1"/>
  <c r="X1831" i="2" s="1"/>
  <c r="X1832" i="2" a="1"/>
  <c r="X1832" i="2" s="1"/>
  <c r="X1833" i="2" a="1"/>
  <c r="X1833" i="2" s="1"/>
  <c r="X1834" i="2" a="1"/>
  <c r="X1834" i="2"/>
  <c r="X1835" i="2" a="1"/>
  <c r="X1835" i="2" s="1"/>
  <c r="X1836" i="2" a="1"/>
  <c r="X1836" i="2" s="1"/>
  <c r="X1837" i="2" a="1"/>
  <c r="X1837" i="2" s="1"/>
  <c r="X1838" i="2" a="1"/>
  <c r="X1838" i="2" s="1"/>
  <c r="X1839" i="2" a="1"/>
  <c r="X1839" i="2" s="1"/>
  <c r="X1840" i="2" a="1"/>
  <c r="X1840" i="2"/>
  <c r="X1841" i="2" a="1"/>
  <c r="X1841" i="2" s="1"/>
  <c r="X1842" i="2" a="1"/>
  <c r="X1842" i="2" s="1"/>
  <c r="X1843" i="2" a="1"/>
  <c r="X1843" i="2" s="1"/>
  <c r="X1844" i="2" a="1"/>
  <c r="X1844" i="2" s="1"/>
  <c r="X1845" i="2" a="1"/>
  <c r="X1845" i="2" s="1"/>
  <c r="X1846" i="2" a="1"/>
  <c r="X1846" i="2"/>
  <c r="X1847" i="2" a="1"/>
  <c r="X1847" i="2" s="1"/>
  <c r="X1848" i="2" a="1"/>
  <c r="X1848" i="2" s="1"/>
  <c r="X1849" i="2" a="1"/>
  <c r="X1849" i="2" s="1"/>
  <c r="X1850" i="2" a="1"/>
  <c r="X1850" i="2" s="1"/>
  <c r="X1851" i="2" a="1"/>
  <c r="X1851" i="2" s="1"/>
  <c r="X1852" i="2" a="1"/>
  <c r="X1852" i="2"/>
  <c r="X1853" i="2" a="1"/>
  <c r="X1853" i="2" s="1"/>
  <c r="X1854" i="2" a="1"/>
  <c r="X1854" i="2" s="1"/>
  <c r="X1855" i="2" a="1"/>
  <c r="X1855" i="2" s="1"/>
  <c r="X1856" i="2" a="1"/>
  <c r="X1856" i="2" s="1"/>
  <c r="X1857" i="2" a="1"/>
  <c r="X1857" i="2" s="1"/>
  <c r="X1858" i="2" a="1"/>
  <c r="X1858" i="2" s="1"/>
  <c r="X1859" i="2" a="1"/>
  <c r="X1859" i="2" s="1"/>
  <c r="X1860" i="2" a="1"/>
  <c r="X1860" i="2" s="1"/>
  <c r="X1861" i="2" a="1"/>
  <c r="X1861" i="2" s="1"/>
  <c r="X1862" i="2" a="1"/>
  <c r="X1862" i="2" s="1"/>
  <c r="X1863" i="2" a="1"/>
  <c r="X1863" i="2" s="1"/>
  <c r="X1864" i="2" a="1"/>
  <c r="X1864" i="2"/>
  <c r="X1865" i="2" a="1"/>
  <c r="X1865" i="2" s="1"/>
  <c r="X1866" i="2" a="1"/>
  <c r="X1866" i="2" s="1"/>
  <c r="X1867" i="2" a="1"/>
  <c r="X1867" i="2" s="1"/>
  <c r="X1868" i="2" a="1"/>
  <c r="X1868" i="2" s="1"/>
  <c r="X1869" i="2" a="1"/>
  <c r="X1869" i="2" s="1"/>
  <c r="X1870" i="2" a="1"/>
  <c r="X1870" i="2"/>
  <c r="X1871" i="2" a="1"/>
  <c r="X1871" i="2" s="1"/>
  <c r="X1872" i="2" a="1"/>
  <c r="X1872" i="2" s="1"/>
  <c r="X1873" i="2" a="1"/>
  <c r="X1873" i="2" s="1"/>
  <c r="X1874" i="2" a="1"/>
  <c r="X1874" i="2" s="1"/>
  <c r="X1875" i="2" a="1"/>
  <c r="X1875" i="2" s="1"/>
  <c r="X1876" i="2" a="1"/>
  <c r="X1876" i="2"/>
  <c r="X1877" i="2" a="1"/>
  <c r="X1877" i="2" s="1"/>
  <c r="X1878" i="2" a="1"/>
  <c r="X1878" i="2" s="1"/>
  <c r="X1879" i="2" a="1"/>
  <c r="X1879" i="2" s="1"/>
  <c r="X1880" i="2" a="1"/>
  <c r="X1880" i="2" s="1"/>
  <c r="X1881" i="2" a="1"/>
  <c r="X1881" i="2" s="1"/>
  <c r="X1882" i="2" a="1"/>
  <c r="X1882" i="2" s="1"/>
  <c r="X1883" i="2" a="1"/>
  <c r="X1883" i="2" s="1"/>
  <c r="X1884" i="2" a="1"/>
  <c r="X1884" i="2" s="1"/>
  <c r="X1885" i="2" a="1"/>
  <c r="X1885" i="2" s="1"/>
  <c r="X1886" i="2" a="1"/>
  <c r="X1886" i="2" s="1"/>
  <c r="X1887" i="2" a="1"/>
  <c r="X1887" i="2" s="1"/>
  <c r="X1888" i="2" a="1"/>
  <c r="X1888" i="2" s="1"/>
  <c r="X1889" i="2" a="1"/>
  <c r="X1889" i="2" s="1"/>
  <c r="X1890" i="2" a="1"/>
  <c r="X1890" i="2" s="1"/>
  <c r="X1891" i="2" a="1"/>
  <c r="X1891" i="2" s="1"/>
  <c r="X1892" i="2" a="1"/>
  <c r="X1892" i="2" s="1"/>
  <c r="X1893" i="2" a="1"/>
  <c r="X1893" i="2" s="1"/>
  <c r="X1894" i="2" a="1"/>
  <c r="X1894" i="2" s="1"/>
  <c r="X1895" i="2" a="1"/>
  <c r="X1895" i="2" s="1"/>
  <c r="X1896" i="2" a="1"/>
  <c r="X1896" i="2" s="1"/>
  <c r="X1897" i="2" a="1"/>
  <c r="X1897" i="2" s="1"/>
  <c r="X1898" i="2" a="1"/>
  <c r="X1898" i="2" s="1"/>
  <c r="X1899" i="2" a="1"/>
  <c r="X1899" i="2" s="1"/>
  <c r="X1900" i="2" a="1"/>
  <c r="X1900" i="2"/>
  <c r="X1901" i="2" a="1"/>
  <c r="X1901" i="2" s="1"/>
  <c r="X1902" i="2" a="1"/>
  <c r="X1902" i="2" s="1"/>
  <c r="X1903" i="2" a="1"/>
  <c r="X1903" i="2" s="1"/>
  <c r="X1904" i="2" a="1"/>
  <c r="X1904" i="2" s="1"/>
  <c r="X1905" i="2" a="1"/>
  <c r="X1905" i="2" s="1"/>
  <c r="X1906" i="2" a="1"/>
  <c r="X1906" i="2"/>
  <c r="X1907" i="2" a="1"/>
  <c r="X1907" i="2" s="1"/>
  <c r="X1908" i="2" a="1"/>
  <c r="X1908" i="2" s="1"/>
  <c r="X1909" i="2" a="1"/>
  <c r="X1909" i="2" s="1"/>
  <c r="X1910" i="2" a="1"/>
  <c r="X1910" i="2" s="1"/>
  <c r="X1911" i="2" a="1"/>
  <c r="X1911" i="2" s="1"/>
  <c r="X1912" i="2" a="1"/>
  <c r="X1912" i="2" s="1"/>
  <c r="X1913" i="2" a="1"/>
  <c r="X1913" i="2" s="1"/>
  <c r="X1914" i="2" a="1"/>
  <c r="X1914" i="2" s="1"/>
  <c r="X1915" i="2" a="1"/>
  <c r="X1915" i="2" s="1"/>
  <c r="X1916" i="2" a="1"/>
  <c r="X1916" i="2" s="1"/>
  <c r="X1917" i="2" a="1"/>
  <c r="X1917" i="2" s="1"/>
  <c r="X1918" i="2" a="1"/>
  <c r="X1918" i="2"/>
  <c r="X1919" i="2" a="1"/>
  <c r="X1919" i="2" s="1"/>
  <c r="X1920" i="2" a="1"/>
  <c r="X1920" i="2" s="1"/>
  <c r="X1921" i="2" a="1"/>
  <c r="X1921" i="2" s="1"/>
  <c r="X1922" i="2" a="1"/>
  <c r="X1922" i="2" s="1"/>
  <c r="X1923" i="2" a="1"/>
  <c r="X1923" i="2" s="1"/>
  <c r="X1924" i="2" a="1"/>
  <c r="X1924" i="2"/>
  <c r="X1925" i="2" a="1"/>
  <c r="X1925" i="2" s="1"/>
  <c r="X1926" i="2" a="1"/>
  <c r="X1926" i="2" s="1"/>
  <c r="X1927" i="2" a="1"/>
  <c r="X1927" i="2" s="1"/>
  <c r="X1928" i="2" a="1"/>
  <c r="X1928" i="2" s="1"/>
  <c r="X1929" i="2" a="1"/>
  <c r="X1929" i="2" s="1"/>
  <c r="X1930" i="2" a="1"/>
  <c r="X1930" i="2" s="1"/>
  <c r="X1931" i="2" a="1"/>
  <c r="X1931" i="2" s="1"/>
  <c r="X1932" i="2" a="1"/>
  <c r="X1932" i="2" s="1"/>
  <c r="X1933" i="2" a="1"/>
  <c r="X1933" i="2" s="1"/>
  <c r="X1934" i="2" a="1"/>
  <c r="X1934" i="2" s="1"/>
  <c r="X1935" i="2" a="1"/>
  <c r="X1935" i="2" s="1"/>
  <c r="X1936" i="2" a="1"/>
  <c r="X1936" i="2"/>
  <c r="X1937" i="2" a="1"/>
  <c r="X1937" i="2" s="1"/>
  <c r="X1938" i="2" a="1"/>
  <c r="X1938" i="2" s="1"/>
  <c r="X1939" i="2" a="1"/>
  <c r="X1939" i="2" s="1"/>
  <c r="X1940" i="2" a="1"/>
  <c r="X1940" i="2" s="1"/>
  <c r="X1941" i="2" a="1"/>
  <c r="X1941" i="2" s="1"/>
  <c r="X1942" i="2" a="1"/>
  <c r="X1942" i="2"/>
  <c r="X1943" i="2" a="1"/>
  <c r="X1943" i="2" s="1"/>
  <c r="X1944" i="2" a="1"/>
  <c r="X1944" i="2" s="1"/>
  <c r="X1945" i="2" a="1"/>
  <c r="X1945" i="2" s="1"/>
  <c r="X1946" i="2" a="1"/>
  <c r="X1946" i="2" s="1"/>
  <c r="X1947" i="2" a="1"/>
  <c r="X1947" i="2"/>
  <c r="X1948" i="2" a="1"/>
  <c r="X1948" i="2" s="1"/>
  <c r="X1949" i="2" a="1"/>
  <c r="X1949" i="2" s="1"/>
  <c r="X1950" i="2" a="1"/>
  <c r="X1950" i="2" s="1"/>
  <c r="X1951" i="2" a="1"/>
  <c r="X1951" i="2"/>
  <c r="X1952" i="2" a="1"/>
  <c r="X1952" i="2" s="1"/>
  <c r="X1953" i="2" a="1"/>
  <c r="X1953" i="2" s="1"/>
  <c r="X1954" i="2" a="1"/>
  <c r="X1954" i="2"/>
  <c r="X1955" i="2" a="1"/>
  <c r="X1955" i="2" s="1"/>
  <c r="X1956" i="2" a="1"/>
  <c r="X1956" i="2" s="1"/>
  <c r="X1957" i="2" a="1"/>
  <c r="X1957" i="2" s="1"/>
  <c r="X1958" i="2" a="1"/>
  <c r="X1958" i="2" s="1"/>
  <c r="X1959" i="2" a="1"/>
  <c r="X1959" i="2" s="1"/>
  <c r="X1960" i="2" a="1"/>
  <c r="X1960" i="2"/>
  <c r="X1961" i="2" a="1"/>
  <c r="X1961" i="2" s="1"/>
  <c r="X1962" i="2" a="1"/>
  <c r="X1962" i="2" s="1"/>
  <c r="X1963" i="2" a="1"/>
  <c r="X1963" i="2"/>
  <c r="X1964" i="2" a="1"/>
  <c r="X1964" i="2" s="1"/>
  <c r="X1965" i="2" a="1"/>
  <c r="X1965" i="2" s="1"/>
  <c r="X1966" i="2" a="1"/>
  <c r="X1966" i="2"/>
  <c r="X1967" i="2" a="1"/>
  <c r="X1967" i="2" s="1"/>
  <c r="X1968" i="2" a="1"/>
  <c r="X1968" i="2" s="1"/>
  <c r="X1969" i="2" a="1"/>
  <c r="X1969" i="2" s="1"/>
  <c r="X1970" i="2" a="1"/>
  <c r="X1970" i="2" s="1"/>
  <c r="X1971" i="2" a="1"/>
  <c r="X1971" i="2" s="1"/>
  <c r="X1972" i="2" a="1"/>
  <c r="X1972" i="2" s="1"/>
  <c r="X1973" i="2" a="1"/>
  <c r="X1973" i="2" s="1"/>
  <c r="X1974" i="2" a="1"/>
  <c r="X1974" i="2" s="1"/>
  <c r="X1975" i="2" a="1"/>
  <c r="X1975" i="2" s="1"/>
  <c r="X1976" i="2" a="1"/>
  <c r="X1976" i="2" s="1"/>
  <c r="X1977" i="2" a="1"/>
  <c r="X1977" i="2" s="1"/>
  <c r="X1978" i="2" a="1"/>
  <c r="X1978" i="2"/>
  <c r="X1979" i="2" a="1"/>
  <c r="X1979" i="2" s="1"/>
  <c r="X1980" i="2" a="1"/>
  <c r="X1980" i="2" s="1"/>
  <c r="X1981" i="2" a="1"/>
  <c r="X1981" i="2" s="1"/>
  <c r="X1982" i="2" a="1"/>
  <c r="X1982" i="2" s="1"/>
  <c r="X1983" i="2" a="1"/>
  <c r="X1983" i="2" s="1"/>
  <c r="X1984" i="2" a="1"/>
  <c r="X1984" i="2"/>
  <c r="X1985" i="2" a="1"/>
  <c r="X1985" i="2" s="1"/>
  <c r="X1986" i="2" a="1"/>
  <c r="X1986" i="2" s="1"/>
  <c r="X1987" i="2" a="1"/>
  <c r="X1987" i="2" s="1"/>
  <c r="X1988" i="2" a="1"/>
  <c r="X1988" i="2" s="1"/>
  <c r="X1989" i="2" a="1"/>
  <c r="X1989" i="2"/>
  <c r="X1990" i="2" a="1"/>
  <c r="X1990" i="2" s="1"/>
  <c r="X1991" i="2" a="1"/>
  <c r="X1991" i="2"/>
  <c r="X1992" i="2" a="1"/>
  <c r="X1992" i="2"/>
  <c r="X1993" i="2" a="1"/>
  <c r="X1993" i="2" s="1"/>
  <c r="X1994" i="2" a="1"/>
  <c r="X1994" i="2" s="1"/>
  <c r="X1995" i="2" a="1"/>
  <c r="X1995" i="2"/>
  <c r="X1996" i="2" a="1"/>
  <c r="X1996" i="2" s="1"/>
  <c r="X1997" i="2" a="1"/>
  <c r="X1997" i="2"/>
  <c r="X1998" i="2" a="1"/>
  <c r="X1998" i="2"/>
  <c r="X1999" i="2" a="1"/>
  <c r="X1999" i="2" s="1"/>
  <c r="X2000" i="2" a="1"/>
  <c r="X2000" i="2" s="1"/>
  <c r="X2001" i="2" a="1"/>
  <c r="X2001" i="2"/>
  <c r="X2002" i="2" a="1"/>
  <c r="X2002" i="2" s="1"/>
  <c r="X2003" i="2" a="1"/>
  <c r="X2003" i="2"/>
  <c r="X2004" i="2" a="1"/>
  <c r="X2004" i="2"/>
  <c r="X2005" i="2" a="1"/>
  <c r="X2005" i="2" s="1"/>
  <c r="X2006" i="2" a="1"/>
  <c r="X2006" i="2" s="1"/>
  <c r="X2007" i="2" a="1"/>
  <c r="X2007" i="2" s="1"/>
  <c r="X2008" i="2" a="1"/>
  <c r="X2008" i="2" s="1"/>
  <c r="X2009" i="2" a="1"/>
  <c r="X2009" i="2"/>
  <c r="X2010" i="2" a="1"/>
  <c r="X2010" i="2"/>
  <c r="X2011" i="2" a="1"/>
  <c r="X2011" i="2" s="1"/>
  <c r="X2012" i="2" a="1"/>
  <c r="X2012" i="2" s="1"/>
  <c r="X2013" i="2" a="1"/>
  <c r="X2013" i="2" s="1"/>
  <c r="X2014" i="2" a="1"/>
  <c r="X2014" i="2" s="1"/>
  <c r="X2015" i="2" a="1"/>
  <c r="X2015" i="2"/>
  <c r="X2016" i="2" a="1"/>
  <c r="X2016" i="2" s="1"/>
  <c r="X2017" i="2" a="1"/>
  <c r="X2017" i="2" s="1"/>
  <c r="X2018" i="2" a="1"/>
  <c r="X2018" i="2" s="1"/>
  <c r="X2019" i="2" a="1"/>
  <c r="X2019" i="2" s="1"/>
  <c r="X2020" i="2" a="1"/>
  <c r="X2020" i="2" s="1"/>
  <c r="X2021" i="2" a="1"/>
  <c r="X2021" i="2"/>
  <c r="X2022" i="2" a="1"/>
  <c r="X2022" i="2" s="1"/>
  <c r="X2023" i="2" a="1"/>
  <c r="X2023" i="2" s="1"/>
  <c r="X2024" i="2" a="1"/>
  <c r="X2024" i="2" s="1"/>
  <c r="X2025" i="2" a="1"/>
  <c r="X2025" i="2" s="1"/>
  <c r="X2026" i="2" a="1"/>
  <c r="X2026" i="2" s="1"/>
  <c r="X2027" i="2" a="1"/>
  <c r="X2027" i="2"/>
  <c r="X2028" i="2" a="1"/>
  <c r="X2028" i="2" s="1"/>
  <c r="X2029" i="2" a="1"/>
  <c r="X2029" i="2" s="1"/>
  <c r="X2030" i="2" a="1"/>
  <c r="X2030" i="2" s="1"/>
  <c r="X2031" i="2" a="1"/>
  <c r="X2031" i="2" s="1"/>
  <c r="X2032" i="2" a="1"/>
  <c r="X2032" i="2" s="1"/>
  <c r="X2033" i="2" a="1"/>
  <c r="X2033" i="2"/>
  <c r="X2034" i="2" a="1"/>
  <c r="X2034" i="2" s="1"/>
  <c r="X2035" i="2" a="1"/>
  <c r="X2035" i="2" s="1"/>
  <c r="X2036" i="2" a="1"/>
  <c r="X2036" i="2" s="1"/>
  <c r="X2037" i="2" a="1"/>
  <c r="X2037" i="2" s="1"/>
  <c r="X2038" i="2" a="1"/>
  <c r="X2038" i="2" s="1"/>
  <c r="X2039" i="2" a="1"/>
  <c r="X2039" i="2"/>
  <c r="X2040" i="2" a="1"/>
  <c r="X2040" i="2" s="1"/>
  <c r="X2041" i="2" a="1"/>
  <c r="X2041" i="2" s="1"/>
  <c r="X2042" i="2" a="1"/>
  <c r="X2042" i="2" s="1"/>
  <c r="X2043" i="2" a="1"/>
  <c r="X2043" i="2" s="1"/>
  <c r="X2044" i="2" a="1"/>
  <c r="X2044" i="2" s="1"/>
  <c r="X2045" i="2" a="1"/>
  <c r="X2045" i="2"/>
  <c r="X2046" i="2" a="1"/>
  <c r="X2046" i="2" s="1"/>
  <c r="X2047" i="2" a="1"/>
  <c r="X2047" i="2" s="1"/>
  <c r="X2048" i="2" a="1"/>
  <c r="X2048" i="2" s="1"/>
  <c r="X2049" i="2" a="1"/>
  <c r="X2049" i="2" s="1"/>
  <c r="X2050" i="2" a="1"/>
  <c r="X2050" i="2" s="1"/>
  <c r="X2051" i="2" a="1"/>
  <c r="X2051" i="2"/>
  <c r="X2052" i="2" a="1"/>
  <c r="X2052" i="2" s="1"/>
  <c r="X2053" i="2" a="1"/>
  <c r="X2053" i="2" s="1"/>
  <c r="X2054" i="2" a="1"/>
  <c r="X2054" i="2" s="1"/>
  <c r="X2055" i="2" a="1"/>
  <c r="X2055" i="2" s="1"/>
  <c r="X2056" i="2" a="1"/>
  <c r="X2056" i="2" s="1"/>
  <c r="X2057" i="2" a="1"/>
  <c r="X2057" i="2"/>
  <c r="X2058" i="2" a="1"/>
  <c r="X2058" i="2" s="1"/>
  <c r="X2059" i="2" a="1"/>
  <c r="X2059" i="2" s="1"/>
  <c r="X2060" i="2" a="1"/>
  <c r="X2060" i="2" s="1"/>
  <c r="X2061" i="2" a="1"/>
  <c r="X2061" i="2" s="1"/>
  <c r="X2062" i="2" a="1"/>
  <c r="X2062" i="2" s="1"/>
  <c r="X2063" i="2" a="1"/>
  <c r="X2063" i="2"/>
  <c r="X2064" i="2" a="1"/>
  <c r="X2064" i="2" s="1"/>
  <c r="X2065" i="2" a="1"/>
  <c r="X2065" i="2" s="1"/>
  <c r="X2066" i="2" a="1"/>
  <c r="X2066" i="2" s="1"/>
  <c r="X2067" i="2" a="1"/>
  <c r="X2067" i="2" s="1"/>
  <c r="X2068" i="2" a="1"/>
  <c r="X2068" i="2" s="1"/>
  <c r="X2069" i="2" a="1"/>
  <c r="X2069" i="2"/>
  <c r="X2070" i="2" a="1"/>
  <c r="X2070" i="2" s="1"/>
  <c r="X2071" i="2" a="1"/>
  <c r="X2071" i="2" s="1"/>
  <c r="X2072" i="2" a="1"/>
  <c r="X2072" i="2" s="1"/>
  <c r="X2073" i="2" a="1"/>
  <c r="X2073" i="2" s="1"/>
  <c r="X2074" i="2" a="1"/>
  <c r="X2074" i="2" s="1"/>
  <c r="X2075" i="2" a="1"/>
  <c r="X2075" i="2"/>
  <c r="X2076" i="2" a="1"/>
  <c r="X2076" i="2" s="1"/>
  <c r="X2077" i="2" a="1"/>
  <c r="X2077" i="2" s="1"/>
  <c r="X2078" i="2" a="1"/>
  <c r="X2078" i="2" s="1"/>
  <c r="X2079" i="2" a="1"/>
  <c r="X2079" i="2" s="1"/>
  <c r="X2080" i="2" a="1"/>
  <c r="X2080" i="2" s="1"/>
  <c r="X2081" i="2" a="1"/>
  <c r="X2081" i="2"/>
  <c r="X2082" i="2" a="1"/>
  <c r="X2082" i="2" s="1"/>
  <c r="X2083" i="2" a="1"/>
  <c r="X2083" i="2" s="1"/>
  <c r="X2084" i="2" a="1"/>
  <c r="X2084" i="2" s="1"/>
  <c r="X2085" i="2" a="1"/>
  <c r="X2085" i="2" s="1"/>
  <c r="X2086" i="2" a="1"/>
  <c r="X2086" i="2" s="1"/>
  <c r="X2087" i="2" a="1"/>
  <c r="X2087" i="2"/>
  <c r="X2088" i="2" a="1"/>
  <c r="X2088" i="2" s="1"/>
  <c r="X2089" i="2" a="1"/>
  <c r="X2089" i="2" s="1"/>
  <c r="X2090" i="2" a="1"/>
  <c r="X2090" i="2" s="1"/>
  <c r="X2091" i="2" a="1"/>
  <c r="X2091" i="2" s="1"/>
  <c r="X2092" i="2" a="1"/>
  <c r="X2092" i="2" s="1"/>
  <c r="X2093" i="2" a="1"/>
  <c r="X2093" i="2"/>
  <c r="X2094" i="2" a="1"/>
  <c r="X2094" i="2" s="1"/>
  <c r="X2095" i="2" a="1"/>
  <c r="X2095" i="2" s="1"/>
  <c r="X2096" i="2" a="1"/>
  <c r="X2096" i="2" s="1"/>
  <c r="X2097" i="2" a="1"/>
  <c r="X2097" i="2" s="1"/>
  <c r="X2098" i="2" a="1"/>
  <c r="X2098" i="2" s="1"/>
  <c r="X2099" i="2" a="1"/>
  <c r="X2099" i="2"/>
  <c r="X2100" i="2" a="1"/>
  <c r="X2100" i="2" s="1"/>
  <c r="X2101" i="2" a="1"/>
  <c r="X2101" i="2" s="1"/>
  <c r="X2102" i="2" a="1"/>
  <c r="X2102" i="2" s="1"/>
  <c r="X2103" i="2" a="1"/>
  <c r="X2103" i="2" s="1"/>
  <c r="X2104" i="2" a="1"/>
  <c r="X2104" i="2" s="1"/>
  <c r="X2105" i="2" a="1"/>
  <c r="X2105" i="2"/>
  <c r="X2106" i="2" a="1"/>
  <c r="X2106" i="2" s="1"/>
  <c r="X2107" i="2" a="1"/>
  <c r="X2107" i="2" s="1"/>
  <c r="X2108" i="2" a="1"/>
  <c r="X2108" i="2" s="1"/>
  <c r="X2109" i="2" a="1"/>
  <c r="X2109" i="2" s="1"/>
  <c r="X2110" i="2" a="1"/>
  <c r="X2110" i="2" s="1"/>
  <c r="X2111" i="2" a="1"/>
  <c r="X2111" i="2"/>
  <c r="X2112" i="2" a="1"/>
  <c r="X2112" i="2" s="1"/>
  <c r="X2113" i="2" a="1"/>
  <c r="X2113" i="2" s="1"/>
  <c r="X2114" i="2" a="1"/>
  <c r="X2114" i="2" s="1"/>
  <c r="X2115" i="2" a="1"/>
  <c r="X2115" i="2" s="1"/>
  <c r="X2116" i="2" a="1"/>
  <c r="X2116" i="2" s="1"/>
  <c r="X2117" i="2" a="1"/>
  <c r="X2117" i="2"/>
  <c r="X2118" i="2" a="1"/>
  <c r="X2118" i="2" s="1"/>
  <c r="X2119" i="2" a="1"/>
  <c r="X2119" i="2" s="1"/>
  <c r="X2120" i="2" a="1"/>
  <c r="X2120" i="2" s="1"/>
  <c r="X2121" i="2" a="1"/>
  <c r="X2121" i="2" s="1"/>
  <c r="X2122" i="2" a="1"/>
  <c r="X2122" i="2" s="1"/>
  <c r="X2123" i="2" a="1"/>
  <c r="X2123" i="2"/>
  <c r="X2124" i="2" a="1"/>
  <c r="X2124" i="2" s="1"/>
  <c r="X2125" i="2" a="1"/>
  <c r="X2125" i="2" s="1"/>
  <c r="X2126" i="2" a="1"/>
  <c r="X2126" i="2" s="1"/>
  <c r="X2127" i="2" a="1"/>
  <c r="X2127" i="2" s="1"/>
  <c r="X2128" i="2" a="1"/>
  <c r="X2128" i="2" s="1"/>
  <c r="X2129" i="2" a="1"/>
  <c r="X2129" i="2"/>
  <c r="X2130" i="2" a="1"/>
  <c r="X2130" i="2" s="1"/>
  <c r="X2131" i="2" a="1"/>
  <c r="X2131" i="2" s="1"/>
  <c r="X2132" i="2" a="1"/>
  <c r="X2132" i="2" s="1"/>
  <c r="X2133" i="2" a="1"/>
  <c r="X2133" i="2" s="1"/>
  <c r="X2134" i="2" a="1"/>
  <c r="X2134" i="2" s="1"/>
  <c r="X2135" i="2" a="1"/>
  <c r="X2135" i="2"/>
  <c r="X2136" i="2" a="1"/>
  <c r="X2136" i="2" s="1"/>
  <c r="X2137" i="2" a="1"/>
  <c r="X2137" i="2" s="1"/>
  <c r="X2138" i="2" a="1"/>
  <c r="X2138" i="2" s="1"/>
  <c r="X2139" i="2" a="1"/>
  <c r="X2139" i="2" s="1"/>
  <c r="X2140" i="2" a="1"/>
  <c r="X2140" i="2" s="1"/>
  <c r="X2141" i="2" a="1"/>
  <c r="X2141" i="2"/>
  <c r="X2142" i="2" a="1"/>
  <c r="X2142" i="2" s="1"/>
  <c r="X2143" i="2" a="1"/>
  <c r="X2143" i="2" s="1"/>
  <c r="X2144" i="2" a="1"/>
  <c r="X2144" i="2" s="1"/>
  <c r="X2145" i="2" a="1"/>
  <c r="X2145" i="2" s="1"/>
  <c r="X2146" i="2" a="1"/>
  <c r="X2146" i="2" s="1"/>
  <c r="X2147" i="2" a="1"/>
  <c r="X2147" i="2"/>
  <c r="X2148" i="2" a="1"/>
  <c r="X2148" i="2" s="1"/>
  <c r="X2149" i="2" a="1"/>
  <c r="X2149" i="2" s="1"/>
  <c r="X2150" i="2" a="1"/>
  <c r="X2150" i="2" s="1"/>
  <c r="X2151" i="2" a="1"/>
  <c r="X2151" i="2" s="1"/>
  <c r="X2152" i="2" a="1"/>
  <c r="X2152" i="2" s="1"/>
  <c r="X2153" i="2" a="1"/>
  <c r="X2153" i="2"/>
  <c r="X2154" i="2" a="1"/>
  <c r="X2154" i="2" s="1"/>
  <c r="X2155" i="2" a="1"/>
  <c r="X2155" i="2" s="1"/>
  <c r="X2156" i="2" a="1"/>
  <c r="X2156" i="2" s="1"/>
  <c r="X2157" i="2" a="1"/>
  <c r="X2157" i="2" s="1"/>
  <c r="X2158" i="2" a="1"/>
  <c r="X2158" i="2" s="1"/>
  <c r="X2159" i="2" a="1"/>
  <c r="X2159" i="2"/>
  <c r="X2160" i="2" a="1"/>
  <c r="X2160" i="2" s="1"/>
  <c r="X2161" i="2" a="1"/>
  <c r="X2161" i="2" s="1"/>
  <c r="X2162" i="2" a="1"/>
  <c r="X2162" i="2" s="1"/>
  <c r="X2163" i="2" a="1"/>
  <c r="X2163" i="2" s="1"/>
  <c r="X2164" i="2" a="1"/>
  <c r="X2164" i="2" s="1"/>
  <c r="X2165" i="2" a="1"/>
  <c r="X2165" i="2"/>
  <c r="X2166" i="2" a="1"/>
  <c r="X2166" i="2" s="1"/>
  <c r="X2167" i="2" a="1"/>
  <c r="X2167" i="2" s="1"/>
  <c r="X2168" i="2" a="1"/>
  <c r="X2168" i="2" s="1"/>
  <c r="X2169" i="2" a="1"/>
  <c r="X2169" i="2" s="1"/>
  <c r="X2170" i="2" a="1"/>
  <c r="X2170" i="2" s="1"/>
  <c r="X2171" i="2" a="1"/>
  <c r="X2171" i="2"/>
  <c r="X2172" i="2" a="1"/>
  <c r="X2172" i="2" s="1"/>
  <c r="X2173" i="2" a="1"/>
  <c r="X2173" i="2" s="1"/>
  <c r="X2174" i="2" a="1"/>
  <c r="X2174" i="2" s="1"/>
  <c r="X2175" i="2" a="1"/>
  <c r="X2175" i="2" s="1"/>
  <c r="X2176" i="2" a="1"/>
  <c r="X2176" i="2" s="1"/>
  <c r="X2177" i="2" a="1"/>
  <c r="X2177" i="2"/>
  <c r="X2178" i="2" a="1"/>
  <c r="X2178" i="2" s="1"/>
  <c r="X2179" i="2" a="1"/>
  <c r="X2179" i="2" s="1"/>
  <c r="X2180" i="2" a="1"/>
  <c r="X2180" i="2" s="1"/>
  <c r="X2181" i="2" a="1"/>
  <c r="X2181" i="2" s="1"/>
  <c r="X2182" i="2" a="1"/>
  <c r="X2182" i="2" s="1"/>
  <c r="X2183" i="2" a="1"/>
  <c r="X2183" i="2"/>
  <c r="X2184" i="2" a="1"/>
  <c r="X2184" i="2" s="1"/>
  <c r="X2185" i="2" a="1"/>
  <c r="X2185" i="2" s="1"/>
  <c r="X2186" i="2" a="1"/>
  <c r="X2186" i="2" s="1"/>
  <c r="X2187" i="2" a="1"/>
  <c r="X2187" i="2" s="1"/>
  <c r="X2188" i="2" a="1"/>
  <c r="X2188" i="2" s="1"/>
  <c r="X2189" i="2" a="1"/>
  <c r="X2189" i="2"/>
  <c r="X2190" i="2" a="1"/>
  <c r="X2190" i="2" s="1"/>
  <c r="X2191" i="2" a="1"/>
  <c r="X2191" i="2" s="1"/>
  <c r="X2192" i="2" a="1"/>
  <c r="X2192" i="2" s="1"/>
  <c r="X2193" i="2" a="1"/>
  <c r="X2193" i="2" s="1"/>
  <c r="X2194" i="2" a="1"/>
  <c r="X2194" i="2" s="1"/>
  <c r="X2195" i="2" a="1"/>
  <c r="X2195" i="2"/>
  <c r="X2196" i="2" a="1"/>
  <c r="X2196" i="2" s="1"/>
  <c r="X2197" i="2" a="1"/>
  <c r="X2197" i="2" s="1"/>
  <c r="X2198" i="2" a="1"/>
  <c r="X2198" i="2" s="1"/>
  <c r="X2199" i="2" a="1"/>
  <c r="X2199" i="2" s="1"/>
  <c r="X2200" i="2" a="1"/>
  <c r="X2200" i="2" s="1"/>
  <c r="X2201" i="2" a="1"/>
  <c r="X2201" i="2"/>
  <c r="X2202" i="2" a="1"/>
  <c r="X2202" i="2" s="1"/>
  <c r="X2203" i="2" a="1"/>
  <c r="X2203" i="2" s="1"/>
  <c r="X2204" i="2" a="1"/>
  <c r="X2204" i="2" s="1"/>
  <c r="X2205" i="2" a="1"/>
  <c r="X2205" i="2" s="1"/>
  <c r="X2206" i="2" a="1"/>
  <c r="X2206" i="2" s="1"/>
  <c r="X2" i="2" a="1"/>
  <c r="X2" i="2" s="1"/>
  <c r="V3" i="2" a="1"/>
  <c r="V3" i="2" s="1"/>
  <c r="V4" i="2" a="1"/>
  <c r="V4" i="2" s="1"/>
  <c r="V5" i="2" a="1"/>
  <c r="V5" i="2" s="1"/>
  <c r="V6" i="2" a="1"/>
  <c r="V6" i="2" s="1"/>
  <c r="V7" i="2" a="1"/>
  <c r="V7" i="2" s="1"/>
  <c r="V8" i="2" a="1"/>
  <c r="V8" i="2"/>
  <c r="V9" i="2" a="1"/>
  <c r="V9" i="2" s="1"/>
  <c r="V10" i="2" a="1"/>
  <c r="V10" i="2" s="1"/>
  <c r="V11" i="2" a="1"/>
  <c r="V11" i="2" s="1"/>
  <c r="V12" i="2" a="1"/>
  <c r="V12" i="2" s="1"/>
  <c r="V13" i="2" a="1"/>
  <c r="V13" i="2" s="1"/>
  <c r="V14" i="2" a="1"/>
  <c r="V14" i="2" s="1"/>
  <c r="V15" i="2" a="1"/>
  <c r="V15" i="2" s="1"/>
  <c r="V16" i="2" a="1"/>
  <c r="V16" i="2" s="1"/>
  <c r="V17" i="2" a="1"/>
  <c r="V17" i="2" s="1"/>
  <c r="V18" i="2" a="1"/>
  <c r="V18" i="2" s="1"/>
  <c r="V19" i="2" a="1"/>
  <c r="V19" i="2" s="1"/>
  <c r="V20" i="2" a="1"/>
  <c r="V20" i="2"/>
  <c r="V21" i="2" a="1"/>
  <c r="V21" i="2" s="1"/>
  <c r="V22" i="2" a="1"/>
  <c r="V22" i="2" s="1"/>
  <c r="V23" i="2" a="1"/>
  <c r="V23" i="2" s="1"/>
  <c r="V24" i="2" a="1"/>
  <c r="V24" i="2" s="1"/>
  <c r="V25" i="2" a="1"/>
  <c r="V25" i="2" s="1"/>
  <c r="V26" i="2" a="1"/>
  <c r="V26" i="2"/>
  <c r="V27" i="2" a="1"/>
  <c r="V27" i="2" s="1"/>
  <c r="V28" i="2" a="1"/>
  <c r="V28" i="2" s="1"/>
  <c r="V29" i="2" a="1"/>
  <c r="V29" i="2" s="1"/>
  <c r="V30" i="2" a="1"/>
  <c r="V30" i="2" s="1"/>
  <c r="V31" i="2" a="1"/>
  <c r="V31" i="2" s="1"/>
  <c r="V32" i="2" a="1"/>
  <c r="V32" i="2"/>
  <c r="V33" i="2" a="1"/>
  <c r="V33" i="2" s="1"/>
  <c r="V34" i="2" a="1"/>
  <c r="V34" i="2" s="1"/>
  <c r="V35" i="2" a="1"/>
  <c r="V35" i="2" s="1"/>
  <c r="V36" i="2" a="1"/>
  <c r="V36" i="2" s="1"/>
  <c r="V37" i="2" a="1"/>
  <c r="V37" i="2" s="1"/>
  <c r="V38" i="2" a="1"/>
  <c r="V38" i="2" s="1"/>
  <c r="V39" i="2" a="1"/>
  <c r="V39" i="2" s="1"/>
  <c r="V40" i="2" a="1"/>
  <c r="V40" i="2" s="1"/>
  <c r="V41" i="2" a="1"/>
  <c r="V41" i="2" s="1"/>
  <c r="V42" i="2" a="1"/>
  <c r="V42" i="2" s="1"/>
  <c r="V43" i="2" a="1"/>
  <c r="V43" i="2" s="1"/>
  <c r="V44" i="2" a="1"/>
  <c r="V44" i="2"/>
  <c r="V45" i="2" a="1"/>
  <c r="V45" i="2" s="1"/>
  <c r="V46" i="2" a="1"/>
  <c r="V46" i="2" s="1"/>
  <c r="V47" i="2" a="1"/>
  <c r="V47" i="2" s="1"/>
  <c r="V48" i="2" a="1"/>
  <c r="V48" i="2" s="1"/>
  <c r="V49" i="2" a="1"/>
  <c r="V49" i="2" s="1"/>
  <c r="V50" i="2" a="1"/>
  <c r="V50" i="2" s="1"/>
  <c r="V51" i="2" a="1"/>
  <c r="V51" i="2" s="1"/>
  <c r="V52" i="2" a="1"/>
  <c r="V52" i="2" s="1"/>
  <c r="V53" i="2" a="1"/>
  <c r="V53" i="2" s="1"/>
  <c r="V54" i="2" a="1"/>
  <c r="V54" i="2" s="1"/>
  <c r="V55" i="2" a="1"/>
  <c r="V55" i="2" s="1"/>
  <c r="V56" i="2" a="1"/>
  <c r="V56" i="2"/>
  <c r="V57" i="2" a="1"/>
  <c r="V57" i="2" s="1"/>
  <c r="V58" i="2" a="1"/>
  <c r="V58" i="2" s="1"/>
  <c r="V59" i="2" a="1"/>
  <c r="V59" i="2" s="1"/>
  <c r="V60" i="2" a="1"/>
  <c r="V60" i="2" s="1"/>
  <c r="V61" i="2" a="1"/>
  <c r="V61" i="2" s="1"/>
  <c r="V62" i="2" a="1"/>
  <c r="V62" i="2" s="1"/>
  <c r="V63" i="2" a="1"/>
  <c r="V63" i="2" s="1"/>
  <c r="V64" i="2" a="1"/>
  <c r="V64" i="2" s="1"/>
  <c r="V65" i="2" a="1"/>
  <c r="V65" i="2" s="1"/>
  <c r="V66" i="2" a="1"/>
  <c r="V66" i="2" s="1"/>
  <c r="V67" i="2" a="1"/>
  <c r="V67" i="2" s="1"/>
  <c r="V68" i="2" a="1"/>
  <c r="V68" i="2" s="1"/>
  <c r="V69" i="2" a="1"/>
  <c r="V69" i="2" s="1"/>
  <c r="V70" i="2" a="1"/>
  <c r="V70" i="2" s="1"/>
  <c r="V71" i="2" a="1"/>
  <c r="V71" i="2" s="1"/>
  <c r="V72" i="2" a="1"/>
  <c r="V72" i="2" s="1"/>
  <c r="V73" i="2" a="1"/>
  <c r="V73" i="2" s="1"/>
  <c r="V74" i="2" a="1"/>
  <c r="V74" i="2"/>
  <c r="V75" i="2" a="1"/>
  <c r="V75" i="2" s="1"/>
  <c r="V76" i="2" a="1"/>
  <c r="V76" i="2" s="1"/>
  <c r="V77" i="2" a="1"/>
  <c r="V77" i="2" s="1"/>
  <c r="V78" i="2" a="1"/>
  <c r="V78" i="2" s="1"/>
  <c r="V79" i="2" a="1"/>
  <c r="V79" i="2" s="1"/>
  <c r="V80" i="2" a="1"/>
  <c r="V80" i="2"/>
  <c r="V81" i="2" a="1"/>
  <c r="V81" i="2" s="1"/>
  <c r="V82" i="2" a="1"/>
  <c r="V82" i="2" s="1"/>
  <c r="V83" i="2" a="1"/>
  <c r="V83" i="2" s="1"/>
  <c r="V84" i="2" a="1"/>
  <c r="V84" i="2" s="1"/>
  <c r="V85" i="2" a="1"/>
  <c r="V85" i="2" s="1"/>
  <c r="V86" i="2" a="1"/>
  <c r="V86" i="2" s="1"/>
  <c r="V87" i="2" a="1"/>
  <c r="V87" i="2" s="1"/>
  <c r="V88" i="2" a="1"/>
  <c r="V88" i="2" s="1"/>
  <c r="V89" i="2" a="1"/>
  <c r="V89" i="2" s="1"/>
  <c r="V90" i="2" a="1"/>
  <c r="V90" i="2" s="1"/>
  <c r="V91" i="2" a="1"/>
  <c r="V91" i="2" s="1"/>
  <c r="V92" i="2" a="1"/>
  <c r="V92" i="2" s="1"/>
  <c r="V93" i="2" a="1"/>
  <c r="V93" i="2" s="1"/>
  <c r="V94" i="2" a="1"/>
  <c r="V94" i="2" s="1"/>
  <c r="V95" i="2" a="1"/>
  <c r="V95" i="2" s="1"/>
  <c r="V96" i="2" a="1"/>
  <c r="V96" i="2" s="1"/>
  <c r="V97" i="2" a="1"/>
  <c r="V97" i="2" s="1"/>
  <c r="V98" i="2" a="1"/>
  <c r="V98" i="2" s="1"/>
  <c r="V99" i="2" a="1"/>
  <c r="V99" i="2" s="1"/>
  <c r="V100" i="2" a="1"/>
  <c r="V100" i="2" s="1"/>
  <c r="V101" i="2" a="1"/>
  <c r="V101" i="2" s="1"/>
  <c r="V102" i="2" a="1"/>
  <c r="V102" i="2" s="1"/>
  <c r="V103" i="2" a="1"/>
  <c r="V103" i="2" s="1"/>
  <c r="V104" i="2" a="1"/>
  <c r="V104" i="2" s="1"/>
  <c r="V105" i="2" a="1"/>
  <c r="V105" i="2" s="1"/>
  <c r="V106" i="2" a="1"/>
  <c r="V106" i="2" s="1"/>
  <c r="V107" i="2" a="1"/>
  <c r="V107" i="2" s="1"/>
  <c r="V108" i="2" a="1"/>
  <c r="V108" i="2" s="1"/>
  <c r="V109" i="2" a="1"/>
  <c r="V109" i="2" s="1"/>
  <c r="V110" i="2" a="1"/>
  <c r="V110" i="2" s="1"/>
  <c r="V111" i="2" a="1"/>
  <c r="V111" i="2" s="1"/>
  <c r="V112" i="2" a="1"/>
  <c r="V112" i="2" s="1"/>
  <c r="V113" i="2" a="1"/>
  <c r="V113" i="2" s="1"/>
  <c r="V114" i="2" a="1"/>
  <c r="V114" i="2" s="1"/>
  <c r="V115" i="2" a="1"/>
  <c r="V115" i="2" s="1"/>
  <c r="V116" i="2" a="1"/>
  <c r="V116" i="2" s="1"/>
  <c r="V117" i="2" a="1"/>
  <c r="V117" i="2" s="1"/>
  <c r="V118" i="2" a="1"/>
  <c r="V118" i="2" s="1"/>
  <c r="V119" i="2" a="1"/>
  <c r="V119" i="2" s="1"/>
  <c r="V120" i="2" a="1"/>
  <c r="V120" i="2" s="1"/>
  <c r="V121" i="2" a="1"/>
  <c r="V121" i="2" s="1"/>
  <c r="V122" i="2" a="1"/>
  <c r="V122" i="2" s="1"/>
  <c r="V123" i="2" a="1"/>
  <c r="V123" i="2" s="1"/>
  <c r="V124" i="2" a="1"/>
  <c r="V124" i="2" s="1"/>
  <c r="V125" i="2" a="1"/>
  <c r="V125" i="2" s="1"/>
  <c r="V126" i="2" a="1"/>
  <c r="V126" i="2" s="1"/>
  <c r="V127" i="2" a="1"/>
  <c r="V127" i="2" s="1"/>
  <c r="V128" i="2" a="1"/>
  <c r="V128" i="2"/>
  <c r="V129" i="2" a="1"/>
  <c r="V129" i="2" s="1"/>
  <c r="V130" i="2" a="1"/>
  <c r="V130" i="2" s="1"/>
  <c r="V131" i="2" a="1"/>
  <c r="V131" i="2" s="1"/>
  <c r="V132" i="2" a="1"/>
  <c r="V132" i="2" s="1"/>
  <c r="V133" i="2" a="1"/>
  <c r="V133" i="2" s="1"/>
  <c r="V134" i="2" a="1"/>
  <c r="V134" i="2" s="1"/>
  <c r="V135" i="2" a="1"/>
  <c r="V135" i="2" s="1"/>
  <c r="V136" i="2" a="1"/>
  <c r="V136" i="2" s="1"/>
  <c r="V137" i="2" a="1"/>
  <c r="V137" i="2" s="1"/>
  <c r="V138" i="2" a="1"/>
  <c r="V138" i="2" s="1"/>
  <c r="V139" i="2" a="1"/>
  <c r="V139" i="2" s="1"/>
  <c r="V140" i="2" a="1"/>
  <c r="V140" i="2" s="1"/>
  <c r="V141" i="2" a="1"/>
  <c r="V141" i="2" s="1"/>
  <c r="V142" i="2" a="1"/>
  <c r="V142" i="2" s="1"/>
  <c r="V143" i="2" a="1"/>
  <c r="V143" i="2" s="1"/>
  <c r="V144" i="2" a="1"/>
  <c r="V144" i="2" s="1"/>
  <c r="V145" i="2" a="1"/>
  <c r="V145" i="2" s="1"/>
  <c r="V146" i="2" a="1"/>
  <c r="V146" i="2" s="1"/>
  <c r="V147" i="2" a="1"/>
  <c r="V147" i="2" s="1"/>
  <c r="V148" i="2" a="1"/>
  <c r="V148" i="2" s="1"/>
  <c r="V149" i="2" a="1"/>
  <c r="V149" i="2" s="1"/>
  <c r="V150" i="2" a="1"/>
  <c r="V150" i="2" s="1"/>
  <c r="V151" i="2" a="1"/>
  <c r="V151" i="2" s="1"/>
  <c r="V152" i="2" a="1"/>
  <c r="V152" i="2"/>
  <c r="V153" i="2" a="1"/>
  <c r="V153" i="2" s="1"/>
  <c r="V154" i="2" a="1"/>
  <c r="V154" i="2" s="1"/>
  <c r="V155" i="2" a="1"/>
  <c r="V155" i="2" s="1"/>
  <c r="V156" i="2" a="1"/>
  <c r="V156" i="2" s="1"/>
  <c r="V157" i="2" a="1"/>
  <c r="V157" i="2" s="1"/>
  <c r="V158" i="2" a="1"/>
  <c r="V158" i="2" s="1"/>
  <c r="V159" i="2" a="1"/>
  <c r="V159" i="2" s="1"/>
  <c r="V160" i="2" a="1"/>
  <c r="V160" i="2" s="1"/>
  <c r="V161" i="2" a="1"/>
  <c r="V161" i="2" s="1"/>
  <c r="V162" i="2" a="1"/>
  <c r="V162" i="2" s="1"/>
  <c r="V163" i="2" a="1"/>
  <c r="V163" i="2" s="1"/>
  <c r="V164" i="2" a="1"/>
  <c r="V164" i="2" s="1"/>
  <c r="V165" i="2" a="1"/>
  <c r="V165" i="2" s="1"/>
  <c r="V166" i="2" a="1"/>
  <c r="V166" i="2" s="1"/>
  <c r="V167" i="2" a="1"/>
  <c r="V167" i="2" s="1"/>
  <c r="V168" i="2" a="1"/>
  <c r="V168" i="2" s="1"/>
  <c r="V169" i="2" a="1"/>
  <c r="V169" i="2" s="1"/>
  <c r="V170" i="2" a="1"/>
  <c r="V170" i="2" s="1"/>
  <c r="V171" i="2" a="1"/>
  <c r="V171" i="2" s="1"/>
  <c r="V172" i="2" a="1"/>
  <c r="V172" i="2" s="1"/>
  <c r="V173" i="2" a="1"/>
  <c r="V173" i="2" s="1"/>
  <c r="V174" i="2" a="1"/>
  <c r="V174" i="2" s="1"/>
  <c r="V175" i="2" a="1"/>
  <c r="V175" i="2" s="1"/>
  <c r="V176" i="2" a="1"/>
  <c r="V176" i="2"/>
  <c r="V177" i="2" a="1"/>
  <c r="V177" i="2" s="1"/>
  <c r="V178" i="2" a="1"/>
  <c r="V178" i="2" s="1"/>
  <c r="V179" i="2" a="1"/>
  <c r="V179" i="2" s="1"/>
  <c r="V180" i="2" a="1"/>
  <c r="V180" i="2" s="1"/>
  <c r="V181" i="2" a="1"/>
  <c r="V181" i="2" s="1"/>
  <c r="V182" i="2" a="1"/>
  <c r="V182" i="2" s="1"/>
  <c r="V183" i="2" a="1"/>
  <c r="V183" i="2" s="1"/>
  <c r="V184" i="2" a="1"/>
  <c r="V184" i="2" s="1"/>
  <c r="V185" i="2" a="1"/>
  <c r="V185" i="2" s="1"/>
  <c r="V186" i="2" a="1"/>
  <c r="V186" i="2" s="1"/>
  <c r="V187" i="2" a="1"/>
  <c r="V187" i="2" s="1"/>
  <c r="V188" i="2" a="1"/>
  <c r="V188" i="2" s="1"/>
  <c r="V189" i="2" a="1"/>
  <c r="V189" i="2" s="1"/>
  <c r="V190" i="2" a="1"/>
  <c r="V190" i="2" s="1"/>
  <c r="V191" i="2" a="1"/>
  <c r="V191" i="2" s="1"/>
  <c r="V192" i="2" a="1"/>
  <c r="V192" i="2" s="1"/>
  <c r="V193" i="2" a="1"/>
  <c r="V193" i="2" s="1"/>
  <c r="V194" i="2" a="1"/>
  <c r="V194" i="2" s="1"/>
  <c r="V195" i="2" a="1"/>
  <c r="V195" i="2" s="1"/>
  <c r="V196" i="2" a="1"/>
  <c r="V196" i="2" s="1"/>
  <c r="V197" i="2" a="1"/>
  <c r="V197" i="2" s="1"/>
  <c r="V198" i="2" a="1"/>
  <c r="V198" i="2" s="1"/>
  <c r="V199" i="2" a="1"/>
  <c r="V199" i="2" s="1"/>
  <c r="V200" i="2" a="1"/>
  <c r="V200" i="2"/>
  <c r="V201" i="2" a="1"/>
  <c r="V201" i="2" s="1"/>
  <c r="V202" i="2" a="1"/>
  <c r="V202" i="2" s="1"/>
  <c r="V203" i="2" a="1"/>
  <c r="V203" i="2" s="1"/>
  <c r="V204" i="2" a="1"/>
  <c r="V204" i="2" s="1"/>
  <c r="V205" i="2" a="1"/>
  <c r="V205" i="2" s="1"/>
  <c r="V206" i="2" a="1"/>
  <c r="V206" i="2" s="1"/>
  <c r="V207" i="2" a="1"/>
  <c r="V207" i="2" s="1"/>
  <c r="V208" i="2" a="1"/>
  <c r="V208" i="2" s="1"/>
  <c r="V209" i="2" a="1"/>
  <c r="V209" i="2" s="1"/>
  <c r="V210" i="2" a="1"/>
  <c r="V210" i="2" s="1"/>
  <c r="V211" i="2" a="1"/>
  <c r="V211" i="2" s="1"/>
  <c r="V212" i="2" a="1"/>
  <c r="V212" i="2" s="1"/>
  <c r="V213" i="2" a="1"/>
  <c r="V213" i="2" s="1"/>
  <c r="V214" i="2" a="1"/>
  <c r="V214" i="2" s="1"/>
  <c r="V215" i="2" a="1"/>
  <c r="V215" i="2" s="1"/>
  <c r="V216" i="2" a="1"/>
  <c r="V216" i="2" s="1"/>
  <c r="V217" i="2" a="1"/>
  <c r="V217" i="2" s="1"/>
  <c r="V218" i="2" a="1"/>
  <c r="V218" i="2" s="1"/>
  <c r="V219" i="2" a="1"/>
  <c r="V219" i="2" s="1"/>
  <c r="V220" i="2" a="1"/>
  <c r="V220" i="2" s="1"/>
  <c r="V221" i="2" a="1"/>
  <c r="V221" i="2" s="1"/>
  <c r="V222" i="2" a="1"/>
  <c r="V222" i="2" s="1"/>
  <c r="V223" i="2" a="1"/>
  <c r="V223" i="2" s="1"/>
  <c r="V224" i="2" a="1"/>
  <c r="V224" i="2" s="1"/>
  <c r="V225" i="2" a="1"/>
  <c r="V225" i="2" s="1"/>
  <c r="V226" i="2" a="1"/>
  <c r="V226" i="2" s="1"/>
  <c r="V227" i="2" a="1"/>
  <c r="V227" i="2" s="1"/>
  <c r="V228" i="2" a="1"/>
  <c r="V228" i="2" s="1"/>
  <c r="V229" i="2" a="1"/>
  <c r="V229" i="2" s="1"/>
  <c r="V230" i="2" a="1"/>
  <c r="V230" i="2" s="1"/>
  <c r="V231" i="2" a="1"/>
  <c r="V231" i="2" s="1"/>
  <c r="V232" i="2" a="1"/>
  <c r="V232" i="2" s="1"/>
  <c r="V233" i="2" a="1"/>
  <c r="V233" i="2" s="1"/>
  <c r="V234" i="2" a="1"/>
  <c r="V234" i="2" s="1"/>
  <c r="V235" i="2" a="1"/>
  <c r="V235" i="2" s="1"/>
  <c r="V236" i="2" a="1"/>
  <c r="V236" i="2" s="1"/>
  <c r="V237" i="2" a="1"/>
  <c r="V237" i="2" s="1"/>
  <c r="V238" i="2" a="1"/>
  <c r="V238" i="2" s="1"/>
  <c r="V239" i="2" a="1"/>
  <c r="V239" i="2" s="1"/>
  <c r="V240" i="2" a="1"/>
  <c r="V240" i="2" s="1"/>
  <c r="V241" i="2" a="1"/>
  <c r="V241" i="2" s="1"/>
  <c r="V242" i="2" a="1"/>
  <c r="V242" i="2" s="1"/>
  <c r="V243" i="2" a="1"/>
  <c r="V243" i="2" s="1"/>
  <c r="V244" i="2" a="1"/>
  <c r="V244" i="2" s="1"/>
  <c r="V245" i="2" a="1"/>
  <c r="V245" i="2" s="1"/>
  <c r="V246" i="2" a="1"/>
  <c r="V246" i="2" s="1"/>
  <c r="V247" i="2" a="1"/>
  <c r="V247" i="2" s="1"/>
  <c r="V248" i="2" a="1"/>
  <c r="V248" i="2" s="1"/>
  <c r="V249" i="2" a="1"/>
  <c r="V249" i="2" s="1"/>
  <c r="V250" i="2" a="1"/>
  <c r="V250" i="2" s="1"/>
  <c r="V251" i="2" a="1"/>
  <c r="V251" i="2" s="1"/>
  <c r="V252" i="2" a="1"/>
  <c r="V252" i="2" s="1"/>
  <c r="V253" i="2" a="1"/>
  <c r="V253" i="2" s="1"/>
  <c r="V254" i="2" a="1"/>
  <c r="V254" i="2"/>
  <c r="V255" i="2" a="1"/>
  <c r="V255" i="2" s="1"/>
  <c r="V256" i="2" a="1"/>
  <c r="V256" i="2" s="1"/>
  <c r="V257" i="2" a="1"/>
  <c r="V257" i="2" s="1"/>
  <c r="V258" i="2" a="1"/>
  <c r="V258" i="2" s="1"/>
  <c r="V259" i="2" a="1"/>
  <c r="V259" i="2" s="1"/>
  <c r="V260" i="2" a="1"/>
  <c r="V260" i="2" s="1"/>
  <c r="V261" i="2" a="1"/>
  <c r="V261" i="2" s="1"/>
  <c r="V262" i="2" a="1"/>
  <c r="V262" i="2" s="1"/>
  <c r="V263" i="2" a="1"/>
  <c r="V263" i="2" s="1"/>
  <c r="V264" i="2" a="1"/>
  <c r="V264" i="2" s="1"/>
  <c r="V265" i="2" a="1"/>
  <c r="V265" i="2" s="1"/>
  <c r="V266" i="2" a="1"/>
  <c r="V266" i="2" s="1"/>
  <c r="V267" i="2" a="1"/>
  <c r="V267" i="2" s="1"/>
  <c r="V268" i="2" a="1"/>
  <c r="V268" i="2" s="1"/>
  <c r="V269" i="2" a="1"/>
  <c r="V269" i="2" s="1"/>
  <c r="V270" i="2" a="1"/>
  <c r="V270" i="2" s="1"/>
  <c r="V271" i="2" a="1"/>
  <c r="V271" i="2" s="1"/>
  <c r="V272" i="2" a="1"/>
  <c r="V272" i="2"/>
  <c r="V273" i="2" a="1"/>
  <c r="V273" i="2" s="1"/>
  <c r="V274" i="2" a="1"/>
  <c r="V274" i="2" s="1"/>
  <c r="V275" i="2" a="1"/>
  <c r="V275" i="2" s="1"/>
  <c r="V276" i="2" a="1"/>
  <c r="V276" i="2" s="1"/>
  <c r="V277" i="2" a="1"/>
  <c r="V277" i="2" s="1"/>
  <c r="V278" i="2" a="1"/>
  <c r="V278" i="2" s="1"/>
  <c r="V279" i="2" a="1"/>
  <c r="V279" i="2" s="1"/>
  <c r="V280" i="2" a="1"/>
  <c r="V280" i="2" s="1"/>
  <c r="V281" i="2" a="1"/>
  <c r="V281" i="2" s="1"/>
  <c r="V282" i="2" a="1"/>
  <c r="V282" i="2" s="1"/>
  <c r="V283" i="2" a="1"/>
  <c r="V283" i="2" s="1"/>
  <c r="V284" i="2" a="1"/>
  <c r="V284" i="2" s="1"/>
  <c r="V285" i="2" a="1"/>
  <c r="V285" i="2" s="1"/>
  <c r="V286" i="2" a="1"/>
  <c r="V286" i="2" s="1"/>
  <c r="V287" i="2" a="1"/>
  <c r="V287" i="2" s="1"/>
  <c r="V288" i="2" a="1"/>
  <c r="V288" i="2" s="1"/>
  <c r="V289" i="2" a="1"/>
  <c r="V289" i="2" s="1"/>
  <c r="V290" i="2" a="1"/>
  <c r="V290" i="2" s="1"/>
  <c r="V291" i="2" a="1"/>
  <c r="V291" i="2" s="1"/>
  <c r="V292" i="2" a="1"/>
  <c r="V292" i="2" s="1"/>
  <c r="V293" i="2" a="1"/>
  <c r="V293" i="2" s="1"/>
  <c r="V294" i="2" a="1"/>
  <c r="V294" i="2" s="1"/>
  <c r="V295" i="2" a="1"/>
  <c r="V295" i="2" s="1"/>
  <c r="V296" i="2" a="1"/>
  <c r="V296" i="2" s="1"/>
  <c r="V297" i="2" a="1"/>
  <c r="V297" i="2" s="1"/>
  <c r="V298" i="2" a="1"/>
  <c r="V298" i="2" s="1"/>
  <c r="V299" i="2" a="1"/>
  <c r="V299" i="2" s="1"/>
  <c r="V300" i="2" a="1"/>
  <c r="V300" i="2" s="1"/>
  <c r="V301" i="2" a="1"/>
  <c r="V301" i="2" s="1"/>
  <c r="V302" i="2" a="1"/>
  <c r="V302" i="2" s="1"/>
  <c r="V303" i="2" a="1"/>
  <c r="V303" i="2" s="1"/>
  <c r="V304" i="2" a="1"/>
  <c r="V304" i="2" s="1"/>
  <c r="V305" i="2" a="1"/>
  <c r="V305" i="2" s="1"/>
  <c r="V306" i="2" a="1"/>
  <c r="V306" i="2" s="1"/>
  <c r="V307" i="2" a="1"/>
  <c r="V307" i="2" s="1"/>
  <c r="V308" i="2" a="1"/>
  <c r="V308" i="2" s="1"/>
  <c r="V309" i="2" a="1"/>
  <c r="V309" i="2" s="1"/>
  <c r="V310" i="2" a="1"/>
  <c r="V310" i="2" s="1"/>
  <c r="V311" i="2" a="1"/>
  <c r="V311" i="2" s="1"/>
  <c r="V312" i="2" a="1"/>
  <c r="V312" i="2" s="1"/>
  <c r="V313" i="2" a="1"/>
  <c r="V313" i="2" s="1"/>
  <c r="V314" i="2" a="1"/>
  <c r="V314" i="2" s="1"/>
  <c r="V315" i="2" a="1"/>
  <c r="V315" i="2" s="1"/>
  <c r="V316" i="2" a="1"/>
  <c r="V316" i="2" s="1"/>
  <c r="V317" i="2" a="1"/>
  <c r="V317" i="2" s="1"/>
  <c r="V318" i="2" a="1"/>
  <c r="V318" i="2" s="1"/>
  <c r="V319" i="2" a="1"/>
  <c r="V319" i="2" s="1"/>
  <c r="V320" i="2" a="1"/>
  <c r="V320" i="2" s="1"/>
  <c r="V321" i="2" a="1"/>
  <c r="V321" i="2" s="1"/>
  <c r="V322" i="2" a="1"/>
  <c r="V322" i="2" s="1"/>
  <c r="V323" i="2" a="1"/>
  <c r="V323" i="2" s="1"/>
  <c r="V324" i="2" a="1"/>
  <c r="V324" i="2" s="1"/>
  <c r="V325" i="2" a="1"/>
  <c r="V325" i="2" s="1"/>
  <c r="V326" i="2" a="1"/>
  <c r="V326" i="2" s="1"/>
  <c r="V327" i="2" a="1"/>
  <c r="V327" i="2" s="1"/>
  <c r="V328" i="2" a="1"/>
  <c r="V328" i="2" s="1"/>
  <c r="V329" i="2" a="1"/>
  <c r="V329" i="2" s="1"/>
  <c r="V330" i="2" a="1"/>
  <c r="V330" i="2" s="1"/>
  <c r="V331" i="2" a="1"/>
  <c r="V331" i="2" s="1"/>
  <c r="V332" i="2" a="1"/>
  <c r="V332" i="2"/>
  <c r="V333" i="2" a="1"/>
  <c r="V333" i="2" s="1"/>
  <c r="V334" i="2" a="1"/>
  <c r="V334" i="2" s="1"/>
  <c r="V335" i="2" a="1"/>
  <c r="V335" i="2" s="1"/>
  <c r="V336" i="2" a="1"/>
  <c r="V336" i="2" s="1"/>
  <c r="V337" i="2" a="1"/>
  <c r="V337" i="2" s="1"/>
  <c r="V338" i="2" a="1"/>
  <c r="V338" i="2" s="1"/>
  <c r="V339" i="2" a="1"/>
  <c r="V339" i="2" s="1"/>
  <c r="V340" i="2" a="1"/>
  <c r="V340" i="2" s="1"/>
  <c r="V341" i="2" a="1"/>
  <c r="V341" i="2" s="1"/>
  <c r="V342" i="2" a="1"/>
  <c r="V342" i="2" s="1"/>
  <c r="V343" i="2" a="1"/>
  <c r="V343" i="2" s="1"/>
  <c r="V344" i="2" a="1"/>
  <c r="V344" i="2" s="1"/>
  <c r="V345" i="2" a="1"/>
  <c r="V345" i="2" s="1"/>
  <c r="V346" i="2" a="1"/>
  <c r="V346" i="2" s="1"/>
  <c r="V347" i="2" a="1"/>
  <c r="V347" i="2" s="1"/>
  <c r="V348" i="2" a="1"/>
  <c r="V348" i="2" s="1"/>
  <c r="V349" i="2" a="1"/>
  <c r="V349" i="2" s="1"/>
  <c r="V350" i="2" a="1"/>
  <c r="V350" i="2" s="1"/>
  <c r="V351" i="2" a="1"/>
  <c r="V351" i="2" s="1"/>
  <c r="V352" i="2" a="1"/>
  <c r="V352" i="2" s="1"/>
  <c r="V353" i="2" a="1"/>
  <c r="V353" i="2" s="1"/>
  <c r="V354" i="2" a="1"/>
  <c r="V354" i="2" s="1"/>
  <c r="V355" i="2" a="1"/>
  <c r="V355" i="2" s="1"/>
  <c r="V356" i="2" a="1"/>
  <c r="V356" i="2" s="1"/>
  <c r="V357" i="2" a="1"/>
  <c r="V357" i="2" s="1"/>
  <c r="V358" i="2" a="1"/>
  <c r="V358" i="2" s="1"/>
  <c r="V359" i="2" a="1"/>
  <c r="V359" i="2" s="1"/>
  <c r="V360" i="2" a="1"/>
  <c r="V360" i="2" s="1"/>
  <c r="V361" i="2" a="1"/>
  <c r="V361" i="2" s="1"/>
  <c r="V362" i="2" a="1"/>
  <c r="V362" i="2" s="1"/>
  <c r="V363" i="2" a="1"/>
  <c r="V363" i="2" s="1"/>
  <c r="V364" i="2" a="1"/>
  <c r="V364" i="2" s="1"/>
  <c r="V365" i="2" a="1"/>
  <c r="V365" i="2" s="1"/>
  <c r="V366" i="2" a="1"/>
  <c r="V366" i="2" s="1"/>
  <c r="V367" i="2" a="1"/>
  <c r="V367" i="2" s="1"/>
  <c r="V368" i="2" a="1"/>
  <c r="V368" i="2" s="1"/>
  <c r="V369" i="2" a="1"/>
  <c r="V369" i="2" s="1"/>
  <c r="V370" i="2" a="1"/>
  <c r="V370" i="2" s="1"/>
  <c r="V371" i="2" a="1"/>
  <c r="V371" i="2" s="1"/>
  <c r="V372" i="2" a="1"/>
  <c r="V372" i="2" s="1"/>
  <c r="V373" i="2" a="1"/>
  <c r="V373" i="2" s="1"/>
  <c r="V374" i="2" a="1"/>
  <c r="V374" i="2" s="1"/>
  <c r="V375" i="2" a="1"/>
  <c r="V375" i="2" s="1"/>
  <c r="V376" i="2" a="1"/>
  <c r="V376" i="2" s="1"/>
  <c r="V377" i="2" a="1"/>
  <c r="V377" i="2" s="1"/>
  <c r="V378" i="2" a="1"/>
  <c r="V378" i="2" s="1"/>
  <c r="V379" i="2" a="1"/>
  <c r="V379" i="2" s="1"/>
  <c r="V380" i="2" a="1"/>
  <c r="V380" i="2" s="1"/>
  <c r="V381" i="2" a="1"/>
  <c r="V381" i="2" s="1"/>
  <c r="V382" i="2" a="1"/>
  <c r="V382" i="2" s="1"/>
  <c r="V383" i="2" a="1"/>
  <c r="V383" i="2" s="1"/>
  <c r="V384" i="2" a="1"/>
  <c r="V384" i="2" s="1"/>
  <c r="V385" i="2" a="1"/>
  <c r="V385" i="2" s="1"/>
  <c r="V386" i="2" a="1"/>
  <c r="V386" i="2" s="1"/>
  <c r="V387" i="2" a="1"/>
  <c r="V387" i="2" s="1"/>
  <c r="V388" i="2" a="1"/>
  <c r="V388" i="2" s="1"/>
  <c r="V389" i="2" a="1"/>
  <c r="V389" i="2" s="1"/>
  <c r="V390" i="2" a="1"/>
  <c r="V390" i="2" s="1"/>
  <c r="V391" i="2" a="1"/>
  <c r="V391" i="2" s="1"/>
  <c r="V392" i="2" a="1"/>
  <c r="V392" i="2"/>
  <c r="V393" i="2" a="1"/>
  <c r="V393" i="2" s="1"/>
  <c r="V394" i="2" a="1"/>
  <c r="V394" i="2" s="1"/>
  <c r="V395" i="2" a="1"/>
  <c r="V395" i="2" s="1"/>
  <c r="V396" i="2" a="1"/>
  <c r="V396" i="2" s="1"/>
  <c r="V397" i="2" a="1"/>
  <c r="V397" i="2" s="1"/>
  <c r="V398" i="2" a="1"/>
  <c r="V398" i="2" s="1"/>
  <c r="V399" i="2" a="1"/>
  <c r="V399" i="2" s="1"/>
  <c r="V400" i="2" a="1"/>
  <c r="V400" i="2" s="1"/>
  <c r="V401" i="2" a="1"/>
  <c r="V401" i="2" s="1"/>
  <c r="V402" i="2" a="1"/>
  <c r="V402" i="2" s="1"/>
  <c r="V403" i="2" a="1"/>
  <c r="V403" i="2" s="1"/>
  <c r="V404" i="2" a="1"/>
  <c r="V404" i="2" s="1"/>
  <c r="V405" i="2" a="1"/>
  <c r="V405" i="2" s="1"/>
  <c r="V406" i="2" a="1"/>
  <c r="V406" i="2" s="1"/>
  <c r="V407" i="2" a="1"/>
  <c r="V407" i="2" s="1"/>
  <c r="V408" i="2" a="1"/>
  <c r="V408" i="2" s="1"/>
  <c r="V409" i="2" a="1"/>
  <c r="V409" i="2" s="1"/>
  <c r="V410" i="2" a="1"/>
  <c r="V410" i="2" s="1"/>
  <c r="V411" i="2" a="1"/>
  <c r="V411" i="2" s="1"/>
  <c r="V412" i="2" a="1"/>
  <c r="V412" i="2" s="1"/>
  <c r="V413" i="2" a="1"/>
  <c r="V413" i="2" s="1"/>
  <c r="V414" i="2" a="1"/>
  <c r="V414" i="2" s="1"/>
  <c r="V415" i="2" a="1"/>
  <c r="V415" i="2" s="1"/>
  <c r="V416" i="2" a="1"/>
  <c r="V416" i="2"/>
  <c r="V417" i="2" a="1"/>
  <c r="V417" i="2" s="1"/>
  <c r="V418" i="2" a="1"/>
  <c r="V418" i="2" s="1"/>
  <c r="V419" i="2" a="1"/>
  <c r="V419" i="2" s="1"/>
  <c r="V420" i="2" a="1"/>
  <c r="V420" i="2" s="1"/>
  <c r="V421" i="2" a="1"/>
  <c r="V421" i="2" s="1"/>
  <c r="V422" i="2" a="1"/>
  <c r="V422" i="2" s="1"/>
  <c r="V423" i="2" a="1"/>
  <c r="V423" i="2" s="1"/>
  <c r="V424" i="2" a="1"/>
  <c r="V424" i="2" s="1"/>
  <c r="V425" i="2" a="1"/>
  <c r="V425" i="2" s="1"/>
  <c r="V426" i="2" a="1"/>
  <c r="V426" i="2" s="1"/>
  <c r="V427" i="2" a="1"/>
  <c r="V427" i="2" s="1"/>
  <c r="V428" i="2" a="1"/>
  <c r="V428" i="2" s="1"/>
  <c r="V429" i="2" a="1"/>
  <c r="V429" i="2" s="1"/>
  <c r="V430" i="2" a="1"/>
  <c r="V430" i="2" s="1"/>
  <c r="V431" i="2" a="1"/>
  <c r="V431" i="2" s="1"/>
  <c r="V432" i="2" a="1"/>
  <c r="V432" i="2" s="1"/>
  <c r="V433" i="2" a="1"/>
  <c r="V433" i="2" s="1"/>
  <c r="V434" i="2" a="1"/>
  <c r="V434" i="2" s="1"/>
  <c r="V435" i="2" a="1"/>
  <c r="V435" i="2" s="1"/>
  <c r="V436" i="2" a="1"/>
  <c r="V436" i="2" s="1"/>
  <c r="V437" i="2" a="1"/>
  <c r="V437" i="2" s="1"/>
  <c r="V438" i="2" a="1"/>
  <c r="V438" i="2" s="1"/>
  <c r="V439" i="2" a="1"/>
  <c r="V439" i="2" s="1"/>
  <c r="V440" i="2" a="1"/>
  <c r="V440" i="2" s="1"/>
  <c r="V441" i="2" a="1"/>
  <c r="V441" i="2" s="1"/>
  <c r="V442" i="2" a="1"/>
  <c r="V442" i="2" s="1"/>
  <c r="V443" i="2" a="1"/>
  <c r="V443" i="2" s="1"/>
  <c r="V444" i="2" a="1"/>
  <c r="V444" i="2" s="1"/>
  <c r="V445" i="2" a="1"/>
  <c r="V445" i="2" s="1"/>
  <c r="V446" i="2" a="1"/>
  <c r="V446" i="2" s="1"/>
  <c r="V447" i="2" a="1"/>
  <c r="V447" i="2" s="1"/>
  <c r="V448" i="2" a="1"/>
  <c r="V448" i="2" s="1"/>
  <c r="V449" i="2" a="1"/>
  <c r="V449" i="2" s="1"/>
  <c r="V450" i="2" a="1"/>
  <c r="V450" i="2" s="1"/>
  <c r="V451" i="2" a="1"/>
  <c r="V451" i="2" s="1"/>
  <c r="V452" i="2" a="1"/>
  <c r="V452" i="2" s="1"/>
  <c r="V453" i="2" a="1"/>
  <c r="V453" i="2" s="1"/>
  <c r="V454" i="2" a="1"/>
  <c r="V454" i="2" s="1"/>
  <c r="V455" i="2" a="1"/>
  <c r="V455" i="2" s="1"/>
  <c r="V456" i="2" a="1"/>
  <c r="V456" i="2" s="1"/>
  <c r="V457" i="2" a="1"/>
  <c r="V457" i="2" s="1"/>
  <c r="V458" i="2" a="1"/>
  <c r="V458" i="2" s="1"/>
  <c r="V459" i="2" a="1"/>
  <c r="V459" i="2" s="1"/>
  <c r="V460" i="2" a="1"/>
  <c r="V460" i="2" s="1"/>
  <c r="V461" i="2" a="1"/>
  <c r="V461" i="2" s="1"/>
  <c r="V462" i="2" a="1"/>
  <c r="V462" i="2" s="1"/>
  <c r="V463" i="2" a="1"/>
  <c r="V463" i="2" s="1"/>
  <c r="V464" i="2" a="1"/>
  <c r="V464" i="2" s="1"/>
  <c r="V465" i="2" a="1"/>
  <c r="V465" i="2" s="1"/>
  <c r="V466" i="2" a="1"/>
  <c r="V466" i="2" s="1"/>
  <c r="V467" i="2" a="1"/>
  <c r="V467" i="2" s="1"/>
  <c r="V468" i="2" a="1"/>
  <c r="V468" i="2" s="1"/>
  <c r="V469" i="2" a="1"/>
  <c r="V469" i="2" s="1"/>
  <c r="V470" i="2" a="1"/>
  <c r="V470" i="2" s="1"/>
  <c r="V471" i="2" a="1"/>
  <c r="V471" i="2" s="1"/>
  <c r="V472" i="2" a="1"/>
  <c r="V472" i="2" s="1"/>
  <c r="V473" i="2" a="1"/>
  <c r="V473" i="2" s="1"/>
  <c r="V474" i="2" a="1"/>
  <c r="V474" i="2" s="1"/>
  <c r="V475" i="2" a="1"/>
  <c r="V475" i="2" s="1"/>
  <c r="V476" i="2" a="1"/>
  <c r="V476" i="2"/>
  <c r="V477" i="2" a="1"/>
  <c r="V477" i="2" s="1"/>
  <c r="V478" i="2" a="1"/>
  <c r="V478" i="2" s="1"/>
  <c r="V479" i="2" a="1"/>
  <c r="V479" i="2" s="1"/>
  <c r="V480" i="2" a="1"/>
  <c r="V480" i="2" s="1"/>
  <c r="V481" i="2" a="1"/>
  <c r="V481" i="2" s="1"/>
  <c r="V482" i="2" a="1"/>
  <c r="V482" i="2" s="1"/>
  <c r="V483" i="2" a="1"/>
  <c r="V483" i="2" s="1"/>
  <c r="V484" i="2" a="1"/>
  <c r="V484" i="2" s="1"/>
  <c r="V485" i="2" a="1"/>
  <c r="V485" i="2" s="1"/>
  <c r="V486" i="2" a="1"/>
  <c r="V486" i="2" s="1"/>
  <c r="V487" i="2" a="1"/>
  <c r="V487" i="2" s="1"/>
  <c r="V488" i="2" a="1"/>
  <c r="V488" i="2"/>
  <c r="V489" i="2" a="1"/>
  <c r="V489" i="2" s="1"/>
  <c r="V490" i="2" a="1"/>
  <c r="V490" i="2" s="1"/>
  <c r="V491" i="2" a="1"/>
  <c r="V491" i="2" s="1"/>
  <c r="V492" i="2" a="1"/>
  <c r="V492" i="2" s="1"/>
  <c r="V493" i="2" a="1"/>
  <c r="V493" i="2" s="1"/>
  <c r="V494" i="2" a="1"/>
  <c r="V494" i="2" s="1"/>
  <c r="V495" i="2" a="1"/>
  <c r="V495" i="2" s="1"/>
  <c r="V496" i="2" a="1"/>
  <c r="V496" i="2" s="1"/>
  <c r="V497" i="2" a="1"/>
  <c r="V497" i="2" s="1"/>
  <c r="V498" i="2" a="1"/>
  <c r="V498" i="2" s="1"/>
  <c r="V499" i="2" a="1"/>
  <c r="V499" i="2" s="1"/>
  <c r="V500" i="2" a="1"/>
  <c r="V500" i="2" s="1"/>
  <c r="V501" i="2" a="1"/>
  <c r="V501" i="2" s="1"/>
  <c r="V502" i="2" a="1"/>
  <c r="V502" i="2" s="1"/>
  <c r="V503" i="2" a="1"/>
  <c r="V503" i="2" s="1"/>
  <c r="V504" i="2" a="1"/>
  <c r="V504" i="2" s="1"/>
  <c r="V505" i="2" a="1"/>
  <c r="V505" i="2" s="1"/>
  <c r="V506" i="2" a="1"/>
  <c r="V506" i="2" s="1"/>
  <c r="V507" i="2" a="1"/>
  <c r="V507" i="2" s="1"/>
  <c r="V508" i="2" a="1"/>
  <c r="V508" i="2" s="1"/>
  <c r="V509" i="2" a="1"/>
  <c r="V509" i="2" s="1"/>
  <c r="V510" i="2" a="1"/>
  <c r="V510" i="2" s="1"/>
  <c r="V511" i="2" a="1"/>
  <c r="V511" i="2" s="1"/>
  <c r="V512" i="2" a="1"/>
  <c r="V512" i="2" s="1"/>
  <c r="V513" i="2" a="1"/>
  <c r="V513" i="2" s="1"/>
  <c r="V514" i="2" a="1"/>
  <c r="V514" i="2" s="1"/>
  <c r="V515" i="2" a="1"/>
  <c r="V515" i="2" s="1"/>
  <c r="V516" i="2" a="1"/>
  <c r="V516" i="2" s="1"/>
  <c r="V517" i="2" a="1"/>
  <c r="V517" i="2" s="1"/>
  <c r="V518" i="2" a="1"/>
  <c r="V518" i="2" s="1"/>
  <c r="V519" i="2" a="1"/>
  <c r="V519" i="2" s="1"/>
  <c r="V520" i="2" a="1"/>
  <c r="V520" i="2" s="1"/>
  <c r="V521" i="2" a="1"/>
  <c r="V521" i="2" s="1"/>
  <c r="V522" i="2" a="1"/>
  <c r="V522" i="2" s="1"/>
  <c r="V523" i="2" a="1"/>
  <c r="V523" i="2" s="1"/>
  <c r="V524" i="2" a="1"/>
  <c r="V524" i="2" s="1"/>
  <c r="V525" i="2" a="1"/>
  <c r="V525" i="2" s="1"/>
  <c r="V526" i="2" a="1"/>
  <c r="V526" i="2" s="1"/>
  <c r="V527" i="2" a="1"/>
  <c r="V527" i="2" s="1"/>
  <c r="V528" i="2" a="1"/>
  <c r="V528" i="2" s="1"/>
  <c r="V529" i="2" a="1"/>
  <c r="V529" i="2" s="1"/>
  <c r="V530" i="2" a="1"/>
  <c r="V530" i="2" s="1"/>
  <c r="V531" i="2" a="1"/>
  <c r="V531" i="2" s="1"/>
  <c r="V532" i="2" a="1"/>
  <c r="V532" i="2" s="1"/>
  <c r="V533" i="2" a="1"/>
  <c r="V533" i="2" s="1"/>
  <c r="V534" i="2" a="1"/>
  <c r="V534" i="2" s="1"/>
  <c r="V535" i="2" a="1"/>
  <c r="V535" i="2" s="1"/>
  <c r="V536" i="2" a="1"/>
  <c r="V536" i="2" s="1"/>
  <c r="V537" i="2" a="1"/>
  <c r="V537" i="2" s="1"/>
  <c r="V538" i="2" a="1"/>
  <c r="V538" i="2" s="1"/>
  <c r="V539" i="2" a="1"/>
  <c r="V539" i="2" s="1"/>
  <c r="V540" i="2" a="1"/>
  <c r="V540" i="2" s="1"/>
  <c r="V541" i="2" a="1"/>
  <c r="V541" i="2" s="1"/>
  <c r="V542" i="2" a="1"/>
  <c r="V542" i="2" s="1"/>
  <c r="V543" i="2" a="1"/>
  <c r="V543" i="2" s="1"/>
  <c r="V544" i="2" a="1"/>
  <c r="V544" i="2" s="1"/>
  <c r="V545" i="2" a="1"/>
  <c r="V545" i="2" s="1"/>
  <c r="V546" i="2" a="1"/>
  <c r="V546" i="2" s="1"/>
  <c r="V547" i="2" a="1"/>
  <c r="V547" i="2" s="1"/>
  <c r="V548" i="2" a="1"/>
  <c r="V548" i="2" s="1"/>
  <c r="V549" i="2" a="1"/>
  <c r="V549" i="2" s="1"/>
  <c r="V550" i="2" a="1"/>
  <c r="V550" i="2" s="1"/>
  <c r="V551" i="2" a="1"/>
  <c r="V551" i="2" s="1"/>
  <c r="V552" i="2" a="1"/>
  <c r="V552" i="2" s="1"/>
  <c r="V553" i="2" a="1"/>
  <c r="V553" i="2" s="1"/>
  <c r="V554" i="2" a="1"/>
  <c r="V554" i="2" s="1"/>
  <c r="V555" i="2" a="1"/>
  <c r="V555" i="2" s="1"/>
  <c r="V556" i="2" a="1"/>
  <c r="V556" i="2" s="1"/>
  <c r="V557" i="2" a="1"/>
  <c r="V557" i="2" s="1"/>
  <c r="V558" i="2" a="1"/>
  <c r="V558" i="2" s="1"/>
  <c r="V559" i="2" a="1"/>
  <c r="V559" i="2" s="1"/>
  <c r="V560" i="2" a="1"/>
  <c r="V560" i="2" s="1"/>
  <c r="V561" i="2" a="1"/>
  <c r="V561" i="2" s="1"/>
  <c r="V562" i="2" a="1"/>
  <c r="V562" i="2" s="1"/>
  <c r="V563" i="2" a="1"/>
  <c r="V563" i="2" s="1"/>
  <c r="V564" i="2" a="1"/>
  <c r="V564" i="2" s="1"/>
  <c r="V565" i="2" a="1"/>
  <c r="V565" i="2" s="1"/>
  <c r="V566" i="2" a="1"/>
  <c r="V566" i="2" s="1"/>
  <c r="V567" i="2" a="1"/>
  <c r="V567" i="2" s="1"/>
  <c r="V568" i="2" a="1"/>
  <c r="V568" i="2" s="1"/>
  <c r="V569" i="2" a="1"/>
  <c r="V569" i="2" s="1"/>
  <c r="V570" i="2" a="1"/>
  <c r="V570" i="2" s="1"/>
  <c r="V571" i="2" a="1"/>
  <c r="V571" i="2" s="1"/>
  <c r="V572" i="2" a="1"/>
  <c r="V572" i="2" s="1"/>
  <c r="V573" i="2" a="1"/>
  <c r="V573" i="2" s="1"/>
  <c r="V574" i="2" a="1"/>
  <c r="V574" i="2" s="1"/>
  <c r="V575" i="2" a="1"/>
  <c r="V575" i="2" s="1"/>
  <c r="V576" i="2" a="1"/>
  <c r="V576" i="2" s="1"/>
  <c r="V577" i="2" a="1"/>
  <c r="V577" i="2"/>
  <c r="V578" i="2" a="1"/>
  <c r="V578" i="2" s="1"/>
  <c r="V579" i="2" a="1"/>
  <c r="V579" i="2" s="1"/>
  <c r="V580" i="2" a="1"/>
  <c r="V580" i="2" s="1"/>
  <c r="V581" i="2" a="1"/>
  <c r="V581" i="2" s="1"/>
  <c r="V582" i="2" a="1"/>
  <c r="V582" i="2" s="1"/>
  <c r="V583" i="2" a="1"/>
  <c r="V583" i="2" s="1"/>
  <c r="V584" i="2" a="1"/>
  <c r="V584" i="2" s="1"/>
  <c r="V585" i="2" a="1"/>
  <c r="V585" i="2" s="1"/>
  <c r="V586" i="2" a="1"/>
  <c r="V586" i="2" s="1"/>
  <c r="V587" i="2" a="1"/>
  <c r="V587" i="2" s="1"/>
  <c r="V588" i="2" a="1"/>
  <c r="V588" i="2" s="1"/>
  <c r="V589" i="2" a="1"/>
  <c r="V589" i="2"/>
  <c r="V590" i="2" a="1"/>
  <c r="V590" i="2" s="1"/>
  <c r="V591" i="2" a="1"/>
  <c r="V591" i="2" s="1"/>
  <c r="V592" i="2" a="1"/>
  <c r="V592" i="2" s="1"/>
  <c r="V593" i="2" a="1"/>
  <c r="V593" i="2" s="1"/>
  <c r="V594" i="2" a="1"/>
  <c r="V594" i="2" s="1"/>
  <c r="V595" i="2" a="1"/>
  <c r="V595" i="2" s="1"/>
  <c r="V596" i="2" a="1"/>
  <c r="V596" i="2" s="1"/>
  <c r="V597" i="2" a="1"/>
  <c r="V597" i="2" s="1"/>
  <c r="V598" i="2" a="1"/>
  <c r="V598" i="2" s="1"/>
  <c r="V599" i="2" a="1"/>
  <c r="V599" i="2" s="1"/>
  <c r="V600" i="2" a="1"/>
  <c r="V600" i="2" s="1"/>
  <c r="V601" i="2" a="1"/>
  <c r="V601" i="2" s="1"/>
  <c r="V602" i="2" a="1"/>
  <c r="V602" i="2" s="1"/>
  <c r="V603" i="2" a="1"/>
  <c r="V603" i="2" s="1"/>
  <c r="V604" i="2" a="1"/>
  <c r="V604" i="2" s="1"/>
  <c r="V605" i="2" a="1"/>
  <c r="V605" i="2" s="1"/>
  <c r="V606" i="2" a="1"/>
  <c r="V606" i="2" s="1"/>
  <c r="V607" i="2" a="1"/>
  <c r="V607" i="2" s="1"/>
  <c r="V608" i="2" a="1"/>
  <c r="V608" i="2" s="1"/>
  <c r="V609" i="2" a="1"/>
  <c r="V609" i="2" s="1"/>
  <c r="V610" i="2" a="1"/>
  <c r="V610" i="2" s="1"/>
  <c r="V611" i="2" a="1"/>
  <c r="V611" i="2" s="1"/>
  <c r="V612" i="2" a="1"/>
  <c r="V612" i="2" s="1"/>
  <c r="V613" i="2" a="1"/>
  <c r="V613" i="2" s="1"/>
  <c r="V614" i="2" a="1"/>
  <c r="V614" i="2" s="1"/>
  <c r="V615" i="2" a="1"/>
  <c r="V615" i="2" s="1"/>
  <c r="V616" i="2" a="1"/>
  <c r="V616" i="2" s="1"/>
  <c r="V617" i="2" a="1"/>
  <c r="V617" i="2" s="1"/>
  <c r="V618" i="2" a="1"/>
  <c r="V618" i="2" s="1"/>
  <c r="V619" i="2" a="1"/>
  <c r="V619" i="2" s="1"/>
  <c r="V620" i="2" a="1"/>
  <c r="V620" i="2" s="1"/>
  <c r="V621" i="2" a="1"/>
  <c r="V621" i="2" s="1"/>
  <c r="V622" i="2" a="1"/>
  <c r="V622" i="2" s="1"/>
  <c r="V623" i="2" a="1"/>
  <c r="V623" i="2" s="1"/>
  <c r="V624" i="2" a="1"/>
  <c r="V624" i="2" s="1"/>
  <c r="V625" i="2" a="1"/>
  <c r="V625" i="2" s="1"/>
  <c r="V626" i="2" a="1"/>
  <c r="V626" i="2" s="1"/>
  <c r="V627" i="2" a="1"/>
  <c r="V627" i="2" s="1"/>
  <c r="V628" i="2" a="1"/>
  <c r="V628" i="2" s="1"/>
  <c r="V629" i="2" a="1"/>
  <c r="V629" i="2" s="1"/>
  <c r="V630" i="2" a="1"/>
  <c r="V630" i="2" s="1"/>
  <c r="V631" i="2" a="1"/>
  <c r="V631" i="2" s="1"/>
  <c r="V632" i="2" a="1"/>
  <c r="V632" i="2" s="1"/>
  <c r="V633" i="2" a="1"/>
  <c r="V633" i="2" s="1"/>
  <c r="V634" i="2" a="1"/>
  <c r="V634" i="2" s="1"/>
  <c r="V635" i="2" a="1"/>
  <c r="V635" i="2" s="1"/>
  <c r="V636" i="2" a="1"/>
  <c r="V636" i="2" s="1"/>
  <c r="V637" i="2" a="1"/>
  <c r="V637" i="2" s="1"/>
  <c r="V638" i="2" a="1"/>
  <c r="V638" i="2" s="1"/>
  <c r="V639" i="2" a="1"/>
  <c r="V639" i="2" s="1"/>
  <c r="V640" i="2" a="1"/>
  <c r="V640" i="2" s="1"/>
  <c r="V641" i="2" a="1"/>
  <c r="V641" i="2" s="1"/>
  <c r="V642" i="2" a="1"/>
  <c r="V642" i="2" s="1"/>
  <c r="V643" i="2" a="1"/>
  <c r="V643" i="2" s="1"/>
  <c r="V644" i="2" a="1"/>
  <c r="V644" i="2" s="1"/>
  <c r="V645" i="2" a="1"/>
  <c r="V645" i="2" s="1"/>
  <c r="V646" i="2" a="1"/>
  <c r="V646" i="2" s="1"/>
  <c r="V647" i="2" a="1"/>
  <c r="V647" i="2" s="1"/>
  <c r="V648" i="2" a="1"/>
  <c r="V648" i="2" s="1"/>
  <c r="V649" i="2" a="1"/>
  <c r="V649" i="2" s="1"/>
  <c r="V650" i="2" a="1"/>
  <c r="V650" i="2" s="1"/>
  <c r="V651" i="2" a="1"/>
  <c r="V651" i="2" s="1"/>
  <c r="V652" i="2" a="1"/>
  <c r="V652" i="2" s="1"/>
  <c r="V653" i="2" a="1"/>
  <c r="V653" i="2" s="1"/>
  <c r="V654" i="2" a="1"/>
  <c r="V654" i="2" s="1"/>
  <c r="V655" i="2" a="1"/>
  <c r="V655" i="2" s="1"/>
  <c r="V656" i="2" a="1"/>
  <c r="V656" i="2" s="1"/>
  <c r="V657" i="2" a="1"/>
  <c r="V657" i="2" s="1"/>
  <c r="V658" i="2" a="1"/>
  <c r="V658" i="2" s="1"/>
  <c r="V659" i="2" a="1"/>
  <c r="V659" i="2" s="1"/>
  <c r="V660" i="2" a="1"/>
  <c r="V660" i="2" s="1"/>
  <c r="V661" i="2" a="1"/>
  <c r="V661" i="2" s="1"/>
  <c r="V662" i="2" a="1"/>
  <c r="V662" i="2" s="1"/>
  <c r="V663" i="2" a="1"/>
  <c r="V663" i="2" s="1"/>
  <c r="V664" i="2" a="1"/>
  <c r="V664" i="2" s="1"/>
  <c r="V665" i="2" a="1"/>
  <c r="V665" i="2" s="1"/>
  <c r="V666" i="2" a="1"/>
  <c r="V666" i="2" s="1"/>
  <c r="V667" i="2" a="1"/>
  <c r="V667" i="2" s="1"/>
  <c r="V668" i="2" a="1"/>
  <c r="V668" i="2" s="1"/>
  <c r="V669" i="2" a="1"/>
  <c r="V669" i="2" s="1"/>
  <c r="V670" i="2" a="1"/>
  <c r="V670" i="2" s="1"/>
  <c r="V671" i="2" a="1"/>
  <c r="V671" i="2" s="1"/>
  <c r="V672" i="2" a="1"/>
  <c r="V672" i="2" s="1"/>
  <c r="V673" i="2" a="1"/>
  <c r="V673" i="2" s="1"/>
  <c r="V674" i="2" a="1"/>
  <c r="V674" i="2" s="1"/>
  <c r="V675" i="2" a="1"/>
  <c r="V675" i="2" s="1"/>
  <c r="V676" i="2" a="1"/>
  <c r="V676" i="2" s="1"/>
  <c r="V677" i="2" a="1"/>
  <c r="V677" i="2" s="1"/>
  <c r="V678" i="2" a="1"/>
  <c r="V678" i="2" s="1"/>
  <c r="V679" i="2" a="1"/>
  <c r="V679" i="2" s="1"/>
  <c r="V680" i="2" a="1"/>
  <c r="V680" i="2" s="1"/>
  <c r="V681" i="2" a="1"/>
  <c r="V681" i="2" s="1"/>
  <c r="V682" i="2" a="1"/>
  <c r="V682" i="2" s="1"/>
  <c r="V683" i="2" a="1"/>
  <c r="V683" i="2" s="1"/>
  <c r="V684" i="2" a="1"/>
  <c r="V684" i="2" s="1"/>
  <c r="V685" i="2" a="1"/>
  <c r="V685" i="2" s="1"/>
  <c r="V686" i="2" a="1"/>
  <c r="V686" i="2" s="1"/>
  <c r="V687" i="2" a="1"/>
  <c r="V687" i="2" s="1"/>
  <c r="V688" i="2" a="1"/>
  <c r="V688" i="2" s="1"/>
  <c r="V689" i="2" a="1"/>
  <c r="V689" i="2" s="1"/>
  <c r="V690" i="2" a="1"/>
  <c r="V690" i="2" s="1"/>
  <c r="V691" i="2" a="1"/>
  <c r="V691" i="2" s="1"/>
  <c r="V692" i="2" a="1"/>
  <c r="V692" i="2" s="1"/>
  <c r="V693" i="2" a="1"/>
  <c r="V693" i="2" s="1"/>
  <c r="V694" i="2" a="1"/>
  <c r="V694" i="2" s="1"/>
  <c r="V695" i="2" a="1"/>
  <c r="V695" i="2" s="1"/>
  <c r="V696" i="2" a="1"/>
  <c r="V696" i="2" s="1"/>
  <c r="V697" i="2" a="1"/>
  <c r="V697" i="2" s="1"/>
  <c r="V698" i="2" a="1"/>
  <c r="V698" i="2" s="1"/>
  <c r="V699" i="2" a="1"/>
  <c r="V699" i="2" s="1"/>
  <c r="V700" i="2" a="1"/>
  <c r="V700" i="2" s="1"/>
  <c r="V701" i="2" a="1"/>
  <c r="V701" i="2" s="1"/>
  <c r="V702" i="2" a="1"/>
  <c r="V702" i="2" s="1"/>
  <c r="V703" i="2" a="1"/>
  <c r="V703" i="2" s="1"/>
  <c r="V704" i="2" a="1"/>
  <c r="V704" i="2" s="1"/>
  <c r="V705" i="2" a="1"/>
  <c r="V705" i="2" s="1"/>
  <c r="V706" i="2" a="1"/>
  <c r="V706" i="2" s="1"/>
  <c r="V707" i="2" a="1"/>
  <c r="V707" i="2" s="1"/>
  <c r="V708" i="2" a="1"/>
  <c r="V708" i="2" s="1"/>
  <c r="V709" i="2" a="1"/>
  <c r="V709" i="2" s="1"/>
  <c r="V710" i="2" a="1"/>
  <c r="V710" i="2" s="1"/>
  <c r="V711" i="2" a="1"/>
  <c r="V711" i="2" s="1"/>
  <c r="V712" i="2" a="1"/>
  <c r="V712" i="2" s="1"/>
  <c r="V713" i="2" a="1"/>
  <c r="V713" i="2" s="1"/>
  <c r="V714" i="2" a="1"/>
  <c r="V714" i="2" s="1"/>
  <c r="V715" i="2" a="1"/>
  <c r="V715" i="2" s="1"/>
  <c r="V716" i="2" a="1"/>
  <c r="V716" i="2" s="1"/>
  <c r="V717" i="2" a="1"/>
  <c r="V717" i="2" s="1"/>
  <c r="V718" i="2" a="1"/>
  <c r="V718" i="2" s="1"/>
  <c r="V719" i="2" a="1"/>
  <c r="V719" i="2" s="1"/>
  <c r="V720" i="2" a="1"/>
  <c r="V720" i="2" s="1"/>
  <c r="V721" i="2" a="1"/>
  <c r="V721" i="2" s="1"/>
  <c r="V722" i="2" a="1"/>
  <c r="V722" i="2" s="1"/>
  <c r="V723" i="2" a="1"/>
  <c r="V723" i="2" s="1"/>
  <c r="V724" i="2" a="1"/>
  <c r="V724" i="2" s="1"/>
  <c r="V725" i="2" a="1"/>
  <c r="V725" i="2" s="1"/>
  <c r="V726" i="2" a="1"/>
  <c r="V726" i="2" s="1"/>
  <c r="V727" i="2" a="1"/>
  <c r="V727" i="2" s="1"/>
  <c r="V728" i="2" a="1"/>
  <c r="V728" i="2" s="1"/>
  <c r="V729" i="2" a="1"/>
  <c r="V729" i="2" s="1"/>
  <c r="V730" i="2" a="1"/>
  <c r="V730" i="2" s="1"/>
  <c r="V731" i="2" a="1"/>
  <c r="V731" i="2" s="1"/>
  <c r="V732" i="2" a="1"/>
  <c r="V732" i="2" s="1"/>
  <c r="V733" i="2" a="1"/>
  <c r="V733" i="2" s="1"/>
  <c r="V734" i="2" a="1"/>
  <c r="V734" i="2" s="1"/>
  <c r="V735" i="2" a="1"/>
  <c r="V735" i="2" s="1"/>
  <c r="V736" i="2" a="1"/>
  <c r="V736" i="2" s="1"/>
  <c r="V737" i="2" a="1"/>
  <c r="V737" i="2" s="1"/>
  <c r="V738" i="2" a="1"/>
  <c r="V738" i="2" s="1"/>
  <c r="V739" i="2" a="1"/>
  <c r="V739" i="2" s="1"/>
  <c r="V740" i="2" a="1"/>
  <c r="V740" i="2" s="1"/>
  <c r="V741" i="2" a="1"/>
  <c r="V741" i="2" s="1"/>
  <c r="V742" i="2" a="1"/>
  <c r="V742" i="2" s="1"/>
  <c r="V743" i="2" a="1"/>
  <c r="V743" i="2" s="1"/>
  <c r="V744" i="2" a="1"/>
  <c r="V744" i="2" s="1"/>
  <c r="V745" i="2" a="1"/>
  <c r="V745" i="2" s="1"/>
  <c r="V746" i="2" a="1"/>
  <c r="V746" i="2" s="1"/>
  <c r="V747" i="2" a="1"/>
  <c r="V747" i="2" s="1"/>
  <c r="V748" i="2" a="1"/>
  <c r="V748" i="2" s="1"/>
  <c r="V749" i="2" a="1"/>
  <c r="V749" i="2" s="1"/>
  <c r="V750" i="2" a="1"/>
  <c r="V750" i="2" s="1"/>
  <c r="V751" i="2" a="1"/>
  <c r="V751" i="2" s="1"/>
  <c r="V752" i="2" a="1"/>
  <c r="V752" i="2" s="1"/>
  <c r="V753" i="2" a="1"/>
  <c r="V753" i="2" s="1"/>
  <c r="V754" i="2" a="1"/>
  <c r="V754" i="2" s="1"/>
  <c r="V755" i="2" a="1"/>
  <c r="V755" i="2" s="1"/>
  <c r="V756" i="2" a="1"/>
  <c r="V756" i="2" s="1"/>
  <c r="V757" i="2" a="1"/>
  <c r="V757" i="2" s="1"/>
  <c r="V758" i="2" a="1"/>
  <c r="V758" i="2" s="1"/>
  <c r="V759" i="2" a="1"/>
  <c r="V759" i="2" s="1"/>
  <c r="V760" i="2" a="1"/>
  <c r="V760" i="2" s="1"/>
  <c r="V761" i="2" a="1"/>
  <c r="V761" i="2" s="1"/>
  <c r="V762" i="2" a="1"/>
  <c r="V762" i="2" s="1"/>
  <c r="V763" i="2" a="1"/>
  <c r="V763" i="2" s="1"/>
  <c r="V764" i="2" a="1"/>
  <c r="V764" i="2" s="1"/>
  <c r="V765" i="2" a="1"/>
  <c r="V765" i="2" s="1"/>
  <c r="V766" i="2" a="1"/>
  <c r="V766" i="2" s="1"/>
  <c r="V767" i="2" a="1"/>
  <c r="V767" i="2" s="1"/>
  <c r="V768" i="2" a="1"/>
  <c r="V768" i="2" s="1"/>
  <c r="V769" i="2" a="1"/>
  <c r="V769" i="2"/>
  <c r="V770" i="2" a="1"/>
  <c r="V770" i="2" s="1"/>
  <c r="V771" i="2" a="1"/>
  <c r="V771" i="2" s="1"/>
  <c r="V772" i="2" a="1"/>
  <c r="V772" i="2" s="1"/>
  <c r="V773" i="2" a="1"/>
  <c r="V773" i="2" s="1"/>
  <c r="V774" i="2" a="1"/>
  <c r="V774" i="2" s="1"/>
  <c r="V775" i="2" a="1"/>
  <c r="V775" i="2" s="1"/>
  <c r="V776" i="2" a="1"/>
  <c r="V776" i="2" s="1"/>
  <c r="V777" i="2" a="1"/>
  <c r="V777" i="2" s="1"/>
  <c r="V778" i="2" a="1"/>
  <c r="V778" i="2" s="1"/>
  <c r="V779" i="2" a="1"/>
  <c r="V779" i="2" s="1"/>
  <c r="V780" i="2" a="1"/>
  <c r="V780" i="2" s="1"/>
  <c r="V781" i="2" a="1"/>
  <c r="V781" i="2" s="1"/>
  <c r="V782" i="2" a="1"/>
  <c r="V782" i="2" s="1"/>
  <c r="V783" i="2" a="1"/>
  <c r="V783" i="2" s="1"/>
  <c r="V784" i="2" a="1"/>
  <c r="V784" i="2" s="1"/>
  <c r="V785" i="2" a="1"/>
  <c r="V785" i="2" s="1"/>
  <c r="V786" i="2" a="1"/>
  <c r="V786" i="2" s="1"/>
  <c r="V787" i="2" a="1"/>
  <c r="V787" i="2" s="1"/>
  <c r="V788" i="2" a="1"/>
  <c r="V788" i="2" s="1"/>
  <c r="V789" i="2" a="1"/>
  <c r="V789" i="2" s="1"/>
  <c r="V790" i="2" a="1"/>
  <c r="V790" i="2" s="1"/>
  <c r="V791" i="2" a="1"/>
  <c r="V791" i="2" s="1"/>
  <c r="V792" i="2" a="1"/>
  <c r="V792" i="2" s="1"/>
  <c r="V793" i="2" a="1"/>
  <c r="V793" i="2" s="1"/>
  <c r="V794" i="2" a="1"/>
  <c r="V794" i="2" s="1"/>
  <c r="V795" i="2" a="1"/>
  <c r="V795" i="2"/>
  <c r="V796" i="2" a="1"/>
  <c r="V796" i="2" s="1"/>
  <c r="V797" i="2" a="1"/>
  <c r="V797" i="2" s="1"/>
  <c r="V798" i="2" a="1"/>
  <c r="V798" i="2" s="1"/>
  <c r="V799" i="2" a="1"/>
  <c r="V799" i="2" s="1"/>
  <c r="V800" i="2" a="1"/>
  <c r="V800" i="2" s="1"/>
  <c r="V801" i="2" a="1"/>
  <c r="V801" i="2" s="1"/>
  <c r="V802" i="2" a="1"/>
  <c r="V802" i="2" s="1"/>
  <c r="V803" i="2" a="1"/>
  <c r="V803" i="2" s="1"/>
  <c r="V804" i="2" a="1"/>
  <c r="V804" i="2"/>
  <c r="V805" i="2" a="1"/>
  <c r="V805" i="2" s="1"/>
  <c r="V806" i="2" a="1"/>
  <c r="V806" i="2" s="1"/>
  <c r="V807" i="2" a="1"/>
  <c r="V807" i="2" s="1"/>
  <c r="V808" i="2" a="1"/>
  <c r="V808" i="2" s="1"/>
  <c r="V809" i="2" a="1"/>
  <c r="V809" i="2" s="1"/>
  <c r="V810" i="2" a="1"/>
  <c r="V810" i="2" s="1"/>
  <c r="V811" i="2" a="1"/>
  <c r="V811" i="2" s="1"/>
  <c r="V812" i="2" a="1"/>
  <c r="V812" i="2" s="1"/>
  <c r="V813" i="2" a="1"/>
  <c r="V813" i="2" s="1"/>
  <c r="V814" i="2" a="1"/>
  <c r="V814" i="2" s="1"/>
  <c r="V815" i="2" a="1"/>
  <c r="V815" i="2" s="1"/>
  <c r="V816" i="2" a="1"/>
  <c r="V816" i="2" s="1"/>
  <c r="V817" i="2" a="1"/>
  <c r="V817" i="2" s="1"/>
  <c r="V818" i="2" a="1"/>
  <c r="V818" i="2" s="1"/>
  <c r="V819" i="2" a="1"/>
  <c r="V819" i="2" s="1"/>
  <c r="V820" i="2" a="1"/>
  <c r="V820" i="2" s="1"/>
  <c r="V821" i="2" a="1"/>
  <c r="V821" i="2" s="1"/>
  <c r="V822" i="2" a="1"/>
  <c r="V822" i="2" s="1"/>
  <c r="V823" i="2" a="1"/>
  <c r="V823" i="2" s="1"/>
  <c r="V824" i="2" a="1"/>
  <c r="V824" i="2" s="1"/>
  <c r="V825" i="2" a="1"/>
  <c r="V825" i="2" s="1"/>
  <c r="V826" i="2" a="1"/>
  <c r="V826" i="2" s="1"/>
  <c r="V827" i="2" a="1"/>
  <c r="V827" i="2" s="1"/>
  <c r="V828" i="2" a="1"/>
  <c r="V828" i="2" s="1"/>
  <c r="V829" i="2" a="1"/>
  <c r="V829" i="2" s="1"/>
  <c r="V830" i="2" a="1"/>
  <c r="V830" i="2" s="1"/>
  <c r="V831" i="2" a="1"/>
  <c r="V831" i="2" s="1"/>
  <c r="V832" i="2" a="1"/>
  <c r="V832" i="2" s="1"/>
  <c r="V833" i="2" a="1"/>
  <c r="V833" i="2" s="1"/>
  <c r="V834" i="2" a="1"/>
  <c r="V834" i="2" s="1"/>
  <c r="V835" i="2" a="1"/>
  <c r="V835" i="2" s="1"/>
  <c r="V836" i="2" a="1"/>
  <c r="V836" i="2" s="1"/>
  <c r="V837" i="2" a="1"/>
  <c r="V837" i="2" s="1"/>
  <c r="V838" i="2" a="1"/>
  <c r="V838" i="2" s="1"/>
  <c r="V839" i="2" a="1"/>
  <c r="V839" i="2" s="1"/>
  <c r="V840" i="2" a="1"/>
  <c r="V840" i="2" s="1"/>
  <c r="V841" i="2" a="1"/>
  <c r="V841" i="2" s="1"/>
  <c r="V842" i="2" a="1"/>
  <c r="V842" i="2" s="1"/>
  <c r="V843" i="2" a="1"/>
  <c r="V843" i="2" s="1"/>
  <c r="V844" i="2" a="1"/>
  <c r="V844" i="2" s="1"/>
  <c r="V845" i="2" a="1"/>
  <c r="V845" i="2" s="1"/>
  <c r="V846" i="2" a="1"/>
  <c r="V846" i="2" s="1"/>
  <c r="V847" i="2" a="1"/>
  <c r="V847" i="2" s="1"/>
  <c r="V848" i="2" a="1"/>
  <c r="V848" i="2" s="1"/>
  <c r="V849" i="2" a="1"/>
  <c r="V849" i="2" s="1"/>
  <c r="V850" i="2" a="1"/>
  <c r="V850" i="2" s="1"/>
  <c r="V851" i="2" a="1"/>
  <c r="V851" i="2" s="1"/>
  <c r="V852" i="2" a="1"/>
  <c r="V852" i="2" s="1"/>
  <c r="V853" i="2" a="1"/>
  <c r="V853" i="2" s="1"/>
  <c r="V854" i="2" a="1"/>
  <c r="V854" i="2" s="1"/>
  <c r="V855" i="2" a="1"/>
  <c r="V855" i="2" s="1"/>
  <c r="V856" i="2" a="1"/>
  <c r="V856" i="2" s="1"/>
  <c r="V857" i="2" a="1"/>
  <c r="V857" i="2" s="1"/>
  <c r="V858" i="2" a="1"/>
  <c r="V858" i="2" s="1"/>
  <c r="V859" i="2" a="1"/>
  <c r="V859" i="2" s="1"/>
  <c r="V860" i="2" a="1"/>
  <c r="V860" i="2" s="1"/>
  <c r="V861" i="2" a="1"/>
  <c r="V861" i="2" s="1"/>
  <c r="V862" i="2" a="1"/>
  <c r="V862" i="2" s="1"/>
  <c r="V863" i="2" a="1"/>
  <c r="V863" i="2" s="1"/>
  <c r="V864" i="2" a="1"/>
  <c r="V864" i="2" s="1"/>
  <c r="V865" i="2" a="1"/>
  <c r="V865" i="2"/>
  <c r="V866" i="2" a="1"/>
  <c r="V866" i="2" s="1"/>
  <c r="V867" i="2" a="1"/>
  <c r="V867" i="2" s="1"/>
  <c r="V868" i="2" a="1"/>
  <c r="V868" i="2" s="1"/>
  <c r="V869" i="2" a="1"/>
  <c r="V869" i="2" s="1"/>
  <c r="V870" i="2" a="1"/>
  <c r="V870" i="2" s="1"/>
  <c r="V871" i="2" a="1"/>
  <c r="V871" i="2" s="1"/>
  <c r="V872" i="2" a="1"/>
  <c r="V872" i="2" s="1"/>
  <c r="V873" i="2" a="1"/>
  <c r="V873" i="2" s="1"/>
  <c r="V874" i="2" a="1"/>
  <c r="V874" i="2" s="1"/>
  <c r="V875" i="2" a="1"/>
  <c r="V875" i="2" s="1"/>
  <c r="V876" i="2" a="1"/>
  <c r="V876" i="2" s="1"/>
  <c r="V877" i="2" a="1"/>
  <c r="V877" i="2" s="1"/>
  <c r="V878" i="2" a="1"/>
  <c r="V878" i="2" s="1"/>
  <c r="V879" i="2" a="1"/>
  <c r="V879" i="2" s="1"/>
  <c r="V880" i="2" a="1"/>
  <c r="V880" i="2" s="1"/>
  <c r="V881" i="2" a="1"/>
  <c r="V881" i="2" s="1"/>
  <c r="V882" i="2" a="1"/>
  <c r="V882" i="2" s="1"/>
  <c r="V883" i="2" a="1"/>
  <c r="V883" i="2" s="1"/>
  <c r="V884" i="2" a="1"/>
  <c r="V884" i="2" s="1"/>
  <c r="V885" i="2" a="1"/>
  <c r="V885" i="2" s="1"/>
  <c r="V886" i="2" a="1"/>
  <c r="V886" i="2" s="1"/>
  <c r="V887" i="2" a="1"/>
  <c r="V887" i="2" s="1"/>
  <c r="V888" i="2" a="1"/>
  <c r="V888" i="2" s="1"/>
  <c r="V889" i="2" a="1"/>
  <c r="V889" i="2" s="1"/>
  <c r="V890" i="2" a="1"/>
  <c r="V890" i="2" s="1"/>
  <c r="V891" i="2" a="1"/>
  <c r="V891" i="2" s="1"/>
  <c r="V892" i="2" a="1"/>
  <c r="V892" i="2" s="1"/>
  <c r="V893" i="2" a="1"/>
  <c r="V893" i="2" s="1"/>
  <c r="V894" i="2" a="1"/>
  <c r="V894" i="2" s="1"/>
  <c r="V895" i="2" a="1"/>
  <c r="V895" i="2" s="1"/>
  <c r="V896" i="2" a="1"/>
  <c r="V896" i="2" s="1"/>
  <c r="V897" i="2" a="1"/>
  <c r="V897" i="2" s="1"/>
  <c r="V898" i="2" a="1"/>
  <c r="V898" i="2" s="1"/>
  <c r="V899" i="2" a="1"/>
  <c r="V899" i="2" s="1"/>
  <c r="V900" i="2" a="1"/>
  <c r="V900" i="2" s="1"/>
  <c r="V901" i="2" a="1"/>
  <c r="V901" i="2" s="1"/>
  <c r="V902" i="2" a="1"/>
  <c r="V902" i="2" s="1"/>
  <c r="V903" i="2" a="1"/>
  <c r="V903" i="2" s="1"/>
  <c r="V904" i="2" a="1"/>
  <c r="V904" i="2" s="1"/>
  <c r="V905" i="2" a="1"/>
  <c r="V905" i="2" s="1"/>
  <c r="V906" i="2" a="1"/>
  <c r="V906" i="2" s="1"/>
  <c r="V907" i="2" a="1"/>
  <c r="V907" i="2" s="1"/>
  <c r="V908" i="2" a="1"/>
  <c r="V908" i="2" s="1"/>
  <c r="V909" i="2" a="1"/>
  <c r="V909" i="2" s="1"/>
  <c r="V910" i="2" a="1"/>
  <c r="V910" i="2" s="1"/>
  <c r="V911" i="2" a="1"/>
  <c r="V911" i="2" s="1"/>
  <c r="V912" i="2" a="1"/>
  <c r="V912" i="2" s="1"/>
  <c r="V913" i="2" a="1"/>
  <c r="V913" i="2" s="1"/>
  <c r="V914" i="2" a="1"/>
  <c r="V914" i="2" s="1"/>
  <c r="V915" i="2" a="1"/>
  <c r="V915" i="2" s="1"/>
  <c r="V916" i="2" a="1"/>
  <c r="V916" i="2" s="1"/>
  <c r="V917" i="2" a="1"/>
  <c r="V917" i="2" s="1"/>
  <c r="V918" i="2" a="1"/>
  <c r="V918" i="2" s="1"/>
  <c r="V919" i="2" a="1"/>
  <c r="V919" i="2" s="1"/>
  <c r="V920" i="2" a="1"/>
  <c r="V920" i="2" s="1"/>
  <c r="V921" i="2" a="1"/>
  <c r="V921" i="2" s="1"/>
  <c r="V922" i="2" a="1"/>
  <c r="V922" i="2" s="1"/>
  <c r="V923" i="2" a="1"/>
  <c r="V923" i="2" s="1"/>
  <c r="V924" i="2" a="1"/>
  <c r="V924" i="2" s="1"/>
  <c r="V925" i="2" a="1"/>
  <c r="V925" i="2" s="1"/>
  <c r="V926" i="2" a="1"/>
  <c r="V926" i="2" s="1"/>
  <c r="V927" i="2" a="1"/>
  <c r="V927" i="2" s="1"/>
  <c r="V928" i="2" a="1"/>
  <c r="V928" i="2" s="1"/>
  <c r="V929" i="2" a="1"/>
  <c r="V929" i="2" s="1"/>
  <c r="V930" i="2" a="1"/>
  <c r="V930" i="2" s="1"/>
  <c r="V931" i="2" a="1"/>
  <c r="V931" i="2" s="1"/>
  <c r="V932" i="2" a="1"/>
  <c r="V932" i="2" s="1"/>
  <c r="V933" i="2" a="1"/>
  <c r="V933" i="2" s="1"/>
  <c r="V934" i="2" a="1"/>
  <c r="V934" i="2" s="1"/>
  <c r="V935" i="2" a="1"/>
  <c r="V935" i="2" s="1"/>
  <c r="V936" i="2" a="1"/>
  <c r="V936" i="2" s="1"/>
  <c r="V937" i="2" a="1"/>
  <c r="V937" i="2"/>
  <c r="V938" i="2" a="1"/>
  <c r="V938" i="2" s="1"/>
  <c r="V939" i="2" a="1"/>
  <c r="V939" i="2" s="1"/>
  <c r="V940" i="2" a="1"/>
  <c r="V940" i="2" s="1"/>
  <c r="V941" i="2" a="1"/>
  <c r="V941" i="2" s="1"/>
  <c r="V942" i="2" a="1"/>
  <c r="V942" i="2" s="1"/>
  <c r="V943" i="2" a="1"/>
  <c r="V943" i="2" s="1"/>
  <c r="V944" i="2" a="1"/>
  <c r="V944" i="2" s="1"/>
  <c r="V945" i="2" a="1"/>
  <c r="V945" i="2" s="1"/>
  <c r="V946" i="2" a="1"/>
  <c r="V946" i="2" s="1"/>
  <c r="V947" i="2" a="1"/>
  <c r="V947" i="2" s="1"/>
  <c r="V948" i="2" a="1"/>
  <c r="V948" i="2" s="1"/>
  <c r="V949" i="2" a="1"/>
  <c r="V949" i="2" s="1"/>
  <c r="V950" i="2" a="1"/>
  <c r="V950" i="2" s="1"/>
  <c r="V951" i="2" a="1"/>
  <c r="V951" i="2" s="1"/>
  <c r="V952" i="2" a="1"/>
  <c r="V952" i="2" s="1"/>
  <c r="V953" i="2" a="1"/>
  <c r="V953" i="2" s="1"/>
  <c r="V954" i="2" a="1"/>
  <c r="V954" i="2" s="1"/>
  <c r="V955" i="2" a="1"/>
  <c r="V955" i="2" s="1"/>
  <c r="V956" i="2" a="1"/>
  <c r="V956" i="2" s="1"/>
  <c r="V957" i="2" a="1"/>
  <c r="V957" i="2" s="1"/>
  <c r="V958" i="2" a="1"/>
  <c r="V958" i="2" s="1"/>
  <c r="V959" i="2" a="1"/>
  <c r="V959" i="2" s="1"/>
  <c r="V960" i="2" a="1"/>
  <c r="V960" i="2" s="1"/>
  <c r="V961" i="2" a="1"/>
  <c r="V961" i="2" s="1"/>
  <c r="V962" i="2" a="1"/>
  <c r="V962" i="2" s="1"/>
  <c r="V963" i="2" a="1"/>
  <c r="V963" i="2" s="1"/>
  <c r="V964" i="2" a="1"/>
  <c r="V964" i="2" s="1"/>
  <c r="V965" i="2" a="1"/>
  <c r="V965" i="2" s="1"/>
  <c r="V966" i="2" a="1"/>
  <c r="V966" i="2" s="1"/>
  <c r="V967" i="2" a="1"/>
  <c r="V967" i="2" s="1"/>
  <c r="V968" i="2" a="1"/>
  <c r="V968" i="2" s="1"/>
  <c r="V969" i="2" a="1"/>
  <c r="V969" i="2" s="1"/>
  <c r="V970" i="2" a="1"/>
  <c r="V970" i="2" s="1"/>
  <c r="V971" i="2" a="1"/>
  <c r="V971" i="2" s="1"/>
  <c r="V972" i="2" a="1"/>
  <c r="V972" i="2" s="1"/>
  <c r="V973" i="2" a="1"/>
  <c r="V973" i="2" s="1"/>
  <c r="V974" i="2" a="1"/>
  <c r="V974" i="2" s="1"/>
  <c r="V975" i="2" a="1"/>
  <c r="V975" i="2" s="1"/>
  <c r="V976" i="2" a="1"/>
  <c r="V976" i="2" s="1"/>
  <c r="V977" i="2" a="1"/>
  <c r="V977" i="2" s="1"/>
  <c r="V978" i="2" a="1"/>
  <c r="V978" i="2" s="1"/>
  <c r="V979" i="2" a="1"/>
  <c r="V979" i="2" s="1"/>
  <c r="V980" i="2" a="1"/>
  <c r="V980" i="2" s="1"/>
  <c r="V981" i="2" a="1"/>
  <c r="V981" i="2" s="1"/>
  <c r="V982" i="2" a="1"/>
  <c r="V982" i="2" s="1"/>
  <c r="V983" i="2" a="1"/>
  <c r="V983" i="2" s="1"/>
  <c r="V984" i="2" a="1"/>
  <c r="V984" i="2" s="1"/>
  <c r="V985" i="2" a="1"/>
  <c r="V985" i="2" s="1"/>
  <c r="V986" i="2" a="1"/>
  <c r="V986" i="2" s="1"/>
  <c r="V987" i="2" a="1"/>
  <c r="V987" i="2" s="1"/>
  <c r="V988" i="2" a="1"/>
  <c r="V988" i="2" s="1"/>
  <c r="V989" i="2" a="1"/>
  <c r="V989" i="2" s="1"/>
  <c r="V990" i="2" a="1"/>
  <c r="V990" i="2" s="1"/>
  <c r="V991" i="2" a="1"/>
  <c r="V991" i="2" s="1"/>
  <c r="V992" i="2" a="1"/>
  <c r="V992" i="2" s="1"/>
  <c r="V993" i="2" a="1"/>
  <c r="V993" i="2" s="1"/>
  <c r="V994" i="2" a="1"/>
  <c r="V994" i="2" s="1"/>
  <c r="V995" i="2" a="1"/>
  <c r="V995" i="2" s="1"/>
  <c r="V996" i="2" a="1"/>
  <c r="V996" i="2" s="1"/>
  <c r="V997" i="2" a="1"/>
  <c r="V997" i="2" s="1"/>
  <c r="V998" i="2" a="1"/>
  <c r="V998" i="2" s="1"/>
  <c r="V999" i="2" a="1"/>
  <c r="V999" i="2"/>
  <c r="V1000" i="2" a="1"/>
  <c r="V1000" i="2"/>
  <c r="V1001" i="2" a="1"/>
  <c r="V1001" i="2" s="1"/>
  <c r="V1002" i="2" a="1"/>
  <c r="V1002" i="2" s="1"/>
  <c r="V1003" i="2" a="1"/>
  <c r="V1003" i="2" s="1"/>
  <c r="V1004" i="2" a="1"/>
  <c r="V1004" i="2" s="1"/>
  <c r="V1005" i="2" a="1"/>
  <c r="V1005" i="2"/>
  <c r="V1006" i="2" a="1"/>
  <c r="V1006" i="2" s="1"/>
  <c r="V1007" i="2" a="1"/>
  <c r="V1007" i="2" s="1"/>
  <c r="V1008" i="2" a="1"/>
  <c r="V1008" i="2" s="1"/>
  <c r="V1009" i="2" a="1"/>
  <c r="V1009" i="2" s="1"/>
  <c r="V1010" i="2" a="1"/>
  <c r="V1010" i="2"/>
  <c r="V1011" i="2" a="1"/>
  <c r="V1011" i="2"/>
  <c r="V1012" i="2" a="1"/>
  <c r="V1012" i="2"/>
  <c r="V1013" i="2" a="1"/>
  <c r="V1013" i="2" s="1"/>
  <c r="V1014" i="2" a="1"/>
  <c r="V1014" i="2" s="1"/>
  <c r="V1015" i="2" a="1"/>
  <c r="V1015" i="2" s="1"/>
  <c r="V1016" i="2" a="1"/>
  <c r="V1016" i="2" s="1"/>
  <c r="V1017" i="2" a="1"/>
  <c r="V1017" i="2" s="1"/>
  <c r="V1018" i="2" a="1"/>
  <c r="V1018" i="2" s="1"/>
  <c r="V1019" i="2" a="1"/>
  <c r="V1019" i="2" s="1"/>
  <c r="V1020" i="2" a="1"/>
  <c r="V1020" i="2" s="1"/>
  <c r="V1021" i="2" a="1"/>
  <c r="V1021" i="2" s="1"/>
  <c r="V1022" i="2" a="1"/>
  <c r="V1022" i="2" s="1"/>
  <c r="V1023" i="2" a="1"/>
  <c r="V1023" i="2"/>
  <c r="V1024" i="2" a="1"/>
  <c r="V1024" i="2"/>
  <c r="V1025" i="2" a="1"/>
  <c r="V1025" i="2" s="1"/>
  <c r="V1026" i="2" a="1"/>
  <c r="V1026" i="2" s="1"/>
  <c r="V1027" i="2" a="1"/>
  <c r="V1027" i="2" s="1"/>
  <c r="V1028" i="2" a="1"/>
  <c r="V1028" i="2" s="1"/>
  <c r="V1029" i="2" a="1"/>
  <c r="V1029" i="2"/>
  <c r="V1030" i="2" a="1"/>
  <c r="V1030" i="2" s="1"/>
  <c r="V1031" i="2" a="1"/>
  <c r="V1031" i="2" s="1"/>
  <c r="V1032" i="2" a="1"/>
  <c r="V1032" i="2" s="1"/>
  <c r="V1033" i="2" a="1"/>
  <c r="V1033" i="2" s="1"/>
  <c r="V1034" i="2" a="1"/>
  <c r="V1034" i="2"/>
  <c r="V1035" i="2" a="1"/>
  <c r="V1035" i="2"/>
  <c r="V1036" i="2" a="1"/>
  <c r="V1036" i="2"/>
  <c r="V1037" i="2" a="1"/>
  <c r="V1037" i="2" s="1"/>
  <c r="V1038" i="2" a="1"/>
  <c r="V1038" i="2" s="1"/>
  <c r="V1039" i="2" a="1"/>
  <c r="V1039" i="2" s="1"/>
  <c r="V1040" i="2" a="1"/>
  <c r="V1040" i="2" s="1"/>
  <c r="V1041" i="2" a="1"/>
  <c r="V1041" i="2" s="1"/>
  <c r="V1042" i="2" a="1"/>
  <c r="V1042" i="2" s="1"/>
  <c r="V1043" i="2" a="1"/>
  <c r="V1043" i="2" s="1"/>
  <c r="V1044" i="2" a="1"/>
  <c r="V1044" i="2" s="1"/>
  <c r="V1045" i="2" a="1"/>
  <c r="V1045" i="2" s="1"/>
  <c r="V1046" i="2" a="1"/>
  <c r="V1046" i="2" s="1"/>
  <c r="V1047" i="2" a="1"/>
  <c r="V1047" i="2"/>
  <c r="V1048" i="2" a="1"/>
  <c r="V1048" i="2"/>
  <c r="V1049" i="2" a="1"/>
  <c r="V1049" i="2" s="1"/>
  <c r="V1050" i="2" a="1"/>
  <c r="V1050" i="2" s="1"/>
  <c r="V1051" i="2" a="1"/>
  <c r="V1051" i="2" s="1"/>
  <c r="V1052" i="2" a="1"/>
  <c r="V1052" i="2" s="1"/>
  <c r="V1053" i="2" a="1"/>
  <c r="V1053" i="2"/>
  <c r="V1054" i="2" a="1"/>
  <c r="V1054" i="2" s="1"/>
  <c r="V1055" i="2" a="1"/>
  <c r="V1055" i="2" s="1"/>
  <c r="V1056" i="2" a="1"/>
  <c r="V1056" i="2" s="1"/>
  <c r="V1057" i="2" a="1"/>
  <c r="V1057" i="2" s="1"/>
  <c r="V1058" i="2" a="1"/>
  <c r="V1058" i="2" s="1"/>
  <c r="V1059" i="2" a="1"/>
  <c r="V1059" i="2" s="1"/>
  <c r="V1060" i="2" a="1"/>
  <c r="V1060" i="2" s="1"/>
  <c r="V1061" i="2" a="1"/>
  <c r="V1061" i="2" s="1"/>
  <c r="V1062" i="2" a="1"/>
  <c r="V1062" i="2" s="1"/>
  <c r="V1063" i="2" a="1"/>
  <c r="V1063" i="2" s="1"/>
  <c r="V1064" i="2" a="1"/>
  <c r="V1064" i="2" s="1"/>
  <c r="V1065" i="2" a="1"/>
  <c r="V1065" i="2" s="1"/>
  <c r="V1066" i="2" a="1"/>
  <c r="V1066" i="2" s="1"/>
  <c r="V1067" i="2" a="1"/>
  <c r="V1067" i="2" s="1"/>
  <c r="V1068" i="2" a="1"/>
  <c r="V1068" i="2" s="1"/>
  <c r="V1069" i="2" a="1"/>
  <c r="V1069" i="2" s="1"/>
  <c r="V1070" i="2" a="1"/>
  <c r="V1070" i="2"/>
  <c r="V1071" i="2" a="1"/>
  <c r="V1071" i="2" s="1"/>
  <c r="V1072" i="2" a="1"/>
  <c r="V1072" i="2" s="1"/>
  <c r="V1073" i="2" a="1"/>
  <c r="V1073" i="2" s="1"/>
  <c r="V1074" i="2" a="1"/>
  <c r="V1074" i="2" s="1"/>
  <c r="V1075" i="2" a="1"/>
  <c r="V1075" i="2" s="1"/>
  <c r="V1076" i="2" a="1"/>
  <c r="V1076" i="2" s="1"/>
  <c r="V1077" i="2" a="1"/>
  <c r="V1077" i="2" s="1"/>
  <c r="V1078" i="2" a="1"/>
  <c r="V1078" i="2" s="1"/>
  <c r="V1079" i="2" a="1"/>
  <c r="V1079" i="2" s="1"/>
  <c r="V1080" i="2" a="1"/>
  <c r="V1080" i="2" s="1"/>
  <c r="V1081" i="2" a="1"/>
  <c r="V1081" i="2" s="1"/>
  <c r="V1082" i="2" a="1"/>
  <c r="V1082" i="2"/>
  <c r="V1083" i="2" a="1"/>
  <c r="V1083" i="2" s="1"/>
  <c r="V1084" i="2" a="1"/>
  <c r="V1084" i="2" s="1"/>
  <c r="V1085" i="2" a="1"/>
  <c r="V1085" i="2" s="1"/>
  <c r="V1086" i="2" a="1"/>
  <c r="V1086" i="2" s="1"/>
  <c r="V1087" i="2" a="1"/>
  <c r="V1087" i="2" s="1"/>
  <c r="V1088" i="2" a="1"/>
  <c r="V1088" i="2" s="1"/>
  <c r="V1089" i="2" a="1"/>
  <c r="V1089" i="2" s="1"/>
  <c r="V1090" i="2" a="1"/>
  <c r="V1090" i="2" s="1"/>
  <c r="V1091" i="2" a="1"/>
  <c r="V1091" i="2" s="1"/>
  <c r="V1092" i="2" a="1"/>
  <c r="V1092" i="2" s="1"/>
  <c r="V1093" i="2" a="1"/>
  <c r="V1093" i="2" s="1"/>
  <c r="V1094" i="2" a="1"/>
  <c r="V1094" i="2" s="1"/>
  <c r="V1095" i="2" a="1"/>
  <c r="V1095" i="2" s="1"/>
  <c r="V1096" i="2" a="1"/>
  <c r="V1096" i="2" s="1"/>
  <c r="V1097" i="2" a="1"/>
  <c r="V1097" i="2" s="1"/>
  <c r="V1098" i="2" a="1"/>
  <c r="V1098" i="2" s="1"/>
  <c r="V1099" i="2" a="1"/>
  <c r="V1099" i="2" s="1"/>
  <c r="V1100" i="2" a="1"/>
  <c r="V1100" i="2" s="1"/>
  <c r="V1101" i="2" a="1"/>
  <c r="V1101" i="2" s="1"/>
  <c r="V1102" i="2" a="1"/>
  <c r="V1102" i="2" s="1"/>
  <c r="V1103" i="2" a="1"/>
  <c r="V1103" i="2" s="1"/>
  <c r="V1104" i="2" a="1"/>
  <c r="V1104" i="2" s="1"/>
  <c r="V1105" i="2" a="1"/>
  <c r="V1105" i="2" s="1"/>
  <c r="V1106" i="2" a="1"/>
  <c r="V1106" i="2"/>
  <c r="V1107" i="2" a="1"/>
  <c r="V1107" i="2" s="1"/>
  <c r="V1108" i="2" a="1"/>
  <c r="V1108" i="2" s="1"/>
  <c r="V1109" i="2" a="1"/>
  <c r="V1109" i="2" s="1"/>
  <c r="V1110" i="2" a="1"/>
  <c r="V1110" i="2" s="1"/>
  <c r="V1111" i="2" a="1"/>
  <c r="V1111" i="2" s="1"/>
  <c r="V1112" i="2" a="1"/>
  <c r="V1112" i="2" s="1"/>
  <c r="V1113" i="2" a="1"/>
  <c r="V1113" i="2" s="1"/>
  <c r="V1114" i="2" a="1"/>
  <c r="V1114" i="2" s="1"/>
  <c r="V1115" i="2" a="1"/>
  <c r="V1115" i="2" s="1"/>
  <c r="V1116" i="2" a="1"/>
  <c r="V1116" i="2" s="1"/>
  <c r="V1117" i="2" a="1"/>
  <c r="V1117" i="2" s="1"/>
  <c r="V1118" i="2" a="1"/>
  <c r="V1118" i="2"/>
  <c r="V1119" i="2" a="1"/>
  <c r="V1119" i="2" s="1"/>
  <c r="V1120" i="2" a="1"/>
  <c r="V1120" i="2" s="1"/>
  <c r="V1121" i="2" a="1"/>
  <c r="V1121" i="2" s="1"/>
  <c r="V1122" i="2" a="1"/>
  <c r="V1122" i="2" s="1"/>
  <c r="V1123" i="2" a="1"/>
  <c r="V1123" i="2" s="1"/>
  <c r="V1124" i="2" a="1"/>
  <c r="V1124" i="2" s="1"/>
  <c r="V1125" i="2" a="1"/>
  <c r="V1125" i="2" s="1"/>
  <c r="V1126" i="2" a="1"/>
  <c r="V1126" i="2" s="1"/>
  <c r="V1127" i="2" a="1"/>
  <c r="V1127" i="2" s="1"/>
  <c r="V1128" i="2" a="1"/>
  <c r="V1128" i="2" s="1"/>
  <c r="V1129" i="2" a="1"/>
  <c r="V1129" i="2" s="1"/>
  <c r="V1130" i="2" a="1"/>
  <c r="V1130" i="2"/>
  <c r="V1131" i="2" a="1"/>
  <c r="V1131" i="2" s="1"/>
  <c r="V1132" i="2" a="1"/>
  <c r="V1132" i="2" s="1"/>
  <c r="V1133" i="2" a="1"/>
  <c r="V1133" i="2" s="1"/>
  <c r="V1134" i="2" a="1"/>
  <c r="V1134" i="2" s="1"/>
  <c r="V1135" i="2" a="1"/>
  <c r="V1135" i="2" s="1"/>
  <c r="V1136" i="2" a="1"/>
  <c r="V1136" i="2" s="1"/>
  <c r="V1137" i="2" a="1"/>
  <c r="V1137" i="2" s="1"/>
  <c r="V1138" i="2" a="1"/>
  <c r="V1138" i="2" s="1"/>
  <c r="V1139" i="2" a="1"/>
  <c r="V1139" i="2" s="1"/>
  <c r="V1140" i="2" a="1"/>
  <c r="V1140" i="2" s="1"/>
  <c r="V1141" i="2" a="1"/>
  <c r="V1141" i="2" s="1"/>
  <c r="V1142" i="2" a="1"/>
  <c r="V1142" i="2"/>
  <c r="V1143" i="2" a="1"/>
  <c r="V1143" i="2" s="1"/>
  <c r="V1144" i="2" a="1"/>
  <c r="V1144" i="2" s="1"/>
  <c r="V1145" i="2" a="1"/>
  <c r="V1145" i="2" s="1"/>
  <c r="V1146" i="2" a="1"/>
  <c r="V1146" i="2" s="1"/>
  <c r="V1147" i="2" a="1"/>
  <c r="V1147" i="2" s="1"/>
  <c r="V1148" i="2" a="1"/>
  <c r="V1148" i="2" s="1"/>
  <c r="V1149" i="2" a="1"/>
  <c r="V1149" i="2" s="1"/>
  <c r="V1150" i="2" a="1"/>
  <c r="V1150" i="2" s="1"/>
  <c r="V1151" i="2" a="1"/>
  <c r="V1151" i="2" s="1"/>
  <c r="V1152" i="2" a="1"/>
  <c r="V1152" i="2" s="1"/>
  <c r="V1153" i="2" a="1"/>
  <c r="V1153" i="2" s="1"/>
  <c r="V1154" i="2" a="1"/>
  <c r="V1154" i="2"/>
  <c r="V1155" i="2" a="1"/>
  <c r="V1155" i="2" s="1"/>
  <c r="V1156" i="2" a="1"/>
  <c r="V1156" i="2" s="1"/>
  <c r="V1157" i="2" a="1"/>
  <c r="V1157" i="2" s="1"/>
  <c r="V1158" i="2" a="1"/>
  <c r="V1158" i="2" s="1"/>
  <c r="V1159" i="2" a="1"/>
  <c r="V1159" i="2" s="1"/>
  <c r="V1160" i="2" a="1"/>
  <c r="V1160" i="2" s="1"/>
  <c r="V1161" i="2" a="1"/>
  <c r="V1161" i="2" s="1"/>
  <c r="V1162" i="2" a="1"/>
  <c r="V1162" i="2" s="1"/>
  <c r="V1163" i="2" a="1"/>
  <c r="V1163" i="2" s="1"/>
  <c r="V1164" i="2" a="1"/>
  <c r="V1164" i="2" s="1"/>
  <c r="V1165" i="2" a="1"/>
  <c r="V1165" i="2" s="1"/>
  <c r="V1166" i="2" a="1"/>
  <c r="V1166" i="2"/>
  <c r="V1167" i="2" a="1"/>
  <c r="V1167" i="2" s="1"/>
  <c r="V1168" i="2" a="1"/>
  <c r="V1168" i="2" s="1"/>
  <c r="V1169" i="2" a="1"/>
  <c r="V1169" i="2" s="1"/>
  <c r="V1170" i="2" a="1"/>
  <c r="V1170" i="2" s="1"/>
  <c r="V1171" i="2" a="1"/>
  <c r="V1171" i="2" s="1"/>
  <c r="V1172" i="2" a="1"/>
  <c r="V1172" i="2" s="1"/>
  <c r="V1173" i="2" a="1"/>
  <c r="V1173" i="2" s="1"/>
  <c r="V1174" i="2" a="1"/>
  <c r="V1174" i="2" s="1"/>
  <c r="V1175" i="2" a="1"/>
  <c r="V1175" i="2" s="1"/>
  <c r="V1176" i="2" a="1"/>
  <c r="V1176" i="2" s="1"/>
  <c r="V1177" i="2" a="1"/>
  <c r="V1177" i="2" s="1"/>
  <c r="V1178" i="2" a="1"/>
  <c r="V1178" i="2" s="1"/>
  <c r="V1179" i="2" a="1"/>
  <c r="V1179" i="2" s="1"/>
  <c r="V1180" i="2" a="1"/>
  <c r="V1180" i="2" s="1"/>
  <c r="V1181" i="2" a="1"/>
  <c r="V1181" i="2" s="1"/>
  <c r="V1182" i="2" a="1"/>
  <c r="V1182" i="2" s="1"/>
  <c r="V1183" i="2" a="1"/>
  <c r="V1183" i="2" s="1"/>
  <c r="V1184" i="2" a="1"/>
  <c r="V1184" i="2" s="1"/>
  <c r="V1185" i="2" a="1"/>
  <c r="V1185" i="2" s="1"/>
  <c r="V1186" i="2" a="1"/>
  <c r="V1186" i="2" s="1"/>
  <c r="V1187" i="2" a="1"/>
  <c r="V1187" i="2" s="1"/>
  <c r="V1188" i="2" a="1"/>
  <c r="V1188" i="2" s="1"/>
  <c r="V1189" i="2" a="1"/>
  <c r="V1189" i="2" s="1"/>
  <c r="V1190" i="2" a="1"/>
  <c r="V1190" i="2" s="1"/>
  <c r="V1191" i="2" a="1"/>
  <c r="V1191" i="2" s="1"/>
  <c r="V1192" i="2" a="1"/>
  <c r="V1192" i="2" s="1"/>
  <c r="V1193" i="2" a="1"/>
  <c r="V1193" i="2" s="1"/>
  <c r="V1194" i="2" a="1"/>
  <c r="V1194" i="2" s="1"/>
  <c r="V1195" i="2" a="1"/>
  <c r="V1195" i="2" s="1"/>
  <c r="V1196" i="2" a="1"/>
  <c r="V1196" i="2" s="1"/>
  <c r="V1197" i="2" a="1"/>
  <c r="V1197" i="2" s="1"/>
  <c r="V1198" i="2" a="1"/>
  <c r="V1198" i="2" s="1"/>
  <c r="V1199" i="2" a="1"/>
  <c r="V1199" i="2" s="1"/>
  <c r="V1200" i="2" a="1"/>
  <c r="V1200" i="2" s="1"/>
  <c r="V1201" i="2" a="1"/>
  <c r="V1201" i="2" s="1"/>
  <c r="V1202" i="2" a="1"/>
  <c r="V1202" i="2" s="1"/>
  <c r="V1203" i="2" a="1"/>
  <c r="V1203" i="2" s="1"/>
  <c r="V1204" i="2" a="1"/>
  <c r="V1204" i="2" s="1"/>
  <c r="V1205" i="2" a="1"/>
  <c r="V1205" i="2" s="1"/>
  <c r="V1206" i="2" a="1"/>
  <c r="V1206" i="2" s="1"/>
  <c r="V1207" i="2" a="1"/>
  <c r="V1207" i="2" s="1"/>
  <c r="V1208" i="2" a="1"/>
  <c r="V1208" i="2"/>
  <c r="V1209" i="2" a="1"/>
  <c r="V1209" i="2" s="1"/>
  <c r="V1210" i="2" a="1"/>
  <c r="V1210" i="2" s="1"/>
  <c r="V1211" i="2" a="1"/>
  <c r="V1211" i="2" s="1"/>
  <c r="V1212" i="2" a="1"/>
  <c r="V1212" i="2" s="1"/>
  <c r="V1213" i="2" a="1"/>
  <c r="V1213" i="2" s="1"/>
  <c r="V1214" i="2" a="1"/>
  <c r="V1214" i="2" s="1"/>
  <c r="V1215" i="2" a="1"/>
  <c r="V1215" i="2" s="1"/>
  <c r="V1216" i="2" a="1"/>
  <c r="V1216" i="2" s="1"/>
  <c r="V1217" i="2" a="1"/>
  <c r="V1217" i="2" s="1"/>
  <c r="V1218" i="2" a="1"/>
  <c r="V1218" i="2" s="1"/>
  <c r="V1219" i="2" a="1"/>
  <c r="V1219" i="2" s="1"/>
  <c r="V1220" i="2" a="1"/>
  <c r="V1220" i="2" s="1"/>
  <c r="V1221" i="2" a="1"/>
  <c r="V1221" i="2" s="1"/>
  <c r="V1222" i="2" a="1"/>
  <c r="V1222" i="2" s="1"/>
  <c r="V1223" i="2" a="1"/>
  <c r="V1223" i="2" s="1"/>
  <c r="V1224" i="2" a="1"/>
  <c r="V1224" i="2" s="1"/>
  <c r="V1225" i="2" a="1"/>
  <c r="V1225" i="2" s="1"/>
  <c r="V1226" i="2" a="1"/>
  <c r="V1226" i="2" s="1"/>
  <c r="V1227" i="2" a="1"/>
  <c r="V1227" i="2" s="1"/>
  <c r="V1228" i="2" a="1"/>
  <c r="V1228" i="2" s="1"/>
  <c r="V1229" i="2" a="1"/>
  <c r="V1229" i="2" s="1"/>
  <c r="V1230" i="2" a="1"/>
  <c r="V1230" i="2" s="1"/>
  <c r="V1231" i="2" a="1"/>
  <c r="V1231" i="2" s="1"/>
  <c r="V1232" i="2" a="1"/>
  <c r="V1232" i="2" s="1"/>
  <c r="V1233" i="2" a="1"/>
  <c r="V1233" i="2" s="1"/>
  <c r="V1234" i="2" a="1"/>
  <c r="V1234" i="2" s="1"/>
  <c r="V1235" i="2" a="1"/>
  <c r="V1235" i="2" s="1"/>
  <c r="V1236" i="2" a="1"/>
  <c r="V1236" i="2" s="1"/>
  <c r="V1237" i="2" a="1"/>
  <c r="V1237" i="2" s="1"/>
  <c r="V1238" i="2" a="1"/>
  <c r="V1238" i="2"/>
  <c r="V1239" i="2" a="1"/>
  <c r="V1239" i="2" s="1"/>
  <c r="V1240" i="2" a="1"/>
  <c r="V1240" i="2" s="1"/>
  <c r="V1241" i="2" a="1"/>
  <c r="V1241" i="2" s="1"/>
  <c r="V1242" i="2" a="1"/>
  <c r="V1242" i="2" s="1"/>
  <c r="V1243" i="2" a="1"/>
  <c r="V1243" i="2" s="1"/>
  <c r="V1244" i="2" a="1"/>
  <c r="V1244" i="2" s="1"/>
  <c r="V1245" i="2" a="1"/>
  <c r="V1245" i="2" s="1"/>
  <c r="V1246" i="2" a="1"/>
  <c r="V1246" i="2" s="1"/>
  <c r="V1247" i="2" a="1"/>
  <c r="V1247" i="2" s="1"/>
  <c r="V1248" i="2" a="1"/>
  <c r="V1248" i="2" s="1"/>
  <c r="V1249" i="2" a="1"/>
  <c r="V1249" i="2" s="1"/>
  <c r="V1250" i="2" a="1"/>
  <c r="V1250" i="2" s="1"/>
  <c r="V1251" i="2" a="1"/>
  <c r="V1251" i="2" s="1"/>
  <c r="V1252" i="2" a="1"/>
  <c r="V1252" i="2" s="1"/>
  <c r="V1253" i="2" a="1"/>
  <c r="V1253" i="2" s="1"/>
  <c r="V1254" i="2" a="1"/>
  <c r="V1254" i="2" s="1"/>
  <c r="V1255" i="2" a="1"/>
  <c r="V1255" i="2" s="1"/>
  <c r="V1256" i="2" a="1"/>
  <c r="V1256" i="2" s="1"/>
  <c r="V1257" i="2" a="1"/>
  <c r="V1257" i="2" s="1"/>
  <c r="V1258" i="2" a="1"/>
  <c r="V1258" i="2" s="1"/>
  <c r="V1259" i="2" a="1"/>
  <c r="V1259" i="2" s="1"/>
  <c r="V1260" i="2" a="1"/>
  <c r="V1260" i="2" s="1"/>
  <c r="V1261" i="2" a="1"/>
  <c r="V1261" i="2" s="1"/>
  <c r="V1262" i="2" a="1"/>
  <c r="V1262" i="2" s="1"/>
  <c r="V1263" i="2" a="1"/>
  <c r="V1263" i="2" s="1"/>
  <c r="V1264" i="2" a="1"/>
  <c r="V1264" i="2" s="1"/>
  <c r="V1265" i="2" a="1"/>
  <c r="V1265" i="2" s="1"/>
  <c r="V1266" i="2" a="1"/>
  <c r="V1266" i="2" s="1"/>
  <c r="V1267" i="2" a="1"/>
  <c r="V1267" i="2" s="1"/>
  <c r="V1268" i="2" a="1"/>
  <c r="V1268" i="2" s="1"/>
  <c r="V1269" i="2" a="1"/>
  <c r="V1269" i="2" s="1"/>
  <c r="V1270" i="2" a="1"/>
  <c r="V1270" i="2" s="1"/>
  <c r="V1271" i="2" a="1"/>
  <c r="V1271" i="2" s="1"/>
  <c r="V1272" i="2" a="1"/>
  <c r="V1272" i="2" s="1"/>
  <c r="V1273" i="2" a="1"/>
  <c r="V1273" i="2" s="1"/>
  <c r="V1274" i="2" a="1"/>
  <c r="V1274" i="2"/>
  <c r="V1275" i="2" a="1"/>
  <c r="V1275" i="2" s="1"/>
  <c r="V1276" i="2" a="1"/>
  <c r="V1276" i="2" s="1"/>
  <c r="V1277" i="2" a="1"/>
  <c r="V1277" i="2" s="1"/>
  <c r="V1278" i="2" a="1"/>
  <c r="V1278" i="2" s="1"/>
  <c r="V1279" i="2" a="1"/>
  <c r="V1279" i="2" s="1"/>
  <c r="V1280" i="2" a="1"/>
  <c r="V1280" i="2" s="1"/>
  <c r="V1281" i="2" a="1"/>
  <c r="V1281" i="2" s="1"/>
  <c r="V1282" i="2" a="1"/>
  <c r="V1282" i="2" s="1"/>
  <c r="V1283" i="2" a="1"/>
  <c r="V1283" i="2" s="1"/>
  <c r="V1284" i="2" a="1"/>
  <c r="V1284" i="2" s="1"/>
  <c r="V1285" i="2" a="1"/>
  <c r="V1285" i="2" s="1"/>
  <c r="V1286" i="2" a="1"/>
  <c r="V1286" i="2" s="1"/>
  <c r="V1287" i="2" a="1"/>
  <c r="V1287" i="2" s="1"/>
  <c r="V1288" i="2" a="1"/>
  <c r="V1288" i="2" s="1"/>
  <c r="V1289" i="2" a="1"/>
  <c r="V1289" i="2" s="1"/>
  <c r="V1290" i="2" a="1"/>
  <c r="V1290" i="2" s="1"/>
  <c r="V1291" i="2" a="1"/>
  <c r="V1291" i="2" s="1"/>
  <c r="V1292" i="2" a="1"/>
  <c r="V1292" i="2" s="1"/>
  <c r="V1293" i="2" a="1"/>
  <c r="V1293" i="2" s="1"/>
  <c r="V1294" i="2" a="1"/>
  <c r="V1294" i="2" s="1"/>
  <c r="V1295" i="2" a="1"/>
  <c r="V1295" i="2" s="1"/>
  <c r="V1296" i="2" a="1"/>
  <c r="V1296" i="2" s="1"/>
  <c r="V1297" i="2" a="1"/>
  <c r="V1297" i="2" s="1"/>
  <c r="V1298" i="2" a="1"/>
  <c r="V1298" i="2" s="1"/>
  <c r="V1299" i="2" a="1"/>
  <c r="V1299" i="2" s="1"/>
  <c r="V1300" i="2" a="1"/>
  <c r="V1300" i="2" s="1"/>
  <c r="V1301" i="2" a="1"/>
  <c r="V1301" i="2" s="1"/>
  <c r="V1302" i="2" a="1"/>
  <c r="V1302" i="2" s="1"/>
  <c r="V1303" i="2" a="1"/>
  <c r="V1303" i="2" s="1"/>
  <c r="V1304" i="2" a="1"/>
  <c r="V1304" i="2" s="1"/>
  <c r="V1305" i="2" a="1"/>
  <c r="V1305" i="2" s="1"/>
  <c r="V1306" i="2" a="1"/>
  <c r="V1306" i="2" s="1"/>
  <c r="V1307" i="2" a="1"/>
  <c r="V1307" i="2" s="1"/>
  <c r="V1308" i="2" a="1"/>
  <c r="V1308" i="2" s="1"/>
  <c r="V1309" i="2" a="1"/>
  <c r="V1309" i="2" s="1"/>
  <c r="V1310" i="2" a="1"/>
  <c r="V1310" i="2" s="1"/>
  <c r="V1311" i="2" a="1"/>
  <c r="V1311" i="2" s="1"/>
  <c r="V1312" i="2" a="1"/>
  <c r="V1312" i="2" s="1"/>
  <c r="V1313" i="2" a="1"/>
  <c r="V1313" i="2" s="1"/>
  <c r="V1314" i="2" a="1"/>
  <c r="V1314" i="2" s="1"/>
  <c r="V1315" i="2" a="1"/>
  <c r="V1315" i="2" s="1"/>
  <c r="V1316" i="2" a="1"/>
  <c r="V1316" i="2" s="1"/>
  <c r="V1317" i="2" a="1"/>
  <c r="V1317" i="2" s="1"/>
  <c r="V1318" i="2" a="1"/>
  <c r="V1318" i="2" s="1"/>
  <c r="V1319" i="2" a="1"/>
  <c r="V1319" i="2" s="1"/>
  <c r="V1320" i="2" a="1"/>
  <c r="V1320" i="2" s="1"/>
  <c r="V1321" i="2" a="1"/>
  <c r="V1321" i="2" s="1"/>
  <c r="V1322" i="2" a="1"/>
  <c r="V1322" i="2" s="1"/>
  <c r="V1323" i="2" a="1"/>
  <c r="V1323" i="2" s="1"/>
  <c r="V1324" i="2" a="1"/>
  <c r="V1324" i="2" s="1"/>
  <c r="V1325" i="2" a="1"/>
  <c r="V1325" i="2" s="1"/>
  <c r="V1326" i="2" a="1"/>
  <c r="V1326" i="2" s="1"/>
  <c r="V1327" i="2" a="1"/>
  <c r="V1327" i="2" s="1"/>
  <c r="V1328" i="2" a="1"/>
  <c r="V1328" i="2" s="1"/>
  <c r="V1329" i="2" a="1"/>
  <c r="V1329" i="2" s="1"/>
  <c r="V1330" i="2" a="1"/>
  <c r="V1330" i="2" s="1"/>
  <c r="V1331" i="2" a="1"/>
  <c r="V1331" i="2" s="1"/>
  <c r="V1332" i="2" a="1"/>
  <c r="V1332" i="2" s="1"/>
  <c r="V1333" i="2" a="1"/>
  <c r="V1333" i="2" s="1"/>
  <c r="V1334" i="2" a="1"/>
  <c r="V1334" i="2" s="1"/>
  <c r="V1335" i="2" a="1"/>
  <c r="V1335" i="2" s="1"/>
  <c r="V1336" i="2" a="1"/>
  <c r="V1336" i="2" s="1"/>
  <c r="V1337" i="2" a="1"/>
  <c r="V1337" i="2" s="1"/>
  <c r="V1338" i="2" a="1"/>
  <c r="V1338" i="2" s="1"/>
  <c r="V1339" i="2" a="1"/>
  <c r="V1339" i="2" s="1"/>
  <c r="V1340" i="2" a="1"/>
  <c r="V1340" i="2" s="1"/>
  <c r="V1341" i="2" a="1"/>
  <c r="V1341" i="2" s="1"/>
  <c r="V1342" i="2" a="1"/>
  <c r="V1342" i="2" s="1"/>
  <c r="V1343" i="2" a="1"/>
  <c r="V1343" i="2" s="1"/>
  <c r="V1344" i="2" a="1"/>
  <c r="V1344" i="2" s="1"/>
  <c r="V1345" i="2" a="1"/>
  <c r="V1345" i="2" s="1"/>
  <c r="V1346" i="2" a="1"/>
  <c r="V1346" i="2" s="1"/>
  <c r="V1347" i="2" a="1"/>
  <c r="V1347" i="2" s="1"/>
  <c r="V1348" i="2" a="1"/>
  <c r="V1348" i="2" s="1"/>
  <c r="V1349" i="2" a="1"/>
  <c r="V1349" i="2" s="1"/>
  <c r="V1350" i="2" a="1"/>
  <c r="V1350" i="2" s="1"/>
  <c r="V1351" i="2" a="1"/>
  <c r="V1351" i="2" s="1"/>
  <c r="V1352" i="2" a="1"/>
  <c r="V1352" i="2" s="1"/>
  <c r="V1353" i="2" a="1"/>
  <c r="V1353" i="2" s="1"/>
  <c r="V1354" i="2" a="1"/>
  <c r="V1354" i="2" s="1"/>
  <c r="V1355" i="2" a="1"/>
  <c r="V1355" i="2" s="1"/>
  <c r="V1356" i="2" a="1"/>
  <c r="V1356" i="2" s="1"/>
  <c r="V1357" i="2" a="1"/>
  <c r="V1357" i="2" s="1"/>
  <c r="V1358" i="2" a="1"/>
  <c r="V1358" i="2"/>
  <c r="V1359" i="2" a="1"/>
  <c r="V1359" i="2" s="1"/>
  <c r="V1360" i="2" a="1"/>
  <c r="V1360" i="2" s="1"/>
  <c r="V1361" i="2" a="1"/>
  <c r="V1361" i="2" s="1"/>
  <c r="V1362" i="2" a="1"/>
  <c r="V1362" i="2" s="1"/>
  <c r="V1363" i="2" a="1"/>
  <c r="V1363" i="2" s="1"/>
  <c r="V1364" i="2" a="1"/>
  <c r="V1364" i="2" s="1"/>
  <c r="V1365" i="2" a="1"/>
  <c r="V1365" i="2" s="1"/>
  <c r="V1366" i="2" a="1"/>
  <c r="V1366" i="2" s="1"/>
  <c r="V1367" i="2" a="1"/>
  <c r="V1367" i="2" s="1"/>
  <c r="V1368" i="2" a="1"/>
  <c r="V1368" i="2" s="1"/>
  <c r="V1369" i="2" a="1"/>
  <c r="V1369" i="2" s="1"/>
  <c r="V1370" i="2" a="1"/>
  <c r="V1370" i="2" s="1"/>
  <c r="V1371" i="2" a="1"/>
  <c r="V1371" i="2" s="1"/>
  <c r="V1372" i="2" a="1"/>
  <c r="V1372" i="2" s="1"/>
  <c r="V1373" i="2" a="1"/>
  <c r="V1373" i="2" s="1"/>
  <c r="V1374" i="2" a="1"/>
  <c r="V1374" i="2" s="1"/>
  <c r="V1375" i="2" a="1"/>
  <c r="V1375" i="2" s="1"/>
  <c r="V1376" i="2" a="1"/>
  <c r="V1376" i="2" s="1"/>
  <c r="V1377" i="2" a="1"/>
  <c r="V1377" i="2" s="1"/>
  <c r="V1378" i="2" a="1"/>
  <c r="V1378" i="2" s="1"/>
  <c r="V1379" i="2" a="1"/>
  <c r="V1379" i="2" s="1"/>
  <c r="V1380" i="2" a="1"/>
  <c r="V1380" i="2" s="1"/>
  <c r="V1381" i="2" a="1"/>
  <c r="V1381" i="2" s="1"/>
  <c r="V1382" i="2" a="1"/>
  <c r="V1382" i="2" s="1"/>
  <c r="V1383" i="2" a="1"/>
  <c r="V1383" i="2" s="1"/>
  <c r="V1384" i="2" a="1"/>
  <c r="V1384" i="2" s="1"/>
  <c r="V1385" i="2" a="1"/>
  <c r="V1385" i="2" s="1"/>
  <c r="V1386" i="2" a="1"/>
  <c r="V1386" i="2" s="1"/>
  <c r="V1387" i="2" a="1"/>
  <c r="V1387" i="2" s="1"/>
  <c r="V1388" i="2" a="1"/>
  <c r="V1388" i="2" s="1"/>
  <c r="V1389" i="2" a="1"/>
  <c r="V1389" i="2" s="1"/>
  <c r="V1390" i="2" a="1"/>
  <c r="V1390" i="2" s="1"/>
  <c r="V1391" i="2" a="1"/>
  <c r="V1391" i="2" s="1"/>
  <c r="V1392" i="2" a="1"/>
  <c r="V1392" i="2" s="1"/>
  <c r="V1393" i="2" a="1"/>
  <c r="V1393" i="2" s="1"/>
  <c r="V1394" i="2" a="1"/>
  <c r="V1394" i="2" s="1"/>
  <c r="V1395" i="2" a="1"/>
  <c r="V1395" i="2" s="1"/>
  <c r="V1396" i="2" a="1"/>
  <c r="V1396" i="2" s="1"/>
  <c r="V1397" i="2" a="1"/>
  <c r="V1397" i="2" s="1"/>
  <c r="V1398" i="2" a="1"/>
  <c r="V1398" i="2" s="1"/>
  <c r="V1399" i="2" a="1"/>
  <c r="V1399" i="2" s="1"/>
  <c r="V1400" i="2" a="1"/>
  <c r="V1400" i="2" s="1"/>
  <c r="V1401" i="2" a="1"/>
  <c r="V1401" i="2" s="1"/>
  <c r="V1402" i="2" a="1"/>
  <c r="V1402" i="2" s="1"/>
  <c r="V1403" i="2" a="1"/>
  <c r="V1403" i="2" s="1"/>
  <c r="V1404" i="2" a="1"/>
  <c r="V1404" i="2" s="1"/>
  <c r="V1405" i="2" a="1"/>
  <c r="V1405" i="2" s="1"/>
  <c r="V1406" i="2" a="1"/>
  <c r="V1406" i="2" s="1"/>
  <c r="V1407" i="2" a="1"/>
  <c r="V1407" i="2" s="1"/>
  <c r="V1408" i="2" a="1"/>
  <c r="V1408" i="2" s="1"/>
  <c r="V1409" i="2" a="1"/>
  <c r="V1409" i="2" s="1"/>
  <c r="V1410" i="2" a="1"/>
  <c r="V1410" i="2" s="1"/>
  <c r="V1411" i="2" a="1"/>
  <c r="V1411" i="2" s="1"/>
  <c r="V1412" i="2" a="1"/>
  <c r="V1412" i="2" s="1"/>
  <c r="V1413" i="2" a="1"/>
  <c r="V1413" i="2" s="1"/>
  <c r="V1414" i="2" a="1"/>
  <c r="V1414" i="2" s="1"/>
  <c r="V1415" i="2" a="1"/>
  <c r="V1415" i="2" s="1"/>
  <c r="V1416" i="2" a="1"/>
  <c r="V1416" i="2" s="1"/>
  <c r="V1417" i="2" a="1"/>
  <c r="V1417" i="2" s="1"/>
  <c r="V1418" i="2" a="1"/>
  <c r="V1418" i="2"/>
  <c r="V1419" i="2" a="1"/>
  <c r="V1419" i="2" s="1"/>
  <c r="V1420" i="2" a="1"/>
  <c r="V1420" i="2" s="1"/>
  <c r="V1421" i="2" a="1"/>
  <c r="V1421" i="2" s="1"/>
  <c r="V1422" i="2" a="1"/>
  <c r="V1422" i="2" s="1"/>
  <c r="V1423" i="2" a="1"/>
  <c r="V1423" i="2" s="1"/>
  <c r="V1424" i="2" a="1"/>
  <c r="V1424" i="2" s="1"/>
  <c r="V1425" i="2" a="1"/>
  <c r="V1425" i="2" s="1"/>
  <c r="V1426" i="2" a="1"/>
  <c r="V1426" i="2" s="1"/>
  <c r="V1427" i="2" a="1"/>
  <c r="V1427" i="2" s="1"/>
  <c r="V1428" i="2" a="1"/>
  <c r="V1428" i="2" s="1"/>
  <c r="V1429" i="2" a="1"/>
  <c r="V1429" i="2" s="1"/>
  <c r="V1430" i="2" a="1"/>
  <c r="V1430" i="2" s="1"/>
  <c r="V1431" i="2" a="1"/>
  <c r="V1431" i="2" s="1"/>
  <c r="V1432" i="2" a="1"/>
  <c r="V1432" i="2" s="1"/>
  <c r="V1433" i="2" a="1"/>
  <c r="V1433" i="2" s="1"/>
  <c r="V1434" i="2" a="1"/>
  <c r="V1434" i="2" s="1"/>
  <c r="V1435" i="2" a="1"/>
  <c r="V1435" i="2" s="1"/>
  <c r="V1436" i="2" a="1"/>
  <c r="V1436" i="2" s="1"/>
  <c r="V1437" i="2" a="1"/>
  <c r="V1437" i="2" s="1"/>
  <c r="V1438" i="2" a="1"/>
  <c r="V1438" i="2" s="1"/>
  <c r="V1439" i="2" a="1"/>
  <c r="V1439" i="2" s="1"/>
  <c r="V1440" i="2" a="1"/>
  <c r="V1440" i="2" s="1"/>
  <c r="V1441" i="2" a="1"/>
  <c r="V1441" i="2" s="1"/>
  <c r="V1442" i="2" a="1"/>
  <c r="V1442" i="2" s="1"/>
  <c r="V1443" i="2" a="1"/>
  <c r="V1443" i="2" s="1"/>
  <c r="V1444" i="2" a="1"/>
  <c r="V1444" i="2" s="1"/>
  <c r="V1445" i="2" a="1"/>
  <c r="V1445" i="2" s="1"/>
  <c r="V1446" i="2" a="1"/>
  <c r="V1446" i="2" s="1"/>
  <c r="V1447" i="2" a="1"/>
  <c r="V1447" i="2" s="1"/>
  <c r="V1448" i="2" a="1"/>
  <c r="V1448" i="2" s="1"/>
  <c r="V1449" i="2" a="1"/>
  <c r="V1449" i="2" s="1"/>
  <c r="V1450" i="2" a="1"/>
  <c r="V1450" i="2" s="1"/>
  <c r="V1451" i="2" a="1"/>
  <c r="V1451" i="2" s="1"/>
  <c r="V1452" i="2" a="1"/>
  <c r="V1452" i="2" s="1"/>
  <c r="V1453" i="2" a="1"/>
  <c r="V1453" i="2" s="1"/>
  <c r="V1454" i="2" a="1"/>
  <c r="V1454" i="2" s="1"/>
  <c r="V1455" i="2" a="1"/>
  <c r="V1455" i="2" s="1"/>
  <c r="V1456" i="2" a="1"/>
  <c r="V1456" i="2" s="1"/>
  <c r="V1457" i="2" a="1"/>
  <c r="V1457" i="2" s="1"/>
  <c r="V1458" i="2" a="1"/>
  <c r="V1458" i="2" s="1"/>
  <c r="V1459" i="2" a="1"/>
  <c r="V1459" i="2" s="1"/>
  <c r="V1460" i="2" a="1"/>
  <c r="V1460" i="2" s="1"/>
  <c r="V1461" i="2" a="1"/>
  <c r="V1461" i="2" s="1"/>
  <c r="V1462" i="2" a="1"/>
  <c r="V1462" i="2" s="1"/>
  <c r="V1463" i="2" a="1"/>
  <c r="V1463" i="2" s="1"/>
  <c r="V1464" i="2" a="1"/>
  <c r="V1464" i="2" s="1"/>
  <c r="V1465" i="2" a="1"/>
  <c r="V1465" i="2" s="1"/>
  <c r="V1466" i="2" a="1"/>
  <c r="V1466" i="2" s="1"/>
  <c r="V1467" i="2" a="1"/>
  <c r="V1467" i="2" s="1"/>
  <c r="V1468" i="2" a="1"/>
  <c r="V1468" i="2" s="1"/>
  <c r="V1469" i="2" a="1"/>
  <c r="V1469" i="2" s="1"/>
  <c r="V1470" i="2" a="1"/>
  <c r="V1470" i="2" s="1"/>
  <c r="V1471" i="2" a="1"/>
  <c r="V1471" i="2" s="1"/>
  <c r="V1472" i="2" a="1"/>
  <c r="V1472" i="2" s="1"/>
  <c r="V1473" i="2" a="1"/>
  <c r="V1473" i="2" s="1"/>
  <c r="V1474" i="2" a="1"/>
  <c r="V1474" i="2" s="1"/>
  <c r="V1475" i="2" a="1"/>
  <c r="V1475" i="2" s="1"/>
  <c r="V1476" i="2" a="1"/>
  <c r="V1476" i="2" s="1"/>
  <c r="V1477" i="2" a="1"/>
  <c r="V1477" i="2" s="1"/>
  <c r="V1478" i="2" a="1"/>
  <c r="V1478" i="2" s="1"/>
  <c r="V1479" i="2" a="1"/>
  <c r="V1479" i="2" s="1"/>
  <c r="V1480" i="2" a="1"/>
  <c r="V1480" i="2" s="1"/>
  <c r="V1481" i="2" a="1"/>
  <c r="V1481" i="2" s="1"/>
  <c r="V1482" i="2" a="1"/>
  <c r="V1482" i="2" s="1"/>
  <c r="V1483" i="2" a="1"/>
  <c r="V1483" i="2" s="1"/>
  <c r="V1484" i="2" a="1"/>
  <c r="V1484" i="2" s="1"/>
  <c r="V1485" i="2" a="1"/>
  <c r="V1485" i="2" s="1"/>
  <c r="V1486" i="2" a="1"/>
  <c r="V1486" i="2" s="1"/>
  <c r="V1487" i="2" a="1"/>
  <c r="V1487" i="2" s="1"/>
  <c r="V1488" i="2" a="1"/>
  <c r="V1488" i="2" s="1"/>
  <c r="V1489" i="2" a="1"/>
  <c r="V1489" i="2" s="1"/>
  <c r="V1490" i="2" a="1"/>
  <c r="V1490" i="2" s="1"/>
  <c r="V1491" i="2" a="1"/>
  <c r="V1491" i="2" s="1"/>
  <c r="V1492" i="2" a="1"/>
  <c r="V1492" i="2" s="1"/>
  <c r="V1493" i="2" a="1"/>
  <c r="V1493" i="2" s="1"/>
  <c r="V1494" i="2" a="1"/>
  <c r="V1494" i="2" s="1"/>
  <c r="V1495" i="2" a="1"/>
  <c r="V1495" i="2" s="1"/>
  <c r="V1496" i="2" a="1"/>
  <c r="V1496" i="2" s="1"/>
  <c r="V1497" i="2" a="1"/>
  <c r="V1497" i="2" s="1"/>
  <c r="V1498" i="2" a="1"/>
  <c r="V1498" i="2" s="1"/>
  <c r="V1499" i="2" a="1"/>
  <c r="V1499" i="2" s="1"/>
  <c r="V1500" i="2" a="1"/>
  <c r="V1500" i="2" s="1"/>
  <c r="V1501" i="2" a="1"/>
  <c r="V1501" i="2" s="1"/>
  <c r="V1502" i="2" a="1"/>
  <c r="V1502" i="2"/>
  <c r="V1503" i="2" a="1"/>
  <c r="V1503" i="2" s="1"/>
  <c r="V1504" i="2" a="1"/>
  <c r="V1504" i="2" s="1"/>
  <c r="V1505" i="2" a="1"/>
  <c r="V1505" i="2" s="1"/>
  <c r="V1506" i="2" a="1"/>
  <c r="V1506" i="2" s="1"/>
  <c r="V1507" i="2" a="1"/>
  <c r="V1507" i="2" s="1"/>
  <c r="V1508" i="2" a="1"/>
  <c r="V1508" i="2" s="1"/>
  <c r="V1509" i="2" a="1"/>
  <c r="V1509" i="2" s="1"/>
  <c r="V1510" i="2" a="1"/>
  <c r="V1510" i="2" s="1"/>
  <c r="V1511" i="2" a="1"/>
  <c r="V1511" i="2" s="1"/>
  <c r="V1512" i="2" a="1"/>
  <c r="V1512" i="2" s="1"/>
  <c r="V1513" i="2" a="1"/>
  <c r="V1513" i="2" s="1"/>
  <c r="V1514" i="2" a="1"/>
  <c r="V1514" i="2" s="1"/>
  <c r="V1515" i="2" a="1"/>
  <c r="V1515" i="2" s="1"/>
  <c r="V1516" i="2" a="1"/>
  <c r="V1516" i="2" s="1"/>
  <c r="V1517" i="2" a="1"/>
  <c r="V1517" i="2" s="1"/>
  <c r="V1518" i="2" a="1"/>
  <c r="V1518" i="2" s="1"/>
  <c r="V1519" i="2" a="1"/>
  <c r="V1519" i="2" s="1"/>
  <c r="V1520" i="2" a="1"/>
  <c r="V1520" i="2" s="1"/>
  <c r="V1521" i="2" a="1"/>
  <c r="V1521" i="2" s="1"/>
  <c r="V1522" i="2" a="1"/>
  <c r="V1522" i="2" s="1"/>
  <c r="V1523" i="2" a="1"/>
  <c r="V1523" i="2" s="1"/>
  <c r="V1524" i="2" a="1"/>
  <c r="V1524" i="2" s="1"/>
  <c r="V1525" i="2" a="1"/>
  <c r="V1525" i="2" s="1"/>
  <c r="V1526" i="2" a="1"/>
  <c r="V1526" i="2" s="1"/>
  <c r="V1527" i="2" a="1"/>
  <c r="V1527" i="2" s="1"/>
  <c r="V1528" i="2" a="1"/>
  <c r="V1528" i="2" s="1"/>
  <c r="V1529" i="2" a="1"/>
  <c r="V1529" i="2" s="1"/>
  <c r="V1530" i="2" a="1"/>
  <c r="V1530" i="2" s="1"/>
  <c r="V1531" i="2" a="1"/>
  <c r="V1531" i="2" s="1"/>
  <c r="V1532" i="2" a="1"/>
  <c r="V1532" i="2" s="1"/>
  <c r="V1533" i="2" a="1"/>
  <c r="V1533" i="2" s="1"/>
  <c r="V1534" i="2" a="1"/>
  <c r="V1534" i="2" s="1"/>
  <c r="V1535" i="2" a="1"/>
  <c r="V1535" i="2" s="1"/>
  <c r="V1536" i="2" a="1"/>
  <c r="V1536" i="2" s="1"/>
  <c r="V1537" i="2" a="1"/>
  <c r="V1537" i="2" s="1"/>
  <c r="V1538" i="2" a="1"/>
  <c r="V1538" i="2" s="1"/>
  <c r="V1539" i="2" a="1"/>
  <c r="V1539" i="2" s="1"/>
  <c r="V1540" i="2" a="1"/>
  <c r="V1540" i="2" s="1"/>
  <c r="V1541" i="2" a="1"/>
  <c r="V1541" i="2" s="1"/>
  <c r="V1542" i="2" a="1"/>
  <c r="V1542" i="2" s="1"/>
  <c r="V1543" i="2" a="1"/>
  <c r="V1543" i="2" s="1"/>
  <c r="V1544" i="2" a="1"/>
  <c r="V1544" i="2" s="1"/>
  <c r="V1545" i="2" a="1"/>
  <c r="V1545" i="2" s="1"/>
  <c r="V1546" i="2" a="1"/>
  <c r="V1546" i="2" s="1"/>
  <c r="V1547" i="2" a="1"/>
  <c r="V1547" i="2" s="1"/>
  <c r="V1548" i="2" a="1"/>
  <c r="V1548" i="2" s="1"/>
  <c r="V1549" i="2" a="1"/>
  <c r="V1549" i="2" s="1"/>
  <c r="V1550" i="2" a="1"/>
  <c r="V1550" i="2" s="1"/>
  <c r="V1551" i="2" a="1"/>
  <c r="V1551" i="2" s="1"/>
  <c r="V1552" i="2" a="1"/>
  <c r="V1552" i="2" s="1"/>
  <c r="V1553" i="2" a="1"/>
  <c r="V1553" i="2" s="1"/>
  <c r="V1554" i="2" a="1"/>
  <c r="V1554" i="2" s="1"/>
  <c r="V1555" i="2" a="1"/>
  <c r="V1555" i="2" s="1"/>
  <c r="V1556" i="2" a="1"/>
  <c r="V1556" i="2" s="1"/>
  <c r="V1557" i="2" a="1"/>
  <c r="V1557" i="2" s="1"/>
  <c r="V1558" i="2" a="1"/>
  <c r="V1558" i="2" s="1"/>
  <c r="V1559" i="2" a="1"/>
  <c r="V1559" i="2" s="1"/>
  <c r="V1560" i="2" a="1"/>
  <c r="V1560" i="2" s="1"/>
  <c r="V1561" i="2" a="1"/>
  <c r="V1561" i="2" s="1"/>
  <c r="V1562" i="2" a="1"/>
  <c r="V1562" i="2"/>
  <c r="V1563" i="2" a="1"/>
  <c r="V1563" i="2" s="1"/>
  <c r="V1564" i="2" a="1"/>
  <c r="V1564" i="2" s="1"/>
  <c r="V1565" i="2" a="1"/>
  <c r="V1565" i="2" s="1"/>
  <c r="V1566" i="2" a="1"/>
  <c r="V1566" i="2" s="1"/>
  <c r="V1567" i="2" a="1"/>
  <c r="V1567" i="2" s="1"/>
  <c r="V1568" i="2" a="1"/>
  <c r="V1568" i="2" s="1"/>
  <c r="V1569" i="2" a="1"/>
  <c r="V1569" i="2" s="1"/>
  <c r="V1570" i="2" a="1"/>
  <c r="V1570" i="2" s="1"/>
  <c r="V1571" i="2" a="1"/>
  <c r="V1571" i="2" s="1"/>
  <c r="V1572" i="2" a="1"/>
  <c r="V1572" i="2" s="1"/>
  <c r="V1573" i="2" a="1"/>
  <c r="V1573" i="2" s="1"/>
  <c r="V1574" i="2" a="1"/>
  <c r="V1574" i="2" s="1"/>
  <c r="V1575" i="2" a="1"/>
  <c r="V1575" i="2" s="1"/>
  <c r="V1576" i="2" a="1"/>
  <c r="V1576" i="2" s="1"/>
  <c r="V1577" i="2" a="1"/>
  <c r="V1577" i="2" s="1"/>
  <c r="V1578" i="2" a="1"/>
  <c r="V1578" i="2" s="1"/>
  <c r="V1579" i="2" a="1"/>
  <c r="V1579" i="2" s="1"/>
  <c r="V1580" i="2" a="1"/>
  <c r="V1580" i="2" s="1"/>
  <c r="V1581" i="2" a="1"/>
  <c r="V1581" i="2" s="1"/>
  <c r="V1582" i="2" a="1"/>
  <c r="V1582" i="2" s="1"/>
  <c r="V1583" i="2" a="1"/>
  <c r="V1583" i="2" s="1"/>
  <c r="V1584" i="2" a="1"/>
  <c r="V1584" i="2" s="1"/>
  <c r="V1585" i="2" a="1"/>
  <c r="V1585" i="2" s="1"/>
  <c r="V1586" i="2" a="1"/>
  <c r="V1586" i="2" s="1"/>
  <c r="V1587" i="2" a="1"/>
  <c r="V1587" i="2" s="1"/>
  <c r="V1588" i="2" a="1"/>
  <c r="V1588" i="2" s="1"/>
  <c r="V1589" i="2" a="1"/>
  <c r="V1589" i="2" s="1"/>
  <c r="V1590" i="2" a="1"/>
  <c r="V1590" i="2" s="1"/>
  <c r="V1591" i="2" a="1"/>
  <c r="V1591" i="2" s="1"/>
  <c r="V1592" i="2" a="1"/>
  <c r="V1592" i="2" s="1"/>
  <c r="V1593" i="2" a="1"/>
  <c r="V1593" i="2" s="1"/>
  <c r="V1594" i="2" a="1"/>
  <c r="V1594" i="2" s="1"/>
  <c r="V1595" i="2" a="1"/>
  <c r="V1595" i="2" s="1"/>
  <c r="V1596" i="2" a="1"/>
  <c r="V1596" i="2" s="1"/>
  <c r="V1597" i="2" a="1"/>
  <c r="V1597" i="2" s="1"/>
  <c r="V1598" i="2" a="1"/>
  <c r="V1598" i="2" s="1"/>
  <c r="V1599" i="2" a="1"/>
  <c r="V1599" i="2" s="1"/>
  <c r="V1600" i="2" a="1"/>
  <c r="V1600" i="2" s="1"/>
  <c r="V1601" i="2" a="1"/>
  <c r="V1601" i="2" s="1"/>
  <c r="V1602" i="2" a="1"/>
  <c r="V1602" i="2" s="1"/>
  <c r="V1603" i="2" a="1"/>
  <c r="V1603" i="2" s="1"/>
  <c r="V1604" i="2" a="1"/>
  <c r="V1604" i="2" s="1"/>
  <c r="V1605" i="2" a="1"/>
  <c r="V1605" i="2" s="1"/>
  <c r="V1606" i="2" a="1"/>
  <c r="V1606" i="2" s="1"/>
  <c r="V1607" i="2" a="1"/>
  <c r="V1607" i="2" s="1"/>
  <c r="V1608" i="2" a="1"/>
  <c r="V1608" i="2" s="1"/>
  <c r="V1609" i="2" a="1"/>
  <c r="V1609" i="2" s="1"/>
  <c r="V1610" i="2" a="1"/>
  <c r="V1610" i="2" s="1"/>
  <c r="V1611" i="2" a="1"/>
  <c r="V1611" i="2" s="1"/>
  <c r="V1612" i="2" a="1"/>
  <c r="V1612" i="2" s="1"/>
  <c r="V1613" i="2" a="1"/>
  <c r="V1613" i="2" s="1"/>
  <c r="V1614" i="2" a="1"/>
  <c r="V1614" i="2" s="1"/>
  <c r="V1615" i="2" a="1"/>
  <c r="V1615" i="2" s="1"/>
  <c r="V1616" i="2" a="1"/>
  <c r="V1616" i="2" s="1"/>
  <c r="V1617" i="2" a="1"/>
  <c r="V1617" i="2" s="1"/>
  <c r="V1618" i="2" a="1"/>
  <c r="V1618" i="2" s="1"/>
  <c r="V1619" i="2" a="1"/>
  <c r="V1619" i="2" s="1"/>
  <c r="V1620" i="2" a="1"/>
  <c r="V1620" i="2" s="1"/>
  <c r="V1621" i="2" a="1"/>
  <c r="V1621" i="2" s="1"/>
  <c r="V1622" i="2" a="1"/>
  <c r="V1622" i="2" s="1"/>
  <c r="V1623" i="2" a="1"/>
  <c r="V1623" i="2" s="1"/>
  <c r="V1624" i="2" a="1"/>
  <c r="V1624" i="2" s="1"/>
  <c r="V1625" i="2" a="1"/>
  <c r="V1625" i="2" s="1"/>
  <c r="V1626" i="2" a="1"/>
  <c r="V1626" i="2" s="1"/>
  <c r="V1627" i="2" a="1"/>
  <c r="V1627" i="2" s="1"/>
  <c r="V1628" i="2" a="1"/>
  <c r="V1628" i="2" s="1"/>
  <c r="V1629" i="2" a="1"/>
  <c r="V1629" i="2" s="1"/>
  <c r="V1630" i="2" a="1"/>
  <c r="V1630" i="2" s="1"/>
  <c r="V1631" i="2" a="1"/>
  <c r="V1631" i="2" s="1"/>
  <c r="V1632" i="2" a="1"/>
  <c r="V1632" i="2" s="1"/>
  <c r="V1633" i="2" a="1"/>
  <c r="V1633" i="2" s="1"/>
  <c r="V1634" i="2" a="1"/>
  <c r="V1634" i="2" s="1"/>
  <c r="V1635" i="2" a="1"/>
  <c r="V1635" i="2" s="1"/>
  <c r="V1636" i="2" a="1"/>
  <c r="V1636" i="2" s="1"/>
  <c r="V1637" i="2" a="1"/>
  <c r="V1637" i="2" s="1"/>
  <c r="V1638" i="2" a="1"/>
  <c r="V1638" i="2" s="1"/>
  <c r="V1639" i="2" a="1"/>
  <c r="V1639" i="2" s="1"/>
  <c r="V1640" i="2" a="1"/>
  <c r="V1640" i="2" s="1"/>
  <c r="V1641" i="2" a="1"/>
  <c r="V1641" i="2" s="1"/>
  <c r="V1642" i="2" a="1"/>
  <c r="V1642" i="2" s="1"/>
  <c r="V1643" i="2" a="1"/>
  <c r="V1643" i="2" s="1"/>
  <c r="V1644" i="2" a="1"/>
  <c r="V1644" i="2" s="1"/>
  <c r="V1645" i="2" a="1"/>
  <c r="V1645" i="2" s="1"/>
  <c r="V1646" i="2" a="1"/>
  <c r="V1646" i="2"/>
  <c r="V1647" i="2" a="1"/>
  <c r="V1647" i="2" s="1"/>
  <c r="V1648" i="2" a="1"/>
  <c r="V1648" i="2" s="1"/>
  <c r="V1649" i="2" a="1"/>
  <c r="V1649" i="2" s="1"/>
  <c r="V1650" i="2" a="1"/>
  <c r="V1650" i="2" s="1"/>
  <c r="V1651" i="2" a="1"/>
  <c r="V1651" i="2" s="1"/>
  <c r="V1652" i="2" a="1"/>
  <c r="V1652" i="2" s="1"/>
  <c r="V1653" i="2" a="1"/>
  <c r="V1653" i="2" s="1"/>
  <c r="V1654" i="2" a="1"/>
  <c r="V1654" i="2" s="1"/>
  <c r="V1655" i="2" a="1"/>
  <c r="V1655" i="2" s="1"/>
  <c r="V1656" i="2" a="1"/>
  <c r="V1656" i="2" s="1"/>
  <c r="V1657" i="2" a="1"/>
  <c r="V1657" i="2" s="1"/>
  <c r="V1658" i="2" a="1"/>
  <c r="V1658" i="2" s="1"/>
  <c r="V1659" i="2" a="1"/>
  <c r="V1659" i="2" s="1"/>
  <c r="V1660" i="2" a="1"/>
  <c r="V1660" i="2" s="1"/>
  <c r="V1661" i="2" a="1"/>
  <c r="V1661" i="2" s="1"/>
  <c r="V1662" i="2" a="1"/>
  <c r="V1662" i="2" s="1"/>
  <c r="V1663" i="2" a="1"/>
  <c r="V1663" i="2" s="1"/>
  <c r="V1664" i="2" a="1"/>
  <c r="V1664" i="2" s="1"/>
  <c r="V1665" i="2" a="1"/>
  <c r="V1665" i="2" s="1"/>
  <c r="V1666" i="2" a="1"/>
  <c r="V1666" i="2" s="1"/>
  <c r="V1667" i="2" a="1"/>
  <c r="V1667" i="2" s="1"/>
  <c r="V1668" i="2" a="1"/>
  <c r="V1668" i="2" s="1"/>
  <c r="V1669" i="2" a="1"/>
  <c r="V1669" i="2" s="1"/>
  <c r="V1670" i="2" a="1"/>
  <c r="V1670" i="2" s="1"/>
  <c r="V1671" i="2" a="1"/>
  <c r="V1671" i="2" s="1"/>
  <c r="V1672" i="2" a="1"/>
  <c r="V1672" i="2" s="1"/>
  <c r="V1673" i="2" a="1"/>
  <c r="V1673" i="2" s="1"/>
  <c r="V1674" i="2" a="1"/>
  <c r="V1674" i="2" s="1"/>
  <c r="V1675" i="2" a="1"/>
  <c r="V1675" i="2" s="1"/>
  <c r="V1676" i="2" a="1"/>
  <c r="V1676" i="2" s="1"/>
  <c r="V1677" i="2" a="1"/>
  <c r="V1677" i="2" s="1"/>
  <c r="V1678" i="2" a="1"/>
  <c r="V1678" i="2" s="1"/>
  <c r="V1679" i="2" a="1"/>
  <c r="V1679" i="2" s="1"/>
  <c r="V1680" i="2" a="1"/>
  <c r="V1680" i="2" s="1"/>
  <c r="V1681" i="2" a="1"/>
  <c r="V1681" i="2" s="1"/>
  <c r="V1682" i="2" a="1"/>
  <c r="V1682" i="2" s="1"/>
  <c r="V1683" i="2" a="1"/>
  <c r="V1683" i="2" s="1"/>
  <c r="V1684" i="2" a="1"/>
  <c r="V1684" i="2" s="1"/>
  <c r="V1685" i="2" a="1"/>
  <c r="V1685" i="2" s="1"/>
  <c r="V1686" i="2" a="1"/>
  <c r="V1686" i="2" s="1"/>
  <c r="V1687" i="2" a="1"/>
  <c r="V1687" i="2" s="1"/>
  <c r="V1688" i="2" a="1"/>
  <c r="V1688" i="2" s="1"/>
  <c r="V1689" i="2" a="1"/>
  <c r="V1689" i="2" s="1"/>
  <c r="V1690" i="2" a="1"/>
  <c r="V1690" i="2" s="1"/>
  <c r="V1691" i="2" a="1"/>
  <c r="V1691" i="2" s="1"/>
  <c r="V1692" i="2" a="1"/>
  <c r="V1692" i="2" s="1"/>
  <c r="V1693" i="2" a="1"/>
  <c r="V1693" i="2" s="1"/>
  <c r="V1694" i="2" a="1"/>
  <c r="V1694" i="2" s="1"/>
  <c r="V1695" i="2" a="1"/>
  <c r="V1695" i="2" s="1"/>
  <c r="V1696" i="2" a="1"/>
  <c r="V1696" i="2" s="1"/>
  <c r="V1697" i="2" a="1"/>
  <c r="V1697" i="2" s="1"/>
  <c r="V1698" i="2" a="1"/>
  <c r="V1698" i="2" s="1"/>
  <c r="V1699" i="2" a="1"/>
  <c r="V1699" i="2" s="1"/>
  <c r="V1700" i="2" a="1"/>
  <c r="V1700" i="2" s="1"/>
  <c r="V1701" i="2" a="1"/>
  <c r="V1701" i="2" s="1"/>
  <c r="V1702" i="2" a="1"/>
  <c r="V1702" i="2" s="1"/>
  <c r="V1703" i="2" a="1"/>
  <c r="V1703" i="2" s="1"/>
  <c r="V1704" i="2" a="1"/>
  <c r="V1704" i="2" s="1"/>
  <c r="V1705" i="2" a="1"/>
  <c r="V1705" i="2" s="1"/>
  <c r="V1706" i="2" a="1"/>
  <c r="V1706" i="2"/>
  <c r="V1707" i="2" a="1"/>
  <c r="V1707" i="2" s="1"/>
  <c r="V1708" i="2" a="1"/>
  <c r="V1708" i="2" s="1"/>
  <c r="V1709" i="2" a="1"/>
  <c r="V1709" i="2" s="1"/>
  <c r="V1710" i="2" a="1"/>
  <c r="V1710" i="2" s="1"/>
  <c r="V1711" i="2" a="1"/>
  <c r="V1711" i="2" s="1"/>
  <c r="V1712" i="2" a="1"/>
  <c r="V1712" i="2" s="1"/>
  <c r="V1713" i="2" a="1"/>
  <c r="V1713" i="2" s="1"/>
  <c r="V1714" i="2" a="1"/>
  <c r="V1714" i="2" s="1"/>
  <c r="V1715" i="2" a="1"/>
  <c r="V1715" i="2" s="1"/>
  <c r="V1716" i="2" a="1"/>
  <c r="V1716" i="2" s="1"/>
  <c r="V1717" i="2" a="1"/>
  <c r="V1717" i="2" s="1"/>
  <c r="V1718" i="2" a="1"/>
  <c r="V1718" i="2" s="1"/>
  <c r="V1719" i="2" a="1"/>
  <c r="V1719" i="2" s="1"/>
  <c r="V1720" i="2" a="1"/>
  <c r="V1720" i="2" s="1"/>
  <c r="V1721" i="2" a="1"/>
  <c r="V1721" i="2" s="1"/>
  <c r="V1722" i="2" a="1"/>
  <c r="V1722" i="2" s="1"/>
  <c r="V1723" i="2" a="1"/>
  <c r="V1723" i="2" s="1"/>
  <c r="V1724" i="2" a="1"/>
  <c r="V1724" i="2" s="1"/>
  <c r="V1725" i="2" a="1"/>
  <c r="V1725" i="2" s="1"/>
  <c r="V1726" i="2" a="1"/>
  <c r="V1726" i="2" s="1"/>
  <c r="V1727" i="2" a="1"/>
  <c r="V1727" i="2" s="1"/>
  <c r="V1728" i="2" a="1"/>
  <c r="V1728" i="2" s="1"/>
  <c r="V1729" i="2" a="1"/>
  <c r="V1729" i="2" s="1"/>
  <c r="V1730" i="2" a="1"/>
  <c r="V1730" i="2" s="1"/>
  <c r="V1731" i="2" a="1"/>
  <c r="V1731" i="2" s="1"/>
  <c r="V1732" i="2" a="1"/>
  <c r="V1732" i="2" s="1"/>
  <c r="V1733" i="2" a="1"/>
  <c r="V1733" i="2" s="1"/>
  <c r="V1734" i="2" a="1"/>
  <c r="V1734" i="2" s="1"/>
  <c r="V1735" i="2" a="1"/>
  <c r="V1735" i="2" s="1"/>
  <c r="V1736" i="2" a="1"/>
  <c r="V1736" i="2" s="1"/>
  <c r="V1737" i="2" a="1"/>
  <c r="V1737" i="2" s="1"/>
  <c r="V1738" i="2" a="1"/>
  <c r="V1738" i="2" s="1"/>
  <c r="V1739" i="2" a="1"/>
  <c r="V1739" i="2" s="1"/>
  <c r="V1740" i="2" a="1"/>
  <c r="V1740" i="2" s="1"/>
  <c r="V1741" i="2" a="1"/>
  <c r="V1741" i="2" s="1"/>
  <c r="V1742" i="2" a="1"/>
  <c r="V1742" i="2"/>
  <c r="V1743" i="2" a="1"/>
  <c r="V1743" i="2" s="1"/>
  <c r="V1744" i="2" a="1"/>
  <c r="V1744" i="2" s="1"/>
  <c r="V1745" i="2" a="1"/>
  <c r="V1745" i="2" s="1"/>
  <c r="V1746" i="2" a="1"/>
  <c r="V1746" i="2" s="1"/>
  <c r="V1747" i="2" a="1"/>
  <c r="V1747" i="2" s="1"/>
  <c r="V1748" i="2" a="1"/>
  <c r="V1748" i="2" s="1"/>
  <c r="V1749" i="2" a="1"/>
  <c r="V1749" i="2" s="1"/>
  <c r="V1750" i="2" a="1"/>
  <c r="V1750" i="2" s="1"/>
  <c r="V1751" i="2" a="1"/>
  <c r="V1751" i="2" s="1"/>
  <c r="V1752" i="2" a="1"/>
  <c r="V1752" i="2" s="1"/>
  <c r="V1753" i="2" a="1"/>
  <c r="V1753" i="2" s="1"/>
  <c r="V1754" i="2" a="1"/>
  <c r="V1754" i="2" s="1"/>
  <c r="V1755" i="2" a="1"/>
  <c r="V1755" i="2" s="1"/>
  <c r="V1756" i="2" a="1"/>
  <c r="V1756" i="2" s="1"/>
  <c r="V1757" i="2" a="1"/>
  <c r="V1757" i="2" s="1"/>
  <c r="V1758" i="2" a="1"/>
  <c r="V1758" i="2" s="1"/>
  <c r="V1759" i="2" a="1"/>
  <c r="V1759" i="2" s="1"/>
  <c r="V1760" i="2" a="1"/>
  <c r="V1760" i="2" s="1"/>
  <c r="V1761" i="2" a="1"/>
  <c r="V1761" i="2" s="1"/>
  <c r="V1762" i="2" a="1"/>
  <c r="V1762" i="2" s="1"/>
  <c r="V1763" i="2" a="1"/>
  <c r="V1763" i="2" s="1"/>
  <c r="V1764" i="2" a="1"/>
  <c r="V1764" i="2" s="1"/>
  <c r="V1765" i="2" a="1"/>
  <c r="V1765" i="2" s="1"/>
  <c r="V1766" i="2" a="1"/>
  <c r="V1766" i="2" s="1"/>
  <c r="V1767" i="2" a="1"/>
  <c r="V1767" i="2" s="1"/>
  <c r="V1768" i="2" a="1"/>
  <c r="V1768" i="2" s="1"/>
  <c r="V1769" i="2" a="1"/>
  <c r="V1769" i="2" s="1"/>
  <c r="V1770" i="2" a="1"/>
  <c r="V1770" i="2" s="1"/>
  <c r="V1771" i="2" a="1"/>
  <c r="V1771" i="2" s="1"/>
  <c r="V1772" i="2" a="1"/>
  <c r="V1772" i="2" s="1"/>
  <c r="V1773" i="2" a="1"/>
  <c r="V1773" i="2" s="1"/>
  <c r="V1774" i="2" a="1"/>
  <c r="V1774" i="2" s="1"/>
  <c r="V1775" i="2" a="1"/>
  <c r="V1775" i="2" s="1"/>
  <c r="V1776" i="2" a="1"/>
  <c r="V1776" i="2" s="1"/>
  <c r="V1777" i="2" a="1"/>
  <c r="V1777" i="2" s="1"/>
  <c r="V1778" i="2" a="1"/>
  <c r="V1778" i="2" s="1"/>
  <c r="V1779" i="2" a="1"/>
  <c r="V1779" i="2" s="1"/>
  <c r="V1780" i="2" a="1"/>
  <c r="V1780" i="2" s="1"/>
  <c r="V1781" i="2" a="1"/>
  <c r="V1781" i="2" s="1"/>
  <c r="V1782" i="2" a="1"/>
  <c r="V1782" i="2" s="1"/>
  <c r="V1783" i="2" a="1"/>
  <c r="V1783" i="2" s="1"/>
  <c r="V1784" i="2" a="1"/>
  <c r="V1784" i="2" s="1"/>
  <c r="V1785" i="2" a="1"/>
  <c r="V1785" i="2" s="1"/>
  <c r="V1786" i="2" a="1"/>
  <c r="V1786" i="2" s="1"/>
  <c r="V1787" i="2" a="1"/>
  <c r="V1787" i="2" s="1"/>
  <c r="V1788" i="2" a="1"/>
  <c r="V1788" i="2" s="1"/>
  <c r="V1789" i="2" a="1"/>
  <c r="V1789" i="2" s="1"/>
  <c r="V1790" i="2" a="1"/>
  <c r="V1790" i="2"/>
  <c r="V1791" i="2" a="1"/>
  <c r="V1791" i="2" s="1"/>
  <c r="V1792" i="2" a="1"/>
  <c r="V1792" i="2" s="1"/>
  <c r="V1793" i="2" a="1"/>
  <c r="V1793" i="2" s="1"/>
  <c r="V1794" i="2" a="1"/>
  <c r="V1794" i="2" s="1"/>
  <c r="V1795" i="2" a="1"/>
  <c r="V1795" i="2" s="1"/>
  <c r="V1796" i="2" a="1"/>
  <c r="V1796" i="2" s="1"/>
  <c r="V1797" i="2" a="1"/>
  <c r="V1797" i="2" s="1"/>
  <c r="V1798" i="2" a="1"/>
  <c r="V1798" i="2" s="1"/>
  <c r="V1799" i="2" a="1"/>
  <c r="V1799" i="2" s="1"/>
  <c r="V1800" i="2" a="1"/>
  <c r="V1800" i="2" s="1"/>
  <c r="V1801" i="2" a="1"/>
  <c r="V1801" i="2" s="1"/>
  <c r="V1802" i="2" a="1"/>
  <c r="V1802" i="2" s="1"/>
  <c r="V1803" i="2" a="1"/>
  <c r="V1803" i="2" s="1"/>
  <c r="V1804" i="2" a="1"/>
  <c r="V1804" i="2" s="1"/>
  <c r="V1805" i="2" a="1"/>
  <c r="V1805" i="2" s="1"/>
  <c r="V1806" i="2" a="1"/>
  <c r="V1806" i="2" s="1"/>
  <c r="V1807" i="2" a="1"/>
  <c r="V1807" i="2" s="1"/>
  <c r="V1808" i="2" a="1"/>
  <c r="V1808" i="2" s="1"/>
  <c r="V1809" i="2" a="1"/>
  <c r="V1809" i="2" s="1"/>
  <c r="V1810" i="2" a="1"/>
  <c r="V1810" i="2" s="1"/>
  <c r="V1811" i="2" a="1"/>
  <c r="V1811" i="2" s="1"/>
  <c r="V1812" i="2" a="1"/>
  <c r="V1812" i="2" s="1"/>
  <c r="V1813" i="2" a="1"/>
  <c r="V1813" i="2" s="1"/>
  <c r="V1814" i="2" a="1"/>
  <c r="V1814" i="2" s="1"/>
  <c r="V1815" i="2" a="1"/>
  <c r="V1815" i="2" s="1"/>
  <c r="V1816" i="2" a="1"/>
  <c r="V1816" i="2" s="1"/>
  <c r="V1817" i="2" a="1"/>
  <c r="V1817" i="2" s="1"/>
  <c r="V1818" i="2" a="1"/>
  <c r="V1818" i="2" s="1"/>
  <c r="V1819" i="2" a="1"/>
  <c r="V1819" i="2" s="1"/>
  <c r="V1820" i="2" a="1"/>
  <c r="V1820" i="2" s="1"/>
  <c r="V1821" i="2" a="1"/>
  <c r="V1821" i="2" s="1"/>
  <c r="V1822" i="2" a="1"/>
  <c r="V1822" i="2" s="1"/>
  <c r="V1823" i="2" a="1"/>
  <c r="V1823" i="2" s="1"/>
  <c r="V1824" i="2" a="1"/>
  <c r="V1824" i="2" s="1"/>
  <c r="V1825" i="2" a="1"/>
  <c r="V1825" i="2" s="1"/>
  <c r="V1826" i="2" a="1"/>
  <c r="V1826" i="2" s="1"/>
  <c r="V1827" i="2" a="1"/>
  <c r="V1827" i="2" s="1"/>
  <c r="V1828" i="2" a="1"/>
  <c r="V1828" i="2" s="1"/>
  <c r="V1829" i="2" a="1"/>
  <c r="V1829" i="2" s="1"/>
  <c r="V1830" i="2" a="1"/>
  <c r="V1830" i="2" s="1"/>
  <c r="V1831" i="2" a="1"/>
  <c r="V1831" i="2" s="1"/>
  <c r="V1832" i="2" a="1"/>
  <c r="V1832" i="2" s="1"/>
  <c r="V1833" i="2" a="1"/>
  <c r="V1833" i="2" s="1"/>
  <c r="V1834" i="2" a="1"/>
  <c r="V1834" i="2" s="1"/>
  <c r="V1835" i="2" a="1"/>
  <c r="V1835" i="2" s="1"/>
  <c r="V1836" i="2" a="1"/>
  <c r="V1836" i="2" s="1"/>
  <c r="V1837" i="2" a="1"/>
  <c r="V1837" i="2" s="1"/>
  <c r="V1838" i="2" a="1"/>
  <c r="V1838" i="2" s="1"/>
  <c r="V1839" i="2" a="1"/>
  <c r="V1839" i="2" s="1"/>
  <c r="V1840" i="2" a="1"/>
  <c r="V1840" i="2" s="1"/>
  <c r="V1841" i="2" a="1"/>
  <c r="V1841" i="2" s="1"/>
  <c r="V1842" i="2" a="1"/>
  <c r="V1842" i="2" s="1"/>
  <c r="V1843" i="2" a="1"/>
  <c r="V1843" i="2" s="1"/>
  <c r="V1844" i="2" a="1"/>
  <c r="V1844" i="2" s="1"/>
  <c r="V1845" i="2" a="1"/>
  <c r="V1845" i="2" s="1"/>
  <c r="V1846" i="2" a="1"/>
  <c r="V1846" i="2" s="1"/>
  <c r="V1847" i="2" a="1"/>
  <c r="V1847" i="2" s="1"/>
  <c r="V1848" i="2" a="1"/>
  <c r="V1848" i="2" s="1"/>
  <c r="V1849" i="2" a="1"/>
  <c r="V1849" i="2" s="1"/>
  <c r="V1850" i="2" a="1"/>
  <c r="V1850" i="2" s="1"/>
  <c r="V1851" i="2" a="1"/>
  <c r="V1851" i="2" s="1"/>
  <c r="V1852" i="2" a="1"/>
  <c r="V1852" i="2" s="1"/>
  <c r="V1853" i="2" a="1"/>
  <c r="V1853" i="2" s="1"/>
  <c r="V1854" i="2" a="1"/>
  <c r="V1854" i="2" s="1"/>
  <c r="V1855" i="2" a="1"/>
  <c r="V1855" i="2" s="1"/>
  <c r="V1856" i="2" a="1"/>
  <c r="V1856" i="2" s="1"/>
  <c r="V1857" i="2" a="1"/>
  <c r="V1857" i="2" s="1"/>
  <c r="V1858" i="2" a="1"/>
  <c r="V1858" i="2" s="1"/>
  <c r="V1859" i="2" a="1"/>
  <c r="V1859" i="2" s="1"/>
  <c r="V1860" i="2" a="1"/>
  <c r="V1860" i="2" s="1"/>
  <c r="V1861" i="2" a="1"/>
  <c r="V1861" i="2" s="1"/>
  <c r="V1862" i="2" a="1"/>
  <c r="V1862" i="2" s="1"/>
  <c r="V1863" i="2" a="1"/>
  <c r="V1863" i="2" s="1"/>
  <c r="V1864" i="2" a="1"/>
  <c r="V1864" i="2" s="1"/>
  <c r="V1865" i="2" a="1"/>
  <c r="V1865" i="2" s="1"/>
  <c r="V1866" i="2" a="1"/>
  <c r="V1866" i="2" s="1"/>
  <c r="V1867" i="2" a="1"/>
  <c r="V1867" i="2" s="1"/>
  <c r="V1868" i="2" a="1"/>
  <c r="V1868" i="2"/>
  <c r="V1869" i="2" a="1"/>
  <c r="V1869" i="2" s="1"/>
  <c r="V1870" i="2" a="1"/>
  <c r="V1870" i="2" s="1"/>
  <c r="V1871" i="2" a="1"/>
  <c r="V1871" i="2" s="1"/>
  <c r="V1872" i="2" a="1"/>
  <c r="V1872" i="2" s="1"/>
  <c r="V1873" i="2" a="1"/>
  <c r="V1873" i="2" s="1"/>
  <c r="V1874" i="2" a="1"/>
  <c r="V1874" i="2" s="1"/>
  <c r="V1875" i="2" a="1"/>
  <c r="V1875" i="2" s="1"/>
  <c r="V1876" i="2" a="1"/>
  <c r="V1876" i="2" s="1"/>
  <c r="V1877" i="2" a="1"/>
  <c r="V1877" i="2" s="1"/>
  <c r="V1878" i="2" a="1"/>
  <c r="V1878" i="2" s="1"/>
  <c r="V1879" i="2" a="1"/>
  <c r="V1879" i="2" s="1"/>
  <c r="V1880" i="2" a="1"/>
  <c r="V1880" i="2" s="1"/>
  <c r="V1881" i="2" a="1"/>
  <c r="V1881" i="2" s="1"/>
  <c r="V1882" i="2" a="1"/>
  <c r="V1882" i="2" s="1"/>
  <c r="V1883" i="2" a="1"/>
  <c r="V1883" i="2" s="1"/>
  <c r="V1884" i="2" a="1"/>
  <c r="V1884" i="2" s="1"/>
  <c r="V1885" i="2" a="1"/>
  <c r="V1885" i="2" s="1"/>
  <c r="V1886" i="2" a="1"/>
  <c r="V1886" i="2" s="1"/>
  <c r="V1887" i="2" a="1"/>
  <c r="V1887" i="2" s="1"/>
  <c r="V1888" i="2" a="1"/>
  <c r="V1888" i="2" s="1"/>
  <c r="V1889" i="2" a="1"/>
  <c r="V1889" i="2" s="1"/>
  <c r="V1890" i="2" a="1"/>
  <c r="V1890" i="2" s="1"/>
  <c r="V1891" i="2" a="1"/>
  <c r="V1891" i="2" s="1"/>
  <c r="V1892" i="2" a="1"/>
  <c r="V1892" i="2" s="1"/>
  <c r="V1893" i="2" a="1"/>
  <c r="V1893" i="2"/>
  <c r="V1894" i="2" a="1"/>
  <c r="V1894" i="2" s="1"/>
  <c r="V1895" i="2" a="1"/>
  <c r="V1895" i="2" s="1"/>
  <c r="V1896" i="2" a="1"/>
  <c r="V1896" i="2" s="1"/>
  <c r="V1897" i="2" a="1"/>
  <c r="V1897" i="2" s="1"/>
  <c r="V1898" i="2" a="1"/>
  <c r="V1898" i="2" s="1"/>
  <c r="V1899" i="2" a="1"/>
  <c r="V1899" i="2" s="1"/>
  <c r="V1900" i="2" a="1"/>
  <c r="V1900" i="2" s="1"/>
  <c r="V1901" i="2" a="1"/>
  <c r="V1901" i="2" s="1"/>
  <c r="V1902" i="2" a="1"/>
  <c r="V1902" i="2"/>
  <c r="V1903" i="2" a="1"/>
  <c r="V1903" i="2" s="1"/>
  <c r="V1904" i="2" a="1"/>
  <c r="V1904" i="2" s="1"/>
  <c r="V1905" i="2" a="1"/>
  <c r="V1905" i="2" s="1"/>
  <c r="V1906" i="2" a="1"/>
  <c r="V1906" i="2" s="1"/>
  <c r="V1907" i="2" a="1"/>
  <c r="V1907" i="2" s="1"/>
  <c r="V1908" i="2" a="1"/>
  <c r="V1908" i="2" s="1"/>
  <c r="V1909" i="2" a="1"/>
  <c r="V1909" i="2"/>
  <c r="V1910" i="2" a="1"/>
  <c r="V1910" i="2" s="1"/>
  <c r="V1911" i="2" a="1"/>
  <c r="V1911" i="2"/>
  <c r="V1912" i="2" a="1"/>
  <c r="V1912" i="2" s="1"/>
  <c r="V1913" i="2" a="1"/>
  <c r="V1913" i="2" s="1"/>
  <c r="V1914" i="2" a="1"/>
  <c r="V1914" i="2"/>
  <c r="V1915" i="2" a="1"/>
  <c r="V1915" i="2" s="1"/>
  <c r="V1916" i="2" a="1"/>
  <c r="V1916" i="2" s="1"/>
  <c r="V1917" i="2" a="1"/>
  <c r="V1917" i="2" s="1"/>
  <c r="V1918" i="2" a="1"/>
  <c r="V1918" i="2"/>
  <c r="V1919" i="2" a="1"/>
  <c r="V1919" i="2" s="1"/>
  <c r="V1920" i="2" a="1"/>
  <c r="V1920" i="2"/>
  <c r="V1921" i="2" a="1"/>
  <c r="V1921" i="2" s="1"/>
  <c r="V1922" i="2" a="1"/>
  <c r="V1922" i="2" s="1"/>
  <c r="V1923" i="2" a="1"/>
  <c r="V1923" i="2" s="1"/>
  <c r="V1924" i="2" a="1"/>
  <c r="V1924" i="2" s="1"/>
  <c r="V1925" i="2" a="1"/>
  <c r="V1925" i="2" s="1"/>
  <c r="V1926" i="2" a="1"/>
  <c r="V1926" i="2" s="1"/>
  <c r="V1927" i="2" a="1"/>
  <c r="V1927" i="2" s="1"/>
  <c r="V1928" i="2" a="1"/>
  <c r="V1928" i="2" s="1"/>
  <c r="V1929" i="2" a="1"/>
  <c r="V1929" i="2" s="1"/>
  <c r="V1930" i="2" a="1"/>
  <c r="V1930" i="2" s="1"/>
  <c r="V1931" i="2" a="1"/>
  <c r="V1931" i="2" s="1"/>
  <c r="V1932" i="2" a="1"/>
  <c r="V1932" i="2" s="1"/>
  <c r="V1933" i="2" a="1"/>
  <c r="V1933" i="2" s="1"/>
  <c r="V1934" i="2" a="1"/>
  <c r="V1934" i="2" s="1"/>
  <c r="V1935" i="2" a="1"/>
  <c r="V1935" i="2" s="1"/>
  <c r="V1936" i="2" a="1"/>
  <c r="V1936" i="2" s="1"/>
  <c r="V1937" i="2" a="1"/>
  <c r="V1937" i="2" s="1"/>
  <c r="V1938" i="2" a="1"/>
  <c r="V1938" i="2" s="1"/>
  <c r="V1939" i="2" a="1"/>
  <c r="V1939" i="2" s="1"/>
  <c r="V1940" i="2" a="1"/>
  <c r="V1940" i="2" s="1"/>
  <c r="V1941" i="2" a="1"/>
  <c r="V1941" i="2" s="1"/>
  <c r="V1942" i="2" a="1"/>
  <c r="V1942" i="2" s="1"/>
  <c r="V1943" i="2" a="1"/>
  <c r="V1943" i="2" s="1"/>
  <c r="V1944" i="2" a="1"/>
  <c r="V1944" i="2" s="1"/>
  <c r="V1945" i="2" a="1"/>
  <c r="V1945" i="2" s="1"/>
  <c r="V1946" i="2" a="1"/>
  <c r="V1946" i="2" s="1"/>
  <c r="V1947" i="2" a="1"/>
  <c r="V1947" i="2" s="1"/>
  <c r="V1948" i="2" a="1"/>
  <c r="V1948" i="2" s="1"/>
  <c r="V1949" i="2" a="1"/>
  <c r="V1949" i="2" s="1"/>
  <c r="V1950" i="2" a="1"/>
  <c r="V1950" i="2" s="1"/>
  <c r="V1951" i="2" a="1"/>
  <c r="V1951" i="2" s="1"/>
  <c r="V1952" i="2" a="1"/>
  <c r="V1952" i="2" s="1"/>
  <c r="V1953" i="2" a="1"/>
  <c r="V1953" i="2" s="1"/>
  <c r="V1954" i="2" a="1"/>
  <c r="V1954" i="2" s="1"/>
  <c r="V1955" i="2" a="1"/>
  <c r="V1955" i="2" s="1"/>
  <c r="V1956" i="2" a="1"/>
  <c r="V1956" i="2" s="1"/>
  <c r="V1957" i="2" a="1"/>
  <c r="V1957" i="2" s="1"/>
  <c r="V1958" i="2" a="1"/>
  <c r="V1958" i="2" s="1"/>
  <c r="V1959" i="2" a="1"/>
  <c r="V1959" i="2" s="1"/>
  <c r="V1960" i="2" a="1"/>
  <c r="V1960" i="2" s="1"/>
  <c r="V1961" i="2" a="1"/>
  <c r="V1961" i="2" s="1"/>
  <c r="V1962" i="2" a="1"/>
  <c r="V1962" i="2" s="1"/>
  <c r="V1963" i="2" a="1"/>
  <c r="V1963" i="2" s="1"/>
  <c r="V1964" i="2" a="1"/>
  <c r="V1964" i="2" s="1"/>
  <c r="V1965" i="2" a="1"/>
  <c r="V1965" i="2"/>
  <c r="V1966" i="2" a="1"/>
  <c r="V1966" i="2" s="1"/>
  <c r="V1967" i="2" a="1"/>
  <c r="V1967" i="2" s="1"/>
  <c r="V1968" i="2" a="1"/>
  <c r="V1968" i="2" s="1"/>
  <c r="V1969" i="2" a="1"/>
  <c r="V1969" i="2" s="1"/>
  <c r="V1970" i="2" a="1"/>
  <c r="V1970" i="2" s="1"/>
  <c r="V1971" i="2" a="1"/>
  <c r="V1971" i="2" s="1"/>
  <c r="V1972" i="2" a="1"/>
  <c r="V1972" i="2" s="1"/>
  <c r="V1973" i="2" a="1"/>
  <c r="V1973" i="2" s="1"/>
  <c r="V1974" i="2" a="1"/>
  <c r="V1974" i="2" s="1"/>
  <c r="V1975" i="2" a="1"/>
  <c r="V1975" i="2" s="1"/>
  <c r="V1976" i="2" a="1"/>
  <c r="V1976" i="2" s="1"/>
  <c r="V1977" i="2" a="1"/>
  <c r="V1977" i="2" s="1"/>
  <c r="V1978" i="2" a="1"/>
  <c r="V1978" i="2" s="1"/>
  <c r="V1979" i="2" a="1"/>
  <c r="V1979" i="2" s="1"/>
  <c r="V1980" i="2" a="1"/>
  <c r="V1980" i="2" s="1"/>
  <c r="V1981" i="2" a="1"/>
  <c r="V1981" i="2" s="1"/>
  <c r="V1982" i="2" a="1"/>
  <c r="V1982" i="2" s="1"/>
  <c r="V1983" i="2" a="1"/>
  <c r="V1983" i="2"/>
  <c r="V1984" i="2" a="1"/>
  <c r="V1984" i="2" s="1"/>
  <c r="V1985" i="2" a="1"/>
  <c r="V1985" i="2" s="1"/>
  <c r="V1986" i="2" a="1"/>
  <c r="V1986" i="2" s="1"/>
  <c r="V1987" i="2" a="1"/>
  <c r="V1987" i="2" s="1"/>
  <c r="V1988" i="2" a="1"/>
  <c r="V1988" i="2" s="1"/>
  <c r="V1989" i="2" a="1"/>
  <c r="V1989" i="2"/>
  <c r="V1990" i="2" a="1"/>
  <c r="V1990" i="2" s="1"/>
  <c r="V1991" i="2" a="1"/>
  <c r="V1991" i="2" s="1"/>
  <c r="V1992" i="2" a="1"/>
  <c r="V1992" i="2" s="1"/>
  <c r="V1993" i="2" a="1"/>
  <c r="V1993" i="2" s="1"/>
  <c r="V1994" i="2" a="1"/>
  <c r="V1994" i="2" s="1"/>
  <c r="V1995" i="2" a="1"/>
  <c r="V1995" i="2" s="1"/>
  <c r="V1996" i="2" a="1"/>
  <c r="V1996" i="2" s="1"/>
  <c r="V1997" i="2" a="1"/>
  <c r="V1997" i="2" s="1"/>
  <c r="V1998" i="2" a="1"/>
  <c r="V1998" i="2" s="1"/>
  <c r="V1999" i="2" a="1"/>
  <c r="V1999" i="2" s="1"/>
  <c r="V2000" i="2" a="1"/>
  <c r="V2000" i="2" s="1"/>
  <c r="V2001" i="2" a="1"/>
  <c r="V2001" i="2"/>
  <c r="V2002" i="2" a="1"/>
  <c r="V2002" i="2" s="1"/>
  <c r="V2003" i="2" a="1"/>
  <c r="V2003" i="2" s="1"/>
  <c r="V2004" i="2" a="1"/>
  <c r="V2004" i="2" s="1"/>
  <c r="V2005" i="2" a="1"/>
  <c r="V2005" i="2" s="1"/>
  <c r="V2006" i="2" a="1"/>
  <c r="V2006" i="2" s="1"/>
  <c r="V2007" i="2" a="1"/>
  <c r="V2007" i="2" s="1"/>
  <c r="V2008" i="2" a="1"/>
  <c r="V2008" i="2" s="1"/>
  <c r="V2009" i="2" a="1"/>
  <c r="V2009" i="2" s="1"/>
  <c r="V2010" i="2" a="1"/>
  <c r="V2010" i="2" s="1"/>
  <c r="V2011" i="2" a="1"/>
  <c r="V2011" i="2" s="1"/>
  <c r="V2012" i="2" a="1"/>
  <c r="V2012" i="2" s="1"/>
  <c r="V2013" i="2" a="1"/>
  <c r="V2013" i="2" s="1"/>
  <c r="V2014" i="2" a="1"/>
  <c r="V2014" i="2" s="1"/>
  <c r="V2015" i="2" a="1"/>
  <c r="V2015" i="2" s="1"/>
  <c r="V2016" i="2" a="1"/>
  <c r="V2016" i="2" s="1"/>
  <c r="V2017" i="2" a="1"/>
  <c r="V2017" i="2" s="1"/>
  <c r="V2018" i="2" a="1"/>
  <c r="V2018" i="2" s="1"/>
  <c r="V2019" i="2" a="1"/>
  <c r="V2019" i="2" s="1"/>
  <c r="V2020" i="2" a="1"/>
  <c r="V2020" i="2" s="1"/>
  <c r="V2021" i="2" a="1"/>
  <c r="V2021" i="2" s="1"/>
  <c r="V2022" i="2" a="1"/>
  <c r="V2022" i="2" s="1"/>
  <c r="V2023" i="2" a="1"/>
  <c r="V2023" i="2" s="1"/>
  <c r="V2024" i="2" a="1"/>
  <c r="V2024" i="2" s="1"/>
  <c r="V2025" i="2" a="1"/>
  <c r="V2025" i="2"/>
  <c r="V2026" i="2" a="1"/>
  <c r="V2026" i="2" s="1"/>
  <c r="V2027" i="2" a="1"/>
  <c r="V2027" i="2" s="1"/>
  <c r="V2028" i="2" a="1"/>
  <c r="V2028" i="2" s="1"/>
  <c r="V2029" i="2" a="1"/>
  <c r="V2029" i="2" s="1"/>
  <c r="V2030" i="2" a="1"/>
  <c r="V2030" i="2" s="1"/>
  <c r="V2031" i="2" a="1"/>
  <c r="V2031" i="2" s="1"/>
  <c r="V2032" i="2" a="1"/>
  <c r="V2032" i="2" s="1"/>
  <c r="V2033" i="2" a="1"/>
  <c r="V2033" i="2" s="1"/>
  <c r="V2034" i="2" a="1"/>
  <c r="V2034" i="2" s="1"/>
  <c r="V2035" i="2" a="1"/>
  <c r="V2035" i="2" s="1"/>
  <c r="V2036" i="2" a="1"/>
  <c r="V2036" i="2" s="1"/>
  <c r="V2037" i="2" a="1"/>
  <c r="V2037" i="2"/>
  <c r="V2038" i="2" a="1"/>
  <c r="V2038" i="2" s="1"/>
  <c r="V2039" i="2" a="1"/>
  <c r="V2039" i="2" s="1"/>
  <c r="V2040" i="2" a="1"/>
  <c r="V2040" i="2" s="1"/>
  <c r="V2041" i="2" a="1"/>
  <c r="V2041" i="2" s="1"/>
  <c r="V2042" i="2" a="1"/>
  <c r="V2042" i="2" s="1"/>
  <c r="V2043" i="2" a="1"/>
  <c r="V2043" i="2" s="1"/>
  <c r="V2044" i="2" a="1"/>
  <c r="V2044" i="2" s="1"/>
  <c r="V2045" i="2" a="1"/>
  <c r="V2045" i="2" s="1"/>
  <c r="V2046" i="2" a="1"/>
  <c r="V2046" i="2" s="1"/>
  <c r="V2047" i="2" a="1"/>
  <c r="V2047" i="2" s="1"/>
  <c r="V2048" i="2" a="1"/>
  <c r="V2048" i="2" s="1"/>
  <c r="V2049" i="2" a="1"/>
  <c r="V2049" i="2" s="1"/>
  <c r="V2050" i="2" a="1"/>
  <c r="V2050" i="2" s="1"/>
  <c r="V2051" i="2" a="1"/>
  <c r="V2051" i="2" s="1"/>
  <c r="V2052" i="2" a="1"/>
  <c r="V2052" i="2" s="1"/>
  <c r="V2053" i="2" a="1"/>
  <c r="V2053" i="2" s="1"/>
  <c r="V2054" i="2" a="1"/>
  <c r="V2054" i="2" s="1"/>
  <c r="V2055" i="2" a="1"/>
  <c r="V2055" i="2" s="1"/>
  <c r="V2056" i="2" a="1"/>
  <c r="V2056" i="2" s="1"/>
  <c r="V2057" i="2" a="1"/>
  <c r="V2057" i="2" s="1"/>
  <c r="V2058" i="2" a="1"/>
  <c r="V2058" i="2" s="1"/>
  <c r="V2059" i="2" a="1"/>
  <c r="V2059" i="2" s="1"/>
  <c r="V2060" i="2" a="1"/>
  <c r="V2060" i="2" s="1"/>
  <c r="V2061" i="2" a="1"/>
  <c r="V2061" i="2" s="1"/>
  <c r="V2062" i="2" a="1"/>
  <c r="V2062" i="2" s="1"/>
  <c r="V2063" i="2" a="1"/>
  <c r="V2063" i="2" s="1"/>
  <c r="V2064" i="2" a="1"/>
  <c r="V2064" i="2" s="1"/>
  <c r="V2065" i="2" a="1"/>
  <c r="V2065" i="2" s="1"/>
  <c r="V2066" i="2" a="1"/>
  <c r="V2066" i="2" s="1"/>
  <c r="V2067" i="2" a="1"/>
  <c r="V2067" i="2" s="1"/>
  <c r="V2068" i="2" a="1"/>
  <c r="V2068" i="2" s="1"/>
  <c r="V2069" i="2" a="1"/>
  <c r="V2069" i="2" s="1"/>
  <c r="V2070" i="2" a="1"/>
  <c r="V2070" i="2" s="1"/>
  <c r="V2071" i="2" a="1"/>
  <c r="V2071" i="2" s="1"/>
  <c r="V2072" i="2" a="1"/>
  <c r="V2072" i="2" s="1"/>
  <c r="V2073" i="2" a="1"/>
  <c r="V2073" i="2" s="1"/>
  <c r="V2074" i="2" a="1"/>
  <c r="V2074" i="2" s="1"/>
  <c r="V2075" i="2" a="1"/>
  <c r="V2075" i="2" s="1"/>
  <c r="V2076" i="2" a="1"/>
  <c r="V2076" i="2" s="1"/>
  <c r="V2077" i="2" a="1"/>
  <c r="V2077" i="2" s="1"/>
  <c r="V2078" i="2" a="1"/>
  <c r="V2078" i="2" s="1"/>
  <c r="V2079" i="2" a="1"/>
  <c r="V2079" i="2" s="1"/>
  <c r="V2080" i="2" a="1"/>
  <c r="V2080" i="2" s="1"/>
  <c r="V2081" i="2" a="1"/>
  <c r="V2081" i="2" s="1"/>
  <c r="V2082" i="2" a="1"/>
  <c r="V2082" i="2" s="1"/>
  <c r="V2083" i="2" a="1"/>
  <c r="V2083" i="2" s="1"/>
  <c r="V2084" i="2" a="1"/>
  <c r="V2084" i="2" s="1"/>
  <c r="V2085" i="2" a="1"/>
  <c r="V2085" i="2" s="1"/>
  <c r="V2086" i="2" a="1"/>
  <c r="V2086" i="2" s="1"/>
  <c r="V2087" i="2" a="1"/>
  <c r="V2087" i="2" s="1"/>
  <c r="V2088" i="2" a="1"/>
  <c r="V2088" i="2" s="1"/>
  <c r="V2089" i="2" a="1"/>
  <c r="V2089" i="2" s="1"/>
  <c r="V2090" i="2" a="1"/>
  <c r="V2090" i="2" s="1"/>
  <c r="V2091" i="2" a="1"/>
  <c r="V2091" i="2" s="1"/>
  <c r="V2092" i="2" a="1"/>
  <c r="V2092" i="2" s="1"/>
  <c r="V2093" i="2" a="1"/>
  <c r="V2093" i="2" s="1"/>
  <c r="V2094" i="2" a="1"/>
  <c r="V2094" i="2" s="1"/>
  <c r="V2095" i="2" a="1"/>
  <c r="V2095" i="2" s="1"/>
  <c r="V2096" i="2" a="1"/>
  <c r="V2096" i="2" s="1"/>
  <c r="V2097" i="2" a="1"/>
  <c r="V2097" i="2" s="1"/>
  <c r="V2098" i="2" a="1"/>
  <c r="V2098" i="2" s="1"/>
  <c r="V2099" i="2" a="1"/>
  <c r="V2099" i="2" s="1"/>
  <c r="V2100" i="2" a="1"/>
  <c r="V2100" i="2" s="1"/>
  <c r="V2101" i="2" a="1"/>
  <c r="V2101" i="2" s="1"/>
  <c r="V2102" i="2" a="1"/>
  <c r="V2102" i="2" s="1"/>
  <c r="V2103" i="2" a="1"/>
  <c r="V2103" i="2" s="1"/>
  <c r="V2104" i="2" a="1"/>
  <c r="V2104" i="2" s="1"/>
  <c r="V2105" i="2" a="1"/>
  <c r="V2105" i="2" s="1"/>
  <c r="V2106" i="2" a="1"/>
  <c r="V2106" i="2" s="1"/>
  <c r="V2107" i="2" a="1"/>
  <c r="V2107" i="2" s="1"/>
  <c r="V2108" i="2" a="1"/>
  <c r="V2108" i="2" s="1"/>
  <c r="V2109" i="2" a="1"/>
  <c r="V2109" i="2"/>
  <c r="V2110" i="2" a="1"/>
  <c r="V2110" i="2" s="1"/>
  <c r="V2111" i="2" a="1"/>
  <c r="V2111" i="2" s="1"/>
  <c r="V2112" i="2" a="1"/>
  <c r="V2112" i="2" s="1"/>
  <c r="V2113" i="2" a="1"/>
  <c r="V2113" i="2" s="1"/>
  <c r="V2114" i="2" a="1"/>
  <c r="V2114" i="2" s="1"/>
  <c r="V2115" i="2" a="1"/>
  <c r="V2115" i="2" s="1"/>
  <c r="V2116" i="2" a="1"/>
  <c r="V2116" i="2" s="1"/>
  <c r="V2117" i="2" a="1"/>
  <c r="V2117" i="2" s="1"/>
  <c r="V2118" i="2" a="1"/>
  <c r="V2118" i="2" s="1"/>
  <c r="V2119" i="2" a="1"/>
  <c r="V2119" i="2" s="1"/>
  <c r="V2120" i="2" a="1"/>
  <c r="V2120" i="2" s="1"/>
  <c r="V2121" i="2" a="1"/>
  <c r="V2121" i="2" s="1"/>
  <c r="V2122" i="2" a="1"/>
  <c r="V2122" i="2" s="1"/>
  <c r="V2123" i="2" a="1"/>
  <c r="V2123" i="2" s="1"/>
  <c r="V2124" i="2" a="1"/>
  <c r="V2124" i="2" s="1"/>
  <c r="V2125" i="2" a="1"/>
  <c r="V2125" i="2" s="1"/>
  <c r="V2126" i="2" a="1"/>
  <c r="V2126" i="2" s="1"/>
  <c r="V2127" i="2" a="1"/>
  <c r="V2127" i="2" s="1"/>
  <c r="V2128" i="2" a="1"/>
  <c r="V2128" i="2" s="1"/>
  <c r="V2129" i="2" a="1"/>
  <c r="V2129" i="2" s="1"/>
  <c r="V2130" i="2" a="1"/>
  <c r="V2130" i="2" s="1"/>
  <c r="V2131" i="2" a="1"/>
  <c r="V2131" i="2" s="1"/>
  <c r="V2132" i="2" a="1"/>
  <c r="V2132" i="2" s="1"/>
  <c r="V2133" i="2" a="1"/>
  <c r="V2133" i="2" s="1"/>
  <c r="V2134" i="2" a="1"/>
  <c r="V2134" i="2" s="1"/>
  <c r="V2135" i="2" a="1"/>
  <c r="V2135" i="2" s="1"/>
  <c r="V2136" i="2" a="1"/>
  <c r="V2136" i="2" s="1"/>
  <c r="V2137" i="2" a="1"/>
  <c r="V2137" i="2" s="1"/>
  <c r="V2138" i="2" a="1"/>
  <c r="V2138" i="2" s="1"/>
  <c r="V2139" i="2" a="1"/>
  <c r="V2139" i="2" s="1"/>
  <c r="V2140" i="2" a="1"/>
  <c r="V2140" i="2" s="1"/>
  <c r="V2141" i="2" a="1"/>
  <c r="V2141" i="2" s="1"/>
  <c r="V2142" i="2" a="1"/>
  <c r="V2142" i="2" s="1"/>
  <c r="V2143" i="2" a="1"/>
  <c r="V2143" i="2" s="1"/>
  <c r="V2144" i="2" a="1"/>
  <c r="V2144" i="2" s="1"/>
  <c r="V2145" i="2" a="1"/>
  <c r="V2145" i="2" s="1"/>
  <c r="V2146" i="2" a="1"/>
  <c r="V2146" i="2" s="1"/>
  <c r="V2147" i="2" a="1"/>
  <c r="V2147" i="2" s="1"/>
  <c r="V2148" i="2" a="1"/>
  <c r="V2148" i="2" s="1"/>
  <c r="V2149" i="2" a="1"/>
  <c r="V2149" i="2" s="1"/>
  <c r="V2150" i="2" a="1"/>
  <c r="V2150" i="2" s="1"/>
  <c r="V2151" i="2" a="1"/>
  <c r="V2151" i="2" s="1"/>
  <c r="V2152" i="2" a="1"/>
  <c r="V2152" i="2" s="1"/>
  <c r="V2153" i="2" a="1"/>
  <c r="V2153" i="2" s="1"/>
  <c r="V2154" i="2" a="1"/>
  <c r="V2154" i="2" s="1"/>
  <c r="V2155" i="2" a="1"/>
  <c r="V2155" i="2" s="1"/>
  <c r="V2156" i="2" a="1"/>
  <c r="V2156" i="2" s="1"/>
  <c r="V2157" i="2" a="1"/>
  <c r="V2157" i="2" s="1"/>
  <c r="V2158" i="2" a="1"/>
  <c r="V2158" i="2" s="1"/>
  <c r="V2159" i="2" a="1"/>
  <c r="V2159" i="2" s="1"/>
  <c r="V2160" i="2" a="1"/>
  <c r="V2160" i="2" s="1"/>
  <c r="V2161" i="2" a="1"/>
  <c r="V2161" i="2" s="1"/>
  <c r="V2162" i="2" a="1"/>
  <c r="V2162" i="2" s="1"/>
  <c r="V2163" i="2" a="1"/>
  <c r="V2163" i="2" s="1"/>
  <c r="V2164" i="2" a="1"/>
  <c r="V2164" i="2" s="1"/>
  <c r="V2165" i="2" a="1"/>
  <c r="V2165" i="2" s="1"/>
  <c r="V2166" i="2" a="1"/>
  <c r="V2166" i="2" s="1"/>
  <c r="V2167" i="2" a="1"/>
  <c r="V2167" i="2" s="1"/>
  <c r="V2168" i="2" a="1"/>
  <c r="V2168" i="2" s="1"/>
  <c r="V2169" i="2" a="1"/>
  <c r="V2169" i="2" s="1"/>
  <c r="V2170" i="2" a="1"/>
  <c r="V2170" i="2" s="1"/>
  <c r="V2171" i="2" a="1"/>
  <c r="V2171" i="2" s="1"/>
  <c r="V2172" i="2" a="1"/>
  <c r="V2172" i="2" s="1"/>
  <c r="V2173" i="2" a="1"/>
  <c r="V2173" i="2" s="1"/>
  <c r="V2174" i="2" a="1"/>
  <c r="V2174" i="2" s="1"/>
  <c r="V2175" i="2" a="1"/>
  <c r="V2175" i="2" s="1"/>
  <c r="V2176" i="2" a="1"/>
  <c r="V2176" i="2" s="1"/>
  <c r="V2177" i="2" a="1"/>
  <c r="V2177" i="2" s="1"/>
  <c r="V2178" i="2" a="1"/>
  <c r="V2178" i="2" s="1"/>
  <c r="V2179" i="2" a="1"/>
  <c r="V2179" i="2" s="1"/>
  <c r="V2180" i="2" a="1"/>
  <c r="V2180" i="2" s="1"/>
  <c r="V2181" i="2" a="1"/>
  <c r="V2181" i="2"/>
  <c r="V2182" i="2" a="1"/>
  <c r="V2182" i="2" s="1"/>
  <c r="V2183" i="2" a="1"/>
  <c r="V2183" i="2" s="1"/>
  <c r="V2184" i="2" a="1"/>
  <c r="V2184" i="2" s="1"/>
  <c r="V2185" i="2" a="1"/>
  <c r="V2185" i="2" s="1"/>
  <c r="V2186" i="2" a="1"/>
  <c r="V2186" i="2" s="1"/>
  <c r="V2187" i="2" a="1"/>
  <c r="V2187" i="2" s="1"/>
  <c r="V2188" i="2" a="1"/>
  <c r="V2188" i="2" s="1"/>
  <c r="V2189" i="2" a="1"/>
  <c r="V2189" i="2" s="1"/>
  <c r="V2190" i="2" a="1"/>
  <c r="V2190" i="2" s="1"/>
  <c r="V2191" i="2" a="1"/>
  <c r="V2191" i="2" s="1"/>
  <c r="V2192" i="2" a="1"/>
  <c r="V2192" i="2" s="1"/>
  <c r="V2193" i="2" a="1"/>
  <c r="V2193" i="2" s="1"/>
  <c r="V2194" i="2" a="1"/>
  <c r="V2194" i="2" s="1"/>
  <c r="V2195" i="2" a="1"/>
  <c r="V2195" i="2" s="1"/>
  <c r="V2196" i="2" a="1"/>
  <c r="V2196" i="2" s="1"/>
  <c r="V2197" i="2" a="1"/>
  <c r="V2197" i="2" s="1"/>
  <c r="V2198" i="2" a="1"/>
  <c r="V2198" i="2" s="1"/>
  <c r="V2199" i="2" a="1"/>
  <c r="V2199" i="2" s="1"/>
  <c r="V2200" i="2" a="1"/>
  <c r="V2200" i="2" s="1"/>
  <c r="V2201" i="2" a="1"/>
  <c r="V2201" i="2" s="1"/>
  <c r="V2202" i="2" a="1"/>
  <c r="V2202" i="2" s="1"/>
  <c r="V2203" i="2" a="1"/>
  <c r="V2203" i="2" s="1"/>
  <c r="V2204" i="2" a="1"/>
  <c r="V2204" i="2" s="1"/>
  <c r="V2205" i="2" a="1"/>
  <c r="V2205" i="2" s="1"/>
  <c r="V2206" i="2" a="1"/>
  <c r="V2206" i="2" s="1"/>
  <c r="V2" i="2" a="1"/>
  <c r="V2" i="2" s="1"/>
  <c r="J3" i="2" a="1"/>
  <c r="J3" i="2" s="1"/>
  <c r="J4" i="2" a="1"/>
  <c r="J4" i="2" s="1"/>
  <c r="J5" i="2" a="1"/>
  <c r="J5" i="2" s="1"/>
  <c r="J6" i="2" a="1"/>
  <c r="J6" i="2" s="1"/>
  <c r="J7" i="2" a="1"/>
  <c r="J7" i="2" s="1"/>
  <c r="J8" i="2" a="1"/>
  <c r="J8" i="2" s="1"/>
  <c r="J9" i="2" a="1"/>
  <c r="J9" i="2" s="1"/>
  <c r="J10" i="2" a="1"/>
  <c r="J10" i="2" s="1"/>
  <c r="J11" i="2" a="1"/>
  <c r="J11" i="2" s="1"/>
  <c r="J12" i="2" a="1"/>
  <c r="J12" i="2" s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J18" i="2" a="1"/>
  <c r="J18" i="2" s="1"/>
  <c r="J19" i="2" a="1"/>
  <c r="J19" i="2" s="1"/>
  <c r="J20" i="2" a="1"/>
  <c r="J20" i="2" s="1"/>
  <c r="J21" i="2" a="1"/>
  <c r="J21" i="2" s="1"/>
  <c r="J22" i="2" a="1"/>
  <c r="J22" i="2" s="1"/>
  <c r="J23" i="2" a="1"/>
  <c r="J23" i="2" s="1"/>
  <c r="J24" i="2" a="1"/>
  <c r="J24" i="2" s="1"/>
  <c r="J25" i="2" a="1"/>
  <c r="J25" i="2" s="1"/>
  <c r="J26" i="2" a="1"/>
  <c r="J26" i="2" s="1"/>
  <c r="J27" i="2" a="1"/>
  <c r="J27" i="2" s="1"/>
  <c r="J28" i="2" a="1"/>
  <c r="J28" i="2" s="1"/>
  <c r="J29" i="2" a="1"/>
  <c r="J29" i="2" s="1"/>
  <c r="J30" i="2" a="1"/>
  <c r="J30" i="2" s="1"/>
  <c r="J31" i="2" a="1"/>
  <c r="J31" i="2" s="1"/>
  <c r="J32" i="2" a="1"/>
  <c r="J32" i="2" s="1"/>
  <c r="J33" i="2" a="1"/>
  <c r="J33" i="2" s="1"/>
  <c r="J34" i="2" a="1"/>
  <c r="J34" i="2" s="1"/>
  <c r="J35" i="2" a="1"/>
  <c r="J35" i="2" s="1"/>
  <c r="J36" i="2" a="1"/>
  <c r="J36" i="2" s="1"/>
  <c r="J37" i="2" a="1"/>
  <c r="J37" i="2" s="1"/>
  <c r="J38" i="2" a="1"/>
  <c r="J38" i="2" s="1"/>
  <c r="J39" i="2" a="1"/>
  <c r="J39" i="2" s="1"/>
  <c r="J40" i="2" a="1"/>
  <c r="J40" i="2" s="1"/>
  <c r="J41" i="2" a="1"/>
  <c r="J41" i="2" s="1"/>
  <c r="J42" i="2" a="1"/>
  <c r="J42" i="2" s="1"/>
  <c r="J43" i="2" a="1"/>
  <c r="J43" i="2" s="1"/>
  <c r="J44" i="2" a="1"/>
  <c r="J44" i="2" s="1"/>
  <c r="J45" i="2" a="1"/>
  <c r="J45" i="2" s="1"/>
  <c r="J46" i="2" a="1"/>
  <c r="J46" i="2" s="1"/>
  <c r="J47" i="2" a="1"/>
  <c r="J47" i="2" s="1"/>
  <c r="J48" i="2" a="1"/>
  <c r="J48" i="2" s="1"/>
  <c r="J49" i="2" a="1"/>
  <c r="J49" i="2" s="1"/>
  <c r="J50" i="2" a="1"/>
  <c r="J50" i="2" s="1"/>
  <c r="J51" i="2" a="1"/>
  <c r="J51" i="2" s="1"/>
  <c r="J52" i="2" a="1"/>
  <c r="J52" i="2" s="1"/>
  <c r="J53" i="2" a="1"/>
  <c r="J53" i="2" s="1"/>
  <c r="J54" i="2" a="1"/>
  <c r="J54" i="2" s="1"/>
  <c r="J55" i="2" a="1"/>
  <c r="J55" i="2" s="1"/>
  <c r="J56" i="2" a="1"/>
  <c r="J56" i="2" s="1"/>
  <c r="J57" i="2" a="1"/>
  <c r="J57" i="2" s="1"/>
  <c r="J58" i="2" a="1"/>
  <c r="J58" i="2" s="1"/>
  <c r="J59" i="2" a="1"/>
  <c r="J59" i="2" s="1"/>
  <c r="J60" i="2" a="1"/>
  <c r="J60" i="2" s="1"/>
  <c r="J61" i="2" a="1"/>
  <c r="J61" i="2" s="1"/>
  <c r="J62" i="2" a="1"/>
  <c r="J62" i="2" s="1"/>
  <c r="J63" i="2" a="1"/>
  <c r="J63" i="2" s="1"/>
  <c r="J64" i="2" a="1"/>
  <c r="J64" i="2" s="1"/>
  <c r="J65" i="2" a="1"/>
  <c r="J65" i="2" s="1"/>
  <c r="J66" i="2" a="1"/>
  <c r="J66" i="2" s="1"/>
  <c r="J67" i="2" a="1"/>
  <c r="J67" i="2" s="1"/>
  <c r="J68" i="2" a="1"/>
  <c r="J68" i="2" s="1"/>
  <c r="J69" i="2" a="1"/>
  <c r="J69" i="2" s="1"/>
  <c r="J70" i="2" a="1"/>
  <c r="J70" i="2" s="1"/>
  <c r="J71" i="2" a="1"/>
  <c r="J71" i="2" s="1"/>
  <c r="J72" i="2" a="1"/>
  <c r="J72" i="2" s="1"/>
  <c r="J73" i="2" a="1"/>
  <c r="J73" i="2" s="1"/>
  <c r="J74" i="2" a="1"/>
  <c r="J74" i="2" s="1"/>
  <c r="J75" i="2" a="1"/>
  <c r="J75" i="2" s="1"/>
  <c r="J76" i="2" a="1"/>
  <c r="J76" i="2" s="1"/>
  <c r="J77" i="2" a="1"/>
  <c r="J77" i="2" s="1"/>
  <c r="J78" i="2" a="1"/>
  <c r="J78" i="2" s="1"/>
  <c r="J79" i="2" a="1"/>
  <c r="J79" i="2" s="1"/>
  <c r="J80" i="2" a="1"/>
  <c r="J80" i="2" s="1"/>
  <c r="J81" i="2" a="1"/>
  <c r="J81" i="2" s="1"/>
  <c r="J82" i="2" a="1"/>
  <c r="J82" i="2" s="1"/>
  <c r="J83" i="2" a="1"/>
  <c r="J83" i="2" s="1"/>
  <c r="J84" i="2" a="1"/>
  <c r="J84" i="2" s="1"/>
  <c r="J85" i="2" a="1"/>
  <c r="J85" i="2" s="1"/>
  <c r="J86" i="2" a="1"/>
  <c r="J86" i="2" s="1"/>
  <c r="J87" i="2" a="1"/>
  <c r="J87" i="2" s="1"/>
  <c r="J88" i="2" a="1"/>
  <c r="J88" i="2" s="1"/>
  <c r="J89" i="2" a="1"/>
  <c r="J89" i="2" s="1"/>
  <c r="J90" i="2" a="1"/>
  <c r="J90" i="2" s="1"/>
  <c r="J91" i="2" a="1"/>
  <c r="J91" i="2" s="1"/>
  <c r="J92" i="2" a="1"/>
  <c r="J92" i="2" s="1"/>
  <c r="J93" i="2" a="1"/>
  <c r="J93" i="2" s="1"/>
  <c r="J94" i="2" a="1"/>
  <c r="J94" i="2" s="1"/>
  <c r="J95" i="2" a="1"/>
  <c r="J95" i="2" s="1"/>
  <c r="J96" i="2" a="1"/>
  <c r="J96" i="2" s="1"/>
  <c r="J97" i="2" a="1"/>
  <c r="J97" i="2" s="1"/>
  <c r="J98" i="2" a="1"/>
  <c r="J98" i="2" s="1"/>
  <c r="J99" i="2" a="1"/>
  <c r="J99" i="2" s="1"/>
  <c r="J100" i="2" a="1"/>
  <c r="J100" i="2" s="1"/>
  <c r="J101" i="2" a="1"/>
  <c r="J101" i="2" s="1"/>
  <c r="J102" i="2" a="1"/>
  <c r="J102" i="2" s="1"/>
  <c r="J103" i="2" a="1"/>
  <c r="J103" i="2" s="1"/>
  <c r="J104" i="2" a="1"/>
  <c r="J104" i="2" s="1"/>
  <c r="J105" i="2" a="1"/>
  <c r="J105" i="2" s="1"/>
  <c r="J106" i="2" a="1"/>
  <c r="J106" i="2" s="1"/>
  <c r="J107" i="2" a="1"/>
  <c r="J107" i="2" s="1"/>
  <c r="J108" i="2" a="1"/>
  <c r="J108" i="2" s="1"/>
  <c r="J109" i="2" a="1"/>
  <c r="J109" i="2" s="1"/>
  <c r="J110" i="2" a="1"/>
  <c r="J110" i="2" s="1"/>
  <c r="J111" i="2" a="1"/>
  <c r="J111" i="2" s="1"/>
  <c r="J112" i="2" a="1"/>
  <c r="J112" i="2" s="1"/>
  <c r="J113" i="2" a="1"/>
  <c r="J113" i="2" s="1"/>
  <c r="J114" i="2" a="1"/>
  <c r="J114" i="2" s="1"/>
  <c r="J115" i="2" a="1"/>
  <c r="J115" i="2" s="1"/>
  <c r="J116" i="2" a="1"/>
  <c r="J116" i="2" s="1"/>
  <c r="J117" i="2" a="1"/>
  <c r="J117" i="2" s="1"/>
  <c r="J118" i="2" a="1"/>
  <c r="J118" i="2" s="1"/>
  <c r="J119" i="2" a="1"/>
  <c r="J119" i="2" s="1"/>
  <c r="J120" i="2" a="1"/>
  <c r="J120" i="2" s="1"/>
  <c r="J121" i="2" a="1"/>
  <c r="J121" i="2" s="1"/>
  <c r="J122" i="2" a="1"/>
  <c r="J122" i="2" s="1"/>
  <c r="J123" i="2" a="1"/>
  <c r="J123" i="2" s="1"/>
  <c r="J124" i="2" a="1"/>
  <c r="J124" i="2" s="1"/>
  <c r="J125" i="2" a="1"/>
  <c r="J125" i="2" s="1"/>
  <c r="J126" i="2" a="1"/>
  <c r="J126" i="2" s="1"/>
  <c r="J127" i="2" a="1"/>
  <c r="J127" i="2" s="1"/>
  <c r="J128" i="2" a="1"/>
  <c r="J128" i="2" s="1"/>
  <c r="J129" i="2" a="1"/>
  <c r="J129" i="2" s="1"/>
  <c r="J130" i="2" a="1"/>
  <c r="J130" i="2" s="1"/>
  <c r="J131" i="2" a="1"/>
  <c r="J131" i="2" s="1"/>
  <c r="J132" i="2" a="1"/>
  <c r="J132" i="2" s="1"/>
  <c r="J133" i="2" a="1"/>
  <c r="J133" i="2" s="1"/>
  <c r="J134" i="2" a="1"/>
  <c r="J134" i="2" s="1"/>
  <c r="J135" i="2" a="1"/>
  <c r="J135" i="2" s="1"/>
  <c r="J136" i="2" a="1"/>
  <c r="J136" i="2" s="1"/>
  <c r="J137" i="2" a="1"/>
  <c r="J137" i="2" s="1"/>
  <c r="J138" i="2" a="1"/>
  <c r="J138" i="2" s="1"/>
  <c r="J139" i="2" a="1"/>
  <c r="J139" i="2" s="1"/>
  <c r="J140" i="2" a="1"/>
  <c r="J140" i="2" s="1"/>
  <c r="J141" i="2" a="1"/>
  <c r="J141" i="2" s="1"/>
  <c r="J142" i="2" a="1"/>
  <c r="J142" i="2" s="1"/>
  <c r="J143" i="2" a="1"/>
  <c r="J143" i="2" s="1"/>
  <c r="J144" i="2" a="1"/>
  <c r="J144" i="2" s="1"/>
  <c r="J145" i="2" a="1"/>
  <c r="J145" i="2" s="1"/>
  <c r="J146" i="2" a="1"/>
  <c r="J146" i="2" s="1"/>
  <c r="J147" i="2" a="1"/>
  <c r="J147" i="2" s="1"/>
  <c r="J148" i="2" a="1"/>
  <c r="J148" i="2" s="1"/>
  <c r="J149" i="2" a="1"/>
  <c r="J149" i="2" s="1"/>
  <c r="J150" i="2" a="1"/>
  <c r="J150" i="2" s="1"/>
  <c r="J151" i="2" a="1"/>
  <c r="J151" i="2" s="1"/>
  <c r="J152" i="2" a="1"/>
  <c r="J152" i="2" s="1"/>
  <c r="J153" i="2" a="1"/>
  <c r="J153" i="2" s="1"/>
  <c r="J154" i="2" a="1"/>
  <c r="J154" i="2" s="1"/>
  <c r="J155" i="2" a="1"/>
  <c r="J155" i="2" s="1"/>
  <c r="J156" i="2" a="1"/>
  <c r="J156" i="2" s="1"/>
  <c r="J157" i="2" a="1"/>
  <c r="J157" i="2" s="1"/>
  <c r="J158" i="2" a="1"/>
  <c r="J158" i="2" s="1"/>
  <c r="J159" i="2" a="1"/>
  <c r="J159" i="2" s="1"/>
  <c r="J160" i="2" a="1"/>
  <c r="J160" i="2" s="1"/>
  <c r="J161" i="2" a="1"/>
  <c r="J161" i="2" s="1"/>
  <c r="J162" i="2" a="1"/>
  <c r="J162" i="2" s="1"/>
  <c r="J163" i="2" a="1"/>
  <c r="J163" i="2" s="1"/>
  <c r="J164" i="2" a="1"/>
  <c r="J164" i="2" s="1"/>
  <c r="J165" i="2" a="1"/>
  <c r="J165" i="2" s="1"/>
  <c r="J166" i="2" a="1"/>
  <c r="J166" i="2" s="1"/>
  <c r="J167" i="2" a="1"/>
  <c r="J167" i="2" s="1"/>
  <c r="J168" i="2" a="1"/>
  <c r="J168" i="2" s="1"/>
  <c r="J169" i="2" a="1"/>
  <c r="J169" i="2" s="1"/>
  <c r="J170" i="2" a="1"/>
  <c r="J170" i="2" s="1"/>
  <c r="J171" i="2" a="1"/>
  <c r="J171" i="2" s="1"/>
  <c r="J172" i="2" a="1"/>
  <c r="J172" i="2" s="1"/>
  <c r="J173" i="2" a="1"/>
  <c r="J173" i="2" s="1"/>
  <c r="J174" i="2" a="1"/>
  <c r="J174" i="2" s="1"/>
  <c r="J175" i="2" a="1"/>
  <c r="J175" i="2" s="1"/>
  <c r="J176" i="2" a="1"/>
  <c r="J176" i="2" s="1"/>
  <c r="J177" i="2" a="1"/>
  <c r="J177" i="2" s="1"/>
  <c r="J178" i="2" a="1"/>
  <c r="J178" i="2" s="1"/>
  <c r="J179" i="2" a="1"/>
  <c r="J179" i="2" s="1"/>
  <c r="J180" i="2" a="1"/>
  <c r="J180" i="2" s="1"/>
  <c r="J181" i="2" a="1"/>
  <c r="J181" i="2" s="1"/>
  <c r="J182" i="2" a="1"/>
  <c r="J182" i="2" s="1"/>
  <c r="J183" i="2" a="1"/>
  <c r="J183" i="2" s="1"/>
  <c r="J184" i="2" a="1"/>
  <c r="J184" i="2" s="1"/>
  <c r="J185" i="2" a="1"/>
  <c r="J185" i="2" s="1"/>
  <c r="J186" i="2" a="1"/>
  <c r="J186" i="2" s="1"/>
  <c r="J187" i="2" a="1"/>
  <c r="J187" i="2" s="1"/>
  <c r="J188" i="2" a="1"/>
  <c r="J188" i="2" s="1"/>
  <c r="J189" i="2" a="1"/>
  <c r="J189" i="2" s="1"/>
  <c r="J190" i="2" a="1"/>
  <c r="J190" i="2" s="1"/>
  <c r="J191" i="2" a="1"/>
  <c r="J191" i="2" s="1"/>
  <c r="J192" i="2" a="1"/>
  <c r="J192" i="2" s="1"/>
  <c r="J193" i="2" a="1"/>
  <c r="J193" i="2" s="1"/>
  <c r="J194" i="2" a="1"/>
  <c r="J194" i="2" s="1"/>
  <c r="J195" i="2" a="1"/>
  <c r="J195" i="2" s="1"/>
  <c r="J196" i="2" a="1"/>
  <c r="J196" i="2" s="1"/>
  <c r="J197" i="2" a="1"/>
  <c r="J197" i="2" s="1"/>
  <c r="J198" i="2" a="1"/>
  <c r="J198" i="2" s="1"/>
  <c r="J199" i="2" a="1"/>
  <c r="J199" i="2" s="1"/>
  <c r="J200" i="2" a="1"/>
  <c r="J200" i="2" s="1"/>
  <c r="J201" i="2" a="1"/>
  <c r="J201" i="2" s="1"/>
  <c r="J202" i="2" a="1"/>
  <c r="J202" i="2" s="1"/>
  <c r="J203" i="2" a="1"/>
  <c r="J203" i="2" s="1"/>
  <c r="J204" i="2" a="1"/>
  <c r="J204" i="2" s="1"/>
  <c r="J205" i="2" a="1"/>
  <c r="J205" i="2" s="1"/>
  <c r="J206" i="2" a="1"/>
  <c r="J206" i="2" s="1"/>
  <c r="J207" i="2" a="1"/>
  <c r="J207" i="2" s="1"/>
  <c r="J208" i="2" a="1"/>
  <c r="J208" i="2" s="1"/>
  <c r="J209" i="2" a="1"/>
  <c r="J209" i="2" s="1"/>
  <c r="J210" i="2" a="1"/>
  <c r="J210" i="2" s="1"/>
  <c r="J211" i="2" a="1"/>
  <c r="J211" i="2" s="1"/>
  <c r="J212" i="2" a="1"/>
  <c r="J212" i="2" s="1"/>
  <c r="J213" i="2" a="1"/>
  <c r="J213" i="2" s="1"/>
  <c r="J214" i="2" a="1"/>
  <c r="J214" i="2" s="1"/>
  <c r="J215" i="2" a="1"/>
  <c r="J215" i="2" s="1"/>
  <c r="J216" i="2" a="1"/>
  <c r="J216" i="2" s="1"/>
  <c r="J217" i="2" a="1"/>
  <c r="J217" i="2" s="1"/>
  <c r="J218" i="2" a="1"/>
  <c r="J218" i="2" s="1"/>
  <c r="J219" i="2" a="1"/>
  <c r="J219" i="2" s="1"/>
  <c r="J220" i="2" a="1"/>
  <c r="J220" i="2" s="1"/>
  <c r="J221" i="2" a="1"/>
  <c r="J221" i="2" s="1"/>
  <c r="J222" i="2" a="1"/>
  <c r="J222" i="2" s="1"/>
  <c r="J223" i="2" a="1"/>
  <c r="J223" i="2" s="1"/>
  <c r="J224" i="2" a="1"/>
  <c r="J224" i="2" s="1"/>
  <c r="J225" i="2" a="1"/>
  <c r="J225" i="2" s="1"/>
  <c r="J226" i="2" a="1"/>
  <c r="J226" i="2" s="1"/>
  <c r="J227" i="2" a="1"/>
  <c r="J227" i="2" s="1"/>
  <c r="J228" i="2" a="1"/>
  <c r="J228" i="2" s="1"/>
  <c r="J229" i="2" a="1"/>
  <c r="J229" i="2" s="1"/>
  <c r="J230" i="2" a="1"/>
  <c r="J230" i="2"/>
  <c r="J231" i="2" a="1"/>
  <c r="J231" i="2" s="1"/>
  <c r="J232" i="2" a="1"/>
  <c r="J232" i="2" s="1"/>
  <c r="J233" i="2" a="1"/>
  <c r="J233" i="2" s="1"/>
  <c r="J234" i="2" a="1"/>
  <c r="J234" i="2" s="1"/>
  <c r="J235" i="2" a="1"/>
  <c r="J235" i="2" s="1"/>
  <c r="J236" i="2" a="1"/>
  <c r="J236" i="2" s="1"/>
  <c r="J237" i="2" a="1"/>
  <c r="J237" i="2" s="1"/>
  <c r="J238" i="2" a="1"/>
  <c r="J238" i="2" s="1"/>
  <c r="J239" i="2" a="1"/>
  <c r="J239" i="2" s="1"/>
  <c r="J240" i="2" a="1"/>
  <c r="J240" i="2" s="1"/>
  <c r="J241" i="2" a="1"/>
  <c r="J241" i="2" s="1"/>
  <c r="J242" i="2" a="1"/>
  <c r="J242" i="2" s="1"/>
  <c r="J243" i="2" a="1"/>
  <c r="J243" i="2" s="1"/>
  <c r="J244" i="2" a="1"/>
  <c r="J244" i="2" s="1"/>
  <c r="J245" i="2" a="1"/>
  <c r="J245" i="2" s="1"/>
  <c r="J246" i="2" a="1"/>
  <c r="J246" i="2" s="1"/>
  <c r="J247" i="2" a="1"/>
  <c r="J247" i="2" s="1"/>
  <c r="J248" i="2" a="1"/>
  <c r="J248" i="2" s="1"/>
  <c r="J249" i="2" a="1"/>
  <c r="J249" i="2" s="1"/>
  <c r="J250" i="2" a="1"/>
  <c r="J250" i="2" s="1"/>
  <c r="J251" i="2" a="1"/>
  <c r="J251" i="2" s="1"/>
  <c r="J252" i="2" a="1"/>
  <c r="J252" i="2" s="1"/>
  <c r="J253" i="2" a="1"/>
  <c r="J253" i="2" s="1"/>
  <c r="J254" i="2" a="1"/>
  <c r="J254" i="2" s="1"/>
  <c r="J255" i="2" a="1"/>
  <c r="J255" i="2" s="1"/>
  <c r="J256" i="2" a="1"/>
  <c r="J256" i="2" s="1"/>
  <c r="J257" i="2" a="1"/>
  <c r="J257" i="2" s="1"/>
  <c r="J258" i="2" a="1"/>
  <c r="J258" i="2" s="1"/>
  <c r="J259" i="2" a="1"/>
  <c r="J259" i="2" s="1"/>
  <c r="J260" i="2" a="1"/>
  <c r="J260" i="2" s="1"/>
  <c r="J261" i="2" a="1"/>
  <c r="J261" i="2" s="1"/>
  <c r="J262" i="2" a="1"/>
  <c r="J262" i="2" s="1"/>
  <c r="J263" i="2" a="1"/>
  <c r="J263" i="2" s="1"/>
  <c r="J264" i="2" a="1"/>
  <c r="J264" i="2" s="1"/>
  <c r="J265" i="2" a="1"/>
  <c r="J265" i="2" s="1"/>
  <c r="J266" i="2" a="1"/>
  <c r="J266" i="2" s="1"/>
  <c r="J267" i="2" a="1"/>
  <c r="J267" i="2" s="1"/>
  <c r="J268" i="2" a="1"/>
  <c r="J268" i="2" s="1"/>
  <c r="J269" i="2" a="1"/>
  <c r="J269" i="2" s="1"/>
  <c r="J270" i="2" a="1"/>
  <c r="J270" i="2" s="1"/>
  <c r="J271" i="2" a="1"/>
  <c r="J271" i="2" s="1"/>
  <c r="J272" i="2" a="1"/>
  <c r="J272" i="2" s="1"/>
  <c r="J273" i="2" a="1"/>
  <c r="J273" i="2" s="1"/>
  <c r="J274" i="2" a="1"/>
  <c r="J274" i="2" s="1"/>
  <c r="J275" i="2" a="1"/>
  <c r="J275" i="2" s="1"/>
  <c r="J276" i="2" a="1"/>
  <c r="J276" i="2" s="1"/>
  <c r="J277" i="2" a="1"/>
  <c r="J277" i="2" s="1"/>
  <c r="J278" i="2" a="1"/>
  <c r="J278" i="2" s="1"/>
  <c r="J279" i="2" a="1"/>
  <c r="J279" i="2" s="1"/>
  <c r="J280" i="2" a="1"/>
  <c r="J280" i="2" s="1"/>
  <c r="J281" i="2" a="1"/>
  <c r="J281" i="2" s="1"/>
  <c r="J282" i="2" a="1"/>
  <c r="J282" i="2" s="1"/>
  <c r="J283" i="2" a="1"/>
  <c r="J283" i="2" s="1"/>
  <c r="J284" i="2" a="1"/>
  <c r="J284" i="2" s="1"/>
  <c r="J285" i="2" a="1"/>
  <c r="J285" i="2" s="1"/>
  <c r="J286" i="2" a="1"/>
  <c r="J286" i="2" s="1"/>
  <c r="J287" i="2" a="1"/>
  <c r="J287" i="2" s="1"/>
  <c r="J288" i="2" a="1"/>
  <c r="J288" i="2" s="1"/>
  <c r="J289" i="2" a="1"/>
  <c r="J289" i="2" s="1"/>
  <c r="J290" i="2" a="1"/>
  <c r="J290" i="2" s="1"/>
  <c r="J291" i="2" a="1"/>
  <c r="J291" i="2" s="1"/>
  <c r="J292" i="2" a="1"/>
  <c r="J292" i="2" s="1"/>
  <c r="J293" i="2" a="1"/>
  <c r="J293" i="2" s="1"/>
  <c r="J294" i="2" a="1"/>
  <c r="J294" i="2" s="1"/>
  <c r="J295" i="2" a="1"/>
  <c r="J295" i="2" s="1"/>
  <c r="J296" i="2" a="1"/>
  <c r="J296" i="2"/>
  <c r="J297" i="2" a="1"/>
  <c r="J297" i="2" s="1"/>
  <c r="J298" i="2" a="1"/>
  <c r="J298" i="2" s="1"/>
  <c r="J299" i="2" a="1"/>
  <c r="J299" i="2" s="1"/>
  <c r="J300" i="2" a="1"/>
  <c r="J300" i="2" s="1"/>
  <c r="J301" i="2" a="1"/>
  <c r="J301" i="2" s="1"/>
  <c r="J302" i="2" a="1"/>
  <c r="J302" i="2" s="1"/>
  <c r="J303" i="2" a="1"/>
  <c r="J303" i="2" s="1"/>
  <c r="J304" i="2" a="1"/>
  <c r="J304" i="2" s="1"/>
  <c r="J305" i="2" a="1"/>
  <c r="J305" i="2" s="1"/>
  <c r="J306" i="2" a="1"/>
  <c r="J306" i="2" s="1"/>
  <c r="J307" i="2" a="1"/>
  <c r="J307" i="2" s="1"/>
  <c r="J308" i="2" a="1"/>
  <c r="J308" i="2" s="1"/>
  <c r="J309" i="2" a="1"/>
  <c r="J309" i="2" s="1"/>
  <c r="J310" i="2" a="1"/>
  <c r="J310" i="2" s="1"/>
  <c r="J311" i="2" a="1"/>
  <c r="J311" i="2" s="1"/>
  <c r="J312" i="2" a="1"/>
  <c r="J312" i="2" s="1"/>
  <c r="J313" i="2" a="1"/>
  <c r="J313" i="2" s="1"/>
  <c r="J314" i="2" a="1"/>
  <c r="J314" i="2" s="1"/>
  <c r="J315" i="2" a="1"/>
  <c r="J315" i="2" s="1"/>
  <c r="J316" i="2" a="1"/>
  <c r="J316" i="2" s="1"/>
  <c r="J317" i="2" a="1"/>
  <c r="J317" i="2" s="1"/>
  <c r="J318" i="2" a="1"/>
  <c r="J318" i="2" s="1"/>
  <c r="J319" i="2" a="1"/>
  <c r="J319" i="2" s="1"/>
  <c r="J320" i="2" a="1"/>
  <c r="J320" i="2" s="1"/>
  <c r="J321" i="2" a="1"/>
  <c r="J321" i="2" s="1"/>
  <c r="J322" i="2" a="1"/>
  <c r="J322" i="2" s="1"/>
  <c r="J323" i="2" a="1"/>
  <c r="J323" i="2" s="1"/>
  <c r="J324" i="2" a="1"/>
  <c r="J324" i="2" s="1"/>
  <c r="J325" i="2" a="1"/>
  <c r="J325" i="2" s="1"/>
  <c r="J326" i="2" a="1"/>
  <c r="J326" i="2" s="1"/>
  <c r="J327" i="2" a="1"/>
  <c r="J327" i="2" s="1"/>
  <c r="J328" i="2" a="1"/>
  <c r="J328" i="2" s="1"/>
  <c r="J329" i="2" a="1"/>
  <c r="J329" i="2" s="1"/>
  <c r="J330" i="2" a="1"/>
  <c r="J330" i="2" s="1"/>
  <c r="J331" i="2" a="1"/>
  <c r="J331" i="2" s="1"/>
  <c r="J332" i="2" a="1"/>
  <c r="J332" i="2" s="1"/>
  <c r="J333" i="2" a="1"/>
  <c r="J333" i="2" s="1"/>
  <c r="J334" i="2" a="1"/>
  <c r="J334" i="2" s="1"/>
  <c r="J335" i="2" a="1"/>
  <c r="J335" i="2" s="1"/>
  <c r="J336" i="2" a="1"/>
  <c r="J336" i="2" s="1"/>
  <c r="J337" i="2" a="1"/>
  <c r="J337" i="2" s="1"/>
  <c r="J338" i="2" a="1"/>
  <c r="J338" i="2" s="1"/>
  <c r="J339" i="2" a="1"/>
  <c r="J339" i="2" s="1"/>
  <c r="J340" i="2" a="1"/>
  <c r="J340" i="2" s="1"/>
  <c r="J341" i="2" a="1"/>
  <c r="J341" i="2" s="1"/>
  <c r="J342" i="2" a="1"/>
  <c r="J342" i="2" s="1"/>
  <c r="J343" i="2" a="1"/>
  <c r="J343" i="2" s="1"/>
  <c r="J344" i="2" a="1"/>
  <c r="J344" i="2" s="1"/>
  <c r="J345" i="2" a="1"/>
  <c r="J345" i="2" s="1"/>
  <c r="J346" i="2" a="1"/>
  <c r="J346" i="2" s="1"/>
  <c r="J347" i="2" a="1"/>
  <c r="J347" i="2" s="1"/>
  <c r="J348" i="2" a="1"/>
  <c r="J348" i="2" s="1"/>
  <c r="J349" i="2" a="1"/>
  <c r="J349" i="2" s="1"/>
  <c r="J350" i="2" a="1"/>
  <c r="J350" i="2" s="1"/>
  <c r="J351" i="2" a="1"/>
  <c r="J351" i="2" s="1"/>
  <c r="J352" i="2" a="1"/>
  <c r="J352" i="2" s="1"/>
  <c r="J353" i="2" a="1"/>
  <c r="J353" i="2" s="1"/>
  <c r="J354" i="2" a="1"/>
  <c r="J354" i="2" s="1"/>
  <c r="J355" i="2" a="1"/>
  <c r="J355" i="2" s="1"/>
  <c r="J356" i="2" a="1"/>
  <c r="J356" i="2" s="1"/>
  <c r="J357" i="2" a="1"/>
  <c r="J357" i="2" s="1"/>
  <c r="J358" i="2" a="1"/>
  <c r="J358" i="2" s="1"/>
  <c r="J359" i="2" a="1"/>
  <c r="J359" i="2" s="1"/>
  <c r="J360" i="2" a="1"/>
  <c r="J360" i="2" s="1"/>
  <c r="J361" i="2" a="1"/>
  <c r="J361" i="2" s="1"/>
  <c r="J362" i="2" a="1"/>
  <c r="J362" i="2" s="1"/>
  <c r="J363" i="2" a="1"/>
  <c r="J363" i="2" s="1"/>
  <c r="J364" i="2" a="1"/>
  <c r="J364" i="2" s="1"/>
  <c r="J365" i="2" a="1"/>
  <c r="J365" i="2" s="1"/>
  <c r="J366" i="2" a="1"/>
  <c r="J366" i="2" s="1"/>
  <c r="J367" i="2" a="1"/>
  <c r="J367" i="2" s="1"/>
  <c r="J368" i="2" a="1"/>
  <c r="J368" i="2" s="1"/>
  <c r="J369" i="2" a="1"/>
  <c r="J369" i="2" s="1"/>
  <c r="J370" i="2" a="1"/>
  <c r="J370" i="2" s="1"/>
  <c r="J371" i="2" a="1"/>
  <c r="J371" i="2" s="1"/>
  <c r="J372" i="2" a="1"/>
  <c r="J372" i="2" s="1"/>
  <c r="J373" i="2" a="1"/>
  <c r="J373" i="2" s="1"/>
  <c r="J374" i="2" a="1"/>
  <c r="J374" i="2" s="1"/>
  <c r="J375" i="2" a="1"/>
  <c r="J375" i="2" s="1"/>
  <c r="J376" i="2" a="1"/>
  <c r="J376" i="2" s="1"/>
  <c r="J377" i="2" a="1"/>
  <c r="J377" i="2" s="1"/>
  <c r="J378" i="2" a="1"/>
  <c r="J378" i="2" s="1"/>
  <c r="J379" i="2" a="1"/>
  <c r="J379" i="2" s="1"/>
  <c r="J380" i="2" a="1"/>
  <c r="J380" i="2" s="1"/>
  <c r="J381" i="2" a="1"/>
  <c r="J381" i="2" s="1"/>
  <c r="J382" i="2" a="1"/>
  <c r="J382" i="2" s="1"/>
  <c r="J383" i="2" a="1"/>
  <c r="J383" i="2" s="1"/>
  <c r="J384" i="2" a="1"/>
  <c r="J384" i="2" s="1"/>
  <c r="J385" i="2" a="1"/>
  <c r="J385" i="2" s="1"/>
  <c r="J386" i="2" a="1"/>
  <c r="J386" i="2" s="1"/>
  <c r="J387" i="2" a="1"/>
  <c r="J387" i="2" s="1"/>
  <c r="J388" i="2" a="1"/>
  <c r="J388" i="2" s="1"/>
  <c r="J389" i="2" a="1"/>
  <c r="J389" i="2" s="1"/>
  <c r="J390" i="2" a="1"/>
  <c r="J390" i="2" s="1"/>
  <c r="J391" i="2" a="1"/>
  <c r="J391" i="2" s="1"/>
  <c r="J392" i="2" a="1"/>
  <c r="J392" i="2" s="1"/>
  <c r="J393" i="2" a="1"/>
  <c r="J393" i="2" s="1"/>
  <c r="J394" i="2" a="1"/>
  <c r="J394" i="2" s="1"/>
  <c r="J395" i="2" a="1"/>
  <c r="J395" i="2" s="1"/>
  <c r="J396" i="2" a="1"/>
  <c r="J396" i="2" s="1"/>
  <c r="J397" i="2" a="1"/>
  <c r="J397" i="2" s="1"/>
  <c r="J398" i="2" a="1"/>
  <c r="J398" i="2" s="1"/>
  <c r="J399" i="2" a="1"/>
  <c r="J399" i="2" s="1"/>
  <c r="J400" i="2" a="1"/>
  <c r="J400" i="2" s="1"/>
  <c r="J401" i="2" a="1"/>
  <c r="J401" i="2" s="1"/>
  <c r="J402" i="2" a="1"/>
  <c r="J402" i="2" s="1"/>
  <c r="J403" i="2" a="1"/>
  <c r="J403" i="2" s="1"/>
  <c r="J404" i="2" a="1"/>
  <c r="J404" i="2" s="1"/>
  <c r="J405" i="2" a="1"/>
  <c r="J405" i="2" s="1"/>
  <c r="J406" i="2" a="1"/>
  <c r="J406" i="2" s="1"/>
  <c r="J407" i="2" a="1"/>
  <c r="J407" i="2" s="1"/>
  <c r="J408" i="2" a="1"/>
  <c r="J408" i="2" s="1"/>
  <c r="J409" i="2" a="1"/>
  <c r="J409" i="2" s="1"/>
  <c r="J410" i="2" a="1"/>
  <c r="J410" i="2" s="1"/>
  <c r="J411" i="2" a="1"/>
  <c r="J411" i="2" s="1"/>
  <c r="J412" i="2" a="1"/>
  <c r="J412" i="2" s="1"/>
  <c r="J413" i="2" a="1"/>
  <c r="J413" i="2" s="1"/>
  <c r="J414" i="2" a="1"/>
  <c r="J414" i="2" s="1"/>
  <c r="J415" i="2" a="1"/>
  <c r="J415" i="2" s="1"/>
  <c r="J416" i="2" a="1"/>
  <c r="J416" i="2" s="1"/>
  <c r="J417" i="2" a="1"/>
  <c r="J417" i="2" s="1"/>
  <c r="J418" i="2" a="1"/>
  <c r="J418" i="2" s="1"/>
  <c r="J419" i="2" a="1"/>
  <c r="J419" i="2" s="1"/>
  <c r="J420" i="2" a="1"/>
  <c r="J420" i="2" s="1"/>
  <c r="J421" i="2" a="1"/>
  <c r="J421" i="2" s="1"/>
  <c r="J422" i="2" a="1"/>
  <c r="J422" i="2" s="1"/>
  <c r="J423" i="2" a="1"/>
  <c r="J423" i="2" s="1"/>
  <c r="J424" i="2" a="1"/>
  <c r="J424" i="2" s="1"/>
  <c r="J425" i="2" a="1"/>
  <c r="J425" i="2" s="1"/>
  <c r="J426" i="2" a="1"/>
  <c r="J426" i="2" s="1"/>
  <c r="J427" i="2" a="1"/>
  <c r="J427" i="2" s="1"/>
  <c r="J428" i="2" a="1"/>
  <c r="J428" i="2" s="1"/>
  <c r="J429" i="2" a="1"/>
  <c r="J429" i="2" s="1"/>
  <c r="J430" i="2" a="1"/>
  <c r="J430" i="2" s="1"/>
  <c r="J431" i="2" a="1"/>
  <c r="J431" i="2" s="1"/>
  <c r="J432" i="2" a="1"/>
  <c r="J432" i="2" s="1"/>
  <c r="J433" i="2" a="1"/>
  <c r="J433" i="2" s="1"/>
  <c r="J434" i="2" a="1"/>
  <c r="J434" i="2" s="1"/>
  <c r="J435" i="2" a="1"/>
  <c r="J435" i="2" s="1"/>
  <c r="J436" i="2" a="1"/>
  <c r="J436" i="2" s="1"/>
  <c r="J437" i="2" a="1"/>
  <c r="J437" i="2" s="1"/>
  <c r="J438" i="2" a="1"/>
  <c r="J438" i="2" s="1"/>
  <c r="J439" i="2" a="1"/>
  <c r="J439" i="2" s="1"/>
  <c r="J440" i="2" a="1"/>
  <c r="J440" i="2" s="1"/>
  <c r="J441" i="2" a="1"/>
  <c r="J441" i="2" s="1"/>
  <c r="J442" i="2" a="1"/>
  <c r="J442" i="2" s="1"/>
  <c r="J443" i="2" a="1"/>
  <c r="J443" i="2" s="1"/>
  <c r="J444" i="2" a="1"/>
  <c r="J444" i="2" s="1"/>
  <c r="J445" i="2" a="1"/>
  <c r="J445" i="2" s="1"/>
  <c r="J446" i="2" a="1"/>
  <c r="J446" i="2" s="1"/>
  <c r="J447" i="2" a="1"/>
  <c r="J447" i="2" s="1"/>
  <c r="J448" i="2" a="1"/>
  <c r="J448" i="2" s="1"/>
  <c r="J449" i="2" a="1"/>
  <c r="J449" i="2" s="1"/>
  <c r="J450" i="2" a="1"/>
  <c r="J450" i="2" s="1"/>
  <c r="J451" i="2" a="1"/>
  <c r="J451" i="2" s="1"/>
  <c r="J452" i="2" a="1"/>
  <c r="J452" i="2" s="1"/>
  <c r="J453" i="2" a="1"/>
  <c r="J453" i="2" s="1"/>
  <c r="J454" i="2" a="1"/>
  <c r="J454" i="2" s="1"/>
  <c r="J455" i="2" a="1"/>
  <c r="J455" i="2" s="1"/>
  <c r="J456" i="2" a="1"/>
  <c r="J456" i="2" s="1"/>
  <c r="J457" i="2" a="1"/>
  <c r="J457" i="2" s="1"/>
  <c r="J458" i="2" a="1"/>
  <c r="J458" i="2" s="1"/>
  <c r="J459" i="2" a="1"/>
  <c r="J459" i="2" s="1"/>
  <c r="J460" i="2" a="1"/>
  <c r="J460" i="2" s="1"/>
  <c r="J461" i="2" a="1"/>
  <c r="J461" i="2" s="1"/>
  <c r="J462" i="2" a="1"/>
  <c r="J462" i="2" s="1"/>
  <c r="J463" i="2" a="1"/>
  <c r="J463" i="2" s="1"/>
  <c r="J464" i="2" a="1"/>
  <c r="J464" i="2" s="1"/>
  <c r="J465" i="2" a="1"/>
  <c r="J465" i="2" s="1"/>
  <c r="J466" i="2" a="1"/>
  <c r="J466" i="2" s="1"/>
  <c r="J467" i="2" a="1"/>
  <c r="J467" i="2" s="1"/>
  <c r="J468" i="2" a="1"/>
  <c r="J468" i="2" s="1"/>
  <c r="J469" i="2" a="1"/>
  <c r="J469" i="2" s="1"/>
  <c r="J470" i="2" a="1"/>
  <c r="J470" i="2" s="1"/>
  <c r="J471" i="2" a="1"/>
  <c r="J471" i="2" s="1"/>
  <c r="J472" i="2" a="1"/>
  <c r="J472" i="2" s="1"/>
  <c r="J473" i="2" a="1"/>
  <c r="J473" i="2" s="1"/>
  <c r="J474" i="2" a="1"/>
  <c r="J474" i="2" s="1"/>
  <c r="J475" i="2" a="1"/>
  <c r="J475" i="2" s="1"/>
  <c r="J476" i="2" a="1"/>
  <c r="J476" i="2" s="1"/>
  <c r="J477" i="2" a="1"/>
  <c r="J477" i="2" s="1"/>
  <c r="J478" i="2" a="1"/>
  <c r="J478" i="2" s="1"/>
  <c r="J479" i="2" a="1"/>
  <c r="J479" i="2" s="1"/>
  <c r="J480" i="2" a="1"/>
  <c r="J480" i="2" s="1"/>
  <c r="J481" i="2" a="1"/>
  <c r="J481" i="2" s="1"/>
  <c r="J482" i="2" a="1"/>
  <c r="J482" i="2" s="1"/>
  <c r="J483" i="2" a="1"/>
  <c r="J483" i="2" s="1"/>
  <c r="J484" i="2" a="1"/>
  <c r="J484" i="2" s="1"/>
  <c r="J485" i="2" a="1"/>
  <c r="J485" i="2" s="1"/>
  <c r="J486" i="2" a="1"/>
  <c r="J486" i="2" s="1"/>
  <c r="J487" i="2" a="1"/>
  <c r="J487" i="2" s="1"/>
  <c r="J488" i="2" a="1"/>
  <c r="J488" i="2" s="1"/>
  <c r="J489" i="2" a="1"/>
  <c r="J489" i="2" s="1"/>
  <c r="J490" i="2" a="1"/>
  <c r="J490" i="2" s="1"/>
  <c r="J491" i="2" a="1"/>
  <c r="J491" i="2" s="1"/>
  <c r="J492" i="2" a="1"/>
  <c r="J492" i="2" s="1"/>
  <c r="J493" i="2" a="1"/>
  <c r="J493" i="2" s="1"/>
  <c r="J494" i="2" a="1"/>
  <c r="J494" i="2" s="1"/>
  <c r="J495" i="2" a="1"/>
  <c r="J495" i="2" s="1"/>
  <c r="J496" i="2" a="1"/>
  <c r="J496" i="2" s="1"/>
  <c r="J497" i="2" a="1"/>
  <c r="J497" i="2" s="1"/>
  <c r="J498" i="2" a="1"/>
  <c r="J498" i="2" s="1"/>
  <c r="J499" i="2" a="1"/>
  <c r="J499" i="2" s="1"/>
  <c r="J500" i="2" a="1"/>
  <c r="J500" i="2" s="1"/>
  <c r="J501" i="2" a="1"/>
  <c r="J501" i="2" s="1"/>
  <c r="J502" i="2" a="1"/>
  <c r="J502" i="2" s="1"/>
  <c r="J503" i="2" a="1"/>
  <c r="J503" i="2" s="1"/>
  <c r="J504" i="2" a="1"/>
  <c r="J504" i="2" s="1"/>
  <c r="J505" i="2" a="1"/>
  <c r="J505" i="2" s="1"/>
  <c r="J506" i="2" a="1"/>
  <c r="J506" i="2" s="1"/>
  <c r="J507" i="2" a="1"/>
  <c r="J507" i="2" s="1"/>
  <c r="J508" i="2" a="1"/>
  <c r="J508" i="2" s="1"/>
  <c r="J509" i="2" a="1"/>
  <c r="J509" i="2" s="1"/>
  <c r="J510" i="2" a="1"/>
  <c r="J510" i="2" s="1"/>
  <c r="J511" i="2" a="1"/>
  <c r="J511" i="2" s="1"/>
  <c r="J512" i="2" a="1"/>
  <c r="J512" i="2" s="1"/>
  <c r="J513" i="2" a="1"/>
  <c r="J513" i="2" s="1"/>
  <c r="J514" i="2" a="1"/>
  <c r="J514" i="2" s="1"/>
  <c r="J515" i="2" a="1"/>
  <c r="J515" i="2" s="1"/>
  <c r="J516" i="2" a="1"/>
  <c r="J516" i="2" s="1"/>
  <c r="J517" i="2" a="1"/>
  <c r="J517" i="2" s="1"/>
  <c r="J518" i="2" a="1"/>
  <c r="J518" i="2" s="1"/>
  <c r="J519" i="2" a="1"/>
  <c r="J519" i="2" s="1"/>
  <c r="J520" i="2" a="1"/>
  <c r="J520" i="2" s="1"/>
  <c r="J521" i="2" a="1"/>
  <c r="J521" i="2" s="1"/>
  <c r="J522" i="2" a="1"/>
  <c r="J522" i="2" s="1"/>
  <c r="J523" i="2" a="1"/>
  <c r="J523" i="2" s="1"/>
  <c r="J524" i="2" a="1"/>
  <c r="J524" i="2" s="1"/>
  <c r="J525" i="2" a="1"/>
  <c r="J525" i="2" s="1"/>
  <c r="J526" i="2" a="1"/>
  <c r="J526" i="2" s="1"/>
  <c r="J527" i="2" a="1"/>
  <c r="J527" i="2" s="1"/>
  <c r="J528" i="2" a="1"/>
  <c r="J528" i="2" s="1"/>
  <c r="J529" i="2" a="1"/>
  <c r="J529" i="2" s="1"/>
  <c r="J530" i="2" a="1"/>
  <c r="J530" i="2" s="1"/>
  <c r="J531" i="2" a="1"/>
  <c r="J531" i="2" s="1"/>
  <c r="J532" i="2" a="1"/>
  <c r="J532" i="2" s="1"/>
  <c r="J533" i="2" a="1"/>
  <c r="J533" i="2" s="1"/>
  <c r="J534" i="2" a="1"/>
  <c r="J534" i="2" s="1"/>
  <c r="J535" i="2" a="1"/>
  <c r="J535" i="2" s="1"/>
  <c r="J536" i="2" a="1"/>
  <c r="J536" i="2" s="1"/>
  <c r="J537" i="2" a="1"/>
  <c r="J537" i="2" s="1"/>
  <c r="J538" i="2" a="1"/>
  <c r="J538" i="2" s="1"/>
  <c r="J539" i="2" a="1"/>
  <c r="J539" i="2" s="1"/>
  <c r="J540" i="2" a="1"/>
  <c r="J540" i="2" s="1"/>
  <c r="J541" i="2" a="1"/>
  <c r="J541" i="2" s="1"/>
  <c r="J542" i="2" a="1"/>
  <c r="J542" i="2" s="1"/>
  <c r="J543" i="2" a="1"/>
  <c r="J543" i="2" s="1"/>
  <c r="J544" i="2" a="1"/>
  <c r="J544" i="2" s="1"/>
  <c r="J545" i="2" a="1"/>
  <c r="J545" i="2" s="1"/>
  <c r="J546" i="2" a="1"/>
  <c r="J546" i="2" s="1"/>
  <c r="J547" i="2" a="1"/>
  <c r="J547" i="2" s="1"/>
  <c r="J548" i="2" a="1"/>
  <c r="J548" i="2" s="1"/>
  <c r="J549" i="2" a="1"/>
  <c r="J549" i="2" s="1"/>
  <c r="J550" i="2" a="1"/>
  <c r="J550" i="2" s="1"/>
  <c r="J551" i="2" a="1"/>
  <c r="J551" i="2" s="1"/>
  <c r="J552" i="2" a="1"/>
  <c r="J552" i="2" s="1"/>
  <c r="J553" i="2" a="1"/>
  <c r="J553" i="2" s="1"/>
  <c r="J554" i="2" a="1"/>
  <c r="J554" i="2" s="1"/>
  <c r="J555" i="2" a="1"/>
  <c r="J555" i="2" s="1"/>
  <c r="J556" i="2" a="1"/>
  <c r="J556" i="2" s="1"/>
  <c r="J557" i="2" a="1"/>
  <c r="J557" i="2" s="1"/>
  <c r="J558" i="2" a="1"/>
  <c r="J558" i="2" s="1"/>
  <c r="J559" i="2" a="1"/>
  <c r="J559" i="2" s="1"/>
  <c r="J560" i="2" a="1"/>
  <c r="J560" i="2" s="1"/>
  <c r="J561" i="2" a="1"/>
  <c r="J561" i="2" s="1"/>
  <c r="J562" i="2" a="1"/>
  <c r="J562" i="2" s="1"/>
  <c r="J563" i="2" a="1"/>
  <c r="J563" i="2" s="1"/>
  <c r="J564" i="2" a="1"/>
  <c r="J564" i="2" s="1"/>
  <c r="J565" i="2" a="1"/>
  <c r="J565" i="2" s="1"/>
  <c r="J566" i="2" a="1"/>
  <c r="J566" i="2" s="1"/>
  <c r="J567" i="2" a="1"/>
  <c r="J567" i="2" s="1"/>
  <c r="J568" i="2" a="1"/>
  <c r="J568" i="2" s="1"/>
  <c r="J569" i="2" a="1"/>
  <c r="J569" i="2" s="1"/>
  <c r="J570" i="2" a="1"/>
  <c r="J570" i="2" s="1"/>
  <c r="J571" i="2" a="1"/>
  <c r="J571" i="2" s="1"/>
  <c r="J572" i="2" a="1"/>
  <c r="J572" i="2" s="1"/>
  <c r="J573" i="2" a="1"/>
  <c r="J573" i="2" s="1"/>
  <c r="J574" i="2" a="1"/>
  <c r="J574" i="2" s="1"/>
  <c r="J575" i="2" a="1"/>
  <c r="J575" i="2" s="1"/>
  <c r="J576" i="2" a="1"/>
  <c r="J576" i="2" s="1"/>
  <c r="J577" i="2" a="1"/>
  <c r="J577" i="2" s="1"/>
  <c r="J578" i="2" a="1"/>
  <c r="J578" i="2" s="1"/>
  <c r="J579" i="2" a="1"/>
  <c r="J579" i="2" s="1"/>
  <c r="J580" i="2" a="1"/>
  <c r="J580" i="2" s="1"/>
  <c r="J581" i="2" a="1"/>
  <c r="J581" i="2" s="1"/>
  <c r="J582" i="2" a="1"/>
  <c r="J582" i="2" s="1"/>
  <c r="J583" i="2" a="1"/>
  <c r="J583" i="2" s="1"/>
  <c r="J584" i="2" a="1"/>
  <c r="J584" i="2" s="1"/>
  <c r="J585" i="2" a="1"/>
  <c r="J585" i="2" s="1"/>
  <c r="J586" i="2" a="1"/>
  <c r="J586" i="2" s="1"/>
  <c r="J587" i="2" a="1"/>
  <c r="J587" i="2" s="1"/>
  <c r="J588" i="2" a="1"/>
  <c r="J588" i="2" s="1"/>
  <c r="J589" i="2" a="1"/>
  <c r="J589" i="2" s="1"/>
  <c r="J590" i="2" a="1"/>
  <c r="J590" i="2" s="1"/>
  <c r="J591" i="2" a="1"/>
  <c r="J591" i="2" s="1"/>
  <c r="J592" i="2" a="1"/>
  <c r="J592" i="2" s="1"/>
  <c r="J593" i="2" a="1"/>
  <c r="J593" i="2" s="1"/>
  <c r="J594" i="2" a="1"/>
  <c r="J594" i="2" s="1"/>
  <c r="J595" i="2" a="1"/>
  <c r="J595" i="2" s="1"/>
  <c r="J596" i="2" a="1"/>
  <c r="J596" i="2" s="1"/>
  <c r="J597" i="2" a="1"/>
  <c r="J597" i="2" s="1"/>
  <c r="J598" i="2" a="1"/>
  <c r="J598" i="2" s="1"/>
  <c r="J599" i="2" a="1"/>
  <c r="J599" i="2" s="1"/>
  <c r="J600" i="2" a="1"/>
  <c r="J600" i="2" s="1"/>
  <c r="J601" i="2" a="1"/>
  <c r="J601" i="2" s="1"/>
  <c r="J602" i="2" a="1"/>
  <c r="J602" i="2" s="1"/>
  <c r="J603" i="2" a="1"/>
  <c r="J603" i="2" s="1"/>
  <c r="J604" i="2" a="1"/>
  <c r="J604" i="2" s="1"/>
  <c r="J605" i="2" a="1"/>
  <c r="J605" i="2" s="1"/>
  <c r="J606" i="2" a="1"/>
  <c r="J606" i="2" s="1"/>
  <c r="J607" i="2" a="1"/>
  <c r="J607" i="2" s="1"/>
  <c r="J608" i="2" a="1"/>
  <c r="J608" i="2" s="1"/>
  <c r="J609" i="2" a="1"/>
  <c r="J609" i="2" s="1"/>
  <c r="J610" i="2" a="1"/>
  <c r="J610" i="2" s="1"/>
  <c r="J611" i="2" a="1"/>
  <c r="J611" i="2" s="1"/>
  <c r="J612" i="2" a="1"/>
  <c r="J612" i="2" s="1"/>
  <c r="J613" i="2" a="1"/>
  <c r="J613" i="2" s="1"/>
  <c r="J614" i="2" a="1"/>
  <c r="J614" i="2" s="1"/>
  <c r="J615" i="2" a="1"/>
  <c r="J615" i="2" s="1"/>
  <c r="J616" i="2" a="1"/>
  <c r="J616" i="2" s="1"/>
  <c r="J617" i="2" a="1"/>
  <c r="J617" i="2" s="1"/>
  <c r="J618" i="2" a="1"/>
  <c r="J618" i="2" s="1"/>
  <c r="J619" i="2" a="1"/>
  <c r="J619" i="2" s="1"/>
  <c r="J620" i="2" a="1"/>
  <c r="J620" i="2" s="1"/>
  <c r="J621" i="2" a="1"/>
  <c r="J621" i="2" s="1"/>
  <c r="J622" i="2" a="1"/>
  <c r="J622" i="2" s="1"/>
  <c r="J623" i="2" a="1"/>
  <c r="J623" i="2" s="1"/>
  <c r="J624" i="2" a="1"/>
  <c r="J624" i="2" s="1"/>
  <c r="J625" i="2" a="1"/>
  <c r="J625" i="2" s="1"/>
  <c r="J626" i="2" a="1"/>
  <c r="J626" i="2" s="1"/>
  <c r="J627" i="2" a="1"/>
  <c r="J627" i="2" s="1"/>
  <c r="J628" i="2" a="1"/>
  <c r="J628" i="2" s="1"/>
  <c r="J629" i="2" a="1"/>
  <c r="J629" i="2" s="1"/>
  <c r="J630" i="2" a="1"/>
  <c r="J630" i="2" s="1"/>
  <c r="J631" i="2" a="1"/>
  <c r="J631" i="2" s="1"/>
  <c r="J632" i="2" a="1"/>
  <c r="J632" i="2" s="1"/>
  <c r="J633" i="2" a="1"/>
  <c r="J633" i="2" s="1"/>
  <c r="J634" i="2" a="1"/>
  <c r="J634" i="2" s="1"/>
  <c r="J635" i="2" a="1"/>
  <c r="J635" i="2" s="1"/>
  <c r="J636" i="2" a="1"/>
  <c r="J636" i="2" s="1"/>
  <c r="J637" i="2" a="1"/>
  <c r="J637" i="2" s="1"/>
  <c r="J638" i="2" a="1"/>
  <c r="J638" i="2" s="1"/>
  <c r="J639" i="2" a="1"/>
  <c r="J639" i="2" s="1"/>
  <c r="J640" i="2" a="1"/>
  <c r="J640" i="2" s="1"/>
  <c r="J641" i="2" a="1"/>
  <c r="J641" i="2" s="1"/>
  <c r="J642" i="2" a="1"/>
  <c r="J642" i="2" s="1"/>
  <c r="J643" i="2" a="1"/>
  <c r="J643" i="2" s="1"/>
  <c r="J644" i="2" a="1"/>
  <c r="J644" i="2" s="1"/>
  <c r="J645" i="2" a="1"/>
  <c r="J645" i="2" s="1"/>
  <c r="J646" i="2" a="1"/>
  <c r="J646" i="2" s="1"/>
  <c r="J647" i="2" a="1"/>
  <c r="J647" i="2" s="1"/>
  <c r="J648" i="2" a="1"/>
  <c r="J648" i="2" s="1"/>
  <c r="J649" i="2" a="1"/>
  <c r="J649" i="2" s="1"/>
  <c r="J650" i="2" a="1"/>
  <c r="J650" i="2" s="1"/>
  <c r="J651" i="2" a="1"/>
  <c r="J651" i="2" s="1"/>
  <c r="J652" i="2" a="1"/>
  <c r="J652" i="2" s="1"/>
  <c r="J653" i="2" a="1"/>
  <c r="J653" i="2" s="1"/>
  <c r="J654" i="2" a="1"/>
  <c r="J654" i="2" s="1"/>
  <c r="J655" i="2" a="1"/>
  <c r="J655" i="2" s="1"/>
  <c r="J656" i="2" a="1"/>
  <c r="J656" i="2" s="1"/>
  <c r="J657" i="2" a="1"/>
  <c r="J657" i="2" s="1"/>
  <c r="J658" i="2" a="1"/>
  <c r="J658" i="2" s="1"/>
  <c r="J659" i="2" a="1"/>
  <c r="J659" i="2" s="1"/>
  <c r="J660" i="2" a="1"/>
  <c r="J660" i="2" s="1"/>
  <c r="J661" i="2" a="1"/>
  <c r="J661" i="2" s="1"/>
  <c r="J662" i="2" a="1"/>
  <c r="J662" i="2" s="1"/>
  <c r="J663" i="2" a="1"/>
  <c r="J663" i="2" s="1"/>
  <c r="J664" i="2" a="1"/>
  <c r="J664" i="2" s="1"/>
  <c r="J665" i="2" a="1"/>
  <c r="J665" i="2" s="1"/>
  <c r="J666" i="2" a="1"/>
  <c r="J666" i="2" s="1"/>
  <c r="J667" i="2" a="1"/>
  <c r="J667" i="2" s="1"/>
  <c r="J668" i="2" a="1"/>
  <c r="J668" i="2" s="1"/>
  <c r="J669" i="2" a="1"/>
  <c r="J669" i="2" s="1"/>
  <c r="J670" i="2" a="1"/>
  <c r="J670" i="2" s="1"/>
  <c r="J671" i="2" a="1"/>
  <c r="J671" i="2" s="1"/>
  <c r="J672" i="2" a="1"/>
  <c r="J672" i="2" s="1"/>
  <c r="J673" i="2" a="1"/>
  <c r="J673" i="2" s="1"/>
  <c r="J674" i="2" a="1"/>
  <c r="J674" i="2" s="1"/>
  <c r="J675" i="2" a="1"/>
  <c r="J675" i="2" s="1"/>
  <c r="J676" i="2" a="1"/>
  <c r="J676" i="2" s="1"/>
  <c r="J677" i="2" a="1"/>
  <c r="J677" i="2" s="1"/>
  <c r="J678" i="2" a="1"/>
  <c r="J678" i="2" s="1"/>
  <c r="J679" i="2" a="1"/>
  <c r="J679" i="2" s="1"/>
  <c r="J680" i="2" a="1"/>
  <c r="J680" i="2" s="1"/>
  <c r="J681" i="2" a="1"/>
  <c r="J681" i="2" s="1"/>
  <c r="J682" i="2" a="1"/>
  <c r="J682" i="2" s="1"/>
  <c r="J683" i="2" a="1"/>
  <c r="J683" i="2" s="1"/>
  <c r="J684" i="2" a="1"/>
  <c r="J684" i="2" s="1"/>
  <c r="J685" i="2" a="1"/>
  <c r="J685" i="2" s="1"/>
  <c r="J686" i="2" a="1"/>
  <c r="J686" i="2" s="1"/>
  <c r="J687" i="2" a="1"/>
  <c r="J687" i="2" s="1"/>
  <c r="J688" i="2" a="1"/>
  <c r="J688" i="2" s="1"/>
  <c r="J689" i="2" a="1"/>
  <c r="J689" i="2" s="1"/>
  <c r="J690" i="2" a="1"/>
  <c r="J690" i="2" s="1"/>
  <c r="J691" i="2" a="1"/>
  <c r="J691" i="2" s="1"/>
  <c r="J692" i="2" a="1"/>
  <c r="J692" i="2" s="1"/>
  <c r="J693" i="2" a="1"/>
  <c r="J693" i="2" s="1"/>
  <c r="J694" i="2" a="1"/>
  <c r="J694" i="2" s="1"/>
  <c r="J695" i="2" a="1"/>
  <c r="J695" i="2" s="1"/>
  <c r="J696" i="2" a="1"/>
  <c r="J696" i="2" s="1"/>
  <c r="J697" i="2" a="1"/>
  <c r="J697" i="2" s="1"/>
  <c r="J698" i="2" a="1"/>
  <c r="J698" i="2" s="1"/>
  <c r="J699" i="2" a="1"/>
  <c r="J699" i="2" s="1"/>
  <c r="J700" i="2" a="1"/>
  <c r="J700" i="2" s="1"/>
  <c r="J701" i="2" a="1"/>
  <c r="J701" i="2" s="1"/>
  <c r="J702" i="2" a="1"/>
  <c r="J702" i="2" s="1"/>
  <c r="J703" i="2" a="1"/>
  <c r="J703" i="2" s="1"/>
  <c r="J704" i="2" a="1"/>
  <c r="J704" i="2" s="1"/>
  <c r="J705" i="2" a="1"/>
  <c r="J705" i="2" s="1"/>
  <c r="J706" i="2" a="1"/>
  <c r="J706" i="2" s="1"/>
  <c r="J707" i="2" a="1"/>
  <c r="J707" i="2" s="1"/>
  <c r="J708" i="2" a="1"/>
  <c r="J708" i="2" s="1"/>
  <c r="J709" i="2" a="1"/>
  <c r="J709" i="2" s="1"/>
  <c r="J710" i="2" a="1"/>
  <c r="J710" i="2" s="1"/>
  <c r="J711" i="2" a="1"/>
  <c r="J711" i="2" s="1"/>
  <c r="J712" i="2" a="1"/>
  <c r="J712" i="2" s="1"/>
  <c r="J713" i="2" a="1"/>
  <c r="J713" i="2" s="1"/>
  <c r="J714" i="2" a="1"/>
  <c r="J714" i="2" s="1"/>
  <c r="J715" i="2" a="1"/>
  <c r="J715" i="2" s="1"/>
  <c r="J716" i="2" a="1"/>
  <c r="J716" i="2" s="1"/>
  <c r="J717" i="2" a="1"/>
  <c r="J717" i="2" s="1"/>
  <c r="J718" i="2" a="1"/>
  <c r="J718" i="2" s="1"/>
  <c r="J719" i="2" a="1"/>
  <c r="J719" i="2" s="1"/>
  <c r="J720" i="2" a="1"/>
  <c r="J720" i="2" s="1"/>
  <c r="J721" i="2" a="1"/>
  <c r="J721" i="2" s="1"/>
  <c r="J722" i="2" a="1"/>
  <c r="J722" i="2" s="1"/>
  <c r="J723" i="2" a="1"/>
  <c r="J723" i="2" s="1"/>
  <c r="J724" i="2" a="1"/>
  <c r="J724" i="2" s="1"/>
  <c r="J725" i="2" a="1"/>
  <c r="J725" i="2" s="1"/>
  <c r="J726" i="2" a="1"/>
  <c r="J726" i="2" s="1"/>
  <c r="J727" i="2" a="1"/>
  <c r="J727" i="2" s="1"/>
  <c r="J728" i="2" a="1"/>
  <c r="J728" i="2" s="1"/>
  <c r="J729" i="2" a="1"/>
  <c r="J729" i="2" s="1"/>
  <c r="J730" i="2" a="1"/>
  <c r="J730" i="2" s="1"/>
  <c r="J731" i="2" a="1"/>
  <c r="J731" i="2" s="1"/>
  <c r="J732" i="2" a="1"/>
  <c r="J732" i="2" s="1"/>
  <c r="J733" i="2" a="1"/>
  <c r="J733" i="2" s="1"/>
  <c r="J734" i="2" a="1"/>
  <c r="J734" i="2" s="1"/>
  <c r="J735" i="2" a="1"/>
  <c r="J735" i="2" s="1"/>
  <c r="J736" i="2" a="1"/>
  <c r="J736" i="2" s="1"/>
  <c r="J737" i="2" a="1"/>
  <c r="J737" i="2" s="1"/>
  <c r="J738" i="2" a="1"/>
  <c r="J738" i="2" s="1"/>
  <c r="J739" i="2" a="1"/>
  <c r="J739" i="2" s="1"/>
  <c r="J740" i="2" a="1"/>
  <c r="J740" i="2" s="1"/>
  <c r="J741" i="2" a="1"/>
  <c r="J741" i="2" s="1"/>
  <c r="J742" i="2" a="1"/>
  <c r="J742" i="2" s="1"/>
  <c r="J743" i="2" a="1"/>
  <c r="J743" i="2" s="1"/>
  <c r="J744" i="2" a="1"/>
  <c r="J744" i="2" s="1"/>
  <c r="J745" i="2" a="1"/>
  <c r="J745" i="2" s="1"/>
  <c r="J746" i="2" a="1"/>
  <c r="J746" i="2" s="1"/>
  <c r="J747" i="2" a="1"/>
  <c r="J747" i="2" s="1"/>
  <c r="J748" i="2" a="1"/>
  <c r="J748" i="2" s="1"/>
  <c r="J749" i="2" a="1"/>
  <c r="J749" i="2" s="1"/>
  <c r="J750" i="2" a="1"/>
  <c r="J750" i="2" s="1"/>
  <c r="J751" i="2" a="1"/>
  <c r="J751" i="2" s="1"/>
  <c r="J752" i="2" a="1"/>
  <c r="J752" i="2" s="1"/>
  <c r="J753" i="2" a="1"/>
  <c r="J753" i="2" s="1"/>
  <c r="J754" i="2" a="1"/>
  <c r="J754" i="2" s="1"/>
  <c r="J755" i="2" a="1"/>
  <c r="J755" i="2" s="1"/>
  <c r="J756" i="2" a="1"/>
  <c r="J756" i="2" s="1"/>
  <c r="J757" i="2" a="1"/>
  <c r="J757" i="2" s="1"/>
  <c r="J758" i="2" a="1"/>
  <c r="J758" i="2" s="1"/>
  <c r="J759" i="2" a="1"/>
  <c r="J759" i="2" s="1"/>
  <c r="J760" i="2" a="1"/>
  <c r="J760" i="2" s="1"/>
  <c r="J761" i="2" a="1"/>
  <c r="J761" i="2" s="1"/>
  <c r="J762" i="2" a="1"/>
  <c r="J762" i="2" s="1"/>
  <c r="J763" i="2" a="1"/>
  <c r="J763" i="2" s="1"/>
  <c r="J764" i="2" a="1"/>
  <c r="J764" i="2" s="1"/>
  <c r="J765" i="2" a="1"/>
  <c r="J765" i="2" s="1"/>
  <c r="J766" i="2" a="1"/>
  <c r="J766" i="2" s="1"/>
  <c r="J767" i="2" a="1"/>
  <c r="J767" i="2" s="1"/>
  <c r="J768" i="2" a="1"/>
  <c r="J768" i="2" s="1"/>
  <c r="J769" i="2" a="1"/>
  <c r="J769" i="2" s="1"/>
  <c r="J770" i="2" a="1"/>
  <c r="J770" i="2" s="1"/>
  <c r="J771" i="2" a="1"/>
  <c r="J771" i="2" s="1"/>
  <c r="J772" i="2" a="1"/>
  <c r="J772" i="2" s="1"/>
  <c r="J773" i="2" a="1"/>
  <c r="J773" i="2" s="1"/>
  <c r="J774" i="2" a="1"/>
  <c r="J774" i="2" s="1"/>
  <c r="J775" i="2" a="1"/>
  <c r="J775" i="2" s="1"/>
  <c r="J776" i="2" a="1"/>
  <c r="J776" i="2" s="1"/>
  <c r="J777" i="2" a="1"/>
  <c r="J777" i="2" s="1"/>
  <c r="J778" i="2" a="1"/>
  <c r="J778" i="2" s="1"/>
  <c r="J779" i="2" a="1"/>
  <c r="J779" i="2" s="1"/>
  <c r="J780" i="2" a="1"/>
  <c r="J780" i="2" s="1"/>
  <c r="J781" i="2" a="1"/>
  <c r="J781" i="2" s="1"/>
  <c r="J782" i="2" a="1"/>
  <c r="J782" i="2" s="1"/>
  <c r="J783" i="2" a="1"/>
  <c r="J783" i="2" s="1"/>
  <c r="J784" i="2" a="1"/>
  <c r="J784" i="2" s="1"/>
  <c r="J785" i="2" a="1"/>
  <c r="J785" i="2" s="1"/>
  <c r="J786" i="2" a="1"/>
  <c r="J786" i="2" s="1"/>
  <c r="J787" i="2" a="1"/>
  <c r="J787" i="2" s="1"/>
  <c r="J788" i="2" a="1"/>
  <c r="J788" i="2" s="1"/>
  <c r="J789" i="2" a="1"/>
  <c r="J789" i="2" s="1"/>
  <c r="J790" i="2" a="1"/>
  <c r="J790" i="2" s="1"/>
  <c r="J791" i="2" a="1"/>
  <c r="J791" i="2" s="1"/>
  <c r="J792" i="2" a="1"/>
  <c r="J792" i="2" s="1"/>
  <c r="J793" i="2" a="1"/>
  <c r="J793" i="2" s="1"/>
  <c r="J794" i="2" a="1"/>
  <c r="J794" i="2" s="1"/>
  <c r="J795" i="2" a="1"/>
  <c r="J795" i="2" s="1"/>
  <c r="J796" i="2" a="1"/>
  <c r="J796" i="2" s="1"/>
  <c r="J797" i="2" a="1"/>
  <c r="J797" i="2" s="1"/>
  <c r="J798" i="2" a="1"/>
  <c r="J798" i="2" s="1"/>
  <c r="J799" i="2" a="1"/>
  <c r="J799" i="2" s="1"/>
  <c r="J800" i="2" a="1"/>
  <c r="J800" i="2" s="1"/>
  <c r="J801" i="2" a="1"/>
  <c r="J801" i="2" s="1"/>
  <c r="J802" i="2" a="1"/>
  <c r="J802" i="2" s="1"/>
  <c r="J803" i="2" a="1"/>
  <c r="J803" i="2" s="1"/>
  <c r="J804" i="2" a="1"/>
  <c r="J804" i="2" s="1"/>
  <c r="J805" i="2" a="1"/>
  <c r="J805" i="2" s="1"/>
  <c r="J806" i="2" a="1"/>
  <c r="J806" i="2" s="1"/>
  <c r="J807" i="2" a="1"/>
  <c r="J807" i="2" s="1"/>
  <c r="J808" i="2" a="1"/>
  <c r="J808" i="2" s="1"/>
  <c r="J809" i="2" a="1"/>
  <c r="J809" i="2" s="1"/>
  <c r="J810" i="2" a="1"/>
  <c r="J810" i="2" s="1"/>
  <c r="J811" i="2" a="1"/>
  <c r="J811" i="2" s="1"/>
  <c r="J812" i="2" a="1"/>
  <c r="J812" i="2" s="1"/>
  <c r="J813" i="2" a="1"/>
  <c r="J813" i="2" s="1"/>
  <c r="J814" i="2" a="1"/>
  <c r="J814" i="2" s="1"/>
  <c r="J815" i="2" a="1"/>
  <c r="J815" i="2" s="1"/>
  <c r="J816" i="2" a="1"/>
  <c r="J816" i="2" s="1"/>
  <c r="J817" i="2" a="1"/>
  <c r="J817" i="2" s="1"/>
  <c r="J818" i="2" a="1"/>
  <c r="J818" i="2" s="1"/>
  <c r="J819" i="2" a="1"/>
  <c r="J819" i="2" s="1"/>
  <c r="J820" i="2" a="1"/>
  <c r="J820" i="2" s="1"/>
  <c r="J821" i="2" a="1"/>
  <c r="J821" i="2" s="1"/>
  <c r="J822" i="2" a="1"/>
  <c r="J822" i="2" s="1"/>
  <c r="J823" i="2" a="1"/>
  <c r="J823" i="2" s="1"/>
  <c r="J824" i="2" a="1"/>
  <c r="J824" i="2" s="1"/>
  <c r="J825" i="2" a="1"/>
  <c r="J825" i="2" s="1"/>
  <c r="J826" i="2" a="1"/>
  <c r="J826" i="2" s="1"/>
  <c r="J827" i="2" a="1"/>
  <c r="J827" i="2" s="1"/>
  <c r="J828" i="2" a="1"/>
  <c r="J828" i="2" s="1"/>
  <c r="J829" i="2" a="1"/>
  <c r="J829" i="2" s="1"/>
  <c r="J830" i="2" a="1"/>
  <c r="J830" i="2" s="1"/>
  <c r="J831" i="2" a="1"/>
  <c r="J831" i="2" s="1"/>
  <c r="J832" i="2" a="1"/>
  <c r="J832" i="2" s="1"/>
  <c r="J833" i="2" a="1"/>
  <c r="J833" i="2" s="1"/>
  <c r="J834" i="2" a="1"/>
  <c r="J834" i="2" s="1"/>
  <c r="J835" i="2" a="1"/>
  <c r="J835" i="2" s="1"/>
  <c r="J836" i="2" a="1"/>
  <c r="J836" i="2" s="1"/>
  <c r="J837" i="2" a="1"/>
  <c r="J837" i="2" s="1"/>
  <c r="J838" i="2" a="1"/>
  <c r="J838" i="2" s="1"/>
  <c r="J839" i="2" a="1"/>
  <c r="J839" i="2" s="1"/>
  <c r="J840" i="2" a="1"/>
  <c r="J840" i="2" s="1"/>
  <c r="J841" i="2" a="1"/>
  <c r="J841" i="2" s="1"/>
  <c r="J842" i="2" a="1"/>
  <c r="J842" i="2" s="1"/>
  <c r="J843" i="2" a="1"/>
  <c r="J843" i="2" s="1"/>
  <c r="J844" i="2" a="1"/>
  <c r="J844" i="2" s="1"/>
  <c r="J845" i="2" a="1"/>
  <c r="J845" i="2" s="1"/>
  <c r="J846" i="2" a="1"/>
  <c r="J846" i="2" s="1"/>
  <c r="J847" i="2" a="1"/>
  <c r="J847" i="2" s="1"/>
  <c r="J848" i="2" a="1"/>
  <c r="J848" i="2" s="1"/>
  <c r="J849" i="2" a="1"/>
  <c r="J849" i="2" s="1"/>
  <c r="J850" i="2" a="1"/>
  <c r="J850" i="2" s="1"/>
  <c r="J851" i="2" a="1"/>
  <c r="J851" i="2" s="1"/>
  <c r="J852" i="2" a="1"/>
  <c r="J852" i="2" s="1"/>
  <c r="J853" i="2" a="1"/>
  <c r="J853" i="2" s="1"/>
  <c r="J854" i="2" a="1"/>
  <c r="J854" i="2" s="1"/>
  <c r="J855" i="2" a="1"/>
  <c r="J855" i="2" s="1"/>
  <c r="J856" i="2" a="1"/>
  <c r="J856" i="2" s="1"/>
  <c r="J857" i="2" a="1"/>
  <c r="J857" i="2" s="1"/>
  <c r="J858" i="2" a="1"/>
  <c r="J858" i="2" s="1"/>
  <c r="J859" i="2" a="1"/>
  <c r="J859" i="2" s="1"/>
  <c r="J860" i="2" a="1"/>
  <c r="J860" i="2" s="1"/>
  <c r="J861" i="2" a="1"/>
  <c r="J861" i="2" s="1"/>
  <c r="J862" i="2" a="1"/>
  <c r="J862" i="2" s="1"/>
  <c r="J863" i="2" a="1"/>
  <c r="J863" i="2" s="1"/>
  <c r="J864" i="2" a="1"/>
  <c r="J864" i="2" s="1"/>
  <c r="J865" i="2" a="1"/>
  <c r="J865" i="2" s="1"/>
  <c r="J866" i="2" a="1"/>
  <c r="J866" i="2" s="1"/>
  <c r="J867" i="2" a="1"/>
  <c r="J867" i="2" s="1"/>
  <c r="J868" i="2" a="1"/>
  <c r="J868" i="2" s="1"/>
  <c r="J869" i="2" a="1"/>
  <c r="J869" i="2" s="1"/>
  <c r="J870" i="2" a="1"/>
  <c r="J870" i="2" s="1"/>
  <c r="J871" i="2" a="1"/>
  <c r="J871" i="2" s="1"/>
  <c r="J872" i="2" a="1"/>
  <c r="J872" i="2" s="1"/>
  <c r="J873" i="2" a="1"/>
  <c r="J873" i="2" s="1"/>
  <c r="J874" i="2" a="1"/>
  <c r="J874" i="2" s="1"/>
  <c r="J875" i="2" a="1"/>
  <c r="J875" i="2" s="1"/>
  <c r="J876" i="2" a="1"/>
  <c r="J876" i="2" s="1"/>
  <c r="J877" i="2" a="1"/>
  <c r="J877" i="2" s="1"/>
  <c r="J878" i="2" a="1"/>
  <c r="J878" i="2" s="1"/>
  <c r="J879" i="2" a="1"/>
  <c r="J879" i="2" s="1"/>
  <c r="J880" i="2" a="1"/>
  <c r="J880" i="2" s="1"/>
  <c r="J881" i="2" a="1"/>
  <c r="J881" i="2" s="1"/>
  <c r="J882" i="2" a="1"/>
  <c r="J882" i="2" s="1"/>
  <c r="J883" i="2" a="1"/>
  <c r="J883" i="2" s="1"/>
  <c r="J884" i="2" a="1"/>
  <c r="J884" i="2" s="1"/>
  <c r="J885" i="2" a="1"/>
  <c r="J885" i="2" s="1"/>
  <c r="J886" i="2" a="1"/>
  <c r="J886" i="2" s="1"/>
  <c r="J887" i="2" a="1"/>
  <c r="J887" i="2" s="1"/>
  <c r="J888" i="2" a="1"/>
  <c r="J888" i="2" s="1"/>
  <c r="J889" i="2" a="1"/>
  <c r="J889" i="2" s="1"/>
  <c r="J890" i="2" a="1"/>
  <c r="J890" i="2" s="1"/>
  <c r="J891" i="2" a="1"/>
  <c r="J891" i="2" s="1"/>
  <c r="J892" i="2" a="1"/>
  <c r="J892" i="2" s="1"/>
  <c r="J893" i="2" a="1"/>
  <c r="J893" i="2" s="1"/>
  <c r="J894" i="2" a="1"/>
  <c r="J894" i="2" s="1"/>
  <c r="J895" i="2" a="1"/>
  <c r="J895" i="2" s="1"/>
  <c r="J896" i="2" a="1"/>
  <c r="J896" i="2" s="1"/>
  <c r="J897" i="2" a="1"/>
  <c r="J897" i="2" s="1"/>
  <c r="J898" i="2" a="1"/>
  <c r="J898" i="2" s="1"/>
  <c r="J899" i="2" a="1"/>
  <c r="J899" i="2" s="1"/>
  <c r="J900" i="2" a="1"/>
  <c r="J900" i="2" s="1"/>
  <c r="J901" i="2" a="1"/>
  <c r="J901" i="2" s="1"/>
  <c r="J902" i="2" a="1"/>
  <c r="J902" i="2" s="1"/>
  <c r="J903" i="2" a="1"/>
  <c r="J903" i="2" s="1"/>
  <c r="J904" i="2" a="1"/>
  <c r="J904" i="2" s="1"/>
  <c r="J905" i="2" a="1"/>
  <c r="J905" i="2" s="1"/>
  <c r="J906" i="2" a="1"/>
  <c r="J906" i="2" s="1"/>
  <c r="J907" i="2" a="1"/>
  <c r="J907" i="2" s="1"/>
  <c r="J908" i="2" a="1"/>
  <c r="J908" i="2" s="1"/>
  <c r="J909" i="2" a="1"/>
  <c r="J909" i="2" s="1"/>
  <c r="J910" i="2" a="1"/>
  <c r="J910" i="2" s="1"/>
  <c r="J911" i="2" a="1"/>
  <c r="J911" i="2" s="1"/>
  <c r="J912" i="2" a="1"/>
  <c r="J912" i="2" s="1"/>
  <c r="J913" i="2" a="1"/>
  <c r="J913" i="2" s="1"/>
  <c r="J914" i="2" a="1"/>
  <c r="J914" i="2" s="1"/>
  <c r="J915" i="2" a="1"/>
  <c r="J915" i="2" s="1"/>
  <c r="J916" i="2" a="1"/>
  <c r="J916" i="2" s="1"/>
  <c r="J917" i="2" a="1"/>
  <c r="J917" i="2" s="1"/>
  <c r="J918" i="2" a="1"/>
  <c r="J918" i="2" s="1"/>
  <c r="J919" i="2" a="1"/>
  <c r="J919" i="2" s="1"/>
  <c r="J920" i="2" a="1"/>
  <c r="J920" i="2" s="1"/>
  <c r="J921" i="2" a="1"/>
  <c r="J921" i="2" s="1"/>
  <c r="J922" i="2" a="1"/>
  <c r="J922" i="2" s="1"/>
  <c r="J923" i="2" a="1"/>
  <c r="J923" i="2" s="1"/>
  <c r="J924" i="2" a="1"/>
  <c r="J924" i="2" s="1"/>
  <c r="J925" i="2" a="1"/>
  <c r="J925" i="2" s="1"/>
  <c r="J926" i="2" a="1"/>
  <c r="J926" i="2" s="1"/>
  <c r="J927" i="2" a="1"/>
  <c r="J927" i="2" s="1"/>
  <c r="J928" i="2" a="1"/>
  <c r="J928" i="2" s="1"/>
  <c r="J929" i="2" a="1"/>
  <c r="J929" i="2" s="1"/>
  <c r="J930" i="2" a="1"/>
  <c r="J930" i="2" s="1"/>
  <c r="J931" i="2" a="1"/>
  <c r="J931" i="2" s="1"/>
  <c r="J932" i="2" a="1"/>
  <c r="J932" i="2" s="1"/>
  <c r="J933" i="2" a="1"/>
  <c r="J933" i="2" s="1"/>
  <c r="J934" i="2" a="1"/>
  <c r="J934" i="2" s="1"/>
  <c r="J935" i="2" a="1"/>
  <c r="J935" i="2" s="1"/>
  <c r="J936" i="2" a="1"/>
  <c r="J936" i="2" s="1"/>
  <c r="J937" i="2" a="1"/>
  <c r="J937" i="2" s="1"/>
  <c r="J938" i="2" a="1"/>
  <c r="J938" i="2" s="1"/>
  <c r="J939" i="2" a="1"/>
  <c r="J939" i="2" s="1"/>
  <c r="J940" i="2" a="1"/>
  <c r="J940" i="2" s="1"/>
  <c r="J941" i="2" a="1"/>
  <c r="J941" i="2" s="1"/>
  <c r="J942" i="2" a="1"/>
  <c r="J942" i="2" s="1"/>
  <c r="J943" i="2" a="1"/>
  <c r="J943" i="2" s="1"/>
  <c r="J944" i="2" a="1"/>
  <c r="J944" i="2" s="1"/>
  <c r="J945" i="2" a="1"/>
  <c r="J945" i="2" s="1"/>
  <c r="J946" i="2" a="1"/>
  <c r="J946" i="2" s="1"/>
  <c r="J947" i="2" a="1"/>
  <c r="J947" i="2" s="1"/>
  <c r="J948" i="2" a="1"/>
  <c r="J948" i="2" s="1"/>
  <c r="J949" i="2" a="1"/>
  <c r="J949" i="2" s="1"/>
  <c r="J950" i="2" a="1"/>
  <c r="J950" i="2" s="1"/>
  <c r="J951" i="2" a="1"/>
  <c r="J951" i="2" s="1"/>
  <c r="J952" i="2" a="1"/>
  <c r="J952" i="2" s="1"/>
  <c r="J953" i="2" a="1"/>
  <c r="J953" i="2" s="1"/>
  <c r="J954" i="2" a="1"/>
  <c r="J954" i="2" s="1"/>
  <c r="J955" i="2" a="1"/>
  <c r="J955" i="2" s="1"/>
  <c r="J956" i="2" a="1"/>
  <c r="J956" i="2" s="1"/>
  <c r="J957" i="2" a="1"/>
  <c r="J957" i="2" s="1"/>
  <c r="J958" i="2" a="1"/>
  <c r="J958" i="2" s="1"/>
  <c r="J959" i="2" a="1"/>
  <c r="J959" i="2" s="1"/>
  <c r="J960" i="2" a="1"/>
  <c r="J960" i="2" s="1"/>
  <c r="J961" i="2" a="1"/>
  <c r="J961" i="2" s="1"/>
  <c r="J962" i="2" a="1"/>
  <c r="J962" i="2" s="1"/>
  <c r="J963" i="2" a="1"/>
  <c r="J963" i="2" s="1"/>
  <c r="J964" i="2" a="1"/>
  <c r="J964" i="2" s="1"/>
  <c r="J965" i="2" a="1"/>
  <c r="J965" i="2" s="1"/>
  <c r="J966" i="2" a="1"/>
  <c r="J966" i="2" s="1"/>
  <c r="J967" i="2" a="1"/>
  <c r="J967" i="2" s="1"/>
  <c r="J968" i="2" a="1"/>
  <c r="J968" i="2" s="1"/>
  <c r="J969" i="2" a="1"/>
  <c r="J969" i="2" s="1"/>
  <c r="J970" i="2" a="1"/>
  <c r="J970" i="2" s="1"/>
  <c r="J971" i="2" a="1"/>
  <c r="J971" i="2" s="1"/>
  <c r="J972" i="2" a="1"/>
  <c r="J972" i="2" s="1"/>
  <c r="J973" i="2" a="1"/>
  <c r="J973" i="2" s="1"/>
  <c r="J974" i="2" a="1"/>
  <c r="J974" i="2" s="1"/>
  <c r="J975" i="2" a="1"/>
  <c r="J975" i="2" s="1"/>
  <c r="J976" i="2" a="1"/>
  <c r="J976" i="2" s="1"/>
  <c r="J977" i="2" a="1"/>
  <c r="J977" i="2" s="1"/>
  <c r="J978" i="2" a="1"/>
  <c r="J978" i="2" s="1"/>
  <c r="J979" i="2" a="1"/>
  <c r="J979" i="2" s="1"/>
  <c r="J980" i="2" a="1"/>
  <c r="J980" i="2" s="1"/>
  <c r="J981" i="2" a="1"/>
  <c r="J981" i="2" s="1"/>
  <c r="J982" i="2" a="1"/>
  <c r="J982" i="2" s="1"/>
  <c r="J983" i="2" a="1"/>
  <c r="J983" i="2" s="1"/>
  <c r="J984" i="2" a="1"/>
  <c r="J984" i="2" s="1"/>
  <c r="J985" i="2" a="1"/>
  <c r="J985" i="2" s="1"/>
  <c r="J986" i="2" a="1"/>
  <c r="J986" i="2" s="1"/>
  <c r="J987" i="2" a="1"/>
  <c r="J987" i="2" s="1"/>
  <c r="J988" i="2" a="1"/>
  <c r="J988" i="2" s="1"/>
  <c r="J989" i="2" a="1"/>
  <c r="J989" i="2" s="1"/>
  <c r="J990" i="2" a="1"/>
  <c r="J990" i="2" s="1"/>
  <c r="J991" i="2" a="1"/>
  <c r="J991" i="2" s="1"/>
  <c r="J992" i="2" a="1"/>
  <c r="J992" i="2" s="1"/>
  <c r="J993" i="2" a="1"/>
  <c r="J993" i="2" s="1"/>
  <c r="J994" i="2" a="1"/>
  <c r="J994" i="2" s="1"/>
  <c r="J995" i="2" a="1"/>
  <c r="J995" i="2" s="1"/>
  <c r="J996" i="2" a="1"/>
  <c r="J996" i="2" s="1"/>
  <c r="J997" i="2" a="1"/>
  <c r="J997" i="2" s="1"/>
  <c r="J998" i="2" a="1"/>
  <c r="J998" i="2" s="1"/>
  <c r="J999" i="2" a="1"/>
  <c r="J999" i="2" s="1"/>
  <c r="J1000" i="2" a="1"/>
  <c r="J1000" i="2" s="1"/>
  <c r="J1001" i="2" a="1"/>
  <c r="J1001" i="2" s="1"/>
  <c r="J1002" i="2" a="1"/>
  <c r="J1002" i="2" s="1"/>
  <c r="J1003" i="2" a="1"/>
  <c r="J1003" i="2" s="1"/>
  <c r="J1004" i="2" a="1"/>
  <c r="J1004" i="2" s="1"/>
  <c r="J1005" i="2" a="1"/>
  <c r="J1005" i="2" s="1"/>
  <c r="J1006" i="2" a="1"/>
  <c r="J1006" i="2" s="1"/>
  <c r="J1007" i="2" a="1"/>
  <c r="J1007" i="2" s="1"/>
  <c r="J1008" i="2" a="1"/>
  <c r="J1008" i="2" s="1"/>
  <c r="J1009" i="2" a="1"/>
  <c r="J1009" i="2" s="1"/>
  <c r="J1010" i="2" a="1"/>
  <c r="J1010" i="2" s="1"/>
  <c r="J1011" i="2" a="1"/>
  <c r="J1011" i="2" s="1"/>
  <c r="J1012" i="2" a="1"/>
  <c r="J1012" i="2" s="1"/>
  <c r="J1013" i="2" a="1"/>
  <c r="J1013" i="2" s="1"/>
  <c r="J1014" i="2" a="1"/>
  <c r="J1014" i="2" s="1"/>
  <c r="J1015" i="2" a="1"/>
  <c r="J1015" i="2" s="1"/>
  <c r="J1016" i="2" a="1"/>
  <c r="J1016" i="2" s="1"/>
  <c r="J1017" i="2" a="1"/>
  <c r="J1017" i="2" s="1"/>
  <c r="J1018" i="2" a="1"/>
  <c r="J1018" i="2" s="1"/>
  <c r="J1019" i="2" a="1"/>
  <c r="J1019" i="2" s="1"/>
  <c r="J1020" i="2" a="1"/>
  <c r="J1020" i="2" s="1"/>
  <c r="J1021" i="2" a="1"/>
  <c r="J1021" i="2" s="1"/>
  <c r="J1022" i="2" a="1"/>
  <c r="J1022" i="2" s="1"/>
  <c r="J1023" i="2" a="1"/>
  <c r="J1023" i="2" s="1"/>
  <c r="J1024" i="2" a="1"/>
  <c r="J1024" i="2" s="1"/>
  <c r="J1025" i="2" a="1"/>
  <c r="J1025" i="2" s="1"/>
  <c r="J1026" i="2" a="1"/>
  <c r="J1026" i="2" s="1"/>
  <c r="J1027" i="2" a="1"/>
  <c r="J1027" i="2" s="1"/>
  <c r="J1028" i="2" a="1"/>
  <c r="J1028" i="2" s="1"/>
  <c r="J1029" i="2" a="1"/>
  <c r="J1029" i="2" s="1"/>
  <c r="J1030" i="2" a="1"/>
  <c r="J1030" i="2" s="1"/>
  <c r="J1031" i="2" a="1"/>
  <c r="J1031" i="2" s="1"/>
  <c r="J1032" i="2" a="1"/>
  <c r="J1032" i="2" s="1"/>
  <c r="J1033" i="2" a="1"/>
  <c r="J1033" i="2" s="1"/>
  <c r="J1034" i="2" a="1"/>
  <c r="J1034" i="2" s="1"/>
  <c r="J1035" i="2" a="1"/>
  <c r="J1035" i="2" s="1"/>
  <c r="J1036" i="2" a="1"/>
  <c r="J1036" i="2" s="1"/>
  <c r="J1037" i="2" a="1"/>
  <c r="J1037" i="2" s="1"/>
  <c r="J1038" i="2" a="1"/>
  <c r="J1038" i="2"/>
  <c r="J1039" i="2" a="1"/>
  <c r="J1039" i="2" s="1"/>
  <c r="J1040" i="2" a="1"/>
  <c r="J1040" i="2" s="1"/>
  <c r="J1041" i="2" a="1"/>
  <c r="J1041" i="2" s="1"/>
  <c r="J1042" i="2" a="1"/>
  <c r="J1042" i="2" s="1"/>
  <c r="J1043" i="2" a="1"/>
  <c r="J1043" i="2" s="1"/>
  <c r="J1044" i="2" a="1"/>
  <c r="J1044" i="2" s="1"/>
  <c r="J1045" i="2" a="1"/>
  <c r="J1045" i="2" s="1"/>
  <c r="J1046" i="2" a="1"/>
  <c r="J1046" i="2" s="1"/>
  <c r="J1047" i="2" a="1"/>
  <c r="J1047" i="2" s="1"/>
  <c r="J1048" i="2" a="1"/>
  <c r="J1048" i="2" s="1"/>
  <c r="J1049" i="2" a="1"/>
  <c r="J1049" i="2" s="1"/>
  <c r="J1050" i="2" a="1"/>
  <c r="J1050" i="2" s="1"/>
  <c r="J1051" i="2" a="1"/>
  <c r="J1051" i="2" s="1"/>
  <c r="J1052" i="2" a="1"/>
  <c r="J1052" i="2" s="1"/>
  <c r="J1053" i="2" a="1"/>
  <c r="J1053" i="2" s="1"/>
  <c r="J1054" i="2" a="1"/>
  <c r="J1054" i="2" s="1"/>
  <c r="J1055" i="2" a="1"/>
  <c r="J1055" i="2" s="1"/>
  <c r="J1056" i="2" a="1"/>
  <c r="J1056" i="2" s="1"/>
  <c r="J1057" i="2" a="1"/>
  <c r="J1057" i="2" s="1"/>
  <c r="J1058" i="2" a="1"/>
  <c r="J1058" i="2" s="1"/>
  <c r="J1059" i="2" a="1"/>
  <c r="J1059" i="2" s="1"/>
  <c r="J1060" i="2" a="1"/>
  <c r="J1060" i="2" s="1"/>
  <c r="J1061" i="2" a="1"/>
  <c r="J1061" i="2" s="1"/>
  <c r="J1062" i="2" a="1"/>
  <c r="J1062" i="2" s="1"/>
  <c r="J1063" i="2" a="1"/>
  <c r="J1063" i="2" s="1"/>
  <c r="J1064" i="2" a="1"/>
  <c r="J1064" i="2" s="1"/>
  <c r="J1065" i="2" a="1"/>
  <c r="J1065" i="2" s="1"/>
  <c r="J1066" i="2" a="1"/>
  <c r="J1066" i="2" s="1"/>
  <c r="J1067" i="2" a="1"/>
  <c r="J1067" i="2" s="1"/>
  <c r="J1068" i="2" a="1"/>
  <c r="J1068" i="2" s="1"/>
  <c r="J1069" i="2" a="1"/>
  <c r="J1069" i="2" s="1"/>
  <c r="J1070" i="2" a="1"/>
  <c r="J1070" i="2" s="1"/>
  <c r="J1071" i="2" a="1"/>
  <c r="J1071" i="2" s="1"/>
  <c r="J1072" i="2" a="1"/>
  <c r="J1072" i="2" s="1"/>
  <c r="J1073" i="2" a="1"/>
  <c r="J1073" i="2" s="1"/>
  <c r="J1074" i="2" a="1"/>
  <c r="J1074" i="2" s="1"/>
  <c r="J1075" i="2" a="1"/>
  <c r="J1075" i="2" s="1"/>
  <c r="J1076" i="2" a="1"/>
  <c r="J1076" i="2" s="1"/>
  <c r="J1077" i="2" a="1"/>
  <c r="J1077" i="2" s="1"/>
  <c r="J1078" i="2" a="1"/>
  <c r="J1078" i="2" s="1"/>
  <c r="J1079" i="2" a="1"/>
  <c r="J1079" i="2" s="1"/>
  <c r="J1080" i="2" a="1"/>
  <c r="J1080" i="2" s="1"/>
  <c r="J1081" i="2" a="1"/>
  <c r="J1081" i="2" s="1"/>
  <c r="J1082" i="2" a="1"/>
  <c r="J1082" i="2" s="1"/>
  <c r="J1083" i="2" a="1"/>
  <c r="J1083" i="2" s="1"/>
  <c r="J1084" i="2" a="1"/>
  <c r="J1084" i="2" s="1"/>
  <c r="J1085" i="2" a="1"/>
  <c r="J1085" i="2" s="1"/>
  <c r="J1086" i="2" a="1"/>
  <c r="J1086" i="2" s="1"/>
  <c r="J1087" i="2" a="1"/>
  <c r="J1087" i="2" s="1"/>
  <c r="J1088" i="2" a="1"/>
  <c r="J1088" i="2" s="1"/>
  <c r="J1089" i="2" a="1"/>
  <c r="J1089" i="2" s="1"/>
  <c r="J1090" i="2" a="1"/>
  <c r="J1090" i="2" s="1"/>
  <c r="J1091" i="2" a="1"/>
  <c r="J1091" i="2" s="1"/>
  <c r="J1092" i="2" a="1"/>
  <c r="J1092" i="2" s="1"/>
  <c r="J1093" i="2" a="1"/>
  <c r="J1093" i="2" s="1"/>
  <c r="J1094" i="2" a="1"/>
  <c r="J1094" i="2" s="1"/>
  <c r="J1095" i="2" a="1"/>
  <c r="J1095" i="2" s="1"/>
  <c r="J1096" i="2" a="1"/>
  <c r="J1096" i="2" s="1"/>
  <c r="J1097" i="2" a="1"/>
  <c r="J1097" i="2" s="1"/>
  <c r="J1098" i="2" a="1"/>
  <c r="J1098" i="2" s="1"/>
  <c r="J1099" i="2" a="1"/>
  <c r="J1099" i="2" s="1"/>
  <c r="J1100" i="2" a="1"/>
  <c r="J1100" i="2" s="1"/>
  <c r="J1101" i="2" a="1"/>
  <c r="J1101" i="2" s="1"/>
  <c r="J1102" i="2" a="1"/>
  <c r="J1102" i="2" s="1"/>
  <c r="J1103" i="2" a="1"/>
  <c r="J1103" i="2" s="1"/>
  <c r="J1104" i="2" a="1"/>
  <c r="J1104" i="2" s="1"/>
  <c r="J1105" i="2" a="1"/>
  <c r="J1105" i="2" s="1"/>
  <c r="J1106" i="2" a="1"/>
  <c r="J1106" i="2" s="1"/>
  <c r="J1107" i="2" a="1"/>
  <c r="J1107" i="2" s="1"/>
  <c r="J1108" i="2" a="1"/>
  <c r="J1108" i="2" s="1"/>
  <c r="J1109" i="2" a="1"/>
  <c r="J1109" i="2" s="1"/>
  <c r="J1110" i="2" a="1"/>
  <c r="J1110" i="2" s="1"/>
  <c r="J1111" i="2" a="1"/>
  <c r="J1111" i="2" s="1"/>
  <c r="J1112" i="2" a="1"/>
  <c r="J1112" i="2" s="1"/>
  <c r="J1113" i="2" a="1"/>
  <c r="J1113" i="2" s="1"/>
  <c r="J1114" i="2" a="1"/>
  <c r="J1114" i="2" s="1"/>
  <c r="J1115" i="2" a="1"/>
  <c r="J1115" i="2" s="1"/>
  <c r="J1116" i="2" a="1"/>
  <c r="J1116" i="2" s="1"/>
  <c r="J1117" i="2" a="1"/>
  <c r="J1117" i="2" s="1"/>
  <c r="J1118" i="2" a="1"/>
  <c r="J1118" i="2" s="1"/>
  <c r="J1119" i="2" a="1"/>
  <c r="J1119" i="2" s="1"/>
  <c r="J1120" i="2" a="1"/>
  <c r="J1120" i="2" s="1"/>
  <c r="J1121" i="2" a="1"/>
  <c r="J1121" i="2" s="1"/>
  <c r="J1122" i="2" a="1"/>
  <c r="J1122" i="2" s="1"/>
  <c r="J1123" i="2" a="1"/>
  <c r="J1123" i="2" s="1"/>
  <c r="J1124" i="2" a="1"/>
  <c r="J1124" i="2" s="1"/>
  <c r="J1125" i="2" a="1"/>
  <c r="J1125" i="2" s="1"/>
  <c r="J1126" i="2" a="1"/>
  <c r="J1126" i="2" s="1"/>
  <c r="J1127" i="2" a="1"/>
  <c r="J1127" i="2" s="1"/>
  <c r="J1128" i="2" a="1"/>
  <c r="J1128" i="2" s="1"/>
  <c r="J1129" i="2" a="1"/>
  <c r="J1129" i="2" s="1"/>
  <c r="J1130" i="2" a="1"/>
  <c r="J1130" i="2" s="1"/>
  <c r="J1131" i="2" a="1"/>
  <c r="J1131" i="2" s="1"/>
  <c r="J1132" i="2" a="1"/>
  <c r="J1132" i="2" s="1"/>
  <c r="J1133" i="2" a="1"/>
  <c r="J1133" i="2" s="1"/>
  <c r="J1134" i="2" a="1"/>
  <c r="J1134" i="2" s="1"/>
  <c r="J1135" i="2" a="1"/>
  <c r="J1135" i="2" s="1"/>
  <c r="J1136" i="2" a="1"/>
  <c r="J1136" i="2" s="1"/>
  <c r="J1137" i="2" a="1"/>
  <c r="J1137" i="2" s="1"/>
  <c r="J1138" i="2" a="1"/>
  <c r="J1138" i="2" s="1"/>
  <c r="J1139" i="2" a="1"/>
  <c r="J1139" i="2" s="1"/>
  <c r="J1140" i="2" a="1"/>
  <c r="J1140" i="2" s="1"/>
  <c r="J1141" i="2" a="1"/>
  <c r="J1141" i="2" s="1"/>
  <c r="J1142" i="2" a="1"/>
  <c r="J1142" i="2" s="1"/>
  <c r="J1143" i="2" a="1"/>
  <c r="J1143" i="2" s="1"/>
  <c r="J1144" i="2" a="1"/>
  <c r="J1144" i="2" s="1"/>
  <c r="J1145" i="2" a="1"/>
  <c r="J1145" i="2" s="1"/>
  <c r="J1146" i="2" a="1"/>
  <c r="J1146" i="2" s="1"/>
  <c r="J1147" i="2" a="1"/>
  <c r="J1147" i="2" s="1"/>
  <c r="J1148" i="2" a="1"/>
  <c r="J1148" i="2" s="1"/>
  <c r="J1149" i="2" a="1"/>
  <c r="J1149" i="2" s="1"/>
  <c r="J1150" i="2" a="1"/>
  <c r="J1150" i="2" s="1"/>
  <c r="J1151" i="2" a="1"/>
  <c r="J1151" i="2" s="1"/>
  <c r="J1152" i="2" a="1"/>
  <c r="J1152" i="2" s="1"/>
  <c r="J1153" i="2" a="1"/>
  <c r="J1153" i="2" s="1"/>
  <c r="J1154" i="2" a="1"/>
  <c r="J1154" i="2" s="1"/>
  <c r="J1155" i="2" a="1"/>
  <c r="J1155" i="2" s="1"/>
  <c r="J1156" i="2" a="1"/>
  <c r="J1156" i="2" s="1"/>
  <c r="J1157" i="2" a="1"/>
  <c r="J1157" i="2" s="1"/>
  <c r="J1158" i="2" a="1"/>
  <c r="J1158" i="2"/>
  <c r="J1159" i="2" a="1"/>
  <c r="J1159" i="2" s="1"/>
  <c r="J1160" i="2" a="1"/>
  <c r="J1160" i="2" s="1"/>
  <c r="J1161" i="2" a="1"/>
  <c r="J1161" i="2" s="1"/>
  <c r="J1162" i="2" a="1"/>
  <c r="J1162" i="2" s="1"/>
  <c r="J1163" i="2" a="1"/>
  <c r="J1163" i="2" s="1"/>
  <c r="J1164" i="2" a="1"/>
  <c r="J1164" i="2" s="1"/>
  <c r="J1165" i="2" a="1"/>
  <c r="J1165" i="2" s="1"/>
  <c r="J1166" i="2" a="1"/>
  <c r="J1166" i="2" s="1"/>
  <c r="J1167" i="2" a="1"/>
  <c r="J1167" i="2" s="1"/>
  <c r="J1168" i="2" a="1"/>
  <c r="J1168" i="2" s="1"/>
  <c r="J1169" i="2" a="1"/>
  <c r="J1169" i="2" s="1"/>
  <c r="J1170" i="2" a="1"/>
  <c r="J1170" i="2" s="1"/>
  <c r="J1171" i="2" a="1"/>
  <c r="J1171" i="2" s="1"/>
  <c r="J1172" i="2" a="1"/>
  <c r="J1172" i="2" s="1"/>
  <c r="J1173" i="2" a="1"/>
  <c r="J1173" i="2" s="1"/>
  <c r="J1174" i="2" a="1"/>
  <c r="J1174" i="2" s="1"/>
  <c r="J1175" i="2" a="1"/>
  <c r="J1175" i="2" s="1"/>
  <c r="J1176" i="2" a="1"/>
  <c r="J1176" i="2" s="1"/>
  <c r="J1177" i="2" a="1"/>
  <c r="J1177" i="2" s="1"/>
  <c r="J1178" i="2" a="1"/>
  <c r="J1178" i="2" s="1"/>
  <c r="J1179" i="2" a="1"/>
  <c r="J1179" i="2" s="1"/>
  <c r="J1180" i="2" a="1"/>
  <c r="J1180" i="2" s="1"/>
  <c r="J1181" i="2" a="1"/>
  <c r="J1181" i="2" s="1"/>
  <c r="J1182" i="2" a="1"/>
  <c r="J1182" i="2" s="1"/>
  <c r="J1183" i="2" a="1"/>
  <c r="J1183" i="2" s="1"/>
  <c r="J1184" i="2" a="1"/>
  <c r="J1184" i="2" s="1"/>
  <c r="J1185" i="2" a="1"/>
  <c r="J1185" i="2" s="1"/>
  <c r="J1186" i="2" a="1"/>
  <c r="J1186" i="2" s="1"/>
  <c r="J1187" i="2" a="1"/>
  <c r="J1187" i="2" s="1"/>
  <c r="J1188" i="2" a="1"/>
  <c r="J1188" i="2" s="1"/>
  <c r="J1189" i="2" a="1"/>
  <c r="J1189" i="2" s="1"/>
  <c r="J1190" i="2" a="1"/>
  <c r="J1190" i="2" s="1"/>
  <c r="J1191" i="2" a="1"/>
  <c r="J1191" i="2" s="1"/>
  <c r="J1192" i="2" a="1"/>
  <c r="J1192" i="2" s="1"/>
  <c r="J1193" i="2" a="1"/>
  <c r="J1193" i="2" s="1"/>
  <c r="J1194" i="2" a="1"/>
  <c r="J1194" i="2" s="1"/>
  <c r="J1195" i="2" a="1"/>
  <c r="J1195" i="2" s="1"/>
  <c r="J1196" i="2" a="1"/>
  <c r="J1196" i="2" s="1"/>
  <c r="J1197" i="2" a="1"/>
  <c r="J1197" i="2" s="1"/>
  <c r="J1198" i="2" a="1"/>
  <c r="J1198" i="2" s="1"/>
  <c r="J1199" i="2" a="1"/>
  <c r="J1199" i="2" s="1"/>
  <c r="J1200" i="2" a="1"/>
  <c r="J1200" i="2" s="1"/>
  <c r="J1201" i="2" a="1"/>
  <c r="J1201" i="2" s="1"/>
  <c r="J1202" i="2" a="1"/>
  <c r="J1202" i="2" s="1"/>
  <c r="J1203" i="2" a="1"/>
  <c r="J1203" i="2" s="1"/>
  <c r="J1204" i="2" a="1"/>
  <c r="J1204" i="2" s="1"/>
  <c r="J1205" i="2" a="1"/>
  <c r="J1205" i="2" s="1"/>
  <c r="J1206" i="2" a="1"/>
  <c r="J1206" i="2" s="1"/>
  <c r="J1207" i="2" a="1"/>
  <c r="J1207" i="2" s="1"/>
  <c r="J1208" i="2" a="1"/>
  <c r="J1208" i="2" s="1"/>
  <c r="J1209" i="2" a="1"/>
  <c r="J1209" i="2" s="1"/>
  <c r="J1210" i="2" a="1"/>
  <c r="J1210" i="2" s="1"/>
  <c r="J1211" i="2" a="1"/>
  <c r="J1211" i="2" s="1"/>
  <c r="J1212" i="2" a="1"/>
  <c r="J1212" i="2" s="1"/>
  <c r="J1213" i="2" a="1"/>
  <c r="J1213" i="2" s="1"/>
  <c r="J1214" i="2" a="1"/>
  <c r="J1214" i="2" s="1"/>
  <c r="J1215" i="2" a="1"/>
  <c r="J1215" i="2" s="1"/>
  <c r="J1216" i="2" a="1"/>
  <c r="J1216" i="2" s="1"/>
  <c r="J1217" i="2" a="1"/>
  <c r="J1217" i="2" s="1"/>
  <c r="J1218" i="2" a="1"/>
  <c r="J1218" i="2" s="1"/>
  <c r="J1219" i="2" a="1"/>
  <c r="J1219" i="2" s="1"/>
  <c r="J1220" i="2" a="1"/>
  <c r="J1220" i="2" s="1"/>
  <c r="J1221" i="2" a="1"/>
  <c r="J1221" i="2" s="1"/>
  <c r="J1222" i="2" a="1"/>
  <c r="J1222" i="2" s="1"/>
  <c r="J1223" i="2" a="1"/>
  <c r="J1223" i="2" s="1"/>
  <c r="J1224" i="2" a="1"/>
  <c r="J1224" i="2" s="1"/>
  <c r="J1225" i="2" a="1"/>
  <c r="J1225" i="2" s="1"/>
  <c r="J1226" i="2" a="1"/>
  <c r="J1226" i="2" s="1"/>
  <c r="J1227" i="2" a="1"/>
  <c r="J1227" i="2" s="1"/>
  <c r="J1228" i="2" a="1"/>
  <c r="J1228" i="2" s="1"/>
  <c r="J1229" i="2" a="1"/>
  <c r="J1229" i="2" s="1"/>
  <c r="J1230" i="2" a="1"/>
  <c r="J1230" i="2" s="1"/>
  <c r="J1231" i="2" a="1"/>
  <c r="J1231" i="2" s="1"/>
  <c r="J1232" i="2" a="1"/>
  <c r="J1232" i="2" s="1"/>
  <c r="J1233" i="2" a="1"/>
  <c r="J1233" i="2" s="1"/>
  <c r="J1234" i="2" a="1"/>
  <c r="J1234" i="2" s="1"/>
  <c r="J1235" i="2" a="1"/>
  <c r="J1235" i="2" s="1"/>
  <c r="J1236" i="2" a="1"/>
  <c r="J1236" i="2" s="1"/>
  <c r="J1237" i="2" a="1"/>
  <c r="J1237" i="2" s="1"/>
  <c r="J1238" i="2" a="1"/>
  <c r="J1238" i="2" s="1"/>
  <c r="J1239" i="2" a="1"/>
  <c r="J1239" i="2" s="1"/>
  <c r="J1240" i="2" a="1"/>
  <c r="J1240" i="2" s="1"/>
  <c r="J1241" i="2" a="1"/>
  <c r="J1241" i="2" s="1"/>
  <c r="J1242" i="2" a="1"/>
  <c r="J1242" i="2" s="1"/>
  <c r="J1243" i="2" a="1"/>
  <c r="J1243" i="2" s="1"/>
  <c r="J1244" i="2" a="1"/>
  <c r="J1244" i="2" s="1"/>
  <c r="J1245" i="2" a="1"/>
  <c r="J1245" i="2" s="1"/>
  <c r="J1246" i="2" a="1"/>
  <c r="J1246" i="2" s="1"/>
  <c r="J1247" i="2" a="1"/>
  <c r="J1247" i="2" s="1"/>
  <c r="J1248" i="2" a="1"/>
  <c r="J1248" i="2" s="1"/>
  <c r="J1249" i="2" a="1"/>
  <c r="J1249" i="2" s="1"/>
  <c r="J1250" i="2" a="1"/>
  <c r="J1250" i="2" s="1"/>
  <c r="J1251" i="2" a="1"/>
  <c r="J1251" i="2" s="1"/>
  <c r="J1252" i="2" a="1"/>
  <c r="J1252" i="2" s="1"/>
  <c r="J1253" i="2" a="1"/>
  <c r="J1253" i="2" s="1"/>
  <c r="J1254" i="2" a="1"/>
  <c r="J1254" i="2" s="1"/>
  <c r="J1255" i="2" a="1"/>
  <c r="J1255" i="2" s="1"/>
  <c r="J1256" i="2" a="1"/>
  <c r="J1256" i="2" s="1"/>
  <c r="J1257" i="2" a="1"/>
  <c r="J1257" i="2" s="1"/>
  <c r="J1258" i="2" a="1"/>
  <c r="J1258" i="2" s="1"/>
  <c r="J1259" i="2" a="1"/>
  <c r="J1259" i="2" s="1"/>
  <c r="J1260" i="2" a="1"/>
  <c r="J1260" i="2" s="1"/>
  <c r="J1261" i="2" a="1"/>
  <c r="J1261" i="2" s="1"/>
  <c r="J1262" i="2" a="1"/>
  <c r="J1262" i="2" s="1"/>
  <c r="J1263" i="2" a="1"/>
  <c r="J1263" i="2" s="1"/>
  <c r="J1264" i="2" a="1"/>
  <c r="J1264" i="2" s="1"/>
  <c r="J1265" i="2" a="1"/>
  <c r="J1265" i="2" s="1"/>
  <c r="J1266" i="2" a="1"/>
  <c r="J1266" i="2" s="1"/>
  <c r="J1267" i="2" a="1"/>
  <c r="J1267" i="2" s="1"/>
  <c r="J1268" i="2" a="1"/>
  <c r="J1268" i="2" s="1"/>
  <c r="J1269" i="2" a="1"/>
  <c r="J1269" i="2" s="1"/>
  <c r="J1270" i="2" a="1"/>
  <c r="J1270" i="2" s="1"/>
  <c r="J1271" i="2" a="1"/>
  <c r="J1271" i="2" s="1"/>
  <c r="J1272" i="2" a="1"/>
  <c r="J1272" i="2" s="1"/>
  <c r="J1273" i="2" a="1"/>
  <c r="J1273" i="2" s="1"/>
  <c r="J1274" i="2" a="1"/>
  <c r="J1274" i="2" s="1"/>
  <c r="J1275" i="2" a="1"/>
  <c r="J1275" i="2" s="1"/>
  <c r="J1276" i="2" a="1"/>
  <c r="J1276" i="2" s="1"/>
  <c r="J1277" i="2" a="1"/>
  <c r="J1277" i="2" s="1"/>
  <c r="J1278" i="2" a="1"/>
  <c r="J1278" i="2"/>
  <c r="J1279" i="2" a="1"/>
  <c r="J1279" i="2" s="1"/>
  <c r="J1280" i="2" a="1"/>
  <c r="J1280" i="2" s="1"/>
  <c r="J1281" i="2" a="1"/>
  <c r="J1281" i="2" s="1"/>
  <c r="J1282" i="2" a="1"/>
  <c r="J1282" i="2" s="1"/>
  <c r="J1283" i="2" a="1"/>
  <c r="J1283" i="2" s="1"/>
  <c r="J1284" i="2" a="1"/>
  <c r="J1284" i="2" s="1"/>
  <c r="J1285" i="2" a="1"/>
  <c r="J1285" i="2" s="1"/>
  <c r="J1286" i="2" a="1"/>
  <c r="J1286" i="2" s="1"/>
  <c r="J1287" i="2" a="1"/>
  <c r="J1287" i="2" s="1"/>
  <c r="J1288" i="2" a="1"/>
  <c r="J1288" i="2" s="1"/>
  <c r="J1289" i="2" a="1"/>
  <c r="J1289" i="2" s="1"/>
  <c r="J1290" i="2" a="1"/>
  <c r="J1290" i="2" s="1"/>
  <c r="J1291" i="2" a="1"/>
  <c r="J1291" i="2" s="1"/>
  <c r="J1292" i="2" a="1"/>
  <c r="J1292" i="2" s="1"/>
  <c r="J1293" i="2" a="1"/>
  <c r="J1293" i="2" s="1"/>
  <c r="J1294" i="2" a="1"/>
  <c r="J1294" i="2" s="1"/>
  <c r="J1295" i="2" a="1"/>
  <c r="J1295" i="2" s="1"/>
  <c r="J1296" i="2" a="1"/>
  <c r="J1296" i="2" s="1"/>
  <c r="J1297" i="2" a="1"/>
  <c r="J1297" i="2" s="1"/>
  <c r="J1298" i="2" a="1"/>
  <c r="J1298" i="2" s="1"/>
  <c r="J1299" i="2" a="1"/>
  <c r="J1299" i="2" s="1"/>
  <c r="J1300" i="2" a="1"/>
  <c r="J1300" i="2" s="1"/>
  <c r="J1301" i="2" a="1"/>
  <c r="J1301" i="2" s="1"/>
  <c r="J1302" i="2" a="1"/>
  <c r="J1302" i="2" s="1"/>
  <c r="J1303" i="2" a="1"/>
  <c r="J1303" i="2" s="1"/>
  <c r="J1304" i="2" a="1"/>
  <c r="J1304" i="2" s="1"/>
  <c r="J1305" i="2" a="1"/>
  <c r="J1305" i="2" s="1"/>
  <c r="J1306" i="2" a="1"/>
  <c r="J1306" i="2" s="1"/>
  <c r="J1307" i="2" a="1"/>
  <c r="J1307" i="2" s="1"/>
  <c r="J1308" i="2" a="1"/>
  <c r="J1308" i="2" s="1"/>
  <c r="J1309" i="2" a="1"/>
  <c r="J1309" i="2" s="1"/>
  <c r="J1310" i="2" a="1"/>
  <c r="J1310" i="2" s="1"/>
  <c r="J1311" i="2" a="1"/>
  <c r="J1311" i="2" s="1"/>
  <c r="J1312" i="2" a="1"/>
  <c r="J1312" i="2" s="1"/>
  <c r="J1313" i="2" a="1"/>
  <c r="J1313" i="2" s="1"/>
  <c r="J1314" i="2" a="1"/>
  <c r="J1314" i="2" s="1"/>
  <c r="J1315" i="2" a="1"/>
  <c r="J1315" i="2" s="1"/>
  <c r="J1316" i="2" a="1"/>
  <c r="J1316" i="2" s="1"/>
  <c r="J1317" i="2" a="1"/>
  <c r="J1317" i="2" s="1"/>
  <c r="J1318" i="2" a="1"/>
  <c r="J1318" i="2" s="1"/>
  <c r="J1319" i="2" a="1"/>
  <c r="J1319" i="2" s="1"/>
  <c r="J1320" i="2" a="1"/>
  <c r="J1320" i="2" s="1"/>
  <c r="J1321" i="2" a="1"/>
  <c r="J1321" i="2"/>
  <c r="J1322" i="2" a="1"/>
  <c r="J1322" i="2" s="1"/>
  <c r="J1323" i="2" a="1"/>
  <c r="J1323" i="2" s="1"/>
  <c r="J1324" i="2" a="1"/>
  <c r="J1324" i="2" s="1"/>
  <c r="J1325" i="2" a="1"/>
  <c r="J1325" i="2" s="1"/>
  <c r="J1326" i="2" a="1"/>
  <c r="J1326" i="2" s="1"/>
  <c r="J1327" i="2" a="1"/>
  <c r="J1327" i="2" s="1"/>
  <c r="J1328" i="2" a="1"/>
  <c r="J1328" i="2" s="1"/>
  <c r="J1329" i="2" a="1"/>
  <c r="J1329" i="2" s="1"/>
  <c r="J1330" i="2" a="1"/>
  <c r="J1330" i="2" s="1"/>
  <c r="J1331" i="2" a="1"/>
  <c r="J1331" i="2" s="1"/>
  <c r="J1332" i="2" a="1"/>
  <c r="J1332" i="2" s="1"/>
  <c r="J1333" i="2" a="1"/>
  <c r="J1333" i="2" s="1"/>
  <c r="J1334" i="2" a="1"/>
  <c r="J1334" i="2" s="1"/>
  <c r="J1335" i="2" a="1"/>
  <c r="J1335" i="2" s="1"/>
  <c r="J1336" i="2" a="1"/>
  <c r="J1336" i="2" s="1"/>
  <c r="J1337" i="2" a="1"/>
  <c r="J1337" i="2" s="1"/>
  <c r="J1338" i="2" a="1"/>
  <c r="J1338" i="2" s="1"/>
  <c r="J1339" i="2" a="1"/>
  <c r="J1339" i="2" s="1"/>
  <c r="J1340" i="2" a="1"/>
  <c r="J1340" i="2" s="1"/>
  <c r="J1341" i="2" a="1"/>
  <c r="J1341" i="2"/>
  <c r="J1342" i="2" a="1"/>
  <c r="J1342" i="2" s="1"/>
  <c r="J1343" i="2" a="1"/>
  <c r="J1343" i="2" s="1"/>
  <c r="J1344" i="2" a="1"/>
  <c r="J1344" i="2" s="1"/>
  <c r="J1345" i="2" a="1"/>
  <c r="J1345" i="2" s="1"/>
  <c r="J1346" i="2" a="1"/>
  <c r="J1346" i="2" s="1"/>
  <c r="J1347" i="2" a="1"/>
  <c r="J1347" i="2" s="1"/>
  <c r="J1348" i="2" a="1"/>
  <c r="J1348" i="2" s="1"/>
  <c r="J1349" i="2" a="1"/>
  <c r="J1349" i="2" s="1"/>
  <c r="J1350" i="2" a="1"/>
  <c r="J1350" i="2" s="1"/>
  <c r="J1351" i="2" a="1"/>
  <c r="J1351" i="2" s="1"/>
  <c r="J1352" i="2" a="1"/>
  <c r="J1352" i="2" s="1"/>
  <c r="J1353" i="2" a="1"/>
  <c r="J1353" i="2" s="1"/>
  <c r="J1354" i="2" a="1"/>
  <c r="J1354" i="2" s="1"/>
  <c r="J1355" i="2" a="1"/>
  <c r="J1355" i="2" s="1"/>
  <c r="J1356" i="2" a="1"/>
  <c r="J1356" i="2" s="1"/>
  <c r="J1357" i="2" a="1"/>
  <c r="J1357" i="2" s="1"/>
  <c r="J1358" i="2" a="1"/>
  <c r="J1358" i="2" s="1"/>
  <c r="J1359" i="2" a="1"/>
  <c r="J1359" i="2" s="1"/>
  <c r="J1360" i="2" a="1"/>
  <c r="J1360" i="2" s="1"/>
  <c r="J1361" i="2" a="1"/>
  <c r="J1361" i="2" s="1"/>
  <c r="J1362" i="2" a="1"/>
  <c r="J1362" i="2" s="1"/>
  <c r="J1363" i="2" a="1"/>
  <c r="J1363" i="2" s="1"/>
  <c r="J1364" i="2" a="1"/>
  <c r="J1364" i="2" s="1"/>
  <c r="J1365" i="2" a="1"/>
  <c r="J1365" i="2" s="1"/>
  <c r="J1366" i="2" a="1"/>
  <c r="J1366" i="2" s="1"/>
  <c r="J1367" i="2" a="1"/>
  <c r="J1367" i="2" s="1"/>
  <c r="J1368" i="2" a="1"/>
  <c r="J1368" i="2" s="1"/>
  <c r="J1369" i="2" a="1"/>
  <c r="J1369" i="2" s="1"/>
  <c r="J1370" i="2" a="1"/>
  <c r="J1370" i="2" s="1"/>
  <c r="J1371" i="2" a="1"/>
  <c r="J1371" i="2" s="1"/>
  <c r="J1372" i="2" a="1"/>
  <c r="J1372" i="2" s="1"/>
  <c r="J1373" i="2" a="1"/>
  <c r="J1373" i="2" s="1"/>
  <c r="J1374" i="2" a="1"/>
  <c r="J1374" i="2" s="1"/>
  <c r="J1375" i="2" a="1"/>
  <c r="J1375" i="2" s="1"/>
  <c r="J1376" i="2" a="1"/>
  <c r="J1376" i="2" s="1"/>
  <c r="J1377" i="2" a="1"/>
  <c r="J1377" i="2" s="1"/>
  <c r="J1378" i="2" a="1"/>
  <c r="J1378" i="2" s="1"/>
  <c r="J1379" i="2" a="1"/>
  <c r="J1379" i="2" s="1"/>
  <c r="J1380" i="2" a="1"/>
  <c r="J1380" i="2" s="1"/>
  <c r="J1381" i="2" a="1"/>
  <c r="J1381" i="2" s="1"/>
  <c r="J1382" i="2" a="1"/>
  <c r="J1382" i="2" s="1"/>
  <c r="J1383" i="2" a="1"/>
  <c r="J1383" i="2" s="1"/>
  <c r="J1384" i="2" a="1"/>
  <c r="J1384" i="2" s="1"/>
  <c r="J1385" i="2" a="1"/>
  <c r="J1385" i="2" s="1"/>
  <c r="J1386" i="2" a="1"/>
  <c r="J1386" i="2" s="1"/>
  <c r="J1387" i="2" a="1"/>
  <c r="J1387" i="2" s="1"/>
  <c r="J1388" i="2" a="1"/>
  <c r="J1388" i="2" s="1"/>
  <c r="J1389" i="2" a="1"/>
  <c r="J1389" i="2" s="1"/>
  <c r="J1390" i="2" a="1"/>
  <c r="J1390" i="2" s="1"/>
  <c r="J1391" i="2" a="1"/>
  <c r="J1391" i="2" s="1"/>
  <c r="J1392" i="2" a="1"/>
  <c r="J1392" i="2" s="1"/>
  <c r="J1393" i="2" a="1"/>
  <c r="J1393" i="2" s="1"/>
  <c r="J1394" i="2" a="1"/>
  <c r="J1394" i="2" s="1"/>
  <c r="J1395" i="2" a="1"/>
  <c r="J1395" i="2" s="1"/>
  <c r="J1396" i="2" a="1"/>
  <c r="J1396" i="2" s="1"/>
  <c r="J1397" i="2" a="1"/>
  <c r="J1397" i="2" s="1"/>
  <c r="J1398" i="2" a="1"/>
  <c r="J1398" i="2" s="1"/>
  <c r="J1399" i="2" a="1"/>
  <c r="J1399" i="2" s="1"/>
  <c r="J1400" i="2" a="1"/>
  <c r="J1400" i="2" s="1"/>
  <c r="J1401" i="2" a="1"/>
  <c r="J1401" i="2" s="1"/>
  <c r="J1402" i="2" a="1"/>
  <c r="J1402" i="2" s="1"/>
  <c r="J1403" i="2" a="1"/>
  <c r="J1403" i="2" s="1"/>
  <c r="J1404" i="2" a="1"/>
  <c r="J1404" i="2" s="1"/>
  <c r="J1405" i="2" a="1"/>
  <c r="J1405" i="2" s="1"/>
  <c r="J1406" i="2" a="1"/>
  <c r="J1406" i="2" s="1"/>
  <c r="J1407" i="2" a="1"/>
  <c r="J1407" i="2" s="1"/>
  <c r="J1408" i="2" a="1"/>
  <c r="J1408" i="2" s="1"/>
  <c r="J1409" i="2" a="1"/>
  <c r="J1409" i="2" s="1"/>
  <c r="J1410" i="2" a="1"/>
  <c r="J1410" i="2" s="1"/>
  <c r="J1411" i="2" a="1"/>
  <c r="J1411" i="2" s="1"/>
  <c r="J1412" i="2" a="1"/>
  <c r="J1412" i="2" s="1"/>
  <c r="J1413" i="2" a="1"/>
  <c r="J1413" i="2" s="1"/>
  <c r="J1414" i="2" a="1"/>
  <c r="J1414" i="2" s="1"/>
  <c r="J1415" i="2" a="1"/>
  <c r="J1415" i="2" s="1"/>
  <c r="J1416" i="2" a="1"/>
  <c r="J1416" i="2" s="1"/>
  <c r="J1417" i="2" a="1"/>
  <c r="J1417" i="2" s="1"/>
  <c r="J1418" i="2" a="1"/>
  <c r="J1418" i="2" s="1"/>
  <c r="J1419" i="2" a="1"/>
  <c r="J1419" i="2" s="1"/>
  <c r="J1420" i="2" a="1"/>
  <c r="J1420" i="2" s="1"/>
  <c r="J1421" i="2" a="1"/>
  <c r="J1421" i="2" s="1"/>
  <c r="J1422" i="2" a="1"/>
  <c r="J1422" i="2" s="1"/>
  <c r="J1423" i="2" a="1"/>
  <c r="J1423" i="2" s="1"/>
  <c r="J1424" i="2" a="1"/>
  <c r="J1424" i="2" s="1"/>
  <c r="J1425" i="2" a="1"/>
  <c r="J1425" i="2" s="1"/>
  <c r="J1426" i="2" a="1"/>
  <c r="J1426" i="2" s="1"/>
  <c r="J1427" i="2" a="1"/>
  <c r="J1427" i="2" s="1"/>
  <c r="J1428" i="2" a="1"/>
  <c r="J1428" i="2" s="1"/>
  <c r="J1429" i="2" a="1"/>
  <c r="J1429" i="2" s="1"/>
  <c r="J1430" i="2" a="1"/>
  <c r="J1430" i="2" s="1"/>
  <c r="J1431" i="2" a="1"/>
  <c r="J1431" i="2" s="1"/>
  <c r="J1432" i="2" a="1"/>
  <c r="J1432" i="2" s="1"/>
  <c r="J1433" i="2" a="1"/>
  <c r="J1433" i="2" s="1"/>
  <c r="J1434" i="2" a="1"/>
  <c r="J1434" i="2" s="1"/>
  <c r="J1435" i="2" a="1"/>
  <c r="J1435" i="2" s="1"/>
  <c r="J1436" i="2" a="1"/>
  <c r="J1436" i="2" s="1"/>
  <c r="J1437" i="2" a="1"/>
  <c r="J1437" i="2" s="1"/>
  <c r="J1438" i="2" a="1"/>
  <c r="J1438" i="2" s="1"/>
  <c r="J1439" i="2" a="1"/>
  <c r="J1439" i="2" s="1"/>
  <c r="J1440" i="2" a="1"/>
  <c r="J1440" i="2" s="1"/>
  <c r="J1441" i="2" a="1"/>
  <c r="J1441" i="2" s="1"/>
  <c r="J1442" i="2" a="1"/>
  <c r="J1442" i="2" s="1"/>
  <c r="J1443" i="2" a="1"/>
  <c r="J1443" i="2" s="1"/>
  <c r="J1444" i="2" a="1"/>
  <c r="J1444" i="2" s="1"/>
  <c r="J1445" i="2" a="1"/>
  <c r="J1445" i="2" s="1"/>
  <c r="J1446" i="2" a="1"/>
  <c r="J1446" i="2" s="1"/>
  <c r="J1447" i="2" a="1"/>
  <c r="J1447" i="2" s="1"/>
  <c r="J1448" i="2" a="1"/>
  <c r="J1448" i="2" s="1"/>
  <c r="J1449" i="2" a="1"/>
  <c r="J1449" i="2" s="1"/>
  <c r="J1450" i="2" a="1"/>
  <c r="J1450" i="2" s="1"/>
  <c r="J1451" i="2" a="1"/>
  <c r="J1451" i="2" s="1"/>
  <c r="J1452" i="2" a="1"/>
  <c r="J1452" i="2" s="1"/>
  <c r="J1453" i="2" a="1"/>
  <c r="J1453" i="2" s="1"/>
  <c r="J1454" i="2" a="1"/>
  <c r="J1454" i="2" s="1"/>
  <c r="J1455" i="2" a="1"/>
  <c r="J1455" i="2" s="1"/>
  <c r="J1456" i="2" a="1"/>
  <c r="J1456" i="2" s="1"/>
  <c r="J1457" i="2" a="1"/>
  <c r="J1457" i="2" s="1"/>
  <c r="J1458" i="2" a="1"/>
  <c r="J1458" i="2" s="1"/>
  <c r="J1459" i="2" a="1"/>
  <c r="J1459" i="2" s="1"/>
  <c r="J1460" i="2" a="1"/>
  <c r="J1460" i="2" s="1"/>
  <c r="J1461" i="2" a="1"/>
  <c r="J1461" i="2" s="1"/>
  <c r="J1462" i="2" a="1"/>
  <c r="J1462" i="2" s="1"/>
  <c r="J1463" i="2" a="1"/>
  <c r="J1463" i="2" s="1"/>
  <c r="J1464" i="2" a="1"/>
  <c r="J1464" i="2" s="1"/>
  <c r="J1465" i="2" a="1"/>
  <c r="J1465" i="2" s="1"/>
  <c r="J1466" i="2" a="1"/>
  <c r="J1466" i="2" s="1"/>
  <c r="J1467" i="2" a="1"/>
  <c r="J1467" i="2" s="1"/>
  <c r="J1468" i="2" a="1"/>
  <c r="J1468" i="2" s="1"/>
  <c r="J1469" i="2" a="1"/>
  <c r="J1469" i="2" s="1"/>
  <c r="J1470" i="2" a="1"/>
  <c r="J1470" i="2" s="1"/>
  <c r="J1471" i="2" a="1"/>
  <c r="J1471" i="2" s="1"/>
  <c r="J1472" i="2" a="1"/>
  <c r="J1472" i="2" s="1"/>
  <c r="J1473" i="2" a="1"/>
  <c r="J1473" i="2" s="1"/>
  <c r="J1474" i="2" a="1"/>
  <c r="J1474" i="2" s="1"/>
  <c r="J1475" i="2" a="1"/>
  <c r="J1475" i="2" s="1"/>
  <c r="J1476" i="2" a="1"/>
  <c r="J1476" i="2" s="1"/>
  <c r="J1477" i="2" a="1"/>
  <c r="J1477" i="2" s="1"/>
  <c r="J1478" i="2" a="1"/>
  <c r="J1478" i="2" s="1"/>
  <c r="J1479" i="2" a="1"/>
  <c r="J1479" i="2" s="1"/>
  <c r="J1480" i="2" a="1"/>
  <c r="J1480" i="2" s="1"/>
  <c r="J1481" i="2" a="1"/>
  <c r="J1481" i="2" s="1"/>
  <c r="J1482" i="2" a="1"/>
  <c r="J1482" i="2" s="1"/>
  <c r="J1483" i="2" a="1"/>
  <c r="J1483" i="2" s="1"/>
  <c r="J1484" i="2" a="1"/>
  <c r="J1484" i="2" s="1"/>
  <c r="J1485" i="2" a="1"/>
  <c r="J1485" i="2" s="1"/>
  <c r="J1486" i="2" a="1"/>
  <c r="J1486" i="2" s="1"/>
  <c r="J1487" i="2" a="1"/>
  <c r="J1487" i="2" s="1"/>
  <c r="J1488" i="2" a="1"/>
  <c r="J1488" i="2" s="1"/>
  <c r="J1489" i="2" a="1"/>
  <c r="J1489" i="2" s="1"/>
  <c r="J1490" i="2" a="1"/>
  <c r="J1490" i="2" s="1"/>
  <c r="J1491" i="2" a="1"/>
  <c r="J1491" i="2" s="1"/>
  <c r="J1492" i="2" a="1"/>
  <c r="J1492" i="2" s="1"/>
  <c r="J1493" i="2" a="1"/>
  <c r="J1493" i="2" s="1"/>
  <c r="J1494" i="2" a="1"/>
  <c r="J1494" i="2" s="1"/>
  <c r="J1495" i="2" a="1"/>
  <c r="J1495" i="2" s="1"/>
  <c r="J1496" i="2" a="1"/>
  <c r="J1496" i="2" s="1"/>
  <c r="J1497" i="2" a="1"/>
  <c r="J1497" i="2" s="1"/>
  <c r="J1498" i="2" a="1"/>
  <c r="J1498" i="2" s="1"/>
  <c r="J1499" i="2" a="1"/>
  <c r="J1499" i="2" s="1"/>
  <c r="J1500" i="2" a="1"/>
  <c r="J1500" i="2" s="1"/>
  <c r="J1501" i="2" a="1"/>
  <c r="J1501" i="2" s="1"/>
  <c r="J1502" i="2" a="1"/>
  <c r="J1502" i="2" s="1"/>
  <c r="J1503" i="2" a="1"/>
  <c r="J1503" i="2" s="1"/>
  <c r="J1504" i="2" a="1"/>
  <c r="J1504" i="2" s="1"/>
  <c r="J1505" i="2" a="1"/>
  <c r="J1505" i="2" s="1"/>
  <c r="J1506" i="2" a="1"/>
  <c r="J1506" i="2" s="1"/>
  <c r="J1507" i="2" a="1"/>
  <c r="J1507" i="2" s="1"/>
  <c r="J1508" i="2" a="1"/>
  <c r="J1508" i="2" s="1"/>
  <c r="J1509" i="2" a="1"/>
  <c r="J1509" i="2"/>
  <c r="J1510" i="2" a="1"/>
  <c r="J1510" i="2" s="1"/>
  <c r="J1511" i="2" a="1"/>
  <c r="J1511" i="2" s="1"/>
  <c r="J1512" i="2" a="1"/>
  <c r="J1512" i="2" s="1"/>
  <c r="J1513" i="2" a="1"/>
  <c r="J1513" i="2" s="1"/>
  <c r="J1514" i="2" a="1"/>
  <c r="J1514" i="2" s="1"/>
  <c r="J1515" i="2" a="1"/>
  <c r="J1515" i="2" s="1"/>
  <c r="J1516" i="2" a="1"/>
  <c r="J1516" i="2" s="1"/>
  <c r="J1517" i="2" a="1"/>
  <c r="J1517" i="2" s="1"/>
  <c r="J1518" i="2" a="1"/>
  <c r="J1518" i="2" s="1"/>
  <c r="J1519" i="2" a="1"/>
  <c r="J1519" i="2" s="1"/>
  <c r="J1520" i="2" a="1"/>
  <c r="J1520" i="2" s="1"/>
  <c r="J1521" i="2" a="1"/>
  <c r="J1521" i="2" s="1"/>
  <c r="J1522" i="2" a="1"/>
  <c r="J1522" i="2" s="1"/>
  <c r="J1523" i="2" a="1"/>
  <c r="J1523" i="2" s="1"/>
  <c r="J1524" i="2" a="1"/>
  <c r="J1524" i="2" s="1"/>
  <c r="J1525" i="2" a="1"/>
  <c r="J1525" i="2" s="1"/>
  <c r="J1526" i="2" a="1"/>
  <c r="J1526" i="2" s="1"/>
  <c r="J1527" i="2" a="1"/>
  <c r="J1527" i="2" s="1"/>
  <c r="J1528" i="2" a="1"/>
  <c r="J1528" i="2" s="1"/>
  <c r="J1529" i="2" a="1"/>
  <c r="J1529" i="2" s="1"/>
  <c r="J1530" i="2" a="1"/>
  <c r="J1530" i="2" s="1"/>
  <c r="J1531" i="2" a="1"/>
  <c r="J1531" i="2" s="1"/>
  <c r="J1532" i="2" a="1"/>
  <c r="J1532" i="2" s="1"/>
  <c r="J1533" i="2" a="1"/>
  <c r="J1533" i="2" s="1"/>
  <c r="J1534" i="2" a="1"/>
  <c r="J1534" i="2" s="1"/>
  <c r="J1535" i="2" a="1"/>
  <c r="J1535" i="2" s="1"/>
  <c r="J1536" i="2" a="1"/>
  <c r="J1536" i="2" s="1"/>
  <c r="J1537" i="2" a="1"/>
  <c r="J1537" i="2" s="1"/>
  <c r="J1538" i="2" a="1"/>
  <c r="J1538" i="2" s="1"/>
  <c r="J1539" i="2" a="1"/>
  <c r="J1539" i="2" s="1"/>
  <c r="J1540" i="2" a="1"/>
  <c r="J1540" i="2" s="1"/>
  <c r="J1541" i="2" a="1"/>
  <c r="J1541" i="2" s="1"/>
  <c r="J1542" i="2" a="1"/>
  <c r="J1542" i="2" s="1"/>
  <c r="J1543" i="2" a="1"/>
  <c r="J1543" i="2" s="1"/>
  <c r="J1544" i="2" a="1"/>
  <c r="J1544" i="2" s="1"/>
  <c r="J1545" i="2" a="1"/>
  <c r="J1545" i="2" s="1"/>
  <c r="J1546" i="2" a="1"/>
  <c r="J1546" i="2" s="1"/>
  <c r="J1547" i="2" a="1"/>
  <c r="J1547" i="2" s="1"/>
  <c r="J1548" i="2" a="1"/>
  <c r="J1548" i="2" s="1"/>
  <c r="J1549" i="2" a="1"/>
  <c r="J1549" i="2" s="1"/>
  <c r="J1550" i="2" a="1"/>
  <c r="J1550" i="2" s="1"/>
  <c r="J1551" i="2" a="1"/>
  <c r="J1551" i="2" s="1"/>
  <c r="J1552" i="2" a="1"/>
  <c r="J1552" i="2" s="1"/>
  <c r="J1553" i="2" a="1"/>
  <c r="J1553" i="2" s="1"/>
  <c r="J1554" i="2" a="1"/>
  <c r="J1554" i="2" s="1"/>
  <c r="J1555" i="2" a="1"/>
  <c r="J1555" i="2" s="1"/>
  <c r="J1556" i="2" a="1"/>
  <c r="J1556" i="2" s="1"/>
  <c r="J1557" i="2" a="1"/>
  <c r="J1557" i="2" s="1"/>
  <c r="J1558" i="2" a="1"/>
  <c r="J1558" i="2" s="1"/>
  <c r="J1559" i="2" a="1"/>
  <c r="J1559" i="2" s="1"/>
  <c r="J1560" i="2" a="1"/>
  <c r="J1560" i="2" s="1"/>
  <c r="J1561" i="2" a="1"/>
  <c r="J1561" i="2" s="1"/>
  <c r="J1562" i="2" a="1"/>
  <c r="J1562" i="2" s="1"/>
  <c r="J1563" i="2" a="1"/>
  <c r="J1563" i="2" s="1"/>
  <c r="J1564" i="2" a="1"/>
  <c r="J1564" i="2" s="1"/>
  <c r="J1565" i="2" a="1"/>
  <c r="J1565" i="2" s="1"/>
  <c r="J1566" i="2" a="1"/>
  <c r="J1566" i="2" s="1"/>
  <c r="J1567" i="2" a="1"/>
  <c r="J1567" i="2" s="1"/>
  <c r="J1568" i="2" a="1"/>
  <c r="J1568" i="2" s="1"/>
  <c r="J1569" i="2" a="1"/>
  <c r="J1569" i="2" s="1"/>
  <c r="J1570" i="2" a="1"/>
  <c r="J1570" i="2" s="1"/>
  <c r="J1571" i="2" a="1"/>
  <c r="J1571" i="2" s="1"/>
  <c r="J1572" i="2" a="1"/>
  <c r="J1572" i="2" s="1"/>
  <c r="J1573" i="2" a="1"/>
  <c r="J1573" i="2" s="1"/>
  <c r="J1574" i="2" a="1"/>
  <c r="J1574" i="2" s="1"/>
  <c r="J1575" i="2" a="1"/>
  <c r="J1575" i="2" s="1"/>
  <c r="J1576" i="2" a="1"/>
  <c r="J1576" i="2" s="1"/>
  <c r="J1577" i="2" a="1"/>
  <c r="J1577" i="2" s="1"/>
  <c r="J1578" i="2" a="1"/>
  <c r="J1578" i="2" s="1"/>
  <c r="J1579" i="2" a="1"/>
  <c r="J1579" i="2" s="1"/>
  <c r="J1580" i="2" a="1"/>
  <c r="J1580" i="2" s="1"/>
  <c r="J1581" i="2" a="1"/>
  <c r="J1581" i="2" s="1"/>
  <c r="J1582" i="2" a="1"/>
  <c r="J1582" i="2" s="1"/>
  <c r="J1583" i="2" a="1"/>
  <c r="J1583" i="2" s="1"/>
  <c r="J1584" i="2" a="1"/>
  <c r="J1584" i="2" s="1"/>
  <c r="J1585" i="2" a="1"/>
  <c r="J1585" i="2" s="1"/>
  <c r="J1586" i="2" a="1"/>
  <c r="J1586" i="2" s="1"/>
  <c r="J1587" i="2" a="1"/>
  <c r="J1587" i="2" s="1"/>
  <c r="J1588" i="2" a="1"/>
  <c r="J1588" i="2" s="1"/>
  <c r="J1589" i="2" a="1"/>
  <c r="J1589" i="2" s="1"/>
  <c r="J1590" i="2" a="1"/>
  <c r="J1590" i="2" s="1"/>
  <c r="J1591" i="2" a="1"/>
  <c r="J1591" i="2" s="1"/>
  <c r="J1592" i="2" a="1"/>
  <c r="J1592" i="2" s="1"/>
  <c r="J1593" i="2" a="1"/>
  <c r="J1593" i="2" s="1"/>
  <c r="J1594" i="2" a="1"/>
  <c r="J1594" i="2" s="1"/>
  <c r="J1595" i="2" a="1"/>
  <c r="J1595" i="2" s="1"/>
  <c r="J1596" i="2" a="1"/>
  <c r="J1596" i="2" s="1"/>
  <c r="J1597" i="2" a="1"/>
  <c r="J1597" i="2" s="1"/>
  <c r="J1598" i="2" a="1"/>
  <c r="J1598" i="2" s="1"/>
  <c r="J1599" i="2" a="1"/>
  <c r="J1599" i="2" s="1"/>
  <c r="J1600" i="2" a="1"/>
  <c r="J1600" i="2" s="1"/>
  <c r="J1601" i="2" a="1"/>
  <c r="J1601" i="2" s="1"/>
  <c r="J1602" i="2" a="1"/>
  <c r="J1602" i="2" s="1"/>
  <c r="J1603" i="2" a="1"/>
  <c r="J1603" i="2" s="1"/>
  <c r="J1604" i="2" a="1"/>
  <c r="J1604" i="2" s="1"/>
  <c r="J1605" i="2" a="1"/>
  <c r="J1605" i="2" s="1"/>
  <c r="J1606" i="2" a="1"/>
  <c r="J1606" i="2" s="1"/>
  <c r="J1607" i="2" a="1"/>
  <c r="J1607" i="2" s="1"/>
  <c r="J1608" i="2" a="1"/>
  <c r="J1608" i="2" s="1"/>
  <c r="J1609" i="2" a="1"/>
  <c r="J1609" i="2" s="1"/>
  <c r="J1610" i="2" a="1"/>
  <c r="J1610" i="2" s="1"/>
  <c r="J1611" i="2" a="1"/>
  <c r="J1611" i="2" s="1"/>
  <c r="J1612" i="2" a="1"/>
  <c r="J1612" i="2" s="1"/>
  <c r="J1613" i="2" a="1"/>
  <c r="J1613" i="2" s="1"/>
  <c r="J1614" i="2" a="1"/>
  <c r="J1614" i="2" s="1"/>
  <c r="J1615" i="2" a="1"/>
  <c r="J1615" i="2" s="1"/>
  <c r="J1616" i="2" a="1"/>
  <c r="J1616" i="2" s="1"/>
  <c r="J1617" i="2" a="1"/>
  <c r="J1617" i="2" s="1"/>
  <c r="J1618" i="2" a="1"/>
  <c r="J1618" i="2" s="1"/>
  <c r="J1619" i="2" a="1"/>
  <c r="J1619" i="2" s="1"/>
  <c r="J1620" i="2" a="1"/>
  <c r="J1620" i="2" s="1"/>
  <c r="J1621" i="2" a="1"/>
  <c r="J1621" i="2" s="1"/>
  <c r="J1622" i="2" a="1"/>
  <c r="J1622" i="2" s="1"/>
  <c r="J1623" i="2" a="1"/>
  <c r="J1623" i="2"/>
  <c r="J1624" i="2" a="1"/>
  <c r="J1624" i="2" s="1"/>
  <c r="J1625" i="2" a="1"/>
  <c r="J1625" i="2" s="1"/>
  <c r="J1626" i="2" a="1"/>
  <c r="J1626" i="2" s="1"/>
  <c r="J1627" i="2" a="1"/>
  <c r="J1627" i="2" s="1"/>
  <c r="J1628" i="2" a="1"/>
  <c r="J1628" i="2" s="1"/>
  <c r="J1629" i="2" a="1"/>
  <c r="J1629" i="2" s="1"/>
  <c r="J1630" i="2" a="1"/>
  <c r="J1630" i="2" s="1"/>
  <c r="J1631" i="2" a="1"/>
  <c r="J1631" i="2" s="1"/>
  <c r="J1632" i="2" a="1"/>
  <c r="J1632" i="2" s="1"/>
  <c r="J1633" i="2" a="1"/>
  <c r="J1633" i="2" s="1"/>
  <c r="J1634" i="2" a="1"/>
  <c r="J1634" i="2" s="1"/>
  <c r="J1635" i="2" a="1"/>
  <c r="J1635" i="2" s="1"/>
  <c r="J1636" i="2" a="1"/>
  <c r="J1636" i="2" s="1"/>
  <c r="J1637" i="2" a="1"/>
  <c r="J1637" i="2" s="1"/>
  <c r="J1638" i="2" a="1"/>
  <c r="J1638" i="2" s="1"/>
  <c r="J1639" i="2" a="1"/>
  <c r="J1639" i="2" s="1"/>
  <c r="J1640" i="2" a="1"/>
  <c r="J1640" i="2" s="1"/>
  <c r="J1641" i="2" a="1"/>
  <c r="J1641" i="2" s="1"/>
  <c r="J1642" i="2" a="1"/>
  <c r="J1642" i="2" s="1"/>
  <c r="J1643" i="2" a="1"/>
  <c r="J1643" i="2" s="1"/>
  <c r="J1644" i="2" a="1"/>
  <c r="J1644" i="2" s="1"/>
  <c r="J1645" i="2" a="1"/>
  <c r="J1645" i="2" s="1"/>
  <c r="J1646" i="2" a="1"/>
  <c r="J1646" i="2" s="1"/>
  <c r="J1647" i="2" a="1"/>
  <c r="J1647" i="2" s="1"/>
  <c r="J1648" i="2" a="1"/>
  <c r="J1648" i="2" s="1"/>
  <c r="J1649" i="2" a="1"/>
  <c r="J1649" i="2" s="1"/>
  <c r="J1650" i="2" a="1"/>
  <c r="J1650" i="2" s="1"/>
  <c r="J1651" i="2" a="1"/>
  <c r="J1651" i="2" s="1"/>
  <c r="J1652" i="2" a="1"/>
  <c r="J1652" i="2" s="1"/>
  <c r="J1653" i="2" a="1"/>
  <c r="J1653" i="2" s="1"/>
  <c r="J1654" i="2" a="1"/>
  <c r="J1654" i="2" s="1"/>
  <c r="J1655" i="2" a="1"/>
  <c r="J1655" i="2" s="1"/>
  <c r="J1656" i="2" a="1"/>
  <c r="J1656" i="2" s="1"/>
  <c r="J1657" i="2" a="1"/>
  <c r="J1657" i="2" s="1"/>
  <c r="J1658" i="2" a="1"/>
  <c r="J1658" i="2" s="1"/>
  <c r="J1659" i="2" a="1"/>
  <c r="J1659" i="2" s="1"/>
  <c r="J1660" i="2" a="1"/>
  <c r="J1660" i="2" s="1"/>
  <c r="J1661" i="2" a="1"/>
  <c r="J1661" i="2" s="1"/>
  <c r="J1662" i="2" a="1"/>
  <c r="J1662" i="2" s="1"/>
  <c r="J1663" i="2" a="1"/>
  <c r="J1663" i="2" s="1"/>
  <c r="J1664" i="2" a="1"/>
  <c r="J1664" i="2" s="1"/>
  <c r="J1665" i="2" a="1"/>
  <c r="J1665" i="2" s="1"/>
  <c r="J1666" i="2" a="1"/>
  <c r="J1666" i="2" s="1"/>
  <c r="J1667" i="2" a="1"/>
  <c r="J1667" i="2" s="1"/>
  <c r="J1668" i="2" a="1"/>
  <c r="J1668" i="2" s="1"/>
  <c r="J1669" i="2" a="1"/>
  <c r="J1669" i="2" s="1"/>
  <c r="J1670" i="2" a="1"/>
  <c r="J1670" i="2" s="1"/>
  <c r="J1671" i="2" a="1"/>
  <c r="J1671" i="2" s="1"/>
  <c r="J1672" i="2" a="1"/>
  <c r="J1672" i="2" s="1"/>
  <c r="J1673" i="2" a="1"/>
  <c r="J1673" i="2" s="1"/>
  <c r="J1674" i="2" a="1"/>
  <c r="J1674" i="2" s="1"/>
  <c r="J1675" i="2" a="1"/>
  <c r="J1675" i="2" s="1"/>
  <c r="J1676" i="2" a="1"/>
  <c r="J1676" i="2" s="1"/>
  <c r="J1677" i="2" a="1"/>
  <c r="J1677" i="2" s="1"/>
  <c r="J1678" i="2" a="1"/>
  <c r="J1678" i="2" s="1"/>
  <c r="J1679" i="2" a="1"/>
  <c r="J1679" i="2" s="1"/>
  <c r="J1680" i="2" a="1"/>
  <c r="J1680" i="2" s="1"/>
  <c r="J1681" i="2" a="1"/>
  <c r="J1681" i="2" s="1"/>
  <c r="J1682" i="2" a="1"/>
  <c r="J1682" i="2" s="1"/>
  <c r="J1683" i="2" a="1"/>
  <c r="J1683" i="2" s="1"/>
  <c r="J1684" i="2" a="1"/>
  <c r="J1684" i="2" s="1"/>
  <c r="J1685" i="2" a="1"/>
  <c r="J1685" i="2" s="1"/>
  <c r="J1686" i="2" a="1"/>
  <c r="J1686" i="2" s="1"/>
  <c r="J1687" i="2" a="1"/>
  <c r="J1687" i="2" s="1"/>
  <c r="J1688" i="2" a="1"/>
  <c r="J1688" i="2" s="1"/>
  <c r="J1689" i="2" a="1"/>
  <c r="J1689" i="2" s="1"/>
  <c r="J1690" i="2" a="1"/>
  <c r="J1690" i="2" s="1"/>
  <c r="J1691" i="2" a="1"/>
  <c r="J1691" i="2" s="1"/>
  <c r="J1692" i="2" a="1"/>
  <c r="J1692" i="2" s="1"/>
  <c r="J1693" i="2" a="1"/>
  <c r="J1693" i="2" s="1"/>
  <c r="J1694" i="2" a="1"/>
  <c r="J1694" i="2" s="1"/>
  <c r="J1695" i="2" a="1"/>
  <c r="J1695" i="2"/>
  <c r="J1696" i="2" a="1"/>
  <c r="J1696" i="2" s="1"/>
  <c r="J1697" i="2" a="1"/>
  <c r="J1697" i="2" s="1"/>
  <c r="J1698" i="2" a="1"/>
  <c r="J1698" i="2" s="1"/>
  <c r="J1699" i="2" a="1"/>
  <c r="J1699" i="2" s="1"/>
  <c r="J1700" i="2" a="1"/>
  <c r="J1700" i="2" s="1"/>
  <c r="J1701" i="2" a="1"/>
  <c r="J1701" i="2" s="1"/>
  <c r="J1702" i="2" a="1"/>
  <c r="J1702" i="2" s="1"/>
  <c r="J1703" i="2" a="1"/>
  <c r="J1703" i="2" s="1"/>
  <c r="J1704" i="2" a="1"/>
  <c r="J1704" i="2" s="1"/>
  <c r="J1705" i="2" a="1"/>
  <c r="J1705" i="2" s="1"/>
  <c r="J1706" i="2" a="1"/>
  <c r="J1706" i="2" s="1"/>
  <c r="J1707" i="2" a="1"/>
  <c r="J1707" i="2" s="1"/>
  <c r="J1708" i="2" a="1"/>
  <c r="J1708" i="2" s="1"/>
  <c r="J1709" i="2" a="1"/>
  <c r="J1709" i="2" s="1"/>
  <c r="J1710" i="2" a="1"/>
  <c r="J1710" i="2" s="1"/>
  <c r="J1711" i="2" a="1"/>
  <c r="J1711" i="2" s="1"/>
  <c r="J1712" i="2" a="1"/>
  <c r="J1712" i="2" s="1"/>
  <c r="J1713" i="2" a="1"/>
  <c r="J1713" i="2" s="1"/>
  <c r="J1714" i="2" a="1"/>
  <c r="J1714" i="2" s="1"/>
  <c r="J1715" i="2" a="1"/>
  <c r="J1715" i="2" s="1"/>
  <c r="J1716" i="2" a="1"/>
  <c r="J1716" i="2" s="1"/>
  <c r="J1717" i="2" a="1"/>
  <c r="J1717" i="2" s="1"/>
  <c r="J1718" i="2" a="1"/>
  <c r="J1718" i="2" s="1"/>
  <c r="J1719" i="2" a="1"/>
  <c r="J1719" i="2" s="1"/>
  <c r="J1720" i="2" a="1"/>
  <c r="J1720" i="2" s="1"/>
  <c r="J1721" i="2" a="1"/>
  <c r="J1721" i="2" s="1"/>
  <c r="J1722" i="2" a="1"/>
  <c r="J1722" i="2" s="1"/>
  <c r="J1723" i="2" a="1"/>
  <c r="J1723" i="2" s="1"/>
  <c r="J1724" i="2" a="1"/>
  <c r="J1724" i="2" s="1"/>
  <c r="J1725" i="2" a="1"/>
  <c r="J1725" i="2" s="1"/>
  <c r="J1726" i="2" a="1"/>
  <c r="J1726" i="2" s="1"/>
  <c r="J1727" i="2" a="1"/>
  <c r="J1727" i="2" s="1"/>
  <c r="J1728" i="2" a="1"/>
  <c r="J1728" i="2" s="1"/>
  <c r="J1729" i="2" a="1"/>
  <c r="J1729" i="2" s="1"/>
  <c r="J1730" i="2" a="1"/>
  <c r="J1730" i="2" s="1"/>
  <c r="J1731" i="2" a="1"/>
  <c r="J1731" i="2" s="1"/>
  <c r="J1732" i="2" a="1"/>
  <c r="J1732" i="2" s="1"/>
  <c r="J1733" i="2" a="1"/>
  <c r="J1733" i="2" s="1"/>
  <c r="J1734" i="2" a="1"/>
  <c r="J1734" i="2" s="1"/>
  <c r="J1735" i="2" a="1"/>
  <c r="J1735" i="2" s="1"/>
  <c r="J1736" i="2" a="1"/>
  <c r="J1736" i="2" s="1"/>
  <c r="J1737" i="2" a="1"/>
  <c r="J1737" i="2" s="1"/>
  <c r="J1738" i="2" a="1"/>
  <c r="J1738" i="2" s="1"/>
  <c r="J1739" i="2" a="1"/>
  <c r="J1739" i="2" s="1"/>
  <c r="J1740" i="2" a="1"/>
  <c r="J1740" i="2" s="1"/>
  <c r="J1741" i="2" a="1"/>
  <c r="J1741" i="2" s="1"/>
  <c r="J1742" i="2" a="1"/>
  <c r="J1742" i="2" s="1"/>
  <c r="J1743" i="2" a="1"/>
  <c r="J1743" i="2" s="1"/>
  <c r="J1744" i="2" a="1"/>
  <c r="J1744" i="2" s="1"/>
  <c r="J1745" i="2" a="1"/>
  <c r="J1745" i="2" s="1"/>
  <c r="J1746" i="2" a="1"/>
  <c r="J1746" i="2" s="1"/>
  <c r="J1747" i="2" a="1"/>
  <c r="J1747" i="2" s="1"/>
  <c r="J1748" i="2" a="1"/>
  <c r="J1748" i="2" s="1"/>
  <c r="J1749" i="2" a="1"/>
  <c r="J1749" i="2" s="1"/>
  <c r="J1750" i="2" a="1"/>
  <c r="J1750" i="2" s="1"/>
  <c r="J1751" i="2" a="1"/>
  <c r="J1751" i="2" s="1"/>
  <c r="J1752" i="2" a="1"/>
  <c r="J1752" i="2" s="1"/>
  <c r="J1753" i="2" a="1"/>
  <c r="J1753" i="2" s="1"/>
  <c r="J1754" i="2" a="1"/>
  <c r="J1754" i="2" s="1"/>
  <c r="J1755" i="2" a="1"/>
  <c r="J1755" i="2" s="1"/>
  <c r="J1756" i="2" a="1"/>
  <c r="J1756" i="2" s="1"/>
  <c r="J1757" i="2" a="1"/>
  <c r="J1757" i="2" s="1"/>
  <c r="J1758" i="2" a="1"/>
  <c r="J1758" i="2" s="1"/>
  <c r="J1759" i="2" a="1"/>
  <c r="J1759" i="2" s="1"/>
  <c r="J1760" i="2" a="1"/>
  <c r="J1760" i="2" s="1"/>
  <c r="J1761" i="2" a="1"/>
  <c r="J1761" i="2" s="1"/>
  <c r="J1762" i="2" a="1"/>
  <c r="J1762" i="2" s="1"/>
  <c r="J1763" i="2" a="1"/>
  <c r="J1763" i="2" s="1"/>
  <c r="J1764" i="2" a="1"/>
  <c r="J1764" i="2" s="1"/>
  <c r="J1765" i="2" a="1"/>
  <c r="J1765" i="2" s="1"/>
  <c r="J1766" i="2" a="1"/>
  <c r="J1766" i="2" s="1"/>
  <c r="J1767" i="2" a="1"/>
  <c r="J1767" i="2" s="1"/>
  <c r="J1768" i="2" a="1"/>
  <c r="J1768" i="2" s="1"/>
  <c r="J1769" i="2" a="1"/>
  <c r="J1769" i="2" s="1"/>
  <c r="J1770" i="2" a="1"/>
  <c r="J1770" i="2" s="1"/>
  <c r="J1771" i="2" a="1"/>
  <c r="J1771" i="2" s="1"/>
  <c r="J1772" i="2" a="1"/>
  <c r="J1772" i="2" s="1"/>
  <c r="J1773" i="2" a="1"/>
  <c r="J1773" i="2" s="1"/>
  <c r="J1774" i="2" a="1"/>
  <c r="J1774" i="2" s="1"/>
  <c r="J1775" i="2" a="1"/>
  <c r="J1775" i="2" s="1"/>
  <c r="J1776" i="2" a="1"/>
  <c r="J1776" i="2" s="1"/>
  <c r="J1777" i="2" a="1"/>
  <c r="J1777" i="2" s="1"/>
  <c r="J1778" i="2" a="1"/>
  <c r="J1778" i="2" s="1"/>
  <c r="J1779" i="2" a="1"/>
  <c r="J1779" i="2" s="1"/>
  <c r="J1780" i="2" a="1"/>
  <c r="J1780" i="2" s="1"/>
  <c r="J1781" i="2" a="1"/>
  <c r="J1781" i="2" s="1"/>
  <c r="J1782" i="2" a="1"/>
  <c r="J1782" i="2" s="1"/>
  <c r="J1783" i="2" a="1"/>
  <c r="J1783" i="2" s="1"/>
  <c r="J1784" i="2" a="1"/>
  <c r="J1784" i="2" s="1"/>
  <c r="J1785" i="2" a="1"/>
  <c r="J1785" i="2" s="1"/>
  <c r="J1786" i="2" a="1"/>
  <c r="J1786" i="2" s="1"/>
  <c r="J1787" i="2" a="1"/>
  <c r="J1787" i="2" s="1"/>
  <c r="J1788" i="2" a="1"/>
  <c r="J1788" i="2" s="1"/>
  <c r="J1789" i="2" a="1"/>
  <c r="J1789" i="2" s="1"/>
  <c r="J1790" i="2" a="1"/>
  <c r="J1790" i="2" s="1"/>
  <c r="J1791" i="2" a="1"/>
  <c r="J1791" i="2" s="1"/>
  <c r="J1792" i="2" a="1"/>
  <c r="J1792" i="2" s="1"/>
  <c r="J1793" i="2" a="1"/>
  <c r="J1793" i="2" s="1"/>
  <c r="J1794" i="2" a="1"/>
  <c r="J1794" i="2" s="1"/>
  <c r="J1795" i="2" a="1"/>
  <c r="J1795" i="2" s="1"/>
  <c r="J1796" i="2" a="1"/>
  <c r="J1796" i="2" s="1"/>
  <c r="J1797" i="2" a="1"/>
  <c r="J1797" i="2" s="1"/>
  <c r="J1798" i="2" a="1"/>
  <c r="J1798" i="2" s="1"/>
  <c r="J1799" i="2" a="1"/>
  <c r="J1799" i="2" s="1"/>
  <c r="J1800" i="2" a="1"/>
  <c r="J1800" i="2" s="1"/>
  <c r="J1801" i="2" a="1"/>
  <c r="J1801" i="2" s="1"/>
  <c r="J1802" i="2" a="1"/>
  <c r="J1802" i="2" s="1"/>
  <c r="J1803" i="2" a="1"/>
  <c r="J1803" i="2" s="1"/>
  <c r="J1804" i="2" a="1"/>
  <c r="J1804" i="2" s="1"/>
  <c r="J1805" i="2" a="1"/>
  <c r="J1805" i="2" s="1"/>
  <c r="J1806" i="2" a="1"/>
  <c r="J1806" i="2" s="1"/>
  <c r="J1807" i="2" a="1"/>
  <c r="J1807" i="2" s="1"/>
  <c r="J1808" i="2" a="1"/>
  <c r="J1808" i="2" s="1"/>
  <c r="J1809" i="2" a="1"/>
  <c r="J1809" i="2" s="1"/>
  <c r="J1810" i="2" a="1"/>
  <c r="J1810" i="2" s="1"/>
  <c r="J1811" i="2" a="1"/>
  <c r="J1811" i="2" s="1"/>
  <c r="J1812" i="2" a="1"/>
  <c r="J1812" i="2" s="1"/>
  <c r="J1813" i="2" a="1"/>
  <c r="J1813" i="2" s="1"/>
  <c r="J1814" i="2" a="1"/>
  <c r="J1814" i="2" s="1"/>
  <c r="J1815" i="2" a="1"/>
  <c r="J1815" i="2" s="1"/>
  <c r="J1816" i="2" a="1"/>
  <c r="J1816" i="2" s="1"/>
  <c r="J1817" i="2" a="1"/>
  <c r="J1817" i="2" s="1"/>
  <c r="J1818" i="2" a="1"/>
  <c r="J1818" i="2" s="1"/>
  <c r="J1819" i="2" a="1"/>
  <c r="J1819" i="2" s="1"/>
  <c r="J1820" i="2" a="1"/>
  <c r="J1820" i="2" s="1"/>
  <c r="J1821" i="2" a="1"/>
  <c r="J1821" i="2" s="1"/>
  <c r="J1822" i="2" a="1"/>
  <c r="J1822" i="2" s="1"/>
  <c r="J1823" i="2" a="1"/>
  <c r="J1823" i="2" s="1"/>
  <c r="J1824" i="2" a="1"/>
  <c r="J1824" i="2" s="1"/>
  <c r="J1825" i="2" a="1"/>
  <c r="J1825" i="2" s="1"/>
  <c r="J1826" i="2" a="1"/>
  <c r="J1826" i="2" s="1"/>
  <c r="J1827" i="2" a="1"/>
  <c r="J1827" i="2" s="1"/>
  <c r="J1828" i="2" a="1"/>
  <c r="J1828" i="2" s="1"/>
  <c r="J1829" i="2" a="1"/>
  <c r="J1829" i="2" s="1"/>
  <c r="J1830" i="2" a="1"/>
  <c r="J1830" i="2" s="1"/>
  <c r="J1831" i="2" a="1"/>
  <c r="J1831" i="2" s="1"/>
  <c r="J1832" i="2" a="1"/>
  <c r="J1832" i="2" s="1"/>
  <c r="J1833" i="2" a="1"/>
  <c r="J1833" i="2" s="1"/>
  <c r="J1834" i="2" a="1"/>
  <c r="J1834" i="2" s="1"/>
  <c r="J1835" i="2" a="1"/>
  <c r="J1835" i="2" s="1"/>
  <c r="J1836" i="2" a="1"/>
  <c r="J1836" i="2" s="1"/>
  <c r="J1837" i="2" a="1"/>
  <c r="J1837" i="2" s="1"/>
  <c r="J1838" i="2" a="1"/>
  <c r="J1838" i="2" s="1"/>
  <c r="J1839" i="2" a="1"/>
  <c r="J1839" i="2" s="1"/>
  <c r="J1840" i="2" a="1"/>
  <c r="J1840" i="2" s="1"/>
  <c r="J1841" i="2" a="1"/>
  <c r="J1841" i="2" s="1"/>
  <c r="J1842" i="2" a="1"/>
  <c r="J1842" i="2" s="1"/>
  <c r="J1843" i="2" a="1"/>
  <c r="J1843" i="2" s="1"/>
  <c r="J1844" i="2" a="1"/>
  <c r="J1844" i="2" s="1"/>
  <c r="J1845" i="2" a="1"/>
  <c r="J1845" i="2" s="1"/>
  <c r="J1846" i="2" a="1"/>
  <c r="J1846" i="2" s="1"/>
  <c r="J1847" i="2" a="1"/>
  <c r="J1847" i="2" s="1"/>
  <c r="J1848" i="2" a="1"/>
  <c r="J1848" i="2" s="1"/>
  <c r="J1849" i="2" a="1"/>
  <c r="J1849" i="2" s="1"/>
  <c r="J1850" i="2" a="1"/>
  <c r="J1850" i="2" s="1"/>
  <c r="J1851" i="2" a="1"/>
  <c r="J1851" i="2" s="1"/>
  <c r="J1852" i="2" a="1"/>
  <c r="J1852" i="2" s="1"/>
  <c r="J1853" i="2" a="1"/>
  <c r="J1853" i="2" s="1"/>
  <c r="J1854" i="2" a="1"/>
  <c r="J1854" i="2" s="1"/>
  <c r="J1855" i="2" a="1"/>
  <c r="J1855" i="2" s="1"/>
  <c r="J1856" i="2" a="1"/>
  <c r="J1856" i="2" s="1"/>
  <c r="J1857" i="2" a="1"/>
  <c r="J1857" i="2" s="1"/>
  <c r="J1858" i="2" a="1"/>
  <c r="J1858" i="2" s="1"/>
  <c r="J1859" i="2" a="1"/>
  <c r="J1859" i="2" s="1"/>
  <c r="J1860" i="2" a="1"/>
  <c r="J1860" i="2" s="1"/>
  <c r="J1861" i="2" a="1"/>
  <c r="J1861" i="2" s="1"/>
  <c r="J1862" i="2" a="1"/>
  <c r="J1862" i="2" s="1"/>
  <c r="J1863" i="2" a="1"/>
  <c r="J1863" i="2" s="1"/>
  <c r="J1864" i="2" a="1"/>
  <c r="J1864" i="2" s="1"/>
  <c r="J1865" i="2" a="1"/>
  <c r="J1865" i="2" s="1"/>
  <c r="J1866" i="2" a="1"/>
  <c r="J1866" i="2" s="1"/>
  <c r="J1867" i="2" a="1"/>
  <c r="J1867" i="2" s="1"/>
  <c r="J1868" i="2" a="1"/>
  <c r="J1868" i="2" s="1"/>
  <c r="J1869" i="2" a="1"/>
  <c r="J1869" i="2"/>
  <c r="J1870" i="2" a="1"/>
  <c r="J1870" i="2" s="1"/>
  <c r="J1871" i="2" a="1"/>
  <c r="J1871" i="2" s="1"/>
  <c r="J1872" i="2" a="1"/>
  <c r="J1872" i="2" s="1"/>
  <c r="J1873" i="2" a="1"/>
  <c r="J1873" i="2" s="1"/>
  <c r="J1874" i="2" a="1"/>
  <c r="J1874" i="2" s="1"/>
  <c r="J1875" i="2" a="1"/>
  <c r="J1875" i="2" s="1"/>
  <c r="J1876" i="2" a="1"/>
  <c r="J1876" i="2" s="1"/>
  <c r="J1877" i="2" a="1"/>
  <c r="J1877" i="2" s="1"/>
  <c r="J1878" i="2" a="1"/>
  <c r="J1878" i="2" s="1"/>
  <c r="J1879" i="2" a="1"/>
  <c r="J1879" i="2" s="1"/>
  <c r="J1880" i="2" a="1"/>
  <c r="J1880" i="2" s="1"/>
  <c r="J1881" i="2" a="1"/>
  <c r="J1881" i="2" s="1"/>
  <c r="J1882" i="2" a="1"/>
  <c r="J1882" i="2" s="1"/>
  <c r="J1883" i="2" a="1"/>
  <c r="J1883" i="2" s="1"/>
  <c r="J1884" i="2" a="1"/>
  <c r="J1884" i="2" s="1"/>
  <c r="J1885" i="2" a="1"/>
  <c r="J1885" i="2" s="1"/>
  <c r="J1886" i="2" a="1"/>
  <c r="J1886" i="2" s="1"/>
  <c r="J1887" i="2" a="1"/>
  <c r="J1887" i="2" s="1"/>
  <c r="J1888" i="2" a="1"/>
  <c r="J1888" i="2" s="1"/>
  <c r="J1889" i="2" a="1"/>
  <c r="J1889" i="2" s="1"/>
  <c r="J1890" i="2" a="1"/>
  <c r="J1890" i="2" s="1"/>
  <c r="J1891" i="2" a="1"/>
  <c r="J1891" i="2" s="1"/>
  <c r="J1892" i="2" a="1"/>
  <c r="J1892" i="2" s="1"/>
  <c r="J1893" i="2" a="1"/>
  <c r="J1893" i="2" s="1"/>
  <c r="J1894" i="2" a="1"/>
  <c r="J1894" i="2" s="1"/>
  <c r="J1895" i="2" a="1"/>
  <c r="J1895" i="2" s="1"/>
  <c r="J1896" i="2" a="1"/>
  <c r="J1896" i="2" s="1"/>
  <c r="J1897" i="2" a="1"/>
  <c r="J1897" i="2" s="1"/>
  <c r="J1898" i="2" a="1"/>
  <c r="J1898" i="2" s="1"/>
  <c r="J1899" i="2" a="1"/>
  <c r="J1899" i="2" s="1"/>
  <c r="J1900" i="2" a="1"/>
  <c r="J1900" i="2" s="1"/>
  <c r="J1901" i="2" a="1"/>
  <c r="J1901" i="2" s="1"/>
  <c r="J1902" i="2" a="1"/>
  <c r="J1902" i="2" s="1"/>
  <c r="J1903" i="2" a="1"/>
  <c r="J1903" i="2" s="1"/>
  <c r="J1904" i="2" a="1"/>
  <c r="J1904" i="2" s="1"/>
  <c r="J1905" i="2" a="1"/>
  <c r="J1905" i="2" s="1"/>
  <c r="J1906" i="2" a="1"/>
  <c r="J1906" i="2" s="1"/>
  <c r="J1907" i="2" a="1"/>
  <c r="J1907" i="2" s="1"/>
  <c r="J1908" i="2" a="1"/>
  <c r="J1908" i="2" s="1"/>
  <c r="J1909" i="2" a="1"/>
  <c r="J1909" i="2" s="1"/>
  <c r="J1910" i="2" a="1"/>
  <c r="J1910" i="2" s="1"/>
  <c r="J1911" i="2" a="1"/>
  <c r="J1911" i="2" s="1"/>
  <c r="J1912" i="2" a="1"/>
  <c r="J1912" i="2" s="1"/>
  <c r="J1913" i="2" a="1"/>
  <c r="J1913" i="2" s="1"/>
  <c r="J1914" i="2" a="1"/>
  <c r="J1914" i="2" s="1"/>
  <c r="J1915" i="2" a="1"/>
  <c r="J1915" i="2" s="1"/>
  <c r="J1916" i="2" a="1"/>
  <c r="J1916" i="2" s="1"/>
  <c r="J1917" i="2" a="1"/>
  <c r="J1917" i="2" s="1"/>
  <c r="J1918" i="2" a="1"/>
  <c r="J1918" i="2" s="1"/>
  <c r="J1919" i="2" a="1"/>
  <c r="J1919" i="2" s="1"/>
  <c r="J1920" i="2" a="1"/>
  <c r="J1920" i="2" s="1"/>
  <c r="J1921" i="2" a="1"/>
  <c r="J1921" i="2" s="1"/>
  <c r="J1922" i="2" a="1"/>
  <c r="J1922" i="2" s="1"/>
  <c r="J1923" i="2" a="1"/>
  <c r="J1923" i="2" s="1"/>
  <c r="J1924" i="2" a="1"/>
  <c r="J1924" i="2" s="1"/>
  <c r="J1925" i="2" a="1"/>
  <c r="J1925" i="2" s="1"/>
  <c r="J1926" i="2" a="1"/>
  <c r="J1926" i="2" s="1"/>
  <c r="J1927" i="2" a="1"/>
  <c r="J1927" i="2" s="1"/>
  <c r="J1928" i="2" a="1"/>
  <c r="J1928" i="2" s="1"/>
  <c r="J1929" i="2" a="1"/>
  <c r="J1929" i="2" s="1"/>
  <c r="J1930" i="2" a="1"/>
  <c r="J1930" i="2" s="1"/>
  <c r="J1931" i="2" a="1"/>
  <c r="J1931" i="2" s="1"/>
  <c r="J1932" i="2" a="1"/>
  <c r="J1932" i="2" s="1"/>
  <c r="J1933" i="2" a="1"/>
  <c r="J1933" i="2" s="1"/>
  <c r="J1934" i="2" a="1"/>
  <c r="J1934" i="2" s="1"/>
  <c r="J1935" i="2" a="1"/>
  <c r="J1935" i="2" s="1"/>
  <c r="J1936" i="2" a="1"/>
  <c r="J1936" i="2" s="1"/>
  <c r="J1937" i="2" a="1"/>
  <c r="J1937" i="2" s="1"/>
  <c r="J1938" i="2" a="1"/>
  <c r="J1938" i="2" s="1"/>
  <c r="J1939" i="2" a="1"/>
  <c r="J1939" i="2" s="1"/>
  <c r="J1940" i="2" a="1"/>
  <c r="J1940" i="2" s="1"/>
  <c r="J1941" i="2" a="1"/>
  <c r="J1941" i="2" s="1"/>
  <c r="J1942" i="2" a="1"/>
  <c r="J1942" i="2" s="1"/>
  <c r="J1943" i="2" a="1"/>
  <c r="J1943" i="2" s="1"/>
  <c r="J1944" i="2" a="1"/>
  <c r="J1944" i="2" s="1"/>
  <c r="J1945" i="2" a="1"/>
  <c r="J1945" i="2" s="1"/>
  <c r="J1946" i="2" a="1"/>
  <c r="J1946" i="2" s="1"/>
  <c r="J1947" i="2" a="1"/>
  <c r="J1947" i="2" s="1"/>
  <c r="J1948" i="2" a="1"/>
  <c r="J1948" i="2" s="1"/>
  <c r="J1949" i="2" a="1"/>
  <c r="J1949" i="2" s="1"/>
  <c r="J1950" i="2" a="1"/>
  <c r="J1950" i="2" s="1"/>
  <c r="J1951" i="2" a="1"/>
  <c r="J1951" i="2" s="1"/>
  <c r="J1952" i="2" a="1"/>
  <c r="J1952" i="2" s="1"/>
  <c r="J1953" i="2" a="1"/>
  <c r="J1953" i="2" s="1"/>
  <c r="J1954" i="2" a="1"/>
  <c r="J1954" i="2" s="1"/>
  <c r="J1955" i="2" a="1"/>
  <c r="J1955" i="2" s="1"/>
  <c r="J1956" i="2" a="1"/>
  <c r="J1956" i="2" s="1"/>
  <c r="J1957" i="2" a="1"/>
  <c r="J1957" i="2" s="1"/>
  <c r="J1958" i="2" a="1"/>
  <c r="J1958" i="2" s="1"/>
  <c r="J1959" i="2" a="1"/>
  <c r="J1959" i="2" s="1"/>
  <c r="J1960" i="2" a="1"/>
  <c r="J1960" i="2" s="1"/>
  <c r="J1961" i="2" a="1"/>
  <c r="J1961" i="2" s="1"/>
  <c r="J1962" i="2" a="1"/>
  <c r="J1962" i="2" s="1"/>
  <c r="J1963" i="2" a="1"/>
  <c r="J1963" i="2" s="1"/>
  <c r="J1964" i="2" a="1"/>
  <c r="J1964" i="2" s="1"/>
  <c r="J1965" i="2" a="1"/>
  <c r="J1965" i="2" s="1"/>
  <c r="J1966" i="2" a="1"/>
  <c r="J1966" i="2" s="1"/>
  <c r="J1967" i="2" a="1"/>
  <c r="J1967" i="2" s="1"/>
  <c r="J1968" i="2" a="1"/>
  <c r="J1968" i="2" s="1"/>
  <c r="J1969" i="2" a="1"/>
  <c r="J1969" i="2" s="1"/>
  <c r="J1970" i="2" a="1"/>
  <c r="J1970" i="2" s="1"/>
  <c r="J1971" i="2" a="1"/>
  <c r="J1971" i="2" s="1"/>
  <c r="J1972" i="2" a="1"/>
  <c r="J1972" i="2" s="1"/>
  <c r="J1973" i="2" a="1"/>
  <c r="J1973" i="2" s="1"/>
  <c r="J1974" i="2" a="1"/>
  <c r="J1974" i="2" s="1"/>
  <c r="J1975" i="2" a="1"/>
  <c r="J1975" i="2" s="1"/>
  <c r="J1976" i="2" a="1"/>
  <c r="J1976" i="2" s="1"/>
  <c r="J1977" i="2" a="1"/>
  <c r="J1977" i="2" s="1"/>
  <c r="J1978" i="2" a="1"/>
  <c r="J1978" i="2" s="1"/>
  <c r="J1979" i="2" a="1"/>
  <c r="J1979" i="2" s="1"/>
  <c r="J1980" i="2" a="1"/>
  <c r="J1980" i="2" s="1"/>
  <c r="J1981" i="2" a="1"/>
  <c r="J1981" i="2" s="1"/>
  <c r="J1982" i="2" a="1"/>
  <c r="J1982" i="2" s="1"/>
  <c r="J1983" i="2" a="1"/>
  <c r="J1983" i="2"/>
  <c r="J1984" i="2" a="1"/>
  <c r="J1984" i="2" s="1"/>
  <c r="J1985" i="2" a="1"/>
  <c r="J1985" i="2" s="1"/>
  <c r="J1986" i="2" a="1"/>
  <c r="J1986" i="2" s="1"/>
  <c r="J1987" i="2" a="1"/>
  <c r="J1987" i="2" s="1"/>
  <c r="J1988" i="2" a="1"/>
  <c r="J1988" i="2" s="1"/>
  <c r="J1989" i="2" a="1"/>
  <c r="J1989" i="2" s="1"/>
  <c r="J1990" i="2" a="1"/>
  <c r="J1990" i="2" s="1"/>
  <c r="J1991" i="2" a="1"/>
  <c r="J1991" i="2" s="1"/>
  <c r="J1992" i="2" a="1"/>
  <c r="J1992" i="2" s="1"/>
  <c r="J1993" i="2" a="1"/>
  <c r="J1993" i="2" s="1"/>
  <c r="J1994" i="2" a="1"/>
  <c r="J1994" i="2" s="1"/>
  <c r="J1995" i="2" a="1"/>
  <c r="J1995" i="2" s="1"/>
  <c r="J1996" i="2" a="1"/>
  <c r="J1996" i="2" s="1"/>
  <c r="J1997" i="2" a="1"/>
  <c r="J1997" i="2" s="1"/>
  <c r="J1998" i="2" a="1"/>
  <c r="J1998" i="2" s="1"/>
  <c r="J1999" i="2" a="1"/>
  <c r="J1999" i="2" s="1"/>
  <c r="J2000" i="2" a="1"/>
  <c r="J2000" i="2" s="1"/>
  <c r="J2001" i="2" a="1"/>
  <c r="J2001" i="2" s="1"/>
  <c r="J2002" i="2" a="1"/>
  <c r="J2002" i="2" s="1"/>
  <c r="J2003" i="2" a="1"/>
  <c r="J2003" i="2" s="1"/>
  <c r="J2004" i="2" a="1"/>
  <c r="J2004" i="2" s="1"/>
  <c r="J2005" i="2" a="1"/>
  <c r="J2005" i="2" s="1"/>
  <c r="J2006" i="2" a="1"/>
  <c r="J2006" i="2" s="1"/>
  <c r="J2007" i="2" a="1"/>
  <c r="J2007" i="2" s="1"/>
  <c r="J2008" i="2" a="1"/>
  <c r="J2008" i="2" s="1"/>
  <c r="J2009" i="2" a="1"/>
  <c r="J2009" i="2" s="1"/>
  <c r="J2010" i="2" a="1"/>
  <c r="J2010" i="2" s="1"/>
  <c r="J2011" i="2" a="1"/>
  <c r="J2011" i="2" s="1"/>
  <c r="J2012" i="2" a="1"/>
  <c r="J2012" i="2" s="1"/>
  <c r="J2013" i="2" a="1"/>
  <c r="J2013" i="2" s="1"/>
  <c r="J2014" i="2" a="1"/>
  <c r="J2014" i="2" s="1"/>
  <c r="J2015" i="2" a="1"/>
  <c r="J2015" i="2" s="1"/>
  <c r="J2016" i="2" a="1"/>
  <c r="J2016" i="2" s="1"/>
  <c r="J2017" i="2" a="1"/>
  <c r="J2017" i="2" s="1"/>
  <c r="J2018" i="2" a="1"/>
  <c r="J2018" i="2" s="1"/>
  <c r="J2019" i="2" a="1"/>
  <c r="J2019" i="2" s="1"/>
  <c r="J2020" i="2" a="1"/>
  <c r="J2020" i="2" s="1"/>
  <c r="J2021" i="2" a="1"/>
  <c r="J2021" i="2" s="1"/>
  <c r="J2022" i="2" a="1"/>
  <c r="J2022" i="2" s="1"/>
  <c r="J2023" i="2" a="1"/>
  <c r="J2023" i="2" s="1"/>
  <c r="J2024" i="2" a="1"/>
  <c r="J2024" i="2" s="1"/>
  <c r="J2025" i="2" a="1"/>
  <c r="J2025" i="2" s="1"/>
  <c r="J2026" i="2" a="1"/>
  <c r="J2026" i="2" s="1"/>
  <c r="J2027" i="2" a="1"/>
  <c r="J2027" i="2" s="1"/>
  <c r="J2028" i="2" a="1"/>
  <c r="J2028" i="2" s="1"/>
  <c r="J2029" i="2" a="1"/>
  <c r="J2029" i="2" s="1"/>
  <c r="J2030" i="2" a="1"/>
  <c r="J2030" i="2" s="1"/>
  <c r="J2031" i="2" a="1"/>
  <c r="J2031" i="2" s="1"/>
  <c r="J2032" i="2" a="1"/>
  <c r="J2032" i="2" s="1"/>
  <c r="J2033" i="2" a="1"/>
  <c r="J2033" i="2" s="1"/>
  <c r="J2034" i="2" a="1"/>
  <c r="J2034" i="2" s="1"/>
  <c r="J2035" i="2" a="1"/>
  <c r="J2035" i="2" s="1"/>
  <c r="J2036" i="2" a="1"/>
  <c r="J2036" i="2" s="1"/>
  <c r="J2037" i="2" a="1"/>
  <c r="J2037" i="2" s="1"/>
  <c r="J2038" i="2" a="1"/>
  <c r="J2038" i="2" s="1"/>
  <c r="J2039" i="2" a="1"/>
  <c r="J2039" i="2" s="1"/>
  <c r="J2040" i="2" a="1"/>
  <c r="J2040" i="2" s="1"/>
  <c r="J2041" i="2" a="1"/>
  <c r="J2041" i="2" s="1"/>
  <c r="J2042" i="2" a="1"/>
  <c r="J2042" i="2" s="1"/>
  <c r="J2043" i="2" a="1"/>
  <c r="J2043" i="2" s="1"/>
  <c r="J2044" i="2" a="1"/>
  <c r="J2044" i="2" s="1"/>
  <c r="J2045" i="2" a="1"/>
  <c r="J2045" i="2" s="1"/>
  <c r="J2046" i="2" a="1"/>
  <c r="J2046" i="2" s="1"/>
  <c r="J2047" i="2" a="1"/>
  <c r="J2047" i="2" s="1"/>
  <c r="J2048" i="2" a="1"/>
  <c r="J2048" i="2" s="1"/>
  <c r="J2049" i="2" a="1"/>
  <c r="J2049" i="2" s="1"/>
  <c r="J2050" i="2" a="1"/>
  <c r="J2050" i="2" s="1"/>
  <c r="J2051" i="2" a="1"/>
  <c r="J2051" i="2" s="1"/>
  <c r="J2052" i="2" a="1"/>
  <c r="J2052" i="2" s="1"/>
  <c r="J2053" i="2" a="1"/>
  <c r="J2053" i="2" s="1"/>
  <c r="J2054" i="2" a="1"/>
  <c r="J2054" i="2" s="1"/>
  <c r="J2055" i="2" a="1"/>
  <c r="J2055" i="2" s="1"/>
  <c r="J2056" i="2" a="1"/>
  <c r="J2056" i="2" s="1"/>
  <c r="J2057" i="2" a="1"/>
  <c r="J2057" i="2" s="1"/>
  <c r="J2058" i="2" a="1"/>
  <c r="J2058" i="2" s="1"/>
  <c r="J2059" i="2" a="1"/>
  <c r="J2059" i="2" s="1"/>
  <c r="J2060" i="2" a="1"/>
  <c r="J2060" i="2" s="1"/>
  <c r="J2061" i="2" a="1"/>
  <c r="J2061" i="2" s="1"/>
  <c r="J2062" i="2" a="1"/>
  <c r="J2062" i="2" s="1"/>
  <c r="J2063" i="2" a="1"/>
  <c r="J2063" i="2" s="1"/>
  <c r="J2064" i="2" a="1"/>
  <c r="J2064" i="2" s="1"/>
  <c r="J2065" i="2" a="1"/>
  <c r="J2065" i="2" s="1"/>
  <c r="J2066" i="2" a="1"/>
  <c r="J2066" i="2" s="1"/>
  <c r="J2067" i="2" a="1"/>
  <c r="J2067" i="2" s="1"/>
  <c r="J2068" i="2" a="1"/>
  <c r="J2068" i="2" s="1"/>
  <c r="J2069" i="2" a="1"/>
  <c r="J2069" i="2" s="1"/>
  <c r="J2070" i="2" a="1"/>
  <c r="J2070" i="2" s="1"/>
  <c r="J2071" i="2" a="1"/>
  <c r="J2071" i="2" s="1"/>
  <c r="J2072" i="2" a="1"/>
  <c r="J2072" i="2" s="1"/>
  <c r="J2073" i="2" a="1"/>
  <c r="J2073" i="2" s="1"/>
  <c r="J2074" i="2" a="1"/>
  <c r="J2074" i="2" s="1"/>
  <c r="J2075" i="2" a="1"/>
  <c r="J2075" i="2" s="1"/>
  <c r="J2076" i="2" a="1"/>
  <c r="J2076" i="2" s="1"/>
  <c r="J2077" i="2" a="1"/>
  <c r="J2077" i="2" s="1"/>
  <c r="J2078" i="2" a="1"/>
  <c r="J2078" i="2" s="1"/>
  <c r="J2079" i="2" a="1"/>
  <c r="J2079" i="2" s="1"/>
  <c r="J2080" i="2" a="1"/>
  <c r="J2080" i="2" s="1"/>
  <c r="J2081" i="2" a="1"/>
  <c r="J2081" i="2" s="1"/>
  <c r="J2082" i="2" a="1"/>
  <c r="J2082" i="2" s="1"/>
  <c r="J2083" i="2" a="1"/>
  <c r="J2083" i="2" s="1"/>
  <c r="J2084" i="2" a="1"/>
  <c r="J2084" i="2" s="1"/>
  <c r="J2085" i="2" a="1"/>
  <c r="J2085" i="2" s="1"/>
  <c r="J2086" i="2" a="1"/>
  <c r="J2086" i="2" s="1"/>
  <c r="J2087" i="2" a="1"/>
  <c r="J2087" i="2" s="1"/>
  <c r="J2088" i="2" a="1"/>
  <c r="J2088" i="2" s="1"/>
  <c r="J2089" i="2" a="1"/>
  <c r="J2089" i="2" s="1"/>
  <c r="J2090" i="2" a="1"/>
  <c r="J2090" i="2" s="1"/>
  <c r="J2091" i="2" a="1"/>
  <c r="J2091" i="2" s="1"/>
  <c r="J2092" i="2" a="1"/>
  <c r="J2092" i="2" s="1"/>
  <c r="J2093" i="2" a="1"/>
  <c r="J2093" i="2" s="1"/>
  <c r="J2094" i="2" a="1"/>
  <c r="J2094" i="2" s="1"/>
  <c r="J2095" i="2" a="1"/>
  <c r="J2095" i="2" s="1"/>
  <c r="J2096" i="2" a="1"/>
  <c r="J2096" i="2" s="1"/>
  <c r="J2097" i="2" a="1"/>
  <c r="J2097" i="2" s="1"/>
  <c r="J2098" i="2" a="1"/>
  <c r="J2098" i="2" s="1"/>
  <c r="J2099" i="2" a="1"/>
  <c r="J2099" i="2" s="1"/>
  <c r="J2100" i="2" a="1"/>
  <c r="J2100" i="2" s="1"/>
  <c r="J2101" i="2" a="1"/>
  <c r="J2101" i="2" s="1"/>
  <c r="J2102" i="2" a="1"/>
  <c r="J2102" i="2" s="1"/>
  <c r="J2103" i="2" a="1"/>
  <c r="J2103" i="2" s="1"/>
  <c r="J2104" i="2" a="1"/>
  <c r="J2104" i="2" s="1"/>
  <c r="J2105" i="2" a="1"/>
  <c r="J2105" i="2" s="1"/>
  <c r="J2106" i="2" a="1"/>
  <c r="J2106" i="2" s="1"/>
  <c r="J2107" i="2" a="1"/>
  <c r="J2107" i="2" s="1"/>
  <c r="J2108" i="2" a="1"/>
  <c r="J2108" i="2" s="1"/>
  <c r="J2109" i="2" a="1"/>
  <c r="J2109" i="2" s="1"/>
  <c r="J2110" i="2" a="1"/>
  <c r="J2110" i="2" s="1"/>
  <c r="J2111" i="2" a="1"/>
  <c r="J2111" i="2" s="1"/>
  <c r="J2112" i="2" a="1"/>
  <c r="J2112" i="2" s="1"/>
  <c r="J2113" i="2" a="1"/>
  <c r="J2113" i="2" s="1"/>
  <c r="J2114" i="2" a="1"/>
  <c r="J2114" i="2" s="1"/>
  <c r="J2115" i="2" a="1"/>
  <c r="J2115" i="2" s="1"/>
  <c r="J2116" i="2" a="1"/>
  <c r="J2116" i="2" s="1"/>
  <c r="J2117" i="2" a="1"/>
  <c r="J2117" i="2" s="1"/>
  <c r="J2118" i="2" a="1"/>
  <c r="J2118" i="2" s="1"/>
  <c r="J2119" i="2" a="1"/>
  <c r="J2119" i="2" s="1"/>
  <c r="J2120" i="2" a="1"/>
  <c r="J2120" i="2" s="1"/>
  <c r="J2121" i="2" a="1"/>
  <c r="J2121" i="2" s="1"/>
  <c r="J2122" i="2" a="1"/>
  <c r="J2122" i="2" s="1"/>
  <c r="J2123" i="2" a="1"/>
  <c r="J2123" i="2" s="1"/>
  <c r="J2124" i="2" a="1"/>
  <c r="J2124" i="2" s="1"/>
  <c r="J2125" i="2" a="1"/>
  <c r="J2125" i="2" s="1"/>
  <c r="J2126" i="2" a="1"/>
  <c r="J2126" i="2" s="1"/>
  <c r="J2127" i="2" a="1"/>
  <c r="J2127" i="2" s="1"/>
  <c r="J2128" i="2" a="1"/>
  <c r="J2128" i="2" s="1"/>
  <c r="J2129" i="2" a="1"/>
  <c r="J2129" i="2" s="1"/>
  <c r="J2130" i="2" a="1"/>
  <c r="J2130" i="2" s="1"/>
  <c r="J2131" i="2" a="1"/>
  <c r="J2131" i="2" s="1"/>
  <c r="J2132" i="2" a="1"/>
  <c r="J2132" i="2" s="1"/>
  <c r="J2133" i="2" a="1"/>
  <c r="J2133" i="2" s="1"/>
  <c r="J2134" i="2" a="1"/>
  <c r="J2134" i="2" s="1"/>
  <c r="J2135" i="2" a="1"/>
  <c r="J2135" i="2" s="1"/>
  <c r="J2136" i="2" a="1"/>
  <c r="J2136" i="2" s="1"/>
  <c r="J2137" i="2" a="1"/>
  <c r="J2137" i="2" s="1"/>
  <c r="J2138" i="2" a="1"/>
  <c r="J2138" i="2" s="1"/>
  <c r="J2139" i="2" a="1"/>
  <c r="J2139" i="2" s="1"/>
  <c r="J2140" i="2" a="1"/>
  <c r="J2140" i="2" s="1"/>
  <c r="J2141" i="2" a="1"/>
  <c r="J2141" i="2" s="1"/>
  <c r="J2142" i="2" a="1"/>
  <c r="J2142" i="2" s="1"/>
  <c r="J2143" i="2" a="1"/>
  <c r="J2143" i="2" s="1"/>
  <c r="J2144" i="2" a="1"/>
  <c r="J2144" i="2" s="1"/>
  <c r="J2145" i="2" a="1"/>
  <c r="J2145" i="2"/>
  <c r="J2146" i="2" a="1"/>
  <c r="J2146" i="2" s="1"/>
  <c r="J2147" i="2" a="1"/>
  <c r="J2147" i="2" s="1"/>
  <c r="J2148" i="2" a="1"/>
  <c r="J2148" i="2" s="1"/>
  <c r="J2149" i="2" a="1"/>
  <c r="J2149" i="2" s="1"/>
  <c r="J2150" i="2" a="1"/>
  <c r="J2150" i="2" s="1"/>
  <c r="J2151" i="2" a="1"/>
  <c r="J2151" i="2" s="1"/>
  <c r="J2152" i="2" a="1"/>
  <c r="J2152" i="2" s="1"/>
  <c r="J2153" i="2" a="1"/>
  <c r="J2153" i="2" s="1"/>
  <c r="J2154" i="2" a="1"/>
  <c r="J2154" i="2" s="1"/>
  <c r="J2155" i="2" a="1"/>
  <c r="J2155" i="2" s="1"/>
  <c r="J2156" i="2" a="1"/>
  <c r="J2156" i="2" s="1"/>
  <c r="J2157" i="2" a="1"/>
  <c r="J2157" i="2" s="1"/>
  <c r="J2158" i="2" a="1"/>
  <c r="J2158" i="2" s="1"/>
  <c r="J2159" i="2" a="1"/>
  <c r="J2159" i="2" s="1"/>
  <c r="J2160" i="2" a="1"/>
  <c r="J2160" i="2" s="1"/>
  <c r="J2161" i="2" a="1"/>
  <c r="J2161" i="2" s="1"/>
  <c r="J2162" i="2" a="1"/>
  <c r="J2162" i="2" s="1"/>
  <c r="J2163" i="2" a="1"/>
  <c r="J2163" i="2" s="1"/>
  <c r="J2164" i="2" a="1"/>
  <c r="J2164" i="2" s="1"/>
  <c r="J2165" i="2" a="1"/>
  <c r="J2165" i="2" s="1"/>
  <c r="J2166" i="2" a="1"/>
  <c r="J2166" i="2" s="1"/>
  <c r="J2167" i="2" a="1"/>
  <c r="J2167" i="2" s="1"/>
  <c r="J2168" i="2" a="1"/>
  <c r="J2168" i="2" s="1"/>
  <c r="J2169" i="2" a="1"/>
  <c r="J2169" i="2" s="1"/>
  <c r="J2170" i="2" a="1"/>
  <c r="J2170" i="2" s="1"/>
  <c r="J2171" i="2" a="1"/>
  <c r="J2171" i="2" s="1"/>
  <c r="J2172" i="2" a="1"/>
  <c r="J2172" i="2" s="1"/>
  <c r="J2173" i="2" a="1"/>
  <c r="J2173" i="2" s="1"/>
  <c r="J2174" i="2" a="1"/>
  <c r="J2174" i="2" s="1"/>
  <c r="J2175" i="2" a="1"/>
  <c r="J2175" i="2" s="1"/>
  <c r="J2176" i="2" a="1"/>
  <c r="J2176" i="2" s="1"/>
  <c r="J2177" i="2" a="1"/>
  <c r="J2177" i="2" s="1"/>
  <c r="J2178" i="2" a="1"/>
  <c r="J2178" i="2" s="1"/>
  <c r="J2179" i="2" a="1"/>
  <c r="J2179" i="2" s="1"/>
  <c r="J2180" i="2" a="1"/>
  <c r="J2180" i="2" s="1"/>
  <c r="J2181" i="2" a="1"/>
  <c r="J2181" i="2" s="1"/>
  <c r="J2182" i="2" a="1"/>
  <c r="J2182" i="2" s="1"/>
  <c r="J2183" i="2" a="1"/>
  <c r="J2183" i="2" s="1"/>
  <c r="J2184" i="2" a="1"/>
  <c r="J2184" i="2" s="1"/>
  <c r="J2185" i="2" a="1"/>
  <c r="J2185" i="2" s="1"/>
  <c r="J2186" i="2" a="1"/>
  <c r="J2186" i="2" s="1"/>
  <c r="J2187" i="2" a="1"/>
  <c r="J2187" i="2" s="1"/>
  <c r="J2188" i="2" a="1"/>
  <c r="J2188" i="2" s="1"/>
  <c r="J2189" i="2" a="1"/>
  <c r="J2189" i="2" s="1"/>
  <c r="J2190" i="2" a="1"/>
  <c r="J2190" i="2" s="1"/>
  <c r="J2191" i="2" a="1"/>
  <c r="J2191" i="2" s="1"/>
  <c r="J2192" i="2" a="1"/>
  <c r="J2192" i="2" s="1"/>
  <c r="J2193" i="2" a="1"/>
  <c r="J2193" i="2" s="1"/>
  <c r="J2194" i="2" a="1"/>
  <c r="J2194" i="2" s="1"/>
  <c r="J2195" i="2" a="1"/>
  <c r="J2195" i="2" s="1"/>
  <c r="J2196" i="2" a="1"/>
  <c r="J2196" i="2" s="1"/>
  <c r="J2197" i="2" a="1"/>
  <c r="J2197" i="2" s="1"/>
  <c r="J2198" i="2" a="1"/>
  <c r="J2198" i="2" s="1"/>
  <c r="J2199" i="2" a="1"/>
  <c r="J2199" i="2" s="1"/>
  <c r="J2200" i="2" a="1"/>
  <c r="J2200" i="2" s="1"/>
  <c r="J2201" i="2" a="1"/>
  <c r="J2201" i="2" s="1"/>
  <c r="J2202" i="2" a="1"/>
  <c r="J2202" i="2" s="1"/>
  <c r="J2203" i="2" a="1"/>
  <c r="J2203" i="2" s="1"/>
  <c r="J2204" i="2" a="1"/>
  <c r="J2204" i="2" s="1"/>
  <c r="J2205" i="2" a="1"/>
  <c r="J2205" i="2" s="1"/>
  <c r="J2206" i="2" a="1"/>
  <c r="J2206" i="2" s="1"/>
  <c r="J2" i="2" a="1"/>
  <c r="J2" i="2" s="1"/>
  <c r="H3" i="2" a="1"/>
  <c r="H3" i="2" s="1"/>
  <c r="H4" i="2" a="1"/>
  <c r="H4" i="2" s="1"/>
  <c r="H5" i="2" a="1"/>
  <c r="H5" i="2" s="1"/>
  <c r="H6" i="2" a="1"/>
  <c r="H6" i="2" s="1"/>
  <c r="H7" i="2" a="1"/>
  <c r="H7" i="2" s="1"/>
  <c r="H8" i="2" a="1"/>
  <c r="H8" i="2" s="1"/>
  <c r="H9" i="2" a="1"/>
  <c r="H9" i="2" s="1"/>
  <c r="H10" i="2" a="1"/>
  <c r="H10" i="2" s="1"/>
  <c r="H11" i="2" a="1"/>
  <c r="H11" i="2" s="1"/>
  <c r="H12" i="2" a="1"/>
  <c r="H12" i="2" s="1"/>
  <c r="H13" i="2" a="1"/>
  <c r="H13" i="2" s="1"/>
  <c r="H14" i="2" a="1"/>
  <c r="H14" i="2" s="1"/>
  <c r="H15" i="2" a="1"/>
  <c r="H15" i="2" s="1"/>
  <c r="H16" i="2" a="1"/>
  <c r="H16" i="2" s="1"/>
  <c r="H17" i="2" a="1"/>
  <c r="H17" i="2" s="1"/>
  <c r="H18" i="2" a="1"/>
  <c r="H18" i="2" s="1"/>
  <c r="H19" i="2" a="1"/>
  <c r="H19" i="2" s="1"/>
  <c r="H20" i="2" a="1"/>
  <c r="H20" i="2" s="1"/>
  <c r="H21" i="2" a="1"/>
  <c r="H21" i="2" s="1"/>
  <c r="H22" i="2" a="1"/>
  <c r="H22" i="2" s="1"/>
  <c r="H23" i="2" a="1"/>
  <c r="H23" i="2" s="1"/>
  <c r="H24" i="2" a="1"/>
  <c r="H24" i="2" s="1"/>
  <c r="H25" i="2" a="1"/>
  <c r="H25" i="2" s="1"/>
  <c r="H26" i="2" a="1"/>
  <c r="H26" i="2" s="1"/>
  <c r="H27" i="2" a="1"/>
  <c r="H27" i="2" s="1"/>
  <c r="H28" i="2" a="1"/>
  <c r="H28" i="2" s="1"/>
  <c r="H29" i="2" a="1"/>
  <c r="H29" i="2" s="1"/>
  <c r="H30" i="2" a="1"/>
  <c r="H30" i="2" s="1"/>
  <c r="H31" i="2" a="1"/>
  <c r="H31" i="2" s="1"/>
  <c r="H32" i="2" a="1"/>
  <c r="H32" i="2" s="1"/>
  <c r="H33" i="2" a="1"/>
  <c r="H33" i="2" s="1"/>
  <c r="H34" i="2" a="1"/>
  <c r="H34" i="2" s="1"/>
  <c r="H35" i="2" a="1"/>
  <c r="H35" i="2" s="1"/>
  <c r="H36" i="2" a="1"/>
  <c r="H36" i="2" s="1"/>
  <c r="H37" i="2" a="1"/>
  <c r="H37" i="2" s="1"/>
  <c r="H38" i="2" a="1"/>
  <c r="H38" i="2" s="1"/>
  <c r="H39" i="2" a="1"/>
  <c r="H39" i="2" s="1"/>
  <c r="H40" i="2" a="1"/>
  <c r="H40" i="2" s="1"/>
  <c r="H41" i="2" a="1"/>
  <c r="H41" i="2" s="1"/>
  <c r="H42" i="2" a="1"/>
  <c r="H42" i="2" s="1"/>
  <c r="H43" i="2" a="1"/>
  <c r="H43" i="2" s="1"/>
  <c r="H44" i="2" a="1"/>
  <c r="H44" i="2" s="1"/>
  <c r="H45" i="2" a="1"/>
  <c r="H45" i="2" s="1"/>
  <c r="H46" i="2" a="1"/>
  <c r="H46" i="2" s="1"/>
  <c r="H47" i="2" a="1"/>
  <c r="H47" i="2" s="1"/>
  <c r="H48" i="2" a="1"/>
  <c r="H48" i="2" s="1"/>
  <c r="H49" i="2" a="1"/>
  <c r="H49" i="2" s="1"/>
  <c r="H50" i="2" a="1"/>
  <c r="H50" i="2" s="1"/>
  <c r="H51" i="2" a="1"/>
  <c r="H51" i="2" s="1"/>
  <c r="H52" i="2" a="1"/>
  <c r="H52" i="2" s="1"/>
  <c r="H53" i="2" a="1"/>
  <c r="H53" i="2" s="1"/>
  <c r="H54" i="2" a="1"/>
  <c r="H54" i="2" s="1"/>
  <c r="H55" i="2" a="1"/>
  <c r="H55" i="2" s="1"/>
  <c r="H56" i="2" a="1"/>
  <c r="H56" i="2" s="1"/>
  <c r="H57" i="2" a="1"/>
  <c r="H57" i="2" s="1"/>
  <c r="H58" i="2" a="1"/>
  <c r="H58" i="2" s="1"/>
  <c r="H59" i="2" a="1"/>
  <c r="H59" i="2" s="1"/>
  <c r="H60" i="2" a="1"/>
  <c r="H60" i="2" s="1"/>
  <c r="H61" i="2" a="1"/>
  <c r="H61" i="2" s="1"/>
  <c r="H62" i="2" a="1"/>
  <c r="H62" i="2" s="1"/>
  <c r="H63" i="2" a="1"/>
  <c r="H63" i="2" s="1"/>
  <c r="H64" i="2" a="1"/>
  <c r="H64" i="2" s="1"/>
  <c r="H65" i="2" a="1"/>
  <c r="H65" i="2" s="1"/>
  <c r="H66" i="2" a="1"/>
  <c r="H66" i="2" s="1"/>
  <c r="H67" i="2" a="1"/>
  <c r="H67" i="2" s="1"/>
  <c r="H68" i="2" a="1"/>
  <c r="H68" i="2" s="1"/>
  <c r="H69" i="2" a="1"/>
  <c r="H69" i="2" s="1"/>
  <c r="H70" i="2" a="1"/>
  <c r="H70" i="2" s="1"/>
  <c r="H71" i="2" a="1"/>
  <c r="H71" i="2" s="1"/>
  <c r="H72" i="2" a="1"/>
  <c r="H72" i="2" s="1"/>
  <c r="H73" i="2" a="1"/>
  <c r="H73" i="2" s="1"/>
  <c r="H74" i="2" a="1"/>
  <c r="H74" i="2" s="1"/>
  <c r="H75" i="2" a="1"/>
  <c r="H75" i="2" s="1"/>
  <c r="H76" i="2" a="1"/>
  <c r="H76" i="2" s="1"/>
  <c r="H77" i="2" a="1"/>
  <c r="H77" i="2" s="1"/>
  <c r="H78" i="2" a="1"/>
  <c r="H78" i="2" s="1"/>
  <c r="H79" i="2" a="1"/>
  <c r="H79" i="2" s="1"/>
  <c r="H80" i="2" a="1"/>
  <c r="H80" i="2" s="1"/>
  <c r="H81" i="2" a="1"/>
  <c r="H81" i="2" s="1"/>
  <c r="H82" i="2" a="1"/>
  <c r="H82" i="2" s="1"/>
  <c r="H83" i="2" a="1"/>
  <c r="H83" i="2" s="1"/>
  <c r="H84" i="2" a="1"/>
  <c r="H84" i="2" s="1"/>
  <c r="H85" i="2" a="1"/>
  <c r="H85" i="2" s="1"/>
  <c r="H86" i="2" a="1"/>
  <c r="H86" i="2" s="1"/>
  <c r="H87" i="2" a="1"/>
  <c r="H87" i="2" s="1"/>
  <c r="H88" i="2" a="1"/>
  <c r="H88" i="2" s="1"/>
  <c r="H89" i="2" a="1"/>
  <c r="H89" i="2" s="1"/>
  <c r="H90" i="2" a="1"/>
  <c r="H90" i="2" s="1"/>
  <c r="H91" i="2" a="1"/>
  <c r="H91" i="2" s="1"/>
  <c r="H92" i="2" a="1"/>
  <c r="H92" i="2" s="1"/>
  <c r="H93" i="2" a="1"/>
  <c r="H93" i="2" s="1"/>
  <c r="H94" i="2" a="1"/>
  <c r="H94" i="2" s="1"/>
  <c r="H95" i="2" a="1"/>
  <c r="H95" i="2" s="1"/>
  <c r="H96" i="2" a="1"/>
  <c r="H96" i="2" s="1"/>
  <c r="H97" i="2" a="1"/>
  <c r="H97" i="2" s="1"/>
  <c r="H98" i="2" a="1"/>
  <c r="H98" i="2" s="1"/>
  <c r="H99" i="2" a="1"/>
  <c r="H99" i="2" s="1"/>
  <c r="H100" i="2" a="1"/>
  <c r="H100" i="2" s="1"/>
  <c r="H101" i="2" a="1"/>
  <c r="H101" i="2" s="1"/>
  <c r="H102" i="2" a="1"/>
  <c r="H102" i="2" s="1"/>
  <c r="H103" i="2" a="1"/>
  <c r="H103" i="2" s="1"/>
  <c r="H104" i="2" a="1"/>
  <c r="H104" i="2" s="1"/>
  <c r="H105" i="2" a="1"/>
  <c r="H105" i="2" s="1"/>
  <c r="H106" i="2" a="1"/>
  <c r="H106" i="2" s="1"/>
  <c r="H107" i="2" a="1"/>
  <c r="H107" i="2" s="1"/>
  <c r="H108" i="2" a="1"/>
  <c r="H108" i="2" s="1"/>
  <c r="H109" i="2" a="1"/>
  <c r="H109" i="2" s="1"/>
  <c r="H110" i="2" a="1"/>
  <c r="H110" i="2" s="1"/>
  <c r="H111" i="2" a="1"/>
  <c r="H111" i="2" s="1"/>
  <c r="H112" i="2" a="1"/>
  <c r="H112" i="2" s="1"/>
  <c r="H113" i="2" a="1"/>
  <c r="H113" i="2" s="1"/>
  <c r="H114" i="2" a="1"/>
  <c r="H114" i="2" s="1"/>
  <c r="H115" i="2" a="1"/>
  <c r="H115" i="2" s="1"/>
  <c r="H116" i="2" a="1"/>
  <c r="H116" i="2" s="1"/>
  <c r="H117" i="2" a="1"/>
  <c r="H117" i="2" s="1"/>
  <c r="H118" i="2" a="1"/>
  <c r="H118" i="2" s="1"/>
  <c r="H119" i="2" a="1"/>
  <c r="H119" i="2" s="1"/>
  <c r="H120" i="2" a="1"/>
  <c r="H120" i="2" s="1"/>
  <c r="H121" i="2" a="1"/>
  <c r="H121" i="2" s="1"/>
  <c r="H122" i="2" a="1"/>
  <c r="H122" i="2" s="1"/>
  <c r="H123" i="2" a="1"/>
  <c r="H123" i="2" s="1"/>
  <c r="H124" i="2" a="1"/>
  <c r="H124" i="2" s="1"/>
  <c r="H125" i="2" a="1"/>
  <c r="H125" i="2" s="1"/>
  <c r="H126" i="2" a="1"/>
  <c r="H126" i="2" s="1"/>
  <c r="H127" i="2" a="1"/>
  <c r="H127" i="2" s="1"/>
  <c r="H128" i="2" a="1"/>
  <c r="H128" i="2" s="1"/>
  <c r="H129" i="2" a="1"/>
  <c r="H129" i="2" s="1"/>
  <c r="H130" i="2" a="1"/>
  <c r="H130" i="2" s="1"/>
  <c r="H131" i="2" a="1"/>
  <c r="H131" i="2" s="1"/>
  <c r="H132" i="2" a="1"/>
  <c r="H132" i="2" s="1"/>
  <c r="H133" i="2" a="1"/>
  <c r="H133" i="2" s="1"/>
  <c r="H134" i="2" a="1"/>
  <c r="H134" i="2" s="1"/>
  <c r="H135" i="2" a="1"/>
  <c r="H135" i="2" s="1"/>
  <c r="H136" i="2" a="1"/>
  <c r="H136" i="2" s="1"/>
  <c r="H137" i="2" a="1"/>
  <c r="H137" i="2" s="1"/>
  <c r="H138" i="2" a="1"/>
  <c r="H138" i="2" s="1"/>
  <c r="H139" i="2" a="1"/>
  <c r="H139" i="2" s="1"/>
  <c r="H140" i="2" a="1"/>
  <c r="H140" i="2" s="1"/>
  <c r="H141" i="2" a="1"/>
  <c r="H141" i="2" s="1"/>
  <c r="H142" i="2" a="1"/>
  <c r="H142" i="2" s="1"/>
  <c r="H143" i="2" a="1"/>
  <c r="H143" i="2" s="1"/>
  <c r="H144" i="2" a="1"/>
  <c r="H144" i="2" s="1"/>
  <c r="H145" i="2" a="1"/>
  <c r="H145" i="2" s="1"/>
  <c r="H146" i="2" a="1"/>
  <c r="H146" i="2" s="1"/>
  <c r="H147" i="2" a="1"/>
  <c r="H147" i="2" s="1"/>
  <c r="H148" i="2" a="1"/>
  <c r="H148" i="2" s="1"/>
  <c r="H149" i="2" a="1"/>
  <c r="H149" i="2" s="1"/>
  <c r="H150" i="2" a="1"/>
  <c r="H150" i="2" s="1"/>
  <c r="H151" i="2" a="1"/>
  <c r="H151" i="2" s="1"/>
  <c r="H152" i="2" a="1"/>
  <c r="H152" i="2" s="1"/>
  <c r="H153" i="2" a="1"/>
  <c r="H153" i="2" s="1"/>
  <c r="H154" i="2" a="1"/>
  <c r="H154" i="2" s="1"/>
  <c r="H155" i="2" a="1"/>
  <c r="H155" i="2" s="1"/>
  <c r="H156" i="2" a="1"/>
  <c r="H156" i="2" s="1"/>
  <c r="H157" i="2" a="1"/>
  <c r="H157" i="2" s="1"/>
  <c r="H158" i="2" a="1"/>
  <c r="H158" i="2" s="1"/>
  <c r="H159" i="2" a="1"/>
  <c r="H159" i="2" s="1"/>
  <c r="H160" i="2" a="1"/>
  <c r="H160" i="2" s="1"/>
  <c r="H161" i="2" a="1"/>
  <c r="H161" i="2" s="1"/>
  <c r="H162" i="2" a="1"/>
  <c r="H162" i="2" s="1"/>
  <c r="H163" i="2" a="1"/>
  <c r="H163" i="2" s="1"/>
  <c r="H164" i="2" a="1"/>
  <c r="H164" i="2" s="1"/>
  <c r="H165" i="2" a="1"/>
  <c r="H165" i="2" s="1"/>
  <c r="H166" i="2" a="1"/>
  <c r="H166" i="2" s="1"/>
  <c r="H167" i="2" a="1"/>
  <c r="H167" i="2" s="1"/>
  <c r="H168" i="2" a="1"/>
  <c r="H168" i="2" s="1"/>
  <c r="H169" i="2" a="1"/>
  <c r="H169" i="2" s="1"/>
  <c r="H170" i="2" a="1"/>
  <c r="H170" i="2" s="1"/>
  <c r="H171" i="2" a="1"/>
  <c r="H171" i="2" s="1"/>
  <c r="H172" i="2" a="1"/>
  <c r="H172" i="2" s="1"/>
  <c r="H173" i="2" a="1"/>
  <c r="H173" i="2" s="1"/>
  <c r="H174" i="2" a="1"/>
  <c r="H174" i="2" s="1"/>
  <c r="H175" i="2" a="1"/>
  <c r="H175" i="2" s="1"/>
  <c r="H176" i="2" a="1"/>
  <c r="H176" i="2" s="1"/>
  <c r="H177" i="2" a="1"/>
  <c r="H177" i="2" s="1"/>
  <c r="H178" i="2" a="1"/>
  <c r="H178" i="2" s="1"/>
  <c r="H179" i="2" a="1"/>
  <c r="H179" i="2" s="1"/>
  <c r="H180" i="2" a="1"/>
  <c r="H180" i="2" s="1"/>
  <c r="H181" i="2" a="1"/>
  <c r="H181" i="2" s="1"/>
  <c r="H182" i="2" a="1"/>
  <c r="H182" i="2" s="1"/>
  <c r="H183" i="2" a="1"/>
  <c r="H183" i="2" s="1"/>
  <c r="H184" i="2" a="1"/>
  <c r="H184" i="2" s="1"/>
  <c r="H185" i="2" a="1"/>
  <c r="H185" i="2" s="1"/>
  <c r="H186" i="2" a="1"/>
  <c r="H186" i="2" s="1"/>
  <c r="H187" i="2" a="1"/>
  <c r="H187" i="2" s="1"/>
  <c r="H188" i="2" a="1"/>
  <c r="H188" i="2" s="1"/>
  <c r="H189" i="2" a="1"/>
  <c r="H189" i="2" s="1"/>
  <c r="H190" i="2" a="1"/>
  <c r="H190" i="2" s="1"/>
  <c r="H191" i="2" a="1"/>
  <c r="H191" i="2" s="1"/>
  <c r="H192" i="2" a="1"/>
  <c r="H192" i="2" s="1"/>
  <c r="H193" i="2" a="1"/>
  <c r="H193" i="2" s="1"/>
  <c r="H194" i="2" a="1"/>
  <c r="H194" i="2" s="1"/>
  <c r="H195" i="2" a="1"/>
  <c r="H195" i="2" s="1"/>
  <c r="H196" i="2" a="1"/>
  <c r="H196" i="2" s="1"/>
  <c r="H197" i="2" a="1"/>
  <c r="H197" i="2" s="1"/>
  <c r="H198" i="2" a="1"/>
  <c r="H198" i="2" s="1"/>
  <c r="H199" i="2" a="1"/>
  <c r="H199" i="2" s="1"/>
  <c r="H200" i="2" a="1"/>
  <c r="H200" i="2" s="1"/>
  <c r="H201" i="2" a="1"/>
  <c r="H201" i="2" s="1"/>
  <c r="H202" i="2" a="1"/>
  <c r="H202" i="2" s="1"/>
  <c r="H203" i="2" a="1"/>
  <c r="H203" i="2" s="1"/>
  <c r="H204" i="2" a="1"/>
  <c r="H204" i="2" s="1"/>
  <c r="H205" i="2" a="1"/>
  <c r="H205" i="2" s="1"/>
  <c r="H206" i="2" a="1"/>
  <c r="H206" i="2" s="1"/>
  <c r="H207" i="2" a="1"/>
  <c r="H207" i="2" s="1"/>
  <c r="H208" i="2" a="1"/>
  <c r="H208" i="2" s="1"/>
  <c r="H209" i="2" a="1"/>
  <c r="H209" i="2" s="1"/>
  <c r="H210" i="2" a="1"/>
  <c r="H210" i="2" s="1"/>
  <c r="H211" i="2" a="1"/>
  <c r="H211" i="2" s="1"/>
  <c r="H212" i="2" a="1"/>
  <c r="H212" i="2" s="1"/>
  <c r="H213" i="2" a="1"/>
  <c r="H213" i="2" s="1"/>
  <c r="H214" i="2" a="1"/>
  <c r="H214" i="2" s="1"/>
  <c r="H215" i="2" a="1"/>
  <c r="H215" i="2" s="1"/>
  <c r="H216" i="2" a="1"/>
  <c r="H216" i="2" s="1"/>
  <c r="H217" i="2" a="1"/>
  <c r="H217" i="2" s="1"/>
  <c r="H218" i="2" a="1"/>
  <c r="H218" i="2" s="1"/>
  <c r="H219" i="2" a="1"/>
  <c r="H219" i="2" s="1"/>
  <c r="H220" i="2" a="1"/>
  <c r="H220" i="2" s="1"/>
  <c r="H221" i="2" a="1"/>
  <c r="H221" i="2" s="1"/>
  <c r="H222" i="2" a="1"/>
  <c r="H222" i="2" s="1"/>
  <c r="H223" i="2" a="1"/>
  <c r="H223" i="2" s="1"/>
  <c r="H224" i="2" a="1"/>
  <c r="H224" i="2" s="1"/>
  <c r="H225" i="2" a="1"/>
  <c r="H225" i="2" s="1"/>
  <c r="H226" i="2" a="1"/>
  <c r="H226" i="2" s="1"/>
  <c r="H227" i="2" a="1"/>
  <c r="H227" i="2" s="1"/>
  <c r="H228" i="2" a="1"/>
  <c r="H228" i="2" s="1"/>
  <c r="H229" i="2" a="1"/>
  <c r="H229" i="2" s="1"/>
  <c r="H230" i="2" a="1"/>
  <c r="H230" i="2" s="1"/>
  <c r="H231" i="2" a="1"/>
  <c r="H231" i="2" s="1"/>
  <c r="H232" i="2" a="1"/>
  <c r="H232" i="2" s="1"/>
  <c r="H233" i="2" a="1"/>
  <c r="H233" i="2" s="1"/>
  <c r="H234" i="2" a="1"/>
  <c r="H234" i="2" s="1"/>
  <c r="H235" i="2" a="1"/>
  <c r="H235" i="2" s="1"/>
  <c r="H236" i="2" a="1"/>
  <c r="H236" i="2" s="1"/>
  <c r="H237" i="2" a="1"/>
  <c r="H237" i="2" s="1"/>
  <c r="H238" i="2" a="1"/>
  <c r="H238" i="2" s="1"/>
  <c r="H239" i="2" a="1"/>
  <c r="H239" i="2" s="1"/>
  <c r="H240" i="2" a="1"/>
  <c r="H240" i="2" s="1"/>
  <c r="H241" i="2" a="1"/>
  <c r="H241" i="2" s="1"/>
  <c r="H242" i="2" a="1"/>
  <c r="H242" i="2" s="1"/>
  <c r="H243" i="2" a="1"/>
  <c r="H243" i="2" s="1"/>
  <c r="H244" i="2" a="1"/>
  <c r="H244" i="2" s="1"/>
  <c r="H245" i="2" a="1"/>
  <c r="H245" i="2" s="1"/>
  <c r="H246" i="2" a="1"/>
  <c r="H246" i="2" s="1"/>
  <c r="H247" i="2" a="1"/>
  <c r="H247" i="2" s="1"/>
  <c r="H248" i="2" a="1"/>
  <c r="H248" i="2" s="1"/>
  <c r="H249" i="2" a="1"/>
  <c r="H249" i="2" s="1"/>
  <c r="H250" i="2" a="1"/>
  <c r="H250" i="2" s="1"/>
  <c r="H251" i="2" a="1"/>
  <c r="H251" i="2" s="1"/>
  <c r="H252" i="2" a="1"/>
  <c r="H252" i="2" s="1"/>
  <c r="H253" i="2" a="1"/>
  <c r="H253" i="2" s="1"/>
  <c r="H254" i="2" a="1"/>
  <c r="H254" i="2" s="1"/>
  <c r="H255" i="2" a="1"/>
  <c r="H255" i="2" s="1"/>
  <c r="H256" i="2" a="1"/>
  <c r="H256" i="2" s="1"/>
  <c r="H257" i="2" a="1"/>
  <c r="H257" i="2" s="1"/>
  <c r="H258" i="2" a="1"/>
  <c r="H258" i="2" s="1"/>
  <c r="H259" i="2" a="1"/>
  <c r="H259" i="2" s="1"/>
  <c r="H260" i="2" a="1"/>
  <c r="H260" i="2" s="1"/>
  <c r="H261" i="2" a="1"/>
  <c r="H261" i="2" s="1"/>
  <c r="H262" i="2" a="1"/>
  <c r="H262" i="2" s="1"/>
  <c r="H263" i="2" a="1"/>
  <c r="H263" i="2" s="1"/>
  <c r="H264" i="2" a="1"/>
  <c r="H264" i="2" s="1"/>
  <c r="H265" i="2" a="1"/>
  <c r="H265" i="2" s="1"/>
  <c r="H266" i="2" a="1"/>
  <c r="H266" i="2" s="1"/>
  <c r="H267" i="2" a="1"/>
  <c r="H267" i="2" s="1"/>
  <c r="H268" i="2" a="1"/>
  <c r="H268" i="2" s="1"/>
  <c r="H269" i="2" a="1"/>
  <c r="H269" i="2" s="1"/>
  <c r="H270" i="2" a="1"/>
  <c r="H270" i="2" s="1"/>
  <c r="H271" i="2" a="1"/>
  <c r="H271" i="2" s="1"/>
  <c r="H272" i="2" a="1"/>
  <c r="H272" i="2" s="1"/>
  <c r="H273" i="2" a="1"/>
  <c r="H273" i="2" s="1"/>
  <c r="H274" i="2" a="1"/>
  <c r="H274" i="2" s="1"/>
  <c r="H275" i="2" a="1"/>
  <c r="H275" i="2" s="1"/>
  <c r="H276" i="2" a="1"/>
  <c r="H276" i="2" s="1"/>
  <c r="H277" i="2" a="1"/>
  <c r="H277" i="2" s="1"/>
  <c r="H278" i="2" a="1"/>
  <c r="H278" i="2" s="1"/>
  <c r="H279" i="2" a="1"/>
  <c r="H279" i="2" s="1"/>
  <c r="H280" i="2" a="1"/>
  <c r="H280" i="2" s="1"/>
  <c r="H281" i="2" a="1"/>
  <c r="H281" i="2" s="1"/>
  <c r="H282" i="2" a="1"/>
  <c r="H282" i="2" s="1"/>
  <c r="H283" i="2" a="1"/>
  <c r="H283" i="2" s="1"/>
  <c r="H284" i="2" a="1"/>
  <c r="H284" i="2" s="1"/>
  <c r="H285" i="2" a="1"/>
  <c r="H285" i="2" s="1"/>
  <c r="H286" i="2" a="1"/>
  <c r="H286" i="2" s="1"/>
  <c r="H287" i="2" a="1"/>
  <c r="H287" i="2" s="1"/>
  <c r="H288" i="2" a="1"/>
  <c r="H288" i="2" s="1"/>
  <c r="H289" i="2" a="1"/>
  <c r="H289" i="2" s="1"/>
  <c r="H290" i="2" a="1"/>
  <c r="H290" i="2" s="1"/>
  <c r="H291" i="2" a="1"/>
  <c r="H291" i="2" s="1"/>
  <c r="H292" i="2" a="1"/>
  <c r="H292" i="2" s="1"/>
  <c r="H293" i="2" a="1"/>
  <c r="H293" i="2" s="1"/>
  <c r="H294" i="2" a="1"/>
  <c r="H294" i="2" s="1"/>
  <c r="H295" i="2" a="1"/>
  <c r="H295" i="2" s="1"/>
  <c r="H296" i="2" a="1"/>
  <c r="H296" i="2" s="1"/>
  <c r="H297" i="2" a="1"/>
  <c r="H297" i="2" s="1"/>
  <c r="H298" i="2" a="1"/>
  <c r="H298" i="2" s="1"/>
  <c r="H299" i="2" a="1"/>
  <c r="H299" i="2" s="1"/>
  <c r="H300" i="2" a="1"/>
  <c r="H300" i="2" s="1"/>
  <c r="H301" i="2" a="1"/>
  <c r="H301" i="2" s="1"/>
  <c r="H302" i="2" a="1"/>
  <c r="H302" i="2" s="1"/>
  <c r="H303" i="2" a="1"/>
  <c r="H303" i="2" s="1"/>
  <c r="H304" i="2" a="1"/>
  <c r="H304" i="2" s="1"/>
  <c r="H305" i="2" a="1"/>
  <c r="H305" i="2" s="1"/>
  <c r="H306" i="2" a="1"/>
  <c r="H306" i="2" s="1"/>
  <c r="H307" i="2" a="1"/>
  <c r="H307" i="2" s="1"/>
  <c r="H308" i="2" a="1"/>
  <c r="H308" i="2" s="1"/>
  <c r="H309" i="2" a="1"/>
  <c r="H309" i="2" s="1"/>
  <c r="H310" i="2" a="1"/>
  <c r="H310" i="2" s="1"/>
  <c r="H311" i="2" a="1"/>
  <c r="H311" i="2" s="1"/>
  <c r="H312" i="2" a="1"/>
  <c r="H312" i="2" s="1"/>
  <c r="H313" i="2" a="1"/>
  <c r="H313" i="2" s="1"/>
  <c r="H314" i="2" a="1"/>
  <c r="H314" i="2" s="1"/>
  <c r="H315" i="2" a="1"/>
  <c r="H315" i="2" s="1"/>
  <c r="H316" i="2" a="1"/>
  <c r="H316" i="2" s="1"/>
  <c r="H317" i="2" a="1"/>
  <c r="H317" i="2" s="1"/>
  <c r="H318" i="2" a="1"/>
  <c r="H318" i="2" s="1"/>
  <c r="H319" i="2" a="1"/>
  <c r="H319" i="2" s="1"/>
  <c r="H320" i="2" a="1"/>
  <c r="H320" i="2" s="1"/>
  <c r="H321" i="2" a="1"/>
  <c r="H321" i="2" s="1"/>
  <c r="H322" i="2" a="1"/>
  <c r="H322" i="2" s="1"/>
  <c r="H323" i="2" a="1"/>
  <c r="H323" i="2" s="1"/>
  <c r="H324" i="2" a="1"/>
  <c r="H324" i="2" s="1"/>
  <c r="H325" i="2" a="1"/>
  <c r="H325" i="2" s="1"/>
  <c r="H326" i="2" a="1"/>
  <c r="H326" i="2" s="1"/>
  <c r="H327" i="2" a="1"/>
  <c r="H327" i="2" s="1"/>
  <c r="H328" i="2" a="1"/>
  <c r="H328" i="2" s="1"/>
  <c r="H329" i="2" a="1"/>
  <c r="H329" i="2" s="1"/>
  <c r="H330" i="2" a="1"/>
  <c r="H330" i="2" s="1"/>
  <c r="H331" i="2" a="1"/>
  <c r="H331" i="2" s="1"/>
  <c r="H332" i="2" a="1"/>
  <c r="H332" i="2" s="1"/>
  <c r="H333" i="2" a="1"/>
  <c r="H333" i="2" s="1"/>
  <c r="H334" i="2" a="1"/>
  <c r="H334" i="2" s="1"/>
  <c r="H335" i="2" a="1"/>
  <c r="H335" i="2" s="1"/>
  <c r="H336" i="2" a="1"/>
  <c r="H336" i="2" s="1"/>
  <c r="H337" i="2" a="1"/>
  <c r="H337" i="2" s="1"/>
  <c r="H338" i="2" a="1"/>
  <c r="H338" i="2" s="1"/>
  <c r="H339" i="2" a="1"/>
  <c r="H339" i="2" s="1"/>
  <c r="H340" i="2" a="1"/>
  <c r="H340" i="2" s="1"/>
  <c r="H341" i="2" a="1"/>
  <c r="H341" i="2" s="1"/>
  <c r="H342" i="2" a="1"/>
  <c r="H342" i="2" s="1"/>
  <c r="H343" i="2" a="1"/>
  <c r="H343" i="2" s="1"/>
  <c r="H344" i="2" a="1"/>
  <c r="H344" i="2" s="1"/>
  <c r="H345" i="2" a="1"/>
  <c r="H345" i="2" s="1"/>
  <c r="H346" i="2" a="1"/>
  <c r="H346" i="2" s="1"/>
  <c r="H347" i="2" a="1"/>
  <c r="H347" i="2" s="1"/>
  <c r="H348" i="2" a="1"/>
  <c r="H348" i="2" s="1"/>
  <c r="H349" i="2" a="1"/>
  <c r="H349" i="2" s="1"/>
  <c r="H350" i="2" a="1"/>
  <c r="H350" i="2" s="1"/>
  <c r="H351" i="2" a="1"/>
  <c r="H351" i="2" s="1"/>
  <c r="H352" i="2" a="1"/>
  <c r="H352" i="2" s="1"/>
  <c r="H353" i="2" a="1"/>
  <c r="H353" i="2" s="1"/>
  <c r="H354" i="2" a="1"/>
  <c r="H354" i="2" s="1"/>
  <c r="H355" i="2" a="1"/>
  <c r="H355" i="2" s="1"/>
  <c r="H356" i="2" a="1"/>
  <c r="H356" i="2" s="1"/>
  <c r="H357" i="2" a="1"/>
  <c r="H357" i="2" s="1"/>
  <c r="H358" i="2" a="1"/>
  <c r="H358" i="2" s="1"/>
  <c r="H359" i="2" a="1"/>
  <c r="H359" i="2" s="1"/>
  <c r="H360" i="2" a="1"/>
  <c r="H360" i="2" s="1"/>
  <c r="H361" i="2" a="1"/>
  <c r="H361" i="2" s="1"/>
  <c r="H362" i="2" a="1"/>
  <c r="H362" i="2" s="1"/>
  <c r="H363" i="2" a="1"/>
  <c r="H363" i="2" s="1"/>
  <c r="H364" i="2" a="1"/>
  <c r="H364" i="2" s="1"/>
  <c r="H365" i="2" a="1"/>
  <c r="H365" i="2" s="1"/>
  <c r="H366" i="2" a="1"/>
  <c r="H366" i="2" s="1"/>
  <c r="H367" i="2" a="1"/>
  <c r="H367" i="2" s="1"/>
  <c r="H368" i="2" a="1"/>
  <c r="H368" i="2" s="1"/>
  <c r="H369" i="2" a="1"/>
  <c r="H369" i="2" s="1"/>
  <c r="H370" i="2" a="1"/>
  <c r="H370" i="2" s="1"/>
  <c r="H371" i="2" a="1"/>
  <c r="H371" i="2" s="1"/>
  <c r="H372" i="2" a="1"/>
  <c r="H372" i="2" s="1"/>
  <c r="H373" i="2" a="1"/>
  <c r="H373" i="2" s="1"/>
  <c r="H374" i="2" a="1"/>
  <c r="H374" i="2" s="1"/>
  <c r="H375" i="2" a="1"/>
  <c r="H375" i="2" s="1"/>
  <c r="H376" i="2" a="1"/>
  <c r="H376" i="2" s="1"/>
  <c r="H377" i="2" a="1"/>
  <c r="H377" i="2" s="1"/>
  <c r="H378" i="2" a="1"/>
  <c r="H378" i="2" s="1"/>
  <c r="H379" i="2" a="1"/>
  <c r="H379" i="2" s="1"/>
  <c r="H380" i="2" a="1"/>
  <c r="H380" i="2" s="1"/>
  <c r="H381" i="2" a="1"/>
  <c r="H381" i="2" s="1"/>
  <c r="H382" i="2" a="1"/>
  <c r="H382" i="2" s="1"/>
  <c r="H383" i="2" a="1"/>
  <c r="H383" i="2" s="1"/>
  <c r="H384" i="2" a="1"/>
  <c r="H384" i="2" s="1"/>
  <c r="H385" i="2" a="1"/>
  <c r="H385" i="2" s="1"/>
  <c r="H386" i="2" a="1"/>
  <c r="H386" i="2" s="1"/>
  <c r="H387" i="2" a="1"/>
  <c r="H387" i="2" s="1"/>
  <c r="H388" i="2" a="1"/>
  <c r="H388" i="2" s="1"/>
  <c r="H389" i="2" a="1"/>
  <c r="H389" i="2" s="1"/>
  <c r="H390" i="2" a="1"/>
  <c r="H390" i="2" s="1"/>
  <c r="H391" i="2" a="1"/>
  <c r="H391" i="2" s="1"/>
  <c r="H392" i="2" a="1"/>
  <c r="H392" i="2" s="1"/>
  <c r="H393" i="2" a="1"/>
  <c r="H393" i="2" s="1"/>
  <c r="H394" i="2" a="1"/>
  <c r="H394" i="2" s="1"/>
  <c r="H395" i="2" a="1"/>
  <c r="H395" i="2" s="1"/>
  <c r="H396" i="2" a="1"/>
  <c r="H396" i="2" s="1"/>
  <c r="H397" i="2" a="1"/>
  <c r="H397" i="2" s="1"/>
  <c r="H398" i="2" a="1"/>
  <c r="H398" i="2" s="1"/>
  <c r="H399" i="2" a="1"/>
  <c r="H399" i="2" s="1"/>
  <c r="H400" i="2" a="1"/>
  <c r="H400" i="2" s="1"/>
  <c r="H401" i="2" a="1"/>
  <c r="H401" i="2" s="1"/>
  <c r="H402" i="2" a="1"/>
  <c r="H402" i="2" s="1"/>
  <c r="H403" i="2" a="1"/>
  <c r="H403" i="2" s="1"/>
  <c r="H404" i="2" a="1"/>
  <c r="H404" i="2" s="1"/>
  <c r="H405" i="2" a="1"/>
  <c r="H405" i="2" s="1"/>
  <c r="H406" i="2" a="1"/>
  <c r="H406" i="2" s="1"/>
  <c r="H407" i="2" a="1"/>
  <c r="H407" i="2" s="1"/>
  <c r="H408" i="2" a="1"/>
  <c r="H408" i="2" s="1"/>
  <c r="H409" i="2" a="1"/>
  <c r="H409" i="2" s="1"/>
  <c r="H410" i="2" a="1"/>
  <c r="H410" i="2" s="1"/>
  <c r="H411" i="2" a="1"/>
  <c r="H411" i="2" s="1"/>
  <c r="H412" i="2" a="1"/>
  <c r="H412" i="2" s="1"/>
  <c r="H413" i="2" a="1"/>
  <c r="H413" i="2" s="1"/>
  <c r="H414" i="2" a="1"/>
  <c r="H414" i="2" s="1"/>
  <c r="H415" i="2" a="1"/>
  <c r="H415" i="2" s="1"/>
  <c r="H416" i="2" a="1"/>
  <c r="H416" i="2" s="1"/>
  <c r="H417" i="2" a="1"/>
  <c r="H417" i="2" s="1"/>
  <c r="H418" i="2" a="1"/>
  <c r="H418" i="2" s="1"/>
  <c r="H419" i="2" a="1"/>
  <c r="H419" i="2" s="1"/>
  <c r="H420" i="2" a="1"/>
  <c r="H420" i="2" s="1"/>
  <c r="H421" i="2" a="1"/>
  <c r="H421" i="2" s="1"/>
  <c r="H422" i="2" a="1"/>
  <c r="H422" i="2" s="1"/>
  <c r="H423" i="2" a="1"/>
  <c r="H423" i="2" s="1"/>
  <c r="H424" i="2" a="1"/>
  <c r="H424" i="2" s="1"/>
  <c r="H425" i="2" a="1"/>
  <c r="H425" i="2" s="1"/>
  <c r="H426" i="2" a="1"/>
  <c r="H426" i="2" s="1"/>
  <c r="H427" i="2" a="1"/>
  <c r="H427" i="2" s="1"/>
  <c r="H428" i="2" a="1"/>
  <c r="H428" i="2" s="1"/>
  <c r="H429" i="2" a="1"/>
  <c r="H429" i="2" s="1"/>
  <c r="H430" i="2" a="1"/>
  <c r="H430" i="2" s="1"/>
  <c r="H431" i="2" a="1"/>
  <c r="H431" i="2" s="1"/>
  <c r="H432" i="2" a="1"/>
  <c r="H432" i="2" s="1"/>
  <c r="H433" i="2" a="1"/>
  <c r="H433" i="2" s="1"/>
  <c r="H434" i="2" a="1"/>
  <c r="H434" i="2" s="1"/>
  <c r="H435" i="2" a="1"/>
  <c r="H435" i="2" s="1"/>
  <c r="H436" i="2" a="1"/>
  <c r="H436" i="2" s="1"/>
  <c r="H437" i="2" a="1"/>
  <c r="H437" i="2" s="1"/>
  <c r="H438" i="2" a="1"/>
  <c r="H438" i="2" s="1"/>
  <c r="H439" i="2" a="1"/>
  <c r="H439" i="2" s="1"/>
  <c r="H440" i="2" a="1"/>
  <c r="H440" i="2" s="1"/>
  <c r="H441" i="2" a="1"/>
  <c r="H441" i="2" s="1"/>
  <c r="H442" i="2" a="1"/>
  <c r="H442" i="2" s="1"/>
  <c r="H443" i="2" a="1"/>
  <c r="H443" i="2" s="1"/>
  <c r="H444" i="2" a="1"/>
  <c r="H444" i="2" s="1"/>
  <c r="H445" i="2" a="1"/>
  <c r="H445" i="2" s="1"/>
  <c r="H446" i="2" a="1"/>
  <c r="H446" i="2" s="1"/>
  <c r="H447" i="2" a="1"/>
  <c r="H447" i="2" s="1"/>
  <c r="H448" i="2" a="1"/>
  <c r="H448" i="2" s="1"/>
  <c r="H449" i="2" a="1"/>
  <c r="H449" i="2" s="1"/>
  <c r="H450" i="2" a="1"/>
  <c r="H450" i="2" s="1"/>
  <c r="H451" i="2" a="1"/>
  <c r="H451" i="2" s="1"/>
  <c r="H452" i="2" a="1"/>
  <c r="H452" i="2" s="1"/>
  <c r="H453" i="2" a="1"/>
  <c r="H453" i="2" s="1"/>
  <c r="H454" i="2" a="1"/>
  <c r="H454" i="2" s="1"/>
  <c r="H455" i="2" a="1"/>
  <c r="H455" i="2" s="1"/>
  <c r="H456" i="2" a="1"/>
  <c r="H456" i="2" s="1"/>
  <c r="H457" i="2" a="1"/>
  <c r="H457" i="2" s="1"/>
  <c r="H458" i="2" a="1"/>
  <c r="H458" i="2" s="1"/>
  <c r="H459" i="2" a="1"/>
  <c r="H459" i="2" s="1"/>
  <c r="H460" i="2" a="1"/>
  <c r="H460" i="2" s="1"/>
  <c r="H461" i="2" a="1"/>
  <c r="H461" i="2" s="1"/>
  <c r="H462" i="2" a="1"/>
  <c r="H462" i="2" s="1"/>
  <c r="H463" i="2" a="1"/>
  <c r="H463" i="2" s="1"/>
  <c r="H464" i="2" a="1"/>
  <c r="H464" i="2" s="1"/>
  <c r="H465" i="2" a="1"/>
  <c r="H465" i="2" s="1"/>
  <c r="H466" i="2" a="1"/>
  <c r="H466" i="2" s="1"/>
  <c r="H467" i="2" a="1"/>
  <c r="H467" i="2" s="1"/>
  <c r="H468" i="2" a="1"/>
  <c r="H468" i="2" s="1"/>
  <c r="H469" i="2" a="1"/>
  <c r="H469" i="2" s="1"/>
  <c r="H470" i="2" a="1"/>
  <c r="H470" i="2" s="1"/>
  <c r="H471" i="2" a="1"/>
  <c r="H471" i="2" s="1"/>
  <c r="H472" i="2" a="1"/>
  <c r="H472" i="2" s="1"/>
  <c r="H473" i="2" a="1"/>
  <c r="H473" i="2" s="1"/>
  <c r="H474" i="2" a="1"/>
  <c r="H474" i="2" s="1"/>
  <c r="H475" i="2" a="1"/>
  <c r="H475" i="2" s="1"/>
  <c r="H476" i="2" a="1"/>
  <c r="H476" i="2" s="1"/>
  <c r="H477" i="2" a="1"/>
  <c r="H477" i="2" s="1"/>
  <c r="H478" i="2" a="1"/>
  <c r="H478" i="2" s="1"/>
  <c r="H479" i="2" a="1"/>
  <c r="H479" i="2" s="1"/>
  <c r="H480" i="2" a="1"/>
  <c r="H480" i="2" s="1"/>
  <c r="H481" i="2" a="1"/>
  <c r="H481" i="2" s="1"/>
  <c r="H482" i="2" a="1"/>
  <c r="H482" i="2" s="1"/>
  <c r="H483" i="2" a="1"/>
  <c r="H483" i="2" s="1"/>
  <c r="H484" i="2" a="1"/>
  <c r="H484" i="2" s="1"/>
  <c r="H485" i="2" a="1"/>
  <c r="H485" i="2" s="1"/>
  <c r="H486" i="2" a="1"/>
  <c r="H486" i="2" s="1"/>
  <c r="H487" i="2" a="1"/>
  <c r="H487" i="2" s="1"/>
  <c r="H488" i="2" a="1"/>
  <c r="H488" i="2" s="1"/>
  <c r="H489" i="2" a="1"/>
  <c r="H489" i="2" s="1"/>
  <c r="H490" i="2" a="1"/>
  <c r="H490" i="2" s="1"/>
  <c r="H491" i="2" a="1"/>
  <c r="H491" i="2" s="1"/>
  <c r="H492" i="2" a="1"/>
  <c r="H492" i="2" s="1"/>
  <c r="H493" i="2" a="1"/>
  <c r="H493" i="2" s="1"/>
  <c r="H494" i="2" a="1"/>
  <c r="H494" i="2" s="1"/>
  <c r="H495" i="2" a="1"/>
  <c r="H495" i="2" s="1"/>
  <c r="H496" i="2" a="1"/>
  <c r="H496" i="2" s="1"/>
  <c r="H497" i="2" a="1"/>
  <c r="H497" i="2" s="1"/>
  <c r="H498" i="2" a="1"/>
  <c r="H498" i="2" s="1"/>
  <c r="H499" i="2" a="1"/>
  <c r="H499" i="2" s="1"/>
  <c r="H500" i="2" a="1"/>
  <c r="H500" i="2" s="1"/>
  <c r="H501" i="2" a="1"/>
  <c r="H501" i="2" s="1"/>
  <c r="H502" i="2" a="1"/>
  <c r="H502" i="2" s="1"/>
  <c r="H503" i="2" a="1"/>
  <c r="H503" i="2" s="1"/>
  <c r="H504" i="2" a="1"/>
  <c r="H504" i="2" s="1"/>
  <c r="H505" i="2" a="1"/>
  <c r="H505" i="2" s="1"/>
  <c r="H506" i="2" a="1"/>
  <c r="H506" i="2" s="1"/>
  <c r="H507" i="2" a="1"/>
  <c r="H507" i="2" s="1"/>
  <c r="H508" i="2" a="1"/>
  <c r="H508" i="2" s="1"/>
  <c r="H509" i="2" a="1"/>
  <c r="H509" i="2" s="1"/>
  <c r="H510" i="2" a="1"/>
  <c r="H510" i="2" s="1"/>
  <c r="H511" i="2" a="1"/>
  <c r="H511" i="2" s="1"/>
  <c r="H512" i="2" a="1"/>
  <c r="H512" i="2" s="1"/>
  <c r="H513" i="2" a="1"/>
  <c r="H513" i="2" s="1"/>
  <c r="H514" i="2" a="1"/>
  <c r="H514" i="2" s="1"/>
  <c r="H515" i="2" a="1"/>
  <c r="H515" i="2" s="1"/>
  <c r="H516" i="2" a="1"/>
  <c r="H516" i="2" s="1"/>
  <c r="H517" i="2" a="1"/>
  <c r="H517" i="2" s="1"/>
  <c r="H518" i="2" a="1"/>
  <c r="H518" i="2" s="1"/>
  <c r="H519" i="2" a="1"/>
  <c r="H519" i="2" s="1"/>
  <c r="H520" i="2" a="1"/>
  <c r="H520" i="2" s="1"/>
  <c r="H521" i="2" a="1"/>
  <c r="H521" i="2" s="1"/>
  <c r="H522" i="2" a="1"/>
  <c r="H522" i="2" s="1"/>
  <c r="H523" i="2" a="1"/>
  <c r="H523" i="2" s="1"/>
  <c r="H524" i="2" a="1"/>
  <c r="H524" i="2" s="1"/>
  <c r="H525" i="2" a="1"/>
  <c r="H525" i="2" s="1"/>
  <c r="H526" i="2" a="1"/>
  <c r="H526" i="2" s="1"/>
  <c r="H527" i="2" a="1"/>
  <c r="H527" i="2" s="1"/>
  <c r="H528" i="2" a="1"/>
  <c r="H528" i="2" s="1"/>
  <c r="H529" i="2" a="1"/>
  <c r="H529" i="2" s="1"/>
  <c r="H530" i="2" a="1"/>
  <c r="H530" i="2" s="1"/>
  <c r="H531" i="2" a="1"/>
  <c r="H531" i="2" s="1"/>
  <c r="H532" i="2" a="1"/>
  <c r="H532" i="2" s="1"/>
  <c r="H533" i="2" a="1"/>
  <c r="H533" i="2" s="1"/>
  <c r="H534" i="2" a="1"/>
  <c r="H534" i="2" s="1"/>
  <c r="H535" i="2" a="1"/>
  <c r="H535" i="2" s="1"/>
  <c r="H536" i="2" a="1"/>
  <c r="H536" i="2" s="1"/>
  <c r="H537" i="2" a="1"/>
  <c r="H537" i="2" s="1"/>
  <c r="H538" i="2" a="1"/>
  <c r="H538" i="2" s="1"/>
  <c r="H539" i="2" a="1"/>
  <c r="H539" i="2" s="1"/>
  <c r="H540" i="2" a="1"/>
  <c r="H540" i="2" s="1"/>
  <c r="H541" i="2" a="1"/>
  <c r="H541" i="2" s="1"/>
  <c r="H542" i="2" a="1"/>
  <c r="H542" i="2" s="1"/>
  <c r="H543" i="2" a="1"/>
  <c r="H543" i="2" s="1"/>
  <c r="H544" i="2" a="1"/>
  <c r="H544" i="2" s="1"/>
  <c r="H545" i="2" a="1"/>
  <c r="H545" i="2" s="1"/>
  <c r="H546" i="2" a="1"/>
  <c r="H546" i="2" s="1"/>
  <c r="H547" i="2" a="1"/>
  <c r="H547" i="2" s="1"/>
  <c r="H548" i="2" a="1"/>
  <c r="H548" i="2" s="1"/>
  <c r="H549" i="2" a="1"/>
  <c r="H549" i="2" s="1"/>
  <c r="H550" i="2" a="1"/>
  <c r="H550" i="2" s="1"/>
  <c r="H551" i="2" a="1"/>
  <c r="H551" i="2" s="1"/>
  <c r="H552" i="2" a="1"/>
  <c r="H552" i="2" s="1"/>
  <c r="H553" i="2" a="1"/>
  <c r="H553" i="2" s="1"/>
  <c r="H554" i="2" a="1"/>
  <c r="H554" i="2" s="1"/>
  <c r="H555" i="2" a="1"/>
  <c r="H555" i="2" s="1"/>
  <c r="H556" i="2" a="1"/>
  <c r="H556" i="2" s="1"/>
  <c r="H557" i="2" a="1"/>
  <c r="H557" i="2" s="1"/>
  <c r="H558" i="2" a="1"/>
  <c r="H558" i="2" s="1"/>
  <c r="H559" i="2" a="1"/>
  <c r="H559" i="2" s="1"/>
  <c r="H560" i="2" a="1"/>
  <c r="H560" i="2" s="1"/>
  <c r="H561" i="2" a="1"/>
  <c r="H561" i="2" s="1"/>
  <c r="H562" i="2" a="1"/>
  <c r="H562" i="2" s="1"/>
  <c r="H563" i="2" a="1"/>
  <c r="H563" i="2" s="1"/>
  <c r="H564" i="2" a="1"/>
  <c r="H564" i="2" s="1"/>
  <c r="H565" i="2" a="1"/>
  <c r="H565" i="2" s="1"/>
  <c r="H566" i="2" a="1"/>
  <c r="H566" i="2" s="1"/>
  <c r="H567" i="2" a="1"/>
  <c r="H567" i="2" s="1"/>
  <c r="H568" i="2" a="1"/>
  <c r="H568" i="2" s="1"/>
  <c r="H569" i="2" a="1"/>
  <c r="H569" i="2" s="1"/>
  <c r="H570" i="2" a="1"/>
  <c r="H570" i="2" s="1"/>
  <c r="H571" i="2" a="1"/>
  <c r="H571" i="2" s="1"/>
  <c r="H572" i="2" a="1"/>
  <c r="H572" i="2" s="1"/>
  <c r="H573" i="2" a="1"/>
  <c r="H573" i="2" s="1"/>
  <c r="H574" i="2" a="1"/>
  <c r="H574" i="2" s="1"/>
  <c r="H575" i="2" a="1"/>
  <c r="H575" i="2" s="1"/>
  <c r="H576" i="2" a="1"/>
  <c r="H576" i="2" s="1"/>
  <c r="H577" i="2" a="1"/>
  <c r="H577" i="2" s="1"/>
  <c r="H578" i="2" a="1"/>
  <c r="H578" i="2" s="1"/>
  <c r="H579" i="2" a="1"/>
  <c r="H579" i="2" s="1"/>
  <c r="H580" i="2" a="1"/>
  <c r="H580" i="2" s="1"/>
  <c r="H581" i="2" a="1"/>
  <c r="H581" i="2" s="1"/>
  <c r="H582" i="2" a="1"/>
  <c r="H582" i="2" s="1"/>
  <c r="H583" i="2" a="1"/>
  <c r="H583" i="2" s="1"/>
  <c r="H584" i="2" a="1"/>
  <c r="H584" i="2" s="1"/>
  <c r="H585" i="2" a="1"/>
  <c r="H585" i="2" s="1"/>
  <c r="H586" i="2" a="1"/>
  <c r="H586" i="2" s="1"/>
  <c r="H587" i="2" a="1"/>
  <c r="H587" i="2" s="1"/>
  <c r="H588" i="2" a="1"/>
  <c r="H588" i="2" s="1"/>
  <c r="H589" i="2" a="1"/>
  <c r="H589" i="2" s="1"/>
  <c r="H590" i="2" a="1"/>
  <c r="H590" i="2" s="1"/>
  <c r="H591" i="2" a="1"/>
  <c r="H591" i="2" s="1"/>
  <c r="H592" i="2" a="1"/>
  <c r="H592" i="2" s="1"/>
  <c r="H593" i="2" a="1"/>
  <c r="H593" i="2" s="1"/>
  <c r="H594" i="2" a="1"/>
  <c r="H594" i="2" s="1"/>
  <c r="H595" i="2" a="1"/>
  <c r="H595" i="2" s="1"/>
  <c r="H596" i="2" a="1"/>
  <c r="H596" i="2" s="1"/>
  <c r="H597" i="2" a="1"/>
  <c r="H597" i="2" s="1"/>
  <c r="H598" i="2" a="1"/>
  <c r="H598" i="2" s="1"/>
  <c r="H599" i="2" a="1"/>
  <c r="H599" i="2" s="1"/>
  <c r="H600" i="2" a="1"/>
  <c r="H600" i="2" s="1"/>
  <c r="H601" i="2" a="1"/>
  <c r="H601" i="2" s="1"/>
  <c r="H602" i="2" a="1"/>
  <c r="H602" i="2" s="1"/>
  <c r="H603" i="2" a="1"/>
  <c r="H603" i="2" s="1"/>
  <c r="H604" i="2" a="1"/>
  <c r="H604" i="2" s="1"/>
  <c r="H605" i="2" a="1"/>
  <c r="H605" i="2" s="1"/>
  <c r="H606" i="2" a="1"/>
  <c r="H606" i="2" s="1"/>
  <c r="H607" i="2" a="1"/>
  <c r="H607" i="2" s="1"/>
  <c r="H608" i="2" a="1"/>
  <c r="H608" i="2" s="1"/>
  <c r="H609" i="2" a="1"/>
  <c r="H609" i="2" s="1"/>
  <c r="H610" i="2" a="1"/>
  <c r="H610" i="2" s="1"/>
  <c r="H611" i="2" a="1"/>
  <c r="H611" i="2" s="1"/>
  <c r="H612" i="2" a="1"/>
  <c r="H612" i="2" s="1"/>
  <c r="H613" i="2" a="1"/>
  <c r="H613" i="2" s="1"/>
  <c r="H614" i="2" a="1"/>
  <c r="H614" i="2" s="1"/>
  <c r="H615" i="2" a="1"/>
  <c r="H615" i="2" s="1"/>
  <c r="H616" i="2" a="1"/>
  <c r="H616" i="2" s="1"/>
  <c r="H617" i="2" a="1"/>
  <c r="H617" i="2" s="1"/>
  <c r="H618" i="2" a="1"/>
  <c r="H618" i="2" s="1"/>
  <c r="H619" i="2" a="1"/>
  <c r="H619" i="2" s="1"/>
  <c r="H620" i="2" a="1"/>
  <c r="H620" i="2" s="1"/>
  <c r="H621" i="2" a="1"/>
  <c r="H621" i="2" s="1"/>
  <c r="H622" i="2" a="1"/>
  <c r="H622" i="2" s="1"/>
  <c r="H623" i="2" a="1"/>
  <c r="H623" i="2" s="1"/>
  <c r="H624" i="2" a="1"/>
  <c r="H624" i="2" s="1"/>
  <c r="H625" i="2" a="1"/>
  <c r="H625" i="2" s="1"/>
  <c r="H626" i="2" a="1"/>
  <c r="H626" i="2" s="1"/>
  <c r="H627" i="2" a="1"/>
  <c r="H627" i="2" s="1"/>
  <c r="H628" i="2" a="1"/>
  <c r="H628" i="2" s="1"/>
  <c r="H629" i="2" a="1"/>
  <c r="H629" i="2" s="1"/>
  <c r="H630" i="2" a="1"/>
  <c r="H630" i="2" s="1"/>
  <c r="H631" i="2" a="1"/>
  <c r="H631" i="2" s="1"/>
  <c r="H632" i="2" a="1"/>
  <c r="H632" i="2" s="1"/>
  <c r="H633" i="2" a="1"/>
  <c r="H633" i="2" s="1"/>
  <c r="H634" i="2" a="1"/>
  <c r="H634" i="2" s="1"/>
  <c r="H635" i="2" a="1"/>
  <c r="H635" i="2" s="1"/>
  <c r="H636" i="2" a="1"/>
  <c r="H636" i="2" s="1"/>
  <c r="H637" i="2" a="1"/>
  <c r="H637" i="2" s="1"/>
  <c r="H638" i="2" a="1"/>
  <c r="H638" i="2" s="1"/>
  <c r="H639" i="2" a="1"/>
  <c r="H639" i="2" s="1"/>
  <c r="H640" i="2" a="1"/>
  <c r="H640" i="2" s="1"/>
  <c r="H641" i="2" a="1"/>
  <c r="H641" i="2" s="1"/>
  <c r="H642" i="2" a="1"/>
  <c r="H642" i="2" s="1"/>
  <c r="H643" i="2" a="1"/>
  <c r="H643" i="2" s="1"/>
  <c r="H644" i="2" a="1"/>
  <c r="H644" i="2" s="1"/>
  <c r="H645" i="2" a="1"/>
  <c r="H645" i="2" s="1"/>
  <c r="H646" i="2" a="1"/>
  <c r="H646" i="2" s="1"/>
  <c r="H647" i="2" a="1"/>
  <c r="H647" i="2" s="1"/>
  <c r="H648" i="2" a="1"/>
  <c r="H648" i="2" s="1"/>
  <c r="H649" i="2" a="1"/>
  <c r="H649" i="2" s="1"/>
  <c r="H650" i="2" a="1"/>
  <c r="H650" i="2" s="1"/>
  <c r="H651" i="2" a="1"/>
  <c r="H651" i="2" s="1"/>
  <c r="H652" i="2" a="1"/>
  <c r="H652" i="2" s="1"/>
  <c r="H653" i="2" a="1"/>
  <c r="H653" i="2" s="1"/>
  <c r="H654" i="2" a="1"/>
  <c r="H654" i="2" s="1"/>
  <c r="H655" i="2" a="1"/>
  <c r="H655" i="2" s="1"/>
  <c r="H656" i="2" a="1"/>
  <c r="H656" i="2" s="1"/>
  <c r="H657" i="2" a="1"/>
  <c r="H657" i="2" s="1"/>
  <c r="H658" i="2" a="1"/>
  <c r="H658" i="2" s="1"/>
  <c r="H659" i="2" a="1"/>
  <c r="H659" i="2" s="1"/>
  <c r="H660" i="2" a="1"/>
  <c r="H660" i="2" s="1"/>
  <c r="H661" i="2" a="1"/>
  <c r="H661" i="2" s="1"/>
  <c r="H662" i="2" a="1"/>
  <c r="H662" i="2" s="1"/>
  <c r="H663" i="2" a="1"/>
  <c r="H663" i="2" s="1"/>
  <c r="H664" i="2" a="1"/>
  <c r="H664" i="2" s="1"/>
  <c r="H665" i="2" a="1"/>
  <c r="H665" i="2" s="1"/>
  <c r="H666" i="2" a="1"/>
  <c r="H666" i="2" s="1"/>
  <c r="H667" i="2" a="1"/>
  <c r="H667" i="2" s="1"/>
  <c r="H668" i="2" a="1"/>
  <c r="H668" i="2" s="1"/>
  <c r="H669" i="2" a="1"/>
  <c r="H669" i="2" s="1"/>
  <c r="H670" i="2" a="1"/>
  <c r="H670" i="2" s="1"/>
  <c r="H671" i="2" a="1"/>
  <c r="H671" i="2" s="1"/>
  <c r="H672" i="2" a="1"/>
  <c r="H672" i="2" s="1"/>
  <c r="H673" i="2" a="1"/>
  <c r="H673" i="2" s="1"/>
  <c r="H674" i="2" a="1"/>
  <c r="H674" i="2" s="1"/>
  <c r="H675" i="2" a="1"/>
  <c r="H675" i="2" s="1"/>
  <c r="H676" i="2" a="1"/>
  <c r="H676" i="2" s="1"/>
  <c r="H677" i="2" a="1"/>
  <c r="H677" i="2" s="1"/>
  <c r="H678" i="2" a="1"/>
  <c r="H678" i="2" s="1"/>
  <c r="H679" i="2" a="1"/>
  <c r="H679" i="2" s="1"/>
  <c r="H680" i="2" a="1"/>
  <c r="H680" i="2" s="1"/>
  <c r="H681" i="2" a="1"/>
  <c r="H681" i="2" s="1"/>
  <c r="H682" i="2" a="1"/>
  <c r="H682" i="2" s="1"/>
  <c r="H683" i="2" a="1"/>
  <c r="H683" i="2" s="1"/>
  <c r="H684" i="2" a="1"/>
  <c r="H684" i="2" s="1"/>
  <c r="H685" i="2" a="1"/>
  <c r="H685" i="2" s="1"/>
  <c r="H686" i="2" a="1"/>
  <c r="H686" i="2" s="1"/>
  <c r="H687" i="2" a="1"/>
  <c r="H687" i="2" s="1"/>
  <c r="H688" i="2" a="1"/>
  <c r="H688" i="2" s="1"/>
  <c r="H689" i="2" a="1"/>
  <c r="H689" i="2" s="1"/>
  <c r="H690" i="2" a="1"/>
  <c r="H690" i="2" s="1"/>
  <c r="H691" i="2" a="1"/>
  <c r="H691" i="2" s="1"/>
  <c r="H692" i="2" a="1"/>
  <c r="H692" i="2" s="1"/>
  <c r="H693" i="2" a="1"/>
  <c r="H693" i="2" s="1"/>
  <c r="H694" i="2" a="1"/>
  <c r="H694" i="2" s="1"/>
  <c r="H695" i="2" a="1"/>
  <c r="H695" i="2" s="1"/>
  <c r="H696" i="2" a="1"/>
  <c r="H696" i="2" s="1"/>
  <c r="H697" i="2" a="1"/>
  <c r="H697" i="2" s="1"/>
  <c r="H698" i="2" a="1"/>
  <c r="H698" i="2" s="1"/>
  <c r="H699" i="2" a="1"/>
  <c r="H699" i="2" s="1"/>
  <c r="H700" i="2" a="1"/>
  <c r="H700" i="2" s="1"/>
  <c r="H701" i="2" a="1"/>
  <c r="H701" i="2" s="1"/>
  <c r="H702" i="2" a="1"/>
  <c r="H702" i="2" s="1"/>
  <c r="H703" i="2" a="1"/>
  <c r="H703" i="2" s="1"/>
  <c r="H704" i="2" a="1"/>
  <c r="H704" i="2" s="1"/>
  <c r="H705" i="2" a="1"/>
  <c r="H705" i="2" s="1"/>
  <c r="H706" i="2" a="1"/>
  <c r="H706" i="2" s="1"/>
  <c r="H707" i="2" a="1"/>
  <c r="H707" i="2" s="1"/>
  <c r="H708" i="2" a="1"/>
  <c r="H708" i="2" s="1"/>
  <c r="H709" i="2" a="1"/>
  <c r="H709" i="2" s="1"/>
  <c r="H710" i="2" a="1"/>
  <c r="H710" i="2" s="1"/>
  <c r="H711" i="2" a="1"/>
  <c r="H711" i="2" s="1"/>
  <c r="H712" i="2" a="1"/>
  <c r="H712" i="2" s="1"/>
  <c r="H713" i="2" a="1"/>
  <c r="H713" i="2" s="1"/>
  <c r="H714" i="2" a="1"/>
  <c r="H714" i="2" s="1"/>
  <c r="H715" i="2" a="1"/>
  <c r="H715" i="2" s="1"/>
  <c r="H716" i="2" a="1"/>
  <c r="H716" i="2" s="1"/>
  <c r="H717" i="2" a="1"/>
  <c r="H717" i="2" s="1"/>
  <c r="H718" i="2" a="1"/>
  <c r="H718" i="2" s="1"/>
  <c r="H719" i="2" a="1"/>
  <c r="H719" i="2" s="1"/>
  <c r="H720" i="2" a="1"/>
  <c r="H720" i="2" s="1"/>
  <c r="H721" i="2" a="1"/>
  <c r="H721" i="2" s="1"/>
  <c r="H722" i="2" a="1"/>
  <c r="H722" i="2" s="1"/>
  <c r="H723" i="2" a="1"/>
  <c r="H723" i="2" s="1"/>
  <c r="H724" i="2" a="1"/>
  <c r="H724" i="2" s="1"/>
  <c r="H725" i="2" a="1"/>
  <c r="H725" i="2" s="1"/>
  <c r="H726" i="2" a="1"/>
  <c r="H726" i="2" s="1"/>
  <c r="H727" i="2" a="1"/>
  <c r="H727" i="2" s="1"/>
  <c r="H728" i="2" a="1"/>
  <c r="H728" i="2" s="1"/>
  <c r="H729" i="2" a="1"/>
  <c r="H729" i="2" s="1"/>
  <c r="H730" i="2" a="1"/>
  <c r="H730" i="2" s="1"/>
  <c r="H731" i="2" a="1"/>
  <c r="H731" i="2" s="1"/>
  <c r="H732" i="2" a="1"/>
  <c r="H732" i="2" s="1"/>
  <c r="H733" i="2" a="1"/>
  <c r="H733" i="2" s="1"/>
  <c r="H734" i="2" a="1"/>
  <c r="H734" i="2" s="1"/>
  <c r="H735" i="2" a="1"/>
  <c r="H735" i="2" s="1"/>
  <c r="H736" i="2" a="1"/>
  <c r="H736" i="2" s="1"/>
  <c r="H737" i="2" a="1"/>
  <c r="H737" i="2" s="1"/>
  <c r="H738" i="2" a="1"/>
  <c r="H738" i="2" s="1"/>
  <c r="H739" i="2" a="1"/>
  <c r="H739" i="2" s="1"/>
  <c r="H740" i="2" a="1"/>
  <c r="H740" i="2" s="1"/>
  <c r="H741" i="2" a="1"/>
  <c r="H741" i="2" s="1"/>
  <c r="H742" i="2" a="1"/>
  <c r="H742" i="2" s="1"/>
  <c r="H743" i="2" a="1"/>
  <c r="H743" i="2" s="1"/>
  <c r="H744" i="2" a="1"/>
  <c r="H744" i="2" s="1"/>
  <c r="H745" i="2" a="1"/>
  <c r="H745" i="2" s="1"/>
  <c r="H746" i="2" a="1"/>
  <c r="H746" i="2" s="1"/>
  <c r="H747" i="2" a="1"/>
  <c r="H747" i="2" s="1"/>
  <c r="H748" i="2" a="1"/>
  <c r="H748" i="2" s="1"/>
  <c r="H749" i="2" a="1"/>
  <c r="H749" i="2" s="1"/>
  <c r="H750" i="2" a="1"/>
  <c r="H750" i="2" s="1"/>
  <c r="H751" i="2" a="1"/>
  <c r="H751" i="2" s="1"/>
  <c r="H752" i="2" a="1"/>
  <c r="H752" i="2" s="1"/>
  <c r="H753" i="2" a="1"/>
  <c r="H753" i="2" s="1"/>
  <c r="H754" i="2" a="1"/>
  <c r="H754" i="2" s="1"/>
  <c r="H755" i="2" a="1"/>
  <c r="H755" i="2" s="1"/>
  <c r="H756" i="2" a="1"/>
  <c r="H756" i="2" s="1"/>
  <c r="H757" i="2" a="1"/>
  <c r="H757" i="2" s="1"/>
  <c r="H758" i="2" a="1"/>
  <c r="H758" i="2" s="1"/>
  <c r="H759" i="2" a="1"/>
  <c r="H759" i="2" s="1"/>
  <c r="H760" i="2" a="1"/>
  <c r="H760" i="2" s="1"/>
  <c r="H761" i="2" a="1"/>
  <c r="H761" i="2" s="1"/>
  <c r="H762" i="2" a="1"/>
  <c r="H762" i="2" s="1"/>
  <c r="H763" i="2" a="1"/>
  <c r="H763" i="2" s="1"/>
  <c r="H764" i="2" a="1"/>
  <c r="H764" i="2" s="1"/>
  <c r="H765" i="2" a="1"/>
  <c r="H765" i="2" s="1"/>
  <c r="H766" i="2" a="1"/>
  <c r="H766" i="2" s="1"/>
  <c r="H767" i="2" a="1"/>
  <c r="H767" i="2" s="1"/>
  <c r="H768" i="2" a="1"/>
  <c r="H768" i="2" s="1"/>
  <c r="H769" i="2" a="1"/>
  <c r="H769" i="2" s="1"/>
  <c r="H770" i="2" a="1"/>
  <c r="H770" i="2" s="1"/>
  <c r="H771" i="2" a="1"/>
  <c r="H771" i="2" s="1"/>
  <c r="H772" i="2" a="1"/>
  <c r="H772" i="2" s="1"/>
  <c r="H773" i="2" a="1"/>
  <c r="H773" i="2" s="1"/>
  <c r="H774" i="2" a="1"/>
  <c r="H774" i="2" s="1"/>
  <c r="H775" i="2" a="1"/>
  <c r="H775" i="2" s="1"/>
  <c r="H776" i="2" a="1"/>
  <c r="H776" i="2" s="1"/>
  <c r="H777" i="2" a="1"/>
  <c r="H777" i="2" s="1"/>
  <c r="H778" i="2" a="1"/>
  <c r="H778" i="2" s="1"/>
  <c r="H779" i="2" a="1"/>
  <c r="H779" i="2" s="1"/>
  <c r="H780" i="2" a="1"/>
  <c r="H780" i="2" s="1"/>
  <c r="H781" i="2" a="1"/>
  <c r="H781" i="2" s="1"/>
  <c r="H782" i="2" a="1"/>
  <c r="H782" i="2" s="1"/>
  <c r="H783" i="2" a="1"/>
  <c r="H783" i="2" s="1"/>
  <c r="H784" i="2" a="1"/>
  <c r="H784" i="2" s="1"/>
  <c r="H785" i="2" a="1"/>
  <c r="H785" i="2" s="1"/>
  <c r="H786" i="2" a="1"/>
  <c r="H786" i="2" s="1"/>
  <c r="H787" i="2" a="1"/>
  <c r="H787" i="2" s="1"/>
  <c r="H788" i="2" a="1"/>
  <c r="H788" i="2" s="1"/>
  <c r="H789" i="2" a="1"/>
  <c r="H789" i="2" s="1"/>
  <c r="H790" i="2" a="1"/>
  <c r="H790" i="2" s="1"/>
  <c r="H791" i="2" a="1"/>
  <c r="H791" i="2" s="1"/>
  <c r="H792" i="2" a="1"/>
  <c r="H792" i="2" s="1"/>
  <c r="H793" i="2" a="1"/>
  <c r="H793" i="2" s="1"/>
  <c r="H794" i="2" a="1"/>
  <c r="H794" i="2" s="1"/>
  <c r="H795" i="2" a="1"/>
  <c r="H795" i="2" s="1"/>
  <c r="H796" i="2" a="1"/>
  <c r="H796" i="2" s="1"/>
  <c r="H797" i="2" a="1"/>
  <c r="H797" i="2" s="1"/>
  <c r="H798" i="2" a="1"/>
  <c r="H798" i="2" s="1"/>
  <c r="H799" i="2" a="1"/>
  <c r="H799" i="2" s="1"/>
  <c r="H800" i="2" a="1"/>
  <c r="H800" i="2" s="1"/>
  <c r="H801" i="2" a="1"/>
  <c r="H801" i="2" s="1"/>
  <c r="H802" i="2" a="1"/>
  <c r="H802" i="2" s="1"/>
  <c r="H803" i="2" a="1"/>
  <c r="H803" i="2" s="1"/>
  <c r="H804" i="2" a="1"/>
  <c r="H804" i="2" s="1"/>
  <c r="H805" i="2" a="1"/>
  <c r="H805" i="2" s="1"/>
  <c r="H806" i="2" a="1"/>
  <c r="H806" i="2" s="1"/>
  <c r="H807" i="2" a="1"/>
  <c r="H807" i="2" s="1"/>
  <c r="H808" i="2" a="1"/>
  <c r="H808" i="2" s="1"/>
  <c r="H809" i="2" a="1"/>
  <c r="H809" i="2" s="1"/>
  <c r="H810" i="2" a="1"/>
  <c r="H810" i="2" s="1"/>
  <c r="H811" i="2" a="1"/>
  <c r="H811" i="2" s="1"/>
  <c r="H812" i="2" a="1"/>
  <c r="H812" i="2" s="1"/>
  <c r="H813" i="2" a="1"/>
  <c r="H813" i="2" s="1"/>
  <c r="H814" i="2" a="1"/>
  <c r="H814" i="2" s="1"/>
  <c r="H815" i="2" a="1"/>
  <c r="H815" i="2" s="1"/>
  <c r="H816" i="2" a="1"/>
  <c r="H816" i="2" s="1"/>
  <c r="H817" i="2" a="1"/>
  <c r="H817" i="2" s="1"/>
  <c r="H818" i="2" a="1"/>
  <c r="H818" i="2" s="1"/>
  <c r="H819" i="2" a="1"/>
  <c r="H819" i="2" s="1"/>
  <c r="H820" i="2" a="1"/>
  <c r="H820" i="2" s="1"/>
  <c r="H821" i="2" a="1"/>
  <c r="H821" i="2" s="1"/>
  <c r="H822" i="2" a="1"/>
  <c r="H822" i="2" s="1"/>
  <c r="H823" i="2" a="1"/>
  <c r="H823" i="2" s="1"/>
  <c r="H824" i="2" a="1"/>
  <c r="H824" i="2" s="1"/>
  <c r="H825" i="2" a="1"/>
  <c r="H825" i="2" s="1"/>
  <c r="H826" i="2" a="1"/>
  <c r="H826" i="2" s="1"/>
  <c r="H827" i="2" a="1"/>
  <c r="H827" i="2" s="1"/>
  <c r="H828" i="2" a="1"/>
  <c r="H828" i="2" s="1"/>
  <c r="H829" i="2" a="1"/>
  <c r="H829" i="2" s="1"/>
  <c r="H830" i="2" a="1"/>
  <c r="H830" i="2" s="1"/>
  <c r="H831" i="2" a="1"/>
  <c r="H831" i="2" s="1"/>
  <c r="H832" i="2" a="1"/>
  <c r="H832" i="2" s="1"/>
  <c r="H833" i="2" a="1"/>
  <c r="H833" i="2" s="1"/>
  <c r="H834" i="2" a="1"/>
  <c r="H834" i="2" s="1"/>
  <c r="H835" i="2" a="1"/>
  <c r="H835" i="2" s="1"/>
  <c r="H836" i="2" a="1"/>
  <c r="H836" i="2" s="1"/>
  <c r="H837" i="2" a="1"/>
  <c r="H837" i="2" s="1"/>
  <c r="H838" i="2" a="1"/>
  <c r="H838" i="2" s="1"/>
  <c r="H839" i="2" a="1"/>
  <c r="H839" i="2" s="1"/>
  <c r="H840" i="2" a="1"/>
  <c r="H840" i="2" s="1"/>
  <c r="H841" i="2" a="1"/>
  <c r="H841" i="2" s="1"/>
  <c r="H842" i="2" a="1"/>
  <c r="H842" i="2" s="1"/>
  <c r="H843" i="2" a="1"/>
  <c r="H843" i="2" s="1"/>
  <c r="H844" i="2" a="1"/>
  <c r="H844" i="2" s="1"/>
  <c r="H845" i="2" a="1"/>
  <c r="H845" i="2" s="1"/>
  <c r="H846" i="2" a="1"/>
  <c r="H846" i="2" s="1"/>
  <c r="H847" i="2" a="1"/>
  <c r="H847" i="2" s="1"/>
  <c r="H848" i="2" a="1"/>
  <c r="H848" i="2" s="1"/>
  <c r="H849" i="2" a="1"/>
  <c r="H849" i="2" s="1"/>
  <c r="H850" i="2" a="1"/>
  <c r="H850" i="2" s="1"/>
  <c r="H851" i="2" a="1"/>
  <c r="H851" i="2" s="1"/>
  <c r="H852" i="2" a="1"/>
  <c r="H852" i="2" s="1"/>
  <c r="H853" i="2" a="1"/>
  <c r="H853" i="2" s="1"/>
  <c r="H854" i="2" a="1"/>
  <c r="H854" i="2" s="1"/>
  <c r="H855" i="2" a="1"/>
  <c r="H855" i="2" s="1"/>
  <c r="H856" i="2" a="1"/>
  <c r="H856" i="2" s="1"/>
  <c r="H857" i="2" a="1"/>
  <c r="H857" i="2" s="1"/>
  <c r="H858" i="2" a="1"/>
  <c r="H858" i="2" s="1"/>
  <c r="H859" i="2" a="1"/>
  <c r="H859" i="2" s="1"/>
  <c r="H860" i="2" a="1"/>
  <c r="H860" i="2" s="1"/>
  <c r="H861" i="2" a="1"/>
  <c r="H861" i="2" s="1"/>
  <c r="H862" i="2" a="1"/>
  <c r="H862" i="2" s="1"/>
  <c r="H863" i="2" a="1"/>
  <c r="H863" i="2" s="1"/>
  <c r="H864" i="2" a="1"/>
  <c r="H864" i="2" s="1"/>
  <c r="H865" i="2" a="1"/>
  <c r="H865" i="2" s="1"/>
  <c r="H866" i="2" a="1"/>
  <c r="H866" i="2" s="1"/>
  <c r="H867" i="2" a="1"/>
  <c r="H867" i="2" s="1"/>
  <c r="H868" i="2" a="1"/>
  <c r="H868" i="2" s="1"/>
  <c r="H869" i="2" a="1"/>
  <c r="H869" i="2" s="1"/>
  <c r="H870" i="2" a="1"/>
  <c r="H870" i="2" s="1"/>
  <c r="H871" i="2" a="1"/>
  <c r="H871" i="2" s="1"/>
  <c r="H872" i="2" a="1"/>
  <c r="H872" i="2" s="1"/>
  <c r="H873" i="2" a="1"/>
  <c r="H873" i="2" s="1"/>
  <c r="H874" i="2" a="1"/>
  <c r="H874" i="2" s="1"/>
  <c r="H875" i="2" a="1"/>
  <c r="H875" i="2" s="1"/>
  <c r="H876" i="2" a="1"/>
  <c r="H876" i="2" s="1"/>
  <c r="H877" i="2" a="1"/>
  <c r="H877" i="2" s="1"/>
  <c r="H878" i="2" a="1"/>
  <c r="H878" i="2" s="1"/>
  <c r="H879" i="2" a="1"/>
  <c r="H879" i="2" s="1"/>
  <c r="H880" i="2" a="1"/>
  <c r="H880" i="2" s="1"/>
  <c r="H881" i="2" a="1"/>
  <c r="H881" i="2" s="1"/>
  <c r="H882" i="2" a="1"/>
  <c r="H882" i="2" s="1"/>
  <c r="H883" i="2" a="1"/>
  <c r="H883" i="2" s="1"/>
  <c r="H884" i="2" a="1"/>
  <c r="H884" i="2" s="1"/>
  <c r="H885" i="2" a="1"/>
  <c r="H885" i="2" s="1"/>
  <c r="H886" i="2" a="1"/>
  <c r="H886" i="2" s="1"/>
  <c r="H887" i="2" a="1"/>
  <c r="H887" i="2" s="1"/>
  <c r="H888" i="2" a="1"/>
  <c r="H888" i="2" s="1"/>
  <c r="H889" i="2" a="1"/>
  <c r="H889" i="2" s="1"/>
  <c r="H890" i="2" a="1"/>
  <c r="H890" i="2" s="1"/>
  <c r="H891" i="2" a="1"/>
  <c r="H891" i="2" s="1"/>
  <c r="H892" i="2" a="1"/>
  <c r="H892" i="2" s="1"/>
  <c r="H893" i="2" a="1"/>
  <c r="H893" i="2" s="1"/>
  <c r="H894" i="2" a="1"/>
  <c r="H894" i="2" s="1"/>
  <c r="H895" i="2" a="1"/>
  <c r="H895" i="2" s="1"/>
  <c r="H896" i="2" a="1"/>
  <c r="H896" i="2" s="1"/>
  <c r="H897" i="2" a="1"/>
  <c r="H897" i="2" s="1"/>
  <c r="H898" i="2" a="1"/>
  <c r="H898" i="2" s="1"/>
  <c r="H899" i="2" a="1"/>
  <c r="H899" i="2" s="1"/>
  <c r="H900" i="2" a="1"/>
  <c r="H900" i="2" s="1"/>
  <c r="H901" i="2" a="1"/>
  <c r="H901" i="2" s="1"/>
  <c r="H902" i="2" a="1"/>
  <c r="H902" i="2" s="1"/>
  <c r="H903" i="2" a="1"/>
  <c r="H903" i="2" s="1"/>
  <c r="H904" i="2" a="1"/>
  <c r="H904" i="2" s="1"/>
  <c r="H905" i="2" a="1"/>
  <c r="H905" i="2" s="1"/>
  <c r="H906" i="2" a="1"/>
  <c r="H906" i="2" s="1"/>
  <c r="H907" i="2" a="1"/>
  <c r="H907" i="2" s="1"/>
  <c r="H908" i="2" a="1"/>
  <c r="H908" i="2" s="1"/>
  <c r="H909" i="2" a="1"/>
  <c r="H909" i="2" s="1"/>
  <c r="H910" i="2" a="1"/>
  <c r="H910" i="2" s="1"/>
  <c r="H911" i="2" a="1"/>
  <c r="H911" i="2" s="1"/>
  <c r="H912" i="2" a="1"/>
  <c r="H912" i="2" s="1"/>
  <c r="H913" i="2" a="1"/>
  <c r="H913" i="2" s="1"/>
  <c r="H914" i="2" a="1"/>
  <c r="H914" i="2" s="1"/>
  <c r="H915" i="2" a="1"/>
  <c r="H915" i="2" s="1"/>
  <c r="H916" i="2" a="1"/>
  <c r="H916" i="2" s="1"/>
  <c r="H917" i="2" a="1"/>
  <c r="H917" i="2" s="1"/>
  <c r="H918" i="2" a="1"/>
  <c r="H918" i="2" s="1"/>
  <c r="H919" i="2" a="1"/>
  <c r="H919" i="2" s="1"/>
  <c r="H920" i="2" a="1"/>
  <c r="H920" i="2" s="1"/>
  <c r="H921" i="2" a="1"/>
  <c r="H921" i="2" s="1"/>
  <c r="H922" i="2" a="1"/>
  <c r="H922" i="2" s="1"/>
  <c r="H923" i="2" a="1"/>
  <c r="H923" i="2" s="1"/>
  <c r="H924" i="2" a="1"/>
  <c r="H924" i="2" s="1"/>
  <c r="H925" i="2" a="1"/>
  <c r="H925" i="2" s="1"/>
  <c r="H926" i="2" a="1"/>
  <c r="H926" i="2" s="1"/>
  <c r="H927" i="2" a="1"/>
  <c r="H927" i="2" s="1"/>
  <c r="H928" i="2" a="1"/>
  <c r="H928" i="2" s="1"/>
  <c r="H929" i="2" a="1"/>
  <c r="H929" i="2" s="1"/>
  <c r="H930" i="2" a="1"/>
  <c r="H930" i="2" s="1"/>
  <c r="H931" i="2" a="1"/>
  <c r="H931" i="2" s="1"/>
  <c r="H932" i="2" a="1"/>
  <c r="H932" i="2" s="1"/>
  <c r="H933" i="2" a="1"/>
  <c r="H933" i="2" s="1"/>
  <c r="H934" i="2" a="1"/>
  <c r="H934" i="2" s="1"/>
  <c r="H935" i="2" a="1"/>
  <c r="H935" i="2" s="1"/>
  <c r="H936" i="2" a="1"/>
  <c r="H936" i="2" s="1"/>
  <c r="H937" i="2" a="1"/>
  <c r="H937" i="2" s="1"/>
  <c r="H938" i="2" a="1"/>
  <c r="H938" i="2" s="1"/>
  <c r="H939" i="2" a="1"/>
  <c r="H939" i="2" s="1"/>
  <c r="H940" i="2" a="1"/>
  <c r="H940" i="2" s="1"/>
  <c r="H941" i="2" a="1"/>
  <c r="H941" i="2" s="1"/>
  <c r="H942" i="2" a="1"/>
  <c r="H942" i="2" s="1"/>
  <c r="H943" i="2" a="1"/>
  <c r="H943" i="2" s="1"/>
  <c r="H944" i="2" a="1"/>
  <c r="H944" i="2" s="1"/>
  <c r="H945" i="2" a="1"/>
  <c r="H945" i="2" s="1"/>
  <c r="H946" i="2" a="1"/>
  <c r="H946" i="2" s="1"/>
  <c r="H947" i="2" a="1"/>
  <c r="H947" i="2" s="1"/>
  <c r="H948" i="2" a="1"/>
  <c r="H948" i="2" s="1"/>
  <c r="H949" i="2" a="1"/>
  <c r="H949" i="2" s="1"/>
  <c r="H950" i="2" a="1"/>
  <c r="H950" i="2" s="1"/>
  <c r="H951" i="2" a="1"/>
  <c r="H951" i="2" s="1"/>
  <c r="H952" i="2" a="1"/>
  <c r="H952" i="2" s="1"/>
  <c r="H953" i="2" a="1"/>
  <c r="H953" i="2" s="1"/>
  <c r="H954" i="2" a="1"/>
  <c r="H954" i="2" s="1"/>
  <c r="H955" i="2" a="1"/>
  <c r="H955" i="2" s="1"/>
  <c r="H956" i="2" a="1"/>
  <c r="H956" i="2" s="1"/>
  <c r="H957" i="2" a="1"/>
  <c r="H957" i="2" s="1"/>
  <c r="H958" i="2" a="1"/>
  <c r="H958" i="2" s="1"/>
  <c r="H959" i="2" a="1"/>
  <c r="H959" i="2" s="1"/>
  <c r="H960" i="2" a="1"/>
  <c r="H960" i="2" s="1"/>
  <c r="H961" i="2" a="1"/>
  <c r="H961" i="2" s="1"/>
  <c r="H962" i="2" a="1"/>
  <c r="H962" i="2" s="1"/>
  <c r="H963" i="2" a="1"/>
  <c r="H963" i="2" s="1"/>
  <c r="H964" i="2" a="1"/>
  <c r="H964" i="2" s="1"/>
  <c r="H965" i="2" a="1"/>
  <c r="H965" i="2" s="1"/>
  <c r="H966" i="2" a="1"/>
  <c r="H966" i="2" s="1"/>
  <c r="H967" i="2" a="1"/>
  <c r="H967" i="2" s="1"/>
  <c r="H968" i="2" a="1"/>
  <c r="H968" i="2" s="1"/>
  <c r="H969" i="2" a="1"/>
  <c r="H969" i="2" s="1"/>
  <c r="H970" i="2" a="1"/>
  <c r="H970" i="2" s="1"/>
  <c r="H971" i="2" a="1"/>
  <c r="H971" i="2" s="1"/>
  <c r="H972" i="2" a="1"/>
  <c r="H972" i="2" s="1"/>
  <c r="H973" i="2" a="1"/>
  <c r="H973" i="2" s="1"/>
  <c r="H974" i="2" a="1"/>
  <c r="H974" i="2" s="1"/>
  <c r="H975" i="2" a="1"/>
  <c r="H975" i="2" s="1"/>
  <c r="H976" i="2" a="1"/>
  <c r="H976" i="2" s="1"/>
  <c r="H977" i="2" a="1"/>
  <c r="H977" i="2" s="1"/>
  <c r="H978" i="2" a="1"/>
  <c r="H978" i="2" s="1"/>
  <c r="H979" i="2" a="1"/>
  <c r="H979" i="2" s="1"/>
  <c r="H980" i="2" a="1"/>
  <c r="H980" i="2" s="1"/>
  <c r="H981" i="2" a="1"/>
  <c r="H981" i="2" s="1"/>
  <c r="H982" i="2" a="1"/>
  <c r="H982" i="2" s="1"/>
  <c r="H983" i="2" a="1"/>
  <c r="H983" i="2" s="1"/>
  <c r="H984" i="2" a="1"/>
  <c r="H984" i="2" s="1"/>
  <c r="H985" i="2" a="1"/>
  <c r="H985" i="2" s="1"/>
  <c r="H986" i="2" a="1"/>
  <c r="H986" i="2" s="1"/>
  <c r="H987" i="2" a="1"/>
  <c r="H987" i="2" s="1"/>
  <c r="H988" i="2" a="1"/>
  <c r="H988" i="2" s="1"/>
  <c r="H989" i="2" a="1"/>
  <c r="H989" i="2" s="1"/>
  <c r="H990" i="2" a="1"/>
  <c r="H990" i="2" s="1"/>
  <c r="H991" i="2" a="1"/>
  <c r="H991" i="2" s="1"/>
  <c r="H992" i="2" a="1"/>
  <c r="H992" i="2" s="1"/>
  <c r="H993" i="2" a="1"/>
  <c r="H993" i="2" s="1"/>
  <c r="H994" i="2" a="1"/>
  <c r="H994" i="2" s="1"/>
  <c r="H995" i="2" a="1"/>
  <c r="H995" i="2" s="1"/>
  <c r="H996" i="2" a="1"/>
  <c r="H996" i="2" s="1"/>
  <c r="H997" i="2" a="1"/>
  <c r="H997" i="2" s="1"/>
  <c r="H998" i="2" a="1"/>
  <c r="H998" i="2" s="1"/>
  <c r="H999" i="2" a="1"/>
  <c r="H999" i="2" s="1"/>
  <c r="H1000" i="2" a="1"/>
  <c r="H1000" i="2" s="1"/>
  <c r="H1001" i="2" a="1"/>
  <c r="H1001" i="2" s="1"/>
  <c r="H1002" i="2" a="1"/>
  <c r="H1002" i="2" s="1"/>
  <c r="H1003" i="2" a="1"/>
  <c r="H1003" i="2" s="1"/>
  <c r="H1004" i="2" a="1"/>
  <c r="H1004" i="2" s="1"/>
  <c r="H1005" i="2" a="1"/>
  <c r="H1005" i="2" s="1"/>
  <c r="H1006" i="2" a="1"/>
  <c r="H1006" i="2" s="1"/>
  <c r="H1007" i="2" a="1"/>
  <c r="H1007" i="2" s="1"/>
  <c r="H1008" i="2" a="1"/>
  <c r="H1008" i="2" s="1"/>
  <c r="H1009" i="2" a="1"/>
  <c r="H1009" i="2" s="1"/>
  <c r="H1010" i="2" a="1"/>
  <c r="H1010" i="2" s="1"/>
  <c r="H1011" i="2" a="1"/>
  <c r="H1011" i="2" s="1"/>
  <c r="H1012" i="2" a="1"/>
  <c r="H1012" i="2" s="1"/>
  <c r="H1013" i="2" a="1"/>
  <c r="H1013" i="2" s="1"/>
  <c r="H1014" i="2" a="1"/>
  <c r="H1014" i="2" s="1"/>
  <c r="H1015" i="2" a="1"/>
  <c r="H1015" i="2" s="1"/>
  <c r="H1016" i="2" a="1"/>
  <c r="H1016" i="2" s="1"/>
  <c r="H1017" i="2" a="1"/>
  <c r="H1017" i="2" s="1"/>
  <c r="H1018" i="2" a="1"/>
  <c r="H1018" i="2" s="1"/>
  <c r="H1019" i="2" a="1"/>
  <c r="H1019" i="2" s="1"/>
  <c r="H1020" i="2" a="1"/>
  <c r="H1020" i="2" s="1"/>
  <c r="H1021" i="2" a="1"/>
  <c r="H1021" i="2" s="1"/>
  <c r="H1022" i="2" a="1"/>
  <c r="H1022" i="2" s="1"/>
  <c r="H1023" i="2" a="1"/>
  <c r="H1023" i="2" s="1"/>
  <c r="H1024" i="2" a="1"/>
  <c r="H1024" i="2" s="1"/>
  <c r="H1025" i="2" a="1"/>
  <c r="H1025" i="2" s="1"/>
  <c r="H1026" i="2" a="1"/>
  <c r="H1026" i="2" s="1"/>
  <c r="H1027" i="2" a="1"/>
  <c r="H1027" i="2" s="1"/>
  <c r="H1028" i="2" a="1"/>
  <c r="H1028" i="2" s="1"/>
  <c r="H1029" i="2" a="1"/>
  <c r="H1029" i="2" s="1"/>
  <c r="H1030" i="2" a="1"/>
  <c r="H1030" i="2" s="1"/>
  <c r="H1031" i="2" a="1"/>
  <c r="H1031" i="2" s="1"/>
  <c r="H1032" i="2" a="1"/>
  <c r="H1032" i="2" s="1"/>
  <c r="H1033" i="2" a="1"/>
  <c r="H1033" i="2" s="1"/>
  <c r="H1034" i="2" a="1"/>
  <c r="H1034" i="2" s="1"/>
  <c r="H1035" i="2" a="1"/>
  <c r="H1035" i="2" s="1"/>
  <c r="H1036" i="2" a="1"/>
  <c r="H1036" i="2" s="1"/>
  <c r="H1037" i="2" a="1"/>
  <c r="H1037" i="2" s="1"/>
  <c r="H1038" i="2" a="1"/>
  <c r="H1038" i="2" s="1"/>
  <c r="H1039" i="2" a="1"/>
  <c r="H1039" i="2" s="1"/>
  <c r="H1040" i="2" a="1"/>
  <c r="H1040" i="2" s="1"/>
  <c r="H1041" i="2" a="1"/>
  <c r="H1041" i="2" s="1"/>
  <c r="H1042" i="2" a="1"/>
  <c r="H1042" i="2" s="1"/>
  <c r="H1043" i="2" a="1"/>
  <c r="H1043" i="2" s="1"/>
  <c r="H1044" i="2" a="1"/>
  <c r="H1044" i="2" s="1"/>
  <c r="H1045" i="2" a="1"/>
  <c r="H1045" i="2" s="1"/>
  <c r="H1046" i="2" a="1"/>
  <c r="H1046" i="2" s="1"/>
  <c r="H1047" i="2" a="1"/>
  <c r="H1047" i="2" s="1"/>
  <c r="H1048" i="2" a="1"/>
  <c r="H1048" i="2" s="1"/>
  <c r="H1049" i="2" a="1"/>
  <c r="H1049" i="2" s="1"/>
  <c r="H1050" i="2" a="1"/>
  <c r="H1050" i="2" s="1"/>
  <c r="H1051" i="2" a="1"/>
  <c r="H1051" i="2" s="1"/>
  <c r="H1052" i="2" a="1"/>
  <c r="H1052" i="2" s="1"/>
  <c r="H1053" i="2" a="1"/>
  <c r="H1053" i="2" s="1"/>
  <c r="H1054" i="2" a="1"/>
  <c r="H1054" i="2" s="1"/>
  <c r="H1055" i="2" a="1"/>
  <c r="H1055" i="2" s="1"/>
  <c r="H1056" i="2" a="1"/>
  <c r="H1056" i="2" s="1"/>
  <c r="H1057" i="2" a="1"/>
  <c r="H1057" i="2" s="1"/>
  <c r="H1058" i="2" a="1"/>
  <c r="H1058" i="2" s="1"/>
  <c r="H1059" i="2" a="1"/>
  <c r="H1059" i="2" s="1"/>
  <c r="H1060" i="2" a="1"/>
  <c r="H1060" i="2" s="1"/>
  <c r="H1061" i="2" a="1"/>
  <c r="H1061" i="2" s="1"/>
  <c r="H1062" i="2" a="1"/>
  <c r="H1062" i="2" s="1"/>
  <c r="H1063" i="2" a="1"/>
  <c r="H1063" i="2" s="1"/>
  <c r="H1064" i="2" a="1"/>
  <c r="H1064" i="2" s="1"/>
  <c r="H1065" i="2" a="1"/>
  <c r="H1065" i="2" s="1"/>
  <c r="H1066" i="2" a="1"/>
  <c r="H1066" i="2" s="1"/>
  <c r="H1067" i="2" a="1"/>
  <c r="H1067" i="2" s="1"/>
  <c r="H1068" i="2" a="1"/>
  <c r="H1068" i="2" s="1"/>
  <c r="H1069" i="2" a="1"/>
  <c r="H1069" i="2" s="1"/>
  <c r="H1070" i="2" a="1"/>
  <c r="H1070" i="2" s="1"/>
  <c r="H1071" i="2" a="1"/>
  <c r="H1071" i="2" s="1"/>
  <c r="H1072" i="2" a="1"/>
  <c r="H1072" i="2" s="1"/>
  <c r="H1073" i="2" a="1"/>
  <c r="H1073" i="2" s="1"/>
  <c r="H1074" i="2" a="1"/>
  <c r="H1074" i="2" s="1"/>
  <c r="H1075" i="2" a="1"/>
  <c r="H1075" i="2" s="1"/>
  <c r="H1076" i="2" a="1"/>
  <c r="H1076" i="2" s="1"/>
  <c r="H1077" i="2" a="1"/>
  <c r="H1077" i="2" s="1"/>
  <c r="H1078" i="2" a="1"/>
  <c r="H1078" i="2" s="1"/>
  <c r="H1079" i="2" a="1"/>
  <c r="H1079" i="2" s="1"/>
  <c r="H1080" i="2" a="1"/>
  <c r="H1080" i="2" s="1"/>
  <c r="H1081" i="2" a="1"/>
  <c r="H1081" i="2" s="1"/>
  <c r="H1082" i="2" a="1"/>
  <c r="H1082" i="2" s="1"/>
  <c r="H1083" i="2" a="1"/>
  <c r="H1083" i="2" s="1"/>
  <c r="H1084" i="2" a="1"/>
  <c r="H1084" i="2" s="1"/>
  <c r="H1085" i="2" a="1"/>
  <c r="H1085" i="2" s="1"/>
  <c r="H1086" i="2" a="1"/>
  <c r="H1086" i="2" s="1"/>
  <c r="H1087" i="2" a="1"/>
  <c r="H1087" i="2" s="1"/>
  <c r="H1088" i="2" a="1"/>
  <c r="H1088" i="2" s="1"/>
  <c r="H1089" i="2" a="1"/>
  <c r="H1089" i="2" s="1"/>
  <c r="H1090" i="2" a="1"/>
  <c r="H1090" i="2" s="1"/>
  <c r="H1091" i="2" a="1"/>
  <c r="H1091" i="2" s="1"/>
  <c r="H1092" i="2" a="1"/>
  <c r="H1092" i="2" s="1"/>
  <c r="H1093" i="2" a="1"/>
  <c r="H1093" i="2" s="1"/>
  <c r="H1094" i="2" a="1"/>
  <c r="H1094" i="2" s="1"/>
  <c r="H1095" i="2" a="1"/>
  <c r="H1095" i="2" s="1"/>
  <c r="H1096" i="2" a="1"/>
  <c r="H1096" i="2" s="1"/>
  <c r="H1097" i="2" a="1"/>
  <c r="H1097" i="2" s="1"/>
  <c r="H1098" i="2" a="1"/>
  <c r="H1098" i="2" s="1"/>
  <c r="H1099" i="2" a="1"/>
  <c r="H1099" i="2" s="1"/>
  <c r="H1100" i="2" a="1"/>
  <c r="H1100" i="2" s="1"/>
  <c r="H1101" i="2" a="1"/>
  <c r="H1101" i="2" s="1"/>
  <c r="H1102" i="2" a="1"/>
  <c r="H1102" i="2" s="1"/>
  <c r="H1103" i="2" a="1"/>
  <c r="H1103" i="2" s="1"/>
  <c r="H1104" i="2" a="1"/>
  <c r="H1104" i="2" s="1"/>
  <c r="H1105" i="2" a="1"/>
  <c r="H1105" i="2" s="1"/>
  <c r="H1106" i="2" a="1"/>
  <c r="H1106" i="2" s="1"/>
  <c r="H1107" i="2" a="1"/>
  <c r="H1107" i="2" s="1"/>
  <c r="H1108" i="2" a="1"/>
  <c r="H1108" i="2" s="1"/>
  <c r="H1109" i="2" a="1"/>
  <c r="H1109" i="2" s="1"/>
  <c r="H1110" i="2" a="1"/>
  <c r="H1110" i="2" s="1"/>
  <c r="H1111" i="2" a="1"/>
  <c r="H1111" i="2" s="1"/>
  <c r="H1112" i="2" a="1"/>
  <c r="H1112" i="2" s="1"/>
  <c r="H1113" i="2" a="1"/>
  <c r="H1113" i="2" s="1"/>
  <c r="H1114" i="2" a="1"/>
  <c r="H1114" i="2" s="1"/>
  <c r="H1115" i="2" a="1"/>
  <c r="H1115" i="2" s="1"/>
  <c r="H1116" i="2" a="1"/>
  <c r="H1116" i="2" s="1"/>
  <c r="H1117" i="2" a="1"/>
  <c r="H1117" i="2" s="1"/>
  <c r="H1118" i="2" a="1"/>
  <c r="H1118" i="2" s="1"/>
  <c r="H1119" i="2" a="1"/>
  <c r="H1119" i="2" s="1"/>
  <c r="H1120" i="2" a="1"/>
  <c r="H1120" i="2" s="1"/>
  <c r="H1121" i="2" a="1"/>
  <c r="H1121" i="2" s="1"/>
  <c r="H1122" i="2" a="1"/>
  <c r="H1122" i="2" s="1"/>
  <c r="H1123" i="2" a="1"/>
  <c r="H1123" i="2" s="1"/>
  <c r="H1124" i="2" a="1"/>
  <c r="H1124" i="2" s="1"/>
  <c r="H1125" i="2" a="1"/>
  <c r="H1125" i="2" s="1"/>
  <c r="H1126" i="2" a="1"/>
  <c r="H1126" i="2" s="1"/>
  <c r="H1127" i="2" a="1"/>
  <c r="H1127" i="2" s="1"/>
  <c r="H1128" i="2" a="1"/>
  <c r="H1128" i="2" s="1"/>
  <c r="H1129" i="2" a="1"/>
  <c r="H1129" i="2" s="1"/>
  <c r="H1130" i="2" a="1"/>
  <c r="H1130" i="2" s="1"/>
  <c r="H1131" i="2" a="1"/>
  <c r="H1131" i="2" s="1"/>
  <c r="H1132" i="2" a="1"/>
  <c r="H1132" i="2" s="1"/>
  <c r="H1133" i="2" a="1"/>
  <c r="H1133" i="2" s="1"/>
  <c r="H1134" i="2" a="1"/>
  <c r="H1134" i="2" s="1"/>
  <c r="H1135" i="2" a="1"/>
  <c r="H1135" i="2" s="1"/>
  <c r="H1136" i="2" a="1"/>
  <c r="H1136" i="2" s="1"/>
  <c r="H1137" i="2" a="1"/>
  <c r="H1137" i="2" s="1"/>
  <c r="H1138" i="2" a="1"/>
  <c r="H1138" i="2" s="1"/>
  <c r="H1139" i="2" a="1"/>
  <c r="H1139" i="2" s="1"/>
  <c r="H1140" i="2" a="1"/>
  <c r="H1140" i="2" s="1"/>
  <c r="H1141" i="2" a="1"/>
  <c r="H1141" i="2" s="1"/>
  <c r="H1142" i="2" a="1"/>
  <c r="H1142" i="2" s="1"/>
  <c r="H1143" i="2" a="1"/>
  <c r="H1143" i="2" s="1"/>
  <c r="H1144" i="2" a="1"/>
  <c r="H1144" i="2" s="1"/>
  <c r="H1145" i="2" a="1"/>
  <c r="H1145" i="2" s="1"/>
  <c r="H1146" i="2" a="1"/>
  <c r="H1146" i="2" s="1"/>
  <c r="H1147" i="2" a="1"/>
  <c r="H1147" i="2" s="1"/>
  <c r="H1148" i="2" a="1"/>
  <c r="H1148" i="2" s="1"/>
  <c r="H1149" i="2" a="1"/>
  <c r="H1149" i="2" s="1"/>
  <c r="H1150" i="2" a="1"/>
  <c r="H1150" i="2" s="1"/>
  <c r="H1151" i="2" a="1"/>
  <c r="H1151" i="2" s="1"/>
  <c r="H1152" i="2" a="1"/>
  <c r="H1152" i="2" s="1"/>
  <c r="H1153" i="2" a="1"/>
  <c r="H1153" i="2" s="1"/>
  <c r="H1154" i="2" a="1"/>
  <c r="H1154" i="2" s="1"/>
  <c r="H1155" i="2" a="1"/>
  <c r="H1155" i="2" s="1"/>
  <c r="H1156" i="2" a="1"/>
  <c r="H1156" i="2" s="1"/>
  <c r="H1157" i="2" a="1"/>
  <c r="H1157" i="2" s="1"/>
  <c r="H1158" i="2" a="1"/>
  <c r="H1158" i="2" s="1"/>
  <c r="H1159" i="2" a="1"/>
  <c r="H1159" i="2" s="1"/>
  <c r="H1160" i="2" a="1"/>
  <c r="H1160" i="2" s="1"/>
  <c r="H1161" i="2" a="1"/>
  <c r="H1161" i="2" s="1"/>
  <c r="H1162" i="2" a="1"/>
  <c r="H1162" i="2" s="1"/>
  <c r="H1163" i="2" a="1"/>
  <c r="H1163" i="2" s="1"/>
  <c r="H1164" i="2" a="1"/>
  <c r="H1164" i="2" s="1"/>
  <c r="H1165" i="2" a="1"/>
  <c r="H1165" i="2" s="1"/>
  <c r="H1166" i="2" a="1"/>
  <c r="H1166" i="2" s="1"/>
  <c r="H1167" i="2" a="1"/>
  <c r="H1167" i="2" s="1"/>
  <c r="H1168" i="2" a="1"/>
  <c r="H1168" i="2" s="1"/>
  <c r="H1169" i="2" a="1"/>
  <c r="H1169" i="2" s="1"/>
  <c r="H1170" i="2" a="1"/>
  <c r="H1170" i="2" s="1"/>
  <c r="H1171" i="2" a="1"/>
  <c r="H1171" i="2" s="1"/>
  <c r="H1172" i="2" a="1"/>
  <c r="H1172" i="2" s="1"/>
  <c r="H1173" i="2" a="1"/>
  <c r="H1173" i="2" s="1"/>
  <c r="H1174" i="2" a="1"/>
  <c r="H1174" i="2" s="1"/>
  <c r="H1175" i="2" a="1"/>
  <c r="H1175" i="2" s="1"/>
  <c r="H1176" i="2" a="1"/>
  <c r="H1176" i="2" s="1"/>
  <c r="H1177" i="2" a="1"/>
  <c r="H1177" i="2" s="1"/>
  <c r="H1178" i="2" a="1"/>
  <c r="H1178" i="2" s="1"/>
  <c r="H1179" i="2" a="1"/>
  <c r="H1179" i="2" s="1"/>
  <c r="H1180" i="2" a="1"/>
  <c r="H1180" i="2" s="1"/>
  <c r="H1181" i="2" a="1"/>
  <c r="H1181" i="2" s="1"/>
  <c r="H1182" i="2" a="1"/>
  <c r="H1182" i="2" s="1"/>
  <c r="H1183" i="2" a="1"/>
  <c r="H1183" i="2" s="1"/>
  <c r="H1184" i="2" a="1"/>
  <c r="H1184" i="2" s="1"/>
  <c r="H1185" i="2" a="1"/>
  <c r="H1185" i="2" s="1"/>
  <c r="H1186" i="2" a="1"/>
  <c r="H1186" i="2" s="1"/>
  <c r="H1187" i="2" a="1"/>
  <c r="H1187" i="2" s="1"/>
  <c r="H1188" i="2" a="1"/>
  <c r="H1188" i="2" s="1"/>
  <c r="H1189" i="2" a="1"/>
  <c r="H1189" i="2" s="1"/>
  <c r="H1190" i="2" a="1"/>
  <c r="H1190" i="2" s="1"/>
  <c r="H1191" i="2" a="1"/>
  <c r="H1191" i="2" s="1"/>
  <c r="H1192" i="2" a="1"/>
  <c r="H1192" i="2" s="1"/>
  <c r="H1193" i="2" a="1"/>
  <c r="H1193" i="2" s="1"/>
  <c r="H1194" i="2" a="1"/>
  <c r="H1194" i="2" s="1"/>
  <c r="H1195" i="2" a="1"/>
  <c r="H1195" i="2" s="1"/>
  <c r="H1196" i="2" a="1"/>
  <c r="H1196" i="2" s="1"/>
  <c r="H1197" i="2" a="1"/>
  <c r="H1197" i="2" s="1"/>
  <c r="H1198" i="2" a="1"/>
  <c r="H1198" i="2" s="1"/>
  <c r="H1199" i="2" a="1"/>
  <c r="H1199" i="2" s="1"/>
  <c r="H1200" i="2" a="1"/>
  <c r="H1200" i="2" s="1"/>
  <c r="H1201" i="2" a="1"/>
  <c r="H1201" i="2" s="1"/>
  <c r="H1202" i="2" a="1"/>
  <c r="H1202" i="2" s="1"/>
  <c r="H1203" i="2" a="1"/>
  <c r="H1203" i="2" s="1"/>
  <c r="H1204" i="2" a="1"/>
  <c r="H1204" i="2" s="1"/>
  <c r="H1205" i="2" a="1"/>
  <c r="H1205" i="2" s="1"/>
  <c r="H1206" i="2" a="1"/>
  <c r="H1206" i="2" s="1"/>
  <c r="H1207" i="2" a="1"/>
  <c r="H1207" i="2" s="1"/>
  <c r="H1208" i="2" a="1"/>
  <c r="H1208" i="2" s="1"/>
  <c r="H1209" i="2" a="1"/>
  <c r="H1209" i="2" s="1"/>
  <c r="H1210" i="2" a="1"/>
  <c r="H1210" i="2" s="1"/>
  <c r="H1211" i="2" a="1"/>
  <c r="H1211" i="2" s="1"/>
  <c r="H1212" i="2" a="1"/>
  <c r="H1212" i="2" s="1"/>
  <c r="H1213" i="2" a="1"/>
  <c r="H1213" i="2" s="1"/>
  <c r="H1214" i="2" a="1"/>
  <c r="H1214" i="2" s="1"/>
  <c r="H1215" i="2" a="1"/>
  <c r="H1215" i="2" s="1"/>
  <c r="H1216" i="2" a="1"/>
  <c r="H1216" i="2" s="1"/>
  <c r="H1217" i="2" a="1"/>
  <c r="H1217" i="2" s="1"/>
  <c r="H1218" i="2" a="1"/>
  <c r="H1218" i="2" s="1"/>
  <c r="H1219" i="2" a="1"/>
  <c r="H1219" i="2" s="1"/>
  <c r="H1220" i="2" a="1"/>
  <c r="H1220" i="2" s="1"/>
  <c r="H1221" i="2" a="1"/>
  <c r="H1221" i="2" s="1"/>
  <c r="H1222" i="2" a="1"/>
  <c r="H1222" i="2" s="1"/>
  <c r="H1223" i="2" a="1"/>
  <c r="H1223" i="2" s="1"/>
  <c r="H1224" i="2" a="1"/>
  <c r="H1224" i="2" s="1"/>
  <c r="H1225" i="2" a="1"/>
  <c r="H1225" i="2" s="1"/>
  <c r="H1226" i="2" a="1"/>
  <c r="H1226" i="2" s="1"/>
  <c r="H1227" i="2" a="1"/>
  <c r="H1227" i="2" s="1"/>
  <c r="H1228" i="2" a="1"/>
  <c r="H1228" i="2" s="1"/>
  <c r="H1229" i="2" a="1"/>
  <c r="H1229" i="2" s="1"/>
  <c r="H1230" i="2" a="1"/>
  <c r="H1230" i="2" s="1"/>
  <c r="H1231" i="2" a="1"/>
  <c r="H1231" i="2" s="1"/>
  <c r="H1232" i="2" a="1"/>
  <c r="H1232" i="2" s="1"/>
  <c r="H1233" i="2" a="1"/>
  <c r="H1233" i="2" s="1"/>
  <c r="H1234" i="2" a="1"/>
  <c r="H1234" i="2" s="1"/>
  <c r="H1235" i="2" a="1"/>
  <c r="H1235" i="2" s="1"/>
  <c r="H1236" i="2" a="1"/>
  <c r="H1236" i="2" s="1"/>
  <c r="H1237" i="2" a="1"/>
  <c r="H1237" i="2" s="1"/>
  <c r="H1238" i="2" a="1"/>
  <c r="H1238" i="2" s="1"/>
  <c r="H1239" i="2" a="1"/>
  <c r="H1239" i="2" s="1"/>
  <c r="H1240" i="2" a="1"/>
  <c r="H1240" i="2" s="1"/>
  <c r="H1241" i="2" a="1"/>
  <c r="H1241" i="2" s="1"/>
  <c r="H1242" i="2" a="1"/>
  <c r="H1242" i="2" s="1"/>
  <c r="H1243" i="2" a="1"/>
  <c r="H1243" i="2" s="1"/>
  <c r="H1244" i="2" a="1"/>
  <c r="H1244" i="2" s="1"/>
  <c r="H1245" i="2" a="1"/>
  <c r="H1245" i="2" s="1"/>
  <c r="H1246" i="2" a="1"/>
  <c r="H1246" i="2" s="1"/>
  <c r="H1247" i="2" a="1"/>
  <c r="H1247" i="2" s="1"/>
  <c r="H1248" i="2" a="1"/>
  <c r="H1248" i="2" s="1"/>
  <c r="H1249" i="2" a="1"/>
  <c r="H1249" i="2" s="1"/>
  <c r="H1250" i="2" a="1"/>
  <c r="H1250" i="2" s="1"/>
  <c r="H1251" i="2" a="1"/>
  <c r="H1251" i="2" s="1"/>
  <c r="H1252" i="2" a="1"/>
  <c r="H1252" i="2" s="1"/>
  <c r="H1253" i="2" a="1"/>
  <c r="H1253" i="2" s="1"/>
  <c r="H1254" i="2" a="1"/>
  <c r="H1254" i="2" s="1"/>
  <c r="H1255" i="2" a="1"/>
  <c r="H1255" i="2" s="1"/>
  <c r="H1256" i="2" a="1"/>
  <c r="H1256" i="2" s="1"/>
  <c r="H1257" i="2" a="1"/>
  <c r="H1257" i="2" s="1"/>
  <c r="H1258" i="2" a="1"/>
  <c r="H1258" i="2" s="1"/>
  <c r="H1259" i="2" a="1"/>
  <c r="H1259" i="2" s="1"/>
  <c r="H1260" i="2" a="1"/>
  <c r="H1260" i="2" s="1"/>
  <c r="H1261" i="2" a="1"/>
  <c r="H1261" i="2" s="1"/>
  <c r="H1262" i="2" a="1"/>
  <c r="H1262" i="2" s="1"/>
  <c r="H1263" i="2" a="1"/>
  <c r="H1263" i="2" s="1"/>
  <c r="H1264" i="2" a="1"/>
  <c r="H1264" i="2" s="1"/>
  <c r="H1265" i="2" a="1"/>
  <c r="H1265" i="2" s="1"/>
  <c r="H1266" i="2" a="1"/>
  <c r="H1266" i="2" s="1"/>
  <c r="H1267" i="2" a="1"/>
  <c r="H1267" i="2" s="1"/>
  <c r="H1268" i="2" a="1"/>
  <c r="H1268" i="2" s="1"/>
  <c r="H1269" i="2" a="1"/>
  <c r="H1269" i="2" s="1"/>
  <c r="H1270" i="2" a="1"/>
  <c r="H1270" i="2" s="1"/>
  <c r="H1271" i="2" a="1"/>
  <c r="H1271" i="2" s="1"/>
  <c r="H1272" i="2" a="1"/>
  <c r="H1272" i="2" s="1"/>
  <c r="H1273" i="2" a="1"/>
  <c r="H1273" i="2" s="1"/>
  <c r="H1274" i="2" a="1"/>
  <c r="H1274" i="2" s="1"/>
  <c r="H1275" i="2" a="1"/>
  <c r="H1275" i="2" s="1"/>
  <c r="H1276" i="2" a="1"/>
  <c r="H1276" i="2" s="1"/>
  <c r="H1277" i="2" a="1"/>
  <c r="H1277" i="2" s="1"/>
  <c r="H1278" i="2" a="1"/>
  <c r="H1278" i="2" s="1"/>
  <c r="H1279" i="2" a="1"/>
  <c r="H1279" i="2" s="1"/>
  <c r="H1280" i="2" a="1"/>
  <c r="H1280" i="2" s="1"/>
  <c r="H1281" i="2" a="1"/>
  <c r="H1281" i="2" s="1"/>
  <c r="H1282" i="2" a="1"/>
  <c r="H1282" i="2" s="1"/>
  <c r="H1283" i="2" a="1"/>
  <c r="H1283" i="2" s="1"/>
  <c r="H1284" i="2" a="1"/>
  <c r="H1284" i="2" s="1"/>
  <c r="H1285" i="2" a="1"/>
  <c r="H1285" i="2" s="1"/>
  <c r="H1286" i="2" a="1"/>
  <c r="H1286" i="2" s="1"/>
  <c r="H1287" i="2" a="1"/>
  <c r="H1287" i="2" s="1"/>
  <c r="H1288" i="2" a="1"/>
  <c r="H1288" i="2" s="1"/>
  <c r="H1289" i="2" a="1"/>
  <c r="H1289" i="2" s="1"/>
  <c r="H1290" i="2" a="1"/>
  <c r="H1290" i="2" s="1"/>
  <c r="H1291" i="2" a="1"/>
  <c r="H1291" i="2" s="1"/>
  <c r="H1292" i="2" a="1"/>
  <c r="H1292" i="2" s="1"/>
  <c r="H1293" i="2" a="1"/>
  <c r="H1293" i="2" s="1"/>
  <c r="H1294" i="2" a="1"/>
  <c r="H1294" i="2" s="1"/>
  <c r="H1295" i="2" a="1"/>
  <c r="H1295" i="2" s="1"/>
  <c r="H1296" i="2" a="1"/>
  <c r="H1296" i="2" s="1"/>
  <c r="H1297" i="2" a="1"/>
  <c r="H1297" i="2" s="1"/>
  <c r="H1298" i="2" a="1"/>
  <c r="H1298" i="2" s="1"/>
  <c r="H1299" i="2" a="1"/>
  <c r="H1299" i="2" s="1"/>
  <c r="H1300" i="2" a="1"/>
  <c r="H1300" i="2" s="1"/>
  <c r="H1301" i="2" a="1"/>
  <c r="H1301" i="2" s="1"/>
  <c r="H1302" i="2" a="1"/>
  <c r="H1302" i="2" s="1"/>
  <c r="H1303" i="2" a="1"/>
  <c r="H1303" i="2" s="1"/>
  <c r="H1304" i="2" a="1"/>
  <c r="H1304" i="2" s="1"/>
  <c r="H1305" i="2" a="1"/>
  <c r="H1305" i="2" s="1"/>
  <c r="H1306" i="2" a="1"/>
  <c r="H1306" i="2" s="1"/>
  <c r="H1307" i="2" a="1"/>
  <c r="H1307" i="2" s="1"/>
  <c r="H1308" i="2" a="1"/>
  <c r="H1308" i="2" s="1"/>
  <c r="H1309" i="2" a="1"/>
  <c r="H1309" i="2" s="1"/>
  <c r="H1310" i="2" a="1"/>
  <c r="H1310" i="2" s="1"/>
  <c r="H1311" i="2" a="1"/>
  <c r="H1311" i="2" s="1"/>
  <c r="H1312" i="2" a="1"/>
  <c r="H1312" i="2" s="1"/>
  <c r="H1313" i="2" a="1"/>
  <c r="H1313" i="2" s="1"/>
  <c r="H1314" i="2" a="1"/>
  <c r="H1314" i="2" s="1"/>
  <c r="H1315" i="2" a="1"/>
  <c r="H1315" i="2" s="1"/>
  <c r="H1316" i="2" a="1"/>
  <c r="H1316" i="2" s="1"/>
  <c r="H1317" i="2" a="1"/>
  <c r="H1317" i="2" s="1"/>
  <c r="H1318" i="2" a="1"/>
  <c r="H1318" i="2" s="1"/>
  <c r="H1319" i="2" a="1"/>
  <c r="H1319" i="2" s="1"/>
  <c r="H1320" i="2" a="1"/>
  <c r="H1320" i="2" s="1"/>
  <c r="H1321" i="2" a="1"/>
  <c r="H1321" i="2" s="1"/>
  <c r="H1322" i="2" a="1"/>
  <c r="H1322" i="2" s="1"/>
  <c r="H1323" i="2" a="1"/>
  <c r="H1323" i="2" s="1"/>
  <c r="H1324" i="2" a="1"/>
  <c r="H1324" i="2" s="1"/>
  <c r="H1325" i="2" a="1"/>
  <c r="H1325" i="2" s="1"/>
  <c r="H1326" i="2" a="1"/>
  <c r="H1326" i="2" s="1"/>
  <c r="H1327" i="2" a="1"/>
  <c r="H1327" i="2" s="1"/>
  <c r="H1328" i="2" a="1"/>
  <c r="H1328" i="2" s="1"/>
  <c r="H1329" i="2" a="1"/>
  <c r="H1329" i="2" s="1"/>
  <c r="H1330" i="2" a="1"/>
  <c r="H1330" i="2" s="1"/>
  <c r="H1331" i="2" a="1"/>
  <c r="H1331" i="2" s="1"/>
  <c r="H1332" i="2" a="1"/>
  <c r="H1332" i="2" s="1"/>
  <c r="H1333" i="2" a="1"/>
  <c r="H1333" i="2" s="1"/>
  <c r="H1334" i="2" a="1"/>
  <c r="H1334" i="2" s="1"/>
  <c r="H1335" i="2" a="1"/>
  <c r="H1335" i="2" s="1"/>
  <c r="H1336" i="2" a="1"/>
  <c r="H1336" i="2" s="1"/>
  <c r="H1337" i="2" a="1"/>
  <c r="H1337" i="2" s="1"/>
  <c r="H1338" i="2" a="1"/>
  <c r="H1338" i="2" s="1"/>
  <c r="H1339" i="2" a="1"/>
  <c r="H1339" i="2" s="1"/>
  <c r="H1340" i="2" a="1"/>
  <c r="H1340" i="2" s="1"/>
  <c r="H1341" i="2" a="1"/>
  <c r="H1341" i="2" s="1"/>
  <c r="H1342" i="2" a="1"/>
  <c r="H1342" i="2" s="1"/>
  <c r="H1343" i="2" a="1"/>
  <c r="H1343" i="2" s="1"/>
  <c r="H1344" i="2" a="1"/>
  <c r="H1344" i="2" s="1"/>
  <c r="H1345" i="2" a="1"/>
  <c r="H1345" i="2" s="1"/>
  <c r="H1346" i="2" a="1"/>
  <c r="H1346" i="2" s="1"/>
  <c r="H1347" i="2" a="1"/>
  <c r="H1347" i="2" s="1"/>
  <c r="H1348" i="2" a="1"/>
  <c r="H1348" i="2" s="1"/>
  <c r="H1349" i="2" a="1"/>
  <c r="H1349" i="2" s="1"/>
  <c r="H1350" i="2" a="1"/>
  <c r="H1350" i="2" s="1"/>
  <c r="H1351" i="2" a="1"/>
  <c r="H1351" i="2" s="1"/>
  <c r="H1352" i="2" a="1"/>
  <c r="H1352" i="2" s="1"/>
  <c r="H1353" i="2" a="1"/>
  <c r="H1353" i="2" s="1"/>
  <c r="H1354" i="2" a="1"/>
  <c r="H1354" i="2" s="1"/>
  <c r="H1355" i="2" a="1"/>
  <c r="H1355" i="2" s="1"/>
  <c r="H1356" i="2" a="1"/>
  <c r="H1356" i="2" s="1"/>
  <c r="H1357" i="2" a="1"/>
  <c r="H1357" i="2" s="1"/>
  <c r="H1358" i="2" a="1"/>
  <c r="H1358" i="2" s="1"/>
  <c r="H1359" i="2" a="1"/>
  <c r="H1359" i="2" s="1"/>
  <c r="H1360" i="2" a="1"/>
  <c r="H1360" i="2" s="1"/>
  <c r="H1361" i="2" a="1"/>
  <c r="H1361" i="2" s="1"/>
  <c r="H1362" i="2" a="1"/>
  <c r="H1362" i="2" s="1"/>
  <c r="H1363" i="2" a="1"/>
  <c r="H1363" i="2" s="1"/>
  <c r="H1364" i="2" a="1"/>
  <c r="H1364" i="2" s="1"/>
  <c r="H1365" i="2" a="1"/>
  <c r="H1365" i="2" s="1"/>
  <c r="H1366" i="2" a="1"/>
  <c r="H1366" i="2" s="1"/>
  <c r="H1367" i="2" a="1"/>
  <c r="H1367" i="2" s="1"/>
  <c r="H1368" i="2" a="1"/>
  <c r="H1368" i="2" s="1"/>
  <c r="H1369" i="2" a="1"/>
  <c r="H1369" i="2" s="1"/>
  <c r="H1370" i="2" a="1"/>
  <c r="H1370" i="2" s="1"/>
  <c r="H1371" i="2" a="1"/>
  <c r="H1371" i="2" s="1"/>
  <c r="H1372" i="2" a="1"/>
  <c r="H1372" i="2" s="1"/>
  <c r="H1373" i="2" a="1"/>
  <c r="H1373" i="2" s="1"/>
  <c r="H1374" i="2" a="1"/>
  <c r="H1374" i="2" s="1"/>
  <c r="H1375" i="2" a="1"/>
  <c r="H1375" i="2" s="1"/>
  <c r="H1376" i="2" a="1"/>
  <c r="H1376" i="2" s="1"/>
  <c r="H1377" i="2" a="1"/>
  <c r="H1377" i="2" s="1"/>
  <c r="H1378" i="2" a="1"/>
  <c r="H1378" i="2" s="1"/>
  <c r="H1379" i="2" a="1"/>
  <c r="H1379" i="2" s="1"/>
  <c r="H1380" i="2" a="1"/>
  <c r="H1380" i="2" s="1"/>
  <c r="H1381" i="2" a="1"/>
  <c r="H1381" i="2" s="1"/>
  <c r="H1382" i="2" a="1"/>
  <c r="H1382" i="2" s="1"/>
  <c r="H1383" i="2" a="1"/>
  <c r="H1383" i="2" s="1"/>
  <c r="H1384" i="2" a="1"/>
  <c r="H1384" i="2" s="1"/>
  <c r="H1385" i="2" a="1"/>
  <c r="H1385" i="2" s="1"/>
  <c r="H1386" i="2" a="1"/>
  <c r="H1386" i="2" s="1"/>
  <c r="H1387" i="2" a="1"/>
  <c r="H1387" i="2" s="1"/>
  <c r="H1388" i="2" a="1"/>
  <c r="H1388" i="2" s="1"/>
  <c r="H1389" i="2" a="1"/>
  <c r="H1389" i="2" s="1"/>
  <c r="H1390" i="2" a="1"/>
  <c r="H1390" i="2" s="1"/>
  <c r="H1391" i="2" a="1"/>
  <c r="H1391" i="2" s="1"/>
  <c r="H1392" i="2" a="1"/>
  <c r="H1392" i="2" s="1"/>
  <c r="H1393" i="2" a="1"/>
  <c r="H1393" i="2" s="1"/>
  <c r="H1394" i="2" a="1"/>
  <c r="H1394" i="2" s="1"/>
  <c r="H1395" i="2" a="1"/>
  <c r="H1395" i="2" s="1"/>
  <c r="H1396" i="2" a="1"/>
  <c r="H1396" i="2" s="1"/>
  <c r="H1397" i="2" a="1"/>
  <c r="H1397" i="2" s="1"/>
  <c r="H1398" i="2" a="1"/>
  <c r="H1398" i="2" s="1"/>
  <c r="H1399" i="2" a="1"/>
  <c r="H1399" i="2" s="1"/>
  <c r="H1400" i="2" a="1"/>
  <c r="H1400" i="2" s="1"/>
  <c r="H1401" i="2" a="1"/>
  <c r="H1401" i="2" s="1"/>
  <c r="H1402" i="2" a="1"/>
  <c r="H1402" i="2" s="1"/>
  <c r="H1403" i="2" a="1"/>
  <c r="H1403" i="2" s="1"/>
  <c r="H1404" i="2" a="1"/>
  <c r="H1404" i="2" s="1"/>
  <c r="H1405" i="2" a="1"/>
  <c r="H1405" i="2" s="1"/>
  <c r="H1406" i="2" a="1"/>
  <c r="H1406" i="2" s="1"/>
  <c r="H1407" i="2" a="1"/>
  <c r="H1407" i="2" s="1"/>
  <c r="H1408" i="2" a="1"/>
  <c r="H1408" i="2" s="1"/>
  <c r="H1409" i="2" a="1"/>
  <c r="H1409" i="2" s="1"/>
  <c r="H1410" i="2" a="1"/>
  <c r="H1410" i="2" s="1"/>
  <c r="H1411" i="2" a="1"/>
  <c r="H1411" i="2" s="1"/>
  <c r="H1412" i="2" a="1"/>
  <c r="H1412" i="2" s="1"/>
  <c r="H1413" i="2" a="1"/>
  <c r="H1413" i="2" s="1"/>
  <c r="H1414" i="2" a="1"/>
  <c r="H1414" i="2" s="1"/>
  <c r="H1415" i="2" a="1"/>
  <c r="H1415" i="2" s="1"/>
  <c r="H1416" i="2" a="1"/>
  <c r="H1416" i="2" s="1"/>
  <c r="H1417" i="2" a="1"/>
  <c r="H1417" i="2" s="1"/>
  <c r="H1418" i="2" a="1"/>
  <c r="H1418" i="2" s="1"/>
  <c r="H1419" i="2" a="1"/>
  <c r="H1419" i="2" s="1"/>
  <c r="H1420" i="2" a="1"/>
  <c r="H1420" i="2" s="1"/>
  <c r="H1421" i="2" a="1"/>
  <c r="H1421" i="2" s="1"/>
  <c r="H1422" i="2" a="1"/>
  <c r="H1422" i="2" s="1"/>
  <c r="H1423" i="2" a="1"/>
  <c r="H1423" i="2" s="1"/>
  <c r="H1424" i="2" a="1"/>
  <c r="H1424" i="2" s="1"/>
  <c r="H1425" i="2" a="1"/>
  <c r="H1425" i="2" s="1"/>
  <c r="H1426" i="2" a="1"/>
  <c r="H1426" i="2" s="1"/>
  <c r="H1427" i="2" a="1"/>
  <c r="H1427" i="2" s="1"/>
  <c r="H1428" i="2" a="1"/>
  <c r="H1428" i="2" s="1"/>
  <c r="H1429" i="2" a="1"/>
  <c r="H1429" i="2" s="1"/>
  <c r="H1430" i="2" a="1"/>
  <c r="H1430" i="2" s="1"/>
  <c r="H1431" i="2" a="1"/>
  <c r="H1431" i="2" s="1"/>
  <c r="H1432" i="2" a="1"/>
  <c r="H1432" i="2" s="1"/>
  <c r="H1433" i="2" a="1"/>
  <c r="H1433" i="2" s="1"/>
  <c r="H1434" i="2" a="1"/>
  <c r="H1434" i="2" s="1"/>
  <c r="H1435" i="2" a="1"/>
  <c r="H1435" i="2" s="1"/>
  <c r="H1436" i="2" a="1"/>
  <c r="H1436" i="2" s="1"/>
  <c r="H1437" i="2" a="1"/>
  <c r="H1437" i="2" s="1"/>
  <c r="H1438" i="2" a="1"/>
  <c r="H1438" i="2" s="1"/>
  <c r="H1439" i="2" a="1"/>
  <c r="H1439" i="2" s="1"/>
  <c r="H1440" i="2" a="1"/>
  <c r="H1440" i="2" s="1"/>
  <c r="H1441" i="2" a="1"/>
  <c r="H1441" i="2" s="1"/>
  <c r="H1442" i="2" a="1"/>
  <c r="H1442" i="2" s="1"/>
  <c r="H1443" i="2" a="1"/>
  <c r="H1443" i="2" s="1"/>
  <c r="H1444" i="2" a="1"/>
  <c r="H1444" i="2" s="1"/>
  <c r="H1445" i="2" a="1"/>
  <c r="H1445" i="2" s="1"/>
  <c r="H1446" i="2" a="1"/>
  <c r="H1446" i="2" s="1"/>
  <c r="H1447" i="2" a="1"/>
  <c r="H1447" i="2" s="1"/>
  <c r="H1448" i="2" a="1"/>
  <c r="H1448" i="2" s="1"/>
  <c r="H1449" i="2" a="1"/>
  <c r="H1449" i="2" s="1"/>
  <c r="H1450" i="2" a="1"/>
  <c r="H1450" i="2" s="1"/>
  <c r="H1451" i="2" a="1"/>
  <c r="H1451" i="2" s="1"/>
  <c r="H1452" i="2" a="1"/>
  <c r="H1452" i="2" s="1"/>
  <c r="H1453" i="2" a="1"/>
  <c r="H1453" i="2" s="1"/>
  <c r="H1454" i="2" a="1"/>
  <c r="H1454" i="2" s="1"/>
  <c r="H1455" i="2" a="1"/>
  <c r="H1455" i="2" s="1"/>
  <c r="H1456" i="2" a="1"/>
  <c r="H1456" i="2" s="1"/>
  <c r="H1457" i="2" a="1"/>
  <c r="H1457" i="2" s="1"/>
  <c r="H1458" i="2" a="1"/>
  <c r="H1458" i="2" s="1"/>
  <c r="H1459" i="2" a="1"/>
  <c r="H1459" i="2" s="1"/>
  <c r="H1460" i="2" a="1"/>
  <c r="H1460" i="2" s="1"/>
  <c r="H1461" i="2" a="1"/>
  <c r="H1461" i="2" s="1"/>
  <c r="H1462" i="2" a="1"/>
  <c r="H1462" i="2" s="1"/>
  <c r="H1463" i="2" a="1"/>
  <c r="H1463" i="2" s="1"/>
  <c r="H1464" i="2" a="1"/>
  <c r="H1464" i="2" s="1"/>
  <c r="H1465" i="2" a="1"/>
  <c r="H1465" i="2" s="1"/>
  <c r="H1466" i="2" a="1"/>
  <c r="H1466" i="2" s="1"/>
  <c r="H1467" i="2" a="1"/>
  <c r="H1467" i="2" s="1"/>
  <c r="H1468" i="2" a="1"/>
  <c r="H1468" i="2" s="1"/>
  <c r="H1469" i="2" a="1"/>
  <c r="H1469" i="2" s="1"/>
  <c r="H1470" i="2" a="1"/>
  <c r="H1470" i="2" s="1"/>
  <c r="H1471" i="2" a="1"/>
  <c r="H1471" i="2" s="1"/>
  <c r="H1472" i="2" a="1"/>
  <c r="H1472" i="2" s="1"/>
  <c r="H1473" i="2" a="1"/>
  <c r="H1473" i="2" s="1"/>
  <c r="H1474" i="2" a="1"/>
  <c r="H1474" i="2" s="1"/>
  <c r="H1475" i="2" a="1"/>
  <c r="H1475" i="2" s="1"/>
  <c r="H1476" i="2" a="1"/>
  <c r="H1476" i="2" s="1"/>
  <c r="H1477" i="2" a="1"/>
  <c r="H1477" i="2" s="1"/>
  <c r="H1478" i="2" a="1"/>
  <c r="H1478" i="2" s="1"/>
  <c r="H1479" i="2" a="1"/>
  <c r="H1479" i="2" s="1"/>
  <c r="H1480" i="2" a="1"/>
  <c r="H1480" i="2" s="1"/>
  <c r="H1481" i="2" a="1"/>
  <c r="H1481" i="2" s="1"/>
  <c r="H1482" i="2" a="1"/>
  <c r="H1482" i="2" s="1"/>
  <c r="H1483" i="2" a="1"/>
  <c r="H1483" i="2" s="1"/>
  <c r="H1484" i="2" a="1"/>
  <c r="H1484" i="2" s="1"/>
  <c r="H1485" i="2" a="1"/>
  <c r="H1485" i="2" s="1"/>
  <c r="H1486" i="2" a="1"/>
  <c r="H1486" i="2" s="1"/>
  <c r="H1487" i="2" a="1"/>
  <c r="H1487" i="2" s="1"/>
  <c r="H1488" i="2" a="1"/>
  <c r="H1488" i="2" s="1"/>
  <c r="H1489" i="2" a="1"/>
  <c r="H1489" i="2" s="1"/>
  <c r="H1490" i="2" a="1"/>
  <c r="H1490" i="2" s="1"/>
  <c r="H1491" i="2" a="1"/>
  <c r="H1491" i="2" s="1"/>
  <c r="H1492" i="2" a="1"/>
  <c r="H1492" i="2" s="1"/>
  <c r="H1493" i="2" a="1"/>
  <c r="H1493" i="2" s="1"/>
  <c r="H1494" i="2" a="1"/>
  <c r="H1494" i="2" s="1"/>
  <c r="H1495" i="2" a="1"/>
  <c r="H1495" i="2" s="1"/>
  <c r="H1496" i="2" a="1"/>
  <c r="H1496" i="2" s="1"/>
  <c r="H1497" i="2" a="1"/>
  <c r="H1497" i="2" s="1"/>
  <c r="H1498" i="2" a="1"/>
  <c r="H1498" i="2" s="1"/>
  <c r="H1499" i="2" a="1"/>
  <c r="H1499" i="2" s="1"/>
  <c r="H1500" i="2" a="1"/>
  <c r="H1500" i="2" s="1"/>
  <c r="H1501" i="2" a="1"/>
  <c r="H1501" i="2" s="1"/>
  <c r="H1502" i="2" a="1"/>
  <c r="H1502" i="2" s="1"/>
  <c r="H1503" i="2" a="1"/>
  <c r="H1503" i="2" s="1"/>
  <c r="H1504" i="2" a="1"/>
  <c r="H1504" i="2" s="1"/>
  <c r="H1505" i="2" a="1"/>
  <c r="H1505" i="2" s="1"/>
  <c r="H1506" i="2" a="1"/>
  <c r="H1506" i="2" s="1"/>
  <c r="H1507" i="2" a="1"/>
  <c r="H1507" i="2" s="1"/>
  <c r="H1508" i="2" a="1"/>
  <c r="H1508" i="2" s="1"/>
  <c r="H1509" i="2" a="1"/>
  <c r="H1509" i="2" s="1"/>
  <c r="H1510" i="2" a="1"/>
  <c r="H1510" i="2" s="1"/>
  <c r="H1511" i="2" a="1"/>
  <c r="H1511" i="2" s="1"/>
  <c r="H1512" i="2" a="1"/>
  <c r="H1512" i="2" s="1"/>
  <c r="H1513" i="2" a="1"/>
  <c r="H1513" i="2" s="1"/>
  <c r="H1514" i="2" a="1"/>
  <c r="H1514" i="2" s="1"/>
  <c r="H1515" i="2" a="1"/>
  <c r="H1515" i="2" s="1"/>
  <c r="H1516" i="2" a="1"/>
  <c r="H1516" i="2" s="1"/>
  <c r="H1517" i="2" a="1"/>
  <c r="H1517" i="2" s="1"/>
  <c r="H1518" i="2" a="1"/>
  <c r="H1518" i="2" s="1"/>
  <c r="H1519" i="2" a="1"/>
  <c r="H1519" i="2" s="1"/>
  <c r="H1520" i="2" a="1"/>
  <c r="H1520" i="2" s="1"/>
  <c r="H1521" i="2" a="1"/>
  <c r="H1521" i="2" s="1"/>
  <c r="H1522" i="2" a="1"/>
  <c r="H1522" i="2" s="1"/>
  <c r="H1523" i="2" a="1"/>
  <c r="H1523" i="2" s="1"/>
  <c r="H1524" i="2" a="1"/>
  <c r="H1524" i="2" s="1"/>
  <c r="H1525" i="2" a="1"/>
  <c r="H1525" i="2" s="1"/>
  <c r="H1526" i="2" a="1"/>
  <c r="H1526" i="2" s="1"/>
  <c r="H1527" i="2" a="1"/>
  <c r="H1527" i="2" s="1"/>
  <c r="H1528" i="2" a="1"/>
  <c r="H1528" i="2" s="1"/>
  <c r="H1529" i="2" a="1"/>
  <c r="H1529" i="2" s="1"/>
  <c r="H1530" i="2" a="1"/>
  <c r="H1530" i="2" s="1"/>
  <c r="H1531" i="2" a="1"/>
  <c r="H1531" i="2" s="1"/>
  <c r="H1532" i="2" a="1"/>
  <c r="H1532" i="2" s="1"/>
  <c r="H1533" i="2" a="1"/>
  <c r="H1533" i="2" s="1"/>
  <c r="H1534" i="2" a="1"/>
  <c r="H1534" i="2" s="1"/>
  <c r="H1535" i="2" a="1"/>
  <c r="H1535" i="2" s="1"/>
  <c r="H1536" i="2" a="1"/>
  <c r="H1536" i="2" s="1"/>
  <c r="H1537" i="2" a="1"/>
  <c r="H1537" i="2" s="1"/>
  <c r="H1538" i="2" a="1"/>
  <c r="H1538" i="2" s="1"/>
  <c r="H1539" i="2" a="1"/>
  <c r="H1539" i="2" s="1"/>
  <c r="H1540" i="2" a="1"/>
  <c r="H1540" i="2" s="1"/>
  <c r="H1541" i="2" a="1"/>
  <c r="H1541" i="2" s="1"/>
  <c r="H1542" i="2" a="1"/>
  <c r="H1542" i="2" s="1"/>
  <c r="H1543" i="2" a="1"/>
  <c r="H1543" i="2" s="1"/>
  <c r="H1544" i="2" a="1"/>
  <c r="H1544" i="2" s="1"/>
  <c r="H1545" i="2" a="1"/>
  <c r="H1545" i="2" s="1"/>
  <c r="H1546" i="2" a="1"/>
  <c r="H1546" i="2" s="1"/>
  <c r="H1547" i="2" a="1"/>
  <c r="H1547" i="2" s="1"/>
  <c r="H1548" i="2" a="1"/>
  <c r="H1548" i="2" s="1"/>
  <c r="H1549" i="2" a="1"/>
  <c r="H1549" i="2" s="1"/>
  <c r="H1550" i="2" a="1"/>
  <c r="H1550" i="2" s="1"/>
  <c r="H1551" i="2" a="1"/>
  <c r="H1551" i="2" s="1"/>
  <c r="H1552" i="2" a="1"/>
  <c r="H1552" i="2" s="1"/>
  <c r="H1553" i="2" a="1"/>
  <c r="H1553" i="2" s="1"/>
  <c r="H1554" i="2" a="1"/>
  <c r="H1554" i="2" s="1"/>
  <c r="H1555" i="2" a="1"/>
  <c r="H1555" i="2" s="1"/>
  <c r="H1556" i="2" a="1"/>
  <c r="H1556" i="2" s="1"/>
  <c r="H1557" i="2" a="1"/>
  <c r="H1557" i="2" s="1"/>
  <c r="H1558" i="2" a="1"/>
  <c r="H1558" i="2" s="1"/>
  <c r="H1559" i="2" a="1"/>
  <c r="H1559" i="2" s="1"/>
  <c r="H1560" i="2" a="1"/>
  <c r="H1560" i="2" s="1"/>
  <c r="H1561" i="2" a="1"/>
  <c r="H1561" i="2" s="1"/>
  <c r="H1562" i="2" a="1"/>
  <c r="H1562" i="2" s="1"/>
  <c r="H1563" i="2" a="1"/>
  <c r="H1563" i="2" s="1"/>
  <c r="H1564" i="2" a="1"/>
  <c r="H1564" i="2" s="1"/>
  <c r="H1565" i="2" a="1"/>
  <c r="H1565" i="2" s="1"/>
  <c r="H1566" i="2" a="1"/>
  <c r="H1566" i="2" s="1"/>
  <c r="H1567" i="2" a="1"/>
  <c r="H1567" i="2" s="1"/>
  <c r="H1568" i="2" a="1"/>
  <c r="H1568" i="2" s="1"/>
  <c r="H1569" i="2" a="1"/>
  <c r="H1569" i="2" s="1"/>
  <c r="H1570" i="2" a="1"/>
  <c r="H1570" i="2" s="1"/>
  <c r="H1571" i="2" a="1"/>
  <c r="H1571" i="2" s="1"/>
  <c r="H1572" i="2" a="1"/>
  <c r="H1572" i="2" s="1"/>
  <c r="H1573" i="2" a="1"/>
  <c r="H1573" i="2" s="1"/>
  <c r="H1574" i="2" a="1"/>
  <c r="H1574" i="2" s="1"/>
  <c r="H1575" i="2" a="1"/>
  <c r="H1575" i="2" s="1"/>
  <c r="H1576" i="2" a="1"/>
  <c r="H1576" i="2" s="1"/>
  <c r="H1577" i="2" a="1"/>
  <c r="H1577" i="2" s="1"/>
  <c r="H1578" i="2" a="1"/>
  <c r="H1578" i="2" s="1"/>
  <c r="H1579" i="2" a="1"/>
  <c r="H1579" i="2" s="1"/>
  <c r="H1580" i="2" a="1"/>
  <c r="H1580" i="2" s="1"/>
  <c r="H1581" i="2" a="1"/>
  <c r="H1581" i="2" s="1"/>
  <c r="H1582" i="2" a="1"/>
  <c r="H1582" i="2" s="1"/>
  <c r="H1583" i="2" a="1"/>
  <c r="H1583" i="2" s="1"/>
  <c r="H1584" i="2" a="1"/>
  <c r="H1584" i="2" s="1"/>
  <c r="H1585" i="2" a="1"/>
  <c r="H1585" i="2" s="1"/>
  <c r="H1586" i="2" a="1"/>
  <c r="H1586" i="2" s="1"/>
  <c r="H1587" i="2" a="1"/>
  <c r="H1587" i="2" s="1"/>
  <c r="H1588" i="2" a="1"/>
  <c r="H1588" i="2" s="1"/>
  <c r="H1589" i="2" a="1"/>
  <c r="H1589" i="2" s="1"/>
  <c r="H1590" i="2" a="1"/>
  <c r="H1590" i="2" s="1"/>
  <c r="H1591" i="2" a="1"/>
  <c r="H1591" i="2" s="1"/>
  <c r="H1592" i="2" a="1"/>
  <c r="H1592" i="2" s="1"/>
  <c r="H1593" i="2" a="1"/>
  <c r="H1593" i="2" s="1"/>
  <c r="H1594" i="2" a="1"/>
  <c r="H1594" i="2" s="1"/>
  <c r="H1595" i="2" a="1"/>
  <c r="H1595" i="2" s="1"/>
  <c r="H1596" i="2" a="1"/>
  <c r="H1596" i="2" s="1"/>
  <c r="H1597" i="2" a="1"/>
  <c r="H1597" i="2" s="1"/>
  <c r="H1598" i="2" a="1"/>
  <c r="H1598" i="2" s="1"/>
  <c r="H1599" i="2" a="1"/>
  <c r="H1599" i="2" s="1"/>
  <c r="H1600" i="2" a="1"/>
  <c r="H1600" i="2" s="1"/>
  <c r="H1601" i="2" a="1"/>
  <c r="H1601" i="2" s="1"/>
  <c r="H1602" i="2" a="1"/>
  <c r="H1602" i="2" s="1"/>
  <c r="H1603" i="2" a="1"/>
  <c r="H1603" i="2" s="1"/>
  <c r="H1604" i="2" a="1"/>
  <c r="H1604" i="2" s="1"/>
  <c r="H1605" i="2" a="1"/>
  <c r="H1605" i="2" s="1"/>
  <c r="H1606" i="2" a="1"/>
  <c r="H1606" i="2" s="1"/>
  <c r="H1607" i="2" a="1"/>
  <c r="H1607" i="2" s="1"/>
  <c r="H1608" i="2" a="1"/>
  <c r="H1608" i="2" s="1"/>
  <c r="H1609" i="2" a="1"/>
  <c r="H1609" i="2" s="1"/>
  <c r="H1610" i="2" a="1"/>
  <c r="H1610" i="2" s="1"/>
  <c r="H1611" i="2" a="1"/>
  <c r="H1611" i="2" s="1"/>
  <c r="H1612" i="2" a="1"/>
  <c r="H1612" i="2" s="1"/>
  <c r="H1613" i="2" a="1"/>
  <c r="H1613" i="2" s="1"/>
  <c r="H1614" i="2" a="1"/>
  <c r="H1614" i="2" s="1"/>
  <c r="H1615" i="2" a="1"/>
  <c r="H1615" i="2" s="1"/>
  <c r="H1616" i="2" a="1"/>
  <c r="H1616" i="2" s="1"/>
  <c r="H1617" i="2" a="1"/>
  <c r="H1617" i="2" s="1"/>
  <c r="H1618" i="2" a="1"/>
  <c r="H1618" i="2" s="1"/>
  <c r="H1619" i="2" a="1"/>
  <c r="H1619" i="2" s="1"/>
  <c r="H1620" i="2" a="1"/>
  <c r="H1620" i="2" s="1"/>
  <c r="H1621" i="2" a="1"/>
  <c r="H1621" i="2" s="1"/>
  <c r="H1622" i="2" a="1"/>
  <c r="H1622" i="2" s="1"/>
  <c r="H1623" i="2" a="1"/>
  <c r="H1623" i="2" s="1"/>
  <c r="H1624" i="2" a="1"/>
  <c r="H1624" i="2" s="1"/>
  <c r="H1625" i="2" a="1"/>
  <c r="H1625" i="2" s="1"/>
  <c r="H1626" i="2" a="1"/>
  <c r="H1626" i="2" s="1"/>
  <c r="H1627" i="2" a="1"/>
  <c r="H1627" i="2" s="1"/>
  <c r="H1628" i="2" a="1"/>
  <c r="H1628" i="2" s="1"/>
  <c r="H1629" i="2" a="1"/>
  <c r="H1629" i="2" s="1"/>
  <c r="H1630" i="2" a="1"/>
  <c r="H1630" i="2" s="1"/>
  <c r="H1631" i="2" a="1"/>
  <c r="H1631" i="2" s="1"/>
  <c r="H1632" i="2" a="1"/>
  <c r="H1632" i="2" s="1"/>
  <c r="H1633" i="2" a="1"/>
  <c r="H1633" i="2" s="1"/>
  <c r="H1634" i="2" a="1"/>
  <c r="H1634" i="2" s="1"/>
  <c r="H1635" i="2" a="1"/>
  <c r="H1635" i="2" s="1"/>
  <c r="H1636" i="2" a="1"/>
  <c r="H1636" i="2" s="1"/>
  <c r="H1637" i="2" a="1"/>
  <c r="H1637" i="2" s="1"/>
  <c r="H1638" i="2" a="1"/>
  <c r="H1638" i="2" s="1"/>
  <c r="H1639" i="2" a="1"/>
  <c r="H1639" i="2" s="1"/>
  <c r="H1640" i="2" a="1"/>
  <c r="H1640" i="2" s="1"/>
  <c r="H1641" i="2" a="1"/>
  <c r="H1641" i="2" s="1"/>
  <c r="H1642" i="2" a="1"/>
  <c r="H1642" i="2" s="1"/>
  <c r="H1643" i="2" a="1"/>
  <c r="H1643" i="2" s="1"/>
  <c r="H1644" i="2" a="1"/>
  <c r="H1644" i="2" s="1"/>
  <c r="H1645" i="2" a="1"/>
  <c r="H1645" i="2" s="1"/>
  <c r="H1646" i="2" a="1"/>
  <c r="H1646" i="2" s="1"/>
  <c r="H1647" i="2" a="1"/>
  <c r="H1647" i="2" s="1"/>
  <c r="H1648" i="2" a="1"/>
  <c r="H1648" i="2" s="1"/>
  <c r="H1649" i="2" a="1"/>
  <c r="H1649" i="2" s="1"/>
  <c r="H1650" i="2" a="1"/>
  <c r="H1650" i="2" s="1"/>
  <c r="H1651" i="2" a="1"/>
  <c r="H1651" i="2" s="1"/>
  <c r="H1652" i="2" a="1"/>
  <c r="H1652" i="2" s="1"/>
  <c r="H1653" i="2" a="1"/>
  <c r="H1653" i="2" s="1"/>
  <c r="H1654" i="2" a="1"/>
  <c r="H1654" i="2" s="1"/>
  <c r="H1655" i="2" a="1"/>
  <c r="H1655" i="2" s="1"/>
  <c r="H1656" i="2" a="1"/>
  <c r="H1656" i="2" s="1"/>
  <c r="H1657" i="2" a="1"/>
  <c r="H1657" i="2" s="1"/>
  <c r="H1658" i="2" a="1"/>
  <c r="H1658" i="2" s="1"/>
  <c r="H1659" i="2" a="1"/>
  <c r="H1659" i="2" s="1"/>
  <c r="H1660" i="2" a="1"/>
  <c r="H1660" i="2" s="1"/>
  <c r="H1661" i="2" a="1"/>
  <c r="H1661" i="2"/>
  <c r="H1662" i="2" a="1"/>
  <c r="H1662" i="2" s="1"/>
  <c r="H1663" i="2" a="1"/>
  <c r="H1663" i="2" s="1"/>
  <c r="H1664" i="2" a="1"/>
  <c r="H1664" i="2" s="1"/>
  <c r="H1665" i="2" a="1"/>
  <c r="H1665" i="2" s="1"/>
  <c r="H1666" i="2" a="1"/>
  <c r="H1666" i="2" s="1"/>
  <c r="H1667" i="2" a="1"/>
  <c r="H1667" i="2" s="1"/>
  <c r="H1668" i="2" a="1"/>
  <c r="H1668" i="2" s="1"/>
  <c r="H1669" i="2" a="1"/>
  <c r="H1669" i="2" s="1"/>
  <c r="H1670" i="2" a="1"/>
  <c r="H1670" i="2" s="1"/>
  <c r="H1671" i="2" a="1"/>
  <c r="H1671" i="2" s="1"/>
  <c r="H1672" i="2" a="1"/>
  <c r="H1672" i="2" s="1"/>
  <c r="H1673" i="2" a="1"/>
  <c r="H1673" i="2" s="1"/>
  <c r="H1674" i="2" a="1"/>
  <c r="H1674" i="2" s="1"/>
  <c r="H1675" i="2" a="1"/>
  <c r="H1675" i="2" s="1"/>
  <c r="H1676" i="2" a="1"/>
  <c r="H1676" i="2" s="1"/>
  <c r="H1677" i="2" a="1"/>
  <c r="H1677" i="2" s="1"/>
  <c r="H1678" i="2" a="1"/>
  <c r="H1678" i="2" s="1"/>
  <c r="H1679" i="2" a="1"/>
  <c r="H1679" i="2" s="1"/>
  <c r="H1680" i="2" a="1"/>
  <c r="H1680" i="2" s="1"/>
  <c r="H1681" i="2" a="1"/>
  <c r="H1681" i="2" s="1"/>
  <c r="H1682" i="2" a="1"/>
  <c r="H1682" i="2" s="1"/>
  <c r="H1683" i="2" a="1"/>
  <c r="H1683" i="2" s="1"/>
  <c r="H1684" i="2" a="1"/>
  <c r="H1684" i="2" s="1"/>
  <c r="H1685" i="2" a="1"/>
  <c r="H1685" i="2"/>
  <c r="H1686" i="2" a="1"/>
  <c r="H1686" i="2" s="1"/>
  <c r="H1687" i="2" a="1"/>
  <c r="H1687" i="2" s="1"/>
  <c r="H1688" i="2" a="1"/>
  <c r="H1688" i="2" s="1"/>
  <c r="H1689" i="2" a="1"/>
  <c r="H1689" i="2" s="1"/>
  <c r="H1690" i="2" a="1"/>
  <c r="H1690" i="2" s="1"/>
  <c r="H1691" i="2" a="1"/>
  <c r="H1691" i="2" s="1"/>
  <c r="H1692" i="2" a="1"/>
  <c r="H1692" i="2" s="1"/>
  <c r="H1693" i="2" a="1"/>
  <c r="H1693" i="2" s="1"/>
  <c r="H1694" i="2" a="1"/>
  <c r="H1694" i="2" s="1"/>
  <c r="H1695" i="2" a="1"/>
  <c r="H1695" i="2" s="1"/>
  <c r="H1696" i="2" a="1"/>
  <c r="H1696" i="2" s="1"/>
  <c r="H1697" i="2" a="1"/>
  <c r="H1697" i="2" s="1"/>
  <c r="H1698" i="2" a="1"/>
  <c r="H1698" i="2" s="1"/>
  <c r="H1699" i="2" a="1"/>
  <c r="H1699" i="2" s="1"/>
  <c r="H1700" i="2" a="1"/>
  <c r="H1700" i="2" s="1"/>
  <c r="H1701" i="2" a="1"/>
  <c r="H1701" i="2" s="1"/>
  <c r="H1702" i="2" a="1"/>
  <c r="H1702" i="2" s="1"/>
  <c r="H1703" i="2" a="1"/>
  <c r="H1703" i="2" s="1"/>
  <c r="H1704" i="2" a="1"/>
  <c r="H1704" i="2" s="1"/>
  <c r="H1705" i="2" a="1"/>
  <c r="H1705" i="2" s="1"/>
  <c r="H1706" i="2" a="1"/>
  <c r="H1706" i="2" s="1"/>
  <c r="H1707" i="2" a="1"/>
  <c r="H1707" i="2" s="1"/>
  <c r="H1708" i="2" a="1"/>
  <c r="H1708" i="2" s="1"/>
  <c r="H1709" i="2" a="1"/>
  <c r="H1709" i="2" s="1"/>
  <c r="H1710" i="2" a="1"/>
  <c r="H1710" i="2" s="1"/>
  <c r="H1711" i="2" a="1"/>
  <c r="H1711" i="2" s="1"/>
  <c r="H1712" i="2" a="1"/>
  <c r="H1712" i="2" s="1"/>
  <c r="H1713" i="2" a="1"/>
  <c r="H1713" i="2" s="1"/>
  <c r="H1714" i="2" a="1"/>
  <c r="H1714" i="2" s="1"/>
  <c r="H1715" i="2" a="1"/>
  <c r="H1715" i="2" s="1"/>
  <c r="H1716" i="2" a="1"/>
  <c r="H1716" i="2" s="1"/>
  <c r="H1717" i="2" a="1"/>
  <c r="H1717" i="2" s="1"/>
  <c r="H1718" i="2" a="1"/>
  <c r="H1718" i="2" s="1"/>
  <c r="H1719" i="2" a="1"/>
  <c r="H1719" i="2" s="1"/>
  <c r="H1720" i="2" a="1"/>
  <c r="H1720" i="2" s="1"/>
  <c r="H1721" i="2" a="1"/>
  <c r="H1721" i="2" s="1"/>
  <c r="H1722" i="2" a="1"/>
  <c r="H1722" i="2" s="1"/>
  <c r="H1723" i="2" a="1"/>
  <c r="H1723" i="2" s="1"/>
  <c r="H1724" i="2" a="1"/>
  <c r="H1724" i="2" s="1"/>
  <c r="H1725" i="2" a="1"/>
  <c r="H1725" i="2" s="1"/>
  <c r="H1726" i="2" a="1"/>
  <c r="H1726" i="2" s="1"/>
  <c r="H1727" i="2" a="1"/>
  <c r="H1727" i="2" s="1"/>
  <c r="H1728" i="2" a="1"/>
  <c r="H1728" i="2" s="1"/>
  <c r="H1729" i="2" a="1"/>
  <c r="H1729" i="2" s="1"/>
  <c r="H1730" i="2" a="1"/>
  <c r="H1730" i="2" s="1"/>
  <c r="H1731" i="2" a="1"/>
  <c r="H1731" i="2" s="1"/>
  <c r="H1732" i="2" a="1"/>
  <c r="H1732" i="2" s="1"/>
  <c r="H1733" i="2" a="1"/>
  <c r="H1733" i="2" s="1"/>
  <c r="H1734" i="2" a="1"/>
  <c r="H1734" i="2" s="1"/>
  <c r="H1735" i="2" a="1"/>
  <c r="H1735" i="2" s="1"/>
  <c r="H1736" i="2" a="1"/>
  <c r="H1736" i="2" s="1"/>
  <c r="H1737" i="2" a="1"/>
  <c r="H1737" i="2" s="1"/>
  <c r="H1738" i="2" a="1"/>
  <c r="H1738" i="2" s="1"/>
  <c r="H1739" i="2" a="1"/>
  <c r="H1739" i="2" s="1"/>
  <c r="H1740" i="2" a="1"/>
  <c r="H1740" i="2" s="1"/>
  <c r="H1741" i="2" a="1"/>
  <c r="H1741" i="2" s="1"/>
  <c r="H1742" i="2" a="1"/>
  <c r="H1742" i="2" s="1"/>
  <c r="H1743" i="2" a="1"/>
  <c r="H1743" i="2" s="1"/>
  <c r="H1744" i="2" a="1"/>
  <c r="H1744" i="2" s="1"/>
  <c r="H1745" i="2" a="1"/>
  <c r="H1745" i="2" s="1"/>
  <c r="H1746" i="2" a="1"/>
  <c r="H1746" i="2" s="1"/>
  <c r="H1747" i="2" a="1"/>
  <c r="H1747" i="2" s="1"/>
  <c r="H1748" i="2" a="1"/>
  <c r="H1748" i="2" s="1"/>
  <c r="H1749" i="2" a="1"/>
  <c r="H1749" i="2" s="1"/>
  <c r="H1750" i="2" a="1"/>
  <c r="H1750" i="2" s="1"/>
  <c r="H1751" i="2" a="1"/>
  <c r="H1751" i="2" s="1"/>
  <c r="H1752" i="2" a="1"/>
  <c r="H1752" i="2" s="1"/>
  <c r="H1753" i="2" a="1"/>
  <c r="H1753" i="2" s="1"/>
  <c r="H1754" i="2" a="1"/>
  <c r="H1754" i="2" s="1"/>
  <c r="H1755" i="2" a="1"/>
  <c r="H1755" i="2" s="1"/>
  <c r="H1756" i="2" a="1"/>
  <c r="H1756" i="2" s="1"/>
  <c r="H1757" i="2" a="1"/>
  <c r="H1757" i="2" s="1"/>
  <c r="H1758" i="2" a="1"/>
  <c r="H1758" i="2" s="1"/>
  <c r="H1759" i="2" a="1"/>
  <c r="H1759" i="2" s="1"/>
  <c r="H1760" i="2" a="1"/>
  <c r="H1760" i="2" s="1"/>
  <c r="H1761" i="2" a="1"/>
  <c r="H1761" i="2" s="1"/>
  <c r="H1762" i="2" a="1"/>
  <c r="H1762" i="2" s="1"/>
  <c r="H1763" i="2" a="1"/>
  <c r="H1763" i="2" s="1"/>
  <c r="H1764" i="2" a="1"/>
  <c r="H1764" i="2" s="1"/>
  <c r="H1765" i="2" a="1"/>
  <c r="H1765" i="2" s="1"/>
  <c r="H1766" i="2" a="1"/>
  <c r="H1766" i="2" s="1"/>
  <c r="H1767" i="2" a="1"/>
  <c r="H1767" i="2" s="1"/>
  <c r="H1768" i="2" a="1"/>
  <c r="H1768" i="2" s="1"/>
  <c r="H1769" i="2" a="1"/>
  <c r="H1769" i="2" s="1"/>
  <c r="H1770" i="2" a="1"/>
  <c r="H1770" i="2" s="1"/>
  <c r="H1771" i="2" a="1"/>
  <c r="H1771" i="2" s="1"/>
  <c r="H1772" i="2" a="1"/>
  <c r="H1772" i="2" s="1"/>
  <c r="H1773" i="2" a="1"/>
  <c r="H1773" i="2" s="1"/>
  <c r="H1774" i="2" a="1"/>
  <c r="H1774" i="2" s="1"/>
  <c r="H1775" i="2" a="1"/>
  <c r="H1775" i="2" s="1"/>
  <c r="H1776" i="2" a="1"/>
  <c r="H1776" i="2" s="1"/>
  <c r="H1777" i="2" a="1"/>
  <c r="H1777" i="2" s="1"/>
  <c r="H1778" i="2" a="1"/>
  <c r="H1778" i="2" s="1"/>
  <c r="H1779" i="2" a="1"/>
  <c r="H1779" i="2" s="1"/>
  <c r="H1780" i="2" a="1"/>
  <c r="H1780" i="2" s="1"/>
  <c r="H1781" i="2" a="1"/>
  <c r="H1781" i="2" s="1"/>
  <c r="H1782" i="2" a="1"/>
  <c r="H1782" i="2" s="1"/>
  <c r="H1783" i="2" a="1"/>
  <c r="H1783" i="2" s="1"/>
  <c r="H1784" i="2" a="1"/>
  <c r="H1784" i="2" s="1"/>
  <c r="H1785" i="2" a="1"/>
  <c r="H1785" i="2" s="1"/>
  <c r="H1786" i="2" a="1"/>
  <c r="H1786" i="2" s="1"/>
  <c r="H1787" i="2" a="1"/>
  <c r="H1787" i="2" s="1"/>
  <c r="H1788" i="2" a="1"/>
  <c r="H1788" i="2" s="1"/>
  <c r="H1789" i="2" a="1"/>
  <c r="H1789" i="2" s="1"/>
  <c r="H1790" i="2" a="1"/>
  <c r="H1790" i="2" s="1"/>
  <c r="H1791" i="2" a="1"/>
  <c r="H1791" i="2" s="1"/>
  <c r="H1792" i="2" a="1"/>
  <c r="H1792" i="2" s="1"/>
  <c r="H1793" i="2" a="1"/>
  <c r="H1793" i="2" s="1"/>
  <c r="H1794" i="2" a="1"/>
  <c r="H1794" i="2" s="1"/>
  <c r="H1795" i="2" a="1"/>
  <c r="H1795" i="2" s="1"/>
  <c r="H1796" i="2" a="1"/>
  <c r="H1796" i="2" s="1"/>
  <c r="H1797" i="2" a="1"/>
  <c r="H1797" i="2" s="1"/>
  <c r="H1798" i="2" a="1"/>
  <c r="H1798" i="2" s="1"/>
  <c r="H1799" i="2" a="1"/>
  <c r="H1799" i="2" s="1"/>
  <c r="H1800" i="2" a="1"/>
  <c r="H1800" i="2" s="1"/>
  <c r="H1801" i="2" a="1"/>
  <c r="H1801" i="2" s="1"/>
  <c r="H1802" i="2" a="1"/>
  <c r="H1802" i="2" s="1"/>
  <c r="H1803" i="2" a="1"/>
  <c r="H1803" i="2" s="1"/>
  <c r="H1804" i="2" a="1"/>
  <c r="H1804" i="2" s="1"/>
  <c r="H1805" i="2" a="1"/>
  <c r="H1805" i="2" s="1"/>
  <c r="H1806" i="2" a="1"/>
  <c r="H1806" i="2" s="1"/>
  <c r="H1807" i="2" a="1"/>
  <c r="H1807" i="2" s="1"/>
  <c r="H1808" i="2" a="1"/>
  <c r="H1808" i="2" s="1"/>
  <c r="H1809" i="2" a="1"/>
  <c r="H1809" i="2" s="1"/>
  <c r="H1810" i="2" a="1"/>
  <c r="H1810" i="2" s="1"/>
  <c r="H1811" i="2" a="1"/>
  <c r="H1811" i="2" s="1"/>
  <c r="H1812" i="2" a="1"/>
  <c r="H1812" i="2" s="1"/>
  <c r="H1813" i="2" a="1"/>
  <c r="H1813" i="2" s="1"/>
  <c r="H1814" i="2" a="1"/>
  <c r="H1814" i="2" s="1"/>
  <c r="H1815" i="2" a="1"/>
  <c r="H1815" i="2" s="1"/>
  <c r="H1816" i="2" a="1"/>
  <c r="H1816" i="2" s="1"/>
  <c r="H1817" i="2" a="1"/>
  <c r="H1817" i="2" s="1"/>
  <c r="H1818" i="2" a="1"/>
  <c r="H1818" i="2" s="1"/>
  <c r="H1819" i="2" a="1"/>
  <c r="H1819" i="2" s="1"/>
  <c r="H1820" i="2" a="1"/>
  <c r="H1820" i="2" s="1"/>
  <c r="H1821" i="2" a="1"/>
  <c r="H1821" i="2" s="1"/>
  <c r="H1822" i="2" a="1"/>
  <c r="H1822" i="2" s="1"/>
  <c r="H1823" i="2" a="1"/>
  <c r="H1823" i="2" s="1"/>
  <c r="H1824" i="2" a="1"/>
  <c r="H1824" i="2" s="1"/>
  <c r="H1825" i="2" a="1"/>
  <c r="H1825" i="2" s="1"/>
  <c r="H1826" i="2" a="1"/>
  <c r="H1826" i="2" s="1"/>
  <c r="H1827" i="2" a="1"/>
  <c r="H1827" i="2" s="1"/>
  <c r="H1828" i="2" a="1"/>
  <c r="H1828" i="2" s="1"/>
  <c r="H1829" i="2" a="1"/>
  <c r="H1829" i="2" s="1"/>
  <c r="H1830" i="2" a="1"/>
  <c r="H1830" i="2" s="1"/>
  <c r="H1831" i="2" a="1"/>
  <c r="H1831" i="2" s="1"/>
  <c r="H1832" i="2" a="1"/>
  <c r="H1832" i="2" s="1"/>
  <c r="H1833" i="2" a="1"/>
  <c r="H1833" i="2" s="1"/>
  <c r="H1834" i="2" a="1"/>
  <c r="H1834" i="2" s="1"/>
  <c r="H1835" i="2" a="1"/>
  <c r="H1835" i="2" s="1"/>
  <c r="H1836" i="2" a="1"/>
  <c r="H1836" i="2" s="1"/>
  <c r="H1837" i="2" a="1"/>
  <c r="H1837" i="2" s="1"/>
  <c r="H1838" i="2" a="1"/>
  <c r="H1838" i="2" s="1"/>
  <c r="H1839" i="2" a="1"/>
  <c r="H1839" i="2" s="1"/>
  <c r="H1840" i="2" a="1"/>
  <c r="H1840" i="2" s="1"/>
  <c r="H1841" i="2" a="1"/>
  <c r="H1841" i="2" s="1"/>
  <c r="H1842" i="2" a="1"/>
  <c r="H1842" i="2" s="1"/>
  <c r="H1843" i="2" a="1"/>
  <c r="H1843" i="2" s="1"/>
  <c r="H1844" i="2" a="1"/>
  <c r="H1844" i="2" s="1"/>
  <c r="H1845" i="2" a="1"/>
  <c r="H1845" i="2" s="1"/>
  <c r="H1846" i="2" a="1"/>
  <c r="H1846" i="2" s="1"/>
  <c r="H1847" i="2" a="1"/>
  <c r="H1847" i="2" s="1"/>
  <c r="H1848" i="2" a="1"/>
  <c r="H1848" i="2" s="1"/>
  <c r="H1849" i="2" a="1"/>
  <c r="H1849" i="2" s="1"/>
  <c r="H1850" i="2" a="1"/>
  <c r="H1850" i="2" s="1"/>
  <c r="H1851" i="2" a="1"/>
  <c r="H1851" i="2" s="1"/>
  <c r="H1852" i="2" a="1"/>
  <c r="H1852" i="2" s="1"/>
  <c r="H1853" i="2" a="1"/>
  <c r="H1853" i="2" s="1"/>
  <c r="H1854" i="2" a="1"/>
  <c r="H1854" i="2" s="1"/>
  <c r="H1855" i="2" a="1"/>
  <c r="H1855" i="2" s="1"/>
  <c r="H1856" i="2" a="1"/>
  <c r="H1856" i="2" s="1"/>
  <c r="H1857" i="2" a="1"/>
  <c r="H1857" i="2" s="1"/>
  <c r="H1858" i="2" a="1"/>
  <c r="H1858" i="2" s="1"/>
  <c r="H1859" i="2" a="1"/>
  <c r="H1859" i="2" s="1"/>
  <c r="H1860" i="2" a="1"/>
  <c r="H1860" i="2" s="1"/>
  <c r="H1861" i="2" a="1"/>
  <c r="H1861" i="2" s="1"/>
  <c r="H1862" i="2" a="1"/>
  <c r="H1862" i="2" s="1"/>
  <c r="H1863" i="2" a="1"/>
  <c r="H1863" i="2" s="1"/>
  <c r="H1864" i="2" a="1"/>
  <c r="H1864" i="2" s="1"/>
  <c r="H1865" i="2" a="1"/>
  <c r="H1865" i="2" s="1"/>
  <c r="H1866" i="2" a="1"/>
  <c r="H1866" i="2" s="1"/>
  <c r="H1867" i="2" a="1"/>
  <c r="H1867" i="2" s="1"/>
  <c r="H1868" i="2" a="1"/>
  <c r="H1868" i="2" s="1"/>
  <c r="H1869" i="2" a="1"/>
  <c r="H1869" i="2" s="1"/>
  <c r="H1870" i="2" a="1"/>
  <c r="H1870" i="2" s="1"/>
  <c r="H1871" i="2" a="1"/>
  <c r="H1871" i="2" s="1"/>
  <c r="H1872" i="2" a="1"/>
  <c r="H1872" i="2" s="1"/>
  <c r="H1873" i="2" a="1"/>
  <c r="H1873" i="2" s="1"/>
  <c r="H1874" i="2" a="1"/>
  <c r="H1874" i="2" s="1"/>
  <c r="H1875" i="2" a="1"/>
  <c r="H1875" i="2" s="1"/>
  <c r="H1876" i="2" a="1"/>
  <c r="H1876" i="2" s="1"/>
  <c r="H1877" i="2" a="1"/>
  <c r="H1877" i="2" s="1"/>
  <c r="H1878" i="2" a="1"/>
  <c r="H1878" i="2" s="1"/>
  <c r="H1879" i="2" a="1"/>
  <c r="H1879" i="2" s="1"/>
  <c r="H1880" i="2" a="1"/>
  <c r="H1880" i="2" s="1"/>
  <c r="H1881" i="2" a="1"/>
  <c r="H1881" i="2" s="1"/>
  <c r="H1882" i="2" a="1"/>
  <c r="H1882" i="2" s="1"/>
  <c r="H1883" i="2" a="1"/>
  <c r="H1883" i="2" s="1"/>
  <c r="H1884" i="2" a="1"/>
  <c r="H1884" i="2" s="1"/>
  <c r="H1885" i="2" a="1"/>
  <c r="H1885" i="2" s="1"/>
  <c r="H1886" i="2" a="1"/>
  <c r="H1886" i="2" s="1"/>
  <c r="H1887" i="2" a="1"/>
  <c r="H1887" i="2" s="1"/>
  <c r="H1888" i="2" a="1"/>
  <c r="H1888" i="2" s="1"/>
  <c r="H1889" i="2" a="1"/>
  <c r="H1889" i="2" s="1"/>
  <c r="H1890" i="2" a="1"/>
  <c r="H1890" i="2" s="1"/>
  <c r="H1891" i="2" a="1"/>
  <c r="H1891" i="2" s="1"/>
  <c r="H1892" i="2" a="1"/>
  <c r="H1892" i="2" s="1"/>
  <c r="H1893" i="2" a="1"/>
  <c r="H1893" i="2" s="1"/>
  <c r="H1894" i="2" a="1"/>
  <c r="H1894" i="2" s="1"/>
  <c r="H1895" i="2" a="1"/>
  <c r="H1895" i="2" s="1"/>
  <c r="H1896" i="2" a="1"/>
  <c r="H1896" i="2" s="1"/>
  <c r="H1897" i="2" a="1"/>
  <c r="H1897" i="2" s="1"/>
  <c r="H1898" i="2" a="1"/>
  <c r="H1898" i="2" s="1"/>
  <c r="H1899" i="2" a="1"/>
  <c r="H1899" i="2" s="1"/>
  <c r="H1900" i="2" a="1"/>
  <c r="H1900" i="2" s="1"/>
  <c r="H1901" i="2" a="1"/>
  <c r="H1901" i="2" s="1"/>
  <c r="H1902" i="2" a="1"/>
  <c r="H1902" i="2" s="1"/>
  <c r="H1903" i="2" a="1"/>
  <c r="H1903" i="2" s="1"/>
  <c r="H1904" i="2" a="1"/>
  <c r="H1904" i="2" s="1"/>
  <c r="H1905" i="2" a="1"/>
  <c r="H1905" i="2" s="1"/>
  <c r="H1906" i="2" a="1"/>
  <c r="H1906" i="2" s="1"/>
  <c r="H1907" i="2" a="1"/>
  <c r="H1907" i="2" s="1"/>
  <c r="H1908" i="2" a="1"/>
  <c r="H1908" i="2" s="1"/>
  <c r="H1909" i="2" a="1"/>
  <c r="H1909" i="2" s="1"/>
  <c r="H1910" i="2" a="1"/>
  <c r="H1910" i="2" s="1"/>
  <c r="H1911" i="2" a="1"/>
  <c r="H1911" i="2" s="1"/>
  <c r="H1912" i="2" a="1"/>
  <c r="H1912" i="2" s="1"/>
  <c r="H1913" i="2" a="1"/>
  <c r="H1913" i="2"/>
  <c r="H1914" i="2" a="1"/>
  <c r="H1914" i="2" s="1"/>
  <c r="H1915" i="2" a="1"/>
  <c r="H1915" i="2" s="1"/>
  <c r="H1916" i="2" a="1"/>
  <c r="H1916" i="2" s="1"/>
  <c r="H1917" i="2" a="1"/>
  <c r="H1917" i="2" s="1"/>
  <c r="H1918" i="2" a="1"/>
  <c r="H1918" i="2" s="1"/>
  <c r="H1919" i="2" a="1"/>
  <c r="H1919" i="2" s="1"/>
  <c r="H1920" i="2" a="1"/>
  <c r="H1920" i="2" s="1"/>
  <c r="H1921" i="2" a="1"/>
  <c r="H1921" i="2" s="1"/>
  <c r="H1922" i="2" a="1"/>
  <c r="H1922" i="2" s="1"/>
  <c r="H1923" i="2" a="1"/>
  <c r="H1923" i="2" s="1"/>
  <c r="H1924" i="2" a="1"/>
  <c r="H1924" i="2" s="1"/>
  <c r="H1925" i="2" a="1"/>
  <c r="H1925" i="2" s="1"/>
  <c r="H1926" i="2" a="1"/>
  <c r="H1926" i="2" s="1"/>
  <c r="H1927" i="2" a="1"/>
  <c r="H1927" i="2" s="1"/>
  <c r="H1928" i="2" a="1"/>
  <c r="H1928" i="2" s="1"/>
  <c r="H1929" i="2" a="1"/>
  <c r="H1929" i="2" s="1"/>
  <c r="H1930" i="2" a="1"/>
  <c r="H1930" i="2" s="1"/>
  <c r="H1931" i="2" a="1"/>
  <c r="H1931" i="2" s="1"/>
  <c r="H1932" i="2" a="1"/>
  <c r="H1932" i="2" s="1"/>
  <c r="H1933" i="2" a="1"/>
  <c r="H1933" i="2" s="1"/>
  <c r="H1934" i="2" a="1"/>
  <c r="H1934" i="2" s="1"/>
  <c r="H1935" i="2" a="1"/>
  <c r="H1935" i="2" s="1"/>
  <c r="H1936" i="2" a="1"/>
  <c r="H1936" i="2" s="1"/>
  <c r="H1937" i="2" a="1"/>
  <c r="H1937" i="2" s="1"/>
  <c r="H1938" i="2" a="1"/>
  <c r="H1938" i="2" s="1"/>
  <c r="H1939" i="2" a="1"/>
  <c r="H1939" i="2" s="1"/>
  <c r="H1940" i="2" a="1"/>
  <c r="H1940" i="2" s="1"/>
  <c r="H1941" i="2" a="1"/>
  <c r="H1941" i="2" s="1"/>
  <c r="H1942" i="2" a="1"/>
  <c r="H1942" i="2" s="1"/>
  <c r="H1943" i="2" a="1"/>
  <c r="H1943" i="2" s="1"/>
  <c r="H1944" i="2" a="1"/>
  <c r="H1944" i="2" s="1"/>
  <c r="H1945" i="2" a="1"/>
  <c r="H1945" i="2" s="1"/>
  <c r="H1946" i="2" a="1"/>
  <c r="H1946" i="2" s="1"/>
  <c r="H1947" i="2" a="1"/>
  <c r="H1947" i="2" s="1"/>
  <c r="H1948" i="2" a="1"/>
  <c r="H1948" i="2" s="1"/>
  <c r="H1949" i="2" a="1"/>
  <c r="H1949" i="2" s="1"/>
  <c r="H1950" i="2" a="1"/>
  <c r="H1950" i="2" s="1"/>
  <c r="H1951" i="2" a="1"/>
  <c r="H1951" i="2" s="1"/>
  <c r="H1952" i="2" a="1"/>
  <c r="H1952" i="2" s="1"/>
  <c r="H1953" i="2" a="1"/>
  <c r="H1953" i="2" s="1"/>
  <c r="H1954" i="2" a="1"/>
  <c r="H1954" i="2" s="1"/>
  <c r="H1955" i="2" a="1"/>
  <c r="H1955" i="2" s="1"/>
  <c r="H1956" i="2" a="1"/>
  <c r="H1956" i="2" s="1"/>
  <c r="H1957" i="2" a="1"/>
  <c r="H1957" i="2" s="1"/>
  <c r="H1958" i="2" a="1"/>
  <c r="H1958" i="2" s="1"/>
  <c r="H1959" i="2" a="1"/>
  <c r="H1959" i="2" s="1"/>
  <c r="H1960" i="2" a="1"/>
  <c r="H1960" i="2" s="1"/>
  <c r="H1961" i="2" a="1"/>
  <c r="H1961" i="2" s="1"/>
  <c r="H1962" i="2" a="1"/>
  <c r="H1962" i="2" s="1"/>
  <c r="H1963" i="2" a="1"/>
  <c r="H1963" i="2" s="1"/>
  <c r="H1964" i="2" a="1"/>
  <c r="H1964" i="2" s="1"/>
  <c r="H1965" i="2" a="1"/>
  <c r="H1965" i="2" s="1"/>
  <c r="H1966" i="2" a="1"/>
  <c r="H1966" i="2" s="1"/>
  <c r="H1967" i="2" a="1"/>
  <c r="H1967" i="2" s="1"/>
  <c r="H1968" i="2" a="1"/>
  <c r="H1968" i="2" s="1"/>
  <c r="H1969" i="2" a="1"/>
  <c r="H1969" i="2" s="1"/>
  <c r="H1970" i="2" a="1"/>
  <c r="H1970" i="2" s="1"/>
  <c r="H1971" i="2" a="1"/>
  <c r="H1971" i="2" s="1"/>
  <c r="H1972" i="2" a="1"/>
  <c r="H1972" i="2" s="1"/>
  <c r="H1973" i="2" a="1"/>
  <c r="H1973" i="2" s="1"/>
  <c r="H1974" i="2" a="1"/>
  <c r="H1974" i="2" s="1"/>
  <c r="H1975" i="2" a="1"/>
  <c r="H1975" i="2" s="1"/>
  <c r="H1976" i="2" a="1"/>
  <c r="H1976" i="2" s="1"/>
  <c r="H1977" i="2" a="1"/>
  <c r="H1977" i="2" s="1"/>
  <c r="H1978" i="2" a="1"/>
  <c r="H1978" i="2" s="1"/>
  <c r="H1979" i="2" a="1"/>
  <c r="H1979" i="2" s="1"/>
  <c r="H1980" i="2" a="1"/>
  <c r="H1980" i="2" s="1"/>
  <c r="H1981" i="2" a="1"/>
  <c r="H1981" i="2" s="1"/>
  <c r="H1982" i="2" a="1"/>
  <c r="H1982" i="2" s="1"/>
  <c r="H1983" i="2" a="1"/>
  <c r="H1983" i="2" s="1"/>
  <c r="H1984" i="2" a="1"/>
  <c r="H1984" i="2" s="1"/>
  <c r="H1985" i="2" a="1"/>
  <c r="H1985" i="2" s="1"/>
  <c r="H1986" i="2" a="1"/>
  <c r="H1986" i="2" s="1"/>
  <c r="H1987" i="2" a="1"/>
  <c r="H1987" i="2" s="1"/>
  <c r="H1988" i="2" a="1"/>
  <c r="H1988" i="2" s="1"/>
  <c r="H1989" i="2" a="1"/>
  <c r="H1989" i="2" s="1"/>
  <c r="H1990" i="2" a="1"/>
  <c r="H1990" i="2" s="1"/>
  <c r="H1991" i="2" a="1"/>
  <c r="H1991" i="2" s="1"/>
  <c r="H1992" i="2" a="1"/>
  <c r="H1992" i="2" s="1"/>
  <c r="H1993" i="2" a="1"/>
  <c r="H1993" i="2" s="1"/>
  <c r="H1994" i="2" a="1"/>
  <c r="H1994" i="2" s="1"/>
  <c r="H1995" i="2" a="1"/>
  <c r="H1995" i="2" s="1"/>
  <c r="H1996" i="2" a="1"/>
  <c r="H1996" i="2" s="1"/>
  <c r="H1997" i="2" a="1"/>
  <c r="H1997" i="2" s="1"/>
  <c r="H1998" i="2" a="1"/>
  <c r="H1998" i="2" s="1"/>
  <c r="H1999" i="2" a="1"/>
  <c r="H1999" i="2" s="1"/>
  <c r="H2000" i="2" a="1"/>
  <c r="H2000" i="2" s="1"/>
  <c r="H2001" i="2" a="1"/>
  <c r="H2001" i="2" s="1"/>
  <c r="H2002" i="2" a="1"/>
  <c r="H2002" i="2" s="1"/>
  <c r="H2003" i="2" a="1"/>
  <c r="H2003" i="2" s="1"/>
  <c r="H2004" i="2" a="1"/>
  <c r="H2004" i="2" s="1"/>
  <c r="H2005" i="2" a="1"/>
  <c r="H2005" i="2" s="1"/>
  <c r="H2006" i="2" a="1"/>
  <c r="H2006" i="2" s="1"/>
  <c r="H2007" i="2" a="1"/>
  <c r="H2007" i="2" s="1"/>
  <c r="H2008" i="2" a="1"/>
  <c r="H2008" i="2" s="1"/>
  <c r="H2009" i="2" a="1"/>
  <c r="H2009" i="2" s="1"/>
  <c r="H2010" i="2" a="1"/>
  <c r="H2010" i="2" s="1"/>
  <c r="H2011" i="2" a="1"/>
  <c r="H2011" i="2" s="1"/>
  <c r="H2012" i="2" a="1"/>
  <c r="H2012" i="2" s="1"/>
  <c r="H2013" i="2" a="1"/>
  <c r="H2013" i="2" s="1"/>
  <c r="H2014" i="2" a="1"/>
  <c r="H2014" i="2" s="1"/>
  <c r="H2015" i="2" a="1"/>
  <c r="H2015" i="2" s="1"/>
  <c r="H2016" i="2" a="1"/>
  <c r="H2016" i="2" s="1"/>
  <c r="H2017" i="2" a="1"/>
  <c r="H2017" i="2" s="1"/>
  <c r="H2018" i="2" a="1"/>
  <c r="H2018" i="2" s="1"/>
  <c r="H2019" i="2" a="1"/>
  <c r="H2019" i="2" s="1"/>
  <c r="H2020" i="2" a="1"/>
  <c r="H2020" i="2" s="1"/>
  <c r="H2021" i="2" a="1"/>
  <c r="H2021" i="2" s="1"/>
  <c r="H2022" i="2" a="1"/>
  <c r="H2022" i="2" s="1"/>
  <c r="H2023" i="2" a="1"/>
  <c r="H2023" i="2" s="1"/>
  <c r="H2024" i="2" a="1"/>
  <c r="H2024" i="2" s="1"/>
  <c r="H2025" i="2" a="1"/>
  <c r="H2025" i="2" s="1"/>
  <c r="H2026" i="2" a="1"/>
  <c r="H2026" i="2" s="1"/>
  <c r="H2027" i="2" a="1"/>
  <c r="H2027" i="2" s="1"/>
  <c r="H2028" i="2" a="1"/>
  <c r="H2028" i="2" s="1"/>
  <c r="H2029" i="2" a="1"/>
  <c r="H2029" i="2" s="1"/>
  <c r="H2030" i="2" a="1"/>
  <c r="H2030" i="2" s="1"/>
  <c r="H2031" i="2" a="1"/>
  <c r="H2031" i="2" s="1"/>
  <c r="H2032" i="2" a="1"/>
  <c r="H2032" i="2" s="1"/>
  <c r="H2033" i="2" a="1"/>
  <c r="H2033" i="2" s="1"/>
  <c r="H2034" i="2" a="1"/>
  <c r="H2034" i="2" s="1"/>
  <c r="H2035" i="2" a="1"/>
  <c r="H2035" i="2" s="1"/>
  <c r="H2036" i="2" a="1"/>
  <c r="H2036" i="2" s="1"/>
  <c r="H2037" i="2" a="1"/>
  <c r="H2037" i="2" s="1"/>
  <c r="H2038" i="2" a="1"/>
  <c r="H2038" i="2" s="1"/>
  <c r="H2039" i="2" a="1"/>
  <c r="H2039" i="2" s="1"/>
  <c r="H2040" i="2" a="1"/>
  <c r="H2040" i="2" s="1"/>
  <c r="H2041" i="2" a="1"/>
  <c r="H2041" i="2" s="1"/>
  <c r="H2042" i="2" a="1"/>
  <c r="H2042" i="2" s="1"/>
  <c r="H2043" i="2" a="1"/>
  <c r="H2043" i="2" s="1"/>
  <c r="H2044" i="2" a="1"/>
  <c r="H2044" i="2" s="1"/>
  <c r="H2045" i="2" a="1"/>
  <c r="H2045" i="2" s="1"/>
  <c r="H2046" i="2" a="1"/>
  <c r="H2046" i="2" s="1"/>
  <c r="H2047" i="2" a="1"/>
  <c r="H2047" i="2" s="1"/>
  <c r="H2048" i="2" a="1"/>
  <c r="H2048" i="2" s="1"/>
  <c r="H2049" i="2" a="1"/>
  <c r="H2049" i="2" s="1"/>
  <c r="H2050" i="2" a="1"/>
  <c r="H2050" i="2" s="1"/>
  <c r="H2051" i="2" a="1"/>
  <c r="H2051" i="2" s="1"/>
  <c r="H2052" i="2" a="1"/>
  <c r="H2052" i="2" s="1"/>
  <c r="H2053" i="2" a="1"/>
  <c r="H2053" i="2" s="1"/>
  <c r="H2054" i="2" a="1"/>
  <c r="H2054" i="2" s="1"/>
  <c r="H2055" i="2" a="1"/>
  <c r="H2055" i="2" s="1"/>
  <c r="H2056" i="2" a="1"/>
  <c r="H2056" i="2" s="1"/>
  <c r="H2057" i="2" a="1"/>
  <c r="H2057" i="2" s="1"/>
  <c r="H2058" i="2" a="1"/>
  <c r="H2058" i="2" s="1"/>
  <c r="H2059" i="2" a="1"/>
  <c r="H2059" i="2" s="1"/>
  <c r="H2060" i="2" a="1"/>
  <c r="H2060" i="2" s="1"/>
  <c r="H2061" i="2" a="1"/>
  <c r="H2061" i="2" s="1"/>
  <c r="H2062" i="2" a="1"/>
  <c r="H2062" i="2" s="1"/>
  <c r="H2063" i="2" a="1"/>
  <c r="H2063" i="2" s="1"/>
  <c r="H2064" i="2" a="1"/>
  <c r="H2064" i="2" s="1"/>
  <c r="H2065" i="2" a="1"/>
  <c r="H2065" i="2" s="1"/>
  <c r="H2066" i="2" a="1"/>
  <c r="H2066" i="2" s="1"/>
  <c r="H2067" i="2" a="1"/>
  <c r="H2067" i="2" s="1"/>
  <c r="H2068" i="2" a="1"/>
  <c r="H2068" i="2" s="1"/>
  <c r="H2069" i="2" a="1"/>
  <c r="H2069" i="2" s="1"/>
  <c r="H2070" i="2" a="1"/>
  <c r="H2070" i="2" s="1"/>
  <c r="H2071" i="2" a="1"/>
  <c r="H2071" i="2" s="1"/>
  <c r="H2072" i="2" a="1"/>
  <c r="H2072" i="2" s="1"/>
  <c r="H2073" i="2" a="1"/>
  <c r="H2073" i="2" s="1"/>
  <c r="H2074" i="2" a="1"/>
  <c r="H2074" i="2" s="1"/>
  <c r="H2075" i="2" a="1"/>
  <c r="H2075" i="2" s="1"/>
  <c r="H2076" i="2" a="1"/>
  <c r="H2076" i="2" s="1"/>
  <c r="H2077" i="2" a="1"/>
  <c r="H2077" i="2" s="1"/>
  <c r="H2078" i="2" a="1"/>
  <c r="H2078" i="2" s="1"/>
  <c r="H2079" i="2" a="1"/>
  <c r="H2079" i="2" s="1"/>
  <c r="H2080" i="2" a="1"/>
  <c r="H2080" i="2" s="1"/>
  <c r="H2081" i="2" a="1"/>
  <c r="H2081" i="2" s="1"/>
  <c r="H2082" i="2" a="1"/>
  <c r="H2082" i="2" s="1"/>
  <c r="H2083" i="2" a="1"/>
  <c r="H2083" i="2" s="1"/>
  <c r="H2084" i="2" a="1"/>
  <c r="H2084" i="2" s="1"/>
  <c r="H2085" i="2" a="1"/>
  <c r="H2085" i="2" s="1"/>
  <c r="H2086" i="2" a="1"/>
  <c r="H2086" i="2" s="1"/>
  <c r="H2087" i="2" a="1"/>
  <c r="H2087" i="2" s="1"/>
  <c r="H2088" i="2" a="1"/>
  <c r="H2088" i="2" s="1"/>
  <c r="H2089" i="2" a="1"/>
  <c r="H2089" i="2" s="1"/>
  <c r="H2090" i="2" a="1"/>
  <c r="H2090" i="2" s="1"/>
  <c r="H2091" i="2" a="1"/>
  <c r="H2091" i="2" s="1"/>
  <c r="H2092" i="2" a="1"/>
  <c r="H2092" i="2" s="1"/>
  <c r="H2093" i="2" a="1"/>
  <c r="H2093" i="2" s="1"/>
  <c r="H2094" i="2" a="1"/>
  <c r="H2094" i="2" s="1"/>
  <c r="H2095" i="2" a="1"/>
  <c r="H2095" i="2" s="1"/>
  <c r="H2096" i="2" a="1"/>
  <c r="H2096" i="2" s="1"/>
  <c r="H2097" i="2" a="1"/>
  <c r="H2097" i="2" s="1"/>
  <c r="H2098" i="2" a="1"/>
  <c r="H2098" i="2" s="1"/>
  <c r="H2099" i="2" a="1"/>
  <c r="H2099" i="2" s="1"/>
  <c r="H2100" i="2" a="1"/>
  <c r="H2100" i="2" s="1"/>
  <c r="H2101" i="2" a="1"/>
  <c r="H2101" i="2" s="1"/>
  <c r="H2102" i="2" a="1"/>
  <c r="H2102" i="2" s="1"/>
  <c r="H2103" i="2" a="1"/>
  <c r="H2103" i="2" s="1"/>
  <c r="H2104" i="2" a="1"/>
  <c r="H2104" i="2" s="1"/>
  <c r="H2105" i="2" a="1"/>
  <c r="H2105" i="2" s="1"/>
  <c r="H2106" i="2" a="1"/>
  <c r="H2106" i="2" s="1"/>
  <c r="H2107" i="2" a="1"/>
  <c r="H2107" i="2" s="1"/>
  <c r="H2108" i="2" a="1"/>
  <c r="H2108" i="2" s="1"/>
  <c r="H2109" i="2" a="1"/>
  <c r="H2109" i="2" s="1"/>
  <c r="H2110" i="2" a="1"/>
  <c r="H2110" i="2" s="1"/>
  <c r="H2111" i="2" a="1"/>
  <c r="H2111" i="2" s="1"/>
  <c r="H2112" i="2" a="1"/>
  <c r="H2112" i="2" s="1"/>
  <c r="H2113" i="2" a="1"/>
  <c r="H2113" i="2" s="1"/>
  <c r="H2114" i="2" a="1"/>
  <c r="H2114" i="2" s="1"/>
  <c r="H2115" i="2" a="1"/>
  <c r="H2115" i="2" s="1"/>
  <c r="H2116" i="2" a="1"/>
  <c r="H2116" i="2" s="1"/>
  <c r="H2117" i="2" a="1"/>
  <c r="H2117" i="2" s="1"/>
  <c r="H2118" i="2" a="1"/>
  <c r="H2118" i="2" s="1"/>
  <c r="H2119" i="2" a="1"/>
  <c r="H2119" i="2" s="1"/>
  <c r="H2120" i="2" a="1"/>
  <c r="H2120" i="2" s="1"/>
  <c r="H2121" i="2" a="1"/>
  <c r="H2121" i="2" s="1"/>
  <c r="H2122" i="2" a="1"/>
  <c r="H2122" i="2" s="1"/>
  <c r="H2123" i="2" a="1"/>
  <c r="H2123" i="2" s="1"/>
  <c r="H2124" i="2" a="1"/>
  <c r="H2124" i="2" s="1"/>
  <c r="H2125" i="2" a="1"/>
  <c r="H2125" i="2" s="1"/>
  <c r="H2126" i="2" a="1"/>
  <c r="H2126" i="2" s="1"/>
  <c r="H2127" i="2" a="1"/>
  <c r="H2127" i="2" s="1"/>
  <c r="H2128" i="2" a="1"/>
  <c r="H2128" i="2" s="1"/>
  <c r="H2129" i="2" a="1"/>
  <c r="H2129" i="2"/>
  <c r="H2130" i="2" a="1"/>
  <c r="H2130" i="2" s="1"/>
  <c r="H2131" i="2" a="1"/>
  <c r="H2131" i="2" s="1"/>
  <c r="H2132" i="2" a="1"/>
  <c r="H2132" i="2" s="1"/>
  <c r="H2133" i="2" a="1"/>
  <c r="H2133" i="2" s="1"/>
  <c r="H2134" i="2" a="1"/>
  <c r="H2134" i="2" s="1"/>
  <c r="H2135" i="2" a="1"/>
  <c r="H2135" i="2" s="1"/>
  <c r="H2136" i="2" a="1"/>
  <c r="H2136" i="2" s="1"/>
  <c r="H2137" i="2" a="1"/>
  <c r="H2137" i="2" s="1"/>
  <c r="H2138" i="2" a="1"/>
  <c r="H2138" i="2" s="1"/>
  <c r="H2139" i="2" a="1"/>
  <c r="H2139" i="2" s="1"/>
  <c r="H2140" i="2" a="1"/>
  <c r="H2140" i="2" s="1"/>
  <c r="H2141" i="2" a="1"/>
  <c r="H2141" i="2" s="1"/>
  <c r="H2142" i="2" a="1"/>
  <c r="H2142" i="2" s="1"/>
  <c r="H2143" i="2" a="1"/>
  <c r="H2143" i="2" s="1"/>
  <c r="H2144" i="2" a="1"/>
  <c r="H2144" i="2" s="1"/>
  <c r="H2145" i="2" a="1"/>
  <c r="H2145" i="2" s="1"/>
  <c r="H2146" i="2" a="1"/>
  <c r="H2146" i="2" s="1"/>
  <c r="H2147" i="2" a="1"/>
  <c r="H2147" i="2" s="1"/>
  <c r="H2148" i="2" a="1"/>
  <c r="H2148" i="2" s="1"/>
  <c r="H2149" i="2" a="1"/>
  <c r="H2149" i="2" s="1"/>
  <c r="H2150" i="2" a="1"/>
  <c r="H2150" i="2" s="1"/>
  <c r="H2151" i="2" a="1"/>
  <c r="H2151" i="2" s="1"/>
  <c r="H2152" i="2" a="1"/>
  <c r="H2152" i="2" s="1"/>
  <c r="H2153" i="2" a="1"/>
  <c r="H2153" i="2" s="1"/>
  <c r="H2154" i="2" a="1"/>
  <c r="H2154" i="2" s="1"/>
  <c r="H2155" i="2" a="1"/>
  <c r="H2155" i="2" s="1"/>
  <c r="H2156" i="2" a="1"/>
  <c r="H2156" i="2" s="1"/>
  <c r="H2157" i="2" a="1"/>
  <c r="H2157" i="2" s="1"/>
  <c r="H2158" i="2" a="1"/>
  <c r="H2158" i="2" s="1"/>
  <c r="H2159" i="2" a="1"/>
  <c r="H2159" i="2" s="1"/>
  <c r="H2160" i="2" a="1"/>
  <c r="H2160" i="2" s="1"/>
  <c r="H2161" i="2" a="1"/>
  <c r="H2161" i="2" s="1"/>
  <c r="H2162" i="2" a="1"/>
  <c r="H2162" i="2" s="1"/>
  <c r="H2163" i="2" a="1"/>
  <c r="H2163" i="2" s="1"/>
  <c r="H2164" i="2" a="1"/>
  <c r="H2164" i="2" s="1"/>
  <c r="H2165" i="2" a="1"/>
  <c r="H2165" i="2" s="1"/>
  <c r="H2166" i="2" a="1"/>
  <c r="H2166" i="2" s="1"/>
  <c r="H2167" i="2" a="1"/>
  <c r="H2167" i="2" s="1"/>
  <c r="H2168" i="2" a="1"/>
  <c r="H2168" i="2" s="1"/>
  <c r="H2169" i="2" a="1"/>
  <c r="H2169" i="2" s="1"/>
  <c r="H2170" i="2" a="1"/>
  <c r="H2170" i="2" s="1"/>
  <c r="H2171" i="2" a="1"/>
  <c r="H2171" i="2" s="1"/>
  <c r="H2172" i="2" a="1"/>
  <c r="H2172" i="2" s="1"/>
  <c r="H2173" i="2" a="1"/>
  <c r="H2173" i="2" s="1"/>
  <c r="H2174" i="2" a="1"/>
  <c r="H2174" i="2" s="1"/>
  <c r="H2175" i="2" a="1"/>
  <c r="H2175" i="2" s="1"/>
  <c r="H2176" i="2" a="1"/>
  <c r="H2176" i="2" s="1"/>
  <c r="H2177" i="2" a="1"/>
  <c r="H2177" i="2" s="1"/>
  <c r="H2178" i="2" a="1"/>
  <c r="H2178" i="2" s="1"/>
  <c r="H2179" i="2" a="1"/>
  <c r="H2179" i="2" s="1"/>
  <c r="H2180" i="2" a="1"/>
  <c r="H2180" i="2" s="1"/>
  <c r="H2181" i="2" a="1"/>
  <c r="H2181" i="2" s="1"/>
  <c r="H2182" i="2" a="1"/>
  <c r="H2182" i="2" s="1"/>
  <c r="H2183" i="2" a="1"/>
  <c r="H2183" i="2" s="1"/>
  <c r="H2184" i="2" a="1"/>
  <c r="H2184" i="2" s="1"/>
  <c r="H2185" i="2" a="1"/>
  <c r="H2185" i="2" s="1"/>
  <c r="H2186" i="2" a="1"/>
  <c r="H2186" i="2" s="1"/>
  <c r="H2187" i="2" a="1"/>
  <c r="H2187" i="2" s="1"/>
  <c r="H2188" i="2" a="1"/>
  <c r="H2188" i="2" s="1"/>
  <c r="H2189" i="2" a="1"/>
  <c r="H2189" i="2" s="1"/>
  <c r="H2190" i="2" a="1"/>
  <c r="H2190" i="2" s="1"/>
  <c r="H2191" i="2" a="1"/>
  <c r="H2191" i="2" s="1"/>
  <c r="H2192" i="2" a="1"/>
  <c r="H2192" i="2" s="1"/>
  <c r="H2193" i="2" a="1"/>
  <c r="H2193" i="2" s="1"/>
  <c r="H2194" i="2" a="1"/>
  <c r="H2194" i="2" s="1"/>
  <c r="H2195" i="2" a="1"/>
  <c r="H2195" i="2" s="1"/>
  <c r="H2196" i="2" a="1"/>
  <c r="H2196" i="2" s="1"/>
  <c r="H2197" i="2" a="1"/>
  <c r="H2197" i="2" s="1"/>
  <c r="H2198" i="2" a="1"/>
  <c r="H2198" i="2" s="1"/>
  <c r="H2199" i="2" a="1"/>
  <c r="H2199" i="2" s="1"/>
  <c r="H2200" i="2" a="1"/>
  <c r="H2200" i="2" s="1"/>
  <c r="H2201" i="2" a="1"/>
  <c r="H2201" i="2" s="1"/>
  <c r="H2202" i="2" a="1"/>
  <c r="H2202" i="2" s="1"/>
  <c r="H2203" i="2" a="1"/>
  <c r="H2203" i="2" s="1"/>
  <c r="H2204" i="2" a="1"/>
  <c r="H2204" i="2" s="1"/>
  <c r="H2205" i="2" a="1"/>
  <c r="H2205" i="2" s="1"/>
  <c r="H2206" i="2" a="1"/>
  <c r="H2206" i="2" s="1"/>
  <c r="H2" i="2" a="1"/>
  <c r="H2" i="2" s="1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<sst xmlns="http://schemas.openxmlformats.org/spreadsheetml/2006/main" count="45" uniqueCount="45">
  <si>
    <t>User Id</t>
  </si>
  <si>
    <t>Income</t>
  </si>
  <si>
    <t>IncomeRef</t>
  </si>
  <si>
    <t>Kidhome</t>
  </si>
  <si>
    <t>Teenhome</t>
  </si>
  <si>
    <t>Recency</t>
  </si>
  <si>
    <t>Age</t>
  </si>
  <si>
    <t>Customer_Days</t>
  </si>
  <si>
    <t>marital_Divorced</t>
  </si>
  <si>
    <t>marital_Married</t>
  </si>
  <si>
    <t>marital_Single</t>
  </si>
  <si>
    <t>marital_Together</t>
  </si>
  <si>
    <t>marital_Widow</t>
  </si>
  <si>
    <t>education_2n Cycle</t>
  </si>
  <si>
    <t>education_Basic</t>
  </si>
  <si>
    <t>education_Graduation</t>
  </si>
  <si>
    <t>education_Master</t>
  </si>
  <si>
    <t>education_PhD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</si>
  <si>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</si>
  <si>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</si>
  <si>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</si>
  <si>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</si>
  <si>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</si>
  <si>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</si>
  <si>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</si>
  <si>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</si>
  <si>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</si>
  <si>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</si>
  <si>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</si>
  <si>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Complain</t>
  </si>
  <si>
    <t>AcceptedCmp3</t>
  </si>
  <si>
    <t>AcceptedCmp4</t>
  </si>
  <si>
    <t>AcceptedCmp5</t>
  </si>
  <si>
    <t>AcceptedCmp1</t>
  </si>
  <si>
    <t>AcceptedCmp2</t>
  </si>
  <si>
    <t>Response</t>
  </si>
  <si>
    <t>AcceptedCmpOverall</t>
  </si>
  <si>
    <t>Z_CostContact</t>
  </si>
  <si>
    <t>Z_Revenue</t>
  </si>
  <si>
    <t>MntRegularProds</t>
  </si>
  <si>
    <t>MntTotal</t>
  </si>
  <si>
    <t>Age Interval</t>
  </si>
  <si>
    <t>Estado Civil</t>
  </si>
  <si>
    <t>Wine Interval</t>
  </si>
  <si>
    <t>Fruits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</si>
</sst>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9"/>
      </patternFill>
    </fill>
    <fill>
      <patternFill patternType="solid">
        <fgColor theme="8" tint="0.79998168889431442"/>
        <bgColor theme="9"/>
      </patternFill>
    </fill>
    <fill>
      <patternFill patternType="solid">
        <fgColor rgb="FFFFFF00"/>
        <bgColor theme="9"/>
      </patternFill>
    </fill>
    <fill>
      <patternFill patternType="solid">
        <fgColor theme="5" tint="0.39997558519241921"/>
        <bgColor theme="9"/>
      </patternFill>
    </fill>
    <fill>
      <patternFill patternType="solid">
        <fgColor theme="0"/>
        <bgColor theme="9"/>
      </patternFill>
    </fill>
    <fill>
      <patternFill patternType="solid">
        <fgColor theme="2" tint="-9.9978637043366805E-2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/>
    <xf numFmtId="0" fontId="3" fillId="3" borderId="1" xfId="0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6" borderId="2" xfId="0" applyFont="1" applyFill="1" applyBorder="1"/>
    <xf numFmtId="0" fontId="3" fillId="6" borderId="3" xfId="0" applyFont="1" applyFill="1" applyBorder="1"/>
    <xf numFmtId="0" fontId="3" fillId="7" borderId="2" xfId="0" applyFont="1" applyFill="1" applyBorder="1"/>
    <xf numFmtId="44" fontId="3" fillId="7" borderId="2" xfId="1" applyFont="1" applyFill="1" applyBorder="1"/>
    <xf numFmtId="44" fontId="3" fillId="8" borderId="2" xfId="1" applyFont="1" applyFill="1" applyBorder="1"/>
    <xf numFmtId="44" fontId="0" fillId="0" borderId="0" xfId="1" applyFont="1"/>
    <xf numFmtId="0" fontId="0" fillId="9" borderId="1" xfId="0" applyFill="1" applyBorder="1"/>
    <xf numFmtId="0" fontId="0" fillId="9" borderId="2" xfId="0" applyFill="1" applyBorder="1"/>
    <xf numFmtId="0" fontId="0" fillId="9" borderId="3" xfId="0" applyFill="1" applyBorder="1"/>
    <xf numFmtId="44" fontId="0" fillId="9" borderId="2" xfId="1" applyFont="1" applyFill="1" applyBorder="1"/>
    <xf numFmtId="0" fontId="0" fillId="10" borderId="1" xfId="0" applyFill="1" applyBorder="1"/>
    <xf numFmtId="0" fontId="0" fillId="10" borderId="2" xfId="0" applyFill="1" applyBorder="1"/>
    <xf numFmtId="0" fontId="0" fillId="10" borderId="3" xfId="0" applyFill="1" applyBorder="1"/>
    <xf numFmtId="44" fontId="0" fillId="10" borderId="2" xfId="1" applyFont="1" applyFill="1" applyBorder="1"/>
    <xf numFmtId="9" fontId="0" fillId="0" borderId="0" xfId="0" applyNumberFormat="1"/>
    <xf numFmtId="0" fontId="0" fillId="9" borderId="4" xfId="0" applyFill="1" applyBorder="1"/>
    <xf numFmtId="0" fontId="0" fillId="9" borderId="5" xfId="0" applyFill="1" applyBorder="1"/>
    <xf numFmtId="0" fontId="0" fillId="9" borderId="6" xfId="0" applyFill="1" applyBorder="1"/>
    <xf numFmtId="44" fontId="0" fillId="9" borderId="5" xfId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2287-72A0-4FCD-B479-DADC31B72120}">
  <dimension ref="A1:AX2206"/>
  <sheetViews>
    <sheetView tabSelected="1" topLeftCell="AA1" workbookViewId="0">
      <selection activeCell="X2" sqref="X2:X2206"/>
    </sheetView>
  </sheetViews>
  <sheetFormatPr defaultRowHeight="15" x14ac:dyDescent="0.25"/>
  <cols>
    <col min="2" max="2" width="14.28515625" bestFit="1" customWidth="1"/>
    <col min="3" max="3" width="10" hidden="1" customWidth="1"/>
    <col min="4" max="4" width="11.28515625" bestFit="1" customWidth="1"/>
    <col min="5" max="5" width="12.85546875" bestFit="1" customWidth="1"/>
    <col min="6" max="6" width="11" bestFit="1" customWidth="1"/>
    <col min="7" max="7" width="6.5703125" customWidth="1"/>
    <col min="8" max="8" width="13.85546875" bestFit="1" customWidth="1"/>
    <col min="9" max="10" width="17.7109375" customWidth="1"/>
    <col min="11" max="11" width="18.7109375" customWidth="1"/>
    <col min="12" max="12" width="17.42578125" customWidth="1"/>
    <col min="13" max="13" width="16.140625" bestFit="1" customWidth="1"/>
    <col min="14" max="14" width="18.5703125" bestFit="1" customWidth="1"/>
    <col min="15" max="15" width="16.7109375" customWidth="1"/>
    <col min="16" max="16" width="21.140625" customWidth="1"/>
    <col min="17" max="17" width="18" bestFit="1" customWidth="1"/>
    <col min="18" max="18" width="23.42578125" bestFit="1" customWidth="1"/>
    <col min="19" max="19" width="19.5703125" bestFit="1" customWidth="1"/>
    <col min="20" max="20" width="17" bestFit="1" customWidth="1"/>
    <col min="21" max="21" width="12.42578125" customWidth="1"/>
    <col min="22" max="22" width="15.42578125" bestFit="1" customWidth="1"/>
    <col min="23" max="23" width="11.85546875" customWidth="1"/>
    <col min="24" max="24" width="15.85546875" bestFit="1" customWidth="1"/>
    <col min="25" max="25" width="19.28515625" customWidth="1"/>
    <col min="26" max="26" width="18.5703125" customWidth="1"/>
    <col min="27" max="27" width="20.5703125" customWidth="1"/>
    <col min="28" max="28" width="16.28515625" customWidth="1"/>
    <col min="29" max="29" width="22.28515625" customWidth="1"/>
    <col min="30" max="30" width="21.28515625" customWidth="1"/>
    <col min="31" max="31" width="24.140625" customWidth="1"/>
    <col min="32" max="32" width="22" customWidth="1"/>
    <col min="33" max="33" width="22.7109375" customWidth="1"/>
    <col min="34" max="38" width="17.140625" customWidth="1"/>
    <col min="39" max="39" width="12.28515625" customWidth="1"/>
    <col min="40" max="40" width="22.7109375" bestFit="1" customWidth="1"/>
    <col min="41" max="41" width="12" customWidth="1"/>
    <col min="42" max="42" width="16.7109375" customWidth="1"/>
    <col min="43" max="43" width="13.140625" customWidth="1"/>
    <col min="44" max="44" width="19" bestFit="1" customWidth="1"/>
    <col min="45" max="45" width="12.140625" customWidth="1"/>
  </cols>
  <sheetData>
    <row r="1" spans="1:50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41</v>
      </c>
      <c r="I1" s="3" t="s">
        <v>7</v>
      </c>
      <c r="J1" s="3" t="s">
        <v>42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4" t="s">
        <v>18</v>
      </c>
      <c r="V1" s="4" t="s">
        <v>43</v>
      </c>
      <c r="W1" s="4" t="s">
        <v>19</v>
      </c>
      <c r="X1" s="4" t="s">
        <v>44</v>
      </c>
      <c r="Y1" s="4" t="s">
        <v>20</v>
      </c>
      <c r="Z1" s="4" t="s">
        <v>21</v>
      </c>
      <c r="AA1" s="4" t="s">
        <v>22</v>
      </c>
      <c r="AB1" s="4" t="s">
        <v>23</v>
      </c>
      <c r="AC1" s="5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6" t="s">
        <v>30</v>
      </c>
      <c r="AJ1" s="6" t="s">
        <v>31</v>
      </c>
      <c r="AK1" s="6" t="s">
        <v>32</v>
      </c>
      <c r="AL1" s="6" t="s">
        <v>33</v>
      </c>
      <c r="AM1" s="6" t="s">
        <v>34</v>
      </c>
      <c r="AN1" s="6" t="s">
        <v>35</v>
      </c>
      <c r="AO1" s="7" t="s">
        <v>36</v>
      </c>
      <c r="AP1" s="8" t="s">
        <v>37</v>
      </c>
      <c r="AQ1" s="8" t="s">
        <v>38</v>
      </c>
      <c r="AR1" s="9" t="s">
        <v>39</v>
      </c>
      <c r="AS1" s="10" t="s">
        <v>40</v>
      </c>
    </row>
    <row r="2" spans="1:50" x14ac:dyDescent="0.25">
      <c r="A2">
        <v>1468</v>
      </c>
      <c r="B2" s="11">
        <f t="shared" ref="B2:B65" si="0">C2/10</f>
        <v>87679</v>
      </c>
      <c r="C2" s="12">
        <v>876790</v>
      </c>
      <c r="D2" s="13">
        <v>0</v>
      </c>
      <c r="E2" s="13">
        <v>0</v>
      </c>
      <c r="F2" s="13">
        <v>62</v>
      </c>
      <c r="G2" s="13">
        <v>32</v>
      </c>
      <c r="H2" s="13" t="str" cm="1">
        <f t="array" ref="H2">_xlfn.IFS(G2&lt;=20,"0-20",G2&lt;=30,"20-30",G2&lt;=40,"30-40",G2&lt;=50,"50-60",G2&lt;=60,"60-70",G2&lt;=70,"70-80",G2&lt;=80,"80-90")</f>
        <v>30-40</v>
      </c>
      <c r="I2" s="13">
        <v>2496</v>
      </c>
      <c r="J2" s="13" t="str" cm="1">
        <f t="array" ref="J2">_xlfn.IFS(K2=1,"Divorciado",L2=1,"Casado",M2=1,"Solteiro",N2=1,"Juntos",O2=1,"Viuvo")</f>
        <v>Juntos</v>
      </c>
      <c r="K2" s="13">
        <v>0</v>
      </c>
      <c r="L2" s="13">
        <v>0</v>
      </c>
      <c r="M2" s="13">
        <v>0</v>
      </c>
      <c r="N2" s="13">
        <v>1</v>
      </c>
      <c r="O2" s="13">
        <v>0</v>
      </c>
      <c r="P2" s="13">
        <v>0</v>
      </c>
      <c r="Q2" s="13">
        <v>0</v>
      </c>
      <c r="R2" s="13">
        <v>1</v>
      </c>
      <c r="S2" s="13">
        <v>0</v>
      </c>
      <c r="T2" s="13">
        <v>0</v>
      </c>
      <c r="U2" s="13">
        <v>1259</v>
      </c>
      <c r="V2" s="13" t="str" cm="1">
        <f t="array" ref="V2">_xlfn.IFS(U2&lt;=250,"0-R$250",U2&lt;=500,"251-R$500",U2&lt;=750,"501-R$750",U2&lt;=1000,"751-R$1000",U2&lt;=1250,"1001-R$1250",U2&lt;=1500,"1251-R$1500")</f>
        <v>1251-R$1500</v>
      </c>
      <c r="W2" s="13">
        <v>172</v>
      </c>
      <c r="X2" s="13" t="str" cm="1">
        <f t="array" ref="X2">_xlfn.IFS(W2 = 0, "0", W2&lt;=20, "até R$20",W2&lt;=40, "21 - R$40",W2&lt;=60, "41- R$60",W2&lt;=80, "61 - R$80", W2&lt;=100, "81 - R$100",W2&lt;=120, "101 - R$120",W2&lt;=140, "121 - R$140", W2&lt;=160, "141- R$160", W2&lt;=180, "161 - R$180", W2&lt;=200, "181-R$194")</f>
        <v>161 - R$180</v>
      </c>
      <c r="Y2" s="13">
        <v>815</v>
      </c>
      <c r="Z2" s="13">
        <v>97</v>
      </c>
      <c r="AA2" s="13">
        <v>148</v>
      </c>
      <c r="AB2" s="13">
        <v>33</v>
      </c>
      <c r="AC2" s="13">
        <v>1</v>
      </c>
      <c r="AD2" s="13">
        <v>7</v>
      </c>
      <c r="AE2" s="13">
        <v>11</v>
      </c>
      <c r="AF2" s="13">
        <v>10</v>
      </c>
      <c r="AG2" s="13">
        <v>4</v>
      </c>
      <c r="AH2" s="13">
        <v>0</v>
      </c>
      <c r="AI2" s="13">
        <v>1</v>
      </c>
      <c r="AJ2" s="13">
        <v>0</v>
      </c>
      <c r="AK2" s="13">
        <v>1</v>
      </c>
      <c r="AL2" s="13">
        <v>1</v>
      </c>
      <c r="AM2" s="13">
        <v>0</v>
      </c>
      <c r="AN2" s="13">
        <v>1</v>
      </c>
      <c r="AO2" s="14">
        <v>3</v>
      </c>
      <c r="AP2" s="13">
        <v>3</v>
      </c>
      <c r="AQ2" s="13">
        <v>11</v>
      </c>
      <c r="AR2" s="15">
        <v>2458</v>
      </c>
      <c r="AS2" s="15">
        <v>2491</v>
      </c>
    </row>
    <row r="3" spans="1:50" x14ac:dyDescent="0.25">
      <c r="A3">
        <v>1160</v>
      </c>
      <c r="B3" s="11">
        <f t="shared" si="0"/>
        <v>90638</v>
      </c>
      <c r="C3" s="12">
        <v>906380</v>
      </c>
      <c r="D3" s="13">
        <v>0</v>
      </c>
      <c r="E3" s="13">
        <v>0</v>
      </c>
      <c r="F3" s="13">
        <v>29</v>
      </c>
      <c r="G3" s="13">
        <v>29</v>
      </c>
      <c r="H3" s="13" t="str" cm="1">
        <f t="array" ref="H3">_xlfn.IFS(G3&lt;=20,"0-20",G3&lt;=30,"20-30",G3&lt;=40,"30-40",G3&lt;=50,"50-60",G3&lt;=60,"60-70",G3&lt;=70,"70-80",G3&lt;=80,"80-90")</f>
        <v>20-30</v>
      </c>
      <c r="I3" s="13">
        <v>2295</v>
      </c>
      <c r="J3" s="13" t="str" cm="1">
        <f t="array" ref="J3">_xlfn.IFS(K3=1,"Divorciado",L3=1,"Casado",M3=1,"Solteiro",N3=1,"Juntos",O3=1,"Viuvo")</f>
        <v>Solteiro</v>
      </c>
      <c r="K3" s="13">
        <v>0</v>
      </c>
      <c r="L3" s="13">
        <v>0</v>
      </c>
      <c r="M3" s="13">
        <v>1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1</v>
      </c>
      <c r="T3" s="13">
        <v>0</v>
      </c>
      <c r="U3" s="13">
        <v>1156</v>
      </c>
      <c r="V3" s="13" t="str" cm="1">
        <f t="array" ref="V3">_xlfn.IFS(U3&lt;=250,"0-R$250",U3&lt;=500,"251-R$500",U3&lt;=750,"501-R$750",U3&lt;=1000,"751-R$1000",U3&lt;=1250,"1001-R$1250",U3&lt;=1500,"1251-R$1500")</f>
        <v>1001-R$1250</v>
      </c>
      <c r="W3" s="13">
        <v>120</v>
      </c>
      <c r="X3" s="13" t="str" cm="1">
        <f t="array" ref="X3">_xlfn.IFS(W3 = 0, "0", W3&lt;=20, "até R$20",W3&lt;=40, "21 - R$40",W3&lt;=60, "41- R$60",W3&lt;=80, "61 - R$80", W3&lt;=100, "81 - R$100",W3&lt;=120, "101 - R$120",W3&lt;=140, "121 - R$140", W3&lt;=160, "141- R$160", W3&lt;=180, "161 - R$180", W3&lt;=200, "181-R$194")</f>
        <v>101 - R$120</v>
      </c>
      <c r="Y3" s="13">
        <v>915</v>
      </c>
      <c r="Z3" s="13">
        <v>94</v>
      </c>
      <c r="AA3" s="13">
        <v>144</v>
      </c>
      <c r="AB3" s="13">
        <v>96</v>
      </c>
      <c r="AC3" s="13">
        <v>1</v>
      </c>
      <c r="AD3" s="13">
        <v>3</v>
      </c>
      <c r="AE3" s="13">
        <v>4</v>
      </c>
      <c r="AF3" s="13">
        <v>10</v>
      </c>
      <c r="AG3" s="13">
        <v>1</v>
      </c>
      <c r="AH3" s="13">
        <v>0</v>
      </c>
      <c r="AI3" s="13">
        <v>0</v>
      </c>
      <c r="AJ3" s="13">
        <v>0</v>
      </c>
      <c r="AK3" s="13">
        <v>1</v>
      </c>
      <c r="AL3" s="13">
        <v>0</v>
      </c>
      <c r="AM3" s="13">
        <v>0</v>
      </c>
      <c r="AN3" s="13">
        <v>0</v>
      </c>
      <c r="AO3" s="14">
        <v>1</v>
      </c>
      <c r="AP3" s="13">
        <v>3</v>
      </c>
      <c r="AQ3" s="13">
        <v>11</v>
      </c>
      <c r="AR3" s="15">
        <v>2333</v>
      </c>
      <c r="AS3" s="15">
        <v>2429</v>
      </c>
    </row>
    <row r="4" spans="1:50" x14ac:dyDescent="0.25">
      <c r="A4">
        <v>1548</v>
      </c>
      <c r="B4" s="11">
        <f t="shared" si="0"/>
        <v>90638</v>
      </c>
      <c r="C4" s="12">
        <v>906380</v>
      </c>
      <c r="D4" s="13">
        <v>0</v>
      </c>
      <c r="E4" s="13">
        <v>0</v>
      </c>
      <c r="F4" s="13">
        <v>29</v>
      </c>
      <c r="G4" s="13">
        <v>29</v>
      </c>
      <c r="H4" s="13" t="str" cm="1">
        <f t="array" ref="H4">_xlfn.IFS(G4&lt;=20,"0-20",G4&lt;=30,"20-30",G4&lt;=40,"30-40",G4&lt;=50,"50-60",G4&lt;=60,"60-70",G4&lt;=70,"70-80",G4&lt;=80,"80-90")</f>
        <v>20-30</v>
      </c>
      <c r="I4" s="13">
        <v>2295</v>
      </c>
      <c r="J4" s="13" t="str" cm="1">
        <f t="array" ref="J4">_xlfn.IFS(K4=1,"Divorciado",L4=1,"Casado",M4=1,"Solteiro",N4=1,"Juntos",O4=1,"Viuvo")</f>
        <v>Solteiro</v>
      </c>
      <c r="K4" s="13">
        <v>0</v>
      </c>
      <c r="L4" s="13">
        <v>0</v>
      </c>
      <c r="M4" s="13">
        <v>1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1</v>
      </c>
      <c r="T4" s="13">
        <v>0</v>
      </c>
      <c r="U4" s="13">
        <v>1156</v>
      </c>
      <c r="V4" s="13" t="str" cm="1">
        <f t="array" ref="V4">_xlfn.IFS(U4&lt;=250,"0-R$250",U4&lt;=500,"251-R$500",U4&lt;=750,"501-R$750",U4&lt;=1000,"751-R$1000",U4&lt;=1250,"1001-R$1250",U4&lt;=1500,"1251-R$1500")</f>
        <v>1001-R$1250</v>
      </c>
      <c r="W4" s="13">
        <v>120</v>
      </c>
      <c r="X4" s="13" t="str" cm="1">
        <f t="array" ref="X4">_xlfn.IFS(W4 = 0, "0", W4&lt;=20, "até R$20",W4&lt;=40, "21 - R$40",W4&lt;=60, "41- R$60",W4&lt;=80, "61 - R$80", W4&lt;=100, "81 - R$100",W4&lt;=120, "101 - R$120",W4&lt;=140, "121 - R$140", W4&lt;=160, "141- R$160", W4&lt;=180, "161 - R$180", W4&lt;=200, "181-R$194")</f>
        <v>101 - R$120</v>
      </c>
      <c r="Y4" s="13">
        <v>915</v>
      </c>
      <c r="Z4" s="13">
        <v>94</v>
      </c>
      <c r="AA4" s="13">
        <v>144</v>
      </c>
      <c r="AB4" s="13">
        <v>96</v>
      </c>
      <c r="AC4" s="13">
        <v>1</v>
      </c>
      <c r="AD4" s="13">
        <v>3</v>
      </c>
      <c r="AE4" s="13">
        <v>4</v>
      </c>
      <c r="AF4" s="13">
        <v>10</v>
      </c>
      <c r="AG4" s="13">
        <v>1</v>
      </c>
      <c r="AH4" s="13">
        <v>0</v>
      </c>
      <c r="AI4" s="13">
        <v>0</v>
      </c>
      <c r="AJ4" s="13">
        <v>0</v>
      </c>
      <c r="AK4" s="13">
        <v>1</v>
      </c>
      <c r="AL4" s="13">
        <v>0</v>
      </c>
      <c r="AM4" s="13">
        <v>0</v>
      </c>
      <c r="AN4" s="13">
        <v>1</v>
      </c>
      <c r="AO4" s="14">
        <v>1</v>
      </c>
      <c r="AP4" s="13">
        <v>3</v>
      </c>
      <c r="AQ4" s="13">
        <v>11</v>
      </c>
      <c r="AR4" s="15">
        <v>2333</v>
      </c>
      <c r="AS4" s="15">
        <v>2429</v>
      </c>
    </row>
    <row r="5" spans="1:50" x14ac:dyDescent="0.25">
      <c r="A5">
        <v>968</v>
      </c>
      <c r="B5" s="11">
        <f t="shared" si="0"/>
        <v>75759</v>
      </c>
      <c r="C5" s="12">
        <v>757590</v>
      </c>
      <c r="D5" s="13">
        <v>0</v>
      </c>
      <c r="E5" s="13">
        <v>0</v>
      </c>
      <c r="F5" s="13">
        <v>46</v>
      </c>
      <c r="G5" s="13">
        <v>51</v>
      </c>
      <c r="H5" s="13" t="str" cm="1">
        <f t="array" ref="H5">_xlfn.IFS(G5&lt;=20,"0-20",G5&lt;=30,"20-30",G5&lt;=40,"30-40",G5&lt;=50,"50-60",G5&lt;=60,"60-70",G5&lt;=70,"70-80",G5&lt;=80,"80-90")</f>
        <v>60-70</v>
      </c>
      <c r="I5" s="13">
        <v>2406</v>
      </c>
      <c r="J5" s="13" t="str" cm="1">
        <f t="array" ref="J5">_xlfn.IFS(K5=1,"Divorciado",L5=1,"Casado",M5=1,"Solteiro",N5=1,"Juntos",O5=1,"Viuvo")</f>
        <v>Casado</v>
      </c>
      <c r="K5" s="13">
        <v>0</v>
      </c>
      <c r="L5" s="13">
        <v>1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1</v>
      </c>
      <c r="S5" s="13">
        <v>0</v>
      </c>
      <c r="T5" s="13">
        <v>0</v>
      </c>
      <c r="U5" s="13">
        <v>1394</v>
      </c>
      <c r="V5" s="13" t="str" cm="1">
        <f t="array" ref="V5">_xlfn.IFS(U5&lt;=250,"0-R$250",U5&lt;=500,"251-R$500",U5&lt;=750,"501-R$750",U5&lt;=1000,"751-R$1000",U5&lt;=1250,"1001-R$1250",U5&lt;=1500,"1251-R$1500")</f>
        <v>1251-R$1500</v>
      </c>
      <c r="W5" s="13">
        <v>22</v>
      </c>
      <c r="X5" s="13" t="str" cm="1">
        <f t="array" ref="X5">_xlfn.IFS(W5 = 0, "0", W5&lt;=20, "até R$20",W5&lt;=40, "21 - R$40",W5&lt;=60, "41- R$60",W5&lt;=80, "61 - R$80", W5&lt;=100, "81 - R$100",W5&lt;=120, "101 - R$120",W5&lt;=140, "121 - R$140", W5&lt;=160, "141- R$160", W5&lt;=180, "161 - R$180", W5&lt;=200, "181-R$194")</f>
        <v>21 - R$40</v>
      </c>
      <c r="Y5" s="13">
        <v>708</v>
      </c>
      <c r="Z5" s="13">
        <v>89</v>
      </c>
      <c r="AA5" s="13">
        <v>91</v>
      </c>
      <c r="AB5" s="13">
        <v>182</v>
      </c>
      <c r="AC5" s="13">
        <v>1</v>
      </c>
      <c r="AD5" s="13">
        <v>9</v>
      </c>
      <c r="AE5" s="13">
        <v>7</v>
      </c>
      <c r="AF5" s="13">
        <v>9</v>
      </c>
      <c r="AG5" s="13">
        <v>5</v>
      </c>
      <c r="AH5" s="13">
        <v>0</v>
      </c>
      <c r="AI5" s="13">
        <v>1</v>
      </c>
      <c r="AJ5" s="13">
        <v>0</v>
      </c>
      <c r="AK5" s="13">
        <v>1</v>
      </c>
      <c r="AL5" s="13">
        <v>1</v>
      </c>
      <c r="AM5" s="13">
        <v>0</v>
      </c>
      <c r="AN5" s="13">
        <v>1</v>
      </c>
      <c r="AO5" s="14">
        <v>3</v>
      </c>
      <c r="AP5" s="13">
        <v>3</v>
      </c>
      <c r="AQ5" s="13">
        <v>11</v>
      </c>
      <c r="AR5" s="15">
        <v>2122</v>
      </c>
      <c r="AS5" s="15">
        <v>2304</v>
      </c>
    </row>
    <row r="6" spans="1:50" x14ac:dyDescent="0.25">
      <c r="A6">
        <v>1434</v>
      </c>
      <c r="B6" s="11">
        <f t="shared" si="0"/>
        <v>93790</v>
      </c>
      <c r="C6" s="12">
        <v>937900</v>
      </c>
      <c r="D6" s="13">
        <v>0</v>
      </c>
      <c r="E6" s="13">
        <v>0</v>
      </c>
      <c r="F6" s="13">
        <v>16</v>
      </c>
      <c r="G6" s="13">
        <v>50</v>
      </c>
      <c r="H6" s="13" t="str" cm="1">
        <f t="array" ref="H6">_xlfn.IFS(G6&lt;=20,"0-20",G6&lt;=30,"20-30",G6&lt;=40,"30-40",G6&lt;=50,"50-60",G6&lt;=60,"60-70",G6&lt;=70,"70-80",G6&lt;=80,"80-90")</f>
        <v>50-60</v>
      </c>
      <c r="I6" s="13">
        <v>2296</v>
      </c>
      <c r="J6" s="13" t="str" cm="1">
        <f t="array" ref="J6">_xlfn.IFS(K6=1,"Divorciado",L6=1,"Casado",M6=1,"Solteiro",N6=1,"Juntos",O6=1,"Viuvo")</f>
        <v>Solteiro</v>
      </c>
      <c r="K6" s="13">
        <v>0</v>
      </c>
      <c r="L6" s="13">
        <v>0</v>
      </c>
      <c r="M6" s="13">
        <v>1</v>
      </c>
      <c r="N6" s="13">
        <v>0</v>
      </c>
      <c r="O6" s="13">
        <v>0</v>
      </c>
      <c r="P6" s="13">
        <v>0</v>
      </c>
      <c r="Q6" s="13">
        <v>0</v>
      </c>
      <c r="R6" s="13">
        <v>1</v>
      </c>
      <c r="S6" s="13">
        <v>0</v>
      </c>
      <c r="T6" s="13">
        <v>0</v>
      </c>
      <c r="U6" s="13">
        <v>1302</v>
      </c>
      <c r="V6" s="13" t="str" cm="1">
        <f t="array" ref="V6">_xlfn.IFS(U6&lt;=250,"0-R$250",U6&lt;=500,"251-R$500",U6&lt;=750,"501-R$750",U6&lt;=1000,"751-R$1000",U6&lt;=1250,"1001-R$1250",U6&lt;=1500,"1251-R$1500")</f>
        <v>1251-R$1500</v>
      </c>
      <c r="W6" s="13">
        <v>68</v>
      </c>
      <c r="X6" s="13" t="str" cm="1">
        <f t="array" ref="X6">_xlfn.IFS(W6 = 0, "0", W6&lt;=20, "até R$20",W6&lt;=40, "21 - R$40",W6&lt;=60, "41- R$60",W6&lt;=80, "61 - R$80", W6&lt;=100, "81 - R$100",W6&lt;=120, "101 - R$120",W6&lt;=140, "121 - R$140", W6&lt;=160, "141- R$160", W6&lt;=180, "161 - R$180", W6&lt;=200, "181-R$194")</f>
        <v>61 - R$80</v>
      </c>
      <c r="Y6" s="13">
        <v>731</v>
      </c>
      <c r="Z6" s="13">
        <v>89</v>
      </c>
      <c r="AA6" s="13">
        <v>114</v>
      </c>
      <c r="AB6" s="13">
        <v>45</v>
      </c>
      <c r="AC6" s="13">
        <v>0</v>
      </c>
      <c r="AD6" s="13">
        <v>6</v>
      </c>
      <c r="AE6" s="13">
        <v>7</v>
      </c>
      <c r="AF6" s="13">
        <v>12</v>
      </c>
      <c r="AG6" s="13">
        <v>2</v>
      </c>
      <c r="AH6" s="13">
        <v>0</v>
      </c>
      <c r="AI6" s="13">
        <v>0</v>
      </c>
      <c r="AJ6" s="13">
        <v>1</v>
      </c>
      <c r="AK6" s="13">
        <v>1</v>
      </c>
      <c r="AL6" s="13">
        <v>1</v>
      </c>
      <c r="AM6" s="13">
        <v>0</v>
      </c>
      <c r="AN6" s="13">
        <v>1</v>
      </c>
      <c r="AO6" s="14">
        <v>3</v>
      </c>
      <c r="AP6" s="13">
        <v>3</v>
      </c>
      <c r="AQ6" s="13">
        <v>11</v>
      </c>
      <c r="AR6" s="15">
        <v>2259</v>
      </c>
      <c r="AS6" s="15">
        <v>2304</v>
      </c>
    </row>
    <row r="7" spans="1:50" x14ac:dyDescent="0.25">
      <c r="A7">
        <v>1033</v>
      </c>
      <c r="B7" s="11">
        <f t="shared" si="0"/>
        <v>69098</v>
      </c>
      <c r="C7" s="16">
        <v>690980</v>
      </c>
      <c r="D7" s="17">
        <v>0</v>
      </c>
      <c r="E7" s="17">
        <v>0</v>
      </c>
      <c r="F7" s="17">
        <v>82</v>
      </c>
      <c r="G7" s="17">
        <v>71</v>
      </c>
      <c r="H7" s="13" t="str" cm="1">
        <f t="array" ref="H7">_xlfn.IFS(G7&lt;=20,"0-20",G7&lt;=30,"20-30",G7&lt;=40,"30-40",G7&lt;=50,"50-60",G7&lt;=60,"60-70",G7&lt;=70,"70-80",G7&lt;=80,"80-90")</f>
        <v>80-90</v>
      </c>
      <c r="I7" s="17">
        <v>2657</v>
      </c>
      <c r="J7" s="13" t="str" cm="1">
        <f t="array" ref="J7">_xlfn.IFS(K7=1,"Divorciado",L7=1,"Casado",M7=1,"Solteiro",N7=1,"Juntos",O7=1,"Viuvo")</f>
        <v>Casado</v>
      </c>
      <c r="K7" s="17">
        <v>0</v>
      </c>
      <c r="L7" s="17">
        <v>1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1</v>
      </c>
      <c r="U7" s="17">
        <v>1315</v>
      </c>
      <c r="V7" s="13" t="str" cm="1">
        <f t="array" ref="V7">_xlfn.IFS(U7&lt;=250,"0-R$250",U7&lt;=500,"251-R$500",U7&lt;=750,"501-R$750",U7&lt;=1000,"751-R$1000",U7&lt;=1250,"1001-R$1250",U7&lt;=1500,"1251-R$1500")</f>
        <v>1251-R$1500</v>
      </c>
      <c r="W7" s="17">
        <v>22</v>
      </c>
      <c r="X7" s="13" t="str" cm="1">
        <f t="array" ref="X7">_xlfn.IFS(W7 = 0, "0", W7&lt;=20, "até R$20",W7&lt;=40, "21 - R$40",W7&lt;=60, "41- R$60",W7&lt;=80, "61 - R$80", W7&lt;=100, "81 - R$100",W7&lt;=120, "101 - R$120",W7&lt;=140, "121 - R$140", W7&lt;=160, "141- R$160", W7&lt;=180, "161 - R$180", W7&lt;=200, "181-R$194")</f>
        <v>21 - R$40</v>
      </c>
      <c r="Y7" s="17">
        <v>780</v>
      </c>
      <c r="Z7" s="17">
        <v>145</v>
      </c>
      <c r="AA7" s="17">
        <v>0</v>
      </c>
      <c r="AB7" s="17">
        <v>178</v>
      </c>
      <c r="AC7" s="17">
        <v>1</v>
      </c>
      <c r="AD7" s="17">
        <v>7</v>
      </c>
      <c r="AE7" s="17">
        <v>8</v>
      </c>
      <c r="AF7" s="17">
        <v>9</v>
      </c>
      <c r="AG7" s="17">
        <v>5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8">
        <v>0</v>
      </c>
      <c r="AP7" s="17">
        <v>3</v>
      </c>
      <c r="AQ7" s="17">
        <v>11</v>
      </c>
      <c r="AR7" s="19">
        <v>2084</v>
      </c>
      <c r="AS7" s="19">
        <v>2262</v>
      </c>
    </row>
    <row r="8" spans="1:50" x14ac:dyDescent="0.25">
      <c r="A8">
        <v>1577</v>
      </c>
      <c r="B8" s="11">
        <f t="shared" si="0"/>
        <v>90226</v>
      </c>
      <c r="C8" s="16">
        <v>902260</v>
      </c>
      <c r="D8" s="17">
        <v>0</v>
      </c>
      <c r="E8" s="17">
        <v>0</v>
      </c>
      <c r="F8" s="17">
        <v>26</v>
      </c>
      <c r="G8" s="17">
        <v>64</v>
      </c>
      <c r="H8" s="13" t="str" cm="1">
        <f t="array" ref="H8">_xlfn.IFS(G8&lt;=20,"0-20",G8&lt;=30,"20-30",G8&lt;=40,"30-40",G8&lt;=50,"50-60",G8&lt;=60,"60-70",G8&lt;=70,"70-80",G8&lt;=80,"80-90")</f>
        <v>70-80</v>
      </c>
      <c r="I8" s="17">
        <v>2800</v>
      </c>
      <c r="J8" s="13" t="str" cm="1">
        <f t="array" ref="J8">_xlfn.IFS(K8=1,"Divorciado",L8=1,"Casado",M8=1,"Solteiro",N8=1,"Juntos",O8=1,"Viuvo")</f>
        <v>Casado</v>
      </c>
      <c r="K8" s="17">
        <v>0</v>
      </c>
      <c r="L8" s="17">
        <v>1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1</v>
      </c>
      <c r="T8" s="17">
        <v>0</v>
      </c>
      <c r="U8" s="17">
        <v>1083</v>
      </c>
      <c r="V8" s="13" t="str" cm="1">
        <f t="array" ref="V8">_xlfn.IFS(U8&lt;=250,"0-R$250",U8&lt;=500,"251-R$500",U8&lt;=750,"501-R$750",U8&lt;=1000,"751-R$1000",U8&lt;=1250,"1001-R$1250",U8&lt;=1500,"1251-R$1500")</f>
        <v>1001-R$1250</v>
      </c>
      <c r="W8" s="17">
        <v>108</v>
      </c>
      <c r="X8" s="13" t="str" cm="1">
        <f t="array" ref="X8">_xlfn.IFS(W8 = 0, "0", W8&lt;=20, "até R$20",W8&lt;=40, "21 - R$40",W8&lt;=60, "41- R$60",W8&lt;=80, "61 - R$80", W8&lt;=100, "81 - R$100",W8&lt;=120, "101 - R$120",W8&lt;=140, "121 - R$140", W8&lt;=160, "141- R$160", W8&lt;=180, "161 - R$180", W8&lt;=200, "181-R$194")</f>
        <v>101 - R$120</v>
      </c>
      <c r="Y8" s="17">
        <v>649</v>
      </c>
      <c r="Z8" s="17">
        <v>253</v>
      </c>
      <c r="AA8" s="17">
        <v>151</v>
      </c>
      <c r="AB8" s="17">
        <v>108</v>
      </c>
      <c r="AC8" s="17">
        <v>1</v>
      </c>
      <c r="AD8" s="17">
        <v>4</v>
      </c>
      <c r="AE8" s="17">
        <v>7</v>
      </c>
      <c r="AF8" s="17">
        <v>12</v>
      </c>
      <c r="AG8" s="17">
        <v>2</v>
      </c>
      <c r="AH8" s="17">
        <v>0</v>
      </c>
      <c r="AI8" s="17">
        <v>0</v>
      </c>
      <c r="AJ8" s="17">
        <v>0</v>
      </c>
      <c r="AK8" s="17">
        <v>0</v>
      </c>
      <c r="AL8" s="17">
        <v>1</v>
      </c>
      <c r="AM8" s="17">
        <v>0</v>
      </c>
      <c r="AN8" s="17">
        <v>0</v>
      </c>
      <c r="AO8" s="18">
        <v>1</v>
      </c>
      <c r="AP8" s="17">
        <v>3</v>
      </c>
      <c r="AQ8" s="17">
        <v>11</v>
      </c>
      <c r="AR8" s="19">
        <v>2136</v>
      </c>
      <c r="AS8" s="19">
        <v>2244</v>
      </c>
    </row>
    <row r="9" spans="1:50" x14ac:dyDescent="0.25">
      <c r="A9">
        <v>1724</v>
      </c>
      <c r="B9" s="11">
        <f t="shared" si="0"/>
        <v>80360</v>
      </c>
      <c r="C9" s="12">
        <v>803600</v>
      </c>
      <c r="D9" s="13">
        <v>0</v>
      </c>
      <c r="E9" s="13">
        <v>0</v>
      </c>
      <c r="F9" s="13">
        <v>56</v>
      </c>
      <c r="G9" s="13">
        <v>71</v>
      </c>
      <c r="H9" s="13" t="str" cm="1">
        <f t="array" ref="H9">_xlfn.IFS(G9&lt;=20,"0-20",G9&lt;=30,"20-30",G9&lt;=40,"30-40",G9&lt;=50,"50-60",G9&lt;=60,"60-70",G9&lt;=70,"70-80",G9&lt;=80,"80-90")</f>
        <v>80-90</v>
      </c>
      <c r="I9" s="13">
        <v>2642</v>
      </c>
      <c r="J9" s="13" t="str" cm="1">
        <f t="array" ref="J9">_xlfn.IFS(K9=1,"Divorciado",L9=1,"Casado",M9=1,"Solteiro",N9=1,"Juntos",O9=1,"Viuvo")</f>
        <v>Casado</v>
      </c>
      <c r="K9" s="13">
        <v>0</v>
      </c>
      <c r="L9" s="13">
        <v>1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1</v>
      </c>
      <c r="U9" s="13">
        <v>1493</v>
      </c>
      <c r="V9" s="13" t="str" cm="1">
        <f t="array" ref="V9">_xlfn.IFS(U9&lt;=250,"0-R$250",U9&lt;=500,"251-R$500",U9&lt;=750,"501-R$750",U9&lt;=1000,"751-R$1000",U9&lt;=1250,"1001-R$1250",U9&lt;=1500,"1251-R$1500")</f>
        <v>1251-R$1500</v>
      </c>
      <c r="W9" s="13">
        <v>86</v>
      </c>
      <c r="X9" s="13" t="str" cm="1">
        <f t="array" ref="X9">_xlfn.IFS(W9 = 0, "0", W9&lt;=20, "até R$20",W9&lt;=40, "21 - R$40",W9&lt;=60, "41- R$60",W9&lt;=80, "61 - R$80", W9&lt;=100, "81 - R$100",W9&lt;=120, "101 - R$120",W9&lt;=140, "121 - R$140", W9&lt;=160, "141- R$160", W9&lt;=180, "161 - R$180", W9&lt;=200, "181-R$194")</f>
        <v>81 - R$100</v>
      </c>
      <c r="Y9" s="13">
        <v>454</v>
      </c>
      <c r="Z9" s="13">
        <v>112</v>
      </c>
      <c r="AA9" s="13">
        <v>43</v>
      </c>
      <c r="AB9" s="13">
        <v>43</v>
      </c>
      <c r="AC9" s="13">
        <v>2</v>
      </c>
      <c r="AD9" s="13">
        <v>4</v>
      </c>
      <c r="AE9" s="13">
        <v>4</v>
      </c>
      <c r="AF9" s="13">
        <v>5</v>
      </c>
      <c r="AG9" s="13">
        <v>2</v>
      </c>
      <c r="AH9" s="13">
        <v>0</v>
      </c>
      <c r="AI9" s="13">
        <v>0</v>
      </c>
      <c r="AJ9" s="13">
        <v>1</v>
      </c>
      <c r="AK9" s="13">
        <v>1</v>
      </c>
      <c r="AL9" s="13">
        <v>1</v>
      </c>
      <c r="AM9" s="13">
        <v>0</v>
      </c>
      <c r="AN9" s="13">
        <v>0</v>
      </c>
      <c r="AO9" s="14">
        <v>3</v>
      </c>
      <c r="AP9" s="13">
        <v>3</v>
      </c>
      <c r="AQ9" s="13">
        <v>11</v>
      </c>
      <c r="AR9" s="15">
        <v>2145</v>
      </c>
      <c r="AS9" s="15">
        <v>2188</v>
      </c>
    </row>
    <row r="10" spans="1:50" x14ac:dyDescent="0.25">
      <c r="A10">
        <v>1967</v>
      </c>
      <c r="B10" s="11">
        <f t="shared" si="0"/>
        <v>91712</v>
      </c>
      <c r="C10" s="16">
        <v>917120</v>
      </c>
      <c r="D10" s="17">
        <v>0</v>
      </c>
      <c r="E10" s="17">
        <v>0</v>
      </c>
      <c r="F10" s="17">
        <v>47</v>
      </c>
      <c r="G10" s="17">
        <v>73</v>
      </c>
      <c r="H10" s="13" t="str" cm="1">
        <f t="array" ref="H10">_xlfn.IFS(G10&lt;=20,"0-20",G10&lt;=30,"20-30",G10&lt;=40,"30-40",G10&lt;=50,"50-60",G10&lt;=60,"60-70",G10&lt;=70,"70-80",G10&lt;=80,"80-90")</f>
        <v>80-90</v>
      </c>
      <c r="I10" s="17">
        <v>2414</v>
      </c>
      <c r="J10" s="13" t="str" cm="1">
        <f t="array" ref="J10">_xlfn.IFS(K10=1,"Divorciado",L10=1,"Casado",M10=1,"Solteiro",N10=1,"Juntos",O10=1,"Viuvo")</f>
        <v>Solteiro</v>
      </c>
      <c r="K10" s="17">
        <v>0</v>
      </c>
      <c r="L10" s="17">
        <v>0</v>
      </c>
      <c r="M10" s="17">
        <v>1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1</v>
      </c>
      <c r="T10" s="17">
        <v>0</v>
      </c>
      <c r="U10" s="17">
        <v>1276</v>
      </c>
      <c r="V10" s="13" t="str" cm="1">
        <f t="array" ref="V10">_xlfn.IFS(U10&lt;=250,"0-R$250",U10&lt;=500,"251-R$500",U10&lt;=750,"501-R$750",U10&lt;=1000,"751-R$1000",U10&lt;=1250,"1001-R$1250",U10&lt;=1500,"1251-R$1500")</f>
        <v>1251-R$1500</v>
      </c>
      <c r="W10" s="17">
        <v>24</v>
      </c>
      <c r="X10" s="13" t="str" cm="1">
        <f t="array" ref="X10">_xlfn.IFS(W10 = 0, "0", W10&lt;=20, "até R$20",W10&lt;=40, "21 - R$40",W10&lt;=60, "41- R$60",W10&lt;=80, "61 - R$80", W10&lt;=100, "81 - R$100",W10&lt;=120, "101 - R$120",W10&lt;=140, "121 - R$140", W10&lt;=160, "141- R$160", W10&lt;=180, "161 - R$180", W10&lt;=200, "181-R$194")</f>
        <v>21 - R$40</v>
      </c>
      <c r="Y10" s="17">
        <v>746</v>
      </c>
      <c r="Z10" s="17">
        <v>94</v>
      </c>
      <c r="AA10" s="17">
        <v>29</v>
      </c>
      <c r="AB10" s="17">
        <v>48</v>
      </c>
      <c r="AC10" s="17">
        <v>0</v>
      </c>
      <c r="AD10" s="17">
        <v>9</v>
      </c>
      <c r="AE10" s="17">
        <v>7</v>
      </c>
      <c r="AF10" s="17">
        <v>11</v>
      </c>
      <c r="AG10" s="17">
        <v>3</v>
      </c>
      <c r="AH10" s="17">
        <v>0</v>
      </c>
      <c r="AI10" s="17">
        <v>0</v>
      </c>
      <c r="AJ10" s="17">
        <v>0</v>
      </c>
      <c r="AK10" s="17">
        <v>1</v>
      </c>
      <c r="AL10" s="17">
        <v>0</v>
      </c>
      <c r="AM10" s="17">
        <v>0</v>
      </c>
      <c r="AN10" s="17">
        <v>1</v>
      </c>
      <c r="AO10" s="18">
        <v>1</v>
      </c>
      <c r="AP10" s="17">
        <v>3</v>
      </c>
      <c r="AQ10" s="17">
        <v>11</v>
      </c>
      <c r="AR10" s="19">
        <v>2121</v>
      </c>
      <c r="AS10" s="19">
        <v>2169</v>
      </c>
    </row>
    <row r="11" spans="1:50" x14ac:dyDescent="0.25">
      <c r="A11">
        <v>72</v>
      </c>
      <c r="B11" s="11">
        <f t="shared" si="0"/>
        <v>75825</v>
      </c>
      <c r="C11" s="12">
        <v>758250</v>
      </c>
      <c r="D11" s="13">
        <v>0</v>
      </c>
      <c r="E11" s="13">
        <v>0</v>
      </c>
      <c r="F11" s="13">
        <v>40</v>
      </c>
      <c r="G11" s="13">
        <v>44</v>
      </c>
      <c r="H11" s="13" t="str" cm="1">
        <f t="array" ref="H11">_xlfn.IFS(G11&lt;=20,"0-20",G11&lt;=30,"20-30",G11&lt;=40,"30-40",G11&lt;=50,"50-60",G11&lt;=60,"60-70",G11&lt;=70,"70-80",G11&lt;=80,"80-90")</f>
        <v>50-60</v>
      </c>
      <c r="I11" s="13">
        <v>2784</v>
      </c>
      <c r="J11" s="13" t="str" cm="1">
        <f t="array" ref="J11">_xlfn.IFS(K11=1,"Divorciado",L11=1,"Casado",M11=1,"Solteiro",N11=1,"Juntos",O11=1,"Viuvo")</f>
        <v>Solteiro</v>
      </c>
      <c r="K11" s="13">
        <v>0</v>
      </c>
      <c r="L11" s="13">
        <v>0</v>
      </c>
      <c r="M11" s="13">
        <v>1</v>
      </c>
      <c r="N11" s="13">
        <v>0</v>
      </c>
      <c r="O11" s="13">
        <v>0</v>
      </c>
      <c r="P11" s="13">
        <v>0</v>
      </c>
      <c r="Q11" s="13">
        <v>0</v>
      </c>
      <c r="R11" s="13">
        <v>1</v>
      </c>
      <c r="S11" s="13">
        <v>0</v>
      </c>
      <c r="T11" s="13">
        <v>0</v>
      </c>
      <c r="U11" s="13">
        <v>1032</v>
      </c>
      <c r="V11" s="13" t="str" cm="1">
        <f t="array" ref="V11">_xlfn.IFS(U11&lt;=250,"0-R$250",U11&lt;=500,"251-R$500",U11&lt;=750,"501-R$750",U11&lt;=1000,"751-R$1000",U11&lt;=1250,"1001-R$1250",U11&lt;=1500,"1251-R$1500")</f>
        <v>1001-R$1250</v>
      </c>
      <c r="W11" s="13">
        <v>105</v>
      </c>
      <c r="X11" s="13" t="str" cm="1">
        <f t="array" ref="X11">_xlfn.IFS(W11 = 0, "0", W11&lt;=20, "até R$20",W11&lt;=40, "21 - R$40",W11&lt;=60, "41- R$60",W11&lt;=80, "61 - R$80", W11&lt;=100, "81 - R$100",W11&lt;=120, "101 - R$120",W11&lt;=140, "121 - R$140", W11&lt;=160, "141- R$160", W11&lt;=180, "161 - R$180", W11&lt;=200, "181-R$194")</f>
        <v>101 - R$120</v>
      </c>
      <c r="Y11" s="13">
        <v>779</v>
      </c>
      <c r="Z11" s="13">
        <v>137</v>
      </c>
      <c r="AA11" s="13">
        <v>105</v>
      </c>
      <c r="AB11" s="13">
        <v>51</v>
      </c>
      <c r="AC11" s="13">
        <v>0</v>
      </c>
      <c r="AD11" s="13">
        <v>5</v>
      </c>
      <c r="AE11" s="13">
        <v>8</v>
      </c>
      <c r="AF11" s="13">
        <v>9</v>
      </c>
      <c r="AG11" s="13">
        <v>4</v>
      </c>
      <c r="AH11" s="13">
        <v>0</v>
      </c>
      <c r="AI11" s="13">
        <v>1</v>
      </c>
      <c r="AJ11" s="13">
        <v>0</v>
      </c>
      <c r="AK11" s="13">
        <v>0</v>
      </c>
      <c r="AL11" s="13">
        <v>0</v>
      </c>
      <c r="AM11" s="13">
        <v>0</v>
      </c>
      <c r="AN11" s="13">
        <v>1</v>
      </c>
      <c r="AO11" s="14">
        <v>1</v>
      </c>
      <c r="AP11" s="13">
        <v>3</v>
      </c>
      <c r="AQ11" s="13">
        <v>11</v>
      </c>
      <c r="AR11" s="15">
        <v>2107</v>
      </c>
      <c r="AS11" s="15">
        <v>2158</v>
      </c>
    </row>
    <row r="12" spans="1:50" x14ac:dyDescent="0.25">
      <c r="A12">
        <v>1420</v>
      </c>
      <c r="B12" s="11">
        <f t="shared" si="0"/>
        <v>82657</v>
      </c>
      <c r="C12" s="12">
        <v>826570</v>
      </c>
      <c r="D12" s="13">
        <v>0</v>
      </c>
      <c r="E12" s="13">
        <v>0</v>
      </c>
      <c r="F12" s="13">
        <v>71</v>
      </c>
      <c r="G12" s="13">
        <v>74</v>
      </c>
      <c r="H12" s="13" t="str" cm="1">
        <f t="array" ref="H12">_xlfn.IFS(G12&lt;=20,"0-20",G12&lt;=30,"20-30",G12&lt;=40,"30-40",G12&lt;=50,"50-60",G12&lt;=60,"60-70",G12&lt;=70,"70-80",G12&lt;=80,"80-90")</f>
        <v>80-90</v>
      </c>
      <c r="I12" s="13">
        <v>2434</v>
      </c>
      <c r="J12" s="13" t="str" cm="1">
        <f t="array" ref="J12">_xlfn.IFS(K12=1,"Divorciado",L12=1,"Casado",M12=1,"Solteiro",N12=1,"Juntos",O12=1,"Viuvo")</f>
        <v>Juntos</v>
      </c>
      <c r="K12" s="13">
        <v>0</v>
      </c>
      <c r="L12" s="13">
        <v>0</v>
      </c>
      <c r="M12" s="13">
        <v>0</v>
      </c>
      <c r="N12" s="13">
        <v>1</v>
      </c>
      <c r="O12" s="13">
        <v>0</v>
      </c>
      <c r="P12" s="13">
        <v>0</v>
      </c>
      <c r="Q12" s="13">
        <v>0</v>
      </c>
      <c r="R12" s="13">
        <v>1</v>
      </c>
      <c r="S12" s="13">
        <v>0</v>
      </c>
      <c r="T12" s="13">
        <v>0</v>
      </c>
      <c r="U12" s="13">
        <v>966</v>
      </c>
      <c r="V12" s="13" t="str" cm="1">
        <f t="array" ref="V12">_xlfn.IFS(U12&lt;=250,"0-R$250",U12&lt;=500,"251-R$500",U12&lt;=750,"501-R$750",U12&lt;=1000,"751-R$1000",U12&lt;=1250,"1001-R$1250",U12&lt;=1500,"1251-R$1500")</f>
        <v>751-R$1000</v>
      </c>
      <c r="W12" s="13">
        <v>168</v>
      </c>
      <c r="X12" s="13" t="str" cm="1">
        <f t="array" ref="X12">_xlfn.IFS(W12 = 0, "0", W12&lt;=20, "até R$20",W12&lt;=40, "21 - R$40",W12&lt;=60, "41- R$60",W12&lt;=80, "61 - R$80", W12&lt;=100, "81 - R$100",W12&lt;=120, "101 - R$120",W12&lt;=140, "121 - R$140", W12&lt;=160, "141- R$160", W12&lt;=180, "161 - R$180", W12&lt;=200, "181-R$194")</f>
        <v>161 - R$180</v>
      </c>
      <c r="Y12" s="13">
        <v>672</v>
      </c>
      <c r="Z12" s="13">
        <v>246</v>
      </c>
      <c r="AA12" s="13">
        <v>105</v>
      </c>
      <c r="AB12" s="13">
        <v>126</v>
      </c>
      <c r="AC12" s="13">
        <v>1</v>
      </c>
      <c r="AD12" s="13">
        <v>7</v>
      </c>
      <c r="AE12" s="13">
        <v>5</v>
      </c>
      <c r="AF12" s="13">
        <v>10</v>
      </c>
      <c r="AG12" s="13">
        <v>4</v>
      </c>
      <c r="AH12" s="13">
        <v>0</v>
      </c>
      <c r="AI12" s="13">
        <v>0</v>
      </c>
      <c r="AJ12" s="13">
        <v>1</v>
      </c>
      <c r="AK12" s="13">
        <v>0</v>
      </c>
      <c r="AL12" s="13">
        <v>1</v>
      </c>
      <c r="AM12" s="13">
        <v>0</v>
      </c>
      <c r="AN12" s="13">
        <v>0</v>
      </c>
      <c r="AO12" s="14">
        <v>2</v>
      </c>
      <c r="AP12" s="13">
        <v>3</v>
      </c>
      <c r="AQ12" s="13">
        <v>11</v>
      </c>
      <c r="AR12" s="15">
        <v>2031</v>
      </c>
      <c r="AS12" s="15">
        <v>2157</v>
      </c>
    </row>
    <row r="13" spans="1:50" x14ac:dyDescent="0.25">
      <c r="A13">
        <v>1240</v>
      </c>
      <c r="B13" s="11">
        <f t="shared" si="0"/>
        <v>76653</v>
      </c>
      <c r="C13" s="12">
        <v>766530</v>
      </c>
      <c r="D13" s="13">
        <v>0</v>
      </c>
      <c r="E13" s="13">
        <v>0</v>
      </c>
      <c r="F13" s="13">
        <v>91</v>
      </c>
      <c r="G13" s="13">
        <v>51</v>
      </c>
      <c r="H13" s="13" t="str" cm="1">
        <f t="array" ref="H13">_xlfn.IFS(G13&lt;=20,"0-20",G13&lt;=30,"20-30",G13&lt;=40,"30-40",G13&lt;=50,"50-60",G13&lt;=60,"60-70",G13&lt;=70,"70-80",G13&lt;=80,"80-90")</f>
        <v>60-70</v>
      </c>
      <c r="I13" s="13">
        <v>2476</v>
      </c>
      <c r="J13" s="13" t="str" cm="1">
        <f t="array" ref="J13">_xlfn.IFS(K13=1,"Divorciado",L13=1,"Casado",M13=1,"Solteiro",N13=1,"Juntos",O13=1,"Viuvo")</f>
        <v>Juntos</v>
      </c>
      <c r="K13" s="13">
        <v>0</v>
      </c>
      <c r="L13" s="13">
        <v>0</v>
      </c>
      <c r="M13" s="13">
        <v>0</v>
      </c>
      <c r="N13" s="13">
        <v>1</v>
      </c>
      <c r="O13" s="13">
        <v>0</v>
      </c>
      <c r="P13" s="13">
        <v>0</v>
      </c>
      <c r="Q13" s="13">
        <v>0</v>
      </c>
      <c r="R13" s="13">
        <v>1</v>
      </c>
      <c r="S13" s="13">
        <v>0</v>
      </c>
      <c r="T13" s="13">
        <v>0</v>
      </c>
      <c r="U13" s="13">
        <v>736</v>
      </c>
      <c r="V13" s="13" t="str" cm="1">
        <f t="array" ref="V13">_xlfn.IFS(U13&lt;=250,"0-R$250",U13&lt;=500,"251-R$500",U13&lt;=750,"501-R$750",U13&lt;=1000,"751-R$1000",U13&lt;=1250,"1001-R$1250",U13&lt;=1500,"1251-R$1500")</f>
        <v>501-R$750</v>
      </c>
      <c r="W13" s="13">
        <v>63</v>
      </c>
      <c r="X13" s="13" t="str" cm="1">
        <f t="array" ref="X13">_xlfn.IFS(W13 = 0, "0", W13&lt;=20, "até R$20",W13&lt;=40, "21 - R$40",W13&lt;=60, "41- R$60",W13&lt;=80, "61 - R$80", W13&lt;=100, "81 - R$100",W13&lt;=120, "101 - R$120",W13&lt;=140, "121 - R$140", W13&lt;=160, "141- R$160", W13&lt;=180, "161 - R$180", W13&lt;=200, "181-R$194")</f>
        <v>61 - R$80</v>
      </c>
      <c r="Y13" s="13">
        <v>946</v>
      </c>
      <c r="Z13" s="13">
        <v>219</v>
      </c>
      <c r="AA13" s="13">
        <v>189</v>
      </c>
      <c r="AB13" s="13">
        <v>126</v>
      </c>
      <c r="AC13" s="13">
        <v>1</v>
      </c>
      <c r="AD13" s="13">
        <v>4</v>
      </c>
      <c r="AE13" s="13">
        <v>7</v>
      </c>
      <c r="AF13" s="13">
        <v>11</v>
      </c>
      <c r="AG13" s="13">
        <v>2</v>
      </c>
      <c r="AH13" s="13">
        <v>0</v>
      </c>
      <c r="AI13" s="13">
        <v>0</v>
      </c>
      <c r="AJ13" s="13">
        <v>0</v>
      </c>
      <c r="AK13" s="13">
        <v>1</v>
      </c>
      <c r="AL13" s="13">
        <v>1</v>
      </c>
      <c r="AM13" s="13">
        <v>0</v>
      </c>
      <c r="AN13" s="13">
        <v>0</v>
      </c>
      <c r="AO13" s="14">
        <v>2</v>
      </c>
      <c r="AP13" s="13">
        <v>3</v>
      </c>
      <c r="AQ13" s="13">
        <v>11</v>
      </c>
      <c r="AR13" s="15">
        <v>2027</v>
      </c>
      <c r="AS13" s="15">
        <v>2153</v>
      </c>
    </row>
    <row r="14" spans="1:50" x14ac:dyDescent="0.25">
      <c r="A14">
        <v>1269</v>
      </c>
      <c r="B14" s="11">
        <f t="shared" si="0"/>
        <v>83151</v>
      </c>
      <c r="C14" s="16">
        <v>831510</v>
      </c>
      <c r="D14" s="17">
        <v>0</v>
      </c>
      <c r="E14" s="17">
        <v>0</v>
      </c>
      <c r="F14" s="17">
        <v>80</v>
      </c>
      <c r="G14" s="17">
        <v>48</v>
      </c>
      <c r="H14" s="13" t="str" cm="1">
        <f t="array" ref="H14">_xlfn.IFS(G14&lt;=20,"0-20",G14&lt;=30,"20-30",G14&lt;=40,"30-40",G14&lt;=50,"50-60",G14&lt;=60,"60-70",G14&lt;=70,"70-80",G14&lt;=80,"80-90")</f>
        <v>50-60</v>
      </c>
      <c r="I14" s="17">
        <v>2663</v>
      </c>
      <c r="J14" s="13" t="str" cm="1">
        <f t="array" ref="J14">_xlfn.IFS(K14=1,"Divorciado",L14=1,"Casado",M14=1,"Solteiro",N14=1,"Juntos",O14=1,"Viuvo")</f>
        <v>Casado</v>
      </c>
      <c r="K14" s="17">
        <v>0</v>
      </c>
      <c r="L14" s="17">
        <v>1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1</v>
      </c>
      <c r="T14" s="17">
        <v>0</v>
      </c>
      <c r="U14" s="17">
        <v>968</v>
      </c>
      <c r="V14" s="13" t="str" cm="1">
        <f t="array" ref="V14">_xlfn.IFS(U14&lt;=250,"0-R$250",U14&lt;=500,"251-R$500",U14&lt;=750,"501-R$750",U14&lt;=1000,"751-R$1000",U14&lt;=1250,"1001-R$1250",U14&lt;=1500,"1251-R$1500")</f>
        <v>751-R$1000</v>
      </c>
      <c r="W14" s="17">
        <v>147</v>
      </c>
      <c r="X14" s="13" t="str" cm="1">
        <f t="array" ref="X14">_xlfn.IFS(W14 = 0, "0", W14&lt;=20, "até R$20",W14&lt;=40, "21 - R$40",W14&lt;=60, "41- R$60",W14&lt;=80, "61 - R$80", W14&lt;=100, "81 - R$100",W14&lt;=120, "101 - R$120",W14&lt;=140, "121 - R$140", W14&lt;=160, "141- R$160", W14&lt;=180, "161 - R$180", W14&lt;=200, "181-R$194")</f>
        <v>141- R$160</v>
      </c>
      <c r="Y14" s="17">
        <v>842</v>
      </c>
      <c r="Z14" s="17">
        <v>137</v>
      </c>
      <c r="AA14" s="17">
        <v>42</v>
      </c>
      <c r="AB14" s="17">
        <v>210</v>
      </c>
      <c r="AC14" s="17">
        <v>1</v>
      </c>
      <c r="AD14" s="17">
        <v>5</v>
      </c>
      <c r="AE14" s="17">
        <v>7</v>
      </c>
      <c r="AF14" s="17">
        <v>10</v>
      </c>
      <c r="AG14" s="17">
        <v>2</v>
      </c>
      <c r="AH14" s="17">
        <v>0</v>
      </c>
      <c r="AI14" s="17">
        <v>1</v>
      </c>
      <c r="AJ14" s="17">
        <v>0</v>
      </c>
      <c r="AK14" s="17">
        <v>1</v>
      </c>
      <c r="AL14" s="17">
        <v>1</v>
      </c>
      <c r="AM14" s="17">
        <v>0</v>
      </c>
      <c r="AN14" s="17">
        <v>1</v>
      </c>
      <c r="AO14" s="18">
        <v>3</v>
      </c>
      <c r="AP14" s="17">
        <v>3</v>
      </c>
      <c r="AQ14" s="17">
        <v>11</v>
      </c>
      <c r="AR14" s="19">
        <v>1926</v>
      </c>
      <c r="AS14" s="19">
        <v>2136</v>
      </c>
    </row>
    <row r="15" spans="1:50" x14ac:dyDescent="0.25">
      <c r="A15">
        <v>924</v>
      </c>
      <c r="B15" s="11">
        <f t="shared" si="0"/>
        <v>94384</v>
      </c>
      <c r="C15" s="12">
        <v>943840</v>
      </c>
      <c r="D15" s="13">
        <v>0</v>
      </c>
      <c r="E15" s="13">
        <v>0</v>
      </c>
      <c r="F15" s="13">
        <v>62</v>
      </c>
      <c r="G15" s="13">
        <v>67</v>
      </c>
      <c r="H15" s="13" t="str" cm="1">
        <f t="array" ref="H15">_xlfn.IFS(G15&lt;=20,"0-20",G15&lt;=30,"20-30",G15&lt;=40,"30-40",G15&lt;=50,"50-60",G15&lt;=60,"60-70",G15&lt;=70,"70-80",G15&lt;=80,"80-90")</f>
        <v>70-80</v>
      </c>
      <c r="I15" s="13">
        <v>2641</v>
      </c>
      <c r="J15" s="13" t="str" cm="1">
        <f t="array" ref="J15">_xlfn.IFS(K15=1,"Divorciado",L15=1,"Casado",M15=1,"Solteiro",N15=1,"Juntos",O15=1,"Viuvo")</f>
        <v>Juntos</v>
      </c>
      <c r="K15" s="13">
        <v>0</v>
      </c>
      <c r="L15" s="13">
        <v>0</v>
      </c>
      <c r="M15" s="13">
        <v>0</v>
      </c>
      <c r="N15" s="13">
        <v>1</v>
      </c>
      <c r="O15" s="13">
        <v>0</v>
      </c>
      <c r="P15" s="13">
        <v>0</v>
      </c>
      <c r="Q15" s="13">
        <v>0</v>
      </c>
      <c r="R15" s="13">
        <v>1</v>
      </c>
      <c r="S15" s="13">
        <v>0</v>
      </c>
      <c r="T15" s="13">
        <v>0</v>
      </c>
      <c r="U15" s="13">
        <v>1111</v>
      </c>
      <c r="V15" s="13" t="str" cm="1">
        <f t="array" ref="V15">_xlfn.IFS(U15&lt;=250,"0-R$250",U15&lt;=500,"251-R$500",U15&lt;=750,"501-R$750",U15&lt;=1000,"751-R$1000",U15&lt;=1250,"1001-R$1250",U15&lt;=1500,"1251-R$1500")</f>
        <v>1001-R$1250</v>
      </c>
      <c r="W15" s="13">
        <v>24</v>
      </c>
      <c r="X15" s="13" t="str" cm="1">
        <f t="array" ref="X15">_xlfn.IFS(W15 = 0, "0", W15&lt;=20, "até R$20",W15&lt;=40, "21 - R$40",W15&lt;=60, "41- R$60",W15&lt;=80, "61 - R$80", W15&lt;=100, "81 - R$100",W15&lt;=120, "101 - R$120",W15&lt;=140, "121 - R$140", W15&lt;=160, "141- R$160", W15&lt;=180, "161 - R$180", W15&lt;=200, "181-R$194")</f>
        <v>21 - R$40</v>
      </c>
      <c r="Y15" s="13">
        <v>790</v>
      </c>
      <c r="Z15" s="13">
        <v>160</v>
      </c>
      <c r="AA15" s="13">
        <v>45</v>
      </c>
      <c r="AB15" s="13">
        <v>172</v>
      </c>
      <c r="AC15" s="13">
        <v>0</v>
      </c>
      <c r="AD15" s="13">
        <v>5</v>
      </c>
      <c r="AE15" s="13">
        <v>8</v>
      </c>
      <c r="AF15" s="13">
        <v>5</v>
      </c>
      <c r="AG15" s="13">
        <v>2</v>
      </c>
      <c r="AH15" s="13">
        <v>0</v>
      </c>
      <c r="AI15" s="13">
        <v>0</v>
      </c>
      <c r="AJ15" s="13">
        <v>1</v>
      </c>
      <c r="AK15" s="13">
        <v>1</v>
      </c>
      <c r="AL15" s="13">
        <v>1</v>
      </c>
      <c r="AM15" s="13">
        <v>0</v>
      </c>
      <c r="AN15" s="13">
        <v>1</v>
      </c>
      <c r="AO15" s="14">
        <v>3</v>
      </c>
      <c r="AP15" s="13">
        <v>3</v>
      </c>
      <c r="AQ15" s="13">
        <v>11</v>
      </c>
      <c r="AR15" s="15">
        <v>1958</v>
      </c>
      <c r="AS15" s="15">
        <v>2130</v>
      </c>
    </row>
    <row r="16" spans="1:50" x14ac:dyDescent="0.25">
      <c r="A16">
        <v>1281</v>
      </c>
      <c r="B16" s="11">
        <f t="shared" si="0"/>
        <v>94384</v>
      </c>
      <c r="C16" s="16">
        <v>943840</v>
      </c>
      <c r="D16" s="17">
        <v>0</v>
      </c>
      <c r="E16" s="17">
        <v>0</v>
      </c>
      <c r="F16" s="17">
        <v>62</v>
      </c>
      <c r="G16" s="17">
        <v>67</v>
      </c>
      <c r="H16" s="13" t="str" cm="1">
        <f t="array" ref="H16">_xlfn.IFS(G16&lt;=20,"0-20",G16&lt;=30,"20-30",G16&lt;=40,"30-40",G16&lt;=50,"50-60",G16&lt;=60,"60-70",G16&lt;=70,"70-80",G16&lt;=80,"80-90")</f>
        <v>70-80</v>
      </c>
      <c r="I16" s="17">
        <v>2641</v>
      </c>
      <c r="J16" s="13" t="str" cm="1">
        <f t="array" ref="J16">_xlfn.IFS(K16=1,"Divorciado",L16=1,"Casado",M16=1,"Solteiro",N16=1,"Juntos",O16=1,"Viuvo")</f>
        <v>Juntos</v>
      </c>
      <c r="K16" s="17">
        <v>0</v>
      </c>
      <c r="L16" s="17">
        <v>0</v>
      </c>
      <c r="M16" s="17">
        <v>0</v>
      </c>
      <c r="N16" s="17">
        <v>1</v>
      </c>
      <c r="O16" s="17">
        <v>0</v>
      </c>
      <c r="P16" s="17">
        <v>0</v>
      </c>
      <c r="Q16" s="17">
        <v>0</v>
      </c>
      <c r="R16" s="17">
        <v>1</v>
      </c>
      <c r="S16" s="17">
        <v>0</v>
      </c>
      <c r="T16" s="17">
        <v>0</v>
      </c>
      <c r="U16" s="17">
        <v>1111</v>
      </c>
      <c r="V16" s="13" t="str" cm="1">
        <f t="array" ref="V16">_xlfn.IFS(U16&lt;=250,"0-R$250",U16&lt;=500,"251-R$500",U16&lt;=750,"501-R$750",U16&lt;=1000,"751-R$1000",U16&lt;=1250,"1001-R$1250",U16&lt;=1500,"1251-R$1500")</f>
        <v>1001-R$1250</v>
      </c>
      <c r="W16" s="17">
        <v>24</v>
      </c>
      <c r="X16" s="13" t="str" cm="1">
        <f t="array" ref="X16">_xlfn.IFS(W16 = 0, "0", W16&lt;=20, "até R$20",W16&lt;=40, "21 - R$40",W16&lt;=60, "41- R$60",W16&lt;=80, "61 - R$80", W16&lt;=100, "81 - R$100",W16&lt;=120, "101 - R$120",W16&lt;=140, "121 - R$140", W16&lt;=160, "141- R$160", W16&lt;=180, "161 - R$180", W16&lt;=200, "181-R$194")</f>
        <v>21 - R$40</v>
      </c>
      <c r="Y16" s="17">
        <v>790</v>
      </c>
      <c r="Z16" s="17">
        <v>160</v>
      </c>
      <c r="AA16" s="17">
        <v>45</v>
      </c>
      <c r="AB16" s="17">
        <v>172</v>
      </c>
      <c r="AC16" s="17">
        <v>0</v>
      </c>
      <c r="AD16" s="17">
        <v>5</v>
      </c>
      <c r="AE16" s="17">
        <v>8</v>
      </c>
      <c r="AF16" s="17">
        <v>5</v>
      </c>
      <c r="AG16" s="17">
        <v>2</v>
      </c>
      <c r="AH16" s="17">
        <v>0</v>
      </c>
      <c r="AI16" s="17">
        <v>0</v>
      </c>
      <c r="AJ16" s="17">
        <v>1</v>
      </c>
      <c r="AK16" s="17">
        <v>1</v>
      </c>
      <c r="AL16" s="17">
        <v>1</v>
      </c>
      <c r="AM16" s="17">
        <v>0</v>
      </c>
      <c r="AN16" s="17">
        <v>1</v>
      </c>
      <c r="AO16" s="18">
        <v>3</v>
      </c>
      <c r="AP16" s="17">
        <v>3</v>
      </c>
      <c r="AQ16" s="17">
        <v>11</v>
      </c>
      <c r="AR16" s="19">
        <v>1958</v>
      </c>
      <c r="AS16" s="19">
        <v>2130</v>
      </c>
      <c r="AV16" s="20"/>
      <c r="AW16" s="20"/>
      <c r="AX16" s="20"/>
    </row>
    <row r="17" spans="1:45" x14ac:dyDescent="0.25">
      <c r="A17">
        <v>627</v>
      </c>
      <c r="B17" s="11">
        <f t="shared" si="0"/>
        <v>77632</v>
      </c>
      <c r="C17" s="16">
        <v>776320</v>
      </c>
      <c r="D17" s="17">
        <v>0</v>
      </c>
      <c r="E17" s="17">
        <v>0</v>
      </c>
      <c r="F17" s="17">
        <v>73</v>
      </c>
      <c r="G17" s="17">
        <v>73</v>
      </c>
      <c r="H17" s="13" t="str" cm="1">
        <f t="array" ref="H17">_xlfn.IFS(G17&lt;=20,"0-20",G17&lt;=30,"20-30",G17&lt;=40,"30-40",G17&lt;=50,"50-60",G17&lt;=60,"60-70",G17&lt;=70,"70-80",G17&lt;=80,"80-90")</f>
        <v>80-90</v>
      </c>
      <c r="I17" s="17">
        <v>2635</v>
      </c>
      <c r="J17" s="13" t="str" cm="1">
        <f t="array" ref="J17">_xlfn.IFS(K17=1,"Divorciado",L17=1,"Casado",M17=1,"Solteiro",N17=1,"Juntos",O17=1,"Viuvo")</f>
        <v>Juntos</v>
      </c>
      <c r="K17" s="17">
        <v>0</v>
      </c>
      <c r="L17" s="17">
        <v>0</v>
      </c>
      <c r="M17" s="17">
        <v>0</v>
      </c>
      <c r="N17" s="17">
        <v>1</v>
      </c>
      <c r="O17" s="17">
        <v>0</v>
      </c>
      <c r="P17" s="17">
        <v>0</v>
      </c>
      <c r="Q17" s="17">
        <v>0</v>
      </c>
      <c r="R17" s="17">
        <v>0</v>
      </c>
      <c r="S17" s="17">
        <v>1</v>
      </c>
      <c r="T17" s="17">
        <v>0</v>
      </c>
      <c r="U17" s="17">
        <v>1200</v>
      </c>
      <c r="V17" s="13" t="str" cm="1">
        <f t="array" ref="V17">_xlfn.IFS(U17&lt;=250,"0-R$250",U17&lt;=500,"251-R$500",U17&lt;=750,"501-R$750",U17&lt;=1000,"751-R$1000",U17&lt;=1250,"1001-R$1250",U17&lt;=1500,"1251-R$1500")</f>
        <v>1001-R$1250</v>
      </c>
      <c r="W17" s="17">
        <v>105</v>
      </c>
      <c r="X17" s="13" t="str" cm="1">
        <f t="array" ref="X17">_xlfn.IFS(W17 = 0, "0", W17&lt;=20, "até R$20",W17&lt;=40, "21 - R$40",W17&lt;=60, "41- R$60",W17&lt;=80, "61 - R$80", W17&lt;=100, "81 - R$100",W17&lt;=120, "101 - R$120",W17&lt;=140, "121 - R$140", W17&lt;=160, "141- R$160", W17&lt;=180, "161 - R$180", W17&lt;=200, "181-R$194")</f>
        <v>101 - R$120</v>
      </c>
      <c r="Y17" s="17">
        <v>758</v>
      </c>
      <c r="Z17" s="17">
        <v>0</v>
      </c>
      <c r="AA17" s="17">
        <v>42</v>
      </c>
      <c r="AB17" s="17">
        <v>147</v>
      </c>
      <c r="AC17" s="17">
        <v>1</v>
      </c>
      <c r="AD17" s="17">
        <v>4</v>
      </c>
      <c r="AE17" s="17">
        <v>2</v>
      </c>
      <c r="AF17" s="17">
        <v>6</v>
      </c>
      <c r="AG17" s="17">
        <v>2</v>
      </c>
      <c r="AH17" s="17">
        <v>0</v>
      </c>
      <c r="AI17" s="17">
        <v>0</v>
      </c>
      <c r="AJ17" s="17">
        <v>1</v>
      </c>
      <c r="AK17" s="17">
        <v>1</v>
      </c>
      <c r="AL17" s="17">
        <v>0</v>
      </c>
      <c r="AM17" s="17">
        <v>0</v>
      </c>
      <c r="AN17" s="17">
        <v>1</v>
      </c>
      <c r="AO17" s="18">
        <v>2</v>
      </c>
      <c r="AP17" s="17">
        <v>3</v>
      </c>
      <c r="AQ17" s="17">
        <v>11</v>
      </c>
      <c r="AR17" s="19">
        <v>1958</v>
      </c>
      <c r="AS17" s="19">
        <v>2105</v>
      </c>
    </row>
    <row r="18" spans="1:45" x14ac:dyDescent="0.25">
      <c r="A18">
        <v>408</v>
      </c>
      <c r="B18" s="11">
        <f t="shared" si="0"/>
        <v>93027</v>
      </c>
      <c r="C18" s="12">
        <v>930270</v>
      </c>
      <c r="D18" s="13">
        <v>0</v>
      </c>
      <c r="E18" s="13">
        <v>0</v>
      </c>
      <c r="F18" s="13">
        <v>77</v>
      </c>
      <c r="G18" s="13">
        <v>79</v>
      </c>
      <c r="H18" s="13" t="str" cm="1">
        <f t="array" ref="H18">_xlfn.IFS(G18&lt;=20,"0-20",G18&lt;=30,"20-30",G18&lt;=40,"30-40",G18&lt;=50,"50-60",G18&lt;=60,"60-70",G18&lt;=70,"70-80",G18&lt;=80,"80-90")</f>
        <v>80-90</v>
      </c>
      <c r="I18" s="13">
        <v>2601</v>
      </c>
      <c r="J18" s="13" t="str" cm="1">
        <f t="array" ref="J18">_xlfn.IFS(K18=1,"Divorciado",L18=1,"Casado",M18=1,"Solteiro",N18=1,"Juntos",O18=1,"Viuvo")</f>
        <v>Casado</v>
      </c>
      <c r="K18" s="13">
        <v>0</v>
      </c>
      <c r="L18" s="13">
        <v>1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1</v>
      </c>
      <c r="U18" s="13">
        <v>1285</v>
      </c>
      <c r="V18" s="13" t="str" cm="1">
        <f t="array" ref="V18">_xlfn.IFS(U18&lt;=250,"0-R$250",U18&lt;=500,"251-R$500",U18&lt;=750,"501-R$750",U18&lt;=1000,"751-R$1000",U18&lt;=1250,"1001-R$1250",U18&lt;=1500,"1251-R$1500")</f>
        <v>1251-R$1500</v>
      </c>
      <c r="W18" s="13">
        <v>42</v>
      </c>
      <c r="X18" s="13" t="str" cm="1">
        <f t="array" ref="X18">_xlfn.IFS(W18 = 0, "0", W18&lt;=20, "até R$20",W18&lt;=40, "21 - R$40",W18&lt;=60, "41- R$60",W18&lt;=80, "61 - R$80", W18&lt;=100, "81 - R$100",W18&lt;=120, "101 - R$120",W18&lt;=140, "121 - R$140", W18&lt;=160, "141- R$160", W18&lt;=180, "161 - R$180", W18&lt;=200, "181-R$194")</f>
        <v>41- R$60</v>
      </c>
      <c r="Y18" s="13">
        <v>716</v>
      </c>
      <c r="Z18" s="13">
        <v>55</v>
      </c>
      <c r="AA18" s="13">
        <v>0</v>
      </c>
      <c r="AB18" s="13">
        <v>21</v>
      </c>
      <c r="AC18" s="13">
        <v>0</v>
      </c>
      <c r="AD18" s="13">
        <v>7</v>
      </c>
      <c r="AE18" s="13">
        <v>10</v>
      </c>
      <c r="AF18" s="13">
        <v>5</v>
      </c>
      <c r="AG18" s="13">
        <v>2</v>
      </c>
      <c r="AH18" s="13">
        <v>0</v>
      </c>
      <c r="AI18" s="13">
        <v>0</v>
      </c>
      <c r="AJ18" s="13">
        <v>0</v>
      </c>
      <c r="AK18" s="13">
        <v>1</v>
      </c>
      <c r="AL18" s="13">
        <v>0</v>
      </c>
      <c r="AM18" s="13">
        <v>0</v>
      </c>
      <c r="AN18" s="13">
        <v>0</v>
      </c>
      <c r="AO18" s="14">
        <v>1</v>
      </c>
      <c r="AP18" s="13">
        <v>3</v>
      </c>
      <c r="AQ18" s="13">
        <v>11</v>
      </c>
      <c r="AR18" s="15">
        <v>2077</v>
      </c>
      <c r="AS18" s="15">
        <v>2098</v>
      </c>
    </row>
    <row r="19" spans="1:45" x14ac:dyDescent="0.25">
      <c r="A19">
        <v>344</v>
      </c>
      <c r="B19" s="11">
        <f t="shared" si="0"/>
        <v>78618</v>
      </c>
      <c r="C19" s="12">
        <v>786180</v>
      </c>
      <c r="D19" s="13">
        <v>0</v>
      </c>
      <c r="E19" s="13">
        <v>0</v>
      </c>
      <c r="F19" s="13">
        <v>87</v>
      </c>
      <c r="G19" s="13">
        <v>63</v>
      </c>
      <c r="H19" s="13" t="str" cm="1">
        <f t="array" ref="H19">_xlfn.IFS(G19&lt;=20,"0-20",G19&lt;=30,"20-30",G19&lt;=40,"30-40",G19&lt;=50,"50-60",G19&lt;=60,"60-70",G19&lt;=70,"70-80",G19&lt;=80,"80-90")</f>
        <v>70-80</v>
      </c>
      <c r="I19" s="13">
        <v>2798</v>
      </c>
      <c r="J19" s="13" t="str" cm="1">
        <f t="array" ref="J19">_xlfn.IFS(K19=1,"Divorciado",L19=1,"Casado",M19=1,"Solteiro",N19=1,"Juntos",O19=1,"Viuvo")</f>
        <v>Casado</v>
      </c>
      <c r="K19" s="13">
        <v>0</v>
      </c>
      <c r="L19" s="13">
        <v>1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1</v>
      </c>
      <c r="S19" s="13">
        <v>0</v>
      </c>
      <c r="T19" s="13">
        <v>0</v>
      </c>
      <c r="U19" s="13">
        <v>736</v>
      </c>
      <c r="V19" s="13" t="str" cm="1">
        <f t="array" ref="V19">_xlfn.IFS(U19&lt;=250,"0-R$250",U19&lt;=500,"251-R$500",U19&lt;=750,"501-R$750",U19&lt;=1000,"751-R$1000",U19&lt;=1250,"1001-R$1250",U19&lt;=1500,"1251-R$1500")</f>
        <v>501-R$750</v>
      </c>
      <c r="W19" s="13">
        <v>163</v>
      </c>
      <c r="X19" s="13" t="str" cm="1">
        <f t="array" ref="X19">_xlfn.IFS(W19 = 0, "0", W19&lt;=20, "até R$20",W19&lt;=40, "21 - R$40",W19&lt;=60, "41- R$60",W19&lt;=80, "61 - R$80", W19&lt;=100, "81 - R$100",W19&lt;=120, "101 - R$120",W19&lt;=140, "121 - R$140", W19&lt;=160, "141- R$160", W19&lt;=180, "161 - R$180", W19&lt;=200, "181-R$194")</f>
        <v>161 - R$180</v>
      </c>
      <c r="Y19" s="13">
        <v>818</v>
      </c>
      <c r="Z19" s="13">
        <v>212</v>
      </c>
      <c r="AA19" s="13">
        <v>163</v>
      </c>
      <c r="AB19" s="13">
        <v>61</v>
      </c>
      <c r="AC19" s="13">
        <v>1</v>
      </c>
      <c r="AD19" s="13">
        <v>4</v>
      </c>
      <c r="AE19" s="13">
        <v>7</v>
      </c>
      <c r="AF19" s="13">
        <v>10</v>
      </c>
      <c r="AG19" s="13">
        <v>2</v>
      </c>
      <c r="AH19" s="13">
        <v>0</v>
      </c>
      <c r="AI19" s="13">
        <v>0</v>
      </c>
      <c r="AJ19" s="13">
        <v>1</v>
      </c>
      <c r="AK19" s="13">
        <v>0</v>
      </c>
      <c r="AL19" s="13">
        <v>0</v>
      </c>
      <c r="AM19" s="13">
        <v>0</v>
      </c>
      <c r="AN19" s="13">
        <v>0</v>
      </c>
      <c r="AO19" s="14">
        <v>1</v>
      </c>
      <c r="AP19" s="13">
        <v>3</v>
      </c>
      <c r="AQ19" s="13">
        <v>11</v>
      </c>
      <c r="AR19" s="15">
        <v>2031</v>
      </c>
      <c r="AS19" s="15">
        <v>2092</v>
      </c>
    </row>
    <row r="20" spans="1:45" x14ac:dyDescent="0.25">
      <c r="A20">
        <v>1928</v>
      </c>
      <c r="B20" s="11">
        <f t="shared" si="0"/>
        <v>72335</v>
      </c>
      <c r="C20" s="12">
        <v>723350</v>
      </c>
      <c r="D20" s="13">
        <v>0</v>
      </c>
      <c r="E20" s="13">
        <v>0</v>
      </c>
      <c r="F20" s="13">
        <v>2</v>
      </c>
      <c r="G20" s="13">
        <v>44</v>
      </c>
      <c r="H20" s="13" t="str" cm="1">
        <f t="array" ref="H20">_xlfn.IFS(G20&lt;=20,"0-20",G20&lt;=30,"20-30",G20&lt;=40,"30-40",G20&lt;=50,"50-60",G20&lt;=60,"60-70",G20&lt;=70,"70-80",G20&lt;=80,"80-90")</f>
        <v>50-60</v>
      </c>
      <c r="I20" s="13">
        <v>2844</v>
      </c>
      <c r="J20" s="13" t="str" cm="1">
        <f t="array" ref="J20">_xlfn.IFS(K20=1,"Divorciado",L20=1,"Casado",M20=1,"Solteiro",N20=1,"Juntos",O20=1,"Viuvo")</f>
        <v>Juntos</v>
      </c>
      <c r="K20" s="13">
        <v>0</v>
      </c>
      <c r="L20" s="13">
        <v>0</v>
      </c>
      <c r="M20" s="13">
        <v>0</v>
      </c>
      <c r="N20" s="13">
        <v>1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1</v>
      </c>
      <c r="U20" s="13">
        <v>1285</v>
      </c>
      <c r="V20" s="13" t="str" cm="1">
        <f t="array" ref="V20">_xlfn.IFS(U20&lt;=250,"0-R$250",U20&lt;=500,"251-R$500",U20&lt;=750,"501-R$750",U20&lt;=1000,"751-R$1000",U20&lt;=1250,"1001-R$1250",U20&lt;=1500,"1251-R$1500")</f>
        <v>1251-R$1500</v>
      </c>
      <c r="W20" s="13">
        <v>105</v>
      </c>
      <c r="X20" s="13" t="str" cm="1">
        <f t="array" ref="X20">_xlfn.IFS(W20 = 0, "0", W20&lt;=20, "até R$20",W20&lt;=40, "21 - R$40",W20&lt;=60, "41- R$60",W20&lt;=80, "61 - R$80", W20&lt;=100, "81 - R$100",W20&lt;=120, "101 - R$120",W20&lt;=140, "121 - R$140", W20&lt;=160, "141- R$160", W20&lt;=180, "161 - R$180", W20&lt;=200, "181-R$194")</f>
        <v>101 - R$120</v>
      </c>
      <c r="Y20" s="13">
        <v>653</v>
      </c>
      <c r="Z20" s="13">
        <v>28</v>
      </c>
      <c r="AA20" s="13">
        <v>21</v>
      </c>
      <c r="AB20" s="13">
        <v>0</v>
      </c>
      <c r="AC20" s="13">
        <v>1</v>
      </c>
      <c r="AD20" s="13">
        <v>10</v>
      </c>
      <c r="AE20" s="13">
        <v>4</v>
      </c>
      <c r="AF20" s="13">
        <v>8</v>
      </c>
      <c r="AG20" s="13">
        <v>8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1</v>
      </c>
      <c r="AO20" s="14">
        <v>0</v>
      </c>
      <c r="AP20" s="13">
        <v>3</v>
      </c>
      <c r="AQ20" s="13">
        <v>11</v>
      </c>
      <c r="AR20" s="15">
        <v>2092</v>
      </c>
      <c r="AS20" s="15">
        <v>2092</v>
      </c>
    </row>
    <row r="21" spans="1:45" x14ac:dyDescent="0.25">
      <c r="A21">
        <v>668</v>
      </c>
      <c r="B21" s="11">
        <f t="shared" si="0"/>
        <v>86857</v>
      </c>
      <c r="C21" s="12">
        <v>868570</v>
      </c>
      <c r="D21" s="13">
        <v>0</v>
      </c>
      <c r="E21" s="13">
        <v>0</v>
      </c>
      <c r="F21" s="13">
        <v>96</v>
      </c>
      <c r="G21" s="13">
        <v>48</v>
      </c>
      <c r="H21" s="13" t="str" cm="1">
        <f t="array" ref="H21">_xlfn.IFS(G21&lt;=20,"0-20",G21&lt;=30,"20-30",G21&lt;=40,"30-40",G21&lt;=50,"50-60",G21&lt;=60,"60-70",G21&lt;=70,"70-80",G21&lt;=80,"80-90")</f>
        <v>50-60</v>
      </c>
      <c r="I21" s="13">
        <v>2814</v>
      </c>
      <c r="J21" s="13" t="str" cm="1">
        <f t="array" ref="J21">_xlfn.IFS(K21=1,"Divorciado",L21=1,"Casado",M21=1,"Solteiro",N21=1,"Juntos",O21=1,"Viuvo")</f>
        <v>Solteiro</v>
      </c>
      <c r="K21" s="13">
        <v>0</v>
      </c>
      <c r="L21" s="13">
        <v>0</v>
      </c>
      <c r="M21" s="13">
        <v>1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1</v>
      </c>
      <c r="U21" s="13">
        <v>899</v>
      </c>
      <c r="V21" s="13" t="str" cm="1">
        <f t="array" ref="V21">_xlfn.IFS(U21&lt;=250,"0-R$250",U21&lt;=500,"251-R$500",U21&lt;=750,"501-R$750",U21&lt;=1000,"751-R$1000",U21&lt;=1250,"1001-R$1250",U21&lt;=1500,"1251-R$1500")</f>
        <v>751-R$1000</v>
      </c>
      <c r="W21" s="13">
        <v>102</v>
      </c>
      <c r="X21" s="13" t="str" cm="1">
        <f t="array" ref="X21">_xlfn.IFS(W21 = 0, "0", W21&lt;=20, "até R$20",W21&lt;=40, "21 - R$40",W21&lt;=60, "41- R$60",W21&lt;=80, "61 - R$80", W21&lt;=100, "81 - R$100",W21&lt;=120, "101 - R$120",W21&lt;=140, "121 - R$140", W21&lt;=160, "141- R$160", W21&lt;=180, "161 - R$180", W21&lt;=200, "181-R$194")</f>
        <v>101 - R$120</v>
      </c>
      <c r="Y21" s="13">
        <v>838</v>
      </c>
      <c r="Z21" s="13">
        <v>133</v>
      </c>
      <c r="AA21" s="13">
        <v>102</v>
      </c>
      <c r="AB21" s="13">
        <v>40</v>
      </c>
      <c r="AC21" s="13">
        <v>1</v>
      </c>
      <c r="AD21" s="13">
        <v>5</v>
      </c>
      <c r="AE21" s="13">
        <v>6</v>
      </c>
      <c r="AF21" s="13">
        <v>10</v>
      </c>
      <c r="AG21" s="13">
        <v>2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1</v>
      </c>
      <c r="AO21" s="14">
        <v>0</v>
      </c>
      <c r="AP21" s="13">
        <v>3</v>
      </c>
      <c r="AQ21" s="13">
        <v>11</v>
      </c>
      <c r="AR21" s="15">
        <v>2034</v>
      </c>
      <c r="AS21" s="15">
        <v>2074</v>
      </c>
    </row>
    <row r="22" spans="1:45" x14ac:dyDescent="0.25">
      <c r="A22">
        <v>865</v>
      </c>
      <c r="B22" s="11">
        <f t="shared" si="0"/>
        <v>86857</v>
      </c>
      <c r="C22" s="16">
        <v>868570</v>
      </c>
      <c r="D22" s="17">
        <v>0</v>
      </c>
      <c r="E22" s="17">
        <v>0</v>
      </c>
      <c r="F22" s="17">
        <v>96</v>
      </c>
      <c r="G22" s="17">
        <v>48</v>
      </c>
      <c r="H22" s="13" t="str" cm="1">
        <f t="array" ref="H22">_xlfn.IFS(G22&lt;=20,"0-20",G22&lt;=30,"20-30",G22&lt;=40,"30-40",G22&lt;=50,"50-60",G22&lt;=60,"60-70",G22&lt;=70,"70-80",G22&lt;=80,"80-90")</f>
        <v>50-60</v>
      </c>
      <c r="I22" s="17">
        <v>2814</v>
      </c>
      <c r="J22" s="13" t="str" cm="1">
        <f t="array" ref="J22">_xlfn.IFS(K22=1,"Divorciado",L22=1,"Casado",M22=1,"Solteiro",N22=1,"Juntos",O22=1,"Viuvo")</f>
        <v>Solteiro</v>
      </c>
      <c r="K22" s="17">
        <v>0</v>
      </c>
      <c r="L22" s="17">
        <v>0</v>
      </c>
      <c r="M22" s="17">
        <v>1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1</v>
      </c>
      <c r="U22" s="17">
        <v>899</v>
      </c>
      <c r="V22" s="13" t="str" cm="1">
        <f t="array" ref="V22">_xlfn.IFS(U22&lt;=250,"0-R$250",U22&lt;=500,"251-R$500",U22&lt;=750,"501-R$750",U22&lt;=1000,"751-R$1000",U22&lt;=1250,"1001-R$1250",U22&lt;=1500,"1251-R$1500")</f>
        <v>751-R$1000</v>
      </c>
      <c r="W22" s="17">
        <v>102</v>
      </c>
      <c r="X22" s="13" t="str" cm="1">
        <f t="array" ref="X22">_xlfn.IFS(W22 = 0, "0", W22&lt;=20, "até R$20",W22&lt;=40, "21 - R$40",W22&lt;=60, "41- R$60",W22&lt;=80, "61 - R$80", W22&lt;=100, "81 - R$100",W22&lt;=120, "101 - R$120",W22&lt;=140, "121 - R$140", W22&lt;=160, "141- R$160", W22&lt;=180, "161 - R$180", W22&lt;=200, "181-R$194")</f>
        <v>101 - R$120</v>
      </c>
      <c r="Y22" s="17">
        <v>838</v>
      </c>
      <c r="Z22" s="17">
        <v>133</v>
      </c>
      <c r="AA22" s="17">
        <v>102</v>
      </c>
      <c r="AB22" s="17">
        <v>40</v>
      </c>
      <c r="AC22" s="17">
        <v>1</v>
      </c>
      <c r="AD22" s="17">
        <v>5</v>
      </c>
      <c r="AE22" s="17">
        <v>6</v>
      </c>
      <c r="AF22" s="17">
        <v>10</v>
      </c>
      <c r="AG22" s="17">
        <v>2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1</v>
      </c>
      <c r="AO22" s="18">
        <v>0</v>
      </c>
      <c r="AP22" s="17">
        <v>3</v>
      </c>
      <c r="AQ22" s="17">
        <v>11</v>
      </c>
      <c r="AR22" s="19">
        <v>2034</v>
      </c>
      <c r="AS22" s="19">
        <v>2074</v>
      </c>
    </row>
    <row r="23" spans="1:45" x14ac:dyDescent="0.25">
      <c r="A23">
        <v>1844</v>
      </c>
      <c r="B23" s="11">
        <f t="shared" si="0"/>
        <v>82326</v>
      </c>
      <c r="C23" s="12">
        <v>823260</v>
      </c>
      <c r="D23" s="13">
        <v>0</v>
      </c>
      <c r="E23" s="13">
        <v>0</v>
      </c>
      <c r="F23" s="13">
        <v>30</v>
      </c>
      <c r="G23" s="13">
        <v>43</v>
      </c>
      <c r="H23" s="13" t="str" cm="1">
        <f t="array" ref="H23">_xlfn.IFS(G23&lt;=20,"0-20",G23&lt;=30,"20-30",G23&lt;=40,"30-40",G23&lt;=50,"50-60",G23&lt;=60,"60-70",G23&lt;=70,"70-80",G23&lt;=80,"80-90")</f>
        <v>50-60</v>
      </c>
      <c r="I23" s="13">
        <v>2270</v>
      </c>
      <c r="J23" s="13" t="str" cm="1">
        <f t="array" ref="J23">_xlfn.IFS(K23=1,"Divorciado",L23=1,"Casado",M23=1,"Solteiro",N23=1,"Juntos",O23=1,"Viuvo")</f>
        <v>Juntos</v>
      </c>
      <c r="K23" s="13">
        <v>0</v>
      </c>
      <c r="L23" s="13">
        <v>0</v>
      </c>
      <c r="M23" s="13">
        <v>0</v>
      </c>
      <c r="N23" s="13">
        <v>1</v>
      </c>
      <c r="O23" s="13">
        <v>0</v>
      </c>
      <c r="P23" s="13">
        <v>1</v>
      </c>
      <c r="Q23" s="13">
        <v>0</v>
      </c>
      <c r="R23" s="13">
        <v>0</v>
      </c>
      <c r="S23" s="13">
        <v>0</v>
      </c>
      <c r="T23" s="13">
        <v>0</v>
      </c>
      <c r="U23" s="13">
        <v>938</v>
      </c>
      <c r="V23" s="13" t="str" cm="1">
        <f t="array" ref="V23">_xlfn.IFS(U23&lt;=250,"0-R$250",U23&lt;=500,"251-R$500",U23&lt;=750,"501-R$750",U23&lt;=1000,"751-R$1000",U23&lt;=1250,"1001-R$1250",U23&lt;=1500,"1251-R$1500")</f>
        <v>751-R$1000</v>
      </c>
      <c r="W23" s="13">
        <v>142</v>
      </c>
      <c r="X23" s="13" t="str" cm="1">
        <f t="array" ref="X23">_xlfn.IFS(W23 = 0, "0", W23&lt;=20, "até R$20",W23&lt;=40, "21 - R$40",W23&lt;=60, "41- R$60",W23&lt;=80, "61 - R$80", W23&lt;=100, "81 - R$100",W23&lt;=120, "101 - R$120",W23&lt;=140, "121 - R$140", W23&lt;=160, "141- R$160", W23&lt;=180, "161 - R$180", W23&lt;=200, "181-R$194")</f>
        <v>141- R$160</v>
      </c>
      <c r="Y23" s="13">
        <v>754</v>
      </c>
      <c r="Z23" s="13">
        <v>159</v>
      </c>
      <c r="AA23" s="13">
        <v>81</v>
      </c>
      <c r="AB23" s="13">
        <v>183</v>
      </c>
      <c r="AC23" s="13">
        <v>1</v>
      </c>
      <c r="AD23" s="13">
        <v>5</v>
      </c>
      <c r="AE23" s="13">
        <v>10</v>
      </c>
      <c r="AF23" s="13">
        <v>6</v>
      </c>
      <c r="AG23" s="13">
        <v>2</v>
      </c>
      <c r="AH23" s="13">
        <v>0</v>
      </c>
      <c r="AI23" s="13">
        <v>0</v>
      </c>
      <c r="AJ23" s="13">
        <v>1</v>
      </c>
      <c r="AK23" s="13">
        <v>1</v>
      </c>
      <c r="AL23" s="13">
        <v>1</v>
      </c>
      <c r="AM23" s="13">
        <v>0</v>
      </c>
      <c r="AN23" s="13">
        <v>1</v>
      </c>
      <c r="AO23" s="14">
        <v>3</v>
      </c>
      <c r="AP23" s="13">
        <v>3</v>
      </c>
      <c r="AQ23" s="13">
        <v>11</v>
      </c>
      <c r="AR23" s="15">
        <v>1891</v>
      </c>
      <c r="AS23" s="15">
        <v>2074</v>
      </c>
    </row>
    <row r="24" spans="1:45" x14ac:dyDescent="0.25">
      <c r="A24">
        <v>227</v>
      </c>
      <c r="B24" s="11">
        <f t="shared" si="0"/>
        <v>73455</v>
      </c>
      <c r="C24" s="16">
        <v>734550</v>
      </c>
      <c r="D24" s="17">
        <v>0</v>
      </c>
      <c r="E24" s="17">
        <v>0</v>
      </c>
      <c r="F24" s="17">
        <v>98</v>
      </c>
      <c r="G24" s="17">
        <v>52</v>
      </c>
      <c r="H24" s="13" t="str" cm="1">
        <f t="array" ref="H24">_xlfn.IFS(G24&lt;=20,"0-20",G24&lt;=30,"20-30",G24&lt;=40,"30-40",G24&lt;=50,"50-60",G24&lt;=60,"60-70",G24&lt;=70,"70-80",G24&lt;=80,"80-90")</f>
        <v>60-70</v>
      </c>
      <c r="I24" s="17">
        <v>2403</v>
      </c>
      <c r="J24" s="13" t="str" cm="1">
        <f t="array" ref="J24">_xlfn.IFS(K24=1,"Divorciado",L24=1,"Casado",M24=1,"Solteiro",N24=1,"Juntos",O24=1,"Viuvo")</f>
        <v>Viuvo</v>
      </c>
      <c r="K24" s="17">
        <v>0</v>
      </c>
      <c r="L24" s="17">
        <v>0</v>
      </c>
      <c r="M24" s="17">
        <v>0</v>
      </c>
      <c r="N24" s="17">
        <v>0</v>
      </c>
      <c r="O24" s="17">
        <v>1</v>
      </c>
      <c r="P24" s="17">
        <v>0</v>
      </c>
      <c r="Q24" s="17">
        <v>0</v>
      </c>
      <c r="R24" s="17">
        <v>1</v>
      </c>
      <c r="S24" s="17">
        <v>0</v>
      </c>
      <c r="T24" s="17">
        <v>0</v>
      </c>
      <c r="U24" s="17">
        <v>901</v>
      </c>
      <c r="V24" s="13" t="str" cm="1">
        <f t="array" ref="V24">_xlfn.IFS(U24&lt;=250,"0-R$250",U24&lt;=500,"251-R$500",U24&lt;=750,"501-R$750",U24&lt;=1000,"751-R$1000",U24&lt;=1250,"1001-R$1250",U24&lt;=1500,"1251-R$1500")</f>
        <v>751-R$1000</v>
      </c>
      <c r="W24" s="17">
        <v>61</v>
      </c>
      <c r="X24" s="13" t="str" cm="1">
        <f t="array" ref="X24">_xlfn.IFS(W24 = 0, "0", W24&lt;=20, "até R$20",W24&lt;=40, "21 - R$40",W24&lt;=60, "41- R$60",W24&lt;=80, "61 - R$80", W24&lt;=100, "81 - R$100",W24&lt;=120, "101 - R$120",W24&lt;=140, "121 - R$140", W24&lt;=160, "141- R$160", W24&lt;=180, "161 - R$180", W24&lt;=200, "181-R$194")</f>
        <v>61 - R$80</v>
      </c>
      <c r="Y24" s="17">
        <v>757</v>
      </c>
      <c r="Z24" s="17">
        <v>186</v>
      </c>
      <c r="AA24" s="17">
        <v>163</v>
      </c>
      <c r="AB24" s="17">
        <v>20</v>
      </c>
      <c r="AC24" s="17">
        <v>1</v>
      </c>
      <c r="AD24" s="17">
        <v>6</v>
      </c>
      <c r="AE24" s="17">
        <v>5</v>
      </c>
      <c r="AF24" s="17">
        <v>10</v>
      </c>
      <c r="AG24" s="17">
        <v>3</v>
      </c>
      <c r="AH24" s="17">
        <v>0</v>
      </c>
      <c r="AI24" s="17">
        <v>0</v>
      </c>
      <c r="AJ24" s="17">
        <v>1</v>
      </c>
      <c r="AK24" s="17">
        <v>0</v>
      </c>
      <c r="AL24" s="17">
        <v>0</v>
      </c>
      <c r="AM24" s="17">
        <v>0</v>
      </c>
      <c r="AN24" s="17">
        <v>0</v>
      </c>
      <c r="AO24" s="18">
        <v>1</v>
      </c>
      <c r="AP24" s="17">
        <v>3</v>
      </c>
      <c r="AQ24" s="17">
        <v>11</v>
      </c>
      <c r="AR24" s="19">
        <v>2048</v>
      </c>
      <c r="AS24" s="19">
        <v>2068</v>
      </c>
    </row>
    <row r="25" spans="1:45" x14ac:dyDescent="0.25">
      <c r="A25">
        <v>1957</v>
      </c>
      <c r="B25" s="11">
        <f t="shared" si="0"/>
        <v>94642</v>
      </c>
      <c r="C25" s="16">
        <v>946420</v>
      </c>
      <c r="D25" s="17">
        <v>0</v>
      </c>
      <c r="E25" s="17">
        <v>0</v>
      </c>
      <c r="F25" s="17">
        <v>35</v>
      </c>
      <c r="G25" s="17">
        <v>69</v>
      </c>
      <c r="H25" s="13" t="str" cm="1">
        <f t="array" ref="H25">_xlfn.IFS(G25&lt;=20,"0-20",G25&lt;=30,"20-30",G25&lt;=40,"30-40",G25&lt;=50,"50-60",G25&lt;=60,"60-70",G25&lt;=70,"70-80",G25&lt;=80,"80-90")</f>
        <v>70-80</v>
      </c>
      <c r="I25" s="17">
        <v>2296</v>
      </c>
      <c r="J25" s="13" t="str" cm="1">
        <f t="array" ref="J25">_xlfn.IFS(K25=1,"Divorciado",L25=1,"Casado",M25=1,"Solteiro",N25=1,"Juntos",O25=1,"Viuvo")</f>
        <v>Casado</v>
      </c>
      <c r="K25" s="17">
        <v>0</v>
      </c>
      <c r="L25" s="17">
        <v>1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1</v>
      </c>
      <c r="S25" s="17">
        <v>0</v>
      </c>
      <c r="T25" s="17">
        <v>0</v>
      </c>
      <c r="U25" s="17">
        <v>879</v>
      </c>
      <c r="V25" s="13" t="str" cm="1">
        <f t="array" ref="V25">_xlfn.IFS(U25&lt;=250,"0-R$250",U25&lt;=500,"251-R$500",U25&lt;=750,"501-R$750",U25&lt;=1000,"751-R$1000",U25&lt;=1250,"1001-R$1250",U25&lt;=1500,"1251-R$1500")</f>
        <v>751-R$1000</v>
      </c>
      <c r="W25" s="17">
        <v>143</v>
      </c>
      <c r="X25" s="13" t="str" cm="1">
        <f t="array" ref="X25">_xlfn.IFS(W25 = 0, "0", W25&lt;=20, "até R$20",W25&lt;=40, "21 - R$40",W25&lt;=60, "41- R$60",W25&lt;=80, "61 - R$80", W25&lt;=100, "81 - R$100",W25&lt;=120, "101 - R$120",W25&lt;=140, "121 - R$140", W25&lt;=160, "141- R$160", W25&lt;=180, "161 - R$180", W25&lt;=200, "181-R$194")</f>
        <v>141- R$160</v>
      </c>
      <c r="Y25" s="17">
        <v>797</v>
      </c>
      <c r="Z25" s="17">
        <v>106</v>
      </c>
      <c r="AA25" s="17">
        <v>143</v>
      </c>
      <c r="AB25" s="17">
        <v>143</v>
      </c>
      <c r="AC25" s="17">
        <v>0</v>
      </c>
      <c r="AD25" s="17">
        <v>5</v>
      </c>
      <c r="AE25" s="17">
        <v>7</v>
      </c>
      <c r="AF25" s="17">
        <v>9</v>
      </c>
      <c r="AG25" s="17">
        <v>1</v>
      </c>
      <c r="AH25" s="17">
        <v>0</v>
      </c>
      <c r="AI25" s="17">
        <v>0</v>
      </c>
      <c r="AJ25" s="17">
        <v>0</v>
      </c>
      <c r="AK25" s="17">
        <v>1</v>
      </c>
      <c r="AL25" s="17">
        <v>1</v>
      </c>
      <c r="AM25" s="17">
        <v>0</v>
      </c>
      <c r="AN25" s="17">
        <v>0</v>
      </c>
      <c r="AO25" s="18">
        <v>2</v>
      </c>
      <c r="AP25" s="17">
        <v>3</v>
      </c>
      <c r="AQ25" s="17">
        <v>11</v>
      </c>
      <c r="AR25" s="19">
        <v>1925</v>
      </c>
      <c r="AS25" s="19">
        <v>2068</v>
      </c>
    </row>
    <row r="26" spans="1:45" x14ac:dyDescent="0.25">
      <c r="A26">
        <v>575</v>
      </c>
      <c r="B26" s="11">
        <f t="shared" si="0"/>
        <v>92163</v>
      </c>
      <c r="C26" s="16">
        <v>921630</v>
      </c>
      <c r="D26" s="17">
        <v>0</v>
      </c>
      <c r="E26" s="17">
        <v>0</v>
      </c>
      <c r="F26" s="17">
        <v>25</v>
      </c>
      <c r="G26" s="17">
        <v>45</v>
      </c>
      <c r="H26" s="13" t="str" cm="1">
        <f t="array" ref="H26">_xlfn.IFS(G26&lt;=20,"0-20",G26&lt;=30,"20-30",G26&lt;=40,"30-40",G26&lt;=50,"50-60",G26&lt;=60,"60-70",G26&lt;=70,"70-80",G26&lt;=80,"80-90")</f>
        <v>50-60</v>
      </c>
      <c r="I26" s="17">
        <v>2723</v>
      </c>
      <c r="J26" s="13" t="str" cm="1">
        <f t="array" ref="J26">_xlfn.IFS(K26=1,"Divorciado",L26=1,"Casado",M26=1,"Solteiro",N26=1,"Juntos",O26=1,"Viuvo")</f>
        <v>Casado</v>
      </c>
      <c r="K26" s="17">
        <v>0</v>
      </c>
      <c r="L26" s="17">
        <v>1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1</v>
      </c>
      <c r="T26" s="17">
        <v>0</v>
      </c>
      <c r="U26" s="17">
        <v>817</v>
      </c>
      <c r="V26" s="13" t="str" cm="1">
        <f t="array" ref="V26">_xlfn.IFS(U26&lt;=250,"0-R$250",U26&lt;=500,"251-R$500",U26&lt;=750,"501-R$750",U26&lt;=1000,"751-R$1000",U26&lt;=1250,"1001-R$1250",U26&lt;=1500,"1251-R$1500")</f>
        <v>751-R$1000</v>
      </c>
      <c r="W26" s="17">
        <v>183</v>
      </c>
      <c r="X26" s="13" t="str" cm="1">
        <f t="array" ref="X26">_xlfn.IFS(W26 = 0, "0", W26&lt;=20, "até R$20",W26&lt;=40, "21 - R$40",W26&lt;=60, "41- R$60",W26&lt;=80, "61 - R$80", W26&lt;=100, "81 - R$100",W26&lt;=120, "101 - R$120",W26&lt;=140, "121 - R$140", W26&lt;=160, "141- R$160", W26&lt;=180, "161 - R$180", W26&lt;=200, "181-R$194")</f>
        <v>181-R$194</v>
      </c>
      <c r="Y26" s="17">
        <v>797</v>
      </c>
      <c r="Z26" s="17">
        <v>106</v>
      </c>
      <c r="AA26" s="17">
        <v>163</v>
      </c>
      <c r="AB26" s="17">
        <v>20</v>
      </c>
      <c r="AC26" s="17">
        <v>0</v>
      </c>
      <c r="AD26" s="17">
        <v>5</v>
      </c>
      <c r="AE26" s="17">
        <v>11</v>
      </c>
      <c r="AF26" s="17">
        <v>5</v>
      </c>
      <c r="AG26" s="17">
        <v>2</v>
      </c>
      <c r="AH26" s="17">
        <v>0</v>
      </c>
      <c r="AI26" s="17">
        <v>0</v>
      </c>
      <c r="AJ26" s="17">
        <v>0</v>
      </c>
      <c r="AK26" s="17">
        <v>1</v>
      </c>
      <c r="AL26" s="17">
        <v>1</v>
      </c>
      <c r="AM26" s="17">
        <v>0</v>
      </c>
      <c r="AN26" s="17">
        <v>1</v>
      </c>
      <c r="AO26" s="18">
        <v>2</v>
      </c>
      <c r="AP26" s="17">
        <v>3</v>
      </c>
      <c r="AQ26" s="17">
        <v>11</v>
      </c>
      <c r="AR26" s="19">
        <v>2046</v>
      </c>
      <c r="AS26" s="19">
        <v>2066</v>
      </c>
    </row>
    <row r="27" spans="1:45" x14ac:dyDescent="0.25">
      <c r="A27">
        <v>499</v>
      </c>
      <c r="B27" s="11">
        <f t="shared" si="0"/>
        <v>81169</v>
      </c>
      <c r="C27" s="16">
        <v>811690</v>
      </c>
      <c r="D27" s="17">
        <v>0</v>
      </c>
      <c r="E27" s="17">
        <v>0</v>
      </c>
      <c r="F27" s="17">
        <v>47</v>
      </c>
      <c r="G27" s="17">
        <v>45</v>
      </c>
      <c r="H27" s="13" t="str" cm="1">
        <f t="array" ref="H27">_xlfn.IFS(G27&lt;=20,"0-20",G27&lt;=30,"20-30",G27&lt;=40,"30-40",G27&lt;=50,"50-60",G27&lt;=60,"60-70",G27&lt;=70,"70-80",G27&lt;=80,"80-90")</f>
        <v>50-60</v>
      </c>
      <c r="I27" s="17">
        <v>2600</v>
      </c>
      <c r="J27" s="13" t="str" cm="1">
        <f t="array" ref="J27">_xlfn.IFS(K27=1,"Divorciado",L27=1,"Casado",M27=1,"Solteiro",N27=1,"Juntos",O27=1,"Viuvo")</f>
        <v>Solteiro</v>
      </c>
      <c r="K27" s="17">
        <v>0</v>
      </c>
      <c r="L27" s="17">
        <v>0</v>
      </c>
      <c r="M27" s="17">
        <v>1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1</v>
      </c>
      <c r="T27" s="17">
        <v>0</v>
      </c>
      <c r="U27" s="17">
        <v>1288</v>
      </c>
      <c r="V27" s="13" t="str" cm="1">
        <f t="array" ref="V27">_xlfn.IFS(U27&lt;=250,"0-R$250",U27&lt;=500,"251-R$500",U27&lt;=750,"501-R$750",U27&lt;=1000,"751-R$1000",U27&lt;=1250,"1001-R$1250",U27&lt;=1500,"1251-R$1500")</f>
        <v>1251-R$1500</v>
      </c>
      <c r="W27" s="17">
        <v>20</v>
      </c>
      <c r="X27" s="13" t="str" cm="1">
        <f t="array" ref="X27">_xlfn.IFS(W27 = 0, "0", W27&lt;=20, "até R$20",W27&lt;=40, "21 - R$40",W27&lt;=60, "41- R$60",W27&lt;=80, "61 - R$80", W27&lt;=100, "81 - R$100",W27&lt;=120, "101 - R$120",W27&lt;=140, "121 - R$140", W27&lt;=160, "141- R$160", W27&lt;=180, "161 - R$180", W27&lt;=200, "181-R$194")</f>
        <v>até R$20</v>
      </c>
      <c r="Y27" s="17">
        <v>613</v>
      </c>
      <c r="Z27" s="17">
        <v>80</v>
      </c>
      <c r="AA27" s="17">
        <v>61</v>
      </c>
      <c r="AB27" s="17">
        <v>27</v>
      </c>
      <c r="AC27" s="17">
        <v>1</v>
      </c>
      <c r="AD27" s="17">
        <v>5</v>
      </c>
      <c r="AE27" s="17">
        <v>7</v>
      </c>
      <c r="AF27" s="17">
        <v>9</v>
      </c>
      <c r="AG27" s="17">
        <v>2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8">
        <v>0</v>
      </c>
      <c r="AP27" s="17">
        <v>3</v>
      </c>
      <c r="AQ27" s="17">
        <v>11</v>
      </c>
      <c r="AR27" s="19">
        <v>2035</v>
      </c>
      <c r="AS27" s="19">
        <v>2062</v>
      </c>
    </row>
    <row r="28" spans="1:45" x14ac:dyDescent="0.25">
      <c r="A28">
        <v>130</v>
      </c>
      <c r="B28" s="11">
        <f t="shared" si="0"/>
        <v>92859</v>
      </c>
      <c r="C28" s="12">
        <v>928590</v>
      </c>
      <c r="D28" s="13">
        <v>0</v>
      </c>
      <c r="E28" s="13">
        <v>0</v>
      </c>
      <c r="F28" s="13">
        <v>46</v>
      </c>
      <c r="G28" s="13">
        <v>28</v>
      </c>
      <c r="H28" s="13" t="str" cm="1">
        <f t="array" ref="H28">_xlfn.IFS(G28&lt;=20,"0-20",G28&lt;=30,"20-30",G28&lt;=40,"30-40",G28&lt;=50,"50-60",G28&lt;=60,"60-70",G28&lt;=70,"70-80",G28&lt;=80,"80-90")</f>
        <v>20-30</v>
      </c>
      <c r="I28" s="13">
        <v>2777</v>
      </c>
      <c r="J28" s="13" t="str" cm="1">
        <f t="array" ref="J28">_xlfn.IFS(K28=1,"Divorciado",L28=1,"Casado",M28=1,"Solteiro",N28=1,"Juntos",O28=1,"Viuvo")</f>
        <v>Solteiro</v>
      </c>
      <c r="K28" s="13">
        <v>0</v>
      </c>
      <c r="L28" s="13">
        <v>0</v>
      </c>
      <c r="M28" s="13">
        <v>1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1</v>
      </c>
      <c r="T28" s="13">
        <v>0</v>
      </c>
      <c r="U28" s="13">
        <v>962</v>
      </c>
      <c r="V28" s="13" t="str" cm="1">
        <f t="array" ref="V28">_xlfn.IFS(U28&lt;=250,"0-R$250",U28&lt;=500,"251-R$500",U28&lt;=750,"501-R$750",U28&lt;=1000,"751-R$1000",U28&lt;=1250,"1001-R$1250",U28&lt;=1500,"1251-R$1500")</f>
        <v>751-R$1000</v>
      </c>
      <c r="W28" s="13">
        <v>61</v>
      </c>
      <c r="X28" s="13" t="str" cm="1">
        <f t="array" ref="X28">_xlfn.IFS(W28 = 0, "0", W28&lt;=20, "até R$20",W28&lt;=40, "21 - R$40",W28&lt;=60, "41- R$60",W28&lt;=80, "61 - R$80", W28&lt;=100, "81 - R$100",W28&lt;=120, "101 - R$120",W28&lt;=140, "121 - R$140", W28&lt;=160, "141- R$160", W28&lt;=180, "161 - R$180", W28&lt;=200, "181-R$194")</f>
        <v>61 - R$80</v>
      </c>
      <c r="Y28" s="13">
        <v>921</v>
      </c>
      <c r="Z28" s="13">
        <v>52</v>
      </c>
      <c r="AA28" s="13">
        <v>61</v>
      </c>
      <c r="AB28" s="13">
        <v>20</v>
      </c>
      <c r="AC28" s="13">
        <v>1</v>
      </c>
      <c r="AD28" s="13">
        <v>5</v>
      </c>
      <c r="AE28" s="13">
        <v>4</v>
      </c>
      <c r="AF28" s="13">
        <v>12</v>
      </c>
      <c r="AG28" s="13">
        <v>2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4">
        <v>0</v>
      </c>
      <c r="AP28" s="13">
        <v>3</v>
      </c>
      <c r="AQ28" s="13">
        <v>11</v>
      </c>
      <c r="AR28" s="15">
        <v>2037</v>
      </c>
      <c r="AS28" s="15">
        <v>2057</v>
      </c>
    </row>
    <row r="29" spans="1:45" x14ac:dyDescent="0.25">
      <c r="A29">
        <v>1685</v>
      </c>
      <c r="B29" s="11">
        <f t="shared" si="0"/>
        <v>83512</v>
      </c>
      <c r="C29" s="16">
        <v>835120</v>
      </c>
      <c r="D29" s="17">
        <v>0</v>
      </c>
      <c r="E29" s="17">
        <v>0</v>
      </c>
      <c r="F29" s="17">
        <v>31</v>
      </c>
      <c r="G29" s="17">
        <v>34</v>
      </c>
      <c r="H29" s="13" t="str" cm="1">
        <f t="array" ref="H29">_xlfn.IFS(G29&lt;=20,"0-20",G29&lt;=30,"20-30",G29&lt;=40,"30-40",G29&lt;=50,"50-60",G29&lt;=60,"60-70",G29&lt;=70,"70-80",G29&lt;=80,"80-90")</f>
        <v>30-40</v>
      </c>
      <c r="I29" s="17">
        <v>2171</v>
      </c>
      <c r="J29" s="13" t="str" cm="1">
        <f t="array" ref="J29">_xlfn.IFS(K29=1,"Divorciado",L29=1,"Casado",M29=1,"Solteiro",N29=1,"Juntos",O29=1,"Viuvo")</f>
        <v>Casado</v>
      </c>
      <c r="K29" s="17">
        <v>0</v>
      </c>
      <c r="L29" s="17">
        <v>1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1</v>
      </c>
      <c r="S29" s="17">
        <v>0</v>
      </c>
      <c r="T29" s="17">
        <v>0</v>
      </c>
      <c r="U29" s="17">
        <v>1060</v>
      </c>
      <c r="V29" s="13" t="str" cm="1">
        <f t="array" ref="V29">_xlfn.IFS(U29&lt;=250,"0-R$250",U29&lt;=500,"251-R$500",U29&lt;=750,"501-R$750",U29&lt;=1000,"751-R$1000",U29&lt;=1250,"1001-R$1250",U29&lt;=1500,"1251-R$1500")</f>
        <v>1001-R$1250</v>
      </c>
      <c r="W29" s="17">
        <v>61</v>
      </c>
      <c r="X29" s="13" t="str" cm="1">
        <f t="array" ref="X29">_xlfn.IFS(W29 = 0, "0", W29&lt;=20, "até R$20",W29&lt;=40, "21 - R$40",W29&lt;=60, "41- R$60",W29&lt;=80, "61 - R$80", W29&lt;=100, "81 - R$100",W29&lt;=120, "101 - R$120",W29&lt;=140, "121 - R$140", W29&lt;=160, "141- R$160", W29&lt;=180, "161 - R$180", W29&lt;=200, "181-R$194")</f>
        <v>61 - R$80</v>
      </c>
      <c r="Y29" s="17">
        <v>835</v>
      </c>
      <c r="Z29" s="17">
        <v>80</v>
      </c>
      <c r="AA29" s="17">
        <v>20</v>
      </c>
      <c r="AB29" s="17">
        <v>101</v>
      </c>
      <c r="AC29" s="17">
        <v>1</v>
      </c>
      <c r="AD29" s="17">
        <v>4</v>
      </c>
      <c r="AE29" s="17">
        <v>7</v>
      </c>
      <c r="AF29" s="17">
        <v>10</v>
      </c>
      <c r="AG29" s="17">
        <v>1</v>
      </c>
      <c r="AH29" s="17">
        <v>0</v>
      </c>
      <c r="AI29" s="17">
        <v>1</v>
      </c>
      <c r="AJ29" s="17">
        <v>0</v>
      </c>
      <c r="AK29" s="17">
        <v>1</v>
      </c>
      <c r="AL29" s="17">
        <v>1</v>
      </c>
      <c r="AM29" s="17">
        <v>1</v>
      </c>
      <c r="AN29" s="17">
        <v>1</v>
      </c>
      <c r="AO29" s="18">
        <v>4</v>
      </c>
      <c r="AP29" s="17">
        <v>3</v>
      </c>
      <c r="AQ29" s="17">
        <v>11</v>
      </c>
      <c r="AR29" s="19">
        <v>1955</v>
      </c>
      <c r="AS29" s="19">
        <v>2056</v>
      </c>
    </row>
    <row r="30" spans="1:45" x14ac:dyDescent="0.25">
      <c r="A30">
        <v>1647</v>
      </c>
      <c r="B30" s="11">
        <f t="shared" si="0"/>
        <v>80141</v>
      </c>
      <c r="C30" s="16">
        <v>801410</v>
      </c>
      <c r="D30" s="17">
        <v>0</v>
      </c>
      <c r="E30" s="17">
        <v>0</v>
      </c>
      <c r="F30" s="17">
        <v>20</v>
      </c>
      <c r="G30" s="17">
        <v>34</v>
      </c>
      <c r="H30" s="13" t="str" cm="1">
        <f t="array" ref="H30">_xlfn.IFS(G30&lt;=20,"0-20",G30&lt;=30,"20-30",G30&lt;=40,"30-40",G30&lt;=50,"50-60",G30&lt;=60,"60-70",G30&lt;=70,"70-80",G30&lt;=80,"80-90")</f>
        <v>30-40</v>
      </c>
      <c r="I30" s="17">
        <v>2693</v>
      </c>
      <c r="J30" s="13" t="str" cm="1">
        <f t="array" ref="J30">_xlfn.IFS(K30=1,"Divorciado",L30=1,"Casado",M30=1,"Solteiro",N30=1,"Juntos",O30=1,"Viuvo")</f>
        <v>Casado</v>
      </c>
      <c r="K30" s="17">
        <v>0</v>
      </c>
      <c r="L30" s="17">
        <v>1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1</v>
      </c>
      <c r="T30" s="17">
        <v>0</v>
      </c>
      <c r="U30" s="17">
        <v>1184</v>
      </c>
      <c r="V30" s="13" t="str" cm="1">
        <f t="array" ref="V30">_xlfn.IFS(U30&lt;=250,"0-R$250",U30&lt;=500,"251-R$500",U30&lt;=750,"501-R$750",U30&lt;=1000,"751-R$1000",U30&lt;=1250,"1001-R$1250",U30&lt;=1500,"1251-R$1500")</f>
        <v>1001-R$1250</v>
      </c>
      <c r="W30" s="17">
        <v>102</v>
      </c>
      <c r="X30" s="13" t="str" cm="1">
        <f t="array" ref="X30">_xlfn.IFS(W30 = 0, "0", W30&lt;=20, "até R$20",W30&lt;=40, "21 - R$40",W30&lt;=60, "41- R$60",W30&lt;=80, "61 - R$80", W30&lt;=100, "81 - R$100",W30&lt;=120, "101 - R$120",W30&lt;=140, "121 - R$140", W30&lt;=160, "141- R$160", W30&lt;=180, "161 - R$180", W30&lt;=200, "181-R$194")</f>
        <v>101 - R$120</v>
      </c>
      <c r="Y30" s="17">
        <v>673</v>
      </c>
      <c r="Z30" s="17">
        <v>52</v>
      </c>
      <c r="AA30" s="17">
        <v>40</v>
      </c>
      <c r="AB30" s="17">
        <v>40</v>
      </c>
      <c r="AC30" s="17">
        <v>1</v>
      </c>
      <c r="AD30" s="17">
        <v>7</v>
      </c>
      <c r="AE30" s="17">
        <v>4</v>
      </c>
      <c r="AF30" s="17">
        <v>10</v>
      </c>
      <c r="AG30" s="17">
        <v>6</v>
      </c>
      <c r="AH30" s="17">
        <v>0</v>
      </c>
      <c r="AI30" s="17">
        <v>0</v>
      </c>
      <c r="AJ30" s="17">
        <v>0</v>
      </c>
      <c r="AK30" s="17">
        <v>1</v>
      </c>
      <c r="AL30" s="17">
        <v>0</v>
      </c>
      <c r="AM30" s="17">
        <v>0</v>
      </c>
      <c r="AN30" s="17">
        <v>1</v>
      </c>
      <c r="AO30" s="18">
        <v>1</v>
      </c>
      <c r="AP30" s="17">
        <v>3</v>
      </c>
      <c r="AQ30" s="17">
        <v>11</v>
      </c>
      <c r="AR30" s="19">
        <v>2011</v>
      </c>
      <c r="AS30" s="19">
        <v>2051</v>
      </c>
    </row>
    <row r="31" spans="1:45" x14ac:dyDescent="0.25">
      <c r="A31">
        <v>991</v>
      </c>
      <c r="B31" s="11">
        <f t="shared" si="0"/>
        <v>77568</v>
      </c>
      <c r="C31" s="16">
        <v>775680</v>
      </c>
      <c r="D31" s="17">
        <v>0</v>
      </c>
      <c r="E31" s="17">
        <v>1</v>
      </c>
      <c r="F31" s="17">
        <v>30</v>
      </c>
      <c r="G31" s="17">
        <v>41</v>
      </c>
      <c r="H31" s="13" t="str" cm="1">
        <f t="array" ref="H31">_xlfn.IFS(G31&lt;=20,"0-20",G31&lt;=30,"20-30",G31&lt;=40,"30-40",G31&lt;=50,"50-60",G31&lt;=60,"60-70",G31&lt;=70,"70-80",G31&lt;=80,"80-90")</f>
        <v>50-60</v>
      </c>
      <c r="I31" s="17">
        <v>2832</v>
      </c>
      <c r="J31" s="13" t="str" cm="1">
        <f t="array" ref="J31">_xlfn.IFS(K31=1,"Divorciado",L31=1,"Casado",M31=1,"Solteiro",N31=1,"Juntos",O31=1,"Viuvo")</f>
        <v>Juntos</v>
      </c>
      <c r="K31" s="17">
        <v>0</v>
      </c>
      <c r="L31" s="17">
        <v>0</v>
      </c>
      <c r="M31" s="17">
        <v>0</v>
      </c>
      <c r="N31" s="17">
        <v>1</v>
      </c>
      <c r="O31" s="17">
        <v>0</v>
      </c>
      <c r="P31" s="17">
        <v>0</v>
      </c>
      <c r="Q31" s="17">
        <v>0</v>
      </c>
      <c r="R31" s="17">
        <v>1</v>
      </c>
      <c r="S31" s="17">
        <v>0</v>
      </c>
      <c r="T31" s="17">
        <v>0</v>
      </c>
      <c r="U31" s="17">
        <v>1230</v>
      </c>
      <c r="V31" s="13" t="str" cm="1">
        <f t="array" ref="V31">_xlfn.IFS(U31&lt;=250,"0-R$250",U31&lt;=500,"251-R$500",U31&lt;=750,"501-R$750",U31&lt;=1000,"751-R$1000",U31&lt;=1250,"1001-R$1250",U31&lt;=1500,"1251-R$1500")</f>
        <v>1001-R$1250</v>
      </c>
      <c r="W31" s="17">
        <v>0</v>
      </c>
      <c r="X31" s="13" t="str" cm="1">
        <f t="array" ref="X31">_xlfn.IFS(W31 = 0, "0", W31&lt;=20, "até R$20",W31&lt;=40, "21 - R$40",W31&lt;=60, "41- R$60",W31&lt;=80, "61 - R$80", W31&lt;=100, "81 - R$100",W31&lt;=120, "101 - R$120",W31&lt;=140, "121 - R$140", W31&lt;=160, "141- R$160", W31&lt;=180, "161 - R$180", W31&lt;=200, "181-R$194")</f>
        <v>0</v>
      </c>
      <c r="Y31" s="17">
        <v>396</v>
      </c>
      <c r="Z31" s="17">
        <v>232</v>
      </c>
      <c r="AA31" s="17">
        <v>178</v>
      </c>
      <c r="AB31" s="17">
        <v>158</v>
      </c>
      <c r="AC31" s="17">
        <v>1</v>
      </c>
      <c r="AD31" s="17">
        <v>10</v>
      </c>
      <c r="AE31" s="17">
        <v>2</v>
      </c>
      <c r="AF31" s="17">
        <v>8</v>
      </c>
      <c r="AG31" s="17">
        <v>5</v>
      </c>
      <c r="AH31" s="17">
        <v>0</v>
      </c>
      <c r="AI31" s="17">
        <v>0</v>
      </c>
      <c r="AJ31" s="17">
        <v>1</v>
      </c>
      <c r="AK31" s="17">
        <v>1</v>
      </c>
      <c r="AL31" s="17">
        <v>1</v>
      </c>
      <c r="AM31" s="17">
        <v>0</v>
      </c>
      <c r="AN31" s="17">
        <v>0</v>
      </c>
      <c r="AO31" s="18">
        <v>3</v>
      </c>
      <c r="AP31" s="17">
        <v>3</v>
      </c>
      <c r="AQ31" s="17">
        <v>11</v>
      </c>
      <c r="AR31" s="19">
        <v>1878</v>
      </c>
      <c r="AS31" s="19">
        <v>2036</v>
      </c>
    </row>
    <row r="32" spans="1:45" x14ac:dyDescent="0.25">
      <c r="A32">
        <v>1696</v>
      </c>
      <c r="B32" s="11">
        <f t="shared" si="0"/>
        <v>92491</v>
      </c>
      <c r="C32" s="12">
        <v>924910</v>
      </c>
      <c r="D32" s="13">
        <v>0</v>
      </c>
      <c r="E32" s="13">
        <v>0</v>
      </c>
      <c r="F32" s="13">
        <v>71</v>
      </c>
      <c r="G32" s="13">
        <v>37</v>
      </c>
      <c r="H32" s="13" t="str" cm="1">
        <f t="array" ref="H32">_xlfn.IFS(G32&lt;=20,"0-20",G32&lt;=30,"20-30",G32&lt;=40,"30-40",G32&lt;=50,"50-60",G32&lt;=60,"60-70",G32&lt;=70,"70-80",G32&lt;=80,"80-90")</f>
        <v>30-40</v>
      </c>
      <c r="I32" s="13">
        <v>2583</v>
      </c>
      <c r="J32" s="13" t="str" cm="1">
        <f t="array" ref="J32">_xlfn.IFS(K32=1,"Divorciado",L32=1,"Casado",M32=1,"Solteiro",N32=1,"Juntos",O32=1,"Viuvo")</f>
        <v>Casado</v>
      </c>
      <c r="K32" s="13">
        <v>0</v>
      </c>
      <c r="L32" s="13">
        <v>1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1</v>
      </c>
      <c r="U32" s="13">
        <v>979</v>
      </c>
      <c r="V32" s="13" t="str" cm="1">
        <f t="array" ref="V32">_xlfn.IFS(U32&lt;=250,"0-R$250",U32&lt;=500,"251-R$500",U32&lt;=750,"501-R$750",U32&lt;=1000,"751-R$1000",U32&lt;=1250,"1001-R$1250",U32&lt;=1500,"1251-R$1500")</f>
        <v>751-R$1000</v>
      </c>
      <c r="W32" s="13">
        <v>44</v>
      </c>
      <c r="X32" s="13" t="str" cm="1">
        <f t="array" ref="X32">_xlfn.IFS(W32 = 0, "0", W32&lt;=20, "até R$20",W32&lt;=40, "21 - R$40",W32&lt;=60, "41- R$60",W32&lt;=80, "61 - R$80", W32&lt;=100, "81 - R$100",W32&lt;=120, "101 - R$120",W32&lt;=140, "121 - R$140", W32&lt;=160, "141- R$160", W32&lt;=180, "161 - R$180", W32&lt;=200, "181-R$194")</f>
        <v>41- R$60</v>
      </c>
      <c r="Y32" s="13">
        <v>935</v>
      </c>
      <c r="Z32" s="13">
        <v>29</v>
      </c>
      <c r="AA32" s="13">
        <v>25</v>
      </c>
      <c r="AB32" s="13">
        <v>22</v>
      </c>
      <c r="AC32" s="13">
        <v>1</v>
      </c>
      <c r="AD32" s="13">
        <v>7</v>
      </c>
      <c r="AE32" s="13">
        <v>5</v>
      </c>
      <c r="AF32" s="13">
        <v>12</v>
      </c>
      <c r="AG32" s="13">
        <v>3</v>
      </c>
      <c r="AH32" s="13">
        <v>0</v>
      </c>
      <c r="AI32" s="13">
        <v>0</v>
      </c>
      <c r="AJ32" s="13">
        <v>1</v>
      </c>
      <c r="AK32" s="13">
        <v>1</v>
      </c>
      <c r="AL32" s="13">
        <v>1</v>
      </c>
      <c r="AM32" s="13">
        <v>0</v>
      </c>
      <c r="AN32" s="13">
        <v>1</v>
      </c>
      <c r="AO32" s="14">
        <v>3</v>
      </c>
      <c r="AP32" s="13">
        <v>3</v>
      </c>
      <c r="AQ32" s="13">
        <v>11</v>
      </c>
      <c r="AR32" s="15">
        <v>1990</v>
      </c>
      <c r="AS32" s="15">
        <v>2012</v>
      </c>
    </row>
    <row r="33" spans="1:45" x14ac:dyDescent="0.25">
      <c r="A33">
        <v>1056</v>
      </c>
      <c r="B33" s="11">
        <f t="shared" si="0"/>
        <v>88347</v>
      </c>
      <c r="C33" s="12">
        <v>883470</v>
      </c>
      <c r="D33" s="13">
        <v>0</v>
      </c>
      <c r="E33" s="13">
        <v>0</v>
      </c>
      <c r="F33" s="13">
        <v>32</v>
      </c>
      <c r="G33" s="13">
        <v>59</v>
      </c>
      <c r="H33" s="13" t="str" cm="1">
        <f t="array" ref="H33">_xlfn.IFS(G33&lt;=20,"0-20",G33&lt;=30,"20-30",G33&lt;=40,"30-40",G33&lt;=50,"50-60",G33&lt;=60,"60-70",G33&lt;=70,"70-80",G33&lt;=80,"80-90")</f>
        <v>60-70</v>
      </c>
      <c r="I33" s="13">
        <v>2520</v>
      </c>
      <c r="J33" s="13" t="str" cm="1">
        <f t="array" ref="J33">_xlfn.IFS(K33=1,"Divorciado",L33=1,"Casado",M33=1,"Solteiro",N33=1,"Juntos",O33=1,"Viuvo")</f>
        <v>Juntos</v>
      </c>
      <c r="K33" s="13">
        <v>0</v>
      </c>
      <c r="L33" s="13">
        <v>0</v>
      </c>
      <c r="M33" s="13">
        <v>0</v>
      </c>
      <c r="N33" s="13">
        <v>1</v>
      </c>
      <c r="O33" s="13">
        <v>0</v>
      </c>
      <c r="P33" s="13">
        <v>0</v>
      </c>
      <c r="Q33" s="13">
        <v>0</v>
      </c>
      <c r="R33" s="13">
        <v>1</v>
      </c>
      <c r="S33" s="13">
        <v>0</v>
      </c>
      <c r="T33" s="13">
        <v>0</v>
      </c>
      <c r="U33" s="13">
        <v>1050</v>
      </c>
      <c r="V33" s="13" t="str" cm="1">
        <f t="array" ref="V33">_xlfn.IFS(U33&lt;=250,"0-R$250",U33&lt;=500,"251-R$500",U33&lt;=750,"501-R$750",U33&lt;=1000,"751-R$1000",U33&lt;=1250,"1001-R$1250",U33&lt;=1500,"1251-R$1500")</f>
        <v>1001-R$1250</v>
      </c>
      <c r="W33" s="13">
        <v>178</v>
      </c>
      <c r="X33" s="13" t="str" cm="1">
        <f t="array" ref="X33">_xlfn.IFS(W33 = 0, "0", W33&lt;=20, "até R$20",W33&lt;=40, "21 - R$40",W33&lt;=60, "41- R$60",W33&lt;=80, "61 - R$80", W33&lt;=100, "81 - R$100",W33&lt;=120, "101 - R$120",W33&lt;=140, "121 - R$140", W33&lt;=160, "141- R$160", W33&lt;=180, "161 - R$180", W33&lt;=200, "181-R$194")</f>
        <v>161 - R$180</v>
      </c>
      <c r="Y33" s="13">
        <v>555</v>
      </c>
      <c r="Z33" s="13">
        <v>77</v>
      </c>
      <c r="AA33" s="13">
        <v>138</v>
      </c>
      <c r="AB33" s="13">
        <v>118</v>
      </c>
      <c r="AC33" s="13">
        <v>1</v>
      </c>
      <c r="AD33" s="13">
        <v>4</v>
      </c>
      <c r="AE33" s="13">
        <v>7</v>
      </c>
      <c r="AF33" s="13">
        <v>9</v>
      </c>
      <c r="AG33" s="13">
        <v>1</v>
      </c>
      <c r="AH33" s="13">
        <v>0</v>
      </c>
      <c r="AI33" s="13">
        <v>0</v>
      </c>
      <c r="AJ33" s="13">
        <v>0</v>
      </c>
      <c r="AK33" s="13">
        <v>0</v>
      </c>
      <c r="AL33" s="13">
        <v>1</v>
      </c>
      <c r="AM33" s="13">
        <v>0</v>
      </c>
      <c r="AN33" s="13">
        <v>0</v>
      </c>
      <c r="AO33" s="14">
        <v>1</v>
      </c>
      <c r="AP33" s="13">
        <v>3</v>
      </c>
      <c r="AQ33" s="13">
        <v>11</v>
      </c>
      <c r="AR33" s="15">
        <v>1880</v>
      </c>
      <c r="AS33" s="15">
        <v>1998</v>
      </c>
    </row>
    <row r="34" spans="1:45" x14ac:dyDescent="0.25">
      <c r="A34">
        <v>440</v>
      </c>
      <c r="B34" s="11">
        <f t="shared" si="0"/>
        <v>89572</v>
      </c>
      <c r="C34" s="12">
        <v>895720</v>
      </c>
      <c r="D34" s="13">
        <v>0</v>
      </c>
      <c r="E34" s="13">
        <v>0</v>
      </c>
      <c r="F34" s="13">
        <v>44</v>
      </c>
      <c r="G34" s="13">
        <v>54</v>
      </c>
      <c r="H34" s="13" t="str" cm="1">
        <f t="array" ref="H34">_xlfn.IFS(G34&lt;=20,"0-20",G34&lt;=30,"20-30",G34&lt;=40,"30-40",G34&lt;=50,"50-60",G34&lt;=60,"60-70",G34&lt;=70,"70-80",G34&lt;=80,"80-90")</f>
        <v>60-70</v>
      </c>
      <c r="I34" s="13">
        <v>2811</v>
      </c>
      <c r="J34" s="13" t="str" cm="1">
        <f t="array" ref="J34">_xlfn.IFS(K34=1,"Divorciado",L34=1,"Casado",M34=1,"Solteiro",N34=1,"Juntos",O34=1,"Viuvo")</f>
        <v>Solteiro</v>
      </c>
      <c r="K34" s="13">
        <v>0</v>
      </c>
      <c r="L34" s="13">
        <v>0</v>
      </c>
      <c r="M34" s="13">
        <v>1</v>
      </c>
      <c r="N34" s="13">
        <v>0</v>
      </c>
      <c r="O34" s="13">
        <v>0</v>
      </c>
      <c r="P34" s="13">
        <v>1</v>
      </c>
      <c r="Q34" s="13">
        <v>0</v>
      </c>
      <c r="R34" s="13">
        <v>0</v>
      </c>
      <c r="S34" s="13">
        <v>0</v>
      </c>
      <c r="T34" s="13">
        <v>0</v>
      </c>
      <c r="U34" s="13">
        <v>606</v>
      </c>
      <c r="V34" s="13" t="str" cm="1">
        <f t="array" ref="V34">_xlfn.IFS(U34&lt;=250,"0-R$250",U34&lt;=500,"251-R$500",U34&lt;=750,"501-R$750",U34&lt;=1000,"751-R$1000",U34&lt;=1250,"1001-R$1250",U34&lt;=1500,"1251-R$1500")</f>
        <v>501-R$750</v>
      </c>
      <c r="W34" s="13">
        <v>24</v>
      </c>
      <c r="X34" s="13" t="str" cm="1">
        <f t="array" ref="X34">_xlfn.IFS(W34 = 0, "0", W34&lt;=20, "até R$20",W34&lt;=40, "21 - R$40",W34&lt;=60, "41- R$60",W34&lt;=80, "61 - R$80", W34&lt;=100, "81 - R$100",W34&lt;=120, "101 - R$120",W34&lt;=140, "121 - R$140", W34&lt;=160, "141- R$160", W34&lt;=180, "161 - R$180", W34&lt;=200, "181-R$194")</f>
        <v>21 - R$40</v>
      </c>
      <c r="Y34" s="13">
        <v>974</v>
      </c>
      <c r="Z34" s="13">
        <v>197</v>
      </c>
      <c r="AA34" s="13">
        <v>194</v>
      </c>
      <c r="AB34" s="13">
        <v>64</v>
      </c>
      <c r="AC34" s="13">
        <v>1</v>
      </c>
      <c r="AD34" s="13">
        <v>7</v>
      </c>
      <c r="AE34" s="13">
        <v>7</v>
      </c>
      <c r="AF34" s="13">
        <v>9</v>
      </c>
      <c r="AG34" s="13">
        <v>4</v>
      </c>
      <c r="AH34" s="13">
        <v>0</v>
      </c>
      <c r="AI34" s="13">
        <v>0</v>
      </c>
      <c r="AJ34" s="13">
        <v>1</v>
      </c>
      <c r="AK34" s="13">
        <v>0</v>
      </c>
      <c r="AL34" s="13">
        <v>1</v>
      </c>
      <c r="AM34" s="13">
        <v>0</v>
      </c>
      <c r="AN34" s="13">
        <v>1</v>
      </c>
      <c r="AO34" s="14">
        <v>2</v>
      </c>
      <c r="AP34" s="13">
        <v>3</v>
      </c>
      <c r="AQ34" s="13">
        <v>11</v>
      </c>
      <c r="AR34" s="15">
        <v>1931</v>
      </c>
      <c r="AS34" s="15">
        <v>1995</v>
      </c>
    </row>
    <row r="35" spans="1:45" x14ac:dyDescent="0.25">
      <c r="A35">
        <v>1194</v>
      </c>
      <c r="B35" s="11">
        <f t="shared" si="0"/>
        <v>74918</v>
      </c>
      <c r="C35" s="12">
        <v>749180</v>
      </c>
      <c r="D35" s="13">
        <v>0</v>
      </c>
      <c r="E35" s="13">
        <v>0</v>
      </c>
      <c r="F35" s="13">
        <v>78</v>
      </c>
      <c r="G35" s="13">
        <v>51</v>
      </c>
      <c r="H35" s="13" t="str" cm="1">
        <f t="array" ref="H35">_xlfn.IFS(G35&lt;=20,"0-20",G35&lt;=30,"20-30",G35&lt;=40,"30-40",G35&lt;=50,"50-60",G35&lt;=60,"60-70",G35&lt;=70,"70-80",G35&lt;=80,"80-90")</f>
        <v>60-70</v>
      </c>
      <c r="I35" s="13">
        <v>2633</v>
      </c>
      <c r="J35" s="13" t="str" cm="1">
        <f t="array" ref="J35">_xlfn.IFS(K35=1,"Divorciado",L35=1,"Casado",M35=1,"Solteiro",N35=1,"Juntos",O35=1,"Viuvo")</f>
        <v>Juntos</v>
      </c>
      <c r="K35" s="13">
        <v>0</v>
      </c>
      <c r="L35" s="13">
        <v>0</v>
      </c>
      <c r="M35" s="13">
        <v>0</v>
      </c>
      <c r="N35" s="13">
        <v>1</v>
      </c>
      <c r="O35" s="13">
        <v>0</v>
      </c>
      <c r="P35" s="13">
        <v>0</v>
      </c>
      <c r="Q35" s="13">
        <v>0</v>
      </c>
      <c r="R35" s="13">
        <v>1</v>
      </c>
      <c r="S35" s="13">
        <v>0</v>
      </c>
      <c r="T35" s="13">
        <v>0</v>
      </c>
      <c r="U35" s="13">
        <v>972</v>
      </c>
      <c r="V35" s="13" t="str" cm="1">
        <f t="array" ref="V35">_xlfn.IFS(U35&lt;=250,"0-R$250",U35&lt;=500,"251-R$500",U35&lt;=750,"501-R$750",U35&lt;=1000,"751-R$1000",U35&lt;=1250,"1001-R$1250",U35&lt;=1500,"1251-R$1500")</f>
        <v>751-R$1000</v>
      </c>
      <c r="W35" s="13">
        <v>59</v>
      </c>
      <c r="X35" s="13" t="str" cm="1">
        <f t="array" ref="X35">_xlfn.IFS(W35 = 0, "0", W35&lt;=20, "até R$20",W35&lt;=40, "21 - R$40",W35&lt;=60, "41- R$60",W35&lt;=80, "61 - R$80", W35&lt;=100, "81 - R$100",W35&lt;=120, "101 - R$120",W35&lt;=140, "121 - R$140", W35&lt;=160, "141- R$160", W35&lt;=180, "161 - R$180", W35&lt;=200, "181-R$194")</f>
        <v>41- R$60</v>
      </c>
      <c r="Y35" s="13">
        <v>913</v>
      </c>
      <c r="Z35" s="13">
        <v>25</v>
      </c>
      <c r="AA35" s="13">
        <v>19</v>
      </c>
      <c r="AB35" s="13">
        <v>59</v>
      </c>
      <c r="AC35" s="13">
        <v>1</v>
      </c>
      <c r="AD35" s="13">
        <v>5</v>
      </c>
      <c r="AE35" s="13">
        <v>9</v>
      </c>
      <c r="AF35" s="13">
        <v>6</v>
      </c>
      <c r="AG35" s="13">
        <v>3</v>
      </c>
      <c r="AH35" s="13">
        <v>0</v>
      </c>
      <c r="AI35" s="13">
        <v>0</v>
      </c>
      <c r="AJ35" s="13">
        <v>0</v>
      </c>
      <c r="AK35" s="13">
        <v>1</v>
      </c>
      <c r="AL35" s="13">
        <v>0</v>
      </c>
      <c r="AM35" s="13">
        <v>0</v>
      </c>
      <c r="AN35" s="13">
        <v>0</v>
      </c>
      <c r="AO35" s="14">
        <v>1</v>
      </c>
      <c r="AP35" s="13">
        <v>3</v>
      </c>
      <c r="AQ35" s="13">
        <v>11</v>
      </c>
      <c r="AR35" s="15">
        <v>1929</v>
      </c>
      <c r="AS35" s="15">
        <v>1988</v>
      </c>
    </row>
    <row r="36" spans="1:45" x14ac:dyDescent="0.25">
      <c r="A36">
        <v>2078</v>
      </c>
      <c r="B36" s="11">
        <f t="shared" si="0"/>
        <v>82332</v>
      </c>
      <c r="C36" s="12">
        <v>823320</v>
      </c>
      <c r="D36" s="13">
        <v>0</v>
      </c>
      <c r="E36" s="13">
        <v>0</v>
      </c>
      <c r="F36" s="13">
        <v>89</v>
      </c>
      <c r="G36" s="13">
        <v>59</v>
      </c>
      <c r="H36" s="13" t="str" cm="1">
        <f t="array" ref="H36">_xlfn.IFS(G36&lt;=20,"0-20",G36&lt;=30,"20-30",G36&lt;=40,"30-40",G36&lt;=50,"50-60",G36&lt;=60,"60-70",G36&lt;=70,"70-80",G36&lt;=80,"80-90")</f>
        <v>60-70</v>
      </c>
      <c r="I36" s="13">
        <v>2809</v>
      </c>
      <c r="J36" s="13" t="str" cm="1">
        <f t="array" ref="J36">_xlfn.IFS(K36=1,"Divorciado",L36=1,"Casado",M36=1,"Solteiro",N36=1,"Juntos",O36=1,"Viuvo")</f>
        <v>Solteiro</v>
      </c>
      <c r="K36" s="13">
        <v>0</v>
      </c>
      <c r="L36" s="13">
        <v>0</v>
      </c>
      <c r="M36" s="13">
        <v>1</v>
      </c>
      <c r="N36" s="13">
        <v>0</v>
      </c>
      <c r="O36" s="13">
        <v>0</v>
      </c>
      <c r="P36" s="13">
        <v>0</v>
      </c>
      <c r="Q36" s="13">
        <v>0</v>
      </c>
      <c r="R36" s="13">
        <v>1</v>
      </c>
      <c r="S36" s="13">
        <v>0</v>
      </c>
      <c r="T36" s="13">
        <v>0</v>
      </c>
      <c r="U36" s="13">
        <v>830</v>
      </c>
      <c r="V36" s="13" t="str" cm="1">
        <f t="array" ref="V36">_xlfn.IFS(U36&lt;=250,"0-R$250",U36&lt;=500,"251-R$500",U36&lt;=750,"501-R$750",U36&lt;=1000,"751-R$1000",U36&lt;=1250,"1001-R$1250",U36&lt;=1500,"1251-R$1500")</f>
        <v>751-R$1000</v>
      </c>
      <c r="W36" s="13">
        <v>59</v>
      </c>
      <c r="X36" s="13" t="str" cm="1">
        <f t="array" ref="X36">_xlfn.IFS(W36 = 0, "0", W36&lt;=20, "até R$20",W36&lt;=40, "21 - R$40",W36&lt;=60, "41- R$60",W36&lt;=80, "61 - R$80", W36&lt;=100, "81 - R$100",W36&lt;=120, "101 - R$120",W36&lt;=140, "121 - R$140", W36&lt;=160, "141- R$160", W36&lt;=180, "161 - R$180", W36&lt;=200, "181-R$194")</f>
        <v>41- R$60</v>
      </c>
      <c r="Y36" s="13">
        <v>968</v>
      </c>
      <c r="Z36" s="13">
        <v>51</v>
      </c>
      <c r="AA36" s="13">
        <v>79</v>
      </c>
      <c r="AB36" s="13">
        <v>19</v>
      </c>
      <c r="AC36" s="13">
        <v>1</v>
      </c>
      <c r="AD36" s="13">
        <v>5</v>
      </c>
      <c r="AE36" s="13">
        <v>3</v>
      </c>
      <c r="AF36" s="13">
        <v>12</v>
      </c>
      <c r="AG36" s="13">
        <v>2</v>
      </c>
      <c r="AH36" s="13">
        <v>0</v>
      </c>
      <c r="AI36" s="13">
        <v>0</v>
      </c>
      <c r="AJ36" s="13">
        <v>0</v>
      </c>
      <c r="AK36" s="13">
        <v>1</v>
      </c>
      <c r="AL36" s="13">
        <v>0</v>
      </c>
      <c r="AM36" s="13">
        <v>0</v>
      </c>
      <c r="AN36" s="13">
        <v>1</v>
      </c>
      <c r="AO36" s="14">
        <v>1</v>
      </c>
      <c r="AP36" s="13">
        <v>3</v>
      </c>
      <c r="AQ36" s="13">
        <v>11</v>
      </c>
      <c r="AR36" s="15">
        <v>1968</v>
      </c>
      <c r="AS36" s="15">
        <v>1987</v>
      </c>
    </row>
    <row r="37" spans="1:45" x14ac:dyDescent="0.25">
      <c r="A37">
        <v>1115</v>
      </c>
      <c r="B37" s="11">
        <f t="shared" si="0"/>
        <v>72903</v>
      </c>
      <c r="C37" s="16">
        <v>729030</v>
      </c>
      <c r="D37" s="17">
        <v>0</v>
      </c>
      <c r="E37" s="17">
        <v>0</v>
      </c>
      <c r="F37" s="17">
        <v>74</v>
      </c>
      <c r="G37" s="17">
        <v>35</v>
      </c>
      <c r="H37" s="13" t="str" cm="1">
        <f t="array" ref="H37">_xlfn.IFS(G37&lt;=20,"0-20",G37&lt;=30,"20-30",G37&lt;=40,"30-40",G37&lt;=50,"50-60",G37&lt;=60,"60-70",G37&lt;=70,"70-80",G37&lt;=80,"80-90")</f>
        <v>30-40</v>
      </c>
      <c r="I37" s="17">
        <v>2402</v>
      </c>
      <c r="J37" s="13" t="str" cm="1">
        <f t="array" ref="J37">_xlfn.IFS(K37=1,"Divorciado",L37=1,"Casado",M37=1,"Solteiro",N37=1,"Juntos",O37=1,"Viuvo")</f>
        <v>Solteiro</v>
      </c>
      <c r="K37" s="17">
        <v>0</v>
      </c>
      <c r="L37" s="17">
        <v>0</v>
      </c>
      <c r="M37" s="17">
        <v>1</v>
      </c>
      <c r="N37" s="17">
        <v>0</v>
      </c>
      <c r="O37" s="17">
        <v>0</v>
      </c>
      <c r="P37" s="17">
        <v>0</v>
      </c>
      <c r="Q37" s="17">
        <v>0</v>
      </c>
      <c r="R37" s="17">
        <v>1</v>
      </c>
      <c r="S37" s="17">
        <v>0</v>
      </c>
      <c r="T37" s="17">
        <v>0</v>
      </c>
      <c r="U37" s="17">
        <v>1067</v>
      </c>
      <c r="V37" s="13" t="str" cm="1">
        <f t="array" ref="V37">_xlfn.IFS(U37&lt;=250,"0-R$250",U37&lt;=500,"251-R$500",U37&lt;=750,"501-R$750",U37&lt;=1000,"751-R$1000",U37&lt;=1250,"1001-R$1250",U37&lt;=1500,"1251-R$1500")</f>
        <v>1001-R$1250</v>
      </c>
      <c r="W37" s="17">
        <v>138</v>
      </c>
      <c r="X37" s="13" t="str" cm="1">
        <f t="array" ref="X37">_xlfn.IFS(W37 = 0, "0", W37&lt;=20, "até R$20",W37&lt;=40, "21 - R$40",W37&lt;=60, "41- R$60",W37&lt;=80, "61 - R$80", W37&lt;=100, "81 - R$100",W37&lt;=120, "101 - R$120",W37&lt;=140, "121 - R$140", W37&lt;=160, "141- R$160", W37&lt;=180, "161 - R$180", W37&lt;=200, "181-R$194")</f>
        <v>121 - R$140</v>
      </c>
      <c r="Y37" s="17">
        <v>750</v>
      </c>
      <c r="Z37" s="17">
        <v>0</v>
      </c>
      <c r="AA37" s="17">
        <v>19</v>
      </c>
      <c r="AB37" s="17">
        <v>39</v>
      </c>
      <c r="AC37" s="17">
        <v>1</v>
      </c>
      <c r="AD37" s="17">
        <v>7</v>
      </c>
      <c r="AE37" s="17">
        <v>5</v>
      </c>
      <c r="AF37" s="17">
        <v>8</v>
      </c>
      <c r="AG37" s="17">
        <v>4</v>
      </c>
      <c r="AH37" s="17">
        <v>0</v>
      </c>
      <c r="AI37" s="17">
        <v>0</v>
      </c>
      <c r="AJ37" s="17">
        <v>1</v>
      </c>
      <c r="AK37" s="17">
        <v>1</v>
      </c>
      <c r="AL37" s="17">
        <v>1</v>
      </c>
      <c r="AM37" s="17">
        <v>0</v>
      </c>
      <c r="AN37" s="17">
        <v>1</v>
      </c>
      <c r="AO37" s="18">
        <v>3</v>
      </c>
      <c r="AP37" s="17">
        <v>3</v>
      </c>
      <c r="AQ37" s="17">
        <v>11</v>
      </c>
      <c r="AR37" s="19">
        <v>1935</v>
      </c>
      <c r="AS37" s="19">
        <v>1974</v>
      </c>
    </row>
    <row r="38" spans="1:45" x14ac:dyDescent="0.25">
      <c r="A38">
        <v>633</v>
      </c>
      <c r="B38" s="11">
        <f t="shared" si="0"/>
        <v>98777</v>
      </c>
      <c r="C38" s="16">
        <v>987770</v>
      </c>
      <c r="D38" s="17">
        <v>0</v>
      </c>
      <c r="E38" s="17">
        <v>0</v>
      </c>
      <c r="F38" s="17">
        <v>23</v>
      </c>
      <c r="G38" s="17">
        <v>60</v>
      </c>
      <c r="H38" s="13" t="str" cm="1">
        <f t="array" ref="H38">_xlfn.IFS(G38&lt;=20,"0-20",G38&lt;=30,"20-30",G38&lt;=40,"30-40",G38&lt;=50,"50-60",G38&lt;=60,"60-70",G38&lt;=70,"70-80",G38&lt;=80,"80-90")</f>
        <v>60-70</v>
      </c>
      <c r="I38" s="17">
        <v>2291</v>
      </c>
      <c r="J38" s="13" t="str" cm="1">
        <f t="array" ref="J38">_xlfn.IFS(K38=1,"Divorciado",L38=1,"Casado",M38=1,"Solteiro",N38=1,"Juntos",O38=1,"Viuvo")</f>
        <v>Solteiro</v>
      </c>
      <c r="K38" s="17">
        <v>0</v>
      </c>
      <c r="L38" s="17">
        <v>0</v>
      </c>
      <c r="M38" s="17">
        <v>1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1</v>
      </c>
      <c r="T38" s="17">
        <v>0</v>
      </c>
      <c r="U38" s="17">
        <v>1000</v>
      </c>
      <c r="V38" s="13" t="str" cm="1">
        <f t="array" ref="V38">_xlfn.IFS(U38&lt;=250,"0-R$250",U38&lt;=500,"251-R$500",U38&lt;=750,"501-R$750",U38&lt;=1000,"751-R$1000",U38&lt;=1250,"1001-R$1250",U38&lt;=1500,"1251-R$1500")</f>
        <v>751-R$1000</v>
      </c>
      <c r="W38" s="17">
        <v>19</v>
      </c>
      <c r="X38" s="13" t="str" cm="1">
        <f t="array" ref="X38">_xlfn.IFS(W38 = 0, "0", W38&lt;=20, "até R$20",W38&lt;=40, "21 - R$40",W38&lt;=60, "41- R$60",W38&lt;=80, "61 - R$80", W38&lt;=100, "81 - R$100",W38&lt;=120, "101 - R$120",W38&lt;=140, "121 - R$140", W38&lt;=160, "141- R$160", W38&lt;=180, "161 - R$180", W38&lt;=200, "181-R$194")</f>
        <v>até R$20</v>
      </c>
      <c r="Y38" s="17">
        <v>711</v>
      </c>
      <c r="Z38" s="17">
        <v>125</v>
      </c>
      <c r="AA38" s="17">
        <v>115</v>
      </c>
      <c r="AB38" s="17">
        <v>38</v>
      </c>
      <c r="AC38" s="17">
        <v>0</v>
      </c>
      <c r="AD38" s="17">
        <v>4</v>
      </c>
      <c r="AE38" s="17">
        <v>6</v>
      </c>
      <c r="AF38" s="17">
        <v>9</v>
      </c>
      <c r="AG38" s="17">
        <v>1</v>
      </c>
      <c r="AH38" s="17">
        <v>0</v>
      </c>
      <c r="AI38" s="17">
        <v>0</v>
      </c>
      <c r="AJ38" s="17">
        <v>1</v>
      </c>
      <c r="AK38" s="17">
        <v>0</v>
      </c>
      <c r="AL38" s="17">
        <v>0</v>
      </c>
      <c r="AM38" s="17">
        <v>0</v>
      </c>
      <c r="AN38" s="17">
        <v>0</v>
      </c>
      <c r="AO38" s="18">
        <v>1</v>
      </c>
      <c r="AP38" s="17">
        <v>3</v>
      </c>
      <c r="AQ38" s="17">
        <v>11</v>
      </c>
      <c r="AR38" s="19">
        <v>1932</v>
      </c>
      <c r="AS38" s="19">
        <v>1970</v>
      </c>
    </row>
    <row r="39" spans="1:45" x14ac:dyDescent="0.25">
      <c r="A39">
        <v>1094</v>
      </c>
      <c r="B39" s="11">
        <f t="shared" si="0"/>
        <v>98777</v>
      </c>
      <c r="C39" s="12">
        <v>987770</v>
      </c>
      <c r="D39" s="13">
        <v>0</v>
      </c>
      <c r="E39" s="13">
        <v>0</v>
      </c>
      <c r="F39" s="13">
        <v>23</v>
      </c>
      <c r="G39" s="13">
        <v>60</v>
      </c>
      <c r="H39" s="13" t="str" cm="1">
        <f t="array" ref="H39">_xlfn.IFS(G39&lt;=20,"0-20",G39&lt;=30,"20-30",G39&lt;=40,"30-40",G39&lt;=50,"50-60",G39&lt;=60,"60-70",G39&lt;=70,"70-80",G39&lt;=80,"80-90")</f>
        <v>60-70</v>
      </c>
      <c r="I39" s="13">
        <v>2291</v>
      </c>
      <c r="J39" s="13" t="str" cm="1">
        <f t="array" ref="J39">_xlfn.IFS(K39=1,"Divorciado",L39=1,"Casado",M39=1,"Solteiro",N39=1,"Juntos",O39=1,"Viuvo")</f>
        <v>Solteiro</v>
      </c>
      <c r="K39" s="13">
        <v>0</v>
      </c>
      <c r="L39" s="13">
        <v>0</v>
      </c>
      <c r="M39" s="13">
        <v>1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1</v>
      </c>
      <c r="T39" s="13">
        <v>0</v>
      </c>
      <c r="U39" s="13">
        <v>1000</v>
      </c>
      <c r="V39" s="13" t="str" cm="1">
        <f t="array" ref="V39">_xlfn.IFS(U39&lt;=250,"0-R$250",U39&lt;=500,"251-R$500",U39&lt;=750,"501-R$750",U39&lt;=1000,"751-R$1000",U39&lt;=1250,"1001-R$1250",U39&lt;=1500,"1251-R$1500")</f>
        <v>751-R$1000</v>
      </c>
      <c r="W39" s="13">
        <v>19</v>
      </c>
      <c r="X39" s="13" t="str" cm="1">
        <f t="array" ref="X39">_xlfn.IFS(W39 = 0, "0", W39&lt;=20, "até R$20",W39&lt;=40, "21 - R$40",W39&lt;=60, "41- R$60",W39&lt;=80, "61 - R$80", W39&lt;=100, "81 - R$100",W39&lt;=120, "101 - R$120",W39&lt;=140, "121 - R$140", W39&lt;=160, "141- R$160", W39&lt;=180, "161 - R$180", W39&lt;=200, "181-R$194")</f>
        <v>até R$20</v>
      </c>
      <c r="Y39" s="13">
        <v>711</v>
      </c>
      <c r="Z39" s="13">
        <v>125</v>
      </c>
      <c r="AA39" s="13">
        <v>115</v>
      </c>
      <c r="AB39" s="13">
        <v>38</v>
      </c>
      <c r="AC39" s="13">
        <v>0</v>
      </c>
      <c r="AD39" s="13">
        <v>4</v>
      </c>
      <c r="AE39" s="13">
        <v>6</v>
      </c>
      <c r="AF39" s="13">
        <v>9</v>
      </c>
      <c r="AG39" s="13">
        <v>1</v>
      </c>
      <c r="AH39" s="13">
        <v>0</v>
      </c>
      <c r="AI39" s="13">
        <v>0</v>
      </c>
      <c r="AJ39" s="13">
        <v>1</v>
      </c>
      <c r="AK39" s="13">
        <v>0</v>
      </c>
      <c r="AL39" s="13">
        <v>0</v>
      </c>
      <c r="AM39" s="13">
        <v>0</v>
      </c>
      <c r="AN39" s="13">
        <v>0</v>
      </c>
      <c r="AO39" s="14">
        <v>1</v>
      </c>
      <c r="AP39" s="13">
        <v>3</v>
      </c>
      <c r="AQ39" s="13">
        <v>11</v>
      </c>
      <c r="AR39" s="15">
        <v>1932</v>
      </c>
      <c r="AS39" s="15">
        <v>1970</v>
      </c>
    </row>
    <row r="40" spans="1:45" x14ac:dyDescent="0.25">
      <c r="A40">
        <v>895</v>
      </c>
      <c r="B40" s="11">
        <f t="shared" si="0"/>
        <v>95529</v>
      </c>
      <c r="C40" s="16">
        <v>955290</v>
      </c>
      <c r="D40" s="17">
        <v>0</v>
      </c>
      <c r="E40" s="17">
        <v>0</v>
      </c>
      <c r="F40" s="17">
        <v>29</v>
      </c>
      <c r="G40" s="17">
        <v>26</v>
      </c>
      <c r="H40" s="13" t="str" cm="1">
        <f t="array" ref="H40">_xlfn.IFS(G40&lt;=20,"0-20",G40&lt;=30,"20-30",G40&lt;=40,"30-40",G40&lt;=50,"50-60",G40&lt;=60,"60-70",G40&lt;=70,"70-80",G40&lt;=80,"80-90")</f>
        <v>20-30</v>
      </c>
      <c r="I40" s="17">
        <v>2732</v>
      </c>
      <c r="J40" s="13" t="str" cm="1">
        <f t="array" ref="J40">_xlfn.IFS(K40=1,"Divorciado",L40=1,"Casado",M40=1,"Solteiro",N40=1,"Juntos",O40=1,"Viuvo")</f>
        <v>Solteiro</v>
      </c>
      <c r="K40" s="17">
        <v>0</v>
      </c>
      <c r="L40" s="17">
        <v>0</v>
      </c>
      <c r="M40" s="17">
        <v>1</v>
      </c>
      <c r="N40" s="17">
        <v>0</v>
      </c>
      <c r="O40" s="17">
        <v>0</v>
      </c>
      <c r="P40" s="17">
        <v>0</v>
      </c>
      <c r="Q40" s="17">
        <v>0</v>
      </c>
      <c r="R40" s="17">
        <v>1</v>
      </c>
      <c r="S40" s="17">
        <v>0</v>
      </c>
      <c r="T40" s="17">
        <v>0</v>
      </c>
      <c r="U40" s="17">
        <v>770</v>
      </c>
      <c r="V40" s="13" t="str" cm="1">
        <f t="array" ref="V40">_xlfn.IFS(U40&lt;=250,"0-R$250",U40&lt;=500,"251-R$500",U40&lt;=750,"501-R$750",U40&lt;=1000,"751-R$1000",U40&lt;=1250,"1001-R$1250",U40&lt;=1500,"1251-R$1500")</f>
        <v>751-R$1000</v>
      </c>
      <c r="W40" s="17">
        <v>29</v>
      </c>
      <c r="X40" s="13" t="str" cm="1">
        <f t="array" ref="X40">_xlfn.IFS(W40 = 0, "0", W40&lt;=20, "até R$20",W40&lt;=40, "21 - R$40",W40&lt;=60, "41- R$60",W40&lt;=80, "61 - R$80", W40&lt;=100, "81 - R$100",W40&lt;=120, "101 - R$120",W40&lt;=140, "121 - R$140", W40&lt;=160, "141- R$160", W40&lt;=180, "161 - R$180", W40&lt;=200, "181-R$194")</f>
        <v>21 - R$40</v>
      </c>
      <c r="Y40" s="17">
        <v>890</v>
      </c>
      <c r="Z40" s="17">
        <v>250</v>
      </c>
      <c r="AA40" s="17">
        <v>27</v>
      </c>
      <c r="AB40" s="17">
        <v>24</v>
      </c>
      <c r="AC40" s="17">
        <v>1</v>
      </c>
      <c r="AD40" s="17">
        <v>7</v>
      </c>
      <c r="AE40" s="17">
        <v>3</v>
      </c>
      <c r="AF40" s="17">
        <v>7</v>
      </c>
      <c r="AG40" s="17">
        <v>3</v>
      </c>
      <c r="AH40" s="17">
        <v>0</v>
      </c>
      <c r="AI40" s="17">
        <v>0</v>
      </c>
      <c r="AJ40" s="17">
        <v>0</v>
      </c>
      <c r="AK40" s="17">
        <v>1</v>
      </c>
      <c r="AL40" s="17">
        <v>0</v>
      </c>
      <c r="AM40" s="17">
        <v>0</v>
      </c>
      <c r="AN40" s="17">
        <v>1</v>
      </c>
      <c r="AO40" s="18">
        <v>1</v>
      </c>
      <c r="AP40" s="17">
        <v>3</v>
      </c>
      <c r="AQ40" s="17">
        <v>11</v>
      </c>
      <c r="AR40" s="19">
        <v>1942</v>
      </c>
      <c r="AS40" s="19">
        <v>1966</v>
      </c>
    </row>
    <row r="41" spans="1:45" x14ac:dyDescent="0.25">
      <c r="A41">
        <v>663</v>
      </c>
      <c r="B41" s="11">
        <f t="shared" si="0"/>
        <v>68743</v>
      </c>
      <c r="C41" s="16">
        <v>687430</v>
      </c>
      <c r="D41" s="17">
        <v>0</v>
      </c>
      <c r="E41" s="17">
        <v>0</v>
      </c>
      <c r="F41" s="17">
        <v>81</v>
      </c>
      <c r="G41" s="17">
        <v>53</v>
      </c>
      <c r="H41" s="13" t="str" cm="1">
        <f t="array" ref="H41">_xlfn.IFS(G41&lt;=20,"0-20",G41&lt;=30,"20-30",G41&lt;=40,"30-40",G41&lt;=50,"50-60",G41&lt;=60,"60-70",G41&lt;=70,"70-80",G41&lt;=80,"80-90")</f>
        <v>60-70</v>
      </c>
      <c r="I41" s="17">
        <v>2827</v>
      </c>
      <c r="J41" s="13" t="str" cm="1">
        <f t="array" ref="J41">_xlfn.IFS(K41=1,"Divorciado",L41=1,"Casado",M41=1,"Solteiro",N41=1,"Juntos",O41=1,"Viuvo")</f>
        <v>Divorciado</v>
      </c>
      <c r="K41" s="17">
        <v>1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1</v>
      </c>
      <c r="S41" s="17">
        <v>0</v>
      </c>
      <c r="T41" s="17">
        <v>0</v>
      </c>
      <c r="U41" s="17">
        <v>1132</v>
      </c>
      <c r="V41" s="13" t="str" cm="1">
        <f t="array" ref="V41">_xlfn.IFS(U41&lt;=250,"0-R$250",U41&lt;=500,"251-R$500",U41&lt;=750,"501-R$750",U41&lt;=1000,"751-R$1000",U41&lt;=1250,"1001-R$1250",U41&lt;=1500,"1251-R$1500")</f>
        <v>1001-R$1250</v>
      </c>
      <c r="W41" s="17">
        <v>134</v>
      </c>
      <c r="X41" s="13" t="str" cm="1">
        <f t="array" ref="X41">_xlfn.IFS(W41 = 0, "0", W41&lt;=20, "até R$20",W41&lt;=40, "21 - R$40",W41&lt;=60, "41- R$60",W41&lt;=80, "61 - R$80", W41&lt;=100, "81 - R$100",W41&lt;=120, "101 - R$120",W41&lt;=140, "121 - R$140", W41&lt;=160, "141- R$160", W41&lt;=180, "161 - R$180", W41&lt;=200, "181-R$194")</f>
        <v>121 - R$140</v>
      </c>
      <c r="Y41" s="17">
        <v>384</v>
      </c>
      <c r="Z41" s="17">
        <v>175</v>
      </c>
      <c r="AA41" s="17">
        <v>134</v>
      </c>
      <c r="AB41" s="17">
        <v>115</v>
      </c>
      <c r="AC41" s="17">
        <v>1</v>
      </c>
      <c r="AD41" s="17">
        <v>11</v>
      </c>
      <c r="AE41" s="17">
        <v>5</v>
      </c>
      <c r="AF41" s="17">
        <v>13</v>
      </c>
      <c r="AG41" s="17">
        <v>7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8">
        <v>0</v>
      </c>
      <c r="AP41" s="17">
        <v>3</v>
      </c>
      <c r="AQ41" s="17">
        <v>11</v>
      </c>
      <c r="AR41" s="19">
        <v>1844</v>
      </c>
      <c r="AS41" s="19">
        <v>1959</v>
      </c>
    </row>
    <row r="42" spans="1:45" x14ac:dyDescent="0.25">
      <c r="A42">
        <v>474</v>
      </c>
      <c r="B42" s="11">
        <f t="shared" si="0"/>
        <v>78952</v>
      </c>
      <c r="C42" s="12">
        <v>789520</v>
      </c>
      <c r="D42" s="13">
        <v>0</v>
      </c>
      <c r="E42" s="13">
        <v>1</v>
      </c>
      <c r="F42" s="13">
        <v>11</v>
      </c>
      <c r="G42" s="13">
        <v>62</v>
      </c>
      <c r="H42" s="13" t="str" cm="1">
        <f t="array" ref="H42">_xlfn.IFS(G42&lt;=20,"0-20",G42&lt;=30,"20-30",G42&lt;=40,"30-40",G42&lt;=50,"50-60",G42&lt;=60,"60-70",G42&lt;=70,"70-80",G42&lt;=80,"80-90")</f>
        <v>70-80</v>
      </c>
      <c r="I42" s="13">
        <v>2802</v>
      </c>
      <c r="J42" s="13" t="str" cm="1">
        <f t="array" ref="J42">_xlfn.IFS(K42=1,"Divorciado",L42=1,"Casado",M42=1,"Solteiro",N42=1,"Juntos",O42=1,"Viuvo")</f>
        <v>Juntos</v>
      </c>
      <c r="K42" s="13">
        <v>0</v>
      </c>
      <c r="L42" s="13">
        <v>0</v>
      </c>
      <c r="M42" s="13">
        <v>0</v>
      </c>
      <c r="N42" s="13">
        <v>1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1</v>
      </c>
      <c r="U42" s="13">
        <v>1170</v>
      </c>
      <c r="V42" s="13" t="str" cm="1">
        <f t="array" ref="V42">_xlfn.IFS(U42&lt;=250,"0-R$250",U42&lt;=500,"251-R$500",U42&lt;=750,"501-R$750",U42&lt;=1000,"751-R$1000",U42&lt;=1250,"1001-R$1250",U42&lt;=1500,"1251-R$1500")</f>
        <v>1001-R$1250</v>
      </c>
      <c r="W42" s="13">
        <v>19</v>
      </c>
      <c r="X42" s="13" t="str" cm="1">
        <f t="array" ref="X42">_xlfn.IFS(W42 = 0, "0", W42&lt;=20, "até R$20",W42&lt;=40, "21 - R$40",W42&lt;=60, "41- R$60",W42&lt;=80, "61 - R$80", W42&lt;=100, "81 - R$100",W42&lt;=120, "101 - R$120",W42&lt;=140, "121 - R$140", W42&lt;=160, "141- R$160", W42&lt;=180, "161 - R$180", W42&lt;=200, "181-R$194")</f>
        <v>até R$20</v>
      </c>
      <c r="Y42" s="13">
        <v>594</v>
      </c>
      <c r="Z42" s="13">
        <v>99</v>
      </c>
      <c r="AA42" s="13">
        <v>76</v>
      </c>
      <c r="AB42" s="13">
        <v>134</v>
      </c>
      <c r="AC42" s="13">
        <v>2</v>
      </c>
      <c r="AD42" s="13">
        <v>2</v>
      </c>
      <c r="AE42" s="13">
        <v>5</v>
      </c>
      <c r="AF42" s="13">
        <v>12</v>
      </c>
      <c r="AG42" s="13">
        <v>6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4">
        <v>0</v>
      </c>
      <c r="AP42" s="13">
        <v>3</v>
      </c>
      <c r="AQ42" s="13">
        <v>11</v>
      </c>
      <c r="AR42" s="15">
        <v>1824</v>
      </c>
      <c r="AS42" s="15">
        <v>1958</v>
      </c>
    </row>
    <row r="43" spans="1:45" x14ac:dyDescent="0.25">
      <c r="A43">
        <v>235</v>
      </c>
      <c r="B43" s="11">
        <f t="shared" si="0"/>
        <v>67546</v>
      </c>
      <c r="C43" s="16">
        <v>675460</v>
      </c>
      <c r="D43" s="17">
        <v>0</v>
      </c>
      <c r="E43" s="17">
        <v>0</v>
      </c>
      <c r="F43" s="17">
        <v>90</v>
      </c>
      <c r="G43" s="17">
        <v>32</v>
      </c>
      <c r="H43" s="13" t="str" cm="1">
        <f t="array" ref="H43">_xlfn.IFS(G43&lt;=20,"0-20",G43&lt;=30,"20-30",G43&lt;=40,"30-40",G43&lt;=50,"50-60",G43&lt;=60,"60-70",G43&lt;=70,"70-80",G43&lt;=80,"80-90")</f>
        <v>30-40</v>
      </c>
      <c r="I43" s="17">
        <v>2826</v>
      </c>
      <c r="J43" s="13" t="str" cm="1">
        <f t="array" ref="J43">_xlfn.IFS(K43=1,"Divorciado",L43=1,"Casado",M43=1,"Solteiro",N43=1,"Juntos",O43=1,"Viuvo")</f>
        <v>Casado</v>
      </c>
      <c r="K43" s="17">
        <v>0</v>
      </c>
      <c r="L43" s="17">
        <v>1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1</v>
      </c>
      <c r="U43" s="17">
        <v>864</v>
      </c>
      <c r="V43" s="13" t="str" cm="1">
        <f t="array" ref="V43">_xlfn.IFS(U43&lt;=250,"0-R$250",U43&lt;=500,"251-R$500",U43&lt;=750,"501-R$750",U43&lt;=1000,"751-R$1000",U43&lt;=1250,"1001-R$1250",U43&lt;=1500,"1251-R$1500")</f>
        <v>751-R$1000</v>
      </c>
      <c r="W43" s="17">
        <v>134</v>
      </c>
      <c r="X43" s="13" t="str" cm="1">
        <f t="array" ref="X43">_xlfn.IFS(W43 = 0, "0", W43&lt;=20, "até R$20",W43&lt;=40, "21 - R$40",W43&lt;=60, "41- R$60",W43&lt;=80, "61 - R$80", W43&lt;=100, "81 - R$100",W43&lt;=120, "101 - R$120",W43&lt;=140, "121 - R$140", W43&lt;=160, "141- R$160", W43&lt;=180, "161 - R$180", W43&lt;=200, "181-R$194")</f>
        <v>121 - R$140</v>
      </c>
      <c r="Y43" s="17">
        <v>768</v>
      </c>
      <c r="Z43" s="17">
        <v>150</v>
      </c>
      <c r="AA43" s="17">
        <v>38</v>
      </c>
      <c r="AB43" s="17">
        <v>172</v>
      </c>
      <c r="AC43" s="17">
        <v>1</v>
      </c>
      <c r="AD43" s="17">
        <v>4</v>
      </c>
      <c r="AE43" s="17">
        <v>10</v>
      </c>
      <c r="AF43" s="17">
        <v>5</v>
      </c>
      <c r="AG43" s="17">
        <v>3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8">
        <v>0</v>
      </c>
      <c r="AP43" s="17">
        <v>3</v>
      </c>
      <c r="AQ43" s="17">
        <v>11</v>
      </c>
      <c r="AR43" s="19">
        <v>1782</v>
      </c>
      <c r="AS43" s="19">
        <v>1954</v>
      </c>
    </row>
    <row r="44" spans="1:45" x14ac:dyDescent="0.25">
      <c r="A44">
        <v>1065</v>
      </c>
      <c r="B44" s="11">
        <f t="shared" si="0"/>
        <v>75345</v>
      </c>
      <c r="C44" s="16">
        <v>753450</v>
      </c>
      <c r="D44" s="17">
        <v>0</v>
      </c>
      <c r="E44" s="17">
        <v>0</v>
      </c>
      <c r="F44" s="17">
        <v>16</v>
      </c>
      <c r="G44" s="17">
        <v>50</v>
      </c>
      <c r="H44" s="13" t="str" cm="1">
        <f t="array" ref="H44">_xlfn.IFS(G44&lt;=20,"0-20",G44&lt;=30,"20-30",G44&lt;=40,"30-40",G44&lt;=50,"50-60",G44&lt;=60,"60-70",G44&lt;=70,"70-80",G44&lt;=80,"80-90")</f>
        <v>50-60</v>
      </c>
      <c r="I44" s="17">
        <v>2671</v>
      </c>
      <c r="J44" s="13" t="str" cm="1">
        <f t="array" ref="J44">_xlfn.IFS(K44=1,"Divorciado",L44=1,"Casado",M44=1,"Solteiro",N44=1,"Juntos",O44=1,"Viuvo")</f>
        <v>Solteiro</v>
      </c>
      <c r="K44" s="17">
        <v>0</v>
      </c>
      <c r="L44" s="17">
        <v>0</v>
      </c>
      <c r="M44" s="17">
        <v>1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1</v>
      </c>
      <c r="T44" s="17">
        <v>0</v>
      </c>
      <c r="U44" s="17">
        <v>918</v>
      </c>
      <c r="V44" s="13" t="str" cm="1">
        <f t="array" ref="V44">_xlfn.IFS(U44&lt;=250,"0-R$250",U44&lt;=500,"251-R$500",U44&lt;=750,"501-R$750",U44&lt;=1000,"751-R$1000",U44&lt;=1250,"1001-R$1250",U44&lt;=1500,"1251-R$1500")</f>
        <v>751-R$1000</v>
      </c>
      <c r="W44" s="17">
        <v>57</v>
      </c>
      <c r="X44" s="13" t="str" cm="1">
        <f t="array" ref="X44">_xlfn.IFS(W44 = 0, "0", W44&lt;=20, "até R$20",W44&lt;=40, "21 - R$40",W44&lt;=60, "41- R$60",W44&lt;=80, "61 - R$80", W44&lt;=100, "81 - R$100",W44&lt;=120, "101 - R$120",W44&lt;=140, "121 - R$140", W44&lt;=160, "141- R$160", W44&lt;=180, "161 - R$180", W44&lt;=200, "181-R$194")</f>
        <v>41- R$60</v>
      </c>
      <c r="Y44" s="17">
        <v>842</v>
      </c>
      <c r="Z44" s="17">
        <v>99</v>
      </c>
      <c r="AA44" s="17">
        <v>38</v>
      </c>
      <c r="AB44" s="17">
        <v>133</v>
      </c>
      <c r="AC44" s="17">
        <v>1</v>
      </c>
      <c r="AD44" s="17">
        <v>5</v>
      </c>
      <c r="AE44" s="17">
        <v>8</v>
      </c>
      <c r="AF44" s="17">
        <v>6</v>
      </c>
      <c r="AG44" s="17">
        <v>3</v>
      </c>
      <c r="AH44" s="17">
        <v>0</v>
      </c>
      <c r="AI44" s="17">
        <v>0</v>
      </c>
      <c r="AJ44" s="17">
        <v>0</v>
      </c>
      <c r="AK44" s="17">
        <v>0</v>
      </c>
      <c r="AL44" s="17">
        <v>1</v>
      </c>
      <c r="AM44" s="17">
        <v>0</v>
      </c>
      <c r="AN44" s="17">
        <v>1</v>
      </c>
      <c r="AO44" s="18">
        <v>1</v>
      </c>
      <c r="AP44" s="17">
        <v>3</v>
      </c>
      <c r="AQ44" s="17">
        <v>11</v>
      </c>
      <c r="AR44" s="19">
        <v>1821</v>
      </c>
      <c r="AS44" s="19">
        <v>1954</v>
      </c>
    </row>
    <row r="45" spans="1:45" x14ac:dyDescent="0.25">
      <c r="A45">
        <v>1865</v>
      </c>
      <c r="B45" s="11">
        <f t="shared" si="0"/>
        <v>67546</v>
      </c>
      <c r="C45" s="16">
        <v>675460</v>
      </c>
      <c r="D45" s="17">
        <v>0</v>
      </c>
      <c r="E45" s="17">
        <v>0</v>
      </c>
      <c r="F45" s="17">
        <v>90</v>
      </c>
      <c r="G45" s="17">
        <v>32</v>
      </c>
      <c r="H45" s="13" t="str" cm="1">
        <f t="array" ref="H45">_xlfn.IFS(G45&lt;=20,"0-20",G45&lt;=30,"20-30",G45&lt;=40,"30-40",G45&lt;=50,"50-60",G45&lt;=60,"60-70",G45&lt;=70,"70-80",G45&lt;=80,"80-90")</f>
        <v>30-40</v>
      </c>
      <c r="I45" s="17">
        <v>2826</v>
      </c>
      <c r="J45" s="13" t="str" cm="1">
        <f t="array" ref="J45">_xlfn.IFS(K45=1,"Divorciado",L45=1,"Casado",M45=1,"Solteiro",N45=1,"Juntos",O45=1,"Viuvo")</f>
        <v>Casado</v>
      </c>
      <c r="K45" s="17">
        <v>0</v>
      </c>
      <c r="L45" s="17">
        <v>1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1</v>
      </c>
      <c r="U45" s="17">
        <v>864</v>
      </c>
      <c r="V45" s="13" t="str" cm="1">
        <f t="array" ref="V45">_xlfn.IFS(U45&lt;=250,"0-R$250",U45&lt;=500,"251-R$500",U45&lt;=750,"501-R$750",U45&lt;=1000,"751-R$1000",U45&lt;=1250,"1001-R$1250",U45&lt;=1500,"1251-R$1500")</f>
        <v>751-R$1000</v>
      </c>
      <c r="W45" s="17">
        <v>134</v>
      </c>
      <c r="X45" s="13" t="str" cm="1">
        <f t="array" ref="X45">_xlfn.IFS(W45 = 0, "0", W45&lt;=20, "até R$20",W45&lt;=40, "21 - R$40",W45&lt;=60, "41- R$60",W45&lt;=80, "61 - R$80", W45&lt;=100, "81 - R$100",W45&lt;=120, "101 - R$120",W45&lt;=140, "121 - R$140", W45&lt;=160, "141- R$160", W45&lt;=180, "161 - R$180", W45&lt;=200, "181-R$194")</f>
        <v>121 - R$140</v>
      </c>
      <c r="Y45" s="17">
        <v>768</v>
      </c>
      <c r="Z45" s="17">
        <v>150</v>
      </c>
      <c r="AA45" s="17">
        <v>38</v>
      </c>
      <c r="AB45" s="17">
        <v>172</v>
      </c>
      <c r="AC45" s="17">
        <v>1</v>
      </c>
      <c r="AD45" s="17">
        <v>4</v>
      </c>
      <c r="AE45" s="17">
        <v>10</v>
      </c>
      <c r="AF45" s="17">
        <v>5</v>
      </c>
      <c r="AG45" s="17">
        <v>3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8">
        <v>0</v>
      </c>
      <c r="AP45" s="17">
        <v>3</v>
      </c>
      <c r="AQ45" s="17">
        <v>11</v>
      </c>
      <c r="AR45" s="19">
        <v>1782</v>
      </c>
      <c r="AS45" s="19">
        <v>1954</v>
      </c>
    </row>
    <row r="46" spans="1:45" x14ac:dyDescent="0.25">
      <c r="A46">
        <v>1012</v>
      </c>
      <c r="B46" s="11">
        <f t="shared" si="0"/>
        <v>91700</v>
      </c>
      <c r="C46" s="12">
        <v>917000</v>
      </c>
      <c r="D46" s="13">
        <v>0</v>
      </c>
      <c r="E46" s="13">
        <v>0</v>
      </c>
      <c r="F46" s="13">
        <v>58</v>
      </c>
      <c r="G46" s="13">
        <v>49</v>
      </c>
      <c r="H46" s="13" t="str" cm="1">
        <f t="array" ref="H46">_xlfn.IFS(G46&lt;=20,"0-20",G46&lt;=30,"20-30",G46&lt;=40,"30-40",G46&lt;=50,"50-60",G46&lt;=60,"60-70",G46&lt;=70,"70-80",G46&lt;=80,"80-90")</f>
        <v>50-60</v>
      </c>
      <c r="I46" s="13">
        <v>2687</v>
      </c>
      <c r="J46" s="13" t="str" cm="1">
        <f t="array" ref="J46">_xlfn.IFS(K46=1,"Divorciado",L46=1,"Casado",M46=1,"Solteiro",N46=1,"Juntos",O46=1,"Viuvo")</f>
        <v>Solteiro</v>
      </c>
      <c r="K46" s="13">
        <v>0</v>
      </c>
      <c r="L46" s="13">
        <v>0</v>
      </c>
      <c r="M46" s="13">
        <v>1</v>
      </c>
      <c r="N46" s="13">
        <v>0</v>
      </c>
      <c r="O46" s="13">
        <v>0</v>
      </c>
      <c r="P46" s="13">
        <v>0</v>
      </c>
      <c r="Q46" s="13">
        <v>0</v>
      </c>
      <c r="R46" s="13">
        <v>1</v>
      </c>
      <c r="S46" s="13">
        <v>0</v>
      </c>
      <c r="T46" s="13">
        <v>0</v>
      </c>
      <c r="U46" s="13">
        <v>576</v>
      </c>
      <c r="V46" s="13" t="str" cm="1">
        <f t="array" ref="V46">_xlfn.IFS(U46&lt;=250,"0-R$250",U46&lt;=500,"251-R$500",U46&lt;=750,"501-R$750",U46&lt;=1000,"751-R$1000",U46&lt;=1250,"1001-R$1250",U46&lt;=1500,"1251-R$1500")</f>
        <v>501-R$750</v>
      </c>
      <c r="W46" s="13">
        <v>172</v>
      </c>
      <c r="X46" s="13" t="str" cm="1">
        <f t="array" ref="X46">_xlfn.IFS(W46 = 0, "0", W46&lt;=20, "até R$20",W46&lt;=40, "21 - R$40",W46&lt;=60, "41- R$60",W46&lt;=80, "61 - R$80", W46&lt;=100, "81 - R$100",W46&lt;=120, "101 - R$120",W46&lt;=140, "121 - R$140", W46&lt;=160, "141- R$160", W46&lt;=180, "161 - R$180", W46&lt;=200, "181-R$194")</f>
        <v>161 - R$180</v>
      </c>
      <c r="Y46" s="13">
        <v>961</v>
      </c>
      <c r="Z46" s="13">
        <v>125</v>
      </c>
      <c r="AA46" s="13">
        <v>115</v>
      </c>
      <c r="AB46" s="13">
        <v>19</v>
      </c>
      <c r="AC46" s="13">
        <v>1</v>
      </c>
      <c r="AD46" s="13">
        <v>8</v>
      </c>
      <c r="AE46" s="13">
        <v>6</v>
      </c>
      <c r="AF46" s="13">
        <v>5</v>
      </c>
      <c r="AG46" s="13">
        <v>3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1</v>
      </c>
      <c r="AO46" s="14">
        <v>0</v>
      </c>
      <c r="AP46" s="13">
        <v>3</v>
      </c>
      <c r="AQ46" s="13">
        <v>11</v>
      </c>
      <c r="AR46" s="15">
        <v>1930</v>
      </c>
      <c r="AS46" s="15">
        <v>1949</v>
      </c>
    </row>
    <row r="47" spans="1:45" x14ac:dyDescent="0.25">
      <c r="A47">
        <v>2100</v>
      </c>
      <c r="B47" s="11">
        <f t="shared" si="0"/>
        <v>72309</v>
      </c>
      <c r="C47" s="12">
        <v>723090</v>
      </c>
      <c r="D47" s="13">
        <v>0</v>
      </c>
      <c r="E47" s="13">
        <v>0</v>
      </c>
      <c r="F47" s="13">
        <v>64</v>
      </c>
      <c r="G47" s="13">
        <v>44</v>
      </c>
      <c r="H47" s="13" t="str" cm="1">
        <f t="array" ref="H47">_xlfn.IFS(G47&lt;=20,"0-20",G47&lt;=30,"20-30",G47&lt;=40,"30-40",G47&lt;=50,"50-60",G47&lt;=60,"60-70",G47&lt;=70,"70-80",G47&lt;=80,"80-90")</f>
        <v>50-60</v>
      </c>
      <c r="I47" s="13">
        <v>2634</v>
      </c>
      <c r="J47" s="13" t="str" cm="1">
        <f t="array" ref="J47">_xlfn.IFS(K47=1,"Divorciado",L47=1,"Casado",M47=1,"Solteiro",N47=1,"Juntos",O47=1,"Viuvo")</f>
        <v>Solteiro</v>
      </c>
      <c r="K47" s="13">
        <v>0</v>
      </c>
      <c r="L47" s="13">
        <v>0</v>
      </c>
      <c r="M47" s="13">
        <v>1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1</v>
      </c>
      <c r="T47" s="13">
        <v>0</v>
      </c>
      <c r="U47" s="13">
        <v>960</v>
      </c>
      <c r="V47" s="13" t="str" cm="1">
        <f t="array" ref="V47">_xlfn.IFS(U47&lt;=250,"0-R$250",U47&lt;=500,"251-R$500",U47&lt;=750,"501-R$750",U47&lt;=1000,"751-R$1000",U47&lt;=1250,"1001-R$1250",U47&lt;=1500,"1251-R$1500")</f>
        <v>751-R$1000</v>
      </c>
      <c r="W47" s="13">
        <v>0</v>
      </c>
      <c r="X47" s="13" t="str" cm="1">
        <f t="array" ref="X47">_xlfn.IFS(W47 = 0, "0", W47&lt;=20, "até R$20",W47&lt;=40, "21 - R$40",W47&lt;=60, "41- R$60",W47&lt;=80, "61 - R$80", W47&lt;=100, "81 - R$100",W47&lt;=120, "101 - R$120",W47&lt;=140, "121 - R$140", W47&lt;=160, "141- R$160", W47&lt;=180, "161 - R$180", W47&lt;=200, "181-R$194")</f>
        <v>0</v>
      </c>
      <c r="Y47" s="13">
        <v>883</v>
      </c>
      <c r="Z47" s="13">
        <v>50</v>
      </c>
      <c r="AA47" s="13">
        <v>38</v>
      </c>
      <c r="AB47" s="13">
        <v>0</v>
      </c>
      <c r="AC47" s="13">
        <v>1</v>
      </c>
      <c r="AD47" s="13">
        <v>5</v>
      </c>
      <c r="AE47" s="13">
        <v>6</v>
      </c>
      <c r="AF47" s="13">
        <v>8</v>
      </c>
      <c r="AG47" s="13">
        <v>3</v>
      </c>
      <c r="AH47" s="13">
        <v>0</v>
      </c>
      <c r="AI47" s="13">
        <v>0</v>
      </c>
      <c r="AJ47" s="13">
        <v>0</v>
      </c>
      <c r="AK47" s="13">
        <v>0</v>
      </c>
      <c r="AL47" s="13">
        <v>1</v>
      </c>
      <c r="AM47" s="13">
        <v>0</v>
      </c>
      <c r="AN47" s="13">
        <v>1</v>
      </c>
      <c r="AO47" s="14">
        <v>1</v>
      </c>
      <c r="AP47" s="13">
        <v>3</v>
      </c>
      <c r="AQ47" s="13">
        <v>11</v>
      </c>
      <c r="AR47" s="15">
        <v>1931</v>
      </c>
      <c r="AS47" s="15">
        <v>1931</v>
      </c>
    </row>
    <row r="48" spans="1:45" x14ac:dyDescent="0.25">
      <c r="A48">
        <v>543</v>
      </c>
      <c r="B48" s="11">
        <f t="shared" si="0"/>
        <v>87771</v>
      </c>
      <c r="C48" s="16">
        <v>877710</v>
      </c>
      <c r="D48" s="17">
        <v>0</v>
      </c>
      <c r="E48" s="17">
        <v>1</v>
      </c>
      <c r="F48" s="17">
        <v>61</v>
      </c>
      <c r="G48" s="17">
        <v>61</v>
      </c>
      <c r="H48" s="13" t="str" cm="1">
        <f t="array" ref="H48">_xlfn.IFS(G48&lt;=20,"0-20",G48&lt;=30,"20-30",G48&lt;=40,"30-40",G48&lt;=50,"50-60",G48&lt;=60,"60-70",G48&lt;=70,"70-80",G48&lt;=80,"80-90")</f>
        <v>70-80</v>
      </c>
      <c r="I48" s="17">
        <v>2562</v>
      </c>
      <c r="J48" s="13" t="str" cm="1">
        <f t="array" ref="J48">_xlfn.IFS(K48=1,"Divorciado",L48=1,"Casado",M48=1,"Solteiro",N48=1,"Juntos",O48=1,"Viuvo")</f>
        <v>Juntos</v>
      </c>
      <c r="K48" s="17">
        <v>0</v>
      </c>
      <c r="L48" s="17">
        <v>0</v>
      </c>
      <c r="M48" s="17">
        <v>0</v>
      </c>
      <c r="N48" s="17">
        <v>1</v>
      </c>
      <c r="O48" s="17">
        <v>0</v>
      </c>
      <c r="P48" s="17">
        <v>0</v>
      </c>
      <c r="Q48" s="17">
        <v>0</v>
      </c>
      <c r="R48" s="17">
        <v>1</v>
      </c>
      <c r="S48" s="17">
        <v>0</v>
      </c>
      <c r="T48" s="17">
        <v>0</v>
      </c>
      <c r="U48" s="17">
        <v>1492</v>
      </c>
      <c r="V48" s="13" t="str" cm="1">
        <f t="array" ref="V48">_xlfn.IFS(U48&lt;=250,"0-R$250",U48&lt;=500,"251-R$500",U48&lt;=750,"501-R$750",U48&lt;=1000,"751-R$1000",U48&lt;=1250,"1001-R$1250",U48&lt;=1500,"1251-R$1500")</f>
        <v>1251-R$1500</v>
      </c>
      <c r="W48" s="17">
        <v>38</v>
      </c>
      <c r="X48" s="13" t="str" cm="1">
        <f t="array" ref="X48">_xlfn.IFS(W48 = 0, "0", W48&lt;=20, "até R$20",W48&lt;=40, "21 - R$40",W48&lt;=60, "41- R$60",W48&lt;=80, "61 - R$80", W48&lt;=100, "81 - R$100",W48&lt;=120, "101 - R$120",W48&lt;=140, "121 - R$140", W48&lt;=160, "141- R$160", W48&lt;=180, "161 - R$180", W48&lt;=200, "181-R$194")</f>
        <v>21 - R$40</v>
      </c>
      <c r="Y48" s="17">
        <v>287</v>
      </c>
      <c r="Z48" s="17">
        <v>50</v>
      </c>
      <c r="AA48" s="17">
        <v>57</v>
      </c>
      <c r="AB48" s="17">
        <v>33</v>
      </c>
      <c r="AC48" s="17">
        <v>1</v>
      </c>
      <c r="AD48" s="17">
        <v>5</v>
      </c>
      <c r="AE48" s="17">
        <v>10</v>
      </c>
      <c r="AF48" s="17">
        <v>4</v>
      </c>
      <c r="AG48" s="17">
        <v>6</v>
      </c>
      <c r="AH48" s="17">
        <v>0</v>
      </c>
      <c r="AI48" s="17">
        <v>0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8">
        <v>4</v>
      </c>
      <c r="AP48" s="17">
        <v>3</v>
      </c>
      <c r="AQ48" s="17">
        <v>11</v>
      </c>
      <c r="AR48" s="19">
        <v>1891</v>
      </c>
      <c r="AS48" s="19">
        <v>1924</v>
      </c>
    </row>
    <row r="49" spans="1:45" x14ac:dyDescent="0.25">
      <c r="A49">
        <v>805</v>
      </c>
      <c r="B49" s="11">
        <f t="shared" si="0"/>
        <v>87771</v>
      </c>
      <c r="C49" s="16">
        <v>877710</v>
      </c>
      <c r="D49" s="17">
        <v>0</v>
      </c>
      <c r="E49" s="17">
        <v>1</v>
      </c>
      <c r="F49" s="17">
        <v>61</v>
      </c>
      <c r="G49" s="17">
        <v>61</v>
      </c>
      <c r="H49" s="13" t="str" cm="1">
        <f t="array" ref="H49">_xlfn.IFS(G49&lt;=20,"0-20",G49&lt;=30,"20-30",G49&lt;=40,"30-40",G49&lt;=50,"50-60",G49&lt;=60,"60-70",G49&lt;=70,"70-80",G49&lt;=80,"80-90")</f>
        <v>70-80</v>
      </c>
      <c r="I49" s="17">
        <v>2562</v>
      </c>
      <c r="J49" s="13" t="str" cm="1">
        <f t="array" ref="J49">_xlfn.IFS(K49=1,"Divorciado",L49=1,"Casado",M49=1,"Solteiro",N49=1,"Juntos",O49=1,"Viuvo")</f>
        <v>Juntos</v>
      </c>
      <c r="K49" s="17">
        <v>0</v>
      </c>
      <c r="L49" s="17">
        <v>0</v>
      </c>
      <c r="M49" s="17">
        <v>0</v>
      </c>
      <c r="N49" s="17">
        <v>1</v>
      </c>
      <c r="O49" s="17">
        <v>0</v>
      </c>
      <c r="P49" s="17">
        <v>0</v>
      </c>
      <c r="Q49" s="17">
        <v>0</v>
      </c>
      <c r="R49" s="17">
        <v>1</v>
      </c>
      <c r="S49" s="17">
        <v>0</v>
      </c>
      <c r="T49" s="17">
        <v>0</v>
      </c>
      <c r="U49" s="17">
        <v>1492</v>
      </c>
      <c r="V49" s="13" t="str" cm="1">
        <f t="array" ref="V49">_xlfn.IFS(U49&lt;=250,"0-R$250",U49&lt;=500,"251-R$500",U49&lt;=750,"501-R$750",U49&lt;=1000,"751-R$1000",U49&lt;=1250,"1001-R$1250",U49&lt;=1500,"1251-R$1500")</f>
        <v>1251-R$1500</v>
      </c>
      <c r="W49" s="17">
        <v>38</v>
      </c>
      <c r="X49" s="13" t="str" cm="1">
        <f t="array" ref="X49">_xlfn.IFS(W49 = 0, "0", W49&lt;=20, "até R$20",W49&lt;=40, "21 - R$40",W49&lt;=60, "41- R$60",W49&lt;=80, "61 - R$80", W49&lt;=100, "81 - R$100",W49&lt;=120, "101 - R$120",W49&lt;=140, "121 - R$140", W49&lt;=160, "141- R$160", W49&lt;=180, "161 - R$180", W49&lt;=200, "181-R$194")</f>
        <v>21 - R$40</v>
      </c>
      <c r="Y49" s="17">
        <v>287</v>
      </c>
      <c r="Z49" s="17">
        <v>50</v>
      </c>
      <c r="AA49" s="17">
        <v>57</v>
      </c>
      <c r="AB49" s="17">
        <v>33</v>
      </c>
      <c r="AC49" s="17">
        <v>1</v>
      </c>
      <c r="AD49" s="17">
        <v>5</v>
      </c>
      <c r="AE49" s="17">
        <v>10</v>
      </c>
      <c r="AF49" s="17">
        <v>4</v>
      </c>
      <c r="AG49" s="17">
        <v>6</v>
      </c>
      <c r="AH49" s="17">
        <v>0</v>
      </c>
      <c r="AI49" s="17">
        <v>0</v>
      </c>
      <c r="AJ49" s="17">
        <v>1</v>
      </c>
      <c r="AK49" s="17">
        <v>1</v>
      </c>
      <c r="AL49" s="17">
        <v>1</v>
      </c>
      <c r="AM49" s="17">
        <v>1</v>
      </c>
      <c r="AN49" s="17">
        <v>1</v>
      </c>
      <c r="AO49" s="18">
        <v>4</v>
      </c>
      <c r="AP49" s="17">
        <v>3</v>
      </c>
      <c r="AQ49" s="17">
        <v>11</v>
      </c>
      <c r="AR49" s="19">
        <v>1891</v>
      </c>
      <c r="AS49" s="19">
        <v>1924</v>
      </c>
    </row>
    <row r="50" spans="1:45" x14ac:dyDescent="0.25">
      <c r="A50">
        <v>1071</v>
      </c>
      <c r="B50" s="11">
        <f t="shared" si="0"/>
        <v>85844</v>
      </c>
      <c r="C50" s="16">
        <v>858440</v>
      </c>
      <c r="D50" s="17">
        <v>0</v>
      </c>
      <c r="E50" s="17">
        <v>0</v>
      </c>
      <c r="F50" s="17">
        <v>62</v>
      </c>
      <c r="G50" s="17">
        <v>47</v>
      </c>
      <c r="H50" s="13" t="str" cm="1">
        <f t="array" ref="H50">_xlfn.IFS(G50&lt;=20,"0-20",G50&lt;=30,"20-30",G50&lt;=40,"30-40",G50&lt;=50,"50-60",G50&lt;=60,"60-70",G50&lt;=70,"70-80",G50&lt;=80,"80-90")</f>
        <v>50-60</v>
      </c>
      <c r="I50" s="17">
        <v>2190</v>
      </c>
      <c r="J50" s="13" t="str" cm="1">
        <f t="array" ref="J50">_xlfn.IFS(K50=1,"Divorciado",L50=1,"Casado",M50=1,"Solteiro",N50=1,"Juntos",O50=1,"Viuvo")</f>
        <v>Casado</v>
      </c>
      <c r="K50" s="17">
        <v>0</v>
      </c>
      <c r="L50" s="17">
        <v>1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1</v>
      </c>
      <c r="U50" s="17">
        <v>938</v>
      </c>
      <c r="V50" s="13" t="str" cm="1">
        <f t="array" ref="V50">_xlfn.IFS(U50&lt;=250,"0-R$250",U50&lt;=500,"251-R$500",U50&lt;=750,"501-R$750",U50&lt;=1000,"751-R$1000",U50&lt;=1250,"1001-R$1250",U50&lt;=1500,"1251-R$1500")</f>
        <v>751-R$1000</v>
      </c>
      <c r="W50" s="17">
        <v>19</v>
      </c>
      <c r="X50" s="13" t="str" cm="1">
        <f t="array" ref="X50">_xlfn.IFS(W50 = 0, "0", W50&lt;=20, "até R$20",W50&lt;=40, "21 - R$40",W50&lt;=60, "41- R$60",W50&lt;=80, "61 - R$80", W50&lt;=100, "81 - R$100",W50&lt;=120, "101 - R$120",W50&lt;=140, "121 - R$140", W50&lt;=160, "141- R$160", W50&lt;=180, "161 - R$180", W50&lt;=200, "181-R$194")</f>
        <v>até R$20</v>
      </c>
      <c r="Y50" s="17">
        <v>843</v>
      </c>
      <c r="Z50" s="17">
        <v>25</v>
      </c>
      <c r="AA50" s="17">
        <v>95</v>
      </c>
      <c r="AB50" s="17">
        <v>38</v>
      </c>
      <c r="AC50" s="17">
        <v>1</v>
      </c>
      <c r="AD50" s="17">
        <v>6</v>
      </c>
      <c r="AE50" s="17">
        <v>6</v>
      </c>
      <c r="AF50" s="17">
        <v>7</v>
      </c>
      <c r="AG50" s="17">
        <v>2</v>
      </c>
      <c r="AH50" s="17">
        <v>0</v>
      </c>
      <c r="AI50" s="17">
        <v>0</v>
      </c>
      <c r="AJ50" s="17">
        <v>0</v>
      </c>
      <c r="AK50" s="17">
        <v>1</v>
      </c>
      <c r="AL50" s="17">
        <v>0</v>
      </c>
      <c r="AM50" s="17">
        <v>0</v>
      </c>
      <c r="AN50" s="17">
        <v>0</v>
      </c>
      <c r="AO50" s="18">
        <v>1</v>
      </c>
      <c r="AP50" s="17">
        <v>3</v>
      </c>
      <c r="AQ50" s="17">
        <v>11</v>
      </c>
      <c r="AR50" s="19">
        <v>1882</v>
      </c>
      <c r="AS50" s="19">
        <v>1920</v>
      </c>
    </row>
    <row r="51" spans="1:45" x14ac:dyDescent="0.25">
      <c r="A51">
        <v>1987</v>
      </c>
      <c r="B51" s="11">
        <f t="shared" si="0"/>
        <v>96876</v>
      </c>
      <c r="C51" s="16">
        <v>968760</v>
      </c>
      <c r="D51" s="17">
        <v>0</v>
      </c>
      <c r="E51" s="17">
        <v>0</v>
      </c>
      <c r="F51" s="17">
        <v>79</v>
      </c>
      <c r="G51" s="17">
        <v>43</v>
      </c>
      <c r="H51" s="13" t="str" cm="1">
        <f t="array" ref="H51">_xlfn.IFS(G51&lt;=20,"0-20",G51&lt;=30,"20-30",G51&lt;=40,"30-40",G51&lt;=50,"50-60",G51&lt;=60,"60-70",G51&lt;=70,"70-80",G51&lt;=80,"80-90")</f>
        <v>50-60</v>
      </c>
      <c r="I51" s="17">
        <v>2486</v>
      </c>
      <c r="J51" s="13" t="str" cm="1">
        <f t="array" ref="J51">_xlfn.IFS(K51=1,"Divorciado",L51=1,"Casado",M51=1,"Solteiro",N51=1,"Juntos",O51=1,"Viuvo")</f>
        <v>Juntos</v>
      </c>
      <c r="K51" s="17">
        <v>0</v>
      </c>
      <c r="L51" s="17">
        <v>0</v>
      </c>
      <c r="M51" s="17">
        <v>0</v>
      </c>
      <c r="N51" s="17">
        <v>1</v>
      </c>
      <c r="O51" s="17">
        <v>0</v>
      </c>
      <c r="P51" s="17">
        <v>0</v>
      </c>
      <c r="Q51" s="17">
        <v>0</v>
      </c>
      <c r="R51" s="17">
        <v>1</v>
      </c>
      <c r="S51" s="17">
        <v>0</v>
      </c>
      <c r="T51" s="17">
        <v>0</v>
      </c>
      <c r="U51" s="17">
        <v>908</v>
      </c>
      <c r="V51" s="13" t="str" cm="1">
        <f t="array" ref="V51">_xlfn.IFS(U51&lt;=250,"0-R$250",U51&lt;=500,"251-R$500",U51&lt;=750,"501-R$750",U51&lt;=1000,"751-R$1000",U51&lt;=1250,"1001-R$1250",U51&lt;=1500,"1251-R$1500")</f>
        <v>751-R$1000</v>
      </c>
      <c r="W51" s="17">
        <v>43</v>
      </c>
      <c r="X51" s="13" t="str" cm="1">
        <f t="array" ref="X51">_xlfn.IFS(W51 = 0, "0", W51&lt;=20, "até R$20",W51&lt;=40, "21 - R$40",W51&lt;=60, "41- R$60",W51&lt;=80, "61 - R$80", W51&lt;=100, "81 - R$100",W51&lt;=120, "101 - R$120",W51&lt;=140, "121 - R$140", W51&lt;=160, "141- R$160", W51&lt;=180, "161 - R$180", W51&lt;=200, "181-R$194")</f>
        <v>41- R$60</v>
      </c>
      <c r="Y51" s="17">
        <v>735</v>
      </c>
      <c r="Z51" s="17">
        <v>40</v>
      </c>
      <c r="AA51" s="17">
        <v>194</v>
      </c>
      <c r="AB51" s="17">
        <v>21</v>
      </c>
      <c r="AC51" s="17">
        <v>1</v>
      </c>
      <c r="AD51" s="17">
        <v>7</v>
      </c>
      <c r="AE51" s="17">
        <v>7</v>
      </c>
      <c r="AF51" s="17">
        <v>9</v>
      </c>
      <c r="AG51" s="17">
        <v>2</v>
      </c>
      <c r="AH51" s="17">
        <v>0</v>
      </c>
      <c r="AI51" s="17">
        <v>0</v>
      </c>
      <c r="AJ51" s="17">
        <v>1</v>
      </c>
      <c r="AK51" s="17">
        <v>1</v>
      </c>
      <c r="AL51" s="17">
        <v>1</v>
      </c>
      <c r="AM51" s="17">
        <v>0</v>
      </c>
      <c r="AN51" s="17">
        <v>1</v>
      </c>
      <c r="AO51" s="18">
        <v>3</v>
      </c>
      <c r="AP51" s="17">
        <v>3</v>
      </c>
      <c r="AQ51" s="17">
        <v>11</v>
      </c>
      <c r="AR51" s="19">
        <v>1899</v>
      </c>
      <c r="AS51" s="19">
        <v>1920</v>
      </c>
    </row>
    <row r="52" spans="1:45" x14ac:dyDescent="0.25">
      <c r="A52">
        <v>527</v>
      </c>
      <c r="B52" s="11">
        <f t="shared" si="0"/>
        <v>84169</v>
      </c>
      <c r="C52" s="16">
        <v>841690</v>
      </c>
      <c r="D52" s="17">
        <v>0</v>
      </c>
      <c r="E52" s="17">
        <v>0</v>
      </c>
      <c r="F52" s="17">
        <v>9</v>
      </c>
      <c r="G52" s="17">
        <v>38</v>
      </c>
      <c r="H52" s="13" t="str" cm="1">
        <f t="array" ref="H52">_xlfn.IFS(G52&lt;=20,"0-20",G52&lt;=30,"20-30",G52&lt;=40,"30-40",G52&lt;=50,"50-60",G52&lt;=60,"60-70",G52&lt;=70,"70-80",G52&lt;=80,"80-90")</f>
        <v>30-40</v>
      </c>
      <c r="I52" s="17">
        <v>2485</v>
      </c>
      <c r="J52" s="13" t="str" cm="1">
        <f t="array" ref="J52">_xlfn.IFS(K52=1,"Divorciado",L52=1,"Casado",M52=1,"Solteiro",N52=1,"Juntos",O52=1,"Viuvo")</f>
        <v>Casado</v>
      </c>
      <c r="K52" s="17">
        <v>0</v>
      </c>
      <c r="L52" s="17">
        <v>1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1</v>
      </c>
      <c r="U52" s="17">
        <v>1478</v>
      </c>
      <c r="V52" s="13" t="str" cm="1">
        <f t="array" ref="V52">_xlfn.IFS(U52&lt;=250,"0-R$250",U52&lt;=500,"251-R$500",U52&lt;=750,"501-R$750",U52&lt;=1000,"751-R$1000",U52&lt;=1250,"1001-R$1250",U52&lt;=1500,"1251-R$1500")</f>
        <v>1251-R$1500</v>
      </c>
      <c r="W52" s="17">
        <v>19</v>
      </c>
      <c r="X52" s="13" t="str" cm="1">
        <f t="array" ref="X52">_xlfn.IFS(W52 = 0, "0", W52&lt;=20, "até R$20",W52&lt;=40, "21 - R$40",W52&lt;=60, "41- R$60",W52&lt;=80, "61 - R$80", W52&lt;=100, "81 - R$100",W52&lt;=120, "101 - R$120",W52&lt;=140, "121 - R$140", W52&lt;=160, "141- R$160", W52&lt;=180, "161 - R$180", W52&lt;=200, "181-R$194")</f>
        <v>até R$20</v>
      </c>
      <c r="Y52" s="17">
        <v>403</v>
      </c>
      <c r="Z52" s="17">
        <v>0</v>
      </c>
      <c r="AA52" s="17">
        <v>19</v>
      </c>
      <c r="AB52" s="17">
        <v>0</v>
      </c>
      <c r="AC52" s="17">
        <v>1</v>
      </c>
      <c r="AD52" s="17">
        <v>7</v>
      </c>
      <c r="AE52" s="17">
        <v>6</v>
      </c>
      <c r="AF52" s="17">
        <v>6</v>
      </c>
      <c r="AG52" s="17">
        <v>3</v>
      </c>
      <c r="AH52" s="17">
        <v>0</v>
      </c>
      <c r="AI52" s="17">
        <v>0</v>
      </c>
      <c r="AJ52" s="17">
        <v>1</v>
      </c>
      <c r="AK52" s="17">
        <v>1</v>
      </c>
      <c r="AL52" s="17">
        <v>0</v>
      </c>
      <c r="AM52" s="17">
        <v>0</v>
      </c>
      <c r="AN52" s="17">
        <v>1</v>
      </c>
      <c r="AO52" s="18">
        <v>2</v>
      </c>
      <c r="AP52" s="17">
        <v>3</v>
      </c>
      <c r="AQ52" s="17">
        <v>11</v>
      </c>
      <c r="AR52" s="19">
        <v>1919</v>
      </c>
      <c r="AS52" s="19">
        <v>1919</v>
      </c>
    </row>
    <row r="53" spans="1:45" x14ac:dyDescent="0.25">
      <c r="A53">
        <v>898</v>
      </c>
      <c r="B53" s="11">
        <f t="shared" si="0"/>
        <v>84169</v>
      </c>
      <c r="C53" s="12">
        <v>841690</v>
      </c>
      <c r="D53" s="13">
        <v>0</v>
      </c>
      <c r="E53" s="13">
        <v>0</v>
      </c>
      <c r="F53" s="13">
        <v>9</v>
      </c>
      <c r="G53" s="13">
        <v>38</v>
      </c>
      <c r="H53" s="13" t="str" cm="1">
        <f t="array" ref="H53">_xlfn.IFS(G53&lt;=20,"0-20",G53&lt;=30,"20-30",G53&lt;=40,"30-40",G53&lt;=50,"50-60",G53&lt;=60,"60-70",G53&lt;=70,"70-80",G53&lt;=80,"80-90")</f>
        <v>30-40</v>
      </c>
      <c r="I53" s="13">
        <v>2485</v>
      </c>
      <c r="J53" s="13" t="str" cm="1">
        <f t="array" ref="J53">_xlfn.IFS(K53=1,"Divorciado",L53=1,"Casado",M53=1,"Solteiro",N53=1,"Juntos",O53=1,"Viuvo")</f>
        <v>Casado</v>
      </c>
      <c r="K53" s="13">
        <v>0</v>
      </c>
      <c r="L53" s="13">
        <v>1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1</v>
      </c>
      <c r="U53" s="13">
        <v>1478</v>
      </c>
      <c r="V53" s="13" t="str" cm="1">
        <f t="array" ref="V53">_xlfn.IFS(U53&lt;=250,"0-R$250",U53&lt;=500,"251-R$500",U53&lt;=750,"501-R$750",U53&lt;=1000,"751-R$1000",U53&lt;=1250,"1001-R$1250",U53&lt;=1500,"1251-R$1500")</f>
        <v>1251-R$1500</v>
      </c>
      <c r="W53" s="13">
        <v>19</v>
      </c>
      <c r="X53" s="13" t="str" cm="1">
        <f t="array" ref="X53">_xlfn.IFS(W53 = 0, "0", W53&lt;=20, "até R$20",W53&lt;=40, "21 - R$40",W53&lt;=60, "41- R$60",W53&lt;=80, "61 - R$80", W53&lt;=100, "81 - R$100",W53&lt;=120, "101 - R$120",W53&lt;=140, "121 - R$140", W53&lt;=160, "141- R$160", W53&lt;=180, "161 - R$180", W53&lt;=200, "181-R$194")</f>
        <v>até R$20</v>
      </c>
      <c r="Y53" s="13">
        <v>403</v>
      </c>
      <c r="Z53" s="13">
        <v>0</v>
      </c>
      <c r="AA53" s="13">
        <v>19</v>
      </c>
      <c r="AB53" s="13">
        <v>0</v>
      </c>
      <c r="AC53" s="13">
        <v>1</v>
      </c>
      <c r="AD53" s="13">
        <v>7</v>
      </c>
      <c r="AE53" s="13">
        <v>6</v>
      </c>
      <c r="AF53" s="13">
        <v>6</v>
      </c>
      <c r="AG53" s="13">
        <v>3</v>
      </c>
      <c r="AH53" s="13">
        <v>0</v>
      </c>
      <c r="AI53" s="13">
        <v>0</v>
      </c>
      <c r="AJ53" s="13">
        <v>1</v>
      </c>
      <c r="AK53" s="13">
        <v>1</v>
      </c>
      <c r="AL53" s="13">
        <v>0</v>
      </c>
      <c r="AM53" s="13">
        <v>0</v>
      </c>
      <c r="AN53" s="13">
        <v>1</v>
      </c>
      <c r="AO53" s="14">
        <v>2</v>
      </c>
      <c r="AP53" s="13">
        <v>3</v>
      </c>
      <c r="AQ53" s="13">
        <v>11</v>
      </c>
      <c r="AR53" s="15">
        <v>1919</v>
      </c>
      <c r="AS53" s="15">
        <v>1919</v>
      </c>
    </row>
    <row r="54" spans="1:45" x14ac:dyDescent="0.25">
      <c r="A54">
        <v>1866</v>
      </c>
      <c r="B54" s="11">
        <f t="shared" si="0"/>
        <v>88420</v>
      </c>
      <c r="C54" s="12">
        <v>884200</v>
      </c>
      <c r="D54" s="13">
        <v>0</v>
      </c>
      <c r="E54" s="13">
        <v>0</v>
      </c>
      <c r="F54" s="13">
        <v>87</v>
      </c>
      <c r="G54" s="13">
        <v>31</v>
      </c>
      <c r="H54" s="13" t="str" cm="1">
        <f t="array" ref="H54">_xlfn.IFS(G54&lt;=20,"0-20",G54&lt;=30,"20-30",G54&lt;=40,"30-40",G54&lt;=50,"50-60",G54&lt;=60,"60-70",G54&lt;=70,"70-80",G54&lt;=80,"80-90")</f>
        <v>30-40</v>
      </c>
      <c r="I54" s="13">
        <v>2217</v>
      </c>
      <c r="J54" s="13" t="str" cm="1">
        <f t="array" ref="J54">_xlfn.IFS(K54=1,"Divorciado",L54=1,"Casado",M54=1,"Solteiro",N54=1,"Juntos",O54=1,"Viuvo")</f>
        <v>Juntos</v>
      </c>
      <c r="K54" s="13">
        <v>0</v>
      </c>
      <c r="L54" s="13">
        <v>0</v>
      </c>
      <c r="M54" s="13">
        <v>0</v>
      </c>
      <c r="N54" s="13">
        <v>1</v>
      </c>
      <c r="O54" s="13">
        <v>0</v>
      </c>
      <c r="P54" s="13">
        <v>0</v>
      </c>
      <c r="Q54" s="13">
        <v>0</v>
      </c>
      <c r="R54" s="13">
        <v>0</v>
      </c>
      <c r="S54" s="13">
        <v>1</v>
      </c>
      <c r="T54" s="13">
        <v>0</v>
      </c>
      <c r="U54" s="13">
        <v>957</v>
      </c>
      <c r="V54" s="13" t="str" cm="1">
        <f t="array" ref="V54">_xlfn.IFS(U54&lt;=250,"0-R$250",U54&lt;=500,"251-R$500",U54&lt;=750,"501-R$750",U54&lt;=1000,"751-R$1000",U54&lt;=1250,"1001-R$1250",U54&lt;=1500,"1251-R$1500")</f>
        <v>751-R$1000</v>
      </c>
      <c r="W54" s="13">
        <v>153</v>
      </c>
      <c r="X54" s="13" t="str" cm="1">
        <f t="array" ref="X54">_xlfn.IFS(W54 = 0, "0", W54&lt;=20, "até R$20",W54&lt;=40, "21 - R$40",W54&lt;=60, "41- R$60",W54&lt;=80, "61 - R$80", W54&lt;=100, "81 - R$100",W54&lt;=120, "101 - R$120",W54&lt;=140, "121 - R$140", W54&lt;=160, "141- R$160", W54&lt;=180, "161 - R$180", W54&lt;=200, "181-R$194")</f>
        <v>141- R$160</v>
      </c>
      <c r="Y54" s="13">
        <v>612</v>
      </c>
      <c r="Z54" s="13">
        <v>99</v>
      </c>
      <c r="AA54" s="13">
        <v>95</v>
      </c>
      <c r="AB54" s="13">
        <v>153</v>
      </c>
      <c r="AC54" s="13">
        <v>1</v>
      </c>
      <c r="AD54" s="13">
        <v>4</v>
      </c>
      <c r="AE54" s="13">
        <v>7</v>
      </c>
      <c r="AF54" s="13">
        <v>8</v>
      </c>
      <c r="AG54" s="13">
        <v>1</v>
      </c>
      <c r="AH54" s="13">
        <v>0</v>
      </c>
      <c r="AI54" s="13">
        <v>1</v>
      </c>
      <c r="AJ54" s="13">
        <v>0</v>
      </c>
      <c r="AK54" s="13">
        <v>1</v>
      </c>
      <c r="AL54" s="13">
        <v>1</v>
      </c>
      <c r="AM54" s="13">
        <v>0</v>
      </c>
      <c r="AN54" s="13">
        <v>0</v>
      </c>
      <c r="AO54" s="14">
        <v>3</v>
      </c>
      <c r="AP54" s="13">
        <v>3</v>
      </c>
      <c r="AQ54" s="13">
        <v>11</v>
      </c>
      <c r="AR54" s="15">
        <v>1763</v>
      </c>
      <c r="AS54" s="15">
        <v>1916</v>
      </c>
    </row>
    <row r="55" spans="1:45" x14ac:dyDescent="0.25">
      <c r="A55">
        <v>2143</v>
      </c>
      <c r="B55" s="11">
        <f t="shared" si="0"/>
        <v>79174</v>
      </c>
      <c r="C55" s="16">
        <v>791740</v>
      </c>
      <c r="D55" s="17">
        <v>0</v>
      </c>
      <c r="E55" s="17">
        <v>0</v>
      </c>
      <c r="F55" s="17">
        <v>2</v>
      </c>
      <c r="G55" s="17">
        <v>45</v>
      </c>
      <c r="H55" s="13" t="str" cm="1">
        <f t="array" ref="H55">_xlfn.IFS(G55&lt;=20,"0-20",G55&lt;=30,"20-30",G55&lt;=40,"30-40",G55&lt;=50,"50-60",G55&lt;=60,"60-70",G55&lt;=70,"70-80",G55&lt;=80,"80-90")</f>
        <v>50-60</v>
      </c>
      <c r="I55" s="17">
        <v>2693</v>
      </c>
      <c r="J55" s="13" t="str" cm="1">
        <f t="array" ref="J55">_xlfn.IFS(K55=1,"Divorciado",L55=1,"Casado",M55=1,"Solteiro",N55=1,"Juntos",O55=1,"Viuvo")</f>
        <v>Casado</v>
      </c>
      <c r="K55" s="17">
        <v>0</v>
      </c>
      <c r="L55" s="17">
        <v>1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1</v>
      </c>
      <c r="U55" s="17">
        <v>1074</v>
      </c>
      <c r="V55" s="13" t="str" cm="1">
        <f t="array" ref="V55">_xlfn.IFS(U55&lt;=250,"0-R$250",U55&lt;=500,"251-R$500",U55&lt;=750,"501-R$750",U55&lt;=1000,"751-R$1000",U55&lt;=1250,"1001-R$1250",U55&lt;=1500,"1251-R$1500")</f>
        <v>1001-R$1250</v>
      </c>
      <c r="W55" s="17">
        <v>37</v>
      </c>
      <c r="X55" s="13" t="str" cm="1">
        <f t="array" ref="X55">_xlfn.IFS(W55 = 0, "0", W55&lt;=20, "até R$20",W55&lt;=40, "21 - R$40",W55&lt;=60, "41- R$60",W55&lt;=80, "61 - R$80", W55&lt;=100, "81 - R$100",W55&lt;=120, "101 - R$120",W55&lt;=140, "121 - R$140", W55&lt;=160, "141- R$160", W55&lt;=180, "161 - R$180", W55&lt;=200, "181-R$194")</f>
        <v>21 - R$40</v>
      </c>
      <c r="Y55" s="17">
        <v>518</v>
      </c>
      <c r="Z55" s="17">
        <v>193</v>
      </c>
      <c r="AA55" s="17">
        <v>92</v>
      </c>
      <c r="AB55" s="17">
        <v>129</v>
      </c>
      <c r="AC55" s="17">
        <v>1</v>
      </c>
      <c r="AD55" s="17">
        <v>5</v>
      </c>
      <c r="AE55" s="17">
        <v>6</v>
      </c>
      <c r="AF55" s="17">
        <v>7</v>
      </c>
      <c r="AG55" s="17">
        <v>2</v>
      </c>
      <c r="AH55" s="17">
        <v>0</v>
      </c>
      <c r="AI55" s="17">
        <v>0</v>
      </c>
      <c r="AJ55" s="17">
        <v>0</v>
      </c>
      <c r="AK55" s="17">
        <v>1</v>
      </c>
      <c r="AL55" s="17">
        <v>1</v>
      </c>
      <c r="AM55" s="17">
        <v>0</v>
      </c>
      <c r="AN55" s="17">
        <v>1</v>
      </c>
      <c r="AO55" s="18">
        <v>2</v>
      </c>
      <c r="AP55" s="17">
        <v>3</v>
      </c>
      <c r="AQ55" s="17">
        <v>11</v>
      </c>
      <c r="AR55" s="19">
        <v>1785</v>
      </c>
      <c r="AS55" s="19">
        <v>1914</v>
      </c>
    </row>
    <row r="56" spans="1:45" x14ac:dyDescent="0.25">
      <c r="A56">
        <v>1965</v>
      </c>
      <c r="B56" s="11">
        <f t="shared" si="0"/>
        <v>72968</v>
      </c>
      <c r="C56" s="16">
        <v>729680</v>
      </c>
      <c r="D56" s="17">
        <v>0</v>
      </c>
      <c r="E56" s="17">
        <v>0</v>
      </c>
      <c r="F56" s="17">
        <v>8</v>
      </c>
      <c r="G56" s="17">
        <v>57</v>
      </c>
      <c r="H56" s="13" t="str" cm="1">
        <f t="array" ref="H56">_xlfn.IFS(G56&lt;=20,"0-20",G56&lt;=30,"20-30",G56&lt;=40,"30-40",G56&lt;=50,"50-60",G56&lt;=60,"60-70",G56&lt;=70,"70-80",G56&lt;=80,"80-90")</f>
        <v>60-70</v>
      </c>
      <c r="I56" s="17">
        <v>2354</v>
      </c>
      <c r="J56" s="13" t="str" cm="1">
        <f t="array" ref="J56">_xlfn.IFS(K56=1,"Divorciado",L56=1,"Casado",M56=1,"Solteiro",N56=1,"Juntos",O56=1,"Viuvo")</f>
        <v>Divorciado</v>
      </c>
      <c r="K56" s="17">
        <v>1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1</v>
      </c>
      <c r="U56" s="17">
        <v>1092</v>
      </c>
      <c r="V56" s="13" t="str" cm="1">
        <f t="array" ref="V56">_xlfn.IFS(U56&lt;=250,"0-R$250",U56&lt;=500,"251-R$500",U56&lt;=750,"501-R$750",U56&lt;=1000,"751-R$1000",U56&lt;=1250,"1001-R$1250",U56&lt;=1500,"1251-R$1500")</f>
        <v>1001-R$1250</v>
      </c>
      <c r="W56" s="17">
        <v>37</v>
      </c>
      <c r="X56" s="13" t="str" cm="1">
        <f t="array" ref="X56">_xlfn.IFS(W56 = 0, "0", W56&lt;=20, "até R$20",W56&lt;=40, "21 - R$40",W56&lt;=60, "41- R$60",W56&lt;=80, "61 - R$80", W56&lt;=100, "81 - R$100",W56&lt;=120, "101 - R$120",W56&lt;=140, "121 - R$140", W56&lt;=160, "141- R$160", W56&lt;=180, "161 - R$180", W56&lt;=200, "181-R$194")</f>
        <v>21 - R$40</v>
      </c>
      <c r="Y56" s="17">
        <v>592</v>
      </c>
      <c r="Z56" s="17">
        <v>145</v>
      </c>
      <c r="AA56" s="17">
        <v>37</v>
      </c>
      <c r="AB56" s="17">
        <v>55</v>
      </c>
      <c r="AC56" s="17">
        <v>1</v>
      </c>
      <c r="AD56" s="17">
        <v>5</v>
      </c>
      <c r="AE56" s="17">
        <v>5</v>
      </c>
      <c r="AF56" s="17">
        <v>8</v>
      </c>
      <c r="AG56" s="17">
        <v>3</v>
      </c>
      <c r="AH56" s="17">
        <v>0</v>
      </c>
      <c r="AI56" s="17">
        <v>0</v>
      </c>
      <c r="AJ56" s="17">
        <v>0</v>
      </c>
      <c r="AK56" s="17">
        <v>0</v>
      </c>
      <c r="AL56" s="17">
        <v>1</v>
      </c>
      <c r="AM56" s="17">
        <v>0</v>
      </c>
      <c r="AN56" s="17">
        <v>1</v>
      </c>
      <c r="AO56" s="18">
        <v>1</v>
      </c>
      <c r="AP56" s="17">
        <v>3</v>
      </c>
      <c r="AQ56" s="17">
        <v>11</v>
      </c>
      <c r="AR56" s="19">
        <v>1848</v>
      </c>
      <c r="AS56" s="19">
        <v>1903</v>
      </c>
    </row>
    <row r="57" spans="1:45" x14ac:dyDescent="0.25">
      <c r="A57">
        <v>503</v>
      </c>
      <c r="B57" s="11">
        <f t="shared" si="0"/>
        <v>80184</v>
      </c>
      <c r="C57" s="16">
        <v>801840</v>
      </c>
      <c r="D57" s="17">
        <v>0</v>
      </c>
      <c r="E57" s="17">
        <v>0</v>
      </c>
      <c r="F57" s="17">
        <v>19</v>
      </c>
      <c r="G57" s="17">
        <v>76</v>
      </c>
      <c r="H57" s="13" t="str" cm="1">
        <f t="array" ref="H57">_xlfn.IFS(G57&lt;=20,"0-20",G57&lt;=30,"20-30",G57&lt;=40,"30-40",G57&lt;=50,"50-60",G57&lt;=60,"60-70",G57&lt;=70,"70-80",G57&lt;=80,"80-90")</f>
        <v>80-90</v>
      </c>
      <c r="I57" s="17">
        <v>2279</v>
      </c>
      <c r="J57" s="13" t="str" cm="1">
        <f t="array" ref="J57">_xlfn.IFS(K57=1,"Divorciado",L57=1,"Casado",M57=1,"Solteiro",N57=1,"Juntos",O57=1,"Viuvo")</f>
        <v>Casado</v>
      </c>
      <c r="K57" s="17">
        <v>0</v>
      </c>
      <c r="L57" s="17">
        <v>1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1</v>
      </c>
      <c r="T57" s="17">
        <v>0</v>
      </c>
      <c r="U57" s="17">
        <v>1035</v>
      </c>
      <c r="V57" s="13" t="str" cm="1">
        <f t="array" ref="V57">_xlfn.IFS(U57&lt;=250,"0-R$250",U57&lt;=500,"251-R$500",U57&lt;=750,"501-R$750",U57&lt;=1000,"751-R$1000",U57&lt;=1250,"1001-R$1250",U57&lt;=1500,"1251-R$1500")</f>
        <v>1001-R$1250</v>
      </c>
      <c r="W57" s="17">
        <v>134</v>
      </c>
      <c r="X57" s="13" t="str" cm="1">
        <f t="array" ref="X57">_xlfn.IFS(W57 = 0, "0", W57&lt;=20, "até R$20",W57&lt;=40, "21 - R$40",W57&lt;=60, "41- R$60",W57&lt;=80, "61 - R$80", W57&lt;=100, "81 - R$100",W57&lt;=120, "101 - R$120",W57&lt;=140, "121 - R$140", W57&lt;=160, "141- R$160", W57&lt;=180, "161 - R$180", W57&lt;=200, "181-R$194")</f>
        <v>121 - R$140</v>
      </c>
      <c r="Y57" s="17">
        <v>670</v>
      </c>
      <c r="Z57" s="17">
        <v>25</v>
      </c>
      <c r="AA57" s="17">
        <v>38</v>
      </c>
      <c r="AB57" s="17">
        <v>0</v>
      </c>
      <c r="AC57" s="17">
        <v>1</v>
      </c>
      <c r="AD57" s="17">
        <v>6</v>
      </c>
      <c r="AE57" s="17">
        <v>3</v>
      </c>
      <c r="AF57" s="17">
        <v>10</v>
      </c>
      <c r="AG57" s="17">
        <v>3</v>
      </c>
      <c r="AH57" s="17">
        <v>0</v>
      </c>
      <c r="AI57" s="17">
        <v>0</v>
      </c>
      <c r="AJ57" s="17">
        <v>0</v>
      </c>
      <c r="AK57" s="17">
        <v>1</v>
      </c>
      <c r="AL57" s="17">
        <v>1</v>
      </c>
      <c r="AM57" s="17">
        <v>0</v>
      </c>
      <c r="AN57" s="17">
        <v>0</v>
      </c>
      <c r="AO57" s="18">
        <v>2</v>
      </c>
      <c r="AP57" s="17">
        <v>3</v>
      </c>
      <c r="AQ57" s="17">
        <v>11</v>
      </c>
      <c r="AR57" s="19">
        <v>1902</v>
      </c>
      <c r="AS57" s="19">
        <v>1902</v>
      </c>
    </row>
    <row r="58" spans="1:45" x14ac:dyDescent="0.25">
      <c r="A58">
        <v>1338</v>
      </c>
      <c r="B58" s="11">
        <f t="shared" si="0"/>
        <v>80695</v>
      </c>
      <c r="C58" s="12">
        <v>806950</v>
      </c>
      <c r="D58" s="13">
        <v>0</v>
      </c>
      <c r="E58" s="13">
        <v>0</v>
      </c>
      <c r="F58" s="13">
        <v>85</v>
      </c>
      <c r="G58" s="13">
        <v>57</v>
      </c>
      <c r="H58" s="13" t="str" cm="1">
        <f t="array" ref="H58">_xlfn.IFS(G58&lt;=20,"0-20",G58&lt;=30,"20-30",G58&lt;=40,"30-40",G58&lt;=50,"50-60",G58&lt;=60,"60-70",G58&lt;=70,"70-80",G58&lt;=80,"80-90")</f>
        <v>60-70</v>
      </c>
      <c r="I58" s="13">
        <v>2341</v>
      </c>
      <c r="J58" s="13" t="str" cm="1">
        <f t="array" ref="J58">_xlfn.IFS(K58=1,"Divorciado",L58=1,"Casado",M58=1,"Solteiro",N58=1,"Juntos",O58=1,"Viuvo")</f>
        <v>Solteiro</v>
      </c>
      <c r="K58" s="13">
        <v>0</v>
      </c>
      <c r="L58" s="13">
        <v>0</v>
      </c>
      <c r="M58" s="13">
        <v>1</v>
      </c>
      <c r="N58" s="13">
        <v>0</v>
      </c>
      <c r="O58" s="13">
        <v>0</v>
      </c>
      <c r="P58" s="13">
        <v>0</v>
      </c>
      <c r="Q58" s="13">
        <v>0</v>
      </c>
      <c r="R58" s="13">
        <v>1</v>
      </c>
      <c r="S58" s="13">
        <v>0</v>
      </c>
      <c r="T58" s="13">
        <v>0</v>
      </c>
      <c r="U58" s="13">
        <v>557</v>
      </c>
      <c r="V58" s="13" t="str" cm="1">
        <f t="array" ref="V58">_xlfn.IFS(U58&lt;=250,"0-R$250",U58&lt;=500,"251-R$500",U58&lt;=750,"501-R$750",U58&lt;=1000,"751-R$1000",U58&lt;=1250,"1001-R$1250",U58&lt;=1500,"1251-R$1500")</f>
        <v>501-R$750</v>
      </c>
      <c r="W58" s="13">
        <v>129</v>
      </c>
      <c r="X58" s="13" t="str" cm="1">
        <f t="array" ref="X58">_xlfn.IFS(W58 = 0, "0", W58&lt;=20, "até R$20",W58&lt;=40, "21 - R$40",W58&lt;=60, "41- R$60",W58&lt;=80, "61 - R$80", W58&lt;=100, "81 - R$100",W58&lt;=120, "101 - R$120",W58&lt;=140, "121 - R$140", W58&lt;=160, "141- R$160", W58&lt;=180, "161 - R$180", W58&lt;=200, "181-R$194")</f>
        <v>121 - R$140</v>
      </c>
      <c r="Y58" s="13">
        <v>984</v>
      </c>
      <c r="Z58" s="13">
        <v>193</v>
      </c>
      <c r="AA58" s="13">
        <v>37</v>
      </c>
      <c r="AB58" s="13">
        <v>18</v>
      </c>
      <c r="AC58" s="13">
        <v>1</v>
      </c>
      <c r="AD58" s="13">
        <v>5</v>
      </c>
      <c r="AE58" s="13">
        <v>8</v>
      </c>
      <c r="AF58" s="13">
        <v>5</v>
      </c>
      <c r="AG58" s="13">
        <v>2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4">
        <v>0</v>
      </c>
      <c r="AP58" s="13">
        <v>3</v>
      </c>
      <c r="AQ58" s="13">
        <v>11</v>
      </c>
      <c r="AR58" s="15">
        <v>1882</v>
      </c>
      <c r="AS58" s="15">
        <v>1900</v>
      </c>
    </row>
    <row r="59" spans="1:45" x14ac:dyDescent="0.25">
      <c r="A59">
        <v>957</v>
      </c>
      <c r="B59" s="11">
        <f t="shared" si="0"/>
        <v>82576</v>
      </c>
      <c r="C59" s="16">
        <v>825760</v>
      </c>
      <c r="D59" s="17">
        <v>0</v>
      </c>
      <c r="E59" s="17">
        <v>0</v>
      </c>
      <c r="F59" s="17">
        <v>66</v>
      </c>
      <c r="G59" s="17">
        <v>61</v>
      </c>
      <c r="H59" s="13" t="str" cm="1">
        <f t="array" ref="H59">_xlfn.IFS(G59&lt;=20,"0-20",G59&lt;=30,"20-30",G59&lt;=40,"30-40",G59&lt;=50,"50-60",G59&lt;=60,"60-70",G59&lt;=70,"70-80",G59&lt;=80,"80-90")</f>
        <v>70-80</v>
      </c>
      <c r="I59" s="17">
        <v>2856</v>
      </c>
      <c r="J59" s="13" t="str" cm="1">
        <f t="array" ref="J59">_xlfn.IFS(K59=1,"Divorciado",L59=1,"Casado",M59=1,"Solteiro",N59=1,"Juntos",O59=1,"Viuvo")</f>
        <v>Juntos</v>
      </c>
      <c r="K59" s="17">
        <v>0</v>
      </c>
      <c r="L59" s="17">
        <v>0</v>
      </c>
      <c r="M59" s="17">
        <v>0</v>
      </c>
      <c r="N59" s="17">
        <v>1</v>
      </c>
      <c r="O59" s="17">
        <v>0</v>
      </c>
      <c r="P59" s="17">
        <v>0</v>
      </c>
      <c r="Q59" s="17">
        <v>0</v>
      </c>
      <c r="R59" s="17">
        <v>0</v>
      </c>
      <c r="S59" s="17">
        <v>1</v>
      </c>
      <c r="T59" s="17">
        <v>0</v>
      </c>
      <c r="U59" s="17">
        <v>1206</v>
      </c>
      <c r="V59" s="13" t="str" cm="1">
        <f t="array" ref="V59">_xlfn.IFS(U59&lt;=250,"0-R$250",U59&lt;=500,"251-R$500",U59&lt;=750,"501-R$750",U59&lt;=1000,"751-R$1000",U59&lt;=1250,"1001-R$1250",U59&lt;=1500,"1251-R$1500")</f>
        <v>1001-R$1250</v>
      </c>
      <c r="W59" s="17">
        <v>55</v>
      </c>
      <c r="X59" s="13" t="str" cm="1">
        <f t="array" ref="X59">_xlfn.IFS(W59 = 0, "0", W59&lt;=20, "até R$20",W59&lt;=40, "21 - R$40",W59&lt;=60, "41- R$60",W59&lt;=80, "61 - R$80", W59&lt;=100, "81 - R$100",W59&lt;=120, "101 - R$120",W59&lt;=140, "121 - R$140", W59&lt;=160, "141- R$160", W59&lt;=180, "161 - R$180", W59&lt;=200, "181-R$194")</f>
        <v>41- R$60</v>
      </c>
      <c r="Y59" s="17">
        <v>445</v>
      </c>
      <c r="Z59" s="17">
        <v>168</v>
      </c>
      <c r="AA59" s="17">
        <v>18</v>
      </c>
      <c r="AB59" s="17">
        <v>18</v>
      </c>
      <c r="AC59" s="17">
        <v>1</v>
      </c>
      <c r="AD59" s="17">
        <v>2</v>
      </c>
      <c r="AE59" s="17">
        <v>4</v>
      </c>
      <c r="AF59" s="17">
        <v>12</v>
      </c>
      <c r="AG59" s="17">
        <v>1</v>
      </c>
      <c r="AH59" s="17">
        <v>0</v>
      </c>
      <c r="AI59" s="17">
        <v>0</v>
      </c>
      <c r="AJ59" s="17">
        <v>0</v>
      </c>
      <c r="AK59" s="17">
        <v>1</v>
      </c>
      <c r="AL59" s="17">
        <v>0</v>
      </c>
      <c r="AM59" s="17">
        <v>0</v>
      </c>
      <c r="AN59" s="17">
        <v>0</v>
      </c>
      <c r="AO59" s="18">
        <v>1</v>
      </c>
      <c r="AP59" s="17">
        <v>3</v>
      </c>
      <c r="AQ59" s="17">
        <v>11</v>
      </c>
      <c r="AR59" s="19">
        <v>1874</v>
      </c>
      <c r="AS59" s="19">
        <v>1892</v>
      </c>
    </row>
    <row r="60" spans="1:45" x14ac:dyDescent="0.25">
      <c r="A60">
        <v>866</v>
      </c>
      <c r="B60" s="11">
        <f t="shared" si="0"/>
        <v>82072</v>
      </c>
      <c r="C60" s="12">
        <v>820720</v>
      </c>
      <c r="D60" s="13">
        <v>0</v>
      </c>
      <c r="E60" s="13">
        <v>0</v>
      </c>
      <c r="F60" s="13">
        <v>67</v>
      </c>
      <c r="G60" s="13">
        <v>50</v>
      </c>
      <c r="H60" s="13" t="str" cm="1">
        <f t="array" ref="H60">_xlfn.IFS(G60&lt;=20,"0-20",G60&lt;=30,"20-30",G60&lt;=40,"30-40",G60&lt;=50,"50-60",G60&lt;=60,"60-70",G60&lt;=70,"70-80",G60&lt;=80,"80-90")</f>
        <v>50-60</v>
      </c>
      <c r="I60" s="13">
        <v>2521</v>
      </c>
      <c r="J60" s="13" t="str" cm="1">
        <f t="array" ref="J60">_xlfn.IFS(K60=1,"Divorciado",L60=1,"Casado",M60=1,"Solteiro",N60=1,"Juntos",O60=1,"Viuvo")</f>
        <v>Juntos</v>
      </c>
      <c r="K60" s="13">
        <v>0</v>
      </c>
      <c r="L60" s="13">
        <v>0</v>
      </c>
      <c r="M60" s="13">
        <v>0</v>
      </c>
      <c r="N60" s="13">
        <v>1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1</v>
      </c>
      <c r="U60" s="13">
        <v>889</v>
      </c>
      <c r="V60" s="13" t="str" cm="1">
        <f t="array" ref="V60">_xlfn.IFS(U60&lt;=250,"0-R$250",U60&lt;=500,"251-R$500",U60&lt;=750,"501-R$750",U60&lt;=1000,"751-R$1000",U60&lt;=1250,"1001-R$1250",U60&lt;=1500,"1251-R$1500")</f>
        <v>751-R$1000</v>
      </c>
      <c r="W60" s="13">
        <v>55</v>
      </c>
      <c r="X60" s="13" t="str" cm="1">
        <f t="array" ref="X60">_xlfn.IFS(W60 = 0, "0", W60&lt;=20, "até R$20",W60&lt;=40, "21 - R$40",W60&lt;=60, "41- R$60",W60&lt;=80, "61 - R$80", W60&lt;=100, "81 - R$100",W60&lt;=120, "101 - R$120",W60&lt;=140, "121 - R$140", W60&lt;=160, "141- R$160", W60&lt;=180, "161 - R$180", W60&lt;=200, "181-R$194")</f>
        <v>41- R$60</v>
      </c>
      <c r="Y60" s="13">
        <v>685</v>
      </c>
      <c r="Z60" s="13">
        <v>168</v>
      </c>
      <c r="AA60" s="13">
        <v>92</v>
      </c>
      <c r="AB60" s="13">
        <v>129</v>
      </c>
      <c r="AC60" s="13">
        <v>1</v>
      </c>
      <c r="AD60" s="13">
        <v>3</v>
      </c>
      <c r="AE60" s="13">
        <v>2</v>
      </c>
      <c r="AF60" s="13">
        <v>13</v>
      </c>
      <c r="AG60" s="13">
        <v>1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4">
        <v>0</v>
      </c>
      <c r="AP60" s="13">
        <v>3</v>
      </c>
      <c r="AQ60" s="13">
        <v>11</v>
      </c>
      <c r="AR60" s="15">
        <v>1760</v>
      </c>
      <c r="AS60" s="15">
        <v>1889</v>
      </c>
    </row>
    <row r="61" spans="1:45" x14ac:dyDescent="0.25">
      <c r="A61">
        <v>1261</v>
      </c>
      <c r="B61" s="11">
        <f t="shared" si="0"/>
        <v>78687</v>
      </c>
      <c r="C61" s="16">
        <v>786870</v>
      </c>
      <c r="D61" s="17">
        <v>0</v>
      </c>
      <c r="E61" s="17">
        <v>0</v>
      </c>
      <c r="F61" s="17">
        <v>13</v>
      </c>
      <c r="G61" s="17">
        <v>37</v>
      </c>
      <c r="H61" s="13" t="str" cm="1">
        <f t="array" ref="H61">_xlfn.IFS(G61&lt;=20,"0-20",G61&lt;=30,"20-30",G61&lt;=40,"30-40",G61&lt;=50,"50-60",G61&lt;=60,"60-70",G61&lt;=70,"70-80",G61&lt;=80,"80-90")</f>
        <v>30-40</v>
      </c>
      <c r="I61" s="17">
        <v>2848</v>
      </c>
      <c r="J61" s="13" t="str" cm="1">
        <f t="array" ref="J61">_xlfn.IFS(K61=1,"Divorciado",L61=1,"Casado",M61=1,"Solteiro",N61=1,"Juntos",O61=1,"Viuvo")</f>
        <v>Juntos</v>
      </c>
      <c r="K61" s="17">
        <v>0</v>
      </c>
      <c r="L61" s="17">
        <v>0</v>
      </c>
      <c r="M61" s="17">
        <v>0</v>
      </c>
      <c r="N61" s="17">
        <v>1</v>
      </c>
      <c r="O61" s="17">
        <v>0</v>
      </c>
      <c r="P61" s="17">
        <v>0</v>
      </c>
      <c r="Q61" s="17">
        <v>0</v>
      </c>
      <c r="R61" s="17">
        <v>1</v>
      </c>
      <c r="S61" s="17">
        <v>0</v>
      </c>
      <c r="T61" s="17">
        <v>0</v>
      </c>
      <c r="U61" s="17">
        <v>817</v>
      </c>
      <c r="V61" s="13" t="str" cm="1">
        <f t="array" ref="V61">_xlfn.IFS(U61&lt;=250,"0-R$250",U61&lt;=500,"251-R$500",U61&lt;=750,"501-R$750",U61&lt;=1000,"751-R$1000",U61&lt;=1250,"1001-R$1250",U61&lt;=1500,"1251-R$1500")</f>
        <v>751-R$1000</v>
      </c>
      <c r="W61" s="17">
        <v>185</v>
      </c>
      <c r="X61" s="13" t="str" cm="1">
        <f t="array" ref="X61">_xlfn.IFS(W61 = 0, "0", W61&lt;=20, "até R$20",W61&lt;=40, "21 - R$40",W61&lt;=60, "41- R$60",W61&lt;=80, "61 - R$80", W61&lt;=100, "81 - R$100",W61&lt;=120, "101 - R$120",W61&lt;=140, "121 - R$140", W61&lt;=160, "141- R$160", W61&lt;=180, "161 - R$180", W61&lt;=200, "181-R$194")</f>
        <v>181-R$194</v>
      </c>
      <c r="Y61" s="17">
        <v>687</v>
      </c>
      <c r="Z61" s="17">
        <v>145</v>
      </c>
      <c r="AA61" s="17">
        <v>55</v>
      </c>
      <c r="AB61" s="17">
        <v>241</v>
      </c>
      <c r="AC61" s="17">
        <v>1</v>
      </c>
      <c r="AD61" s="17">
        <v>4</v>
      </c>
      <c r="AE61" s="17">
        <v>6</v>
      </c>
      <c r="AF61" s="17">
        <v>8</v>
      </c>
      <c r="AG61" s="17">
        <v>2</v>
      </c>
      <c r="AH61" s="17">
        <v>0</v>
      </c>
      <c r="AI61" s="17">
        <v>0</v>
      </c>
      <c r="AJ61" s="17">
        <v>0</v>
      </c>
      <c r="AK61" s="17">
        <v>1</v>
      </c>
      <c r="AL61" s="17">
        <v>0</v>
      </c>
      <c r="AM61" s="17">
        <v>0</v>
      </c>
      <c r="AN61" s="17">
        <v>1</v>
      </c>
      <c r="AO61" s="18">
        <v>1</v>
      </c>
      <c r="AP61" s="17">
        <v>3</v>
      </c>
      <c r="AQ61" s="17">
        <v>11</v>
      </c>
      <c r="AR61" s="19">
        <v>1648</v>
      </c>
      <c r="AS61" s="19">
        <v>1889</v>
      </c>
    </row>
    <row r="62" spans="1:45" x14ac:dyDescent="0.25">
      <c r="A62">
        <v>908</v>
      </c>
      <c r="B62" s="11">
        <f t="shared" si="0"/>
        <v>74116</v>
      </c>
      <c r="C62" s="12">
        <v>741160</v>
      </c>
      <c r="D62" s="13">
        <v>0</v>
      </c>
      <c r="E62" s="13">
        <v>0</v>
      </c>
      <c r="F62" s="13">
        <v>53</v>
      </c>
      <c r="G62" s="13">
        <v>38</v>
      </c>
      <c r="H62" s="13" t="str" cm="1">
        <f t="array" ref="H62">_xlfn.IFS(G62&lt;=20,"0-20",G62&lt;=30,"20-30",G62&lt;=40,"30-40",G62&lt;=50,"50-60",G62&lt;=60,"60-70",G62&lt;=70,"70-80",G62&lt;=80,"80-90")</f>
        <v>30-40</v>
      </c>
      <c r="I62" s="13">
        <v>2340</v>
      </c>
      <c r="J62" s="13" t="str" cm="1">
        <f t="array" ref="J62">_xlfn.IFS(K62=1,"Divorciado",L62=1,"Casado",M62=1,"Solteiro",N62=1,"Juntos",O62=1,"Viuvo")</f>
        <v>Solteiro</v>
      </c>
      <c r="K62" s="13">
        <v>0</v>
      </c>
      <c r="L62" s="13">
        <v>0</v>
      </c>
      <c r="M62" s="13">
        <v>1</v>
      </c>
      <c r="N62" s="13">
        <v>0</v>
      </c>
      <c r="O62" s="13">
        <v>0</v>
      </c>
      <c r="P62" s="13">
        <v>1</v>
      </c>
      <c r="Q62" s="13">
        <v>0</v>
      </c>
      <c r="R62" s="13">
        <v>0</v>
      </c>
      <c r="S62" s="13">
        <v>0</v>
      </c>
      <c r="T62" s="13">
        <v>0</v>
      </c>
      <c r="U62" s="13">
        <v>871</v>
      </c>
      <c r="V62" s="13" t="str" cm="1">
        <f t="array" ref="V62">_xlfn.IFS(U62&lt;=250,"0-R$250",U62&lt;=500,"251-R$500",U62&lt;=750,"501-R$750",U62&lt;=1000,"751-R$1000",U62&lt;=1250,"1001-R$1250",U62&lt;=1500,"1251-R$1500")</f>
        <v>751-R$1000</v>
      </c>
      <c r="W62" s="13">
        <v>111</v>
      </c>
      <c r="X62" s="13" t="str" cm="1">
        <f t="array" ref="X62">_xlfn.IFS(W62 = 0, "0", W62&lt;=20, "até R$20",W62&lt;=40, "21 - R$40",W62&lt;=60, "41- R$60",W62&lt;=80, "61 - R$80", W62&lt;=100, "81 - R$100",W62&lt;=120, "101 - R$120",W62&lt;=140, "121 - R$140", W62&lt;=160, "141- R$160", W62&lt;=180, "161 - R$180", W62&lt;=200, "181-R$194")</f>
        <v>101 - R$120</v>
      </c>
      <c r="Y62" s="13">
        <v>704</v>
      </c>
      <c r="Z62" s="13">
        <v>145</v>
      </c>
      <c r="AA62" s="13">
        <v>55</v>
      </c>
      <c r="AB62" s="13">
        <v>166</v>
      </c>
      <c r="AC62" s="13">
        <v>1</v>
      </c>
      <c r="AD62" s="13">
        <v>4</v>
      </c>
      <c r="AE62" s="13">
        <v>4</v>
      </c>
      <c r="AF62" s="13">
        <v>10</v>
      </c>
      <c r="AG62" s="13">
        <v>2</v>
      </c>
      <c r="AH62" s="13">
        <v>0</v>
      </c>
      <c r="AI62" s="13">
        <v>0</v>
      </c>
      <c r="AJ62" s="13">
        <v>1</v>
      </c>
      <c r="AK62" s="13">
        <v>0</v>
      </c>
      <c r="AL62" s="13">
        <v>0</v>
      </c>
      <c r="AM62" s="13">
        <v>0</v>
      </c>
      <c r="AN62" s="13">
        <v>0</v>
      </c>
      <c r="AO62" s="14">
        <v>1</v>
      </c>
      <c r="AP62" s="13">
        <v>3</v>
      </c>
      <c r="AQ62" s="13">
        <v>11</v>
      </c>
      <c r="AR62" s="15">
        <v>1720</v>
      </c>
      <c r="AS62" s="15">
        <v>1886</v>
      </c>
    </row>
    <row r="63" spans="1:45" x14ac:dyDescent="0.25">
      <c r="A63">
        <v>1776</v>
      </c>
      <c r="B63" s="11">
        <f t="shared" si="0"/>
        <v>75702</v>
      </c>
      <c r="C63" s="12">
        <v>757020</v>
      </c>
      <c r="D63" s="13">
        <v>0</v>
      </c>
      <c r="E63" s="13">
        <v>1</v>
      </c>
      <c r="F63" s="13">
        <v>87</v>
      </c>
      <c r="G63" s="13">
        <v>46</v>
      </c>
      <c r="H63" s="13" t="str" cm="1">
        <f t="array" ref="H63">_xlfn.IFS(G63&lt;=20,"0-20",G63&lt;=30,"20-30",G63&lt;=40,"30-40",G63&lt;=50,"50-60",G63&lt;=60,"60-70",G63&lt;=70,"70-80",G63&lt;=80,"80-90")</f>
        <v>50-60</v>
      </c>
      <c r="I63" s="13">
        <v>2782</v>
      </c>
      <c r="J63" s="13" t="str" cm="1">
        <f t="array" ref="J63">_xlfn.IFS(K63=1,"Divorciado",L63=1,"Casado",M63=1,"Solteiro",N63=1,"Juntos",O63=1,"Viuvo")</f>
        <v>Juntos</v>
      </c>
      <c r="K63" s="13">
        <v>0</v>
      </c>
      <c r="L63" s="13">
        <v>0</v>
      </c>
      <c r="M63" s="13">
        <v>0</v>
      </c>
      <c r="N63" s="13">
        <v>1</v>
      </c>
      <c r="O63" s="13">
        <v>0</v>
      </c>
      <c r="P63" s="13">
        <v>0</v>
      </c>
      <c r="Q63" s="13">
        <v>0</v>
      </c>
      <c r="R63" s="13">
        <v>1</v>
      </c>
      <c r="S63" s="13">
        <v>0</v>
      </c>
      <c r="T63" s="13">
        <v>0</v>
      </c>
      <c r="U63" s="13">
        <v>1073</v>
      </c>
      <c r="V63" s="13" t="str" cm="1">
        <f t="array" ref="V63">_xlfn.IFS(U63&lt;=250,"0-R$250",U63&lt;=500,"251-R$500",U63&lt;=750,"501-R$750",U63&lt;=1000,"751-R$1000",U63&lt;=1250,"1001-R$1250",U63&lt;=1500,"1251-R$1500")</f>
        <v>1001-R$1250</v>
      </c>
      <c r="W63" s="13">
        <v>0</v>
      </c>
      <c r="X63" s="13" t="str" cm="1">
        <f t="array" ref="X63">_xlfn.IFS(W63 = 0, "0", W63&lt;=20, "até R$20",W63&lt;=40, "21 - R$40",W63&lt;=60, "41- R$60",W63&lt;=80, "61 - R$80", W63&lt;=100, "81 - R$100",W63&lt;=120, "101 - R$120",W63&lt;=140, "121 - R$140", W63&lt;=160, "141- R$160", W63&lt;=180, "161 - R$180", W63&lt;=200, "181-R$194")</f>
        <v>0</v>
      </c>
      <c r="Y63" s="13">
        <v>629</v>
      </c>
      <c r="Z63" s="13">
        <v>145</v>
      </c>
      <c r="AA63" s="13">
        <v>37</v>
      </c>
      <c r="AB63" s="13">
        <v>37</v>
      </c>
      <c r="AC63" s="13">
        <v>1</v>
      </c>
      <c r="AD63" s="13">
        <v>10</v>
      </c>
      <c r="AE63" s="13">
        <v>5</v>
      </c>
      <c r="AF63" s="13">
        <v>13</v>
      </c>
      <c r="AG63" s="13">
        <v>6</v>
      </c>
      <c r="AH63" s="13">
        <v>0</v>
      </c>
      <c r="AI63" s="13">
        <v>0</v>
      </c>
      <c r="AJ63" s="13">
        <v>0</v>
      </c>
      <c r="AK63" s="13">
        <v>1</v>
      </c>
      <c r="AL63" s="13">
        <v>0</v>
      </c>
      <c r="AM63" s="13">
        <v>0</v>
      </c>
      <c r="AN63" s="13">
        <v>0</v>
      </c>
      <c r="AO63" s="14">
        <v>1</v>
      </c>
      <c r="AP63" s="13">
        <v>3</v>
      </c>
      <c r="AQ63" s="13">
        <v>11</v>
      </c>
      <c r="AR63" s="15">
        <v>1847</v>
      </c>
      <c r="AS63" s="15">
        <v>1884</v>
      </c>
    </row>
    <row r="64" spans="1:45" x14ac:dyDescent="0.25">
      <c r="A64">
        <v>982</v>
      </c>
      <c r="B64" s="11">
        <f t="shared" si="0"/>
        <v>95169</v>
      </c>
      <c r="C64" s="12">
        <v>951690</v>
      </c>
      <c r="D64" s="13">
        <v>0</v>
      </c>
      <c r="E64" s="13">
        <v>0</v>
      </c>
      <c r="F64" s="13">
        <v>1</v>
      </c>
      <c r="G64" s="13">
        <v>33</v>
      </c>
      <c r="H64" s="13" t="str" cm="1">
        <f t="array" ref="H64">_xlfn.IFS(G64&lt;=20,"0-20",G64&lt;=30,"20-30",G64&lt;=40,"30-40",G64&lt;=50,"50-60",G64&lt;=60,"60-70",G64&lt;=70,"70-80",G64&lt;=80,"80-90")</f>
        <v>30-40</v>
      </c>
      <c r="I64" s="13">
        <v>2422</v>
      </c>
      <c r="J64" s="13" t="str" cm="1">
        <f t="array" ref="J64">_xlfn.IFS(K64=1,"Divorciado",L64=1,"Casado",M64=1,"Solteiro",N64=1,"Juntos",O64=1,"Viuvo")</f>
        <v>Solteiro</v>
      </c>
      <c r="K64" s="13">
        <v>0</v>
      </c>
      <c r="L64" s="13">
        <v>0</v>
      </c>
      <c r="M64" s="13">
        <v>1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1</v>
      </c>
      <c r="U64" s="13">
        <v>1285</v>
      </c>
      <c r="V64" s="13" t="str" cm="1">
        <f t="array" ref="V64">_xlfn.IFS(U64&lt;=250,"0-R$250",U64&lt;=500,"251-R$500",U64&lt;=750,"501-R$750",U64&lt;=1000,"751-R$1000",U64&lt;=1250,"1001-R$1250",U64&lt;=1500,"1251-R$1500")</f>
        <v>1251-R$1500</v>
      </c>
      <c r="W64" s="13">
        <v>21</v>
      </c>
      <c r="X64" s="13" t="str" cm="1">
        <f t="array" ref="X64">_xlfn.IFS(W64 = 0, "0", W64&lt;=20, "até R$20",W64&lt;=40, "21 - R$40",W64&lt;=60, "41- R$60",W64&lt;=80, "61 - R$80", W64&lt;=100, "81 - R$100",W64&lt;=120, "101 - R$120",W64&lt;=140, "121 - R$140", W64&lt;=160, "141- R$160", W64&lt;=180, "161 - R$180", W64&lt;=200, "181-R$194")</f>
        <v>21 - R$40</v>
      </c>
      <c r="Y64" s="13">
        <v>449</v>
      </c>
      <c r="Z64" s="13">
        <v>106</v>
      </c>
      <c r="AA64" s="13">
        <v>20</v>
      </c>
      <c r="AB64" s="13">
        <v>20</v>
      </c>
      <c r="AC64" s="13">
        <v>1</v>
      </c>
      <c r="AD64" s="13">
        <v>4</v>
      </c>
      <c r="AE64" s="13">
        <v>3</v>
      </c>
      <c r="AF64" s="13">
        <v>4</v>
      </c>
      <c r="AG64" s="13">
        <v>1</v>
      </c>
      <c r="AH64" s="13">
        <v>0</v>
      </c>
      <c r="AI64" s="13">
        <v>0</v>
      </c>
      <c r="AJ64" s="13">
        <v>0</v>
      </c>
      <c r="AK64" s="13">
        <v>1</v>
      </c>
      <c r="AL64" s="13">
        <v>1</v>
      </c>
      <c r="AM64" s="13">
        <v>0</v>
      </c>
      <c r="AN64" s="13">
        <v>1</v>
      </c>
      <c r="AO64" s="14">
        <v>2</v>
      </c>
      <c r="AP64" s="13">
        <v>3</v>
      </c>
      <c r="AQ64" s="13">
        <v>11</v>
      </c>
      <c r="AR64" s="15">
        <v>1861</v>
      </c>
      <c r="AS64" s="15">
        <v>1881</v>
      </c>
    </row>
    <row r="65" spans="1:45" x14ac:dyDescent="0.25">
      <c r="A65">
        <v>1697</v>
      </c>
      <c r="B65" s="11">
        <f t="shared" si="0"/>
        <v>90273</v>
      </c>
      <c r="C65" s="16">
        <v>902730</v>
      </c>
      <c r="D65" s="17">
        <v>0</v>
      </c>
      <c r="E65" s="17">
        <v>0</v>
      </c>
      <c r="F65" s="17">
        <v>32</v>
      </c>
      <c r="G65" s="17">
        <v>29</v>
      </c>
      <c r="H65" s="13" t="str" cm="1">
        <f t="array" ref="H65">_xlfn.IFS(G65&lt;=20,"0-20",G65&lt;=30,"20-30",G65&lt;=40,"30-40",G65&lt;=50,"50-60",G65&lt;=60,"60-70",G65&lt;=70,"70-80",G65&lt;=80,"80-90")</f>
        <v>20-30</v>
      </c>
      <c r="I65" s="17">
        <v>2356</v>
      </c>
      <c r="J65" s="13" t="str" cm="1">
        <f t="array" ref="J65">_xlfn.IFS(K65=1,"Divorciado",L65=1,"Casado",M65=1,"Solteiro",N65=1,"Juntos",O65=1,"Viuvo")</f>
        <v>Solteiro</v>
      </c>
      <c r="K65" s="17">
        <v>0</v>
      </c>
      <c r="L65" s="17">
        <v>0</v>
      </c>
      <c r="M65" s="17">
        <v>1</v>
      </c>
      <c r="N65" s="17">
        <v>0</v>
      </c>
      <c r="O65" s="17">
        <v>0</v>
      </c>
      <c r="P65" s="17">
        <v>0</v>
      </c>
      <c r="Q65" s="17">
        <v>0</v>
      </c>
      <c r="R65" s="17">
        <v>1</v>
      </c>
      <c r="S65" s="17">
        <v>0</v>
      </c>
      <c r="T65" s="17">
        <v>0</v>
      </c>
      <c r="U65" s="17">
        <v>704</v>
      </c>
      <c r="V65" s="13" t="str" cm="1">
        <f t="array" ref="V65">_xlfn.IFS(U65&lt;=250,"0-R$250",U65&lt;=500,"251-R$500",U65&lt;=750,"501-R$750",U65&lt;=1000,"751-R$1000",U65&lt;=1250,"1001-R$1250",U65&lt;=1500,"1251-R$1500")</f>
        <v>501-R$750</v>
      </c>
      <c r="W65" s="17">
        <v>129</v>
      </c>
      <c r="X65" s="13" t="str" cm="1">
        <f t="array" ref="X65">_xlfn.IFS(W65 = 0, "0", W65&lt;=20, "até R$20",W65&lt;=40, "21 - R$40",W65&lt;=60, "41- R$60",W65&lt;=80, "61 - R$80", W65&lt;=100, "81 - R$100",W65&lt;=120, "101 - R$120",W65&lt;=140, "121 - R$140", W65&lt;=160, "141- R$160", W65&lt;=180, "161 - R$180", W65&lt;=200, "181-R$194")</f>
        <v>121 - R$140</v>
      </c>
      <c r="Y65" s="17">
        <v>853</v>
      </c>
      <c r="Z65" s="17">
        <v>120</v>
      </c>
      <c r="AA65" s="17">
        <v>74</v>
      </c>
      <c r="AB65" s="17">
        <v>111</v>
      </c>
      <c r="AC65" s="17">
        <v>1</v>
      </c>
      <c r="AD65" s="17">
        <v>5</v>
      </c>
      <c r="AE65" s="17">
        <v>6</v>
      </c>
      <c r="AF65" s="17">
        <v>7</v>
      </c>
      <c r="AG65" s="17">
        <v>2</v>
      </c>
      <c r="AH65" s="17">
        <v>0</v>
      </c>
      <c r="AI65" s="17">
        <v>0</v>
      </c>
      <c r="AJ65" s="17">
        <v>1</v>
      </c>
      <c r="AK65" s="17">
        <v>1</v>
      </c>
      <c r="AL65" s="17">
        <v>1</v>
      </c>
      <c r="AM65" s="17">
        <v>0</v>
      </c>
      <c r="AN65" s="17">
        <v>1</v>
      </c>
      <c r="AO65" s="18">
        <v>3</v>
      </c>
      <c r="AP65" s="17">
        <v>3</v>
      </c>
      <c r="AQ65" s="17">
        <v>11</v>
      </c>
      <c r="AR65" s="19">
        <v>1769</v>
      </c>
      <c r="AS65" s="19">
        <v>1880</v>
      </c>
    </row>
    <row r="66" spans="1:45" x14ac:dyDescent="0.25">
      <c r="A66">
        <v>826</v>
      </c>
      <c r="B66" s="11">
        <f t="shared" ref="B66:B129" si="1">C66/10</f>
        <v>81205</v>
      </c>
      <c r="C66" s="12">
        <v>812050</v>
      </c>
      <c r="D66" s="13">
        <v>0</v>
      </c>
      <c r="E66" s="13">
        <v>0</v>
      </c>
      <c r="F66" s="13">
        <v>43</v>
      </c>
      <c r="G66" s="13">
        <v>50</v>
      </c>
      <c r="H66" s="13" t="str" cm="1">
        <f t="array" ref="H66">_xlfn.IFS(G66&lt;=20,"0-20",G66&lt;=30,"20-30",G66&lt;=40,"30-40",G66&lt;=50,"50-60",G66&lt;=60,"60-70",G66&lt;=70,"70-80",G66&lt;=80,"80-90")</f>
        <v>50-60</v>
      </c>
      <c r="I66" s="13">
        <v>2326</v>
      </c>
      <c r="J66" s="13" t="str" cm="1">
        <f t="array" ref="J66">_xlfn.IFS(K66=1,"Divorciado",L66=1,"Casado",M66=1,"Solteiro",N66=1,"Juntos",O66=1,"Viuvo")</f>
        <v>Juntos</v>
      </c>
      <c r="K66" s="13">
        <v>0</v>
      </c>
      <c r="L66" s="13">
        <v>0</v>
      </c>
      <c r="M66" s="13">
        <v>0</v>
      </c>
      <c r="N66" s="13">
        <v>1</v>
      </c>
      <c r="O66" s="13">
        <v>0</v>
      </c>
      <c r="P66" s="13">
        <v>0</v>
      </c>
      <c r="Q66" s="13">
        <v>0</v>
      </c>
      <c r="R66" s="13">
        <v>1</v>
      </c>
      <c r="S66" s="13">
        <v>0</v>
      </c>
      <c r="T66" s="13">
        <v>0</v>
      </c>
      <c r="U66" s="13">
        <v>724</v>
      </c>
      <c r="V66" s="13" t="str" cm="1">
        <f t="array" ref="V66">_xlfn.IFS(U66&lt;=250,"0-R$250",U66&lt;=500,"251-R$500",U66&lt;=750,"501-R$750",U66&lt;=1000,"751-R$1000",U66&lt;=1250,"1001-R$1250",U66&lt;=1500,"1251-R$1500")</f>
        <v>501-R$750</v>
      </c>
      <c r="W66" s="13">
        <v>74</v>
      </c>
      <c r="X66" s="13" t="str" cm="1">
        <f t="array" ref="X66">_xlfn.IFS(W66 = 0, "0", W66&lt;=20, "até R$20",W66&lt;=40, "21 - R$40",W66&lt;=60, "41- R$60",W66&lt;=80, "61 - R$80", W66&lt;=100, "81 - R$100",W66&lt;=120, "101 - R$120",W66&lt;=140, "121 - R$140", W66&lt;=160, "141- R$160", W66&lt;=180, "161 - R$180", W66&lt;=200, "181-R$194")</f>
        <v>61 - R$80</v>
      </c>
      <c r="Y66" s="13">
        <v>929</v>
      </c>
      <c r="Z66" s="13">
        <v>97</v>
      </c>
      <c r="AA66" s="13">
        <v>55</v>
      </c>
      <c r="AB66" s="13">
        <v>130</v>
      </c>
      <c r="AC66" s="13">
        <v>1</v>
      </c>
      <c r="AD66" s="13">
        <v>5</v>
      </c>
      <c r="AE66" s="13">
        <v>6</v>
      </c>
      <c r="AF66" s="13">
        <v>7</v>
      </c>
      <c r="AG66" s="13">
        <v>2</v>
      </c>
      <c r="AH66" s="13">
        <v>0</v>
      </c>
      <c r="AI66" s="13">
        <v>1</v>
      </c>
      <c r="AJ66" s="13">
        <v>0</v>
      </c>
      <c r="AK66" s="13">
        <v>1</v>
      </c>
      <c r="AL66" s="13">
        <v>0</v>
      </c>
      <c r="AM66" s="13">
        <v>1</v>
      </c>
      <c r="AN66" s="13">
        <v>1</v>
      </c>
      <c r="AO66" s="14">
        <v>3</v>
      </c>
      <c r="AP66" s="13">
        <v>3</v>
      </c>
      <c r="AQ66" s="13">
        <v>11</v>
      </c>
      <c r="AR66" s="15">
        <v>1749</v>
      </c>
      <c r="AS66" s="15">
        <v>1879</v>
      </c>
    </row>
    <row r="67" spans="1:45" x14ac:dyDescent="0.25">
      <c r="A67">
        <v>71</v>
      </c>
      <c r="B67" s="11">
        <f t="shared" si="1"/>
        <v>75251</v>
      </c>
      <c r="C67" s="16">
        <v>752510</v>
      </c>
      <c r="D67" s="17">
        <v>0</v>
      </c>
      <c r="E67" s="17">
        <v>0</v>
      </c>
      <c r="F67" s="17">
        <v>34</v>
      </c>
      <c r="G67" s="17">
        <v>48</v>
      </c>
      <c r="H67" s="13" t="str" cm="1">
        <f t="array" ref="H67">_xlfn.IFS(G67&lt;=20,"0-20",G67&lt;=30,"20-30",G67&lt;=40,"30-40",G67&lt;=50,"50-60",G67&lt;=60,"60-70",G67&lt;=70,"70-80",G67&lt;=80,"80-90")</f>
        <v>50-60</v>
      </c>
      <c r="I67" s="17">
        <v>2830</v>
      </c>
      <c r="J67" s="13" t="str" cm="1">
        <f t="array" ref="J67">_xlfn.IFS(K67=1,"Divorciado",L67=1,"Casado",M67=1,"Solteiro",N67=1,"Juntos",O67=1,"Viuvo")</f>
        <v>Casado</v>
      </c>
      <c r="K67" s="17">
        <v>0</v>
      </c>
      <c r="L67" s="17">
        <v>1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1</v>
      </c>
      <c r="T67" s="17">
        <v>0</v>
      </c>
      <c r="U67" s="17">
        <v>721</v>
      </c>
      <c r="V67" s="13" t="str" cm="1">
        <f t="array" ref="V67">_xlfn.IFS(U67&lt;=250,"0-R$250",U67&lt;=500,"251-R$500",U67&lt;=750,"501-R$750",U67&lt;=1000,"751-R$1000",U67&lt;=1250,"1001-R$1250",U67&lt;=1500,"1251-R$1500")</f>
        <v>501-R$750</v>
      </c>
      <c r="W67" s="17">
        <v>111</v>
      </c>
      <c r="X67" s="13" t="str" cm="1">
        <f t="array" ref="X67">_xlfn.IFS(W67 = 0, "0", W67&lt;=20, "até R$20",W67&lt;=40, "21 - R$40",W67&lt;=60, "41- R$60",W67&lt;=80, "61 - R$80", W67&lt;=100, "81 - R$100",W67&lt;=120, "101 - R$120",W67&lt;=140, "121 - R$140", W67&lt;=160, "141- R$160", W67&lt;=180, "161 - R$180", W67&lt;=200, "181-R$194")</f>
        <v>101 - R$120</v>
      </c>
      <c r="Y67" s="17">
        <v>925</v>
      </c>
      <c r="Z67" s="17">
        <v>97</v>
      </c>
      <c r="AA67" s="17">
        <v>18</v>
      </c>
      <c r="AB67" s="17">
        <v>18</v>
      </c>
      <c r="AC67" s="17">
        <v>1</v>
      </c>
      <c r="AD67" s="17">
        <v>7</v>
      </c>
      <c r="AE67" s="17">
        <v>6</v>
      </c>
      <c r="AF67" s="17">
        <v>5</v>
      </c>
      <c r="AG67" s="17">
        <v>5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1</v>
      </c>
      <c r="AO67" s="18">
        <v>0</v>
      </c>
      <c r="AP67" s="17">
        <v>3</v>
      </c>
      <c r="AQ67" s="17">
        <v>11</v>
      </c>
      <c r="AR67" s="19">
        <v>1854</v>
      </c>
      <c r="AS67" s="19">
        <v>1872</v>
      </c>
    </row>
    <row r="68" spans="1:45" x14ac:dyDescent="0.25">
      <c r="A68">
        <v>1114</v>
      </c>
      <c r="B68" s="11">
        <f t="shared" si="1"/>
        <v>85606</v>
      </c>
      <c r="C68" s="12">
        <v>856060</v>
      </c>
      <c r="D68" s="13">
        <v>0</v>
      </c>
      <c r="E68" s="13">
        <v>1</v>
      </c>
      <c r="F68" s="13">
        <v>89</v>
      </c>
      <c r="G68" s="13">
        <v>44</v>
      </c>
      <c r="H68" s="13" t="str" cm="1">
        <f t="array" ref="H68">_xlfn.IFS(G68&lt;=20,"0-20",G68&lt;=30,"20-30",G68&lt;=40,"30-40",G68&lt;=50,"50-60",G68&lt;=60,"60-70",G68&lt;=70,"70-80",G68&lt;=80,"80-90")</f>
        <v>50-60</v>
      </c>
      <c r="I68" s="13">
        <v>2753</v>
      </c>
      <c r="J68" s="13" t="str" cm="1">
        <f t="array" ref="J68">_xlfn.IFS(K68=1,"Divorciado",L68=1,"Casado",M68=1,"Solteiro",N68=1,"Juntos",O68=1,"Viuvo")</f>
        <v>Juntos</v>
      </c>
      <c r="K68" s="13">
        <v>0</v>
      </c>
      <c r="L68" s="13">
        <v>0</v>
      </c>
      <c r="M68" s="13">
        <v>0</v>
      </c>
      <c r="N68" s="13">
        <v>1</v>
      </c>
      <c r="O68" s="13">
        <v>0</v>
      </c>
      <c r="P68" s="13">
        <v>0</v>
      </c>
      <c r="Q68" s="13">
        <v>0</v>
      </c>
      <c r="R68" s="13">
        <v>1</v>
      </c>
      <c r="S68" s="13">
        <v>0</v>
      </c>
      <c r="T68" s="13">
        <v>0</v>
      </c>
      <c r="U68" s="13">
        <v>717</v>
      </c>
      <c r="V68" s="13" t="str" cm="1">
        <f t="array" ref="V68">_xlfn.IFS(U68&lt;=250,"0-R$250",U68&lt;=500,"251-R$500",U68&lt;=750,"501-R$750",U68&lt;=1000,"751-R$1000",U68&lt;=1250,"1001-R$1250",U68&lt;=1500,"1251-R$1500")</f>
        <v>501-R$750</v>
      </c>
      <c r="W68" s="13">
        <v>42</v>
      </c>
      <c r="X68" s="13" t="str" cm="1">
        <f t="array" ref="X68">_xlfn.IFS(W68 = 0, "0", W68&lt;=20, "até R$20",W68&lt;=40, "21 - R$40",W68&lt;=60, "41- R$60",W68&lt;=80, "61 - R$80", W68&lt;=100, "81 - R$100",W68&lt;=120, "101 - R$120",W68&lt;=140, "121 - R$140", W68&lt;=160, "141- R$160", W68&lt;=180, "161 - R$180", W68&lt;=200, "181-R$194")</f>
        <v>41- R$60</v>
      </c>
      <c r="Y68" s="13">
        <v>864</v>
      </c>
      <c r="Z68" s="13">
        <v>219</v>
      </c>
      <c r="AA68" s="13">
        <v>30</v>
      </c>
      <c r="AB68" s="13">
        <v>84</v>
      </c>
      <c r="AC68" s="13">
        <v>2</v>
      </c>
      <c r="AD68" s="13">
        <v>6</v>
      </c>
      <c r="AE68" s="13">
        <v>7</v>
      </c>
      <c r="AF68" s="13">
        <v>9</v>
      </c>
      <c r="AG68" s="13">
        <v>3</v>
      </c>
      <c r="AH68" s="13">
        <v>0</v>
      </c>
      <c r="AI68" s="13">
        <v>0</v>
      </c>
      <c r="AJ68" s="13">
        <v>0</v>
      </c>
      <c r="AK68" s="13">
        <v>0</v>
      </c>
      <c r="AL68" s="13">
        <v>1</v>
      </c>
      <c r="AM68" s="13">
        <v>0</v>
      </c>
      <c r="AN68" s="13">
        <v>0</v>
      </c>
      <c r="AO68" s="14">
        <v>1</v>
      </c>
      <c r="AP68" s="13">
        <v>3</v>
      </c>
      <c r="AQ68" s="13">
        <v>11</v>
      </c>
      <c r="AR68" s="15">
        <v>1788</v>
      </c>
      <c r="AS68" s="15">
        <v>1872</v>
      </c>
    </row>
    <row r="69" spans="1:45" x14ac:dyDescent="0.25">
      <c r="A69">
        <v>967</v>
      </c>
      <c r="B69" s="11">
        <f t="shared" si="1"/>
        <v>82170</v>
      </c>
      <c r="C69" s="16">
        <v>821700</v>
      </c>
      <c r="D69" s="17">
        <v>0</v>
      </c>
      <c r="E69" s="17">
        <v>0</v>
      </c>
      <c r="F69" s="17">
        <v>13</v>
      </c>
      <c r="G69" s="17">
        <v>42</v>
      </c>
      <c r="H69" s="13" t="str" cm="1">
        <f t="array" ref="H69">_xlfn.IFS(G69&lt;=20,"0-20",G69&lt;=30,"20-30",G69&lt;=40,"30-40",G69&lt;=50,"50-60",G69&lt;=60,"60-70",G69&lt;=70,"70-80",G69&lt;=80,"80-90")</f>
        <v>50-60</v>
      </c>
      <c r="I69" s="17">
        <v>2375</v>
      </c>
      <c r="J69" s="13" t="str" cm="1">
        <f t="array" ref="J69">_xlfn.IFS(K69=1,"Divorciado",L69=1,"Casado",M69=1,"Solteiro",N69=1,"Juntos",O69=1,"Viuvo")</f>
        <v>Casado</v>
      </c>
      <c r="K69" s="17">
        <v>0</v>
      </c>
      <c r="L69" s="17">
        <v>1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1</v>
      </c>
      <c r="U69" s="17">
        <v>1023</v>
      </c>
      <c r="V69" s="13" t="str" cm="1">
        <f t="array" ref="V69">_xlfn.IFS(U69&lt;=250,"0-R$250",U69&lt;=500,"251-R$500",U69&lt;=750,"501-R$750",U69&lt;=1000,"751-R$1000",U69&lt;=1250,"1001-R$1250",U69&lt;=1500,"1251-R$1500")</f>
        <v>1001-R$1250</v>
      </c>
      <c r="W69" s="17">
        <v>93</v>
      </c>
      <c r="X69" s="13" t="str" cm="1">
        <f t="array" ref="X69">_xlfn.IFS(W69 = 0, "0", W69&lt;=20, "até R$20",W69&lt;=40, "21 - R$40",W69&lt;=60, "41- R$60",W69&lt;=80, "61 - R$80", W69&lt;=100, "81 - R$100",W69&lt;=120, "101 - R$120",W69&lt;=140, "121 - R$140", W69&lt;=160, "141- R$160", W69&lt;=180, "161 - R$180", W69&lt;=200, "181-R$194")</f>
        <v>81 - R$100</v>
      </c>
      <c r="Y69" s="17">
        <v>651</v>
      </c>
      <c r="Z69" s="17">
        <v>49</v>
      </c>
      <c r="AA69" s="17">
        <v>55</v>
      </c>
      <c r="AB69" s="17">
        <v>37</v>
      </c>
      <c r="AC69" s="17">
        <v>1</v>
      </c>
      <c r="AD69" s="17">
        <v>5</v>
      </c>
      <c r="AE69" s="17">
        <v>6</v>
      </c>
      <c r="AF69" s="17">
        <v>7</v>
      </c>
      <c r="AG69" s="17">
        <v>2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8">
        <v>0</v>
      </c>
      <c r="AP69" s="17">
        <v>3</v>
      </c>
      <c r="AQ69" s="17">
        <v>11</v>
      </c>
      <c r="AR69" s="19">
        <v>1834</v>
      </c>
      <c r="AS69" s="19">
        <v>1871</v>
      </c>
    </row>
    <row r="70" spans="1:45" x14ac:dyDescent="0.25">
      <c r="A70">
        <v>497</v>
      </c>
      <c r="B70" s="11">
        <f t="shared" si="1"/>
        <v>89120</v>
      </c>
      <c r="C70" s="16">
        <v>891200</v>
      </c>
      <c r="D70" s="17">
        <v>0</v>
      </c>
      <c r="E70" s="17">
        <v>0</v>
      </c>
      <c r="F70" s="17">
        <v>78</v>
      </c>
      <c r="G70" s="17">
        <v>61</v>
      </c>
      <c r="H70" s="13" t="str" cm="1">
        <f t="array" ref="H70">_xlfn.IFS(G70&lt;=20,"0-20",G70&lt;=30,"20-30",G70&lt;=40,"30-40",G70&lt;=50,"50-60",G70&lt;=60,"60-70",G70&lt;=70,"70-80",G70&lt;=80,"80-90")</f>
        <v>70-80</v>
      </c>
      <c r="I70" s="17">
        <v>2263</v>
      </c>
      <c r="J70" s="13" t="str" cm="1">
        <f t="array" ref="J70">_xlfn.IFS(K70=1,"Divorciado",L70=1,"Casado",M70=1,"Solteiro",N70=1,"Juntos",O70=1,"Viuvo")</f>
        <v>Juntos</v>
      </c>
      <c r="K70" s="17">
        <v>0</v>
      </c>
      <c r="L70" s="17">
        <v>0</v>
      </c>
      <c r="M70" s="17">
        <v>0</v>
      </c>
      <c r="N70" s="17">
        <v>1</v>
      </c>
      <c r="O70" s="17">
        <v>0</v>
      </c>
      <c r="P70" s="17">
        <v>0</v>
      </c>
      <c r="Q70" s="17">
        <v>0</v>
      </c>
      <c r="R70" s="17">
        <v>0</v>
      </c>
      <c r="S70" s="17">
        <v>1</v>
      </c>
      <c r="T70" s="17">
        <v>0</v>
      </c>
      <c r="U70" s="17">
        <v>1168</v>
      </c>
      <c r="V70" s="13" t="str" cm="1">
        <f t="array" ref="V70">_xlfn.IFS(U70&lt;=250,"0-R$250",U70&lt;=500,"251-R$500",U70&lt;=750,"501-R$750",U70&lt;=1000,"751-R$1000",U70&lt;=1250,"1001-R$1250",U70&lt;=1500,"1251-R$1500")</f>
        <v>1001-R$1250</v>
      </c>
      <c r="W70" s="17">
        <v>92</v>
      </c>
      <c r="X70" s="13" t="str" cm="1">
        <f t="array" ref="X70">_xlfn.IFS(W70 = 0, "0", W70&lt;=20, "até R$20",W70&lt;=40, "21 - R$40",W70&lt;=60, "41- R$60",W70&lt;=80, "61 - R$80", W70&lt;=100, "81 - R$100",W70&lt;=120, "101 - R$120",W70&lt;=140, "121 - R$140", W70&lt;=160, "141- R$160", W70&lt;=180, "161 - R$180", W70&lt;=200, "181-R$194")</f>
        <v>81 - R$100</v>
      </c>
      <c r="Y70" s="17">
        <v>408</v>
      </c>
      <c r="Z70" s="17">
        <v>72</v>
      </c>
      <c r="AA70" s="17">
        <v>129</v>
      </c>
      <c r="AB70" s="17">
        <v>55</v>
      </c>
      <c r="AC70" s="17">
        <v>1</v>
      </c>
      <c r="AD70" s="17">
        <v>5</v>
      </c>
      <c r="AE70" s="17">
        <v>6</v>
      </c>
      <c r="AF70" s="17">
        <v>7</v>
      </c>
      <c r="AG70" s="17">
        <v>1</v>
      </c>
      <c r="AH70" s="17">
        <v>0</v>
      </c>
      <c r="AI70" s="17">
        <v>0</v>
      </c>
      <c r="AJ70" s="17">
        <v>0</v>
      </c>
      <c r="AK70" s="17">
        <v>1</v>
      </c>
      <c r="AL70" s="17">
        <v>0</v>
      </c>
      <c r="AM70" s="17">
        <v>0</v>
      </c>
      <c r="AN70" s="17">
        <v>0</v>
      </c>
      <c r="AO70" s="18">
        <v>1</v>
      </c>
      <c r="AP70" s="17">
        <v>3</v>
      </c>
      <c r="AQ70" s="17">
        <v>11</v>
      </c>
      <c r="AR70" s="19">
        <v>1814</v>
      </c>
      <c r="AS70" s="19">
        <v>1869</v>
      </c>
    </row>
    <row r="71" spans="1:45" x14ac:dyDescent="0.25">
      <c r="A71">
        <v>1496</v>
      </c>
      <c r="B71" s="11">
        <f t="shared" si="1"/>
        <v>87188</v>
      </c>
      <c r="C71" s="12">
        <v>871880</v>
      </c>
      <c r="D71" s="13">
        <v>0</v>
      </c>
      <c r="E71" s="13">
        <v>0</v>
      </c>
      <c r="F71" s="13">
        <v>73</v>
      </c>
      <c r="G71" s="13">
        <v>37</v>
      </c>
      <c r="H71" s="13" t="str" cm="1">
        <f t="array" ref="H71">_xlfn.IFS(G71&lt;=20,"0-20",G71&lt;=30,"20-30",G71&lt;=40,"30-40",G71&lt;=50,"50-60",G71&lt;=60,"60-70",G71&lt;=70,"70-80",G71&lt;=80,"80-90")</f>
        <v>30-40</v>
      </c>
      <c r="I71" s="13">
        <v>2550</v>
      </c>
      <c r="J71" s="13" t="str" cm="1">
        <f t="array" ref="J71">_xlfn.IFS(K71=1,"Divorciado",L71=1,"Casado",M71=1,"Solteiro",N71=1,"Juntos",O71=1,"Viuvo")</f>
        <v>Solteiro</v>
      </c>
      <c r="K71" s="13">
        <v>0</v>
      </c>
      <c r="L71" s="13">
        <v>0</v>
      </c>
      <c r="M71" s="13">
        <v>1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1</v>
      </c>
      <c r="U71" s="13">
        <v>910</v>
      </c>
      <c r="V71" s="13" t="str" cm="1">
        <f t="array" ref="V71">_xlfn.IFS(U71&lt;=250,"0-R$250",U71&lt;=500,"251-R$500",U71&lt;=750,"501-R$750",U71&lt;=1000,"751-R$1000",U71&lt;=1250,"1001-R$1250",U71&lt;=1500,"1251-R$1500")</f>
        <v>751-R$1000</v>
      </c>
      <c r="W71" s="13">
        <v>111</v>
      </c>
      <c r="X71" s="13" t="str" cm="1">
        <f t="array" ref="X71">_xlfn.IFS(W71 = 0, "0", W71&lt;=20, "até R$20",W71&lt;=40, "21 - R$40",W71&lt;=60, "41- R$60",W71&lt;=80, "61 - R$80", W71&lt;=100, "81 - R$100",W71&lt;=120, "101 - R$120",W71&lt;=140, "121 - R$140", W71&lt;=160, "141- R$160", W71&lt;=180, "161 - R$180", W71&lt;=200, "181-R$194")</f>
        <v>101 - R$120</v>
      </c>
      <c r="Y71" s="13">
        <v>724</v>
      </c>
      <c r="Z71" s="13">
        <v>49</v>
      </c>
      <c r="AA71" s="13">
        <v>74</v>
      </c>
      <c r="AB71" s="13">
        <v>55</v>
      </c>
      <c r="AC71" s="13">
        <v>1</v>
      </c>
      <c r="AD71" s="13">
        <v>10</v>
      </c>
      <c r="AE71" s="13">
        <v>2</v>
      </c>
      <c r="AF71" s="13">
        <v>6</v>
      </c>
      <c r="AG71" s="13">
        <v>3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1</v>
      </c>
      <c r="AO71" s="14">
        <v>0</v>
      </c>
      <c r="AP71" s="13">
        <v>3</v>
      </c>
      <c r="AQ71" s="13">
        <v>11</v>
      </c>
      <c r="AR71" s="15">
        <v>1813</v>
      </c>
      <c r="AS71" s="15">
        <v>1868</v>
      </c>
    </row>
    <row r="72" spans="1:45" x14ac:dyDescent="0.25">
      <c r="A72">
        <v>2067</v>
      </c>
      <c r="B72" s="11">
        <f t="shared" si="1"/>
        <v>81929</v>
      </c>
      <c r="C72" s="16">
        <v>819290</v>
      </c>
      <c r="D72" s="17">
        <v>1</v>
      </c>
      <c r="E72" s="17">
        <v>0</v>
      </c>
      <c r="F72" s="17">
        <v>60</v>
      </c>
      <c r="G72" s="17">
        <v>44</v>
      </c>
      <c r="H72" s="13" t="str" cm="1">
        <f t="array" ref="H72">_xlfn.IFS(G72&lt;=20,"0-20",G72&lt;=30,"20-30",G72&lt;=40,"30-40",G72&lt;=50,"50-60",G72&lt;=60,"60-70",G72&lt;=70,"70-80",G72&lt;=80,"80-90")</f>
        <v>50-60</v>
      </c>
      <c r="I72" s="17">
        <v>2797</v>
      </c>
      <c r="J72" s="13" t="str" cm="1">
        <f t="array" ref="J72">_xlfn.IFS(K72=1,"Divorciado",L72=1,"Casado",M72=1,"Solteiro",N72=1,"Juntos",O72=1,"Viuvo")</f>
        <v>Casado</v>
      </c>
      <c r="K72" s="17">
        <v>0</v>
      </c>
      <c r="L72" s="17">
        <v>1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1</v>
      </c>
      <c r="T72" s="17">
        <v>0</v>
      </c>
      <c r="U72" s="17">
        <v>1486</v>
      </c>
      <c r="V72" s="13" t="str" cm="1">
        <f t="array" ref="V72">_xlfn.IFS(U72&lt;=250,"0-R$250",U72&lt;=500,"251-R$500",U72&lt;=750,"501-R$750",U72&lt;=1000,"751-R$1000",U72&lt;=1250,"1001-R$1250",U72&lt;=1500,"1251-R$1500")</f>
        <v>1251-R$1500</v>
      </c>
      <c r="W72" s="17">
        <v>55</v>
      </c>
      <c r="X72" s="13" t="str" cm="1">
        <f t="array" ref="X72">_xlfn.IFS(W72 = 0, "0", W72&lt;=20, "até R$20",W72&lt;=40, "21 - R$40",W72&lt;=60, "41- R$60",W72&lt;=80, "61 - R$80", W72&lt;=100, "81 - R$100",W72&lt;=120, "101 - R$120",W72&lt;=140, "121 - R$140", W72&lt;=160, "141- R$160", W72&lt;=180, "161 - R$180", W72&lt;=200, "181-R$194")</f>
        <v>41- R$60</v>
      </c>
      <c r="Y72" s="17">
        <v>278</v>
      </c>
      <c r="Z72" s="17">
        <v>49</v>
      </c>
      <c r="AA72" s="17">
        <v>0</v>
      </c>
      <c r="AB72" s="17">
        <v>185</v>
      </c>
      <c r="AC72" s="17">
        <v>2</v>
      </c>
      <c r="AD72" s="17">
        <v>4</v>
      </c>
      <c r="AE72" s="17">
        <v>4</v>
      </c>
      <c r="AF72" s="17">
        <v>10</v>
      </c>
      <c r="AG72" s="17">
        <v>6</v>
      </c>
      <c r="AH72" s="17">
        <v>0</v>
      </c>
      <c r="AI72" s="17">
        <v>1</v>
      </c>
      <c r="AJ72" s="17">
        <v>0</v>
      </c>
      <c r="AK72" s="17">
        <v>1</v>
      </c>
      <c r="AL72" s="17">
        <v>0</v>
      </c>
      <c r="AM72" s="17">
        <v>0</v>
      </c>
      <c r="AN72" s="17">
        <v>1</v>
      </c>
      <c r="AO72" s="18">
        <v>2</v>
      </c>
      <c r="AP72" s="17">
        <v>3</v>
      </c>
      <c r="AQ72" s="17">
        <v>11</v>
      </c>
      <c r="AR72" s="19">
        <v>1683</v>
      </c>
      <c r="AS72" s="19">
        <v>1868</v>
      </c>
    </row>
    <row r="73" spans="1:45" x14ac:dyDescent="0.25">
      <c r="A73">
        <v>1081</v>
      </c>
      <c r="B73" s="11">
        <f t="shared" si="1"/>
        <v>83829</v>
      </c>
      <c r="C73" s="16">
        <v>838290</v>
      </c>
      <c r="D73" s="17">
        <v>0</v>
      </c>
      <c r="E73" s="17">
        <v>0</v>
      </c>
      <c r="F73" s="17">
        <v>78</v>
      </c>
      <c r="G73" s="17">
        <v>45</v>
      </c>
      <c r="H73" s="13" t="str" cm="1">
        <f t="array" ref="H73">_xlfn.IFS(G73&lt;=20,"0-20",G73&lt;=30,"20-30",G73&lt;=40,"30-40",G73&lt;=50,"50-60",G73&lt;=60,"60-70",G73&lt;=70,"70-80",G73&lt;=80,"80-90")</f>
        <v>50-60</v>
      </c>
      <c r="I73" s="17">
        <v>2423</v>
      </c>
      <c r="J73" s="13" t="str" cm="1">
        <f t="array" ref="J73">_xlfn.IFS(K73=1,"Divorciado",L73=1,"Casado",M73=1,"Solteiro",N73=1,"Juntos",O73=1,"Viuvo")</f>
        <v>Divorciado</v>
      </c>
      <c r="K73" s="17">
        <v>1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1</v>
      </c>
      <c r="S73" s="17">
        <v>0</v>
      </c>
      <c r="T73" s="17">
        <v>0</v>
      </c>
      <c r="U73" s="17">
        <v>897</v>
      </c>
      <c r="V73" s="13" t="str" cm="1">
        <f t="array" ref="V73">_xlfn.IFS(U73&lt;=250,"0-R$250",U73&lt;=500,"251-R$500",U73&lt;=750,"501-R$750",U73&lt;=1000,"751-R$1000",U73&lt;=1250,"1001-R$1250",U73&lt;=1500,"1251-R$1500")</f>
        <v>751-R$1000</v>
      </c>
      <c r="W73" s="17">
        <v>161</v>
      </c>
      <c r="X73" s="13" t="str" cm="1">
        <f t="array" ref="X73">_xlfn.IFS(W73 = 0, "0", W73&lt;=20, "até R$20",W73&lt;=40, "21 - R$40",W73&lt;=60, "41- R$60",W73&lt;=80, "61 - R$80", W73&lt;=100, "81 - R$100",W73&lt;=120, "101 - R$120",W73&lt;=140, "121 - R$140", W73&lt;=160, "141- R$160", W73&lt;=180, "161 - R$180", W73&lt;=200, "181-R$194")</f>
        <v>161 - R$180</v>
      </c>
      <c r="Y73" s="17">
        <v>430</v>
      </c>
      <c r="Z73" s="17">
        <v>186</v>
      </c>
      <c r="AA73" s="17">
        <v>161</v>
      </c>
      <c r="AB73" s="17">
        <v>27</v>
      </c>
      <c r="AC73" s="17">
        <v>0</v>
      </c>
      <c r="AD73" s="17">
        <v>4</v>
      </c>
      <c r="AE73" s="17">
        <v>7</v>
      </c>
      <c r="AF73" s="17">
        <v>6</v>
      </c>
      <c r="AG73" s="17">
        <v>1</v>
      </c>
      <c r="AH73" s="17">
        <v>0</v>
      </c>
      <c r="AI73" s="17">
        <v>1</v>
      </c>
      <c r="AJ73" s="17">
        <v>0</v>
      </c>
      <c r="AK73" s="17">
        <v>1</v>
      </c>
      <c r="AL73" s="17">
        <v>1</v>
      </c>
      <c r="AM73" s="17">
        <v>0</v>
      </c>
      <c r="AN73" s="17">
        <v>1</v>
      </c>
      <c r="AO73" s="18">
        <v>3</v>
      </c>
      <c r="AP73" s="17">
        <v>3</v>
      </c>
      <c r="AQ73" s="17">
        <v>11</v>
      </c>
      <c r="AR73" s="19">
        <v>1808</v>
      </c>
      <c r="AS73" s="19">
        <v>1835</v>
      </c>
    </row>
    <row r="74" spans="1:45" x14ac:dyDescent="0.25">
      <c r="A74">
        <v>1246</v>
      </c>
      <c r="B74" s="11">
        <f t="shared" si="1"/>
        <v>83829</v>
      </c>
      <c r="C74" s="12">
        <v>838290</v>
      </c>
      <c r="D74" s="13">
        <v>0</v>
      </c>
      <c r="E74" s="13">
        <v>0</v>
      </c>
      <c r="F74" s="13">
        <v>78</v>
      </c>
      <c r="G74" s="13">
        <v>45</v>
      </c>
      <c r="H74" s="13" t="str" cm="1">
        <f t="array" ref="H74">_xlfn.IFS(G74&lt;=20,"0-20",G74&lt;=30,"20-30",G74&lt;=40,"30-40",G74&lt;=50,"50-60",G74&lt;=60,"60-70",G74&lt;=70,"70-80",G74&lt;=80,"80-90")</f>
        <v>50-60</v>
      </c>
      <c r="I74" s="13">
        <v>2423</v>
      </c>
      <c r="J74" s="13" t="str" cm="1">
        <f t="array" ref="J74">_xlfn.IFS(K74=1,"Divorciado",L74=1,"Casado",M74=1,"Solteiro",N74=1,"Juntos",O74=1,"Viuvo")</f>
        <v>Divorciado</v>
      </c>
      <c r="K74" s="13">
        <v>1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1</v>
      </c>
      <c r="S74" s="13">
        <v>0</v>
      </c>
      <c r="T74" s="13">
        <v>0</v>
      </c>
      <c r="U74" s="13">
        <v>897</v>
      </c>
      <c r="V74" s="13" t="str" cm="1">
        <f t="array" ref="V74">_xlfn.IFS(U74&lt;=250,"0-R$250",U74&lt;=500,"251-R$500",U74&lt;=750,"501-R$750",U74&lt;=1000,"751-R$1000",U74&lt;=1250,"1001-R$1250",U74&lt;=1500,"1251-R$1500")</f>
        <v>751-R$1000</v>
      </c>
      <c r="W74" s="13">
        <v>161</v>
      </c>
      <c r="X74" s="13" t="str" cm="1">
        <f t="array" ref="X74">_xlfn.IFS(W74 = 0, "0", W74&lt;=20, "até R$20",W74&lt;=40, "21 - R$40",W74&lt;=60, "41- R$60",W74&lt;=80, "61 - R$80", W74&lt;=100, "81 - R$100",W74&lt;=120, "101 - R$120",W74&lt;=140, "121 - R$140", W74&lt;=160, "141- R$160", W74&lt;=180, "161 - R$180", W74&lt;=200, "181-R$194")</f>
        <v>161 - R$180</v>
      </c>
      <c r="Y74" s="13">
        <v>430</v>
      </c>
      <c r="Z74" s="13">
        <v>186</v>
      </c>
      <c r="AA74" s="13">
        <v>161</v>
      </c>
      <c r="AB74" s="13">
        <v>27</v>
      </c>
      <c r="AC74" s="13">
        <v>0</v>
      </c>
      <c r="AD74" s="13">
        <v>4</v>
      </c>
      <c r="AE74" s="13">
        <v>7</v>
      </c>
      <c r="AF74" s="13">
        <v>6</v>
      </c>
      <c r="AG74" s="13">
        <v>1</v>
      </c>
      <c r="AH74" s="13">
        <v>0</v>
      </c>
      <c r="AI74" s="13">
        <v>1</v>
      </c>
      <c r="AJ74" s="13">
        <v>0</v>
      </c>
      <c r="AK74" s="13">
        <v>1</v>
      </c>
      <c r="AL74" s="13">
        <v>1</v>
      </c>
      <c r="AM74" s="13">
        <v>0</v>
      </c>
      <c r="AN74" s="13">
        <v>1</v>
      </c>
      <c r="AO74" s="14">
        <v>3</v>
      </c>
      <c r="AP74" s="13">
        <v>3</v>
      </c>
      <c r="AQ74" s="13">
        <v>11</v>
      </c>
      <c r="AR74" s="15">
        <v>1808</v>
      </c>
      <c r="AS74" s="15">
        <v>1835</v>
      </c>
    </row>
    <row r="75" spans="1:45" x14ac:dyDescent="0.25">
      <c r="A75">
        <v>164</v>
      </c>
      <c r="B75" s="11">
        <f t="shared" si="1"/>
        <v>80427</v>
      </c>
      <c r="C75" s="12">
        <v>804270</v>
      </c>
      <c r="D75" s="13">
        <v>0</v>
      </c>
      <c r="E75" s="13">
        <v>1</v>
      </c>
      <c r="F75" s="13">
        <v>56</v>
      </c>
      <c r="G75" s="13">
        <v>45</v>
      </c>
      <c r="H75" s="13" t="str" cm="1">
        <f t="array" ref="H75">_xlfn.IFS(G75&lt;=20,"0-20",G75&lt;=30,"20-30",G75&lt;=40,"30-40",G75&lt;=50,"50-60",G75&lt;=60,"60-70",G75&lt;=70,"70-80",G75&lt;=80,"80-90")</f>
        <v>50-60</v>
      </c>
      <c r="I75" s="13">
        <v>2814</v>
      </c>
      <c r="J75" s="13" t="str" cm="1">
        <f t="array" ref="J75">_xlfn.IFS(K75=1,"Divorciado",L75=1,"Casado",M75=1,"Solteiro",N75=1,"Juntos",O75=1,"Viuvo")</f>
        <v>Casado</v>
      </c>
      <c r="K75" s="13">
        <v>0</v>
      </c>
      <c r="L75" s="13">
        <v>1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1</v>
      </c>
      <c r="U75" s="13">
        <v>1149</v>
      </c>
      <c r="V75" s="13" t="str" cm="1">
        <f t="array" ref="V75">_xlfn.IFS(U75&lt;=250,"0-R$250",U75&lt;=500,"251-R$500",U75&lt;=750,"501-R$750",U75&lt;=1000,"751-R$1000",U75&lt;=1250,"1001-R$1250",U75&lt;=1500,"1251-R$1500")</f>
        <v>1001-R$1250</v>
      </c>
      <c r="W75" s="13">
        <v>71</v>
      </c>
      <c r="X75" s="13" t="str" cm="1">
        <f t="array" ref="X75">_xlfn.IFS(W75 = 0, "0", W75&lt;=20, "até R$20",W75&lt;=40, "21 - R$40",W75&lt;=60, "41- R$60",W75&lt;=80, "61 - R$80", W75&lt;=100, "81 - R$100",W75&lt;=120, "101 - R$120",W75&lt;=140, "121 - R$140", W75&lt;=160, "141- R$160", W75&lt;=180, "161 - R$180", W75&lt;=200, "181-R$194")</f>
        <v>61 - R$80</v>
      </c>
      <c r="Y75" s="13">
        <v>449</v>
      </c>
      <c r="Z75" s="13">
        <v>69</v>
      </c>
      <c r="AA75" s="13">
        <v>71</v>
      </c>
      <c r="AB75" s="13">
        <v>26</v>
      </c>
      <c r="AC75" s="13">
        <v>1</v>
      </c>
      <c r="AD75" s="13">
        <v>11</v>
      </c>
      <c r="AE75" s="13">
        <v>8</v>
      </c>
      <c r="AF75" s="13">
        <v>8</v>
      </c>
      <c r="AG75" s="13">
        <v>5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4">
        <v>0</v>
      </c>
      <c r="AP75" s="13">
        <v>3</v>
      </c>
      <c r="AQ75" s="13">
        <v>11</v>
      </c>
      <c r="AR75" s="15">
        <v>1783</v>
      </c>
      <c r="AS75" s="15">
        <v>1809</v>
      </c>
    </row>
    <row r="76" spans="1:45" x14ac:dyDescent="0.25">
      <c r="A76">
        <v>610</v>
      </c>
      <c r="B76" s="11">
        <f t="shared" si="1"/>
        <v>70971</v>
      </c>
      <c r="C76" s="12">
        <v>709710</v>
      </c>
      <c r="D76" s="13">
        <v>0</v>
      </c>
      <c r="E76" s="13">
        <v>1</v>
      </c>
      <c r="F76" s="13">
        <v>28</v>
      </c>
      <c r="G76" s="13">
        <v>60</v>
      </c>
      <c r="H76" s="13" t="str" cm="1">
        <f t="array" ref="H76">_xlfn.IFS(G76&lt;=20,"0-20",G76&lt;=30,"20-30",G76&lt;=40,"30-40",G76&lt;=50,"50-60",G76&lt;=60,"60-70",G76&lt;=70,"70-80",G76&lt;=80,"80-90")</f>
        <v>60-70</v>
      </c>
      <c r="I76" s="13">
        <v>2805</v>
      </c>
      <c r="J76" s="13" t="str" cm="1">
        <f t="array" ref="J76">_xlfn.IFS(K76=1,"Divorciado",L76=1,"Casado",M76=1,"Solteiro",N76=1,"Juntos",O76=1,"Viuvo")</f>
        <v>Juntos</v>
      </c>
      <c r="K76" s="13">
        <v>0</v>
      </c>
      <c r="L76" s="13">
        <v>0</v>
      </c>
      <c r="M76" s="13">
        <v>0</v>
      </c>
      <c r="N76" s="13">
        <v>1</v>
      </c>
      <c r="O76" s="13">
        <v>0</v>
      </c>
      <c r="P76" s="13">
        <v>0</v>
      </c>
      <c r="Q76" s="13">
        <v>0</v>
      </c>
      <c r="R76" s="13">
        <v>1</v>
      </c>
      <c r="S76" s="13">
        <v>0</v>
      </c>
      <c r="T76" s="13">
        <v>0</v>
      </c>
      <c r="U76" s="13">
        <v>1001</v>
      </c>
      <c r="V76" s="13" t="str" cm="1">
        <f t="array" ref="V76">_xlfn.IFS(U76&lt;=250,"0-R$250",U76&lt;=500,"251-R$500",U76&lt;=750,"501-R$750",U76&lt;=1000,"751-R$1000",U76&lt;=1250,"1001-R$1250",U76&lt;=1500,"1251-R$1500")</f>
        <v>1001-R$1250</v>
      </c>
      <c r="W76" s="13">
        <v>17</v>
      </c>
      <c r="X76" s="13" t="str" cm="1">
        <f t="array" ref="X76">_xlfn.IFS(W76 = 0, "0", W76&lt;=20, "até R$20",W76&lt;=40, "21 - R$40",W76&lt;=60, "41- R$60",W76&lt;=80, "61 - R$80", W76&lt;=100, "81 - R$100",W76&lt;=120, "101 - R$120",W76&lt;=140, "121 - R$140", W76&lt;=160, "141- R$160", W76&lt;=180, "161 - R$180", W76&lt;=200, "181-R$194")</f>
        <v>até R$20</v>
      </c>
      <c r="Y76" s="13">
        <v>572</v>
      </c>
      <c r="Z76" s="13">
        <v>93</v>
      </c>
      <c r="AA76" s="13">
        <v>125</v>
      </c>
      <c r="AB76" s="13">
        <v>17</v>
      </c>
      <c r="AC76" s="13">
        <v>7</v>
      </c>
      <c r="AD76" s="13">
        <v>11</v>
      </c>
      <c r="AE76" s="13">
        <v>11</v>
      </c>
      <c r="AF76" s="13">
        <v>5</v>
      </c>
      <c r="AG76" s="13">
        <v>7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1</v>
      </c>
      <c r="AO76" s="14">
        <v>0</v>
      </c>
      <c r="AP76" s="13">
        <v>3</v>
      </c>
      <c r="AQ76" s="13">
        <v>11</v>
      </c>
      <c r="AR76" s="15">
        <v>1791</v>
      </c>
      <c r="AS76" s="15">
        <v>1808</v>
      </c>
    </row>
    <row r="77" spans="1:45" x14ac:dyDescent="0.25">
      <c r="A77">
        <v>2096</v>
      </c>
      <c r="B77" s="11">
        <f t="shared" si="1"/>
        <v>82333</v>
      </c>
      <c r="C77" s="12">
        <v>823330</v>
      </c>
      <c r="D77" s="13">
        <v>0</v>
      </c>
      <c r="E77" s="13">
        <v>0</v>
      </c>
      <c r="F77" s="13">
        <v>60</v>
      </c>
      <c r="G77" s="13">
        <v>34</v>
      </c>
      <c r="H77" s="13" t="str" cm="1">
        <f t="array" ref="H77">_xlfn.IFS(G77&lt;=20,"0-20",G77&lt;=30,"20-30",G77&lt;=40,"30-40",G77&lt;=50,"50-60",G77&lt;=60,"60-70",G77&lt;=70,"70-80",G77&lt;=80,"80-90")</f>
        <v>30-40</v>
      </c>
      <c r="I77" s="13">
        <v>2615</v>
      </c>
      <c r="J77" s="13" t="str" cm="1">
        <f t="array" ref="J77">_xlfn.IFS(K77=1,"Divorciado",L77=1,"Casado",M77=1,"Solteiro",N77=1,"Juntos",O77=1,"Viuvo")</f>
        <v>Casado</v>
      </c>
      <c r="K77" s="13">
        <v>0</v>
      </c>
      <c r="L77" s="13">
        <v>1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1</v>
      </c>
      <c r="U77" s="13">
        <v>1311</v>
      </c>
      <c r="V77" s="13" t="str" cm="1">
        <f t="array" ref="V77">_xlfn.IFS(U77&lt;=250,"0-R$250",U77&lt;=500,"251-R$500",U77&lt;=750,"501-R$750",U77&lt;=1000,"751-R$1000",U77&lt;=1250,"1001-R$1250",U77&lt;=1500,"1251-R$1500")</f>
        <v>1251-R$1500</v>
      </c>
      <c r="W77" s="13">
        <v>0</v>
      </c>
      <c r="X77" s="13" t="str" cm="1">
        <f t="array" ref="X77">_xlfn.IFS(W77 = 0, "0", W77&lt;=20, "até R$20",W77&lt;=40, "21 - R$40",W77&lt;=60, "41- R$60",W77&lt;=80, "61 - R$80", W77&lt;=100, "81 - R$100",W77&lt;=120, "101 - R$120",W77&lt;=140, "121 - R$140", W77&lt;=160, "141- R$160", W77&lt;=180, "161 - R$180", W77&lt;=200, "181-R$194")</f>
        <v>0</v>
      </c>
      <c r="Y77" s="13">
        <v>359</v>
      </c>
      <c r="Z77" s="13">
        <v>46</v>
      </c>
      <c r="AA77" s="13">
        <v>89</v>
      </c>
      <c r="AB77" s="13">
        <v>17</v>
      </c>
      <c r="AC77" s="13">
        <v>1</v>
      </c>
      <c r="AD77" s="13">
        <v>4</v>
      </c>
      <c r="AE77" s="13">
        <v>3</v>
      </c>
      <c r="AF77" s="13">
        <v>10</v>
      </c>
      <c r="AG77" s="13">
        <v>2</v>
      </c>
      <c r="AH77" s="13">
        <v>0</v>
      </c>
      <c r="AI77" s="13">
        <v>0</v>
      </c>
      <c r="AJ77" s="13">
        <v>0</v>
      </c>
      <c r="AK77" s="13">
        <v>1</v>
      </c>
      <c r="AL77" s="13">
        <v>0</v>
      </c>
      <c r="AM77" s="13">
        <v>0</v>
      </c>
      <c r="AN77" s="13">
        <v>1</v>
      </c>
      <c r="AO77" s="14">
        <v>1</v>
      </c>
      <c r="AP77" s="13">
        <v>3</v>
      </c>
      <c r="AQ77" s="13">
        <v>11</v>
      </c>
      <c r="AR77" s="15">
        <v>1788</v>
      </c>
      <c r="AS77" s="15">
        <v>1805</v>
      </c>
    </row>
    <row r="78" spans="1:45" x14ac:dyDescent="0.25">
      <c r="A78">
        <v>1464</v>
      </c>
      <c r="B78" s="11">
        <f t="shared" si="1"/>
        <v>76998</v>
      </c>
      <c r="C78" s="12">
        <v>769980</v>
      </c>
      <c r="D78" s="13">
        <v>0</v>
      </c>
      <c r="E78" s="13">
        <v>1</v>
      </c>
      <c r="F78" s="13">
        <v>85</v>
      </c>
      <c r="G78" s="13">
        <v>65</v>
      </c>
      <c r="H78" s="13" t="str" cm="1">
        <f t="array" ref="H78">_xlfn.IFS(G78&lt;=20,"0-20",G78&lt;=30,"20-30",G78&lt;=40,"30-40",G78&lt;=50,"50-60",G78&lt;=60,"60-70",G78&lt;=70,"70-80",G78&lt;=80,"80-90")</f>
        <v>70-80</v>
      </c>
      <c r="I78" s="13">
        <v>2693</v>
      </c>
      <c r="J78" s="13" t="str" cm="1">
        <f t="array" ref="J78">_xlfn.IFS(K78=1,"Divorciado",L78=1,"Casado",M78=1,"Solteiro",N78=1,"Juntos",O78=1,"Viuvo")</f>
        <v>Casado</v>
      </c>
      <c r="K78" s="13">
        <v>0</v>
      </c>
      <c r="L78" s="13">
        <v>1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1</v>
      </c>
      <c r="S78" s="13">
        <v>0</v>
      </c>
      <c r="T78" s="13">
        <v>0</v>
      </c>
      <c r="U78" s="13">
        <v>1449</v>
      </c>
      <c r="V78" s="13" t="str" cm="1">
        <f t="array" ref="V78">_xlfn.IFS(U78&lt;=250,"0-R$250",U78&lt;=500,"251-R$500",U78&lt;=750,"501-R$750",U78&lt;=1000,"751-R$1000",U78&lt;=1250,"1001-R$1250",U78&lt;=1500,"1251-R$1500")</f>
        <v>1251-R$1500</v>
      </c>
      <c r="W78" s="13">
        <v>89</v>
      </c>
      <c r="X78" s="13" t="str" cm="1">
        <f t="array" ref="X78">_xlfn.IFS(W78 = 0, "0", W78&lt;=20, "até R$20",W78&lt;=40, "21 - R$40",W78&lt;=60, "41- R$60",W78&lt;=80, "61 - R$80", W78&lt;=100, "81 - R$100",W78&lt;=120, "101 - R$120",W78&lt;=140, "121 - R$140", W78&lt;=160, "141- R$160", W78&lt;=180, "161 - R$180", W78&lt;=200, "181-R$194")</f>
        <v>81 - R$100</v>
      </c>
      <c r="Y78" s="13">
        <v>161</v>
      </c>
      <c r="Z78" s="13">
        <v>69</v>
      </c>
      <c r="AA78" s="13">
        <v>35</v>
      </c>
      <c r="AB78" s="13">
        <v>107</v>
      </c>
      <c r="AC78" s="13">
        <v>2</v>
      </c>
      <c r="AD78" s="13">
        <v>11</v>
      </c>
      <c r="AE78" s="13">
        <v>8</v>
      </c>
      <c r="AF78" s="13">
        <v>8</v>
      </c>
      <c r="AG78" s="13">
        <v>6</v>
      </c>
      <c r="AH78" s="13">
        <v>0</v>
      </c>
      <c r="AI78" s="13">
        <v>0</v>
      </c>
      <c r="AJ78" s="13">
        <v>0</v>
      </c>
      <c r="AK78" s="13">
        <v>1</v>
      </c>
      <c r="AL78" s="13">
        <v>0</v>
      </c>
      <c r="AM78" s="13">
        <v>0</v>
      </c>
      <c r="AN78" s="13">
        <v>0</v>
      </c>
      <c r="AO78" s="14">
        <v>1</v>
      </c>
      <c r="AP78" s="13">
        <v>3</v>
      </c>
      <c r="AQ78" s="13">
        <v>11</v>
      </c>
      <c r="AR78" s="15">
        <v>1696</v>
      </c>
      <c r="AS78" s="15">
        <v>1803</v>
      </c>
    </row>
    <row r="79" spans="1:45" x14ac:dyDescent="0.25">
      <c r="A79">
        <v>481</v>
      </c>
      <c r="B79" s="11">
        <f t="shared" si="1"/>
        <v>78642</v>
      </c>
      <c r="C79" s="16">
        <v>786420</v>
      </c>
      <c r="D79" s="17">
        <v>0</v>
      </c>
      <c r="E79" s="17">
        <v>1</v>
      </c>
      <c r="F79" s="17">
        <v>83</v>
      </c>
      <c r="G79" s="17">
        <v>49</v>
      </c>
      <c r="H79" s="13" t="str" cm="1">
        <f t="array" ref="H79">_xlfn.IFS(G79&lt;=20,"0-20",G79&lt;=30,"20-30",G79&lt;=40,"30-40",G79&lt;=50,"50-60",G79&lt;=60,"60-70",G79&lt;=70,"70-80",G79&lt;=80,"80-90")</f>
        <v>50-60</v>
      </c>
      <c r="I79" s="17">
        <v>2593</v>
      </c>
      <c r="J79" s="13" t="str" cm="1">
        <f t="array" ref="J79">_xlfn.IFS(K79=1,"Divorciado",L79=1,"Casado",M79=1,"Solteiro",N79=1,"Juntos",O79=1,"Viuvo")</f>
        <v>Juntos</v>
      </c>
      <c r="K79" s="17">
        <v>0</v>
      </c>
      <c r="L79" s="17">
        <v>0</v>
      </c>
      <c r="M79" s="17">
        <v>0</v>
      </c>
      <c r="N79" s="17">
        <v>1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1</v>
      </c>
      <c r="U79" s="17">
        <v>1396</v>
      </c>
      <c r="V79" s="13" t="str" cm="1">
        <f t="array" ref="V79">_xlfn.IFS(U79&lt;=250,"0-R$250",U79&lt;=500,"251-R$500",U79&lt;=750,"501-R$750",U79&lt;=1000,"751-R$1000",U79&lt;=1250,"1001-R$1250",U79&lt;=1500,"1251-R$1500")</f>
        <v>1251-R$1500</v>
      </c>
      <c r="W79" s="17">
        <v>0</v>
      </c>
      <c r="X79" s="13" t="str" cm="1">
        <f t="array" ref="X79">_xlfn.IFS(W79 = 0, "0", W79&lt;=20, "até R$20",W79&lt;=40, "21 - R$40",W79&lt;=60, "41- R$60",W79&lt;=80, "61 - R$80", W79&lt;=100, "81 - R$100",W79&lt;=120, "101 - R$120",W79&lt;=140, "121 - R$140", W79&lt;=160, "141- R$160", W79&lt;=180, "161 - R$180", W79&lt;=200, "181-R$194")</f>
        <v>0</v>
      </c>
      <c r="Y79" s="17">
        <v>322</v>
      </c>
      <c r="Z79" s="17">
        <v>46</v>
      </c>
      <c r="AA79" s="17">
        <v>35</v>
      </c>
      <c r="AB79" s="17">
        <v>17</v>
      </c>
      <c r="AC79" s="17">
        <v>1</v>
      </c>
      <c r="AD79" s="17">
        <v>4</v>
      </c>
      <c r="AE79" s="17">
        <v>9</v>
      </c>
      <c r="AF79" s="17">
        <v>4</v>
      </c>
      <c r="AG79" s="17">
        <v>6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8">
        <v>0</v>
      </c>
      <c r="AP79" s="17">
        <v>3</v>
      </c>
      <c r="AQ79" s="17">
        <v>11</v>
      </c>
      <c r="AR79" s="19">
        <v>1782</v>
      </c>
      <c r="AS79" s="19">
        <v>1799</v>
      </c>
    </row>
    <row r="80" spans="1:45" x14ac:dyDescent="0.25">
      <c r="A80">
        <v>1553</v>
      </c>
      <c r="B80" s="11">
        <f t="shared" si="1"/>
        <v>81574</v>
      </c>
      <c r="C80" s="16">
        <v>815740</v>
      </c>
      <c r="D80" s="17">
        <v>0</v>
      </c>
      <c r="E80" s="17">
        <v>0</v>
      </c>
      <c r="F80" s="17">
        <v>89</v>
      </c>
      <c r="G80" s="17">
        <v>73</v>
      </c>
      <c r="H80" s="13" t="str" cm="1">
        <f t="array" ref="H80">_xlfn.IFS(G80&lt;=20,"0-20",G80&lt;=30,"20-30",G80&lt;=40,"30-40",G80&lt;=50,"50-60",G80&lt;=60,"60-70",G80&lt;=70,"70-80",G80&lt;=80,"80-90")</f>
        <v>80-90</v>
      </c>
      <c r="I80" s="17">
        <v>2221</v>
      </c>
      <c r="J80" s="13" t="str" cm="1">
        <f t="array" ref="J80">_xlfn.IFS(K80=1,"Divorciado",L80=1,"Casado",M80=1,"Solteiro",N80=1,"Juntos",O80=1,"Viuvo")</f>
        <v>Juntos</v>
      </c>
      <c r="K80" s="17">
        <v>0</v>
      </c>
      <c r="L80" s="17">
        <v>0</v>
      </c>
      <c r="M80" s="17">
        <v>0</v>
      </c>
      <c r="N80" s="17">
        <v>1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1</v>
      </c>
      <c r="U80" s="17">
        <v>1252</v>
      </c>
      <c r="V80" s="13" t="str" cm="1">
        <f t="array" ref="V80">_xlfn.IFS(U80&lt;=250,"0-R$250",U80&lt;=500,"251-R$500",U80&lt;=750,"501-R$750",U80&lt;=1000,"751-R$1000",U80&lt;=1250,"1001-R$1250",U80&lt;=1500,"1251-R$1500")</f>
        <v>1251-R$1500</v>
      </c>
      <c r="W80" s="17">
        <v>0</v>
      </c>
      <c r="X80" s="13" t="str" cm="1">
        <f t="array" ref="X80">_xlfn.IFS(W80 = 0, "0", W80&lt;=20, "até R$20",W80&lt;=40, "21 - R$40",W80&lt;=60, "41- R$60",W80&lt;=80, "61 - R$80", W80&lt;=100, "81 - R$100",W80&lt;=120, "101 - R$120",W80&lt;=140, "121 - R$140", W80&lt;=160, "141- R$160", W80&lt;=180, "161 - R$180", W80&lt;=200, "181-R$194")</f>
        <v>0</v>
      </c>
      <c r="Y80" s="17">
        <v>465</v>
      </c>
      <c r="Z80" s="17">
        <v>46</v>
      </c>
      <c r="AA80" s="17">
        <v>35</v>
      </c>
      <c r="AB80" s="17">
        <v>0</v>
      </c>
      <c r="AC80" s="17">
        <v>1</v>
      </c>
      <c r="AD80" s="17">
        <v>4</v>
      </c>
      <c r="AE80" s="17">
        <v>5</v>
      </c>
      <c r="AF80" s="17">
        <v>8</v>
      </c>
      <c r="AG80" s="17">
        <v>1</v>
      </c>
      <c r="AH80" s="17">
        <v>0</v>
      </c>
      <c r="AI80" s="17">
        <v>0</v>
      </c>
      <c r="AJ80" s="17">
        <v>1</v>
      </c>
      <c r="AK80" s="17">
        <v>1</v>
      </c>
      <c r="AL80" s="17">
        <v>0</v>
      </c>
      <c r="AM80" s="17">
        <v>0</v>
      </c>
      <c r="AN80" s="17">
        <v>0</v>
      </c>
      <c r="AO80" s="18">
        <v>2</v>
      </c>
      <c r="AP80" s="17">
        <v>3</v>
      </c>
      <c r="AQ80" s="17">
        <v>11</v>
      </c>
      <c r="AR80" s="19">
        <v>1798</v>
      </c>
      <c r="AS80" s="19">
        <v>1798</v>
      </c>
    </row>
    <row r="81" spans="1:45" x14ac:dyDescent="0.25">
      <c r="A81">
        <v>1855</v>
      </c>
      <c r="B81" s="11">
        <f t="shared" si="1"/>
        <v>70643</v>
      </c>
      <c r="C81" s="16">
        <v>706430</v>
      </c>
      <c r="D81" s="17">
        <v>0</v>
      </c>
      <c r="E81" s="17">
        <v>0</v>
      </c>
      <c r="F81" s="17">
        <v>66</v>
      </c>
      <c r="G81" s="17">
        <v>36</v>
      </c>
      <c r="H81" s="13" t="str" cm="1">
        <f t="array" ref="H81">_xlfn.IFS(G81&lt;=20,"0-20",G81&lt;=30,"20-30",G81&lt;=40,"30-40",G81&lt;=50,"50-60",G81&lt;=60,"60-70",G81&lt;=70,"70-80",G81&lt;=80,"80-90")</f>
        <v>30-40</v>
      </c>
      <c r="I81" s="17">
        <v>2781</v>
      </c>
      <c r="J81" s="13" t="str" cm="1">
        <f t="array" ref="J81">_xlfn.IFS(K81=1,"Divorciado",L81=1,"Casado",M81=1,"Solteiro",N81=1,"Juntos",O81=1,"Viuvo")</f>
        <v>Casado</v>
      </c>
      <c r="K81" s="17">
        <v>0</v>
      </c>
      <c r="L81" s="17">
        <v>1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1</v>
      </c>
      <c r="U81" s="17">
        <v>1218</v>
      </c>
      <c r="V81" s="13" t="str" cm="1">
        <f t="array" ref="V81">_xlfn.IFS(U81&lt;=250,"0-R$250",U81&lt;=500,"251-R$500",U81&lt;=750,"501-R$750",U81&lt;=1000,"751-R$1000",U81&lt;=1250,"1001-R$1250",U81&lt;=1500,"1251-R$1500")</f>
        <v>1001-R$1250</v>
      </c>
      <c r="W81" s="17">
        <v>107</v>
      </c>
      <c r="X81" s="13" t="str" cm="1">
        <f t="array" ref="X81">_xlfn.IFS(W81 = 0, "0", W81&lt;=20, "até R$20",W81&lt;=40, "21 - R$40",W81&lt;=60, "41- R$60",W81&lt;=80, "61 - R$80", W81&lt;=100, "81 - R$100",W81&lt;=120, "101 - R$120",W81&lt;=140, "121 - R$140", W81&lt;=160, "141- R$160", W81&lt;=180, "161 - R$180", W81&lt;=200, "181-R$194")</f>
        <v>101 - R$120</v>
      </c>
      <c r="Y81" s="17">
        <v>304</v>
      </c>
      <c r="Z81" s="17">
        <v>23</v>
      </c>
      <c r="AA81" s="17">
        <v>143</v>
      </c>
      <c r="AB81" s="17">
        <v>33</v>
      </c>
      <c r="AC81" s="17">
        <v>1</v>
      </c>
      <c r="AD81" s="17">
        <v>5</v>
      </c>
      <c r="AE81" s="17">
        <v>8</v>
      </c>
      <c r="AF81" s="17">
        <v>4</v>
      </c>
      <c r="AG81" s="17">
        <v>6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1</v>
      </c>
      <c r="AO81" s="18">
        <v>0</v>
      </c>
      <c r="AP81" s="17">
        <v>3</v>
      </c>
      <c r="AQ81" s="17">
        <v>11</v>
      </c>
      <c r="AR81" s="19">
        <v>1762</v>
      </c>
      <c r="AS81" s="19">
        <v>1795</v>
      </c>
    </row>
    <row r="82" spans="1:45" x14ac:dyDescent="0.25">
      <c r="A82">
        <v>918</v>
      </c>
      <c r="B82" s="11">
        <f t="shared" si="1"/>
        <v>67536</v>
      </c>
      <c r="C82" s="12">
        <v>675360</v>
      </c>
      <c r="D82" s="13">
        <v>0</v>
      </c>
      <c r="E82" s="13">
        <v>1</v>
      </c>
      <c r="F82" s="13">
        <v>45</v>
      </c>
      <c r="G82" s="13">
        <v>50</v>
      </c>
      <c r="H82" s="13" t="str" cm="1">
        <f t="array" ref="H82">_xlfn.IFS(G82&lt;=20,"0-20",G82&lt;=30,"20-30",G82&lt;=40,"30-40",G82&lt;=50,"50-60",G82&lt;=60,"60-70",G82&lt;=70,"70-80",G82&lt;=80,"80-90")</f>
        <v>50-60</v>
      </c>
      <c r="I82" s="13">
        <v>2562</v>
      </c>
      <c r="J82" s="13" t="str" cm="1">
        <f t="array" ref="J82">_xlfn.IFS(K82=1,"Divorciado",L82=1,"Casado",M82=1,"Solteiro",N82=1,"Juntos",O82=1,"Viuvo")</f>
        <v>Casado</v>
      </c>
      <c r="K82" s="13">
        <v>0</v>
      </c>
      <c r="L82" s="13">
        <v>1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1</v>
      </c>
      <c r="U82" s="13">
        <v>1253</v>
      </c>
      <c r="V82" s="13" t="str" cm="1">
        <f t="array" ref="V82">_xlfn.IFS(U82&lt;=250,"0-R$250",U82&lt;=500,"251-R$500",U82&lt;=750,"501-R$750",U82&lt;=1000,"751-R$1000",U82&lt;=1250,"1001-R$1250",U82&lt;=1500,"1251-R$1500")</f>
        <v>1251-R$1500</v>
      </c>
      <c r="W82" s="13">
        <v>0</v>
      </c>
      <c r="X82" s="13" t="str" cm="1">
        <f t="array" ref="X82">_xlfn.IFS(W82 = 0, "0", W82&lt;=20, "até R$20",W82&lt;=40, "21 - R$40",W82&lt;=60, "41- R$60",W82&lt;=80, "61 - R$80", W82&lt;=100, "81 - R$100",W82&lt;=120, "101 - R$120",W82&lt;=140, "121 - R$140", W82&lt;=160, "141- R$160", W82&lt;=180, "161 - R$180", W82&lt;=200, "181-R$194")</f>
        <v>0</v>
      </c>
      <c r="Y82" s="13">
        <v>447</v>
      </c>
      <c r="Z82" s="13">
        <v>23</v>
      </c>
      <c r="AA82" s="13">
        <v>71</v>
      </c>
      <c r="AB82" s="13">
        <v>35</v>
      </c>
      <c r="AC82" s="13">
        <v>3</v>
      </c>
      <c r="AD82" s="13">
        <v>11</v>
      </c>
      <c r="AE82" s="13">
        <v>5</v>
      </c>
      <c r="AF82" s="13">
        <v>11</v>
      </c>
      <c r="AG82" s="13">
        <v>8</v>
      </c>
      <c r="AH82" s="13">
        <v>0</v>
      </c>
      <c r="AI82" s="13">
        <v>0</v>
      </c>
      <c r="AJ82" s="13">
        <v>0</v>
      </c>
      <c r="AK82" s="13">
        <v>0</v>
      </c>
      <c r="AL82" s="13">
        <v>1</v>
      </c>
      <c r="AM82" s="13">
        <v>0</v>
      </c>
      <c r="AN82" s="13">
        <v>0</v>
      </c>
      <c r="AO82" s="14">
        <v>1</v>
      </c>
      <c r="AP82" s="13">
        <v>3</v>
      </c>
      <c r="AQ82" s="13">
        <v>11</v>
      </c>
      <c r="AR82" s="15">
        <v>1759</v>
      </c>
      <c r="AS82" s="15">
        <v>1794</v>
      </c>
    </row>
    <row r="83" spans="1:45" x14ac:dyDescent="0.25">
      <c r="A83">
        <v>1419</v>
      </c>
      <c r="B83" s="11">
        <f t="shared" si="1"/>
        <v>78427</v>
      </c>
      <c r="C83" s="16">
        <v>784270</v>
      </c>
      <c r="D83" s="17">
        <v>0</v>
      </c>
      <c r="E83" s="17">
        <v>0</v>
      </c>
      <c r="F83" s="17">
        <v>36</v>
      </c>
      <c r="G83" s="17">
        <v>72</v>
      </c>
      <c r="H83" s="13" t="str" cm="1">
        <f t="array" ref="H83">_xlfn.IFS(G83&lt;=20,"0-20",G83&lt;=30,"20-30",G83&lt;=40,"30-40",G83&lt;=50,"50-60",G83&lt;=60,"60-70",G83&lt;=70,"70-80",G83&lt;=80,"80-90")</f>
        <v>80-90</v>
      </c>
      <c r="I83" s="17">
        <v>2772</v>
      </c>
      <c r="J83" s="13" t="str" cm="1">
        <f t="array" ref="J83">_xlfn.IFS(K83=1,"Divorciado",L83=1,"Casado",M83=1,"Solteiro",N83=1,"Juntos",O83=1,"Viuvo")</f>
        <v>Viuvo</v>
      </c>
      <c r="K83" s="17">
        <v>0</v>
      </c>
      <c r="L83" s="17">
        <v>0</v>
      </c>
      <c r="M83" s="17">
        <v>0</v>
      </c>
      <c r="N83" s="17">
        <v>0</v>
      </c>
      <c r="O83" s="17">
        <v>1</v>
      </c>
      <c r="P83" s="17">
        <v>0</v>
      </c>
      <c r="Q83" s="17">
        <v>0</v>
      </c>
      <c r="R83" s="17">
        <v>0</v>
      </c>
      <c r="S83" s="17">
        <v>1</v>
      </c>
      <c r="T83" s="17">
        <v>0</v>
      </c>
      <c r="U83" s="17">
        <v>972</v>
      </c>
      <c r="V83" s="13" t="str" cm="1">
        <f t="array" ref="V83">_xlfn.IFS(U83&lt;=250,"0-R$250",U83&lt;=500,"251-R$500",U83&lt;=750,"501-R$750",U83&lt;=1000,"751-R$1000",U83&lt;=1250,"1001-R$1250",U83&lt;=1500,"1251-R$1500")</f>
        <v>751-R$1000</v>
      </c>
      <c r="W83" s="17">
        <v>19</v>
      </c>
      <c r="X83" s="13" t="str" cm="1">
        <f t="array" ref="X83">_xlfn.IFS(W83 = 0, "0", W83&lt;=20, "até R$20",W83&lt;=40, "21 - R$40",W83&lt;=60, "41- R$60",W83&lt;=80, "61 - R$80", W83&lt;=100, "81 - R$100",W83&lt;=120, "101 - R$120",W83&lt;=140, "121 - R$140", W83&lt;=160, "141- R$160", W83&lt;=180, "161 - R$180", W83&lt;=200, "181-R$194")</f>
        <v>até R$20</v>
      </c>
      <c r="Y83" s="17">
        <v>595</v>
      </c>
      <c r="Z83" s="17">
        <v>180</v>
      </c>
      <c r="AA83" s="17">
        <v>26</v>
      </c>
      <c r="AB83" s="17">
        <v>138</v>
      </c>
      <c r="AC83" s="17">
        <v>3</v>
      </c>
      <c r="AD83" s="17">
        <v>3</v>
      </c>
      <c r="AE83" s="17">
        <v>7</v>
      </c>
      <c r="AF83" s="17">
        <v>10</v>
      </c>
      <c r="AG83" s="17">
        <v>3</v>
      </c>
      <c r="AH83" s="17">
        <v>0</v>
      </c>
      <c r="AI83" s="17">
        <v>0</v>
      </c>
      <c r="AJ83" s="17">
        <v>0</v>
      </c>
      <c r="AK83" s="17">
        <v>0</v>
      </c>
      <c r="AL83" s="17">
        <v>1</v>
      </c>
      <c r="AM83" s="17">
        <v>0</v>
      </c>
      <c r="AN83" s="17">
        <v>1</v>
      </c>
      <c r="AO83" s="18">
        <v>1</v>
      </c>
      <c r="AP83" s="17">
        <v>3</v>
      </c>
      <c r="AQ83" s="17">
        <v>11</v>
      </c>
      <c r="AR83" s="19">
        <v>1654</v>
      </c>
      <c r="AS83" s="19">
        <v>1792</v>
      </c>
    </row>
    <row r="84" spans="1:45" x14ac:dyDescent="0.25">
      <c r="A84">
        <v>801</v>
      </c>
      <c r="B84" s="11">
        <f t="shared" si="1"/>
        <v>76412</v>
      </c>
      <c r="C84" s="16">
        <v>764120</v>
      </c>
      <c r="D84" s="17">
        <v>0</v>
      </c>
      <c r="E84" s="17">
        <v>0</v>
      </c>
      <c r="F84" s="17">
        <v>15</v>
      </c>
      <c r="G84" s="17">
        <v>40</v>
      </c>
      <c r="H84" s="13" t="str" cm="1">
        <f t="array" ref="H84">_xlfn.IFS(G84&lt;=20,"0-20",G84&lt;=30,"20-30",G84&lt;=40,"30-40",G84&lt;=50,"50-60",G84&lt;=60,"60-70",G84&lt;=70,"70-80",G84&lt;=80,"80-90")</f>
        <v>30-40</v>
      </c>
      <c r="I84" s="17">
        <v>2579</v>
      </c>
      <c r="J84" s="13" t="str" cm="1">
        <f t="array" ref="J84">_xlfn.IFS(K84=1,"Divorciado",L84=1,"Casado",M84=1,"Solteiro",N84=1,"Juntos",O84=1,"Viuvo")</f>
        <v>Solteiro</v>
      </c>
      <c r="K84" s="17">
        <v>0</v>
      </c>
      <c r="L84" s="17">
        <v>0</v>
      </c>
      <c r="M84" s="17">
        <v>1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1</v>
      </c>
      <c r="U84" s="17">
        <v>840</v>
      </c>
      <c r="V84" s="13" t="str" cm="1">
        <f t="array" ref="V84">_xlfn.IFS(U84&lt;=250,"0-R$250",U84&lt;=500,"251-R$500",U84&lt;=750,"501-R$750",U84&lt;=1000,"751-R$1000",U84&lt;=1250,"1001-R$1250",U84&lt;=1500,"1251-R$1500")</f>
        <v>751-R$1000</v>
      </c>
      <c r="W84" s="17">
        <v>53</v>
      </c>
      <c r="X84" s="13" t="str" cm="1">
        <f t="array" ref="X84">_xlfn.IFS(W84 = 0, "0", W84&lt;=20, "até R$20",W84&lt;=40, "21 - R$40",W84&lt;=60, "41- R$60",W84&lt;=80, "61 - R$80", W84&lt;=100, "81 - R$100",W84&lt;=120, "101 - R$120",W84&lt;=140, "121 - R$140", W84&lt;=160, "141- R$160", W84&lt;=180, "161 - R$180", W84&lt;=200, "181-R$194")</f>
        <v>41- R$60</v>
      </c>
      <c r="Y84" s="17">
        <v>804</v>
      </c>
      <c r="Z84" s="17">
        <v>23</v>
      </c>
      <c r="AA84" s="17">
        <v>71</v>
      </c>
      <c r="AB84" s="17">
        <v>17</v>
      </c>
      <c r="AC84" s="17">
        <v>1</v>
      </c>
      <c r="AD84" s="17">
        <v>5</v>
      </c>
      <c r="AE84" s="17">
        <v>4</v>
      </c>
      <c r="AF84" s="17">
        <v>8</v>
      </c>
      <c r="AG84" s="17">
        <v>3</v>
      </c>
      <c r="AH84" s="17">
        <v>0</v>
      </c>
      <c r="AI84" s="17">
        <v>0</v>
      </c>
      <c r="AJ84" s="17">
        <v>0</v>
      </c>
      <c r="AK84" s="17">
        <v>1</v>
      </c>
      <c r="AL84" s="17">
        <v>1</v>
      </c>
      <c r="AM84" s="17">
        <v>0</v>
      </c>
      <c r="AN84" s="17">
        <v>1</v>
      </c>
      <c r="AO84" s="18">
        <v>2</v>
      </c>
      <c r="AP84" s="17">
        <v>3</v>
      </c>
      <c r="AQ84" s="17">
        <v>11</v>
      </c>
      <c r="AR84" s="19">
        <v>1774</v>
      </c>
      <c r="AS84" s="19">
        <v>1791</v>
      </c>
    </row>
    <row r="85" spans="1:45" x14ac:dyDescent="0.25">
      <c r="A85">
        <v>833</v>
      </c>
      <c r="B85" s="11">
        <f t="shared" si="1"/>
        <v>82347</v>
      </c>
      <c r="C85" s="16">
        <v>823470</v>
      </c>
      <c r="D85" s="17">
        <v>0</v>
      </c>
      <c r="E85" s="17">
        <v>0</v>
      </c>
      <c r="F85" s="17">
        <v>38</v>
      </c>
      <c r="G85" s="17">
        <v>63</v>
      </c>
      <c r="H85" s="13" t="str" cm="1">
        <f t="array" ref="H85">_xlfn.IFS(G85&lt;=20,"0-20",G85&lt;=30,"20-30",G85&lt;=40,"30-40",G85&lt;=50,"50-60",G85&lt;=60,"60-70",G85&lt;=70,"70-80",G85&lt;=80,"80-90")</f>
        <v>70-80</v>
      </c>
      <c r="I85" s="17">
        <v>2759</v>
      </c>
      <c r="J85" s="13" t="str" cm="1">
        <f t="array" ref="J85">_xlfn.IFS(K85=1,"Divorciado",L85=1,"Casado",M85=1,"Solteiro",N85=1,"Juntos",O85=1,"Viuvo")</f>
        <v>Casado</v>
      </c>
      <c r="K85" s="17">
        <v>0</v>
      </c>
      <c r="L85" s="17">
        <v>1</v>
      </c>
      <c r="M85" s="17">
        <v>0</v>
      </c>
      <c r="N85" s="17">
        <v>0</v>
      </c>
      <c r="O85" s="17">
        <v>0</v>
      </c>
      <c r="P85" s="17">
        <v>1</v>
      </c>
      <c r="Q85" s="17">
        <v>0</v>
      </c>
      <c r="R85" s="17">
        <v>0</v>
      </c>
      <c r="S85" s="17">
        <v>0</v>
      </c>
      <c r="T85" s="17">
        <v>0</v>
      </c>
      <c r="U85" s="17">
        <v>556</v>
      </c>
      <c r="V85" s="13" t="str" cm="1">
        <f t="array" ref="V85">_xlfn.IFS(U85&lt;=250,"0-R$250",U85&lt;=500,"251-R$500",U85&lt;=750,"501-R$750",U85&lt;=1000,"751-R$1000",U85&lt;=1250,"1001-R$1250",U85&lt;=1500,"1251-R$1500")</f>
        <v>501-R$750</v>
      </c>
      <c r="W85" s="17">
        <v>54</v>
      </c>
      <c r="X85" s="13" t="str" cm="1">
        <f t="array" ref="X85">_xlfn.IFS(W85 = 0, "0", W85&lt;=20, "até R$20",W85&lt;=40, "21 - R$40",W85&lt;=60, "41- R$60",W85&lt;=80, "61 - R$80", W85&lt;=100, "81 - R$100",W85&lt;=120, "101 - R$120",W85&lt;=140, "121 - R$140", W85&lt;=160, "141- R$160", W85&lt;=180, "161 - R$180", W85&lt;=200, "181-R$194")</f>
        <v>41- R$60</v>
      </c>
      <c r="Y85" s="17">
        <v>845</v>
      </c>
      <c r="Z85" s="17">
        <v>202</v>
      </c>
      <c r="AA85" s="17">
        <v>133</v>
      </c>
      <c r="AB85" s="17">
        <v>63</v>
      </c>
      <c r="AC85" s="17">
        <v>1</v>
      </c>
      <c r="AD85" s="17">
        <v>7</v>
      </c>
      <c r="AE85" s="17">
        <v>7</v>
      </c>
      <c r="AF85" s="17">
        <v>10</v>
      </c>
      <c r="AG85" s="17">
        <v>3</v>
      </c>
      <c r="AH85" s="17">
        <v>0</v>
      </c>
      <c r="AI85" s="17">
        <v>1</v>
      </c>
      <c r="AJ85" s="17">
        <v>0</v>
      </c>
      <c r="AK85" s="17">
        <v>0</v>
      </c>
      <c r="AL85" s="17">
        <v>1</v>
      </c>
      <c r="AM85" s="17">
        <v>0</v>
      </c>
      <c r="AN85" s="17">
        <v>0</v>
      </c>
      <c r="AO85" s="18">
        <v>2</v>
      </c>
      <c r="AP85" s="17">
        <v>3</v>
      </c>
      <c r="AQ85" s="17">
        <v>11</v>
      </c>
      <c r="AR85" s="19">
        <v>1727</v>
      </c>
      <c r="AS85" s="19">
        <v>1790</v>
      </c>
    </row>
    <row r="86" spans="1:45" x14ac:dyDescent="0.25">
      <c r="A86">
        <v>2144</v>
      </c>
      <c r="B86" s="11">
        <f t="shared" si="1"/>
        <v>81380</v>
      </c>
      <c r="C86" s="12">
        <v>813800</v>
      </c>
      <c r="D86" s="13">
        <v>0</v>
      </c>
      <c r="E86" s="13">
        <v>0</v>
      </c>
      <c r="F86" s="13">
        <v>51</v>
      </c>
      <c r="G86" s="13">
        <v>53</v>
      </c>
      <c r="H86" s="13" t="str" cm="1">
        <f t="array" ref="H86">_xlfn.IFS(G86&lt;=20,"0-20",G86&lt;=30,"20-30",G86&lt;=40,"30-40",G86&lt;=50,"50-60",G86&lt;=60,"60-70",G86&lt;=70,"70-80",G86&lt;=80,"80-90")</f>
        <v>60-70</v>
      </c>
      <c r="I86" s="13">
        <v>2713</v>
      </c>
      <c r="J86" s="13" t="str" cm="1">
        <f t="array" ref="J86">_xlfn.IFS(K86=1,"Divorciado",L86=1,"Casado",M86=1,"Solteiro",N86=1,"Juntos",O86=1,"Viuvo")</f>
        <v>Divorciado</v>
      </c>
      <c r="K86" s="13">
        <v>1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1</v>
      </c>
      <c r="T86" s="13">
        <v>0</v>
      </c>
      <c r="U86" s="13">
        <v>741</v>
      </c>
      <c r="V86" s="13" t="str" cm="1">
        <f t="array" ref="V86">_xlfn.IFS(U86&lt;=250,"0-R$250",U86&lt;=500,"251-R$500",U86&lt;=750,"501-R$750",U86&lt;=1000,"751-R$1000",U86&lt;=1250,"1001-R$1250",U86&lt;=1500,"1251-R$1500")</f>
        <v>501-R$750</v>
      </c>
      <c r="W86" s="13">
        <v>68</v>
      </c>
      <c r="X86" s="13" t="str" cm="1">
        <f t="array" ref="X86">_xlfn.IFS(W86 = 0, "0", W86&lt;=20, "até R$20",W86&lt;=40, "21 - R$40",W86&lt;=60, "41- R$60",W86&lt;=80, "61 - R$80", W86&lt;=100, "81 - R$100",W86&lt;=120, "101 - R$120",W86&lt;=140, "121 - R$140", W86&lt;=160, "141- R$160", W86&lt;=180, "161 - R$180", W86&lt;=200, "181-R$194")</f>
        <v>61 - R$80</v>
      </c>
      <c r="Y86" s="13">
        <v>689</v>
      </c>
      <c r="Z86" s="13">
        <v>224</v>
      </c>
      <c r="AA86" s="13">
        <v>68</v>
      </c>
      <c r="AB86" s="13">
        <v>103</v>
      </c>
      <c r="AC86" s="13">
        <v>1</v>
      </c>
      <c r="AD86" s="13">
        <v>4</v>
      </c>
      <c r="AE86" s="13">
        <v>2</v>
      </c>
      <c r="AF86" s="13">
        <v>10</v>
      </c>
      <c r="AG86" s="13">
        <v>2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4">
        <v>0</v>
      </c>
      <c r="AP86" s="13">
        <v>3</v>
      </c>
      <c r="AQ86" s="13">
        <v>11</v>
      </c>
      <c r="AR86" s="15">
        <v>1687</v>
      </c>
      <c r="AS86" s="15">
        <v>1790</v>
      </c>
    </row>
    <row r="87" spans="1:45" x14ac:dyDescent="0.25">
      <c r="A87">
        <v>2161</v>
      </c>
      <c r="B87" s="11">
        <f t="shared" si="1"/>
        <v>82347</v>
      </c>
      <c r="C87" s="16">
        <v>823470</v>
      </c>
      <c r="D87" s="17">
        <v>0</v>
      </c>
      <c r="E87" s="17">
        <v>0</v>
      </c>
      <c r="F87" s="17">
        <v>38</v>
      </c>
      <c r="G87" s="17">
        <v>63</v>
      </c>
      <c r="H87" s="13" t="str" cm="1">
        <f t="array" ref="H87">_xlfn.IFS(G87&lt;=20,"0-20",G87&lt;=30,"20-30",G87&lt;=40,"30-40",G87&lt;=50,"50-60",G87&lt;=60,"60-70",G87&lt;=70,"70-80",G87&lt;=80,"80-90")</f>
        <v>70-80</v>
      </c>
      <c r="I87" s="17">
        <v>2759</v>
      </c>
      <c r="J87" s="13" t="str" cm="1">
        <f t="array" ref="J87">_xlfn.IFS(K87=1,"Divorciado",L87=1,"Casado",M87=1,"Solteiro",N87=1,"Juntos",O87=1,"Viuvo")</f>
        <v>Casado</v>
      </c>
      <c r="K87" s="17">
        <v>0</v>
      </c>
      <c r="L87" s="17">
        <v>1</v>
      </c>
      <c r="M87" s="17">
        <v>0</v>
      </c>
      <c r="N87" s="17">
        <v>0</v>
      </c>
      <c r="O87" s="17">
        <v>0</v>
      </c>
      <c r="P87" s="17">
        <v>1</v>
      </c>
      <c r="Q87" s="17">
        <v>0</v>
      </c>
      <c r="R87" s="17">
        <v>0</v>
      </c>
      <c r="S87" s="17">
        <v>0</v>
      </c>
      <c r="T87" s="17">
        <v>0</v>
      </c>
      <c r="U87" s="17">
        <v>556</v>
      </c>
      <c r="V87" s="13" t="str" cm="1">
        <f t="array" ref="V87">_xlfn.IFS(U87&lt;=250,"0-R$250",U87&lt;=500,"251-R$500",U87&lt;=750,"501-R$750",U87&lt;=1000,"751-R$1000",U87&lt;=1250,"1001-R$1250",U87&lt;=1500,"1251-R$1500")</f>
        <v>501-R$750</v>
      </c>
      <c r="W87" s="17">
        <v>54</v>
      </c>
      <c r="X87" s="13" t="str" cm="1">
        <f t="array" ref="X87">_xlfn.IFS(W87 = 0, "0", W87&lt;=20, "até R$20",W87&lt;=40, "21 - R$40",W87&lt;=60, "41- R$60",W87&lt;=80, "61 - R$80", W87&lt;=100, "81 - R$100",W87&lt;=120, "101 - R$120",W87&lt;=140, "121 - R$140", W87&lt;=160, "141- R$160", W87&lt;=180, "161 - R$180", W87&lt;=200, "181-R$194")</f>
        <v>41- R$60</v>
      </c>
      <c r="Y87" s="17">
        <v>845</v>
      </c>
      <c r="Z87" s="17">
        <v>202</v>
      </c>
      <c r="AA87" s="17">
        <v>133</v>
      </c>
      <c r="AB87" s="17">
        <v>63</v>
      </c>
      <c r="AC87" s="17">
        <v>1</v>
      </c>
      <c r="AD87" s="17">
        <v>7</v>
      </c>
      <c r="AE87" s="17">
        <v>7</v>
      </c>
      <c r="AF87" s="17">
        <v>10</v>
      </c>
      <c r="AG87" s="17">
        <v>3</v>
      </c>
      <c r="AH87" s="17">
        <v>0</v>
      </c>
      <c r="AI87" s="17">
        <v>1</v>
      </c>
      <c r="AJ87" s="17">
        <v>0</v>
      </c>
      <c r="AK87" s="17">
        <v>0</v>
      </c>
      <c r="AL87" s="17">
        <v>1</v>
      </c>
      <c r="AM87" s="17">
        <v>0</v>
      </c>
      <c r="AN87" s="17">
        <v>1</v>
      </c>
      <c r="AO87" s="18">
        <v>2</v>
      </c>
      <c r="AP87" s="17">
        <v>3</v>
      </c>
      <c r="AQ87" s="17">
        <v>11</v>
      </c>
      <c r="AR87" s="19">
        <v>1727</v>
      </c>
      <c r="AS87" s="19">
        <v>1790</v>
      </c>
    </row>
    <row r="88" spans="1:45" x14ac:dyDescent="0.25">
      <c r="A88">
        <v>1985</v>
      </c>
      <c r="B88" s="11">
        <f t="shared" si="1"/>
        <v>71964</v>
      </c>
      <c r="C88" s="16">
        <v>719640</v>
      </c>
      <c r="D88" s="17">
        <v>0</v>
      </c>
      <c r="E88" s="17">
        <v>0</v>
      </c>
      <c r="F88" s="17">
        <v>81</v>
      </c>
      <c r="G88" s="17">
        <v>62</v>
      </c>
      <c r="H88" s="13" t="str" cm="1">
        <f t="array" ref="H88">_xlfn.IFS(G88&lt;=20,"0-20",G88&lt;=30,"20-30",G88&lt;=40,"30-40",G88&lt;=50,"50-60",G88&lt;=60,"60-70",G88&lt;=70,"70-80",G88&lt;=80,"80-90")</f>
        <v>70-80</v>
      </c>
      <c r="I88" s="17">
        <v>2564</v>
      </c>
      <c r="J88" s="13" t="str" cm="1">
        <f t="array" ref="J88">_xlfn.IFS(K88=1,"Divorciado",L88=1,"Casado",M88=1,"Solteiro",N88=1,"Juntos",O88=1,"Viuvo")</f>
        <v>Divorciado</v>
      </c>
      <c r="K88" s="17">
        <v>1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1</v>
      </c>
      <c r="S88" s="17">
        <v>0</v>
      </c>
      <c r="T88" s="17">
        <v>0</v>
      </c>
      <c r="U88" s="17">
        <v>587</v>
      </c>
      <c r="V88" s="13" t="str" cm="1">
        <f t="array" ref="V88">_xlfn.IFS(U88&lt;=250,"0-R$250",U88&lt;=500,"251-R$500",U88&lt;=750,"501-R$750",U88&lt;=1000,"751-R$1000",U88&lt;=1250,"1001-R$1250",U88&lt;=1500,"1251-R$1500")</f>
        <v>501-R$750</v>
      </c>
      <c r="W88" s="17">
        <v>51</v>
      </c>
      <c r="X88" s="13" t="str" cm="1">
        <f t="array" ref="X88">_xlfn.IFS(W88 = 0, "0", W88&lt;=20, "até R$20",W88&lt;=40, "21 - R$40",W88&lt;=60, "41- R$60",W88&lt;=80, "61 - R$80", W88&lt;=100, "81 - R$100",W88&lt;=120, "101 - R$120",W88&lt;=140, "121 - R$140", W88&lt;=160, "141- R$160", W88&lt;=180, "161 - R$180", W88&lt;=200, "181-R$194")</f>
        <v>41- R$60</v>
      </c>
      <c r="Y88" s="17">
        <v>932</v>
      </c>
      <c r="Z88" s="17">
        <v>180</v>
      </c>
      <c r="AA88" s="17">
        <v>34</v>
      </c>
      <c r="AB88" s="17">
        <v>86</v>
      </c>
      <c r="AC88" s="17">
        <v>1</v>
      </c>
      <c r="AD88" s="17">
        <v>5</v>
      </c>
      <c r="AE88" s="17">
        <v>6</v>
      </c>
      <c r="AF88" s="17">
        <v>5</v>
      </c>
      <c r="AG88" s="17">
        <v>3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8">
        <v>0</v>
      </c>
      <c r="AP88" s="17">
        <v>3</v>
      </c>
      <c r="AQ88" s="17">
        <v>11</v>
      </c>
      <c r="AR88" s="19">
        <v>1698</v>
      </c>
      <c r="AS88" s="19">
        <v>1784</v>
      </c>
    </row>
    <row r="89" spans="1:45" x14ac:dyDescent="0.25">
      <c r="A89">
        <v>747</v>
      </c>
      <c r="B89" s="11">
        <f t="shared" si="1"/>
        <v>74985</v>
      </c>
      <c r="C89" s="16">
        <v>749850</v>
      </c>
      <c r="D89" s="17">
        <v>0</v>
      </c>
      <c r="E89" s="17">
        <v>0</v>
      </c>
      <c r="F89" s="17">
        <v>8</v>
      </c>
      <c r="G89" s="17">
        <v>43</v>
      </c>
      <c r="H89" s="13" t="str" cm="1">
        <f t="array" ref="H89">_xlfn.IFS(G89&lt;=20,"0-20",G89&lt;=30,"20-30",G89&lt;=40,"30-40",G89&lt;=50,"50-60",G89&lt;=60,"60-70",G89&lt;=70,"70-80",G89&lt;=80,"80-90")</f>
        <v>50-60</v>
      </c>
      <c r="I89" s="17">
        <v>2815</v>
      </c>
      <c r="J89" s="13" t="str" cm="1">
        <f t="array" ref="J89">_xlfn.IFS(K89=1,"Divorciado",L89=1,"Casado",M89=1,"Solteiro",N89=1,"Juntos",O89=1,"Viuvo")</f>
        <v>Casado</v>
      </c>
      <c r="K89" s="17">
        <v>0</v>
      </c>
      <c r="L89" s="17">
        <v>1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1</v>
      </c>
      <c r="S89" s="17">
        <v>0</v>
      </c>
      <c r="T89" s="17">
        <v>0</v>
      </c>
      <c r="U89" s="17">
        <v>587</v>
      </c>
      <c r="V89" s="13" t="str" cm="1">
        <f t="array" ref="V89">_xlfn.IFS(U89&lt;=250,"0-R$250",U89&lt;=500,"251-R$500",U89&lt;=750,"501-R$750",U89&lt;=1000,"751-R$1000",U89&lt;=1250,"1001-R$1250",U89&lt;=1500,"1251-R$1500")</f>
        <v>501-R$750</v>
      </c>
      <c r="W89" s="17">
        <v>51</v>
      </c>
      <c r="X89" s="13" t="str" cm="1">
        <f t="array" ref="X89">_xlfn.IFS(W89 = 0, "0", W89&lt;=20, "até R$20",W89&lt;=40, "21 - R$40",W89&lt;=60, "41- R$60",W89&lt;=80, "61 - R$80", W89&lt;=100, "81 - R$100",W89&lt;=120, "101 - R$120",W89&lt;=140, "121 - R$140", W89&lt;=160, "141- R$160", W89&lt;=180, "161 - R$180", W89&lt;=200, "181-R$194")</f>
        <v>41- R$60</v>
      </c>
      <c r="Y89" s="17">
        <v>898</v>
      </c>
      <c r="Z89" s="17">
        <v>247</v>
      </c>
      <c r="AA89" s="17">
        <v>0</v>
      </c>
      <c r="AB89" s="17">
        <v>86</v>
      </c>
      <c r="AC89" s="17">
        <v>1</v>
      </c>
      <c r="AD89" s="17">
        <v>3</v>
      </c>
      <c r="AE89" s="17">
        <v>6</v>
      </c>
      <c r="AF89" s="17">
        <v>7</v>
      </c>
      <c r="AG89" s="17">
        <v>2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8">
        <v>0</v>
      </c>
      <c r="AP89" s="17">
        <v>3</v>
      </c>
      <c r="AQ89" s="17">
        <v>11</v>
      </c>
      <c r="AR89" s="19">
        <v>1697</v>
      </c>
      <c r="AS89" s="19">
        <v>1783</v>
      </c>
    </row>
    <row r="90" spans="1:45" x14ac:dyDescent="0.25">
      <c r="A90">
        <v>1362</v>
      </c>
      <c r="B90" s="11">
        <f t="shared" si="1"/>
        <v>92344</v>
      </c>
      <c r="C90" s="12">
        <v>923440</v>
      </c>
      <c r="D90" s="13">
        <v>0</v>
      </c>
      <c r="E90" s="13">
        <v>0</v>
      </c>
      <c r="F90" s="13">
        <v>9</v>
      </c>
      <c r="G90" s="13">
        <v>72</v>
      </c>
      <c r="H90" s="13" t="str" cm="1">
        <f t="array" ref="H90">_xlfn.IFS(G90&lt;=20,"0-20",G90&lt;=30,"20-30",G90&lt;=40,"30-40",G90&lt;=50,"50-60",G90&lt;=60,"60-70",G90&lt;=70,"70-80",G90&lt;=80,"80-90")</f>
        <v>80-90</v>
      </c>
      <c r="I90" s="13">
        <v>2324</v>
      </c>
      <c r="J90" s="13" t="str" cm="1">
        <f t="array" ref="J90">_xlfn.IFS(K90=1,"Divorciado",L90=1,"Casado",M90=1,"Solteiro",N90=1,"Juntos",O90=1,"Viuvo")</f>
        <v>Casado</v>
      </c>
      <c r="K90" s="13">
        <v>0</v>
      </c>
      <c r="L90" s="13">
        <v>1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1</v>
      </c>
      <c r="S90" s="13">
        <v>0</v>
      </c>
      <c r="T90" s="13">
        <v>0</v>
      </c>
      <c r="U90" s="13">
        <v>992</v>
      </c>
      <c r="V90" s="13" t="str" cm="1">
        <f t="array" ref="V90">_xlfn.IFS(U90&lt;=250,"0-R$250",U90&lt;=500,"251-R$500",U90&lt;=750,"501-R$750",U90&lt;=1000,"751-R$1000",U90&lt;=1250,"1001-R$1250",U90&lt;=1500,"1251-R$1500")</f>
        <v>751-R$1000</v>
      </c>
      <c r="W90" s="13">
        <v>24</v>
      </c>
      <c r="X90" s="13" t="str" cm="1">
        <f t="array" ref="X90">_xlfn.IFS(W90 = 0, "0", W90&lt;=20, "até R$20",W90&lt;=40, "21 - R$40",W90&lt;=60, "41- R$60",W90&lt;=80, "61 - R$80", W90&lt;=100, "81 - R$100",W90&lt;=120, "101 - R$120",W90&lt;=140, "121 - R$140", W90&lt;=160, "141- R$160", W90&lt;=180, "161 - R$180", W90&lt;=200, "181-R$194")</f>
        <v>21 - R$40</v>
      </c>
      <c r="Y90" s="13">
        <v>694</v>
      </c>
      <c r="Z90" s="13">
        <v>51</v>
      </c>
      <c r="AA90" s="13">
        <v>19</v>
      </c>
      <c r="AB90" s="13">
        <v>119</v>
      </c>
      <c r="AC90" s="13">
        <v>0</v>
      </c>
      <c r="AD90" s="13">
        <v>5</v>
      </c>
      <c r="AE90" s="13">
        <v>10</v>
      </c>
      <c r="AF90" s="13">
        <v>5</v>
      </c>
      <c r="AG90" s="13">
        <v>1</v>
      </c>
      <c r="AH90" s="13">
        <v>0</v>
      </c>
      <c r="AI90" s="13">
        <v>1</v>
      </c>
      <c r="AJ90" s="13">
        <v>0</v>
      </c>
      <c r="AK90" s="13">
        <v>1</v>
      </c>
      <c r="AL90" s="13">
        <v>0</v>
      </c>
      <c r="AM90" s="13">
        <v>0</v>
      </c>
      <c r="AN90" s="13">
        <v>0</v>
      </c>
      <c r="AO90" s="14">
        <v>2</v>
      </c>
      <c r="AP90" s="13">
        <v>3</v>
      </c>
      <c r="AQ90" s="13">
        <v>11</v>
      </c>
      <c r="AR90" s="15">
        <v>1661</v>
      </c>
      <c r="AS90" s="15">
        <v>1780</v>
      </c>
    </row>
    <row r="91" spans="1:45" x14ac:dyDescent="0.25">
      <c r="A91">
        <v>512</v>
      </c>
      <c r="B91" s="11">
        <f t="shared" si="1"/>
        <v>61839</v>
      </c>
      <c r="C91" s="12">
        <v>618390</v>
      </c>
      <c r="D91" s="13">
        <v>0</v>
      </c>
      <c r="E91" s="13">
        <v>0</v>
      </c>
      <c r="F91" s="13">
        <v>20</v>
      </c>
      <c r="G91" s="13">
        <v>56</v>
      </c>
      <c r="H91" s="13" t="str" cm="1">
        <f t="array" ref="H91">_xlfn.IFS(G91&lt;=20,"0-20",G91&lt;=30,"20-30",G91&lt;=40,"30-40",G91&lt;=50,"50-60",G91&lt;=60,"60-70",G91&lt;=70,"70-80",G91&lt;=80,"80-90")</f>
        <v>60-70</v>
      </c>
      <c r="I91" s="13">
        <v>2845</v>
      </c>
      <c r="J91" s="13" t="str" cm="1">
        <f t="array" ref="J91">_xlfn.IFS(K91=1,"Divorciado",L91=1,"Casado",M91=1,"Solteiro",N91=1,"Juntos",O91=1,"Viuvo")</f>
        <v>Solteiro</v>
      </c>
      <c r="K91" s="13">
        <v>0</v>
      </c>
      <c r="L91" s="13">
        <v>0</v>
      </c>
      <c r="M91" s="13">
        <v>1</v>
      </c>
      <c r="N91" s="13">
        <v>0</v>
      </c>
      <c r="O91" s="13">
        <v>0</v>
      </c>
      <c r="P91" s="13">
        <v>0</v>
      </c>
      <c r="Q91" s="13">
        <v>0</v>
      </c>
      <c r="R91" s="13">
        <v>1</v>
      </c>
      <c r="S91" s="13">
        <v>0</v>
      </c>
      <c r="T91" s="13">
        <v>0</v>
      </c>
      <c r="U91" s="13">
        <v>1000</v>
      </c>
      <c r="V91" s="13" t="str" cm="1">
        <f t="array" ref="V91">_xlfn.IFS(U91&lt;=250,"0-R$250",U91&lt;=500,"251-R$500",U91&lt;=750,"501-R$750",U91&lt;=1000,"751-R$1000",U91&lt;=1250,"1001-R$1250",U91&lt;=1500,"1251-R$1500")</f>
        <v>751-R$1000</v>
      </c>
      <c r="W91" s="13">
        <v>155</v>
      </c>
      <c r="X91" s="13" t="str" cm="1">
        <f t="array" ref="X91">_xlfn.IFS(W91 = 0, "0", W91&lt;=20, "até R$20",W91&lt;=40, "21 - R$40",W91&lt;=60, "41- R$60",W91&lt;=80, "61 - R$80", W91&lt;=100, "81 - R$100",W91&lt;=120, "101 - R$120",W91&lt;=140, "121 - R$140", W91&lt;=160, "141- R$160", W91&lt;=180, "161 - R$180", W91&lt;=200, "181-R$194")</f>
        <v>141- R$160</v>
      </c>
      <c r="Y91" s="13">
        <v>379</v>
      </c>
      <c r="Z91" s="13">
        <v>224</v>
      </c>
      <c r="AA91" s="13">
        <v>17</v>
      </c>
      <c r="AB91" s="13">
        <v>120</v>
      </c>
      <c r="AC91" s="13">
        <v>1</v>
      </c>
      <c r="AD91" s="13">
        <v>4</v>
      </c>
      <c r="AE91" s="13">
        <v>8</v>
      </c>
      <c r="AF91" s="13">
        <v>4</v>
      </c>
      <c r="AG91" s="13">
        <v>8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4">
        <v>0</v>
      </c>
      <c r="AP91" s="13">
        <v>3</v>
      </c>
      <c r="AQ91" s="13">
        <v>11</v>
      </c>
      <c r="AR91" s="15">
        <v>1655</v>
      </c>
      <c r="AS91" s="15">
        <v>1775</v>
      </c>
    </row>
    <row r="92" spans="1:45" x14ac:dyDescent="0.25">
      <c r="A92">
        <v>52</v>
      </c>
      <c r="B92" s="11">
        <f t="shared" si="1"/>
        <v>82384</v>
      </c>
      <c r="C92" s="12">
        <v>823840</v>
      </c>
      <c r="D92" s="13">
        <v>0</v>
      </c>
      <c r="E92" s="13">
        <v>0</v>
      </c>
      <c r="F92" s="13">
        <v>55</v>
      </c>
      <c r="G92" s="13">
        <v>65</v>
      </c>
      <c r="H92" s="13" t="str" cm="1">
        <f t="array" ref="H92">_xlfn.IFS(G92&lt;=20,"0-20",G92&lt;=30,"20-30",G92&lt;=40,"30-40",G92&lt;=50,"50-60",G92&lt;=60,"60-70",G92&lt;=70,"70-80",G92&lt;=80,"80-90")</f>
        <v>70-80</v>
      </c>
      <c r="I92" s="13">
        <v>2746</v>
      </c>
      <c r="J92" s="13" t="str" cm="1">
        <f t="array" ref="J92">_xlfn.IFS(K92=1,"Divorciado",L92=1,"Casado",M92=1,"Solteiro",N92=1,"Juntos",O92=1,"Viuvo")</f>
        <v>Juntos</v>
      </c>
      <c r="K92" s="13">
        <v>0</v>
      </c>
      <c r="L92" s="13">
        <v>0</v>
      </c>
      <c r="M92" s="13">
        <v>0</v>
      </c>
      <c r="N92" s="13">
        <v>1</v>
      </c>
      <c r="O92" s="13">
        <v>0</v>
      </c>
      <c r="P92" s="13">
        <v>0</v>
      </c>
      <c r="Q92" s="13">
        <v>0</v>
      </c>
      <c r="R92" s="13">
        <v>0</v>
      </c>
      <c r="S92" s="13">
        <v>1</v>
      </c>
      <c r="T92" s="13">
        <v>0</v>
      </c>
      <c r="U92" s="13">
        <v>984</v>
      </c>
      <c r="V92" s="13" t="str" cm="1">
        <f t="array" ref="V92">_xlfn.IFS(U92&lt;=250,"0-R$250",U92&lt;=500,"251-R$500",U92&lt;=750,"501-R$750",U92&lt;=1000,"751-R$1000",U92&lt;=1250,"1001-R$1250",U92&lt;=1500,"1251-R$1500")</f>
        <v>751-R$1000</v>
      </c>
      <c r="W92" s="13">
        <v>51</v>
      </c>
      <c r="X92" s="13" t="str" cm="1">
        <f t="array" ref="X92">_xlfn.IFS(W92 = 0, "0", W92&lt;=20, "até R$20",W92&lt;=40, "21 - R$40",W92&lt;=60, "41- R$60",W92&lt;=80, "61 - R$80", W92&lt;=100, "81 - R$100",W92&lt;=120, "101 - R$120",W92&lt;=140, "121 - R$140", W92&lt;=160, "141- R$160", W92&lt;=180, "161 - R$180", W92&lt;=200, "181-R$194")</f>
        <v>41- R$60</v>
      </c>
      <c r="Y92" s="13">
        <v>432</v>
      </c>
      <c r="Z92" s="13">
        <v>180</v>
      </c>
      <c r="AA92" s="13">
        <v>120</v>
      </c>
      <c r="AB92" s="13">
        <v>190</v>
      </c>
      <c r="AC92" s="13">
        <v>1</v>
      </c>
      <c r="AD92" s="13">
        <v>3</v>
      </c>
      <c r="AE92" s="13">
        <v>10</v>
      </c>
      <c r="AF92" s="13">
        <v>13</v>
      </c>
      <c r="AG92" s="13">
        <v>1</v>
      </c>
      <c r="AH92" s="13">
        <v>0</v>
      </c>
      <c r="AI92" s="13">
        <v>0</v>
      </c>
      <c r="AJ92" s="13">
        <v>0</v>
      </c>
      <c r="AK92" s="13">
        <v>1</v>
      </c>
      <c r="AL92" s="13">
        <v>0</v>
      </c>
      <c r="AM92" s="13">
        <v>0</v>
      </c>
      <c r="AN92" s="13">
        <v>1</v>
      </c>
      <c r="AO92" s="14">
        <v>1</v>
      </c>
      <c r="AP92" s="13">
        <v>3</v>
      </c>
      <c r="AQ92" s="13">
        <v>11</v>
      </c>
      <c r="AR92" s="15">
        <v>1577</v>
      </c>
      <c r="AS92" s="15">
        <v>1767</v>
      </c>
    </row>
    <row r="93" spans="1:45" x14ac:dyDescent="0.25">
      <c r="A93">
        <v>1243</v>
      </c>
      <c r="B93" s="11">
        <f t="shared" si="1"/>
        <v>73450</v>
      </c>
      <c r="C93" s="16">
        <v>734500</v>
      </c>
      <c r="D93" s="17">
        <v>0</v>
      </c>
      <c r="E93" s="17">
        <v>0</v>
      </c>
      <c r="F93" s="17">
        <v>85</v>
      </c>
      <c r="G93" s="17">
        <v>38</v>
      </c>
      <c r="H93" s="13" t="str" cm="1">
        <f t="array" ref="H93">_xlfn.IFS(G93&lt;=20,"0-20",G93&lt;=30,"20-30",G93&lt;=40,"30-40",G93&lt;=50,"50-60",G93&lt;=60,"60-70",G93&lt;=70,"70-80",G93&lt;=80,"80-90")</f>
        <v>30-40</v>
      </c>
      <c r="I93" s="17">
        <v>2365</v>
      </c>
      <c r="J93" s="13" t="str" cm="1">
        <f t="array" ref="J93">_xlfn.IFS(K93=1,"Divorciado",L93=1,"Casado",M93=1,"Solteiro",N93=1,"Juntos",O93=1,"Viuvo")</f>
        <v>Juntos</v>
      </c>
      <c r="K93" s="17">
        <v>0</v>
      </c>
      <c r="L93" s="17">
        <v>0</v>
      </c>
      <c r="M93" s="17">
        <v>0</v>
      </c>
      <c r="N93" s="17">
        <v>1</v>
      </c>
      <c r="O93" s="17">
        <v>0</v>
      </c>
      <c r="P93" s="17">
        <v>0</v>
      </c>
      <c r="Q93" s="17">
        <v>0</v>
      </c>
      <c r="R93" s="17">
        <v>0</v>
      </c>
      <c r="S93" s="17">
        <v>1</v>
      </c>
      <c r="T93" s="17">
        <v>0</v>
      </c>
      <c r="U93" s="17">
        <v>1142</v>
      </c>
      <c r="V93" s="13" t="str" cm="1">
        <f t="array" ref="V93">_xlfn.IFS(U93&lt;=250,"0-R$250",U93&lt;=500,"251-R$500",U93&lt;=750,"501-R$750",U93&lt;=1000,"751-R$1000",U93&lt;=1250,"1001-R$1250",U93&lt;=1500,"1251-R$1500")</f>
        <v>1001-R$1250</v>
      </c>
      <c r="W93" s="17">
        <v>51</v>
      </c>
      <c r="X93" s="13" t="str" cm="1">
        <f t="array" ref="X93">_xlfn.IFS(W93 = 0, "0", W93&lt;=20, "até R$20",W93&lt;=40, "21 - R$40",W93&lt;=60, "41- R$60",W93&lt;=80, "61 - R$80", W93&lt;=100, "81 - R$100",W93&lt;=120, "101 - R$120",W93&lt;=140, "121 - R$140", W93&lt;=160, "141- R$160", W93&lt;=180, "161 - R$180", W93&lt;=200, "181-R$194")</f>
        <v>41- R$60</v>
      </c>
      <c r="Y93" s="17">
        <v>415</v>
      </c>
      <c r="Z93" s="17">
        <v>90</v>
      </c>
      <c r="AA93" s="17">
        <v>69</v>
      </c>
      <c r="AB93" s="17">
        <v>37</v>
      </c>
      <c r="AC93" s="17">
        <v>1</v>
      </c>
      <c r="AD93" s="17">
        <v>7</v>
      </c>
      <c r="AE93" s="17">
        <v>8</v>
      </c>
      <c r="AF93" s="17">
        <v>11</v>
      </c>
      <c r="AG93" s="17">
        <v>3</v>
      </c>
      <c r="AH93" s="17">
        <v>0</v>
      </c>
      <c r="AI93" s="17">
        <v>1</v>
      </c>
      <c r="AJ93" s="17">
        <v>0</v>
      </c>
      <c r="AK93" s="17">
        <v>0</v>
      </c>
      <c r="AL93" s="17">
        <v>1</v>
      </c>
      <c r="AM93" s="17">
        <v>0</v>
      </c>
      <c r="AN93" s="17">
        <v>0</v>
      </c>
      <c r="AO93" s="18">
        <v>2</v>
      </c>
      <c r="AP93" s="17">
        <v>3</v>
      </c>
      <c r="AQ93" s="17">
        <v>11</v>
      </c>
      <c r="AR93" s="19">
        <v>1730</v>
      </c>
      <c r="AS93" s="19">
        <v>1767</v>
      </c>
    </row>
    <row r="94" spans="1:45" x14ac:dyDescent="0.25">
      <c r="A94">
        <v>410</v>
      </c>
      <c r="B94" s="11">
        <f t="shared" si="1"/>
        <v>92910</v>
      </c>
      <c r="C94" s="12">
        <v>929100</v>
      </c>
      <c r="D94" s="13">
        <v>0</v>
      </c>
      <c r="E94" s="13">
        <v>0</v>
      </c>
      <c r="F94" s="13">
        <v>42</v>
      </c>
      <c r="G94" s="13">
        <v>34</v>
      </c>
      <c r="H94" s="13" t="str" cm="1">
        <f t="array" ref="H94">_xlfn.IFS(G94&lt;=20,"0-20",G94&lt;=30,"20-30",G94&lt;=40,"30-40",G94&lt;=50,"50-60",G94&lt;=60,"60-70",G94&lt;=70,"70-80",G94&lt;=80,"80-90")</f>
        <v>30-40</v>
      </c>
      <c r="I94" s="13">
        <v>2225</v>
      </c>
      <c r="J94" s="13" t="str" cm="1">
        <f t="array" ref="J94">_xlfn.IFS(K94=1,"Divorciado",L94=1,"Casado",M94=1,"Solteiro",N94=1,"Juntos",O94=1,"Viuvo")</f>
        <v>Casado</v>
      </c>
      <c r="K94" s="13">
        <v>0</v>
      </c>
      <c r="L94" s="13">
        <v>1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1</v>
      </c>
      <c r="S94" s="13">
        <v>0</v>
      </c>
      <c r="T94" s="13">
        <v>0</v>
      </c>
      <c r="U94" s="13">
        <v>551</v>
      </c>
      <c r="V94" s="13" t="str" cm="1">
        <f t="array" ref="V94">_xlfn.IFS(U94&lt;=250,"0-R$250",U94&lt;=500,"251-R$500",U94&lt;=750,"501-R$750",U94&lt;=1000,"751-R$1000",U94&lt;=1250,"1001-R$1250",U94&lt;=1500,"1251-R$1500")</f>
        <v>501-R$750</v>
      </c>
      <c r="W94" s="13">
        <v>137</v>
      </c>
      <c r="X94" s="13" t="str" cm="1">
        <f t="array" ref="X94">_xlfn.IFS(W94 = 0, "0", W94&lt;=20, "até R$20",W94&lt;=40, "21 - R$40",W94&lt;=60, "41- R$60",W94&lt;=80, "61 - R$80", W94&lt;=100, "81 - R$100",W94&lt;=120, "101 - R$120",W94&lt;=140, "121 - R$140", W94&lt;=160, "141- R$160", W94&lt;=180, "161 - R$180", W94&lt;=200, "181-R$194")</f>
        <v>121 - R$140</v>
      </c>
      <c r="Y94" s="13">
        <v>792</v>
      </c>
      <c r="Z94" s="13">
        <v>179</v>
      </c>
      <c r="AA94" s="13">
        <v>103</v>
      </c>
      <c r="AB94" s="13">
        <v>33</v>
      </c>
      <c r="AC94" s="13">
        <v>1</v>
      </c>
      <c r="AD94" s="13">
        <v>6</v>
      </c>
      <c r="AE94" s="13">
        <v>7</v>
      </c>
      <c r="AF94" s="13">
        <v>13</v>
      </c>
      <c r="AG94" s="13">
        <v>1</v>
      </c>
      <c r="AH94" s="13">
        <v>0</v>
      </c>
      <c r="AI94" s="13">
        <v>0</v>
      </c>
      <c r="AJ94" s="13">
        <v>1</v>
      </c>
      <c r="AK94" s="13">
        <v>1</v>
      </c>
      <c r="AL94" s="13">
        <v>1</v>
      </c>
      <c r="AM94" s="13">
        <v>0</v>
      </c>
      <c r="AN94" s="13">
        <v>0</v>
      </c>
      <c r="AO94" s="14">
        <v>3</v>
      </c>
      <c r="AP94" s="13">
        <v>3</v>
      </c>
      <c r="AQ94" s="13">
        <v>11</v>
      </c>
      <c r="AR94" s="15">
        <v>1729</v>
      </c>
      <c r="AS94" s="15">
        <v>1762</v>
      </c>
    </row>
    <row r="95" spans="1:45" x14ac:dyDescent="0.25">
      <c r="A95">
        <v>1784</v>
      </c>
      <c r="B95" s="11">
        <f t="shared" si="1"/>
        <v>63159</v>
      </c>
      <c r="C95" s="12">
        <v>631590</v>
      </c>
      <c r="D95" s="13">
        <v>0</v>
      </c>
      <c r="E95" s="13">
        <v>0</v>
      </c>
      <c r="F95" s="13">
        <v>74</v>
      </c>
      <c r="G95" s="13">
        <v>46</v>
      </c>
      <c r="H95" s="13" t="str" cm="1">
        <f t="array" ref="H95">_xlfn.IFS(G95&lt;=20,"0-20",G95&lt;=30,"20-30",G95&lt;=40,"30-40",G95&lt;=50,"50-60",G95&lt;=60,"60-70",G95&lt;=70,"70-80",G95&lt;=80,"80-90")</f>
        <v>50-60</v>
      </c>
      <c r="I95" s="13">
        <v>2760</v>
      </c>
      <c r="J95" s="13" t="str" cm="1">
        <f t="array" ref="J95">_xlfn.IFS(K95=1,"Divorciado",L95=1,"Casado",M95=1,"Solteiro",N95=1,"Juntos",O95=1,"Viuvo")</f>
        <v>Solteiro</v>
      </c>
      <c r="K95" s="13">
        <v>0</v>
      </c>
      <c r="L95" s="13">
        <v>0</v>
      </c>
      <c r="M95" s="13">
        <v>1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1</v>
      </c>
      <c r="U95" s="13">
        <v>965</v>
      </c>
      <c r="V95" s="13" t="str" cm="1">
        <f t="array" ref="V95">_xlfn.IFS(U95&lt;=250,"0-R$250",U95&lt;=500,"251-R$500",U95&lt;=750,"501-R$750",U95&lt;=1000,"751-R$1000",U95&lt;=1250,"1001-R$1250",U95&lt;=1500,"1251-R$1500")</f>
        <v>751-R$1000</v>
      </c>
      <c r="W95" s="13">
        <v>34</v>
      </c>
      <c r="X95" s="13" t="str" cm="1">
        <f t="array" ref="X95">_xlfn.IFS(W95 = 0, "0", W95&lt;=20, "até R$20",W95&lt;=40, "21 - R$40",W95&lt;=60, "41- R$60",W95&lt;=80, "61 - R$80", W95&lt;=100, "81 - R$100",W95&lt;=120, "101 - R$120",W95&lt;=140, "121 - R$140", W95&lt;=160, "141- R$160", W95&lt;=180, "161 - R$180", W95&lt;=200, "181-R$194")</f>
        <v>21 - R$40</v>
      </c>
      <c r="Y95" s="13">
        <v>586</v>
      </c>
      <c r="Z95" s="13">
        <v>89</v>
      </c>
      <c r="AA95" s="13">
        <v>86</v>
      </c>
      <c r="AB95" s="13">
        <v>37</v>
      </c>
      <c r="AC95" s="13">
        <v>1</v>
      </c>
      <c r="AD95" s="13">
        <v>3</v>
      </c>
      <c r="AE95" s="13">
        <v>5</v>
      </c>
      <c r="AF95" s="13">
        <v>8</v>
      </c>
      <c r="AG95" s="13">
        <v>3</v>
      </c>
      <c r="AH95" s="13">
        <v>0</v>
      </c>
      <c r="AI95" s="13">
        <v>1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4">
        <v>1</v>
      </c>
      <c r="AP95" s="13">
        <v>3</v>
      </c>
      <c r="AQ95" s="13">
        <v>11</v>
      </c>
      <c r="AR95" s="15">
        <v>1723</v>
      </c>
      <c r="AS95" s="15">
        <v>1760</v>
      </c>
    </row>
    <row r="96" spans="1:45" x14ac:dyDescent="0.25">
      <c r="A96">
        <v>1634</v>
      </c>
      <c r="B96" s="11">
        <f t="shared" si="1"/>
        <v>72066</v>
      </c>
      <c r="C96" s="12">
        <v>720660</v>
      </c>
      <c r="D96" s="13">
        <v>0</v>
      </c>
      <c r="E96" s="13">
        <v>0</v>
      </c>
      <c r="F96" s="13">
        <v>55</v>
      </c>
      <c r="G96" s="13">
        <v>39</v>
      </c>
      <c r="H96" s="13" t="str" cm="1">
        <f t="array" ref="H96">_xlfn.IFS(G96&lt;=20,"0-20",G96&lt;=30,"20-30",G96&lt;=40,"30-40",G96&lt;=50,"50-60",G96&lt;=60,"60-70",G96&lt;=70,"70-80",G96&lt;=80,"80-90")</f>
        <v>30-40</v>
      </c>
      <c r="I96" s="13">
        <v>2165</v>
      </c>
      <c r="J96" s="13" t="str" cm="1">
        <f t="array" ref="J96">_xlfn.IFS(K96=1,"Divorciado",L96=1,"Casado",M96=1,"Solteiro",N96=1,"Juntos",O96=1,"Viuvo")</f>
        <v>Solteiro</v>
      </c>
      <c r="K96" s="13">
        <v>0</v>
      </c>
      <c r="L96" s="13">
        <v>0</v>
      </c>
      <c r="M96" s="13">
        <v>1</v>
      </c>
      <c r="N96" s="13">
        <v>0</v>
      </c>
      <c r="O96" s="13">
        <v>0</v>
      </c>
      <c r="P96" s="13">
        <v>0</v>
      </c>
      <c r="Q96" s="13">
        <v>0</v>
      </c>
      <c r="R96" s="13">
        <v>1</v>
      </c>
      <c r="S96" s="13">
        <v>0</v>
      </c>
      <c r="T96" s="13">
        <v>0</v>
      </c>
      <c r="U96" s="13">
        <v>1003</v>
      </c>
      <c r="V96" s="13" t="str" cm="1">
        <f t="array" ref="V96">_xlfn.IFS(U96&lt;=250,"0-R$250",U96&lt;=500,"251-R$500",U96&lt;=750,"501-R$750",U96&lt;=1000,"751-R$1000",U96&lt;=1250,"1001-R$1250",U96&lt;=1500,"1251-R$1500")</f>
        <v>1001-R$1250</v>
      </c>
      <c r="W96" s="13">
        <v>34</v>
      </c>
      <c r="X96" s="13" t="str" cm="1">
        <f t="array" ref="X96">_xlfn.IFS(W96 = 0, "0", W96&lt;=20, "até R$20",W96&lt;=40, "21 - R$40",W96&lt;=60, "41- R$60",W96&lt;=80, "61 - R$80", W96&lt;=100, "81 - R$100",W96&lt;=120, "101 - R$120",W96&lt;=140, "121 - R$140", W96&lt;=160, "141- R$160", W96&lt;=180, "161 - R$180", W96&lt;=200, "181-R$194")</f>
        <v>21 - R$40</v>
      </c>
      <c r="Y96" s="13">
        <v>536</v>
      </c>
      <c r="Z96" s="13">
        <v>134</v>
      </c>
      <c r="AA96" s="13">
        <v>51</v>
      </c>
      <c r="AB96" s="13">
        <v>34</v>
      </c>
      <c r="AC96" s="13">
        <v>1</v>
      </c>
      <c r="AD96" s="13">
        <v>4</v>
      </c>
      <c r="AE96" s="13">
        <v>6</v>
      </c>
      <c r="AF96" s="13">
        <v>6</v>
      </c>
      <c r="AG96" s="13">
        <v>2</v>
      </c>
      <c r="AH96" s="13">
        <v>0</v>
      </c>
      <c r="AI96" s="13">
        <v>0</v>
      </c>
      <c r="AJ96" s="13">
        <v>0</v>
      </c>
      <c r="AK96" s="13">
        <v>1</v>
      </c>
      <c r="AL96" s="13">
        <v>1</v>
      </c>
      <c r="AM96" s="13">
        <v>0</v>
      </c>
      <c r="AN96" s="13">
        <v>1</v>
      </c>
      <c r="AO96" s="14">
        <v>2</v>
      </c>
      <c r="AP96" s="13">
        <v>3</v>
      </c>
      <c r="AQ96" s="13">
        <v>11</v>
      </c>
      <c r="AR96" s="15">
        <v>1724</v>
      </c>
      <c r="AS96" s="15">
        <v>1758</v>
      </c>
    </row>
    <row r="97" spans="1:45" x14ac:dyDescent="0.25">
      <c r="A97">
        <v>971</v>
      </c>
      <c r="B97" s="11">
        <f t="shared" si="1"/>
        <v>85683</v>
      </c>
      <c r="C97" s="16">
        <v>856830</v>
      </c>
      <c r="D97" s="17">
        <v>0</v>
      </c>
      <c r="E97" s="17">
        <v>0</v>
      </c>
      <c r="F97" s="17">
        <v>6</v>
      </c>
      <c r="G97" s="17">
        <v>66</v>
      </c>
      <c r="H97" s="13" t="str" cm="1">
        <f t="array" ref="H97">_xlfn.IFS(G97&lt;=20,"0-20",G97&lt;=30,"20-30",G97&lt;=40,"30-40",G97&lt;=50,"50-60",G97&lt;=60,"60-70",G97&lt;=70,"70-80",G97&lt;=80,"80-90")</f>
        <v>70-80</v>
      </c>
      <c r="I97" s="17">
        <v>2259</v>
      </c>
      <c r="J97" s="13" t="str" cm="1">
        <f t="array" ref="J97">_xlfn.IFS(K97=1,"Divorciado",L97=1,"Casado",M97=1,"Solteiro",N97=1,"Juntos",O97=1,"Viuvo")</f>
        <v>Divorciado</v>
      </c>
      <c r="K97" s="17">
        <v>1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1</v>
      </c>
      <c r="S97" s="17">
        <v>0</v>
      </c>
      <c r="T97" s="17">
        <v>0</v>
      </c>
      <c r="U97" s="17">
        <v>1296</v>
      </c>
      <c r="V97" s="13" t="str" cm="1">
        <f t="array" ref="V97">_xlfn.IFS(U97&lt;=250,"0-R$250",U97&lt;=500,"251-R$500",U97&lt;=750,"501-R$750",U97&lt;=1000,"751-R$1000",U97&lt;=1250,"1001-R$1250",U97&lt;=1500,"1251-R$1500")</f>
        <v>1251-R$1500</v>
      </c>
      <c r="W97" s="17">
        <v>17</v>
      </c>
      <c r="X97" s="13" t="str" cm="1">
        <f t="array" ref="X97">_xlfn.IFS(W97 = 0, "0", W97&lt;=20, "até R$20",W97&lt;=40, "21 - R$40",W97&lt;=60, "41- R$60",W97&lt;=80, "61 - R$80", W97&lt;=100, "81 - R$100",W97&lt;=120, "101 - R$120",W97&lt;=140, "121 - R$140", W97&lt;=160, "141- R$160", W97&lt;=180, "161 - R$180", W97&lt;=200, "181-R$194")</f>
        <v>até R$20</v>
      </c>
      <c r="Y97" s="17">
        <v>311</v>
      </c>
      <c r="Z97" s="17">
        <v>45</v>
      </c>
      <c r="AA97" s="17">
        <v>69</v>
      </c>
      <c r="AB97" s="17">
        <v>51</v>
      </c>
      <c r="AC97" s="17">
        <v>1</v>
      </c>
      <c r="AD97" s="17">
        <v>2</v>
      </c>
      <c r="AE97" s="17">
        <v>4</v>
      </c>
      <c r="AF97" s="17">
        <v>10</v>
      </c>
      <c r="AG97" s="17">
        <v>1</v>
      </c>
      <c r="AH97" s="17">
        <v>0</v>
      </c>
      <c r="AI97" s="17">
        <v>0</v>
      </c>
      <c r="AJ97" s="17">
        <v>1</v>
      </c>
      <c r="AK97" s="17">
        <v>1</v>
      </c>
      <c r="AL97" s="17">
        <v>1</v>
      </c>
      <c r="AM97" s="17">
        <v>1</v>
      </c>
      <c r="AN97" s="17">
        <v>1</v>
      </c>
      <c r="AO97" s="18">
        <v>4</v>
      </c>
      <c r="AP97" s="17">
        <v>3</v>
      </c>
      <c r="AQ97" s="17">
        <v>11</v>
      </c>
      <c r="AR97" s="19">
        <v>1687</v>
      </c>
      <c r="AS97" s="19">
        <v>1738</v>
      </c>
    </row>
    <row r="98" spans="1:45" x14ac:dyDescent="0.25">
      <c r="A98">
        <v>216</v>
      </c>
      <c r="B98" s="11">
        <f t="shared" si="1"/>
        <v>79930</v>
      </c>
      <c r="C98" s="12">
        <v>799300</v>
      </c>
      <c r="D98" s="13">
        <v>0</v>
      </c>
      <c r="E98" s="13">
        <v>0</v>
      </c>
      <c r="F98" s="13">
        <v>72</v>
      </c>
      <c r="G98" s="13">
        <v>48</v>
      </c>
      <c r="H98" s="13" t="str" cm="1">
        <f t="array" ref="H98">_xlfn.IFS(G98&lt;=20,"0-20",G98&lt;=30,"20-30",G98&lt;=40,"30-40",G98&lt;=50,"50-60",G98&lt;=60,"60-70",G98&lt;=70,"70-80",G98&lt;=80,"80-90")</f>
        <v>50-60</v>
      </c>
      <c r="I98" s="13">
        <v>2849</v>
      </c>
      <c r="J98" s="13" t="str" cm="1">
        <f t="array" ref="J98">_xlfn.IFS(K98=1,"Divorciado",L98=1,"Casado",M98=1,"Solteiro",N98=1,"Juntos",O98=1,"Viuvo")</f>
        <v>Casado</v>
      </c>
      <c r="K98" s="13">
        <v>0</v>
      </c>
      <c r="L98" s="13">
        <v>1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1</v>
      </c>
      <c r="U98" s="13">
        <v>792</v>
      </c>
      <c r="V98" s="13" t="str" cm="1">
        <f t="array" ref="V98">_xlfn.IFS(U98&lt;=250,"0-R$250",U98&lt;=500,"251-R$500",U98&lt;=750,"501-R$750",U98&lt;=1000,"751-R$1000",U98&lt;=1250,"1001-R$1250",U98&lt;=1500,"1251-R$1500")</f>
        <v>751-R$1000</v>
      </c>
      <c r="W98" s="13">
        <v>86</v>
      </c>
      <c r="X98" s="13" t="str" cm="1">
        <f t="array" ref="X98">_xlfn.IFS(W98 = 0, "0", W98&lt;=20, "até R$20",W98&lt;=40, "21 - R$40",W98&lt;=60, "41- R$60",W98&lt;=80, "61 - R$80", W98&lt;=100, "81 - R$100",W98&lt;=120, "101 - R$120",W98&lt;=140, "121 - R$140", W98&lt;=160, "141- R$160", W98&lt;=180, "161 - R$180", W98&lt;=200, "181-R$194")</f>
        <v>81 - R$100</v>
      </c>
      <c r="Y98" s="13">
        <v>740</v>
      </c>
      <c r="Z98" s="13">
        <v>67</v>
      </c>
      <c r="AA98" s="13">
        <v>51</v>
      </c>
      <c r="AB98" s="13">
        <v>17</v>
      </c>
      <c r="AC98" s="13">
        <v>1</v>
      </c>
      <c r="AD98" s="13">
        <v>3</v>
      </c>
      <c r="AE98" s="13">
        <v>5</v>
      </c>
      <c r="AF98" s="13">
        <v>8</v>
      </c>
      <c r="AG98" s="13">
        <v>2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14">
        <v>0</v>
      </c>
      <c r="AP98" s="13">
        <v>3</v>
      </c>
      <c r="AQ98" s="13">
        <v>11</v>
      </c>
      <c r="AR98" s="15">
        <v>1719</v>
      </c>
      <c r="AS98" s="15">
        <v>1736</v>
      </c>
    </row>
    <row r="99" spans="1:45" x14ac:dyDescent="0.25">
      <c r="A99">
        <v>103</v>
      </c>
      <c r="B99" s="11">
        <f t="shared" si="1"/>
        <v>68126</v>
      </c>
      <c r="C99" s="16">
        <v>681260</v>
      </c>
      <c r="D99" s="17">
        <v>0</v>
      </c>
      <c r="E99" s="17">
        <v>0</v>
      </c>
      <c r="F99" s="17">
        <v>40</v>
      </c>
      <c r="G99" s="17">
        <v>29</v>
      </c>
      <c r="H99" s="13" t="str" cm="1">
        <f t="array" ref="H99">_xlfn.IFS(G99&lt;=20,"0-20",G99&lt;=30,"20-30",G99&lt;=40,"30-40",G99&lt;=50,"50-60",G99&lt;=60,"60-70",G99&lt;=70,"70-80",G99&lt;=80,"80-90")</f>
        <v>20-30</v>
      </c>
      <c r="I99" s="17">
        <v>2755</v>
      </c>
      <c r="J99" s="13" t="str" cm="1">
        <f t="array" ref="J99">_xlfn.IFS(K99=1,"Divorciado",L99=1,"Casado",M99=1,"Solteiro",N99=1,"Juntos",O99=1,"Viuvo")</f>
        <v>Solteiro</v>
      </c>
      <c r="K99" s="17">
        <v>0</v>
      </c>
      <c r="L99" s="17">
        <v>0</v>
      </c>
      <c r="M99" s="17">
        <v>1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1</v>
      </c>
      <c r="U99" s="17">
        <v>1332</v>
      </c>
      <c r="V99" s="13" t="str" cm="1">
        <f t="array" ref="V99">_xlfn.IFS(U99&lt;=250,"0-R$250",U99&lt;=500,"251-R$500",U99&lt;=750,"501-R$750",U99&lt;=1000,"751-R$1000",U99&lt;=1250,"1001-R$1250",U99&lt;=1500,"1251-R$1500")</f>
        <v>1251-R$1500</v>
      </c>
      <c r="W99" s="17">
        <v>17</v>
      </c>
      <c r="X99" s="13" t="str" cm="1">
        <f t="array" ref="X99">_xlfn.IFS(W99 = 0, "0", W99&lt;=20, "até R$20",W99&lt;=40, "21 - R$40",W99&lt;=60, "41- R$60",W99&lt;=80, "61 - R$80", W99&lt;=100, "81 - R$100",W99&lt;=120, "101 - R$120",W99&lt;=140, "121 - R$140", W99&lt;=160, "141- R$160", W99&lt;=180, "161 - R$180", W99&lt;=200, "181-R$194")</f>
        <v>até R$20</v>
      </c>
      <c r="Y99" s="17">
        <v>311</v>
      </c>
      <c r="Z99" s="17">
        <v>23</v>
      </c>
      <c r="AA99" s="17">
        <v>51</v>
      </c>
      <c r="AB99" s="17">
        <v>86</v>
      </c>
      <c r="AC99" s="17">
        <v>1</v>
      </c>
      <c r="AD99" s="17">
        <v>7</v>
      </c>
      <c r="AE99" s="17">
        <v>4</v>
      </c>
      <c r="AF99" s="17">
        <v>5</v>
      </c>
      <c r="AG99" s="17">
        <v>9</v>
      </c>
      <c r="AH99" s="17">
        <v>0</v>
      </c>
      <c r="AI99" s="17">
        <v>0</v>
      </c>
      <c r="AJ99" s="17">
        <v>1</v>
      </c>
      <c r="AK99" s="17">
        <v>0</v>
      </c>
      <c r="AL99" s="17">
        <v>0</v>
      </c>
      <c r="AM99" s="17">
        <v>0</v>
      </c>
      <c r="AN99" s="17">
        <v>1</v>
      </c>
      <c r="AO99" s="18">
        <v>1</v>
      </c>
      <c r="AP99" s="17">
        <v>3</v>
      </c>
      <c r="AQ99" s="17">
        <v>11</v>
      </c>
      <c r="AR99" s="19">
        <v>1648</v>
      </c>
      <c r="AS99" s="19">
        <v>1734</v>
      </c>
    </row>
    <row r="100" spans="1:45" x14ac:dyDescent="0.25">
      <c r="A100">
        <v>21</v>
      </c>
      <c r="B100" s="11">
        <f t="shared" si="1"/>
        <v>2447</v>
      </c>
      <c r="C100" s="16">
        <v>24470</v>
      </c>
      <c r="D100" s="17">
        <v>1</v>
      </c>
      <c r="E100" s="17">
        <v>0</v>
      </c>
      <c r="F100" s="17">
        <v>42</v>
      </c>
      <c r="G100" s="17">
        <v>41</v>
      </c>
      <c r="H100" s="13" t="str" cm="1">
        <f t="array" ref="H100">_xlfn.IFS(G100&lt;=20,"0-20",G100&lt;=30,"20-30",G100&lt;=40,"30-40",G100&lt;=50,"50-60",G100&lt;=60,"60-70",G100&lt;=70,"70-80",G100&lt;=80,"80-90")</f>
        <v>50-60</v>
      </c>
      <c r="I100" s="17">
        <v>2698</v>
      </c>
      <c r="J100" s="13" t="str" cm="1">
        <f t="array" ref="J100">_xlfn.IFS(K100=1,"Divorciado",L100=1,"Casado",M100=1,"Solteiro",N100=1,"Juntos",O100=1,"Viuvo")</f>
        <v>Casado</v>
      </c>
      <c r="K100" s="17">
        <v>0</v>
      </c>
      <c r="L100" s="17">
        <v>1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1</v>
      </c>
      <c r="S100" s="17">
        <v>0</v>
      </c>
      <c r="T100" s="17">
        <v>0</v>
      </c>
      <c r="U100" s="17">
        <v>1</v>
      </c>
      <c r="V100" s="13" t="str" cm="1">
        <f t="array" ref="V100">_xlfn.IFS(U100&lt;=250,"0-R$250",U100&lt;=500,"251-R$500",U100&lt;=750,"501-R$750",U100&lt;=1000,"751-R$1000",U100&lt;=1250,"1001-R$1250",U100&lt;=1500,"1251-R$1500")</f>
        <v>0-R$250</v>
      </c>
      <c r="W100" s="17">
        <v>1</v>
      </c>
      <c r="X100" s="13" t="str" cm="1">
        <f t="array" ref="X100">_xlfn.IFS(W100 = 0, "0", W100&lt;=20, "até R$20",W100&lt;=40, "21 - R$40",W100&lt;=60, "41- R$60",W100&lt;=80, "61 - R$80", W100&lt;=100, "81 - R$100",W100&lt;=120, "101 - R$120",W100&lt;=140, "121 - R$140", W100&lt;=160, "141- R$160", W100&lt;=180, "161 - R$180", W100&lt;=200, "181-R$194")</f>
        <v>até R$20</v>
      </c>
      <c r="Y100" s="17">
        <v>1725</v>
      </c>
      <c r="Z100" s="17">
        <v>1</v>
      </c>
      <c r="AA100" s="17">
        <v>1</v>
      </c>
      <c r="AB100" s="17">
        <v>1</v>
      </c>
      <c r="AC100" s="17">
        <v>15</v>
      </c>
      <c r="AD100" s="17">
        <v>0</v>
      </c>
      <c r="AE100" s="17">
        <v>28</v>
      </c>
      <c r="AF100" s="17">
        <v>0</v>
      </c>
      <c r="AG100" s="17">
        <v>1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8">
        <v>0</v>
      </c>
      <c r="AP100" s="17">
        <v>3</v>
      </c>
      <c r="AQ100" s="17">
        <v>11</v>
      </c>
      <c r="AR100" s="19">
        <v>1728</v>
      </c>
      <c r="AS100" s="19">
        <v>1729</v>
      </c>
    </row>
    <row r="101" spans="1:45" x14ac:dyDescent="0.25">
      <c r="A101">
        <v>905</v>
      </c>
      <c r="B101" s="11">
        <f t="shared" si="1"/>
        <v>83033</v>
      </c>
      <c r="C101" s="16">
        <v>830330</v>
      </c>
      <c r="D101" s="17">
        <v>1</v>
      </c>
      <c r="E101" s="17">
        <v>0</v>
      </c>
      <c r="F101" s="17">
        <v>82</v>
      </c>
      <c r="G101" s="17">
        <v>34</v>
      </c>
      <c r="H101" s="13" t="str" cm="1">
        <f t="array" ref="H101">_xlfn.IFS(G101&lt;=20,"0-20",G101&lt;=30,"20-30",G101&lt;=40,"30-40",G101&lt;=50,"50-60",G101&lt;=60,"60-70",G101&lt;=70,"70-80",G101&lt;=80,"80-90")</f>
        <v>30-40</v>
      </c>
      <c r="I101" s="17">
        <v>2201</v>
      </c>
      <c r="J101" s="13" t="str" cm="1">
        <f t="array" ref="J101">_xlfn.IFS(K101=1,"Divorciado",L101=1,"Casado",M101=1,"Solteiro",N101=1,"Juntos",O101=1,"Viuvo")</f>
        <v>Juntos</v>
      </c>
      <c r="K101" s="17">
        <v>0</v>
      </c>
      <c r="L101" s="17">
        <v>0</v>
      </c>
      <c r="M101" s="17">
        <v>0</v>
      </c>
      <c r="N101" s="17">
        <v>1</v>
      </c>
      <c r="O101" s="17">
        <v>0</v>
      </c>
      <c r="P101" s="17">
        <v>0</v>
      </c>
      <c r="Q101" s="17">
        <v>0</v>
      </c>
      <c r="R101" s="17">
        <v>1</v>
      </c>
      <c r="S101" s="17">
        <v>0</v>
      </c>
      <c r="T101" s="17">
        <v>0</v>
      </c>
      <c r="U101" s="17">
        <v>812</v>
      </c>
      <c r="V101" s="13" t="str" cm="1">
        <f t="array" ref="V101">_xlfn.IFS(U101&lt;=250,"0-R$250",U101&lt;=500,"251-R$500",U101&lt;=750,"501-R$750",U101&lt;=1000,"751-R$1000",U101&lt;=1250,"1001-R$1250",U101&lt;=1500,"1251-R$1500")</f>
        <v>751-R$1000</v>
      </c>
      <c r="W101" s="17">
        <v>99</v>
      </c>
      <c r="X101" s="13" t="str" cm="1">
        <f t="array" ref="X101">_xlfn.IFS(W101 = 0, "0", W101&lt;=20, "até R$20",W101&lt;=40, "21 - R$40",W101&lt;=60, "41- R$60",W101&lt;=80, "61 - R$80", W101&lt;=100, "81 - R$100",W101&lt;=120, "101 - R$120",W101&lt;=140, "121 - R$140", W101&lt;=160, "141- R$160", W101&lt;=180, "161 - R$180", W101&lt;=200, "181-R$194")</f>
        <v>81 - R$100</v>
      </c>
      <c r="Y101" s="17">
        <v>431</v>
      </c>
      <c r="Z101" s="17">
        <v>237</v>
      </c>
      <c r="AA101" s="17">
        <v>149</v>
      </c>
      <c r="AB101" s="17">
        <v>33</v>
      </c>
      <c r="AC101" s="17">
        <v>1</v>
      </c>
      <c r="AD101" s="17">
        <v>11</v>
      </c>
      <c r="AE101" s="17">
        <v>4</v>
      </c>
      <c r="AF101" s="17">
        <v>10</v>
      </c>
      <c r="AG101" s="17">
        <v>5</v>
      </c>
      <c r="AH101" s="17">
        <v>0</v>
      </c>
      <c r="AI101" s="17">
        <v>0</v>
      </c>
      <c r="AJ101" s="17">
        <v>0</v>
      </c>
      <c r="AK101" s="17">
        <v>0</v>
      </c>
      <c r="AL101" s="17">
        <v>1</v>
      </c>
      <c r="AM101" s="17">
        <v>0</v>
      </c>
      <c r="AN101" s="17">
        <v>0</v>
      </c>
      <c r="AO101" s="18">
        <v>1</v>
      </c>
      <c r="AP101" s="17">
        <v>3</v>
      </c>
      <c r="AQ101" s="17">
        <v>11</v>
      </c>
      <c r="AR101" s="19">
        <v>1695</v>
      </c>
      <c r="AS101" s="19">
        <v>1728</v>
      </c>
    </row>
    <row r="102" spans="1:45" x14ac:dyDescent="0.25">
      <c r="A102">
        <v>1242</v>
      </c>
      <c r="B102" s="11">
        <f t="shared" si="1"/>
        <v>90687</v>
      </c>
      <c r="C102" s="12">
        <v>906870</v>
      </c>
      <c r="D102" s="13">
        <v>0</v>
      </c>
      <c r="E102" s="13">
        <v>0</v>
      </c>
      <c r="F102" s="13">
        <v>98</v>
      </c>
      <c r="G102" s="13">
        <v>37</v>
      </c>
      <c r="H102" s="13" t="str" cm="1">
        <f t="array" ref="H102">_xlfn.IFS(G102&lt;=20,"0-20",G102&lt;=30,"20-30",G102&lt;=40,"30-40",G102&lt;=50,"50-60",G102&lt;=60,"60-70",G102&lt;=70,"70-80",G102&lt;=80,"80-90")</f>
        <v>30-40</v>
      </c>
      <c r="I102" s="13">
        <v>2562</v>
      </c>
      <c r="J102" s="13" t="str" cm="1">
        <f t="array" ref="J102">_xlfn.IFS(K102=1,"Divorciado",L102=1,"Casado",M102=1,"Solteiro",N102=1,"Juntos",O102=1,"Viuvo")</f>
        <v>Divorciado</v>
      </c>
      <c r="K102" s="13">
        <v>1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1</v>
      </c>
      <c r="U102" s="13">
        <v>982</v>
      </c>
      <c r="V102" s="13" t="str" cm="1">
        <f t="array" ref="V102">_xlfn.IFS(U102&lt;=250,"0-R$250",U102&lt;=500,"251-R$500",U102&lt;=750,"501-R$750",U102&lt;=1000,"751-R$1000",U102&lt;=1250,"1001-R$1250",U102&lt;=1500,"1251-R$1500")</f>
        <v>751-R$1000</v>
      </c>
      <c r="W102" s="13">
        <v>17</v>
      </c>
      <c r="X102" s="13" t="str" cm="1">
        <f t="array" ref="X102">_xlfn.IFS(W102 = 0, "0", W102&lt;=20, "até R$20",W102&lt;=40, "21 - R$40",W102&lt;=60, "41- R$60",W102&lt;=80, "61 - R$80", W102&lt;=100, "81 - R$100",W102&lt;=120, "101 - R$120",W102&lt;=140, "121 - R$140", W102&lt;=160, "141- R$160", W102&lt;=180, "161 - R$180", W102&lt;=200, "181-R$194")</f>
        <v>até R$20</v>
      </c>
      <c r="Y102" s="13">
        <v>672</v>
      </c>
      <c r="Z102" s="13">
        <v>23</v>
      </c>
      <c r="AA102" s="13">
        <v>34</v>
      </c>
      <c r="AB102" s="13">
        <v>51</v>
      </c>
      <c r="AC102" s="13">
        <v>1</v>
      </c>
      <c r="AD102" s="13">
        <v>6</v>
      </c>
      <c r="AE102" s="13">
        <v>2</v>
      </c>
      <c r="AF102" s="13">
        <v>8</v>
      </c>
      <c r="AG102" s="13">
        <v>2</v>
      </c>
      <c r="AH102" s="13">
        <v>0</v>
      </c>
      <c r="AI102" s="13">
        <v>0</v>
      </c>
      <c r="AJ102" s="13">
        <v>0</v>
      </c>
      <c r="AK102" s="13">
        <v>1</v>
      </c>
      <c r="AL102" s="13">
        <v>0</v>
      </c>
      <c r="AM102" s="13">
        <v>0</v>
      </c>
      <c r="AN102" s="13">
        <v>1</v>
      </c>
      <c r="AO102" s="14">
        <v>1</v>
      </c>
      <c r="AP102" s="13">
        <v>3</v>
      </c>
      <c r="AQ102" s="13">
        <v>11</v>
      </c>
      <c r="AR102" s="15">
        <v>1677</v>
      </c>
      <c r="AS102" s="15">
        <v>1728</v>
      </c>
    </row>
    <row r="103" spans="1:45" x14ac:dyDescent="0.25">
      <c r="A103">
        <v>851</v>
      </c>
      <c r="B103" s="11">
        <f t="shared" si="1"/>
        <v>70123</v>
      </c>
      <c r="C103" s="16">
        <v>701230</v>
      </c>
      <c r="D103" s="17">
        <v>0</v>
      </c>
      <c r="E103" s="17">
        <v>0</v>
      </c>
      <c r="F103" s="17">
        <v>27</v>
      </c>
      <c r="G103" s="17">
        <v>37</v>
      </c>
      <c r="H103" s="13" t="str" cm="1">
        <f t="array" ref="H103">_xlfn.IFS(G103&lt;=20,"0-20",G103&lt;=30,"20-30",G103&lt;=40,"30-40",G103&lt;=50,"50-60",G103&lt;=60,"60-70",G103&lt;=70,"70-80",G103&lt;=80,"80-90")</f>
        <v>30-40</v>
      </c>
      <c r="I103" s="17">
        <v>2433</v>
      </c>
      <c r="J103" s="13" t="str" cm="1">
        <f t="array" ref="J103">_xlfn.IFS(K103=1,"Divorciado",L103=1,"Casado",M103=1,"Solteiro",N103=1,"Juntos",O103=1,"Viuvo")</f>
        <v>Juntos</v>
      </c>
      <c r="K103" s="17">
        <v>0</v>
      </c>
      <c r="L103" s="17">
        <v>0</v>
      </c>
      <c r="M103" s="17">
        <v>0</v>
      </c>
      <c r="N103" s="17">
        <v>1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1</v>
      </c>
      <c r="U103" s="17">
        <v>1308</v>
      </c>
      <c r="V103" s="13" t="str" cm="1">
        <f t="array" ref="V103">_xlfn.IFS(U103&lt;=250,"0-R$250",U103&lt;=500,"251-R$500",U103&lt;=750,"501-R$750",U103&lt;=1000,"751-R$1000",U103&lt;=1250,"1001-R$1250",U103&lt;=1500,"1251-R$1500")</f>
        <v>1251-R$1500</v>
      </c>
      <c r="W103" s="17">
        <v>0</v>
      </c>
      <c r="X103" s="13" t="str" cm="1">
        <f t="array" ref="X103">_xlfn.IFS(W103 = 0, "0", W103&lt;=20, "até R$20",W103&lt;=40, "21 - R$40",W103&lt;=60, "41- R$60",W103&lt;=80, "61 - R$80", W103&lt;=100, "81 - R$100",W103&lt;=120, "101 - R$120",W103&lt;=140, "121 - R$140", W103&lt;=160, "141- R$160", W103&lt;=180, "161 - R$180", W103&lt;=200, "181-R$194")</f>
        <v>0</v>
      </c>
      <c r="Y103" s="17">
        <v>396</v>
      </c>
      <c r="Z103" s="17">
        <v>23</v>
      </c>
      <c r="AA103" s="17">
        <v>0</v>
      </c>
      <c r="AB103" s="17">
        <v>0</v>
      </c>
      <c r="AC103" s="17">
        <v>1</v>
      </c>
      <c r="AD103" s="17">
        <v>5</v>
      </c>
      <c r="AE103" s="17">
        <v>7</v>
      </c>
      <c r="AF103" s="17">
        <v>4</v>
      </c>
      <c r="AG103" s="17">
        <v>3</v>
      </c>
      <c r="AH103" s="17">
        <v>0</v>
      </c>
      <c r="AI103" s="17">
        <v>0</v>
      </c>
      <c r="AJ103" s="17">
        <v>1</v>
      </c>
      <c r="AK103" s="17">
        <v>0</v>
      </c>
      <c r="AL103" s="17">
        <v>0</v>
      </c>
      <c r="AM103" s="17">
        <v>1</v>
      </c>
      <c r="AN103" s="17">
        <v>0</v>
      </c>
      <c r="AO103" s="18">
        <v>2</v>
      </c>
      <c r="AP103" s="17">
        <v>3</v>
      </c>
      <c r="AQ103" s="17">
        <v>11</v>
      </c>
      <c r="AR103" s="19">
        <v>1727</v>
      </c>
      <c r="AS103" s="19">
        <v>1727</v>
      </c>
    </row>
    <row r="104" spans="1:45" x14ac:dyDescent="0.25">
      <c r="A104">
        <v>450</v>
      </c>
      <c r="B104" s="11">
        <f t="shared" si="1"/>
        <v>75261</v>
      </c>
      <c r="C104" s="12">
        <v>752610</v>
      </c>
      <c r="D104" s="13">
        <v>0</v>
      </c>
      <c r="E104" s="13">
        <v>0</v>
      </c>
      <c r="F104" s="13">
        <v>17</v>
      </c>
      <c r="G104" s="13">
        <v>65</v>
      </c>
      <c r="H104" s="13" t="str" cm="1">
        <f t="array" ref="H104">_xlfn.IFS(G104&lt;=20,"0-20",G104&lt;=30,"20-30",G104&lt;=40,"30-40",G104&lt;=50,"50-60",G104&lt;=60,"60-70",G104&lt;=70,"70-80",G104&lt;=80,"80-90")</f>
        <v>70-80</v>
      </c>
      <c r="I104" s="13">
        <v>2591</v>
      </c>
      <c r="J104" s="13" t="str" cm="1">
        <f t="array" ref="J104">_xlfn.IFS(K104=1,"Divorciado",L104=1,"Casado",M104=1,"Solteiro",N104=1,"Juntos",O104=1,"Viuvo")</f>
        <v>Juntos</v>
      </c>
      <c r="K104" s="13">
        <v>0</v>
      </c>
      <c r="L104" s="13">
        <v>0</v>
      </c>
      <c r="M104" s="13">
        <v>0</v>
      </c>
      <c r="N104" s="13">
        <v>1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1</v>
      </c>
      <c r="U104" s="13">
        <v>1239</v>
      </c>
      <c r="V104" s="13" t="str" cm="1">
        <f t="array" ref="V104">_xlfn.IFS(U104&lt;=250,"0-R$250",U104&lt;=500,"251-R$500",U104&lt;=750,"501-R$750",U104&lt;=1000,"751-R$1000",U104&lt;=1250,"1001-R$1250",U104&lt;=1500,"1251-R$1500")</f>
        <v>1001-R$1250</v>
      </c>
      <c r="W104" s="13">
        <v>17</v>
      </c>
      <c r="X104" s="13" t="str" cm="1">
        <f t="array" ref="X104">_xlfn.IFS(W104 = 0, "0", W104&lt;=20, "até R$20",W104&lt;=40, "21 - R$40",W104&lt;=60, "41- R$60",W104&lt;=80, "61 - R$80", W104&lt;=100, "81 - R$100",W104&lt;=120, "101 - R$120",W104&lt;=140, "121 - R$140", W104&lt;=160, "141- R$160", W104&lt;=180, "161 - R$180", W104&lt;=200, "181-R$194")</f>
        <v>até R$20</v>
      </c>
      <c r="Y104" s="13">
        <v>413</v>
      </c>
      <c r="Z104" s="13">
        <v>23</v>
      </c>
      <c r="AA104" s="13">
        <v>34</v>
      </c>
      <c r="AB104" s="13">
        <v>17</v>
      </c>
      <c r="AC104" s="13">
        <v>1</v>
      </c>
      <c r="AD104" s="13">
        <v>5</v>
      </c>
      <c r="AE104" s="13">
        <v>6</v>
      </c>
      <c r="AF104" s="13">
        <v>5</v>
      </c>
      <c r="AG104" s="13">
        <v>2</v>
      </c>
      <c r="AH104" s="13">
        <v>0</v>
      </c>
      <c r="AI104" s="13">
        <v>0</v>
      </c>
      <c r="AJ104" s="13">
        <v>1</v>
      </c>
      <c r="AK104" s="13">
        <v>1</v>
      </c>
      <c r="AL104" s="13">
        <v>0</v>
      </c>
      <c r="AM104" s="13">
        <v>0</v>
      </c>
      <c r="AN104" s="13">
        <v>1</v>
      </c>
      <c r="AO104" s="14">
        <v>2</v>
      </c>
      <c r="AP104" s="13">
        <v>3</v>
      </c>
      <c r="AQ104" s="13">
        <v>11</v>
      </c>
      <c r="AR104" s="15">
        <v>1709</v>
      </c>
      <c r="AS104" s="15">
        <v>1726</v>
      </c>
    </row>
    <row r="105" spans="1:45" x14ac:dyDescent="0.25">
      <c r="A105">
        <v>1134</v>
      </c>
      <c r="B105" s="11">
        <f t="shared" si="1"/>
        <v>83145</v>
      </c>
      <c r="C105" s="12">
        <v>831450</v>
      </c>
      <c r="D105" s="13">
        <v>0</v>
      </c>
      <c r="E105" s="13">
        <v>0</v>
      </c>
      <c r="F105" s="13">
        <v>14</v>
      </c>
      <c r="G105" s="13">
        <v>46</v>
      </c>
      <c r="H105" s="13" t="str" cm="1">
        <f t="array" ref="H105">_xlfn.IFS(G105&lt;=20,"0-20",G105&lt;=30,"20-30",G105&lt;=40,"30-40",G105&lt;=50,"50-60",G105&lt;=60,"60-70",G105&lt;=70,"70-80",G105&lt;=80,"80-90")</f>
        <v>50-60</v>
      </c>
      <c r="I105" s="13">
        <v>2804</v>
      </c>
      <c r="J105" s="13" t="str" cm="1">
        <f t="array" ref="J105">_xlfn.IFS(K105=1,"Divorciado",L105=1,"Casado",M105=1,"Solteiro",N105=1,"Juntos",O105=1,"Viuvo")</f>
        <v>Juntos</v>
      </c>
      <c r="K105" s="13">
        <v>0</v>
      </c>
      <c r="L105" s="13">
        <v>0</v>
      </c>
      <c r="M105" s="13">
        <v>0</v>
      </c>
      <c r="N105" s="13">
        <v>1</v>
      </c>
      <c r="O105" s="13">
        <v>0</v>
      </c>
      <c r="P105" s="13">
        <v>0</v>
      </c>
      <c r="Q105" s="13">
        <v>0</v>
      </c>
      <c r="R105" s="13">
        <v>1</v>
      </c>
      <c r="S105" s="13">
        <v>0</v>
      </c>
      <c r="T105" s="13">
        <v>0</v>
      </c>
      <c r="U105" s="13">
        <v>777</v>
      </c>
      <c r="V105" s="13" t="str" cm="1">
        <f t="array" ref="V105">_xlfn.IFS(U105&lt;=250,"0-R$250",U105&lt;=500,"251-R$500",U105&lt;=750,"501-R$750",U105&lt;=1000,"751-R$1000",U105&lt;=1250,"1001-R$1250",U105&lt;=1500,"1251-R$1500")</f>
        <v>751-R$1000</v>
      </c>
      <c r="W105" s="13">
        <v>35</v>
      </c>
      <c r="X105" s="13" t="str" cm="1">
        <f t="array" ref="X105">_xlfn.IFS(W105 = 0, "0", W105&lt;=20, "até R$20",W105&lt;=40, "21 - R$40",W105&lt;=60, "41- R$60",W105&lt;=80, "61 - R$80", W105&lt;=100, "81 - R$100",W105&lt;=120, "101 - R$120",W105&lt;=140, "121 - R$140", W105&lt;=160, "141- R$160", W105&lt;=180, "161 - R$180", W105&lt;=200, "181-R$194")</f>
        <v>21 - R$40</v>
      </c>
      <c r="Y105" s="13">
        <v>731</v>
      </c>
      <c r="Z105" s="13">
        <v>39</v>
      </c>
      <c r="AA105" s="13">
        <v>137</v>
      </c>
      <c r="AB105" s="13">
        <v>114</v>
      </c>
      <c r="AC105" s="13">
        <v>1</v>
      </c>
      <c r="AD105" s="13">
        <v>5</v>
      </c>
      <c r="AE105" s="13">
        <v>9</v>
      </c>
      <c r="AF105" s="13">
        <v>11</v>
      </c>
      <c r="AG105" s="13">
        <v>2</v>
      </c>
      <c r="AH105" s="13">
        <v>0</v>
      </c>
      <c r="AI105" s="13">
        <v>0</v>
      </c>
      <c r="AJ105" s="13">
        <v>0</v>
      </c>
      <c r="AK105" s="13">
        <v>1</v>
      </c>
      <c r="AL105" s="13">
        <v>0</v>
      </c>
      <c r="AM105" s="13">
        <v>0</v>
      </c>
      <c r="AN105" s="13">
        <v>1</v>
      </c>
      <c r="AO105" s="14">
        <v>1</v>
      </c>
      <c r="AP105" s="13">
        <v>3</v>
      </c>
      <c r="AQ105" s="13">
        <v>11</v>
      </c>
      <c r="AR105" s="15">
        <v>1605</v>
      </c>
      <c r="AS105" s="15">
        <v>1719</v>
      </c>
    </row>
    <row r="106" spans="1:45" x14ac:dyDescent="0.25">
      <c r="A106">
        <v>279</v>
      </c>
      <c r="B106" s="11">
        <f t="shared" si="1"/>
        <v>82497</v>
      </c>
      <c r="C106" s="16">
        <v>824970</v>
      </c>
      <c r="D106" s="17">
        <v>0</v>
      </c>
      <c r="E106" s="17">
        <v>0</v>
      </c>
      <c r="F106" s="17">
        <v>32</v>
      </c>
      <c r="G106" s="17">
        <v>40</v>
      </c>
      <c r="H106" s="13" t="str" cm="1">
        <f t="array" ref="H106">_xlfn.IFS(G106&lt;=20,"0-20",G106&lt;=30,"20-30",G106&lt;=40,"30-40",G106&lt;=50,"50-60",G106&lt;=60,"60-70",G106&lt;=70,"70-80",G106&lt;=80,"80-90")</f>
        <v>30-40</v>
      </c>
      <c r="I106" s="17">
        <v>2765</v>
      </c>
      <c r="J106" s="13" t="str" cm="1">
        <f t="array" ref="J106">_xlfn.IFS(K106=1,"Divorciado",L106=1,"Casado",M106=1,"Solteiro",N106=1,"Juntos",O106=1,"Viuvo")</f>
        <v>Casado</v>
      </c>
      <c r="K106" s="17">
        <v>0</v>
      </c>
      <c r="L106" s="17">
        <v>1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1</v>
      </c>
      <c r="S106" s="17">
        <v>0</v>
      </c>
      <c r="T106" s="17">
        <v>0</v>
      </c>
      <c r="U106" s="17">
        <v>777</v>
      </c>
      <c r="V106" s="13" t="str" cm="1">
        <f t="array" ref="V106">_xlfn.IFS(U106&lt;=250,"0-R$250",U106&lt;=500,"251-R$500",U106&lt;=750,"501-R$750",U106&lt;=1000,"751-R$1000",U106&lt;=1250,"1001-R$1250",U106&lt;=1500,"1251-R$1500")</f>
        <v>751-R$1000</v>
      </c>
      <c r="W106" s="17">
        <v>129</v>
      </c>
      <c r="X106" s="13" t="str" cm="1">
        <f t="array" ref="X106">_xlfn.IFS(W106 = 0, "0", W106&lt;=20, "até R$20",W106&lt;=40, "21 - R$40",W106&lt;=60, "41- R$60",W106&lt;=80, "61 - R$80", W106&lt;=100, "81 - R$100",W106&lt;=120, "101 - R$120",W106&lt;=140, "121 - R$140", W106&lt;=160, "141- R$160", W106&lt;=180, "161 - R$180", W106&lt;=200, "181-R$194")</f>
        <v>121 - R$140</v>
      </c>
      <c r="Y106" s="17">
        <v>573</v>
      </c>
      <c r="Z106" s="17">
        <v>216</v>
      </c>
      <c r="AA106" s="17">
        <v>21</v>
      </c>
      <c r="AB106" s="17">
        <v>203</v>
      </c>
      <c r="AC106" s="17">
        <v>1</v>
      </c>
      <c r="AD106" s="17">
        <v>2</v>
      </c>
      <c r="AE106" s="17">
        <v>7</v>
      </c>
      <c r="AF106" s="17">
        <v>9</v>
      </c>
      <c r="AG106" s="17">
        <v>4</v>
      </c>
      <c r="AH106" s="17">
        <v>0</v>
      </c>
      <c r="AI106" s="17">
        <v>0</v>
      </c>
      <c r="AJ106" s="17">
        <v>0</v>
      </c>
      <c r="AK106" s="17">
        <v>1</v>
      </c>
      <c r="AL106" s="17">
        <v>0</v>
      </c>
      <c r="AM106" s="17">
        <v>0</v>
      </c>
      <c r="AN106" s="17">
        <v>0</v>
      </c>
      <c r="AO106" s="18">
        <v>1</v>
      </c>
      <c r="AP106" s="17">
        <v>3</v>
      </c>
      <c r="AQ106" s="17">
        <v>11</v>
      </c>
      <c r="AR106" s="19">
        <v>1513</v>
      </c>
      <c r="AS106" s="19">
        <v>1716</v>
      </c>
    </row>
    <row r="107" spans="1:45" x14ac:dyDescent="0.25">
      <c r="A107">
        <v>734</v>
      </c>
      <c r="B107" s="11">
        <f t="shared" si="1"/>
        <v>80952</v>
      </c>
      <c r="C107" s="12">
        <v>809520</v>
      </c>
      <c r="D107" s="13">
        <v>0</v>
      </c>
      <c r="E107" s="13">
        <v>0</v>
      </c>
      <c r="F107" s="13">
        <v>20</v>
      </c>
      <c r="G107" s="13">
        <v>51</v>
      </c>
      <c r="H107" s="13" t="str" cm="1">
        <f t="array" ref="H107">_xlfn.IFS(G107&lt;=20,"0-20",G107&lt;=30,"20-30",G107&lt;=40,"30-40",G107&lt;=50,"50-60",G107&lt;=60,"60-70",G107&lt;=70,"70-80",G107&lt;=80,"80-90")</f>
        <v>60-70</v>
      </c>
      <c r="I107" s="13">
        <v>2645</v>
      </c>
      <c r="J107" s="13" t="str" cm="1">
        <f t="array" ref="J107">_xlfn.IFS(K107=1,"Divorciado",L107=1,"Casado",M107=1,"Solteiro",N107=1,"Juntos",O107=1,"Viuvo")</f>
        <v>Casado</v>
      </c>
      <c r="K107" s="13">
        <v>0</v>
      </c>
      <c r="L107" s="13">
        <v>1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1</v>
      </c>
      <c r="S107" s="13">
        <v>0</v>
      </c>
      <c r="T107" s="13">
        <v>0</v>
      </c>
      <c r="U107" s="13">
        <v>778</v>
      </c>
      <c r="V107" s="13" t="str" cm="1">
        <f t="array" ref="V107">_xlfn.IFS(U107&lt;=250,"0-R$250",U107&lt;=500,"251-R$500",U107&lt;=750,"501-R$750",U107&lt;=1000,"751-R$1000",U107&lt;=1250,"1001-R$1250",U107&lt;=1500,"1251-R$1500")</f>
        <v>751-R$1000</v>
      </c>
      <c r="W107" s="13">
        <v>178</v>
      </c>
      <c r="X107" s="13" t="str" cm="1">
        <f t="array" ref="X107">_xlfn.IFS(W107 = 0, "0", W107&lt;=20, "até R$20",W107&lt;=40, "21 - R$40",W107&lt;=60, "41- R$60",W107&lt;=80, "61 - R$80", W107&lt;=100, "81 - R$100",W107&lt;=120, "101 - R$120",W107&lt;=140, "121 - R$140", W107&lt;=160, "141- R$160", W107&lt;=180, "161 - R$180", W107&lt;=200, "181-R$194")</f>
        <v>161 - R$180</v>
      </c>
      <c r="Y107" s="13">
        <v>689</v>
      </c>
      <c r="Z107" s="13">
        <v>41</v>
      </c>
      <c r="AA107" s="13">
        <v>27</v>
      </c>
      <c r="AB107" s="13">
        <v>44</v>
      </c>
      <c r="AC107" s="13">
        <v>1</v>
      </c>
      <c r="AD107" s="13">
        <v>8</v>
      </c>
      <c r="AE107" s="13">
        <v>5</v>
      </c>
      <c r="AF107" s="13">
        <v>11</v>
      </c>
      <c r="AG107" s="13">
        <v>8</v>
      </c>
      <c r="AH107" s="13">
        <v>0</v>
      </c>
      <c r="AI107" s="13">
        <v>0</v>
      </c>
      <c r="AJ107" s="13">
        <v>1</v>
      </c>
      <c r="AK107" s="13">
        <v>1</v>
      </c>
      <c r="AL107" s="13">
        <v>1</v>
      </c>
      <c r="AM107" s="13">
        <v>0</v>
      </c>
      <c r="AN107" s="13">
        <v>1</v>
      </c>
      <c r="AO107" s="14">
        <v>3</v>
      </c>
      <c r="AP107" s="13">
        <v>3</v>
      </c>
      <c r="AQ107" s="13">
        <v>11</v>
      </c>
      <c r="AR107" s="15">
        <v>1669</v>
      </c>
      <c r="AS107" s="15">
        <v>1713</v>
      </c>
    </row>
    <row r="108" spans="1:45" x14ac:dyDescent="0.25">
      <c r="A108">
        <v>1171</v>
      </c>
      <c r="B108" s="11">
        <f t="shared" si="1"/>
        <v>78579</v>
      </c>
      <c r="C108" s="16">
        <v>785790</v>
      </c>
      <c r="D108" s="17">
        <v>0</v>
      </c>
      <c r="E108" s="17">
        <v>0</v>
      </c>
      <c r="F108" s="17">
        <v>35</v>
      </c>
      <c r="G108" s="17">
        <v>50</v>
      </c>
      <c r="H108" s="13" t="str" cm="1">
        <f t="array" ref="H108">_xlfn.IFS(G108&lt;=20,"0-20",G108&lt;=30,"20-30",G108&lt;=40,"30-40",G108&lt;=50,"50-60",G108&lt;=60,"60-70",G108&lt;=70,"70-80",G108&lt;=80,"80-90")</f>
        <v>50-60</v>
      </c>
      <c r="I108" s="17">
        <v>2713</v>
      </c>
      <c r="J108" s="13" t="str" cm="1">
        <f t="array" ref="J108">_xlfn.IFS(K108=1,"Divorciado",L108=1,"Casado",M108=1,"Solteiro",N108=1,"Juntos",O108=1,"Viuvo")</f>
        <v>Divorciado</v>
      </c>
      <c r="K108" s="17">
        <v>1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1</v>
      </c>
      <c r="T108" s="17">
        <v>0</v>
      </c>
      <c r="U108" s="17">
        <v>816</v>
      </c>
      <c r="V108" s="13" t="str" cm="1">
        <f t="array" ref="V108">_xlfn.IFS(U108&lt;=250,"0-R$250",U108&lt;=500,"251-R$500",U108&lt;=750,"501-R$750",U108&lt;=1000,"751-R$1000",U108&lt;=1250,"1001-R$1250",U108&lt;=1500,"1251-R$1500")</f>
        <v>751-R$1000</v>
      </c>
      <c r="W108" s="17">
        <v>66</v>
      </c>
      <c r="X108" s="13" t="str" cm="1">
        <f t="array" ref="X108">_xlfn.IFS(W108 = 0, "0", W108&lt;=20, "até R$20",W108&lt;=40, "21 - R$40",W108&lt;=60, "41- R$60",W108&lt;=80, "61 - R$80", W108&lt;=100, "81 - R$100",W108&lt;=120, "101 - R$120",W108&lt;=140, "121 - R$140", W108&lt;=160, "141- R$160", W108&lt;=180, "161 - R$180", W108&lt;=200, "181-R$194")</f>
        <v>61 - R$80</v>
      </c>
      <c r="Y108" s="17">
        <v>549</v>
      </c>
      <c r="Z108" s="17">
        <v>216</v>
      </c>
      <c r="AA108" s="17">
        <v>66</v>
      </c>
      <c r="AB108" s="17">
        <v>99</v>
      </c>
      <c r="AC108" s="17">
        <v>1</v>
      </c>
      <c r="AD108" s="17">
        <v>5</v>
      </c>
      <c r="AE108" s="17">
        <v>6</v>
      </c>
      <c r="AF108" s="17">
        <v>4</v>
      </c>
      <c r="AG108" s="17">
        <v>3</v>
      </c>
      <c r="AH108" s="17">
        <v>0</v>
      </c>
      <c r="AI108" s="17">
        <v>0</v>
      </c>
      <c r="AJ108" s="17">
        <v>0</v>
      </c>
      <c r="AK108" s="17">
        <v>0</v>
      </c>
      <c r="AL108" s="17">
        <v>0</v>
      </c>
      <c r="AM108" s="17">
        <v>0</v>
      </c>
      <c r="AN108" s="17">
        <v>1</v>
      </c>
      <c r="AO108" s="18">
        <v>0</v>
      </c>
      <c r="AP108" s="17">
        <v>3</v>
      </c>
      <c r="AQ108" s="17">
        <v>11</v>
      </c>
      <c r="AR108" s="19">
        <v>1614</v>
      </c>
      <c r="AS108" s="19">
        <v>1713</v>
      </c>
    </row>
    <row r="109" spans="1:45" x14ac:dyDescent="0.25">
      <c r="A109">
        <v>118</v>
      </c>
      <c r="B109" s="11">
        <f t="shared" si="1"/>
        <v>79607</v>
      </c>
      <c r="C109" s="12">
        <v>796070</v>
      </c>
      <c r="D109" s="13">
        <v>0</v>
      </c>
      <c r="E109" s="13">
        <v>0</v>
      </c>
      <c r="F109" s="13">
        <v>37</v>
      </c>
      <c r="G109" s="13">
        <v>36</v>
      </c>
      <c r="H109" s="13" t="str" cm="1">
        <f t="array" ref="H109">_xlfn.IFS(G109&lt;=20,"0-20",G109&lt;=30,"20-30",G109&lt;=40,"30-40",G109&lt;=50,"50-60",G109&lt;=60,"60-70",G109&lt;=70,"70-80",G109&lt;=80,"80-90")</f>
        <v>30-40</v>
      </c>
      <c r="I109" s="13">
        <v>2593</v>
      </c>
      <c r="J109" s="13" t="str" cm="1">
        <f t="array" ref="J109">_xlfn.IFS(K109=1,"Divorciado",L109=1,"Casado",M109=1,"Solteiro",N109=1,"Juntos",O109=1,"Viuvo")</f>
        <v>Solteiro</v>
      </c>
      <c r="K109" s="13">
        <v>0</v>
      </c>
      <c r="L109" s="13">
        <v>0</v>
      </c>
      <c r="M109" s="13">
        <v>1</v>
      </c>
      <c r="N109" s="13">
        <v>0</v>
      </c>
      <c r="O109" s="13">
        <v>0</v>
      </c>
      <c r="P109" s="13">
        <v>0</v>
      </c>
      <c r="Q109" s="13">
        <v>0</v>
      </c>
      <c r="R109" s="13">
        <v>1</v>
      </c>
      <c r="S109" s="13">
        <v>0</v>
      </c>
      <c r="T109" s="13">
        <v>0</v>
      </c>
      <c r="U109" s="13">
        <v>450</v>
      </c>
      <c r="V109" s="13" t="str" cm="1">
        <f t="array" ref="V109">_xlfn.IFS(U109&lt;=250,"0-R$250",U109&lt;=500,"251-R$500",U109&lt;=750,"501-R$750",U109&lt;=1000,"751-R$1000",U109&lt;=1250,"1001-R$1250",U109&lt;=1500,"1251-R$1500")</f>
        <v>251-R$500</v>
      </c>
      <c r="W109" s="13">
        <v>133</v>
      </c>
      <c r="X109" s="13" t="str" cm="1">
        <f t="array" ref="X109">_xlfn.IFS(W109 = 0, "0", W109&lt;=20, "até R$20",W109&lt;=40, "21 - R$40",W109&lt;=60, "41- R$60",W109&lt;=80, "61 - R$80", W109&lt;=100, "81 - R$100",W109&lt;=120, "101 - R$120",W109&lt;=140, "121 - R$140", W109&lt;=160, "141- R$160", W109&lt;=180, "161 - R$180", W109&lt;=200, "181-R$194")</f>
        <v>121 - R$140</v>
      </c>
      <c r="Y109" s="13">
        <v>951</v>
      </c>
      <c r="Z109" s="13">
        <v>173</v>
      </c>
      <c r="AA109" s="13">
        <v>0</v>
      </c>
      <c r="AB109" s="13">
        <v>216</v>
      </c>
      <c r="AC109" s="13">
        <v>1</v>
      </c>
      <c r="AD109" s="13">
        <v>3</v>
      </c>
      <c r="AE109" s="13">
        <v>6</v>
      </c>
      <c r="AF109" s="13">
        <v>6</v>
      </c>
      <c r="AG109" s="13">
        <v>1</v>
      </c>
      <c r="AH109" s="13">
        <v>0</v>
      </c>
      <c r="AI109" s="13">
        <v>0</v>
      </c>
      <c r="AJ109" s="13">
        <v>0</v>
      </c>
      <c r="AK109" s="13">
        <v>0</v>
      </c>
      <c r="AL109" s="13">
        <v>0</v>
      </c>
      <c r="AM109" s="13">
        <v>0</v>
      </c>
      <c r="AN109" s="13">
        <v>1</v>
      </c>
      <c r="AO109" s="14">
        <v>0</v>
      </c>
      <c r="AP109" s="13">
        <v>3</v>
      </c>
      <c r="AQ109" s="13">
        <v>11</v>
      </c>
      <c r="AR109" s="15">
        <v>1491</v>
      </c>
      <c r="AS109" s="15">
        <v>1707</v>
      </c>
    </row>
    <row r="110" spans="1:45" x14ac:dyDescent="0.25">
      <c r="A110">
        <v>1898</v>
      </c>
      <c r="B110" s="11">
        <f t="shared" si="1"/>
        <v>77598</v>
      </c>
      <c r="C110" s="12">
        <v>775980</v>
      </c>
      <c r="D110" s="13">
        <v>0</v>
      </c>
      <c r="E110" s="13">
        <v>0</v>
      </c>
      <c r="F110" s="13">
        <v>53</v>
      </c>
      <c r="G110" s="13">
        <v>77</v>
      </c>
      <c r="H110" s="13" t="str" cm="1">
        <f t="array" ref="H110">_xlfn.IFS(G110&lt;=20,"0-20",G110&lt;=30,"20-30",G110&lt;=40,"30-40",G110&lt;=50,"50-60",G110&lt;=60,"60-70",G110&lt;=70,"70-80",G110&lt;=80,"80-90")</f>
        <v>80-90</v>
      </c>
      <c r="I110" s="13">
        <v>2430</v>
      </c>
      <c r="J110" s="13" t="str" cm="1">
        <f t="array" ref="J110">_xlfn.IFS(K110=1,"Divorciado",L110=1,"Casado",M110=1,"Solteiro",N110=1,"Juntos",O110=1,"Viuvo")</f>
        <v>Solteiro</v>
      </c>
      <c r="K110" s="13">
        <v>0</v>
      </c>
      <c r="L110" s="13">
        <v>0</v>
      </c>
      <c r="M110" s="13">
        <v>1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1</v>
      </c>
      <c r="T110" s="13">
        <v>0</v>
      </c>
      <c r="U110" s="13">
        <v>1193</v>
      </c>
      <c r="V110" s="13" t="str" cm="1">
        <f t="array" ref="V110">_xlfn.IFS(U110&lt;=250,"0-R$250",U110&lt;=500,"251-R$500",U110&lt;=750,"501-R$750",U110&lt;=1000,"751-R$1000",U110&lt;=1250,"1001-R$1250",U110&lt;=1500,"1251-R$1500")</f>
        <v>1001-R$1250</v>
      </c>
      <c r="W110" s="13">
        <v>33</v>
      </c>
      <c r="X110" s="13" t="str" cm="1">
        <f t="array" ref="X110">_xlfn.IFS(W110 = 0, "0", W110&lt;=20, "até R$20",W110&lt;=40, "21 - R$40",W110&lt;=60, "41- R$60",W110&lt;=80, "61 - R$80", W110&lt;=100, "81 - R$100",W110&lt;=120, "101 - R$120",W110&lt;=140, "121 - R$140", W110&lt;=160, "141- R$160", W110&lt;=180, "161 - R$180", W110&lt;=200, "181-R$194")</f>
        <v>21 - R$40</v>
      </c>
      <c r="Y110" s="13">
        <v>281</v>
      </c>
      <c r="Z110" s="13">
        <v>129</v>
      </c>
      <c r="AA110" s="13">
        <v>66</v>
      </c>
      <c r="AB110" s="13">
        <v>33</v>
      </c>
      <c r="AC110" s="13">
        <v>1</v>
      </c>
      <c r="AD110" s="13">
        <v>7</v>
      </c>
      <c r="AE110" s="13">
        <v>5</v>
      </c>
      <c r="AF110" s="13">
        <v>13</v>
      </c>
      <c r="AG110" s="13">
        <v>3</v>
      </c>
      <c r="AH110" s="13">
        <v>0</v>
      </c>
      <c r="AI110" s="13">
        <v>0</v>
      </c>
      <c r="AJ110" s="13">
        <v>0</v>
      </c>
      <c r="AK110" s="13">
        <v>1</v>
      </c>
      <c r="AL110" s="13">
        <v>0</v>
      </c>
      <c r="AM110" s="13">
        <v>0</v>
      </c>
      <c r="AN110" s="13">
        <v>0</v>
      </c>
      <c r="AO110" s="14">
        <v>1</v>
      </c>
      <c r="AP110" s="13">
        <v>3</v>
      </c>
      <c r="AQ110" s="13">
        <v>11</v>
      </c>
      <c r="AR110" s="15">
        <v>1669</v>
      </c>
      <c r="AS110" s="15">
        <v>1702</v>
      </c>
    </row>
    <row r="111" spans="1:45" x14ac:dyDescent="0.25">
      <c r="A111">
        <v>352</v>
      </c>
      <c r="B111" s="11">
        <f t="shared" si="1"/>
        <v>72025</v>
      </c>
      <c r="C111" s="12">
        <v>720250</v>
      </c>
      <c r="D111" s="13">
        <v>0</v>
      </c>
      <c r="E111" s="13">
        <v>0</v>
      </c>
      <c r="F111" s="13">
        <v>27</v>
      </c>
      <c r="G111" s="13">
        <v>58</v>
      </c>
      <c r="H111" s="13" t="str" cm="1">
        <f t="array" ref="H111">_xlfn.IFS(G111&lt;=20,"0-20",G111&lt;=30,"20-30",G111&lt;=40,"30-40",G111&lt;=50,"50-60",G111&lt;=60,"60-70",G111&lt;=70,"70-80",G111&lt;=80,"80-90")</f>
        <v>60-70</v>
      </c>
      <c r="I111" s="13">
        <v>2748</v>
      </c>
      <c r="J111" s="13" t="str" cm="1">
        <f t="array" ref="J111">_xlfn.IFS(K111=1,"Divorciado",L111=1,"Casado",M111=1,"Solteiro",N111=1,"Juntos",O111=1,"Viuvo")</f>
        <v>Juntos</v>
      </c>
      <c r="K111" s="13">
        <v>0</v>
      </c>
      <c r="L111" s="13">
        <v>0</v>
      </c>
      <c r="M111" s="13">
        <v>0</v>
      </c>
      <c r="N111" s="13">
        <v>1</v>
      </c>
      <c r="O111" s="13">
        <v>0</v>
      </c>
      <c r="P111" s="13">
        <v>0</v>
      </c>
      <c r="Q111" s="13">
        <v>0</v>
      </c>
      <c r="R111" s="13">
        <v>1</v>
      </c>
      <c r="S111" s="13">
        <v>0</v>
      </c>
      <c r="T111" s="13">
        <v>0</v>
      </c>
      <c r="U111" s="13">
        <v>833</v>
      </c>
      <c r="V111" s="13" t="str" cm="1">
        <f t="array" ref="V111">_xlfn.IFS(U111&lt;=250,"0-R$250",U111&lt;=500,"251-R$500",U111&lt;=750,"501-R$750",U111&lt;=1000,"751-R$1000",U111&lt;=1250,"1001-R$1250",U111&lt;=1500,"1251-R$1500")</f>
        <v>751-R$1000</v>
      </c>
      <c r="W111" s="13">
        <v>33</v>
      </c>
      <c r="X111" s="13" t="str" cm="1">
        <f t="array" ref="X111">_xlfn.IFS(W111 = 0, "0", W111&lt;=20, "até R$20",W111&lt;=40, "21 - R$40",W111&lt;=60, "41- R$60",W111&lt;=80, "61 - R$80", W111&lt;=100, "81 - R$100",W111&lt;=120, "101 - R$120",W111&lt;=140, "121 - R$140", W111&lt;=160, "141- R$160", W111&lt;=180, "161 - R$180", W111&lt;=200, "181-R$194")</f>
        <v>21 - R$40</v>
      </c>
      <c r="Y111" s="13">
        <v>549</v>
      </c>
      <c r="Z111" s="13">
        <v>151</v>
      </c>
      <c r="AA111" s="13">
        <v>133</v>
      </c>
      <c r="AB111" s="13">
        <v>233</v>
      </c>
      <c r="AC111" s="13">
        <v>1</v>
      </c>
      <c r="AD111" s="13">
        <v>4</v>
      </c>
      <c r="AE111" s="13">
        <v>3</v>
      </c>
      <c r="AF111" s="13">
        <v>8</v>
      </c>
      <c r="AG111" s="13">
        <v>3</v>
      </c>
      <c r="AH111" s="13">
        <v>0</v>
      </c>
      <c r="AI111" s="13">
        <v>0</v>
      </c>
      <c r="AJ111" s="13">
        <v>0</v>
      </c>
      <c r="AK111" s="13">
        <v>0</v>
      </c>
      <c r="AL111" s="13">
        <v>0</v>
      </c>
      <c r="AM111" s="13">
        <v>0</v>
      </c>
      <c r="AN111" s="13">
        <v>0</v>
      </c>
      <c r="AO111" s="14">
        <v>0</v>
      </c>
      <c r="AP111" s="13">
        <v>3</v>
      </c>
      <c r="AQ111" s="13">
        <v>11</v>
      </c>
      <c r="AR111" s="15">
        <v>1466</v>
      </c>
      <c r="AS111" s="15">
        <v>1699</v>
      </c>
    </row>
    <row r="112" spans="1:45" x14ac:dyDescent="0.25">
      <c r="A112">
        <v>704</v>
      </c>
      <c r="B112" s="11">
        <f t="shared" si="1"/>
        <v>72190</v>
      </c>
      <c r="C112" s="12">
        <v>721900</v>
      </c>
      <c r="D112" s="13">
        <v>0</v>
      </c>
      <c r="E112" s="13">
        <v>0</v>
      </c>
      <c r="F112" s="13">
        <v>79</v>
      </c>
      <c r="G112" s="13">
        <v>55</v>
      </c>
      <c r="H112" s="13" t="str" cm="1">
        <f t="array" ref="H112">_xlfn.IFS(G112&lt;=20,"0-20",G112&lt;=30,"20-30",G112&lt;=40,"30-40",G112&lt;=50,"50-60",G112&lt;=60,"60-70",G112&lt;=70,"70-80",G112&lt;=80,"80-90")</f>
        <v>60-70</v>
      </c>
      <c r="I112" s="13">
        <v>2660</v>
      </c>
      <c r="J112" s="13" t="str" cm="1">
        <f t="array" ref="J112">_xlfn.IFS(K112=1,"Divorciado",L112=1,"Casado",M112=1,"Solteiro",N112=1,"Juntos",O112=1,"Viuvo")</f>
        <v>Casado</v>
      </c>
      <c r="K112" s="13">
        <v>0</v>
      </c>
      <c r="L112" s="13">
        <v>1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1</v>
      </c>
      <c r="S112" s="13">
        <v>0</v>
      </c>
      <c r="T112" s="13">
        <v>0</v>
      </c>
      <c r="U112" s="13">
        <v>597</v>
      </c>
      <c r="V112" s="13" t="str" cm="1">
        <f t="array" ref="V112">_xlfn.IFS(U112&lt;=250,"0-R$250",U112&lt;=500,"251-R$500",U112&lt;=750,"501-R$750",U112&lt;=1000,"751-R$1000",U112&lt;=1250,"1001-R$1250",U112&lt;=1500,"1251-R$1500")</f>
        <v>501-R$750</v>
      </c>
      <c r="W112" s="13">
        <v>166</v>
      </c>
      <c r="X112" s="13" t="str" cm="1">
        <f t="array" ref="X112">_xlfn.IFS(W112 = 0, "0", W112&lt;=20, "até R$20",W112&lt;=40, "21 - R$40",W112&lt;=60, "41- R$60",W112&lt;=80, "61 - R$80", W112&lt;=100, "81 - R$100",W112&lt;=120, "101 - R$120",W112&lt;=140, "121 - R$140", W112&lt;=160, "141- R$160", W112&lt;=180, "161 - R$180", W112&lt;=200, "181-R$194")</f>
        <v>161 - R$180</v>
      </c>
      <c r="Y112" s="13">
        <v>597</v>
      </c>
      <c r="Z112" s="13">
        <v>172</v>
      </c>
      <c r="AA112" s="13">
        <v>166</v>
      </c>
      <c r="AB112" s="13">
        <v>249</v>
      </c>
      <c r="AC112" s="13">
        <v>1</v>
      </c>
      <c r="AD112" s="13">
        <v>5</v>
      </c>
      <c r="AE112" s="13">
        <v>6</v>
      </c>
      <c r="AF112" s="13">
        <v>4</v>
      </c>
      <c r="AG112" s="13">
        <v>3</v>
      </c>
      <c r="AH112" s="13">
        <v>0</v>
      </c>
      <c r="AI112" s="13">
        <v>0</v>
      </c>
      <c r="AJ112" s="13">
        <v>0</v>
      </c>
      <c r="AK112" s="13">
        <v>0</v>
      </c>
      <c r="AL112" s="13">
        <v>0</v>
      </c>
      <c r="AM112" s="13">
        <v>0</v>
      </c>
      <c r="AN112" s="13">
        <v>0</v>
      </c>
      <c r="AO112" s="14">
        <v>0</v>
      </c>
      <c r="AP112" s="13">
        <v>3</v>
      </c>
      <c r="AQ112" s="13">
        <v>11</v>
      </c>
      <c r="AR112" s="15">
        <v>1449</v>
      </c>
      <c r="AS112" s="15">
        <v>1698</v>
      </c>
    </row>
    <row r="113" spans="1:45" x14ac:dyDescent="0.25">
      <c r="A113">
        <v>947</v>
      </c>
      <c r="B113" s="11">
        <f t="shared" si="1"/>
        <v>92955</v>
      </c>
      <c r="C113" s="16">
        <v>929550</v>
      </c>
      <c r="D113" s="17">
        <v>0</v>
      </c>
      <c r="E113" s="17">
        <v>0</v>
      </c>
      <c r="F113" s="17">
        <v>35</v>
      </c>
      <c r="G113" s="17">
        <v>47</v>
      </c>
      <c r="H113" s="13" t="str" cm="1">
        <f t="array" ref="H113">_xlfn.IFS(G113&lt;=20,"0-20",G113&lt;=30,"20-30",G113&lt;=40,"30-40",G113&lt;=50,"50-60",G113&lt;=60,"60-70",G113&lt;=70,"70-80",G113&lt;=80,"80-90")</f>
        <v>50-60</v>
      </c>
      <c r="I113" s="17">
        <v>2473</v>
      </c>
      <c r="J113" s="13" t="str" cm="1">
        <f t="array" ref="J113">_xlfn.IFS(K113=1,"Divorciado",L113=1,"Casado",M113=1,"Solteiro",N113=1,"Juntos",O113=1,"Viuvo")</f>
        <v>Casado</v>
      </c>
      <c r="K113" s="17">
        <v>0</v>
      </c>
      <c r="L113" s="17">
        <v>1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1</v>
      </c>
      <c r="S113" s="17">
        <v>0</v>
      </c>
      <c r="T113" s="17">
        <v>0</v>
      </c>
      <c r="U113" s="17">
        <v>693</v>
      </c>
      <c r="V113" s="13" t="str" cm="1">
        <f t="array" ref="V113">_xlfn.IFS(U113&lt;=250,"0-R$250",U113&lt;=500,"251-R$500",U113&lt;=750,"501-R$750",U113&lt;=1000,"751-R$1000",U113&lt;=1250,"1001-R$1250",U113&lt;=1500,"1251-R$1500")</f>
        <v>501-R$750</v>
      </c>
      <c r="W113" s="17">
        <v>21</v>
      </c>
      <c r="X113" s="13" t="str" cm="1">
        <f t="array" ref="X113">_xlfn.IFS(W113 = 0, "0", W113&lt;=20, "até R$20",W113&lt;=40, "21 - R$40",W113&lt;=60, "41- R$60",W113&lt;=80, "61 - R$80", W113&lt;=100, "81 - R$100",W113&lt;=120, "101 - R$120",W113&lt;=140, "121 - R$140", W113&lt;=160, "141- R$160", W113&lt;=180, "161 - R$180", W113&lt;=200, "181-R$194")</f>
        <v>21 - R$40</v>
      </c>
      <c r="Y113" s="17">
        <v>925</v>
      </c>
      <c r="Z113" s="17">
        <v>31</v>
      </c>
      <c r="AA113" s="17">
        <v>24</v>
      </c>
      <c r="AB113" s="17">
        <v>84</v>
      </c>
      <c r="AC113" s="17">
        <v>1</v>
      </c>
      <c r="AD113" s="17">
        <v>6</v>
      </c>
      <c r="AE113" s="17">
        <v>7</v>
      </c>
      <c r="AF113" s="17">
        <v>9</v>
      </c>
      <c r="AG113" s="17">
        <v>2</v>
      </c>
      <c r="AH113" s="17">
        <v>0</v>
      </c>
      <c r="AI113" s="17">
        <v>0</v>
      </c>
      <c r="AJ113" s="17">
        <v>0</v>
      </c>
      <c r="AK113" s="17">
        <v>1</v>
      </c>
      <c r="AL113" s="17">
        <v>1</v>
      </c>
      <c r="AM113" s="17">
        <v>0</v>
      </c>
      <c r="AN113" s="17">
        <v>1</v>
      </c>
      <c r="AO113" s="18">
        <v>2</v>
      </c>
      <c r="AP113" s="17">
        <v>3</v>
      </c>
      <c r="AQ113" s="17">
        <v>11</v>
      </c>
      <c r="AR113" s="19">
        <v>1610</v>
      </c>
      <c r="AS113" s="19">
        <v>1694</v>
      </c>
    </row>
    <row r="114" spans="1:45" x14ac:dyDescent="0.25">
      <c r="A114">
        <v>108</v>
      </c>
      <c r="B114" s="11">
        <f t="shared" si="1"/>
        <v>90765</v>
      </c>
      <c r="C114" s="12">
        <v>907650</v>
      </c>
      <c r="D114" s="13">
        <v>0</v>
      </c>
      <c r="E114" s="13">
        <v>0</v>
      </c>
      <c r="F114" s="13">
        <v>25</v>
      </c>
      <c r="G114" s="13">
        <v>50</v>
      </c>
      <c r="H114" s="13" t="str" cm="1">
        <f t="array" ref="H114">_xlfn.IFS(G114&lt;=20,"0-20",G114&lt;=30,"20-30",G114&lt;=40,"30-40",G114&lt;=50,"50-60",G114&lt;=60,"60-70",G114&lt;=70,"70-80",G114&lt;=80,"80-90")</f>
        <v>50-60</v>
      </c>
      <c r="I114" s="13">
        <v>2315</v>
      </c>
      <c r="J114" s="13" t="str" cm="1">
        <f t="array" ref="J114">_xlfn.IFS(K114=1,"Divorciado",L114=1,"Casado",M114=1,"Solteiro",N114=1,"Juntos",O114=1,"Viuvo")</f>
        <v>Casado</v>
      </c>
      <c r="K114" s="13">
        <v>0</v>
      </c>
      <c r="L114" s="13">
        <v>1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1</v>
      </c>
      <c r="S114" s="13">
        <v>0</v>
      </c>
      <c r="T114" s="13">
        <v>0</v>
      </c>
      <c r="U114" s="13">
        <v>547</v>
      </c>
      <c r="V114" s="13" t="str" cm="1">
        <f t="array" ref="V114">_xlfn.IFS(U114&lt;=250,"0-R$250",U114&lt;=500,"251-R$500",U114&lt;=750,"501-R$750",U114&lt;=1000,"751-R$1000",U114&lt;=1250,"1001-R$1250",U114&lt;=1500,"1251-R$1500")</f>
        <v>501-R$750</v>
      </c>
      <c r="W114" s="13">
        <v>99</v>
      </c>
      <c r="X114" s="13" t="str" cm="1">
        <f t="array" ref="X114">_xlfn.IFS(W114 = 0, "0", W114&lt;=20, "até R$20",W114&lt;=40, "21 - R$40",W114&lt;=60, "41- R$60",W114&lt;=80, "61 - R$80", W114&lt;=100, "81 - R$100",W114&lt;=120, "101 - R$120",W114&lt;=140, "121 - R$140", W114&lt;=160, "141- R$160", W114&lt;=180, "161 - R$180", W114&lt;=200, "181-R$194")</f>
        <v>81 - R$100</v>
      </c>
      <c r="Y114" s="13">
        <v>812</v>
      </c>
      <c r="Z114" s="13">
        <v>151</v>
      </c>
      <c r="AA114" s="13">
        <v>82</v>
      </c>
      <c r="AB114" s="13">
        <v>33</v>
      </c>
      <c r="AC114" s="13">
        <v>0</v>
      </c>
      <c r="AD114" s="13">
        <v>4</v>
      </c>
      <c r="AE114" s="13">
        <v>6</v>
      </c>
      <c r="AF114" s="13">
        <v>5</v>
      </c>
      <c r="AG114" s="13">
        <v>1</v>
      </c>
      <c r="AH114" s="13">
        <v>0</v>
      </c>
      <c r="AI114" s="13">
        <v>0</v>
      </c>
      <c r="AJ114" s="13">
        <v>0</v>
      </c>
      <c r="AK114" s="13">
        <v>1</v>
      </c>
      <c r="AL114" s="13">
        <v>1</v>
      </c>
      <c r="AM114" s="13">
        <v>0</v>
      </c>
      <c r="AN114" s="13">
        <v>0</v>
      </c>
      <c r="AO114" s="14">
        <v>2</v>
      </c>
      <c r="AP114" s="13">
        <v>3</v>
      </c>
      <c r="AQ114" s="13">
        <v>11</v>
      </c>
      <c r="AR114" s="15">
        <v>1658</v>
      </c>
      <c r="AS114" s="15">
        <v>1691</v>
      </c>
    </row>
    <row r="115" spans="1:45" x14ac:dyDescent="0.25">
      <c r="A115">
        <v>1940</v>
      </c>
      <c r="B115" s="11">
        <f t="shared" si="1"/>
        <v>74485</v>
      </c>
      <c r="C115" s="12">
        <v>744850</v>
      </c>
      <c r="D115" s="13">
        <v>0</v>
      </c>
      <c r="E115" s="13">
        <v>0</v>
      </c>
      <c r="F115" s="13">
        <v>58</v>
      </c>
      <c r="G115" s="13">
        <v>73</v>
      </c>
      <c r="H115" s="13" t="str" cm="1">
        <f t="array" ref="H115">_xlfn.IFS(G115&lt;=20,"0-20",G115&lt;=30,"20-30",G115&lt;=40,"30-40",G115&lt;=50,"50-60",G115&lt;=60,"60-70",G115&lt;=70,"70-80",G115&lt;=80,"80-90")</f>
        <v>80-90</v>
      </c>
      <c r="I115" s="13">
        <v>2468</v>
      </c>
      <c r="J115" s="13" t="str" cm="1">
        <f t="array" ref="J115">_xlfn.IFS(K115=1,"Divorciado",L115=1,"Casado",M115=1,"Solteiro",N115=1,"Juntos",O115=1,"Viuvo")</f>
        <v>Juntos</v>
      </c>
      <c r="K115" s="13">
        <v>0</v>
      </c>
      <c r="L115" s="13">
        <v>0</v>
      </c>
      <c r="M115" s="13">
        <v>0</v>
      </c>
      <c r="N115" s="13">
        <v>1</v>
      </c>
      <c r="O115" s="13">
        <v>0</v>
      </c>
      <c r="P115" s="13">
        <v>0</v>
      </c>
      <c r="Q115" s="13">
        <v>0</v>
      </c>
      <c r="R115" s="13">
        <v>1</v>
      </c>
      <c r="S115" s="13">
        <v>0</v>
      </c>
      <c r="T115" s="13">
        <v>0</v>
      </c>
      <c r="U115" s="13">
        <v>499</v>
      </c>
      <c r="V115" s="13" t="str" cm="1">
        <f t="array" ref="V115">_xlfn.IFS(U115&lt;=250,"0-R$250",U115&lt;=500,"251-R$500",U115&lt;=750,"501-R$750",U115&lt;=1000,"751-R$1000",U115&lt;=1250,"1001-R$1250",U115&lt;=1500,"1251-R$1500")</f>
        <v>251-R$500</v>
      </c>
      <c r="W115" s="13">
        <v>149</v>
      </c>
      <c r="X115" s="13" t="str" cm="1">
        <f t="array" ref="X115">_xlfn.IFS(W115 = 0, "0", W115&lt;=20, "até R$20",W115&lt;=40, "21 - R$40",W115&lt;=60, "41- R$60",W115&lt;=80, "61 - R$80", W115&lt;=100, "81 - R$100",W115&lt;=120, "101 - R$120",W115&lt;=140, "121 - R$140", W115&lt;=160, "141- R$160", W115&lt;=180, "161 - R$180", W115&lt;=200, "181-R$194")</f>
        <v>141- R$160</v>
      </c>
      <c r="Y115" s="13">
        <v>815</v>
      </c>
      <c r="Z115" s="13">
        <v>173</v>
      </c>
      <c r="AA115" s="13">
        <v>49</v>
      </c>
      <c r="AB115" s="13">
        <v>49</v>
      </c>
      <c r="AC115" s="13">
        <v>1</v>
      </c>
      <c r="AD115" s="13">
        <v>6</v>
      </c>
      <c r="AE115" s="13">
        <v>7</v>
      </c>
      <c r="AF115" s="13">
        <v>12</v>
      </c>
      <c r="AG115" s="13">
        <v>3</v>
      </c>
      <c r="AH115" s="13">
        <v>0</v>
      </c>
      <c r="AI115" s="13">
        <v>0</v>
      </c>
      <c r="AJ115" s="13">
        <v>0</v>
      </c>
      <c r="AK115" s="13">
        <v>0</v>
      </c>
      <c r="AL115" s="13">
        <v>0</v>
      </c>
      <c r="AM115" s="13">
        <v>0</v>
      </c>
      <c r="AN115" s="13">
        <v>0</v>
      </c>
      <c r="AO115" s="14">
        <v>0</v>
      </c>
      <c r="AP115" s="13">
        <v>3</v>
      </c>
      <c r="AQ115" s="13">
        <v>11</v>
      </c>
      <c r="AR115" s="15">
        <v>1636</v>
      </c>
      <c r="AS115" s="15">
        <v>1685</v>
      </c>
    </row>
    <row r="116" spans="1:45" x14ac:dyDescent="0.25">
      <c r="A116">
        <v>476</v>
      </c>
      <c r="B116" s="11">
        <f t="shared" si="1"/>
        <v>76005</v>
      </c>
      <c r="C116" s="12">
        <v>760050</v>
      </c>
      <c r="D116" s="13">
        <v>0</v>
      </c>
      <c r="E116" s="13">
        <v>0</v>
      </c>
      <c r="F116" s="13">
        <v>72</v>
      </c>
      <c r="G116" s="13">
        <v>65</v>
      </c>
      <c r="H116" s="13" t="str" cm="1">
        <f t="array" ref="H116">_xlfn.IFS(G116&lt;=20,"0-20",G116&lt;=30,"20-30",G116&lt;=40,"30-40",G116&lt;=50,"50-60",G116&lt;=60,"60-70",G116&lt;=70,"70-80",G116&lt;=80,"80-90")</f>
        <v>70-80</v>
      </c>
      <c r="I116" s="13">
        <v>2651</v>
      </c>
      <c r="J116" s="13" t="str" cm="1">
        <f t="array" ref="J116">_xlfn.IFS(K116=1,"Divorciado",L116=1,"Casado",M116=1,"Solteiro",N116=1,"Juntos",O116=1,"Viuvo")</f>
        <v>Juntos</v>
      </c>
      <c r="K116" s="13">
        <v>0</v>
      </c>
      <c r="L116" s="13">
        <v>0</v>
      </c>
      <c r="M116" s="13">
        <v>0</v>
      </c>
      <c r="N116" s="13">
        <v>1</v>
      </c>
      <c r="O116" s="13">
        <v>0</v>
      </c>
      <c r="P116" s="13">
        <v>0</v>
      </c>
      <c r="Q116" s="13">
        <v>0</v>
      </c>
      <c r="R116" s="13">
        <v>1</v>
      </c>
      <c r="S116" s="13">
        <v>0</v>
      </c>
      <c r="T116" s="13">
        <v>0</v>
      </c>
      <c r="U116" s="13">
        <v>983</v>
      </c>
      <c r="V116" s="13" t="str" cm="1">
        <f t="array" ref="V116">_xlfn.IFS(U116&lt;=250,"0-R$250",U116&lt;=500,"251-R$500",U116&lt;=750,"501-R$750",U116&lt;=1000,"751-R$1000",U116&lt;=1250,"1001-R$1250",U116&lt;=1500,"1251-R$1500")</f>
        <v>751-R$1000</v>
      </c>
      <c r="W116" s="13">
        <v>20</v>
      </c>
      <c r="X116" s="13" t="str" cm="1">
        <f t="array" ref="X116">_xlfn.IFS(W116 = 0, "0", W116&lt;=20, "até R$20",W116&lt;=40, "21 - R$40",W116&lt;=60, "41- R$60",W116&lt;=80, "61 - R$80", W116&lt;=100, "81 - R$100",W116&lt;=120, "101 - R$120",W116&lt;=140, "121 - R$140", W116&lt;=160, "141- R$160", W116&lt;=180, "161 - R$180", W116&lt;=200, "181-R$194")</f>
        <v>até R$20</v>
      </c>
      <c r="Y116" s="13">
        <v>389</v>
      </c>
      <c r="Z116" s="13">
        <v>240</v>
      </c>
      <c r="AA116" s="13">
        <v>50</v>
      </c>
      <c r="AB116" s="13">
        <v>40</v>
      </c>
      <c r="AC116" s="13">
        <v>1</v>
      </c>
      <c r="AD116" s="13">
        <v>3</v>
      </c>
      <c r="AE116" s="13">
        <v>5</v>
      </c>
      <c r="AF116" s="13">
        <v>13</v>
      </c>
      <c r="AG116" s="13">
        <v>6</v>
      </c>
      <c r="AH116" s="13">
        <v>0</v>
      </c>
      <c r="AI116" s="13">
        <v>0</v>
      </c>
      <c r="AJ116" s="13">
        <v>0</v>
      </c>
      <c r="AK116" s="13">
        <v>0</v>
      </c>
      <c r="AL116" s="13">
        <v>1</v>
      </c>
      <c r="AM116" s="13">
        <v>0</v>
      </c>
      <c r="AN116" s="13">
        <v>0</v>
      </c>
      <c r="AO116" s="14">
        <v>1</v>
      </c>
      <c r="AP116" s="13">
        <v>3</v>
      </c>
      <c r="AQ116" s="13">
        <v>11</v>
      </c>
      <c r="AR116" s="15">
        <v>1642</v>
      </c>
      <c r="AS116" s="15">
        <v>1682</v>
      </c>
    </row>
    <row r="117" spans="1:45" x14ac:dyDescent="0.25">
      <c r="A117">
        <v>1888</v>
      </c>
      <c r="B117" s="11">
        <f t="shared" si="1"/>
        <v>77870</v>
      </c>
      <c r="C117" s="12">
        <v>778700</v>
      </c>
      <c r="D117" s="13">
        <v>0</v>
      </c>
      <c r="E117" s="13">
        <v>1</v>
      </c>
      <c r="F117" s="13">
        <v>93</v>
      </c>
      <c r="G117" s="13">
        <v>53</v>
      </c>
      <c r="H117" s="13" t="str" cm="1">
        <f t="array" ref="H117">_xlfn.IFS(G117&lt;=20,"0-20",G117&lt;=30,"20-30",G117&lt;=40,"30-40",G117&lt;=50,"50-60",G117&lt;=60,"60-70",G117&lt;=70,"70-80",G117&lt;=80,"80-90")</f>
        <v>60-70</v>
      </c>
      <c r="I117" s="13">
        <v>2835</v>
      </c>
      <c r="J117" s="13" t="str" cm="1">
        <f t="array" ref="J117">_xlfn.IFS(K117=1,"Divorciado",L117=1,"Casado",M117=1,"Solteiro",N117=1,"Juntos",O117=1,"Viuvo")</f>
        <v>Casado</v>
      </c>
      <c r="K117" s="13">
        <v>0</v>
      </c>
      <c r="L117" s="13">
        <v>1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1</v>
      </c>
      <c r="S117" s="13">
        <v>0</v>
      </c>
      <c r="T117" s="13">
        <v>0</v>
      </c>
      <c r="U117" s="13">
        <v>1017</v>
      </c>
      <c r="V117" s="13" t="str" cm="1">
        <f t="array" ref="V117">_xlfn.IFS(U117&lt;=250,"0-R$250",U117&lt;=500,"251-R$500",U117&lt;=750,"501-R$750",U117&lt;=1000,"751-R$1000",U117&lt;=1250,"1001-R$1250",U117&lt;=1500,"1251-R$1500")</f>
        <v>1001-R$1250</v>
      </c>
      <c r="W117" s="13">
        <v>50</v>
      </c>
      <c r="X117" s="13" t="str" cm="1">
        <f t="array" ref="X117">_xlfn.IFS(W117 = 0, "0", W117&lt;=20, "até R$20",W117&lt;=40, "21 - R$40",W117&lt;=60, "41- R$60",W117&lt;=80, "61 - R$80", W117&lt;=100, "81 - R$100",W117&lt;=120, "101 - R$120",W117&lt;=140, "121 - R$140", W117&lt;=160, "141- R$160", W117&lt;=180, "161 - R$180", W117&lt;=200, "181-R$194")</f>
        <v>41- R$60</v>
      </c>
      <c r="Y117" s="13">
        <v>500</v>
      </c>
      <c r="Z117" s="13">
        <v>65</v>
      </c>
      <c r="AA117" s="13">
        <v>50</v>
      </c>
      <c r="AB117" s="13">
        <v>133</v>
      </c>
      <c r="AC117" s="13">
        <v>3</v>
      </c>
      <c r="AD117" s="13">
        <v>5</v>
      </c>
      <c r="AE117" s="13">
        <v>5</v>
      </c>
      <c r="AF117" s="13">
        <v>5</v>
      </c>
      <c r="AG117" s="13">
        <v>8</v>
      </c>
      <c r="AH117" s="13">
        <v>0</v>
      </c>
      <c r="AI117" s="13">
        <v>0</v>
      </c>
      <c r="AJ117" s="13">
        <v>1</v>
      </c>
      <c r="AK117" s="13">
        <v>0</v>
      </c>
      <c r="AL117" s="13">
        <v>1</v>
      </c>
      <c r="AM117" s="13">
        <v>0</v>
      </c>
      <c r="AN117" s="13">
        <v>1</v>
      </c>
      <c r="AO117" s="14">
        <v>2</v>
      </c>
      <c r="AP117" s="13">
        <v>3</v>
      </c>
      <c r="AQ117" s="13">
        <v>11</v>
      </c>
      <c r="AR117" s="15">
        <v>1549</v>
      </c>
      <c r="AS117" s="15">
        <v>1682</v>
      </c>
    </row>
    <row r="118" spans="1:45" x14ac:dyDescent="0.25">
      <c r="A118">
        <v>374</v>
      </c>
      <c r="B118" s="11">
        <f t="shared" si="1"/>
        <v>90300</v>
      </c>
      <c r="C118" s="12">
        <v>903000</v>
      </c>
      <c r="D118" s="13">
        <v>0</v>
      </c>
      <c r="E118" s="13">
        <v>0</v>
      </c>
      <c r="F118" s="13">
        <v>7</v>
      </c>
      <c r="G118" s="13">
        <v>41</v>
      </c>
      <c r="H118" s="13" t="str" cm="1">
        <f t="array" ref="H118">_xlfn.IFS(G118&lt;=20,"0-20",G118&lt;=30,"20-30",G118&lt;=40,"30-40",G118&lt;=50,"50-60",G118&lt;=60,"60-70",G118&lt;=70,"70-80",G118&lt;=80,"80-90")</f>
        <v>50-60</v>
      </c>
      <c r="I118" s="13">
        <v>2336</v>
      </c>
      <c r="J118" s="13" t="str" cm="1">
        <f t="array" ref="J118">_xlfn.IFS(K118=1,"Divorciado",L118=1,"Casado",M118=1,"Solteiro",N118=1,"Juntos",O118=1,"Viuvo")</f>
        <v>Juntos</v>
      </c>
      <c r="K118" s="13">
        <v>0</v>
      </c>
      <c r="L118" s="13">
        <v>0</v>
      </c>
      <c r="M118" s="13">
        <v>0</v>
      </c>
      <c r="N118" s="13">
        <v>1</v>
      </c>
      <c r="O118" s="13">
        <v>0</v>
      </c>
      <c r="P118" s="13">
        <v>0</v>
      </c>
      <c r="Q118" s="13">
        <v>0</v>
      </c>
      <c r="R118" s="13">
        <v>1</v>
      </c>
      <c r="S118" s="13">
        <v>0</v>
      </c>
      <c r="T118" s="13">
        <v>0</v>
      </c>
      <c r="U118" s="13">
        <v>594</v>
      </c>
      <c r="V118" s="13" t="str" cm="1">
        <f t="array" ref="V118">_xlfn.IFS(U118&lt;=250,"0-R$250",U118&lt;=500,"251-R$500",U118&lt;=750,"501-R$750",U118&lt;=1000,"751-R$1000",U118&lt;=1250,"1001-R$1250",U118&lt;=1500,"1251-R$1500")</f>
        <v>501-R$750</v>
      </c>
      <c r="W118" s="13">
        <v>134</v>
      </c>
      <c r="X118" s="13" t="str" cm="1">
        <f t="array" ref="X118">_xlfn.IFS(W118 = 0, "0", W118&lt;=20, "até R$20",W118&lt;=40, "21 - R$40",W118&lt;=60, "41- R$60",W118&lt;=80, "61 - R$80", W118&lt;=100, "81 - R$100",W118&lt;=120, "101 - R$120",W118&lt;=140, "121 - R$140", W118&lt;=160, "141- R$160", W118&lt;=180, "161 - R$180", W118&lt;=200, "181-R$194")</f>
        <v>121 - R$140</v>
      </c>
      <c r="Y118" s="13">
        <v>786</v>
      </c>
      <c r="Z118" s="13">
        <v>33</v>
      </c>
      <c r="AA118" s="13">
        <v>134</v>
      </c>
      <c r="AB118" s="13">
        <v>57</v>
      </c>
      <c r="AC118" s="13">
        <v>0</v>
      </c>
      <c r="AD118" s="13">
        <v>5</v>
      </c>
      <c r="AE118" s="13">
        <v>6</v>
      </c>
      <c r="AF118" s="13">
        <v>8</v>
      </c>
      <c r="AG118" s="13">
        <v>1</v>
      </c>
      <c r="AH118" s="13">
        <v>0</v>
      </c>
      <c r="AI118" s="13">
        <v>0</v>
      </c>
      <c r="AJ118" s="13">
        <v>0</v>
      </c>
      <c r="AK118" s="13">
        <v>1</v>
      </c>
      <c r="AL118" s="13">
        <v>0</v>
      </c>
      <c r="AM118" s="13">
        <v>0</v>
      </c>
      <c r="AN118" s="13">
        <v>0</v>
      </c>
      <c r="AO118" s="14">
        <v>1</v>
      </c>
      <c r="AP118" s="13">
        <v>3</v>
      </c>
      <c r="AQ118" s="13">
        <v>11</v>
      </c>
      <c r="AR118" s="15">
        <v>1624</v>
      </c>
      <c r="AS118" s="15">
        <v>1681</v>
      </c>
    </row>
    <row r="119" spans="1:45" x14ac:dyDescent="0.25">
      <c r="A119">
        <v>1153</v>
      </c>
      <c r="B119" s="11">
        <f t="shared" si="1"/>
        <v>74214</v>
      </c>
      <c r="C119" s="16">
        <v>742140</v>
      </c>
      <c r="D119" s="17">
        <v>0</v>
      </c>
      <c r="E119" s="17">
        <v>0</v>
      </c>
      <c r="F119" s="17">
        <v>3</v>
      </c>
      <c r="G119" s="17">
        <v>30</v>
      </c>
      <c r="H119" s="13" t="str" cm="1">
        <f t="array" ref="H119">_xlfn.IFS(G119&lt;=20,"0-20",G119&lt;=30,"20-30",G119&lt;=40,"30-40",G119&lt;=50,"50-60",G119&lt;=60,"60-70",G119&lt;=70,"70-80",G119&lt;=80,"80-90")</f>
        <v>20-30</v>
      </c>
      <c r="I119" s="17">
        <v>2831</v>
      </c>
      <c r="J119" s="13" t="str" cm="1">
        <f t="array" ref="J119">_xlfn.IFS(K119=1,"Divorciado",L119=1,"Casado",M119=1,"Solteiro",N119=1,"Juntos",O119=1,"Viuvo")</f>
        <v>Casado</v>
      </c>
      <c r="K119" s="17">
        <v>0</v>
      </c>
      <c r="L119" s="17">
        <v>1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1</v>
      </c>
      <c r="U119" s="17">
        <v>863</v>
      </c>
      <c r="V119" s="13" t="str" cm="1">
        <f t="array" ref="V119">_xlfn.IFS(U119&lt;=250,"0-R$250",U119&lt;=500,"251-R$500",U119&lt;=750,"501-R$750",U119&lt;=1000,"751-R$1000",U119&lt;=1250,"1001-R$1250",U119&lt;=1500,"1251-R$1500")</f>
        <v>751-R$1000</v>
      </c>
      <c r="W119" s="17">
        <v>83</v>
      </c>
      <c r="X119" s="13" t="str" cm="1">
        <f t="array" ref="X119">_xlfn.IFS(W119 = 0, "0", W119&lt;=20, "até R$20",W119&lt;=40, "21 - R$40",W119&lt;=60, "41- R$60",W119&lt;=80, "61 - R$80", W119&lt;=100, "81 - R$100",W119&lt;=120, "101 - R$120",W119&lt;=140, "121 - R$140", W119&lt;=160, "141- R$160", W119&lt;=180, "161 - R$180", W119&lt;=200, "181-R$194")</f>
        <v>81 - R$100</v>
      </c>
      <c r="Y119" s="17">
        <v>547</v>
      </c>
      <c r="Z119" s="17">
        <v>86</v>
      </c>
      <c r="AA119" s="17">
        <v>99</v>
      </c>
      <c r="AB119" s="17">
        <v>33</v>
      </c>
      <c r="AC119" s="17">
        <v>1</v>
      </c>
      <c r="AD119" s="17">
        <v>8</v>
      </c>
      <c r="AE119" s="17">
        <v>2</v>
      </c>
      <c r="AF119" s="17">
        <v>5</v>
      </c>
      <c r="AG119" s="17">
        <v>5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8">
        <v>0</v>
      </c>
      <c r="AP119" s="17">
        <v>3</v>
      </c>
      <c r="AQ119" s="17">
        <v>11</v>
      </c>
      <c r="AR119" s="19">
        <v>1645</v>
      </c>
      <c r="AS119" s="19">
        <v>1678</v>
      </c>
    </row>
    <row r="120" spans="1:45" x14ac:dyDescent="0.25">
      <c r="A120">
        <v>716</v>
      </c>
      <c r="B120" s="11">
        <f t="shared" si="1"/>
        <v>72025</v>
      </c>
      <c r="C120" s="12">
        <v>720250</v>
      </c>
      <c r="D120" s="13">
        <v>0</v>
      </c>
      <c r="E120" s="13">
        <v>0</v>
      </c>
      <c r="F120" s="13">
        <v>46</v>
      </c>
      <c r="G120" s="13">
        <v>71</v>
      </c>
      <c r="H120" s="13" t="str" cm="1">
        <f t="array" ref="H120">_xlfn.IFS(G120&lt;=20,"0-20",G120&lt;=30,"20-30",G120&lt;=40,"30-40",G120&lt;=50,"50-60",G120&lt;=60,"60-70",G120&lt;=70,"70-80",G120&lt;=80,"80-90")</f>
        <v>80-90</v>
      </c>
      <c r="I120" s="13">
        <v>2220</v>
      </c>
      <c r="J120" s="13" t="str" cm="1">
        <f t="array" ref="J120">_xlfn.IFS(K120=1,"Divorciado",L120=1,"Casado",M120=1,"Solteiro",N120=1,"Juntos",O120=1,"Viuvo")</f>
        <v>Casado</v>
      </c>
      <c r="K120" s="13">
        <v>0</v>
      </c>
      <c r="L120" s="13">
        <v>1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1</v>
      </c>
      <c r="S120" s="13">
        <v>0</v>
      </c>
      <c r="T120" s="13">
        <v>0</v>
      </c>
      <c r="U120" s="13">
        <v>967</v>
      </c>
      <c r="V120" s="13" t="str" cm="1">
        <f t="array" ref="V120">_xlfn.IFS(U120&lt;=250,"0-R$250",U120&lt;=500,"251-R$500",U120&lt;=750,"501-R$750",U120&lt;=1000,"751-R$1000",U120&lt;=1250,"1001-R$1250",U120&lt;=1500,"1251-R$1500")</f>
        <v>751-R$1000</v>
      </c>
      <c r="W120" s="13">
        <v>0</v>
      </c>
      <c r="X120" s="13" t="str" cm="1">
        <f t="array" ref="X120">_xlfn.IFS(W120 = 0, "0", W120&lt;=20, "até R$20",W120&lt;=40, "21 - R$40",W120&lt;=60, "41- R$60",W120&lt;=80, "61 - R$80", W120&lt;=100, "81 - R$100",W120&lt;=120, "101 - R$120",W120&lt;=140, "121 - R$140", W120&lt;=160, "141- R$160", W120&lt;=180, "161 - R$180", W120&lt;=200, "181-R$194")</f>
        <v>0</v>
      </c>
      <c r="Y120" s="13">
        <v>617</v>
      </c>
      <c r="Z120" s="13">
        <v>43</v>
      </c>
      <c r="AA120" s="13">
        <v>50</v>
      </c>
      <c r="AB120" s="13">
        <v>0</v>
      </c>
      <c r="AC120" s="13">
        <v>1</v>
      </c>
      <c r="AD120" s="13">
        <v>4</v>
      </c>
      <c r="AE120" s="13">
        <v>8</v>
      </c>
      <c r="AF120" s="13">
        <v>13</v>
      </c>
      <c r="AG120" s="13">
        <v>2</v>
      </c>
      <c r="AH120" s="13">
        <v>0</v>
      </c>
      <c r="AI120" s="13">
        <v>0</v>
      </c>
      <c r="AJ120" s="13">
        <v>1</v>
      </c>
      <c r="AK120" s="13">
        <v>1</v>
      </c>
      <c r="AL120" s="13">
        <v>1</v>
      </c>
      <c r="AM120" s="13">
        <v>0</v>
      </c>
      <c r="AN120" s="13">
        <v>1</v>
      </c>
      <c r="AO120" s="14">
        <v>3</v>
      </c>
      <c r="AP120" s="13">
        <v>3</v>
      </c>
      <c r="AQ120" s="13">
        <v>11</v>
      </c>
      <c r="AR120" s="15">
        <v>1677</v>
      </c>
      <c r="AS120" s="15">
        <v>1677</v>
      </c>
    </row>
    <row r="121" spans="1:45" x14ac:dyDescent="0.25">
      <c r="A121">
        <v>1048</v>
      </c>
      <c r="B121" s="11">
        <f t="shared" si="1"/>
        <v>64176</v>
      </c>
      <c r="C121" s="12">
        <v>641760</v>
      </c>
      <c r="D121" s="13">
        <v>0</v>
      </c>
      <c r="E121" s="13">
        <v>1</v>
      </c>
      <c r="F121" s="13">
        <v>52</v>
      </c>
      <c r="G121" s="13">
        <v>55</v>
      </c>
      <c r="H121" s="13" t="str" cm="1">
        <f t="array" ref="H121">_xlfn.IFS(G121&lt;=20,"0-20",G121&lt;=30,"20-30",G121&lt;=40,"30-40",G121&lt;=50,"50-60",G121&lt;=60,"60-70",G121&lt;=70,"70-80",G121&lt;=80,"80-90")</f>
        <v>60-70</v>
      </c>
      <c r="I121" s="13">
        <v>2854</v>
      </c>
      <c r="J121" s="13" t="str" cm="1">
        <f t="array" ref="J121">_xlfn.IFS(K121=1,"Divorciado",L121=1,"Casado",M121=1,"Solteiro",N121=1,"Juntos",O121=1,"Viuvo")</f>
        <v>Divorciado</v>
      </c>
      <c r="K121" s="13">
        <v>1</v>
      </c>
      <c r="L121" s="13">
        <v>0</v>
      </c>
      <c r="M121" s="13">
        <v>0</v>
      </c>
      <c r="N121" s="13">
        <v>0</v>
      </c>
      <c r="O121" s="13">
        <v>0</v>
      </c>
      <c r="P121" s="13">
        <v>1</v>
      </c>
      <c r="Q121" s="13">
        <v>0</v>
      </c>
      <c r="R121" s="13">
        <v>0</v>
      </c>
      <c r="S121" s="13">
        <v>0</v>
      </c>
      <c r="T121" s="13">
        <v>0</v>
      </c>
      <c r="U121" s="13">
        <v>1215</v>
      </c>
      <c r="V121" s="13" t="str" cm="1">
        <f t="array" ref="V121">_xlfn.IFS(U121&lt;=250,"0-R$250",U121&lt;=500,"251-R$500",U121&lt;=750,"501-R$750",U121&lt;=1000,"751-R$1000",U121&lt;=1250,"1001-R$1250",U121&lt;=1500,"1251-R$1500")</f>
        <v>1001-R$1250</v>
      </c>
      <c r="W121" s="13">
        <v>33</v>
      </c>
      <c r="X121" s="13" t="str" cm="1">
        <f t="array" ref="X121">_xlfn.IFS(W121 = 0, "0", W121&lt;=20, "até R$20",W121&lt;=40, "21 - R$40",W121&lt;=60, "41- R$60",W121&lt;=80, "61 - R$80", W121&lt;=100, "81 - R$100",W121&lt;=120, "101 - R$120",W121&lt;=140, "121 - R$140", W121&lt;=160, "141- R$160", W121&lt;=180, "161 - R$180", W121&lt;=200, "181-R$194")</f>
        <v>21 - R$40</v>
      </c>
      <c r="Y121" s="13">
        <v>249</v>
      </c>
      <c r="Z121" s="13">
        <v>64</v>
      </c>
      <c r="AA121" s="13">
        <v>116</v>
      </c>
      <c r="AB121" s="13">
        <v>149</v>
      </c>
      <c r="AC121" s="13">
        <v>8</v>
      </c>
      <c r="AD121" s="13">
        <v>8</v>
      </c>
      <c r="AE121" s="13">
        <v>9</v>
      </c>
      <c r="AF121" s="13">
        <v>8</v>
      </c>
      <c r="AG121" s="13">
        <v>6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  <c r="AN121" s="13">
        <v>0</v>
      </c>
      <c r="AO121" s="14">
        <v>0</v>
      </c>
      <c r="AP121" s="13">
        <v>3</v>
      </c>
      <c r="AQ121" s="13">
        <v>11</v>
      </c>
      <c r="AR121" s="15">
        <v>1528</v>
      </c>
      <c r="AS121" s="15">
        <v>1677</v>
      </c>
    </row>
    <row r="122" spans="1:45" x14ac:dyDescent="0.25">
      <c r="A122">
        <v>1968</v>
      </c>
      <c r="B122" s="11">
        <f t="shared" si="1"/>
        <v>94472</v>
      </c>
      <c r="C122" s="12">
        <v>944720</v>
      </c>
      <c r="D122" s="13">
        <v>0</v>
      </c>
      <c r="E122" s="13">
        <v>1</v>
      </c>
      <c r="F122" s="13">
        <v>75</v>
      </c>
      <c r="G122" s="13">
        <v>62</v>
      </c>
      <c r="H122" s="13" t="str" cm="1">
        <f t="array" ref="H122">_xlfn.IFS(G122&lt;=20,"0-20",G122&lt;=30,"20-30",G122&lt;=40,"30-40",G122&lt;=50,"50-60",G122&lt;=60,"60-70",G122&lt;=70,"70-80",G122&lt;=80,"80-90")</f>
        <v>70-80</v>
      </c>
      <c r="I122" s="13">
        <v>2246</v>
      </c>
      <c r="J122" s="13" t="str" cm="1">
        <f t="array" ref="J122">_xlfn.IFS(K122=1,"Divorciado",L122=1,"Casado",M122=1,"Solteiro",N122=1,"Juntos",O122=1,"Viuvo")</f>
        <v>Solteiro</v>
      </c>
      <c r="K122" s="13">
        <v>0</v>
      </c>
      <c r="L122" s="13">
        <v>0</v>
      </c>
      <c r="M122" s="13">
        <v>1</v>
      </c>
      <c r="N122" s="13">
        <v>0</v>
      </c>
      <c r="O122" s="13">
        <v>0</v>
      </c>
      <c r="P122" s="13">
        <v>0</v>
      </c>
      <c r="Q122" s="13">
        <v>0</v>
      </c>
      <c r="R122" s="13">
        <v>1</v>
      </c>
      <c r="S122" s="13">
        <v>0</v>
      </c>
      <c r="T122" s="13">
        <v>0</v>
      </c>
      <c r="U122" s="13">
        <v>1017</v>
      </c>
      <c r="V122" s="13" t="str" cm="1">
        <f t="array" ref="V122">_xlfn.IFS(U122&lt;=250,"0-R$250",U122&lt;=500,"251-R$500",U122&lt;=750,"501-R$750",U122&lt;=1000,"751-R$1000",U122&lt;=1250,"1001-R$1250",U122&lt;=1500,"1251-R$1500")</f>
        <v>1001-R$1250</v>
      </c>
      <c r="W122" s="13">
        <v>33</v>
      </c>
      <c r="X122" s="13" t="str" cm="1">
        <f t="array" ref="X122">_xlfn.IFS(W122 = 0, "0", W122&lt;=20, "até R$20",W122&lt;=40, "21 - R$40",W122&lt;=60, "41- R$60",W122&lt;=80, "61 - R$80", W122&lt;=100, "81 - R$100",W122&lt;=120, "101 - R$120",W122&lt;=140, "121 - R$140", W122&lt;=160, "141- R$160", W122&lt;=180, "161 - R$180", W122&lt;=200, "181-R$194")</f>
        <v>21 - R$40</v>
      </c>
      <c r="Y122" s="13">
        <v>417</v>
      </c>
      <c r="Z122" s="13">
        <v>108</v>
      </c>
      <c r="AA122" s="13">
        <v>100</v>
      </c>
      <c r="AB122" s="13">
        <v>16</v>
      </c>
      <c r="AC122" s="13">
        <v>1</v>
      </c>
      <c r="AD122" s="13">
        <v>5</v>
      </c>
      <c r="AE122" s="13">
        <v>5</v>
      </c>
      <c r="AF122" s="13">
        <v>5</v>
      </c>
      <c r="AG122" s="13">
        <v>5</v>
      </c>
      <c r="AH122" s="13">
        <v>0</v>
      </c>
      <c r="AI122" s="13">
        <v>0</v>
      </c>
      <c r="AJ122" s="13">
        <v>1</v>
      </c>
      <c r="AK122" s="13">
        <v>1</v>
      </c>
      <c r="AL122" s="13">
        <v>0</v>
      </c>
      <c r="AM122" s="13">
        <v>0</v>
      </c>
      <c r="AN122" s="13">
        <v>0</v>
      </c>
      <c r="AO122" s="14">
        <v>2</v>
      </c>
      <c r="AP122" s="13">
        <v>3</v>
      </c>
      <c r="AQ122" s="13">
        <v>11</v>
      </c>
      <c r="AR122" s="15">
        <v>1659</v>
      </c>
      <c r="AS122" s="15">
        <v>1675</v>
      </c>
    </row>
    <row r="123" spans="1:45" x14ac:dyDescent="0.25">
      <c r="A123">
        <v>151</v>
      </c>
      <c r="B123" s="11">
        <f t="shared" si="1"/>
        <v>70356</v>
      </c>
      <c r="C123" s="16">
        <v>703560</v>
      </c>
      <c r="D123" s="17">
        <v>0</v>
      </c>
      <c r="E123" s="17">
        <v>0</v>
      </c>
      <c r="F123" s="17">
        <v>20</v>
      </c>
      <c r="G123" s="17">
        <v>75</v>
      </c>
      <c r="H123" s="13" t="str" cm="1">
        <f t="array" ref="H123">_xlfn.IFS(G123&lt;=20,"0-20",G123&lt;=30,"20-30",G123&lt;=40,"30-40",G123&lt;=50,"50-60",G123&lt;=60,"60-70",G123&lt;=70,"70-80",G123&lt;=80,"80-90")</f>
        <v>80-90</v>
      </c>
      <c r="I123" s="17">
        <v>2760</v>
      </c>
      <c r="J123" s="13" t="str" cm="1">
        <f t="array" ref="J123">_xlfn.IFS(K123=1,"Divorciado",L123=1,"Casado",M123=1,"Solteiro",N123=1,"Juntos",O123=1,"Viuvo")</f>
        <v>Casado</v>
      </c>
      <c r="K123" s="17">
        <v>0</v>
      </c>
      <c r="L123" s="17">
        <v>1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1</v>
      </c>
      <c r="U123" s="17">
        <v>1349</v>
      </c>
      <c r="V123" s="13" t="str" cm="1">
        <f t="array" ref="V123">_xlfn.IFS(U123&lt;=250,"0-R$250",U123&lt;=500,"251-R$500",U123&lt;=750,"501-R$750",U123&lt;=1000,"751-R$1000",U123&lt;=1250,"1001-R$1250",U123&lt;=1500,"1251-R$1500")</f>
        <v>1251-R$1500</v>
      </c>
      <c r="W123" s="17">
        <v>16</v>
      </c>
      <c r="X123" s="13" t="str" cm="1">
        <f t="array" ref="X123">_xlfn.IFS(W123 = 0, "0", W123&lt;=20, "até R$20",W123&lt;=40, "21 - R$40",W123&lt;=60, "41- R$60",W123&lt;=80, "61 - R$80", W123&lt;=100, "81 - R$100",W123&lt;=120, "101 - R$120",W123&lt;=140, "121 - R$140", W123&lt;=160, "141- R$160", W123&lt;=180, "161 - R$180", W123&lt;=200, "181-R$194")</f>
        <v>até R$20</v>
      </c>
      <c r="Y123" s="17">
        <v>249</v>
      </c>
      <c r="Z123" s="17">
        <v>43</v>
      </c>
      <c r="AA123" s="17">
        <v>16</v>
      </c>
      <c r="AB123" s="17">
        <v>33</v>
      </c>
      <c r="AC123" s="17">
        <v>2</v>
      </c>
      <c r="AD123" s="17">
        <v>10</v>
      </c>
      <c r="AE123" s="17">
        <v>6</v>
      </c>
      <c r="AF123" s="17">
        <v>9</v>
      </c>
      <c r="AG123" s="17">
        <v>6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8">
        <v>0</v>
      </c>
      <c r="AP123" s="17">
        <v>3</v>
      </c>
      <c r="AQ123" s="17">
        <v>11</v>
      </c>
      <c r="AR123" s="19">
        <v>1640</v>
      </c>
      <c r="AS123" s="19">
        <v>1673</v>
      </c>
    </row>
    <row r="124" spans="1:45" x14ac:dyDescent="0.25">
      <c r="A124">
        <v>28</v>
      </c>
      <c r="B124" s="11">
        <f t="shared" si="1"/>
        <v>84618</v>
      </c>
      <c r="C124" s="12">
        <v>846180</v>
      </c>
      <c r="D124" s="13">
        <v>0</v>
      </c>
      <c r="E124" s="13">
        <v>0</v>
      </c>
      <c r="F124" s="13">
        <v>96</v>
      </c>
      <c r="G124" s="13">
        <v>55</v>
      </c>
      <c r="H124" s="13" t="str" cm="1">
        <f t="array" ref="H124">_xlfn.IFS(G124&lt;=20,"0-20",G124&lt;=30,"20-30",G124&lt;=40,"30-40",G124&lt;=50,"50-60",G124&lt;=60,"60-70",G124&lt;=70,"70-80",G124&lt;=80,"80-90")</f>
        <v>60-70</v>
      </c>
      <c r="I124" s="13">
        <v>2378</v>
      </c>
      <c r="J124" s="13" t="str" cm="1">
        <f t="array" ref="J124">_xlfn.IFS(K124=1,"Divorciado",L124=1,"Casado",M124=1,"Solteiro",N124=1,"Juntos",O124=1,"Viuvo")</f>
        <v>Casado</v>
      </c>
      <c r="K124" s="13">
        <v>0</v>
      </c>
      <c r="L124" s="13">
        <v>1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1</v>
      </c>
      <c r="U124" s="13">
        <v>684</v>
      </c>
      <c r="V124" s="13" t="str" cm="1">
        <f t="array" ref="V124">_xlfn.IFS(U124&lt;=250,"0-R$250",U124&lt;=500,"251-R$500",U124&lt;=750,"501-R$750",U124&lt;=1000,"751-R$1000",U124&lt;=1250,"1001-R$1250",U124&lt;=1500,"1251-R$1500")</f>
        <v>501-R$750</v>
      </c>
      <c r="W124" s="13">
        <v>100</v>
      </c>
      <c r="X124" s="13" t="str" cm="1">
        <f t="array" ref="X124">_xlfn.IFS(W124 = 0, "0", W124&lt;=20, "até R$20",W124&lt;=40, "21 - R$40",W124&lt;=60, "41- R$60",W124&lt;=80, "61 - R$80", W124&lt;=100, "81 - R$100",W124&lt;=120, "101 - R$120",W124&lt;=140, "121 - R$140", W124&lt;=160, "141- R$160", W124&lt;=180, "161 - R$180", W124&lt;=200, "181-R$194")</f>
        <v>81 - R$100</v>
      </c>
      <c r="Y124" s="13">
        <v>801</v>
      </c>
      <c r="Z124" s="13">
        <v>21</v>
      </c>
      <c r="AA124" s="13">
        <v>66</v>
      </c>
      <c r="AB124" s="13">
        <v>0</v>
      </c>
      <c r="AC124" s="13">
        <v>1</v>
      </c>
      <c r="AD124" s="13">
        <v>6</v>
      </c>
      <c r="AE124" s="13">
        <v>9</v>
      </c>
      <c r="AF124" s="13">
        <v>10</v>
      </c>
      <c r="AG124" s="13">
        <v>2</v>
      </c>
      <c r="AH124" s="13">
        <v>0</v>
      </c>
      <c r="AI124" s="13">
        <v>0</v>
      </c>
      <c r="AJ124" s="13">
        <v>0</v>
      </c>
      <c r="AK124" s="13">
        <v>1</v>
      </c>
      <c r="AL124" s="13">
        <v>0</v>
      </c>
      <c r="AM124" s="13">
        <v>0</v>
      </c>
      <c r="AN124" s="13">
        <v>0</v>
      </c>
      <c r="AO124" s="14">
        <v>1</v>
      </c>
      <c r="AP124" s="13">
        <v>3</v>
      </c>
      <c r="AQ124" s="13">
        <v>11</v>
      </c>
      <c r="AR124" s="15">
        <v>1672</v>
      </c>
      <c r="AS124" s="15">
        <v>1672</v>
      </c>
    </row>
    <row r="125" spans="1:45" x14ac:dyDescent="0.25">
      <c r="A125">
        <v>414</v>
      </c>
      <c r="B125" s="11">
        <f t="shared" si="1"/>
        <v>84865</v>
      </c>
      <c r="C125" s="12">
        <v>848650</v>
      </c>
      <c r="D125" s="13">
        <v>0</v>
      </c>
      <c r="E125" s="13">
        <v>0</v>
      </c>
      <c r="F125" s="13">
        <v>1</v>
      </c>
      <c r="G125" s="13">
        <v>59</v>
      </c>
      <c r="H125" s="13" t="str" cm="1">
        <f t="array" ref="H125">_xlfn.IFS(G125&lt;=20,"0-20",G125&lt;=30,"20-30",G125&lt;=40,"30-40",G125&lt;=50,"50-60",G125&lt;=60,"60-70",G125&lt;=70,"70-80",G125&lt;=80,"80-90")</f>
        <v>60-70</v>
      </c>
      <c r="I125" s="13">
        <v>2575</v>
      </c>
      <c r="J125" s="13" t="str" cm="1">
        <f t="array" ref="J125">_xlfn.IFS(K125=1,"Divorciado",L125=1,"Casado",M125=1,"Solteiro",N125=1,"Juntos",O125=1,"Viuvo")</f>
        <v>Solteiro</v>
      </c>
      <c r="K125" s="13">
        <v>0</v>
      </c>
      <c r="L125" s="13">
        <v>0</v>
      </c>
      <c r="M125" s="13">
        <v>1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1</v>
      </c>
      <c r="U125" s="13">
        <v>1248</v>
      </c>
      <c r="V125" s="13" t="str" cm="1">
        <f t="array" ref="V125">_xlfn.IFS(U125&lt;=250,"0-R$250",U125&lt;=500,"251-R$500",U125&lt;=750,"501-R$750",U125&lt;=1000,"751-R$1000",U125&lt;=1250,"1001-R$1250",U125&lt;=1500,"1251-R$1500")</f>
        <v>1001-R$1250</v>
      </c>
      <c r="W125" s="13">
        <v>16</v>
      </c>
      <c r="X125" s="13" t="str" cm="1">
        <f t="array" ref="X125">_xlfn.IFS(W125 = 0, "0", W125&lt;=20, "até R$20",W125&lt;=40, "21 - R$40",W125&lt;=60, "41- R$60",W125&lt;=80, "61 - R$80", W125&lt;=100, "81 - R$100",W125&lt;=120, "101 - R$120",W125&lt;=140, "121 - R$140", W125&lt;=160, "141- R$160", W125&lt;=180, "161 - R$180", W125&lt;=200, "181-R$194")</f>
        <v>até R$20</v>
      </c>
      <c r="Y125" s="13">
        <v>349</v>
      </c>
      <c r="Z125" s="13">
        <v>43</v>
      </c>
      <c r="AA125" s="13">
        <v>16</v>
      </c>
      <c r="AB125" s="13">
        <v>16</v>
      </c>
      <c r="AC125" s="13">
        <v>1</v>
      </c>
      <c r="AD125" s="13">
        <v>2</v>
      </c>
      <c r="AE125" s="13">
        <v>4</v>
      </c>
      <c r="AF125" s="13">
        <v>9</v>
      </c>
      <c r="AG125" s="13">
        <v>4</v>
      </c>
      <c r="AH125" s="13">
        <v>0</v>
      </c>
      <c r="AI125" s="13">
        <v>0</v>
      </c>
      <c r="AJ125" s="13">
        <v>1</v>
      </c>
      <c r="AK125" s="13">
        <v>1</v>
      </c>
      <c r="AL125" s="13">
        <v>1</v>
      </c>
      <c r="AM125" s="13">
        <v>1</v>
      </c>
      <c r="AN125" s="13">
        <v>1</v>
      </c>
      <c r="AO125" s="14">
        <v>4</v>
      </c>
      <c r="AP125" s="13">
        <v>3</v>
      </c>
      <c r="AQ125" s="13">
        <v>11</v>
      </c>
      <c r="AR125" s="15">
        <v>1656</v>
      </c>
      <c r="AS125" s="15">
        <v>1672</v>
      </c>
    </row>
    <row r="126" spans="1:45" x14ac:dyDescent="0.25">
      <c r="A126">
        <v>1187</v>
      </c>
      <c r="B126" s="11">
        <f t="shared" si="1"/>
        <v>84618</v>
      </c>
      <c r="C126" s="16">
        <v>846180</v>
      </c>
      <c r="D126" s="17">
        <v>0</v>
      </c>
      <c r="E126" s="17">
        <v>0</v>
      </c>
      <c r="F126" s="17">
        <v>96</v>
      </c>
      <c r="G126" s="17">
        <v>55</v>
      </c>
      <c r="H126" s="13" t="str" cm="1">
        <f t="array" ref="H126">_xlfn.IFS(G126&lt;=20,"0-20",G126&lt;=30,"20-30",G126&lt;=40,"30-40",G126&lt;=50,"50-60",G126&lt;=60,"60-70",G126&lt;=70,"70-80",G126&lt;=80,"80-90")</f>
        <v>60-70</v>
      </c>
      <c r="I126" s="17">
        <v>2378</v>
      </c>
      <c r="J126" s="13" t="str" cm="1">
        <f t="array" ref="J126">_xlfn.IFS(K126=1,"Divorciado",L126=1,"Casado",M126=1,"Solteiro",N126=1,"Juntos",O126=1,"Viuvo")</f>
        <v>Casado</v>
      </c>
      <c r="K126" s="17">
        <v>0</v>
      </c>
      <c r="L126" s="17">
        <v>1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1</v>
      </c>
      <c r="U126" s="17">
        <v>684</v>
      </c>
      <c r="V126" s="13" t="str" cm="1">
        <f t="array" ref="V126">_xlfn.IFS(U126&lt;=250,"0-R$250",U126&lt;=500,"251-R$500",U126&lt;=750,"501-R$750",U126&lt;=1000,"751-R$1000",U126&lt;=1250,"1001-R$1250",U126&lt;=1500,"1251-R$1500")</f>
        <v>501-R$750</v>
      </c>
      <c r="W126" s="17">
        <v>100</v>
      </c>
      <c r="X126" s="13" t="str" cm="1">
        <f t="array" ref="X126">_xlfn.IFS(W126 = 0, "0", W126&lt;=20, "até R$20",W126&lt;=40, "21 - R$40",W126&lt;=60, "41- R$60",W126&lt;=80, "61 - R$80", W126&lt;=100, "81 - R$100",W126&lt;=120, "101 - R$120",W126&lt;=140, "121 - R$140", W126&lt;=160, "141- R$160", W126&lt;=180, "161 - R$180", W126&lt;=200, "181-R$194")</f>
        <v>81 - R$100</v>
      </c>
      <c r="Y126" s="17">
        <v>801</v>
      </c>
      <c r="Z126" s="17">
        <v>21</v>
      </c>
      <c r="AA126" s="17">
        <v>66</v>
      </c>
      <c r="AB126" s="17">
        <v>0</v>
      </c>
      <c r="AC126" s="17">
        <v>1</v>
      </c>
      <c r="AD126" s="17">
        <v>6</v>
      </c>
      <c r="AE126" s="17">
        <v>9</v>
      </c>
      <c r="AF126" s="17">
        <v>10</v>
      </c>
      <c r="AG126" s="17">
        <v>2</v>
      </c>
      <c r="AH126" s="17">
        <v>0</v>
      </c>
      <c r="AI126" s="17">
        <v>0</v>
      </c>
      <c r="AJ126" s="17">
        <v>0</v>
      </c>
      <c r="AK126" s="17">
        <v>1</v>
      </c>
      <c r="AL126" s="17">
        <v>0</v>
      </c>
      <c r="AM126" s="17">
        <v>0</v>
      </c>
      <c r="AN126" s="17">
        <v>0</v>
      </c>
      <c r="AO126" s="18">
        <v>1</v>
      </c>
      <c r="AP126" s="17">
        <v>3</v>
      </c>
      <c r="AQ126" s="17">
        <v>11</v>
      </c>
      <c r="AR126" s="19">
        <v>1672</v>
      </c>
      <c r="AS126" s="19">
        <v>1672</v>
      </c>
    </row>
    <row r="127" spans="1:45" x14ac:dyDescent="0.25">
      <c r="A127">
        <v>1661</v>
      </c>
      <c r="B127" s="11">
        <f t="shared" si="1"/>
        <v>78789</v>
      </c>
      <c r="C127" s="16">
        <v>787890</v>
      </c>
      <c r="D127" s="17">
        <v>0</v>
      </c>
      <c r="E127" s="17">
        <v>0</v>
      </c>
      <c r="F127" s="17">
        <v>12</v>
      </c>
      <c r="G127" s="17">
        <v>40</v>
      </c>
      <c r="H127" s="13" t="str" cm="1">
        <f t="array" ref="H127">_xlfn.IFS(G127&lt;=20,"0-20",G127&lt;=30,"20-30",G127&lt;=40,"30-40",G127&lt;=50,"50-60",G127&lt;=60,"60-70",G127&lt;=70,"70-80",G127&lt;=80,"80-90")</f>
        <v>30-40</v>
      </c>
      <c r="I127" s="17">
        <v>2849</v>
      </c>
      <c r="J127" s="13" t="str" cm="1">
        <f t="array" ref="J127">_xlfn.IFS(K127=1,"Divorciado",L127=1,"Casado",M127=1,"Solteiro",N127=1,"Juntos",O127=1,"Viuvo")</f>
        <v>Divorciado</v>
      </c>
      <c r="K127" s="17">
        <v>1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1</v>
      </c>
      <c r="T127" s="17">
        <v>0</v>
      </c>
      <c r="U127" s="17">
        <v>667</v>
      </c>
      <c r="V127" s="13" t="str" cm="1">
        <f t="array" ref="V127">_xlfn.IFS(U127&lt;=250,"0-R$250",U127&lt;=500,"251-R$500",U127&lt;=750,"501-R$750",U127&lt;=1000,"751-R$1000",U127&lt;=1250,"1001-R$1250",U127&lt;=1500,"1251-R$1500")</f>
        <v>501-R$750</v>
      </c>
      <c r="W127" s="17">
        <v>50</v>
      </c>
      <c r="X127" s="13" t="str" cm="1">
        <f t="array" ref="X127">_xlfn.IFS(W127 = 0, "0", W127&lt;=20, "até R$20",W127&lt;=40, "21 - R$40",W127&lt;=60, "41- R$60",W127&lt;=80, "61 - R$80", W127&lt;=100, "81 - R$100",W127&lt;=120, "101 - R$120",W127&lt;=140, "121 - R$140", W127&lt;=160, "141- R$160", W127&lt;=180, "161 - R$180", W127&lt;=200, "181-R$194")</f>
        <v>41- R$60</v>
      </c>
      <c r="Y127" s="17">
        <v>850</v>
      </c>
      <c r="Z127" s="17">
        <v>21</v>
      </c>
      <c r="AA127" s="17">
        <v>83</v>
      </c>
      <c r="AB127" s="17">
        <v>83</v>
      </c>
      <c r="AC127" s="17">
        <v>1</v>
      </c>
      <c r="AD127" s="17">
        <v>4</v>
      </c>
      <c r="AE127" s="17">
        <v>6</v>
      </c>
      <c r="AF127" s="17">
        <v>5</v>
      </c>
      <c r="AG127" s="17">
        <v>2</v>
      </c>
      <c r="AH127" s="17">
        <v>0</v>
      </c>
      <c r="AI127" s="17">
        <v>0</v>
      </c>
      <c r="AJ127" s="17">
        <v>0</v>
      </c>
      <c r="AK127" s="17">
        <v>0</v>
      </c>
      <c r="AL127" s="17">
        <v>0</v>
      </c>
      <c r="AM127" s="17">
        <v>0</v>
      </c>
      <c r="AN127" s="17">
        <v>1</v>
      </c>
      <c r="AO127" s="18">
        <v>0</v>
      </c>
      <c r="AP127" s="17">
        <v>3</v>
      </c>
      <c r="AQ127" s="17">
        <v>11</v>
      </c>
      <c r="AR127" s="19">
        <v>1588</v>
      </c>
      <c r="AS127" s="19">
        <v>1671</v>
      </c>
    </row>
    <row r="128" spans="1:45" x14ac:dyDescent="0.25">
      <c r="A128">
        <v>1862</v>
      </c>
      <c r="B128" s="11">
        <f t="shared" si="1"/>
        <v>86979</v>
      </c>
      <c r="C128" s="12">
        <v>869790</v>
      </c>
      <c r="D128" s="13">
        <v>0</v>
      </c>
      <c r="E128" s="13">
        <v>0</v>
      </c>
      <c r="F128" s="13">
        <v>67</v>
      </c>
      <c r="G128" s="13">
        <v>49</v>
      </c>
      <c r="H128" s="13" t="str" cm="1">
        <f t="array" ref="H128">_xlfn.IFS(G128&lt;=20,"0-20",G128&lt;=30,"20-30",G128&lt;=40,"30-40",G128&lt;=50,"50-60",G128&lt;=60,"60-70",G128&lt;=70,"70-80",G128&lt;=80,"80-90")</f>
        <v>50-60</v>
      </c>
      <c r="I128" s="13">
        <v>2393</v>
      </c>
      <c r="J128" s="13" t="str" cm="1">
        <f t="array" ref="J128">_xlfn.IFS(K128=1,"Divorciado",L128=1,"Casado",M128=1,"Solteiro",N128=1,"Juntos",O128=1,"Viuvo")</f>
        <v>Divorciado</v>
      </c>
      <c r="K128" s="13">
        <v>1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1</v>
      </c>
      <c r="U128" s="13">
        <v>584</v>
      </c>
      <c r="V128" s="13" t="str" cm="1">
        <f t="array" ref="V128">_xlfn.IFS(U128&lt;=250,"0-R$250",U128&lt;=500,"251-R$500",U128&lt;=750,"501-R$750",U128&lt;=1000,"751-R$1000",U128&lt;=1250,"1001-R$1250",U128&lt;=1500,"1251-R$1500")</f>
        <v>501-R$750</v>
      </c>
      <c r="W128" s="13">
        <v>100</v>
      </c>
      <c r="X128" s="13" t="str" cm="1">
        <f t="array" ref="X128">_xlfn.IFS(W128 = 0, "0", W128&lt;=20, "até R$20",W128&lt;=40, "21 - R$40",W128&lt;=60, "41- R$60",W128&lt;=80, "61 - R$80", W128&lt;=100, "81 - R$100",W128&lt;=120, "101 - R$120",W128&lt;=140, "121 - R$140", W128&lt;=160, "141- R$160", W128&lt;=180, "161 - R$180", W128&lt;=200, "181-R$194")</f>
        <v>81 - R$100</v>
      </c>
      <c r="Y128" s="13">
        <v>835</v>
      </c>
      <c r="Z128" s="13">
        <v>65</v>
      </c>
      <c r="AA128" s="13">
        <v>83</v>
      </c>
      <c r="AB128" s="13">
        <v>35</v>
      </c>
      <c r="AC128" s="13">
        <v>1</v>
      </c>
      <c r="AD128" s="13">
        <v>5</v>
      </c>
      <c r="AE128" s="13">
        <v>5</v>
      </c>
      <c r="AF128" s="13">
        <v>5</v>
      </c>
      <c r="AG128" s="13">
        <v>2</v>
      </c>
      <c r="AH128" s="13">
        <v>0</v>
      </c>
      <c r="AI128" s="13">
        <v>1</v>
      </c>
      <c r="AJ128" s="13">
        <v>0</v>
      </c>
      <c r="AK128" s="13">
        <v>0</v>
      </c>
      <c r="AL128" s="13">
        <v>0</v>
      </c>
      <c r="AM128" s="13">
        <v>0</v>
      </c>
      <c r="AN128" s="13">
        <v>1</v>
      </c>
      <c r="AO128" s="14">
        <v>1</v>
      </c>
      <c r="AP128" s="13">
        <v>3</v>
      </c>
      <c r="AQ128" s="13">
        <v>11</v>
      </c>
      <c r="AR128" s="15">
        <v>1632</v>
      </c>
      <c r="AS128" s="15">
        <v>1667</v>
      </c>
    </row>
    <row r="129" spans="1:45" x14ac:dyDescent="0.25">
      <c r="A129">
        <v>2040</v>
      </c>
      <c r="B129" s="11">
        <f t="shared" si="1"/>
        <v>77610</v>
      </c>
      <c r="C129" s="12">
        <v>776100</v>
      </c>
      <c r="D129" s="13">
        <v>0</v>
      </c>
      <c r="E129" s="13">
        <v>1</v>
      </c>
      <c r="F129" s="13">
        <v>70</v>
      </c>
      <c r="G129" s="13">
        <v>68</v>
      </c>
      <c r="H129" s="13" t="str" cm="1">
        <f t="array" ref="H129">_xlfn.IFS(G129&lt;=20,"0-20",G129&lt;=30,"20-30",G129&lt;=40,"30-40",G129&lt;=50,"50-60",G129&lt;=60,"60-70",G129&lt;=70,"70-80",G129&lt;=80,"80-90")</f>
        <v>70-80</v>
      </c>
      <c r="I129" s="13">
        <v>2767</v>
      </c>
      <c r="J129" s="13" t="str" cm="1">
        <f t="array" ref="J129">_xlfn.IFS(K129=1,"Divorciado",L129=1,"Casado",M129=1,"Solteiro",N129=1,"Juntos",O129=1,"Viuvo")</f>
        <v>Casado</v>
      </c>
      <c r="K129" s="13">
        <v>0</v>
      </c>
      <c r="L129" s="13">
        <v>1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1</v>
      </c>
      <c r="U129" s="13">
        <v>1245</v>
      </c>
      <c r="V129" s="13" t="str" cm="1">
        <f t="array" ref="V129">_xlfn.IFS(U129&lt;=250,"0-R$250",U129&lt;=500,"251-R$500",U129&lt;=750,"501-R$750",U129&lt;=1000,"751-R$1000",U129&lt;=1250,"1001-R$1250",U129&lt;=1500,"1251-R$1500")</f>
        <v>1001-R$1250</v>
      </c>
      <c r="W129" s="13">
        <v>33</v>
      </c>
      <c r="X129" s="13" t="str" cm="1">
        <f t="array" ref="X129">_xlfn.IFS(W129 = 0, "0", W129&lt;=20, "até R$20",W129&lt;=40, "21 - R$40",W129&lt;=60, "41- R$60",W129&lt;=80, "61 - R$80", W129&lt;=100, "81 - R$100",W129&lt;=120, "101 - R$120",W129&lt;=140, "121 - R$140", W129&lt;=160, "141- R$160", W129&lt;=180, "161 - R$180", W129&lt;=200, "181-R$194")</f>
        <v>21 - R$40</v>
      </c>
      <c r="Y129" s="13">
        <v>332</v>
      </c>
      <c r="Z129" s="13">
        <v>21</v>
      </c>
      <c r="AA129" s="13">
        <v>33</v>
      </c>
      <c r="AB129" s="13">
        <v>16</v>
      </c>
      <c r="AC129" s="13">
        <v>2</v>
      </c>
      <c r="AD129" s="13">
        <v>4</v>
      </c>
      <c r="AE129" s="13">
        <v>7</v>
      </c>
      <c r="AF129" s="13">
        <v>4</v>
      </c>
      <c r="AG129" s="13">
        <v>7</v>
      </c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14">
        <v>0</v>
      </c>
      <c r="AP129" s="13">
        <v>3</v>
      </c>
      <c r="AQ129" s="13">
        <v>11</v>
      </c>
      <c r="AR129" s="15">
        <v>1648</v>
      </c>
      <c r="AS129" s="15">
        <v>1664</v>
      </c>
    </row>
    <row r="130" spans="1:45" x14ac:dyDescent="0.25">
      <c r="A130">
        <v>48</v>
      </c>
      <c r="B130" s="11">
        <f t="shared" ref="B130:B193" si="2">C130/10</f>
        <v>79143</v>
      </c>
      <c r="C130" s="12">
        <v>791430</v>
      </c>
      <c r="D130" s="13">
        <v>0</v>
      </c>
      <c r="E130" s="13">
        <v>0</v>
      </c>
      <c r="F130" s="13">
        <v>2</v>
      </c>
      <c r="G130" s="13">
        <v>56</v>
      </c>
      <c r="H130" s="13" t="str" cm="1">
        <f t="array" ref="H130">_xlfn.IFS(G130&lt;=20,"0-20",G130&lt;=30,"20-30",G130&lt;=40,"30-40",G130&lt;=50,"50-60",G130&lt;=60,"60-70",G130&lt;=70,"70-80",G130&lt;=80,"80-90")</f>
        <v>60-70</v>
      </c>
      <c r="I130" s="13">
        <v>2846</v>
      </c>
      <c r="J130" s="13" t="str" cm="1">
        <f t="array" ref="J130">_xlfn.IFS(K130=1,"Divorciado",L130=1,"Casado",M130=1,"Solteiro",N130=1,"Juntos",O130=1,"Viuvo")</f>
        <v>Casado</v>
      </c>
      <c r="K130" s="13">
        <v>0</v>
      </c>
      <c r="L130" s="13">
        <v>1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1</v>
      </c>
      <c r="T130" s="13">
        <v>0</v>
      </c>
      <c r="U130" s="13">
        <v>650</v>
      </c>
      <c r="V130" s="13" t="str" cm="1">
        <f t="array" ref="V130">_xlfn.IFS(U130&lt;=250,"0-R$250",U130&lt;=500,"251-R$500",U130&lt;=750,"501-R$750",U130&lt;=1000,"751-R$1000",U130&lt;=1250,"1001-R$1250",U130&lt;=1500,"1251-R$1500")</f>
        <v>501-R$750</v>
      </c>
      <c r="W130" s="13">
        <v>37</v>
      </c>
      <c r="X130" s="13" t="str" cm="1">
        <f t="array" ref="X130">_xlfn.IFS(W130 = 0, "0", W130&lt;=20, "até R$20",W130&lt;=40, "21 - R$40",W130&lt;=60, "41- R$60",W130&lt;=80, "61 - R$80", W130&lt;=100, "81 - R$100",W130&lt;=120, "101 - R$120",W130&lt;=140, "121 - R$140", W130&lt;=160, "141- R$160", W130&lt;=180, "161 - R$180", W130&lt;=200, "181-R$194")</f>
        <v>21 - R$40</v>
      </c>
      <c r="Y130" s="13">
        <v>780</v>
      </c>
      <c r="Z130" s="13">
        <v>27</v>
      </c>
      <c r="AA130" s="13">
        <v>167</v>
      </c>
      <c r="AB130" s="13">
        <v>32</v>
      </c>
      <c r="AC130" s="13">
        <v>1</v>
      </c>
      <c r="AD130" s="13">
        <v>6</v>
      </c>
      <c r="AE130" s="13">
        <v>9</v>
      </c>
      <c r="AF130" s="13">
        <v>13</v>
      </c>
      <c r="AG130" s="13">
        <v>3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14">
        <v>0</v>
      </c>
      <c r="AP130" s="13">
        <v>3</v>
      </c>
      <c r="AQ130" s="13">
        <v>11</v>
      </c>
      <c r="AR130" s="15">
        <v>1629</v>
      </c>
      <c r="AS130" s="15">
        <v>1661</v>
      </c>
    </row>
    <row r="131" spans="1:45" x14ac:dyDescent="0.25">
      <c r="A131">
        <v>507</v>
      </c>
      <c r="B131" s="11">
        <f t="shared" si="2"/>
        <v>70503</v>
      </c>
      <c r="C131" s="16">
        <v>705030</v>
      </c>
      <c r="D131" s="17">
        <v>0</v>
      </c>
      <c r="E131" s="17">
        <v>0</v>
      </c>
      <c r="F131" s="17">
        <v>73</v>
      </c>
      <c r="G131" s="17">
        <v>67</v>
      </c>
      <c r="H131" s="13" t="str" cm="1">
        <f t="array" ref="H131">_xlfn.IFS(G131&lt;=20,"0-20",G131&lt;=30,"20-30",G131&lt;=40,"30-40",G131&lt;=50,"50-60",G131&lt;=60,"60-70",G131&lt;=70,"70-80",G131&lt;=80,"80-90")</f>
        <v>70-80</v>
      </c>
      <c r="I131" s="17">
        <v>2796</v>
      </c>
      <c r="J131" s="13" t="str" cm="1">
        <f t="array" ref="J131">_xlfn.IFS(K131=1,"Divorciado",L131=1,"Casado",M131=1,"Solteiro",N131=1,"Juntos",O131=1,"Viuvo")</f>
        <v>Casado</v>
      </c>
      <c r="K131" s="17">
        <v>0</v>
      </c>
      <c r="L131" s="17">
        <v>1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1</v>
      </c>
      <c r="S131" s="17">
        <v>0</v>
      </c>
      <c r="T131" s="17">
        <v>0</v>
      </c>
      <c r="U131" s="17">
        <v>1379</v>
      </c>
      <c r="V131" s="13" t="str" cm="1">
        <f t="array" ref="V131">_xlfn.IFS(U131&lt;=250,"0-R$250",U131&lt;=500,"251-R$500",U131&lt;=750,"501-R$750",U131&lt;=1000,"751-R$1000",U131&lt;=1250,"1001-R$1250",U131&lt;=1500,"1251-R$1500")</f>
        <v>1251-R$1500</v>
      </c>
      <c r="W131" s="17">
        <v>33</v>
      </c>
      <c r="X131" s="13" t="str" cm="1">
        <f t="array" ref="X131">_xlfn.IFS(W131 = 0, "0", W131&lt;=20, "até R$20",W131&lt;=40, "21 - R$40",W131&lt;=60, "41- R$60",W131&lt;=80, "61 - R$80", W131&lt;=100, "81 - R$100",W131&lt;=120, "101 - R$120",W131&lt;=140, "121 - R$140", W131&lt;=160, "141- R$160", W131&lt;=180, "161 - R$180", W131&lt;=200, "181-R$194")</f>
        <v>21 - R$40</v>
      </c>
      <c r="Y131" s="17">
        <v>216</v>
      </c>
      <c r="Z131" s="17">
        <v>0</v>
      </c>
      <c r="AA131" s="17">
        <v>33</v>
      </c>
      <c r="AB131" s="17">
        <v>66</v>
      </c>
      <c r="AC131" s="17">
        <v>1</v>
      </c>
      <c r="AD131" s="17">
        <v>2</v>
      </c>
      <c r="AE131" s="17">
        <v>4</v>
      </c>
      <c r="AF131" s="17">
        <v>9</v>
      </c>
      <c r="AG131" s="17">
        <v>6</v>
      </c>
      <c r="AH131" s="17">
        <v>0</v>
      </c>
      <c r="AI131" s="17">
        <v>0</v>
      </c>
      <c r="AJ131" s="17">
        <v>1</v>
      </c>
      <c r="AK131" s="17">
        <v>1</v>
      </c>
      <c r="AL131" s="17">
        <v>0</v>
      </c>
      <c r="AM131" s="17">
        <v>0</v>
      </c>
      <c r="AN131" s="17">
        <v>0</v>
      </c>
      <c r="AO131" s="18">
        <v>2</v>
      </c>
      <c r="AP131" s="17">
        <v>3</v>
      </c>
      <c r="AQ131" s="17">
        <v>11</v>
      </c>
      <c r="AR131" s="19">
        <v>1595</v>
      </c>
      <c r="AS131" s="19">
        <v>1661</v>
      </c>
    </row>
    <row r="132" spans="1:45" x14ac:dyDescent="0.25">
      <c r="A132">
        <v>541</v>
      </c>
      <c r="B132" s="11">
        <f t="shared" si="2"/>
        <v>79908</v>
      </c>
      <c r="C132" s="16">
        <v>799080</v>
      </c>
      <c r="D132" s="17">
        <v>0</v>
      </c>
      <c r="E132" s="17">
        <v>0</v>
      </c>
      <c r="F132" s="17">
        <v>30</v>
      </c>
      <c r="G132" s="17">
        <v>38</v>
      </c>
      <c r="H132" s="13" t="str" cm="1">
        <f t="array" ref="H132">_xlfn.IFS(G132&lt;=20,"0-20",G132&lt;=30,"20-30",G132&lt;=40,"30-40",G132&lt;=50,"50-60",G132&lt;=60,"60-70",G132&lt;=70,"70-80",G132&lt;=80,"80-90")</f>
        <v>30-40</v>
      </c>
      <c r="I132" s="17">
        <v>2609</v>
      </c>
      <c r="J132" s="13" t="str" cm="1">
        <f t="array" ref="J132">_xlfn.IFS(K132=1,"Divorciado",L132=1,"Casado",M132=1,"Solteiro",N132=1,"Juntos",O132=1,"Viuvo")</f>
        <v>Casado</v>
      </c>
      <c r="K132" s="17">
        <v>0</v>
      </c>
      <c r="L132" s="17">
        <v>1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1</v>
      </c>
      <c r="S132" s="17">
        <v>0</v>
      </c>
      <c r="T132" s="17">
        <v>0</v>
      </c>
      <c r="U132" s="17">
        <v>557</v>
      </c>
      <c r="V132" s="13" t="str" cm="1">
        <f t="array" ref="V132">_xlfn.IFS(U132&lt;=250,"0-R$250",U132&lt;=500,"251-R$500",U132&lt;=750,"501-R$750",U132&lt;=1000,"751-R$1000",U132&lt;=1250,"1001-R$1250",U132&lt;=1500,"1251-R$1500")</f>
        <v>501-R$750</v>
      </c>
      <c r="W132" s="17">
        <v>129</v>
      </c>
      <c r="X132" s="13" t="str" cm="1">
        <f t="array" ref="X132">_xlfn.IFS(W132 = 0, "0", W132&lt;=20, "até R$20",W132&lt;=40, "21 - R$40",W132&lt;=60, "41- R$60",W132&lt;=80, "61 - R$80", W132&lt;=100, "81 - R$100",W132&lt;=120, "101 - R$120",W132&lt;=140, "121 - R$140", W132&lt;=160, "141- R$160", W132&lt;=180, "161 - R$180", W132&lt;=200, "181-R$194")</f>
        <v>121 - R$140</v>
      </c>
      <c r="Y132" s="17">
        <v>761</v>
      </c>
      <c r="Z132" s="17">
        <v>29</v>
      </c>
      <c r="AA132" s="17">
        <v>185</v>
      </c>
      <c r="AB132" s="17">
        <v>111</v>
      </c>
      <c r="AC132" s="17">
        <v>1</v>
      </c>
      <c r="AD132" s="17">
        <v>5</v>
      </c>
      <c r="AE132" s="17">
        <v>6</v>
      </c>
      <c r="AF132" s="17">
        <v>7</v>
      </c>
      <c r="AG132" s="17">
        <v>2</v>
      </c>
      <c r="AH132" s="17">
        <v>0</v>
      </c>
      <c r="AI132" s="17">
        <v>0</v>
      </c>
      <c r="AJ132" s="17">
        <v>0</v>
      </c>
      <c r="AK132" s="17">
        <v>1</v>
      </c>
      <c r="AL132" s="17">
        <v>0</v>
      </c>
      <c r="AM132" s="17">
        <v>0</v>
      </c>
      <c r="AN132" s="17">
        <v>0</v>
      </c>
      <c r="AO132" s="18">
        <v>1</v>
      </c>
      <c r="AP132" s="17">
        <v>3</v>
      </c>
      <c r="AQ132" s="17">
        <v>11</v>
      </c>
      <c r="AR132" s="19">
        <v>1550</v>
      </c>
      <c r="AS132" s="19">
        <v>1661</v>
      </c>
    </row>
    <row r="133" spans="1:45" x14ac:dyDescent="0.25">
      <c r="A133">
        <v>2119</v>
      </c>
      <c r="B133" s="11">
        <f t="shared" si="2"/>
        <v>69209</v>
      </c>
      <c r="C133" s="16">
        <v>692090</v>
      </c>
      <c r="D133" s="17">
        <v>0</v>
      </c>
      <c r="E133" s="17">
        <v>0</v>
      </c>
      <c r="F133" s="17">
        <v>4</v>
      </c>
      <c r="G133" s="17">
        <v>48</v>
      </c>
      <c r="H133" s="13" t="str" cm="1">
        <f t="array" ref="H133">_xlfn.IFS(G133&lt;=20,"0-20",G133&lt;=30,"20-30",G133&lt;=40,"30-40",G133&lt;=50,"50-60",G133&lt;=60,"60-70",G133&lt;=70,"70-80",G133&lt;=80,"80-90")</f>
        <v>50-60</v>
      </c>
      <c r="I133" s="17">
        <v>2809</v>
      </c>
      <c r="J133" s="13" t="str" cm="1">
        <f t="array" ref="J133">_xlfn.IFS(K133=1,"Divorciado",L133=1,"Casado",M133=1,"Solteiro",N133=1,"Juntos",O133=1,"Viuvo")</f>
        <v>Casado</v>
      </c>
      <c r="K133" s="17">
        <v>0</v>
      </c>
      <c r="L133" s="17">
        <v>1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1</v>
      </c>
      <c r="S133" s="17">
        <v>0</v>
      </c>
      <c r="T133" s="17">
        <v>0</v>
      </c>
      <c r="U133" s="17">
        <v>496</v>
      </c>
      <c r="V133" s="13" t="str" cm="1">
        <f t="array" ref="V133">_xlfn.IFS(U133&lt;=250,"0-R$250",U133&lt;=500,"251-R$500",U133&lt;=750,"501-R$750",U133&lt;=1000,"751-R$1000",U133&lt;=1250,"1001-R$1250",U133&lt;=1500,"1251-R$1500")</f>
        <v>251-R$500</v>
      </c>
      <c r="W133" s="17">
        <v>32</v>
      </c>
      <c r="X133" s="13" t="str" cm="1">
        <f t="array" ref="X133">_xlfn.IFS(W133 = 0, "0", W133&lt;=20, "até R$20",W133&lt;=40, "21 - R$40",W133&lt;=60, "41- R$60",W133&lt;=80, "61 - R$80", W133&lt;=100, "81 - R$100",W133&lt;=120, "101 - R$120",W133&lt;=140, "121 - R$140", W133&lt;=160, "141- R$160", W133&lt;=180, "161 - R$180", W133&lt;=200, "181-R$194")</f>
        <v>21 - R$40</v>
      </c>
      <c r="Y133" s="17">
        <v>849</v>
      </c>
      <c r="Z133" s="17">
        <v>229</v>
      </c>
      <c r="AA133" s="17">
        <v>48</v>
      </c>
      <c r="AB133" s="17">
        <v>128</v>
      </c>
      <c r="AC133" s="17">
        <v>2</v>
      </c>
      <c r="AD133" s="17">
        <v>5</v>
      </c>
      <c r="AE133" s="17">
        <v>3</v>
      </c>
      <c r="AF133" s="17">
        <v>6</v>
      </c>
      <c r="AG133" s="17">
        <v>4</v>
      </c>
      <c r="AH133" s="17">
        <v>0</v>
      </c>
      <c r="AI133" s="17">
        <v>0</v>
      </c>
      <c r="AJ133" s="17">
        <v>0</v>
      </c>
      <c r="AK133" s="17">
        <v>0</v>
      </c>
      <c r="AL133" s="17">
        <v>1</v>
      </c>
      <c r="AM133" s="17">
        <v>0</v>
      </c>
      <c r="AN133" s="17">
        <v>0</v>
      </c>
      <c r="AO133" s="18">
        <v>1</v>
      </c>
      <c r="AP133" s="17">
        <v>3</v>
      </c>
      <c r="AQ133" s="17">
        <v>11</v>
      </c>
      <c r="AR133" s="19">
        <v>1526</v>
      </c>
      <c r="AS133" s="19">
        <v>1654</v>
      </c>
    </row>
    <row r="134" spans="1:45" x14ac:dyDescent="0.25">
      <c r="A134">
        <v>1897</v>
      </c>
      <c r="B134" s="11">
        <f t="shared" si="2"/>
        <v>91249</v>
      </c>
      <c r="C134" s="16">
        <v>912490</v>
      </c>
      <c r="D134" s="17">
        <v>0</v>
      </c>
      <c r="E134" s="17">
        <v>0</v>
      </c>
      <c r="F134" s="17">
        <v>84</v>
      </c>
      <c r="G134" s="17">
        <v>64</v>
      </c>
      <c r="H134" s="13" t="str" cm="1">
        <f t="array" ref="H134">_xlfn.IFS(G134&lt;=20,"0-20",G134&lt;=30,"20-30",G134&lt;=40,"30-40",G134&lt;=50,"50-60",G134&lt;=60,"60-70",G134&lt;=70,"70-80",G134&lt;=80,"80-90")</f>
        <v>70-80</v>
      </c>
      <c r="I134" s="17">
        <v>2776</v>
      </c>
      <c r="J134" s="13" t="str" cm="1">
        <f t="array" ref="J134">_xlfn.IFS(K134=1,"Divorciado",L134=1,"Casado",M134=1,"Solteiro",N134=1,"Juntos",O134=1,"Viuvo")</f>
        <v>Solteiro</v>
      </c>
      <c r="K134" s="17">
        <v>0</v>
      </c>
      <c r="L134" s="17">
        <v>0</v>
      </c>
      <c r="M134" s="17">
        <v>1</v>
      </c>
      <c r="N134" s="17">
        <v>0</v>
      </c>
      <c r="O134" s="17">
        <v>0</v>
      </c>
      <c r="P134" s="17">
        <v>0</v>
      </c>
      <c r="Q134" s="17">
        <v>0</v>
      </c>
      <c r="R134" s="17">
        <v>1</v>
      </c>
      <c r="S134" s="17">
        <v>0</v>
      </c>
      <c r="T134" s="17">
        <v>0</v>
      </c>
      <c r="U134" s="17">
        <v>1324</v>
      </c>
      <c r="V134" s="13" t="str" cm="1">
        <f t="array" ref="V134">_xlfn.IFS(U134&lt;=250,"0-R$250",U134&lt;=500,"251-R$500",U134&lt;=750,"501-R$750",U134&lt;=1000,"751-R$1000",U134&lt;=1250,"1001-R$1250",U134&lt;=1500,"1251-R$1500")</f>
        <v>1251-R$1500</v>
      </c>
      <c r="W134" s="17">
        <v>27</v>
      </c>
      <c r="X134" s="13" t="str" cm="1">
        <f t="array" ref="X134">_xlfn.IFS(W134 = 0, "0", W134&lt;=20, "até R$20",W134&lt;=40, "21 - R$40",W134&lt;=60, "41- R$60",W134&lt;=80, "61 - R$80", W134&lt;=100, "81 - R$100",W134&lt;=120, "101 - R$120",W134&lt;=140, "121 - R$140", W134&lt;=160, "141- R$160", W134&lt;=180, "161 - R$180", W134&lt;=200, "181-R$194")</f>
        <v>21 - R$40</v>
      </c>
      <c r="Y134" s="17">
        <v>119</v>
      </c>
      <c r="Z134" s="17">
        <v>71</v>
      </c>
      <c r="AA134" s="17">
        <v>108</v>
      </c>
      <c r="AB134" s="17">
        <v>27</v>
      </c>
      <c r="AC134" s="17">
        <v>0</v>
      </c>
      <c r="AD134" s="17">
        <v>7</v>
      </c>
      <c r="AE134" s="17">
        <v>9</v>
      </c>
      <c r="AF134" s="17">
        <v>6</v>
      </c>
      <c r="AG134" s="17">
        <v>4</v>
      </c>
      <c r="AH134" s="17">
        <v>0</v>
      </c>
      <c r="AI134" s="17">
        <v>0</v>
      </c>
      <c r="AJ134" s="17">
        <v>1</v>
      </c>
      <c r="AK134" s="17">
        <v>1</v>
      </c>
      <c r="AL134" s="17">
        <v>1</v>
      </c>
      <c r="AM134" s="17">
        <v>1</v>
      </c>
      <c r="AN134" s="17">
        <v>1</v>
      </c>
      <c r="AO134" s="18">
        <v>4</v>
      </c>
      <c r="AP134" s="17">
        <v>3</v>
      </c>
      <c r="AQ134" s="17">
        <v>11</v>
      </c>
      <c r="AR134" s="19">
        <v>1622</v>
      </c>
      <c r="AS134" s="19">
        <v>1649</v>
      </c>
    </row>
    <row r="135" spans="1:45" x14ac:dyDescent="0.25">
      <c r="A135">
        <v>1588</v>
      </c>
      <c r="B135" s="11">
        <f t="shared" si="2"/>
        <v>64509</v>
      </c>
      <c r="C135" s="12">
        <v>645090</v>
      </c>
      <c r="D135" s="13">
        <v>0</v>
      </c>
      <c r="E135" s="13">
        <v>0</v>
      </c>
      <c r="F135" s="13">
        <v>19</v>
      </c>
      <c r="G135" s="13">
        <v>30</v>
      </c>
      <c r="H135" s="13" t="str" cm="1">
        <f t="array" ref="H135">_xlfn.IFS(G135&lt;=20,"0-20",G135&lt;=30,"20-30",G135&lt;=40,"30-40",G135&lt;=50,"50-60",G135&lt;=60,"60-70",G135&lt;=70,"70-80",G135&lt;=80,"80-90")</f>
        <v>20-30</v>
      </c>
      <c r="I135" s="13">
        <v>2475</v>
      </c>
      <c r="J135" s="13" t="str" cm="1">
        <f t="array" ref="J135">_xlfn.IFS(K135=1,"Divorciado",L135=1,"Casado",M135=1,"Solteiro",N135=1,"Juntos",O135=1,"Viuvo")</f>
        <v>Solteiro</v>
      </c>
      <c r="K135" s="13">
        <v>0</v>
      </c>
      <c r="L135" s="13">
        <v>0</v>
      </c>
      <c r="M135" s="13">
        <v>1</v>
      </c>
      <c r="N135" s="13">
        <v>0</v>
      </c>
      <c r="O135" s="13">
        <v>0</v>
      </c>
      <c r="P135" s="13">
        <v>0</v>
      </c>
      <c r="Q135" s="13">
        <v>0</v>
      </c>
      <c r="R135" s="13">
        <v>1</v>
      </c>
      <c r="S135" s="13">
        <v>0</v>
      </c>
      <c r="T135" s="13">
        <v>0</v>
      </c>
      <c r="U135" s="13">
        <v>836</v>
      </c>
      <c r="V135" s="13" t="str" cm="1">
        <f t="array" ref="V135">_xlfn.IFS(U135&lt;=250,"0-R$250",U135&lt;=500,"251-R$500",U135&lt;=750,"501-R$750",U135&lt;=1000,"751-R$1000",U135&lt;=1250,"1001-R$1250",U135&lt;=1500,"1251-R$1500")</f>
        <v>751-R$1000</v>
      </c>
      <c r="W135" s="13">
        <v>185</v>
      </c>
      <c r="X135" s="13" t="str" cm="1">
        <f t="array" ref="X135">_xlfn.IFS(W135 = 0, "0", W135&lt;=20, "até R$20",W135&lt;=40, "21 - R$40",W135&lt;=60, "41- R$60",W135&lt;=80, "61 - R$80", W135&lt;=100, "81 - R$100",W135&lt;=120, "101 - R$120",W135&lt;=140, "121 - R$140", W135&lt;=160, "141- R$160", W135&lt;=180, "161 - R$180", W135&lt;=200, "181-R$194")</f>
        <v>181-R$194</v>
      </c>
      <c r="Y135" s="13">
        <v>575</v>
      </c>
      <c r="Z135" s="13">
        <v>24</v>
      </c>
      <c r="AA135" s="13">
        <v>25</v>
      </c>
      <c r="AB135" s="13">
        <v>77</v>
      </c>
      <c r="AC135" s="13">
        <v>1</v>
      </c>
      <c r="AD135" s="13">
        <v>6</v>
      </c>
      <c r="AE135" s="13">
        <v>3</v>
      </c>
      <c r="AF135" s="13">
        <v>9</v>
      </c>
      <c r="AG135" s="13">
        <v>4</v>
      </c>
      <c r="AH135" s="13">
        <v>0</v>
      </c>
      <c r="AI135" s="13">
        <v>1</v>
      </c>
      <c r="AJ135" s="13">
        <v>0</v>
      </c>
      <c r="AK135" s="13">
        <v>0</v>
      </c>
      <c r="AL135" s="13">
        <v>0</v>
      </c>
      <c r="AM135" s="13">
        <v>0</v>
      </c>
      <c r="AN135" s="13">
        <v>1</v>
      </c>
      <c r="AO135" s="14">
        <v>1</v>
      </c>
      <c r="AP135" s="13">
        <v>3</v>
      </c>
      <c r="AQ135" s="13">
        <v>11</v>
      </c>
      <c r="AR135" s="15">
        <v>1568</v>
      </c>
      <c r="AS135" s="15">
        <v>1645</v>
      </c>
    </row>
    <row r="136" spans="1:45" x14ac:dyDescent="0.25">
      <c r="A136">
        <v>856</v>
      </c>
      <c r="B136" s="11">
        <f t="shared" si="2"/>
        <v>80812</v>
      </c>
      <c r="C136" s="12">
        <v>808120</v>
      </c>
      <c r="D136" s="13">
        <v>0</v>
      </c>
      <c r="E136" s="13">
        <v>0</v>
      </c>
      <c r="F136" s="13">
        <v>95</v>
      </c>
      <c r="G136" s="13">
        <v>67</v>
      </c>
      <c r="H136" s="13" t="str" cm="1">
        <f t="array" ref="H136">_xlfn.IFS(G136&lt;=20,"0-20",G136&lt;=30,"20-30",G136&lt;=40,"30-40",G136&lt;=50,"50-60",G136&lt;=60,"60-70",G136&lt;=70,"70-80",G136&lt;=80,"80-90")</f>
        <v>70-80</v>
      </c>
      <c r="I136" s="13">
        <v>2444</v>
      </c>
      <c r="J136" s="13" t="str" cm="1">
        <f t="array" ref="J136">_xlfn.IFS(K136=1,"Divorciado",L136=1,"Casado",M136=1,"Solteiro",N136=1,"Juntos",O136=1,"Viuvo")</f>
        <v>Juntos</v>
      </c>
      <c r="K136" s="13">
        <v>0</v>
      </c>
      <c r="L136" s="13">
        <v>0</v>
      </c>
      <c r="M136" s="13">
        <v>0</v>
      </c>
      <c r="N136" s="13">
        <v>1</v>
      </c>
      <c r="O136" s="13">
        <v>0</v>
      </c>
      <c r="P136" s="13">
        <v>0</v>
      </c>
      <c r="Q136" s="13">
        <v>0</v>
      </c>
      <c r="R136" s="13">
        <v>1</v>
      </c>
      <c r="S136" s="13">
        <v>0</v>
      </c>
      <c r="T136" s="13">
        <v>0</v>
      </c>
      <c r="U136" s="13">
        <v>769</v>
      </c>
      <c r="V136" s="13" t="str" cm="1">
        <f t="array" ref="V136">_xlfn.IFS(U136&lt;=250,"0-R$250",U136&lt;=500,"251-R$500",U136&lt;=750,"501-R$750",U136&lt;=1000,"751-R$1000",U136&lt;=1250,"1001-R$1250",U136&lt;=1500,"1251-R$1500")</f>
        <v>751-R$1000</v>
      </c>
      <c r="W136" s="13">
        <v>22</v>
      </c>
      <c r="X136" s="13" t="str" cm="1">
        <f t="array" ref="X136">_xlfn.IFS(W136 = 0, "0", W136&lt;=20, "até R$20",W136&lt;=40, "21 - R$40",W136&lt;=60, "41- R$60",W136&lt;=80, "61 - R$80", W136&lt;=100, "81 - R$100",W136&lt;=120, "101 - R$120",W136&lt;=140, "121 - R$140", W136&lt;=160, "141- R$160", W136&lt;=180, "161 - R$180", W136&lt;=200, "181-R$194")</f>
        <v>21 - R$40</v>
      </c>
      <c r="Y136" s="13">
        <v>500</v>
      </c>
      <c r="Z136" s="13">
        <v>210</v>
      </c>
      <c r="AA136" s="13">
        <v>143</v>
      </c>
      <c r="AB136" s="13">
        <v>33</v>
      </c>
      <c r="AC136" s="13">
        <v>1</v>
      </c>
      <c r="AD136" s="13">
        <v>4</v>
      </c>
      <c r="AE136" s="13">
        <v>8</v>
      </c>
      <c r="AF136" s="13">
        <v>5</v>
      </c>
      <c r="AG136" s="13">
        <v>2</v>
      </c>
      <c r="AH136" s="13">
        <v>0</v>
      </c>
      <c r="AI136" s="13">
        <v>1</v>
      </c>
      <c r="AJ136" s="13">
        <v>0</v>
      </c>
      <c r="AK136" s="13">
        <v>1</v>
      </c>
      <c r="AL136" s="13">
        <v>1</v>
      </c>
      <c r="AM136" s="13">
        <v>0</v>
      </c>
      <c r="AN136" s="13">
        <v>0</v>
      </c>
      <c r="AO136" s="14">
        <v>3</v>
      </c>
      <c r="AP136" s="13">
        <v>3</v>
      </c>
      <c r="AQ136" s="13">
        <v>11</v>
      </c>
      <c r="AR136" s="15">
        <v>1611</v>
      </c>
      <c r="AS136" s="15">
        <v>1644</v>
      </c>
    </row>
    <row r="137" spans="1:45" x14ac:dyDescent="0.25">
      <c r="A137">
        <v>570</v>
      </c>
      <c r="B137" s="11">
        <f t="shared" si="2"/>
        <v>79800</v>
      </c>
      <c r="C137" s="12">
        <v>798000</v>
      </c>
      <c r="D137" s="13">
        <v>0</v>
      </c>
      <c r="E137" s="13">
        <v>0</v>
      </c>
      <c r="F137" s="13">
        <v>65</v>
      </c>
      <c r="G137" s="13">
        <v>65</v>
      </c>
      <c r="H137" s="13" t="str" cm="1">
        <f t="array" ref="H137">_xlfn.IFS(G137&lt;=20,"0-20",G137&lt;=30,"20-30",G137&lt;=40,"30-40",G137&lt;=50,"50-60",G137&lt;=60,"60-70",G137&lt;=70,"70-80",G137&lt;=80,"80-90")</f>
        <v>70-80</v>
      </c>
      <c r="I137" s="13">
        <v>2803</v>
      </c>
      <c r="J137" s="13" t="str" cm="1">
        <f t="array" ref="J137">_xlfn.IFS(K137=1,"Divorciado",L137=1,"Casado",M137=1,"Solteiro",N137=1,"Juntos",O137=1,"Viuvo")</f>
        <v>Viuvo</v>
      </c>
      <c r="K137" s="13">
        <v>0</v>
      </c>
      <c r="L137" s="13">
        <v>0</v>
      </c>
      <c r="M137" s="13">
        <v>0</v>
      </c>
      <c r="N137" s="13">
        <v>0</v>
      </c>
      <c r="O137" s="13">
        <v>1</v>
      </c>
      <c r="P137" s="13">
        <v>0</v>
      </c>
      <c r="Q137" s="13">
        <v>0</v>
      </c>
      <c r="R137" s="13">
        <v>1</v>
      </c>
      <c r="S137" s="13">
        <v>0</v>
      </c>
      <c r="T137" s="13">
        <v>0</v>
      </c>
      <c r="U137" s="13">
        <v>1060</v>
      </c>
      <c r="V137" s="13" t="str" cm="1">
        <f t="array" ref="V137">_xlfn.IFS(U137&lt;=250,"0-R$250",U137&lt;=500,"251-R$500",U137&lt;=750,"501-R$750",U137&lt;=1000,"751-R$1000",U137&lt;=1250,"1001-R$1250",U137&lt;=1500,"1251-R$1500")</f>
        <v>1001-R$1250</v>
      </c>
      <c r="W137" s="13">
        <v>21</v>
      </c>
      <c r="X137" s="13" t="str" cm="1">
        <f t="array" ref="X137">_xlfn.IFS(W137 = 0, "0", W137&lt;=20, "até R$20",W137&lt;=40, "21 - R$40",W137&lt;=60, "41- R$60",W137&lt;=80, "61 - R$80", W137&lt;=100, "81 - R$100",W137&lt;=120, "101 - R$120",W137&lt;=140, "121 - R$140", W137&lt;=160, "141- R$160", W137&lt;=180, "161 - R$180", W137&lt;=200, "181-R$194")</f>
        <v>21 - R$40</v>
      </c>
      <c r="Y137" s="13">
        <v>530</v>
      </c>
      <c r="Z137" s="13">
        <v>32</v>
      </c>
      <c r="AA137" s="13">
        <v>0</v>
      </c>
      <c r="AB137" s="13">
        <v>224</v>
      </c>
      <c r="AC137" s="13">
        <v>1</v>
      </c>
      <c r="AD137" s="13">
        <v>5</v>
      </c>
      <c r="AE137" s="13">
        <v>11</v>
      </c>
      <c r="AF137" s="13">
        <v>5</v>
      </c>
      <c r="AG137" s="13">
        <v>3</v>
      </c>
      <c r="AH137" s="13">
        <v>0</v>
      </c>
      <c r="AI137" s="13">
        <v>1</v>
      </c>
      <c r="AJ137" s="13">
        <v>0</v>
      </c>
      <c r="AK137" s="13">
        <v>1</v>
      </c>
      <c r="AL137" s="13">
        <v>1</v>
      </c>
      <c r="AM137" s="13">
        <v>0</v>
      </c>
      <c r="AN137" s="13">
        <v>1</v>
      </c>
      <c r="AO137" s="14">
        <v>3</v>
      </c>
      <c r="AP137" s="13">
        <v>3</v>
      </c>
      <c r="AQ137" s="13">
        <v>11</v>
      </c>
      <c r="AR137" s="15">
        <v>1419</v>
      </c>
      <c r="AS137" s="15">
        <v>1643</v>
      </c>
    </row>
    <row r="138" spans="1:45" x14ac:dyDescent="0.25">
      <c r="A138">
        <v>1279</v>
      </c>
      <c r="B138" s="11">
        <f t="shared" si="2"/>
        <v>78569</v>
      </c>
      <c r="C138" s="16">
        <v>785690</v>
      </c>
      <c r="D138" s="17">
        <v>0</v>
      </c>
      <c r="E138" s="17">
        <v>0</v>
      </c>
      <c r="F138" s="17">
        <v>14</v>
      </c>
      <c r="G138" s="17">
        <v>74</v>
      </c>
      <c r="H138" s="13" t="str" cm="1">
        <f t="array" ref="H138">_xlfn.IFS(G138&lt;=20,"0-20",G138&lt;=30,"20-30",G138&lt;=40,"30-40",G138&lt;=50,"50-60",G138&lt;=60,"60-70",G138&lt;=70,"70-80",G138&lt;=80,"80-90")</f>
        <v>80-90</v>
      </c>
      <c r="I138" s="17">
        <v>2289</v>
      </c>
      <c r="J138" s="13" t="str" cm="1">
        <f t="array" ref="J138">_xlfn.IFS(K138=1,"Divorciado",L138=1,"Casado",M138=1,"Solteiro",N138=1,"Juntos",O138=1,"Viuvo")</f>
        <v>Casado</v>
      </c>
      <c r="K138" s="17">
        <v>0</v>
      </c>
      <c r="L138" s="17">
        <v>1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1</v>
      </c>
      <c r="S138" s="17">
        <v>0</v>
      </c>
      <c r="T138" s="17">
        <v>0</v>
      </c>
      <c r="U138" s="17">
        <v>558</v>
      </c>
      <c r="V138" s="13" t="str" cm="1">
        <f t="array" ref="V138">_xlfn.IFS(U138&lt;=250,"0-R$250",U138&lt;=500,"251-R$500",U138&lt;=750,"501-R$750",U138&lt;=1000,"751-R$1000",U138&lt;=1250,"1001-R$1250",U138&lt;=1500,"1251-R$1500")</f>
        <v>501-R$750</v>
      </c>
      <c r="W138" s="17">
        <v>79</v>
      </c>
      <c r="X138" s="13" t="str" cm="1">
        <f t="array" ref="X138">_xlfn.IFS(W138 = 0, "0", W138&lt;=20, "até R$20",W138&lt;=40, "21 - R$40",W138&lt;=60, "41- R$60",W138&lt;=80, "61 - R$80", W138&lt;=100, "81 - R$100",W138&lt;=120, "101 - R$120",W138&lt;=140, "121 - R$140", W138&lt;=160, "141- R$160", W138&lt;=180, "161 - R$180", W138&lt;=200, "181-R$194")</f>
        <v>61 - R$80</v>
      </c>
      <c r="Y138" s="17">
        <v>622</v>
      </c>
      <c r="Z138" s="17">
        <v>207</v>
      </c>
      <c r="AA138" s="17">
        <v>175</v>
      </c>
      <c r="AB138" s="17">
        <v>95</v>
      </c>
      <c r="AC138" s="17">
        <v>1</v>
      </c>
      <c r="AD138" s="17">
        <v>4</v>
      </c>
      <c r="AE138" s="17">
        <v>6</v>
      </c>
      <c r="AF138" s="17">
        <v>4</v>
      </c>
      <c r="AG138" s="17">
        <v>1</v>
      </c>
      <c r="AH138" s="17">
        <v>0</v>
      </c>
      <c r="AI138" s="17">
        <v>0</v>
      </c>
      <c r="AJ138" s="17">
        <v>0</v>
      </c>
      <c r="AK138" s="17">
        <v>1</v>
      </c>
      <c r="AL138" s="17">
        <v>0</v>
      </c>
      <c r="AM138" s="17">
        <v>0</v>
      </c>
      <c r="AN138" s="17">
        <v>1</v>
      </c>
      <c r="AO138" s="18">
        <v>1</v>
      </c>
      <c r="AP138" s="17">
        <v>3</v>
      </c>
      <c r="AQ138" s="17">
        <v>11</v>
      </c>
      <c r="AR138" s="19">
        <v>1546</v>
      </c>
      <c r="AS138" s="19">
        <v>1641</v>
      </c>
    </row>
    <row r="139" spans="1:45" x14ac:dyDescent="0.25">
      <c r="A139">
        <v>900</v>
      </c>
      <c r="B139" s="11">
        <f t="shared" si="2"/>
        <v>74637</v>
      </c>
      <c r="C139" s="12">
        <v>746370</v>
      </c>
      <c r="D139" s="13">
        <v>0</v>
      </c>
      <c r="E139" s="13">
        <v>0</v>
      </c>
      <c r="F139" s="13">
        <v>73</v>
      </c>
      <c r="G139" s="13">
        <v>66</v>
      </c>
      <c r="H139" s="13" t="str" cm="1">
        <f t="array" ref="H139">_xlfn.IFS(G139&lt;=20,"0-20",G139&lt;=30,"20-30",G139&lt;=40,"30-40",G139&lt;=50,"50-60",G139&lt;=60,"60-70",G139&lt;=70,"70-80",G139&lt;=80,"80-90")</f>
        <v>70-80</v>
      </c>
      <c r="I139" s="13">
        <v>2566</v>
      </c>
      <c r="J139" s="13" t="str" cm="1">
        <f t="array" ref="J139">_xlfn.IFS(K139=1,"Divorciado",L139=1,"Casado",M139=1,"Solteiro",N139=1,"Juntos",O139=1,"Viuvo")</f>
        <v>Solteiro</v>
      </c>
      <c r="K139" s="13">
        <v>0</v>
      </c>
      <c r="L139" s="13">
        <v>0</v>
      </c>
      <c r="M139" s="13">
        <v>1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1</v>
      </c>
      <c r="U139" s="13">
        <v>960</v>
      </c>
      <c r="V139" s="13" t="str" cm="1">
        <f t="array" ref="V139">_xlfn.IFS(U139&lt;=250,"0-R$250",U139&lt;=500,"251-R$500",U139&lt;=750,"501-R$750",U139&lt;=1000,"751-R$1000",U139&lt;=1250,"1001-R$1250",U139&lt;=1500,"1251-R$1500")</f>
        <v>751-R$1000</v>
      </c>
      <c r="W139" s="13">
        <v>64</v>
      </c>
      <c r="X139" s="13" t="str" cm="1">
        <f t="array" ref="X139">_xlfn.IFS(W139 = 0, "0", W139&lt;=20, "até R$20",W139&lt;=40, "21 - R$40",W139&lt;=60, "41- R$60",W139&lt;=80, "61 - R$80", W139&lt;=100, "81 - R$100",W139&lt;=120, "101 - R$120",W139&lt;=140, "121 - R$140", W139&lt;=160, "141- R$160", W139&lt;=180, "161 - R$180", W139&lt;=200, "181-R$194")</f>
        <v>61 - R$80</v>
      </c>
      <c r="Y139" s="13">
        <v>464</v>
      </c>
      <c r="Z139" s="13">
        <v>146</v>
      </c>
      <c r="AA139" s="13">
        <v>0</v>
      </c>
      <c r="AB139" s="13">
        <v>16</v>
      </c>
      <c r="AC139" s="13">
        <v>1</v>
      </c>
      <c r="AD139" s="13">
        <v>6</v>
      </c>
      <c r="AE139" s="13">
        <v>9</v>
      </c>
      <c r="AF139" s="13">
        <v>9</v>
      </c>
      <c r="AG139" s="13">
        <v>3</v>
      </c>
      <c r="AH139" s="13">
        <v>0</v>
      </c>
      <c r="AI139" s="13">
        <v>0</v>
      </c>
      <c r="AJ139" s="13">
        <v>0</v>
      </c>
      <c r="AK139" s="13">
        <v>0</v>
      </c>
      <c r="AL139" s="13">
        <v>1</v>
      </c>
      <c r="AM139" s="13">
        <v>0</v>
      </c>
      <c r="AN139" s="13">
        <v>0</v>
      </c>
      <c r="AO139" s="14">
        <v>1</v>
      </c>
      <c r="AP139" s="13">
        <v>3</v>
      </c>
      <c r="AQ139" s="13">
        <v>11</v>
      </c>
      <c r="AR139" s="15">
        <v>1618</v>
      </c>
      <c r="AS139" s="15">
        <v>1634</v>
      </c>
    </row>
    <row r="140" spans="1:45" x14ac:dyDescent="0.25">
      <c r="A140">
        <v>1565</v>
      </c>
      <c r="B140" s="11">
        <f t="shared" si="2"/>
        <v>75794</v>
      </c>
      <c r="C140" s="16">
        <v>757940</v>
      </c>
      <c r="D140" s="17">
        <v>0</v>
      </c>
      <c r="E140" s="17">
        <v>0</v>
      </c>
      <c r="F140" s="17">
        <v>33</v>
      </c>
      <c r="G140" s="17">
        <v>33</v>
      </c>
      <c r="H140" s="13" t="str" cm="1">
        <f t="array" ref="H140">_xlfn.IFS(G140&lt;=20,"0-20",G140&lt;=30,"20-30",G140&lt;=40,"30-40",G140&lt;=50,"50-60",G140&lt;=60,"60-70",G140&lt;=70,"70-80",G140&lt;=80,"80-90")</f>
        <v>30-40</v>
      </c>
      <c r="I140" s="17">
        <v>2346</v>
      </c>
      <c r="J140" s="13" t="str" cm="1">
        <f t="array" ref="J140">_xlfn.IFS(K140=1,"Divorciado",L140=1,"Casado",M140=1,"Solteiro",N140=1,"Juntos",O140=1,"Viuvo")</f>
        <v>Casado</v>
      </c>
      <c r="K140" s="17">
        <v>0</v>
      </c>
      <c r="L140" s="17">
        <v>1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1</v>
      </c>
      <c r="S140" s="17">
        <v>0</v>
      </c>
      <c r="T140" s="17">
        <v>0</v>
      </c>
      <c r="U140" s="17">
        <v>754</v>
      </c>
      <c r="V140" s="13" t="str" cm="1">
        <f t="array" ref="V140">_xlfn.IFS(U140&lt;=250,"0-R$250",U140&lt;=500,"251-R$500",U140&lt;=750,"501-R$750",U140&lt;=1000,"751-R$1000",U140&lt;=1250,"1001-R$1250",U140&lt;=1500,"1251-R$1500")</f>
        <v>751-R$1000</v>
      </c>
      <c r="W140" s="17">
        <v>160</v>
      </c>
      <c r="X140" s="13" t="str" cm="1">
        <f t="array" ref="X140">_xlfn.IFS(W140 = 0, "0", W140&lt;=20, "até R$20",W140&lt;=40, "21 - R$40",W140&lt;=60, "41- R$60",W140&lt;=80, "61 - R$80", W140&lt;=100, "81 - R$100",W140&lt;=120, "101 - R$120",W140&lt;=140, "121 - R$140", W140&lt;=160, "141- R$160", W140&lt;=180, "161 - R$180", W140&lt;=200, "181-R$194")</f>
        <v>141- R$160</v>
      </c>
      <c r="Y140" s="17">
        <v>625</v>
      </c>
      <c r="Z140" s="17">
        <v>63</v>
      </c>
      <c r="AA140" s="17">
        <v>32</v>
      </c>
      <c r="AB140" s="17">
        <v>48</v>
      </c>
      <c r="AC140" s="17">
        <v>1</v>
      </c>
      <c r="AD140" s="17">
        <v>7</v>
      </c>
      <c r="AE140" s="17">
        <v>5</v>
      </c>
      <c r="AF140" s="17">
        <v>12</v>
      </c>
      <c r="AG140" s="17">
        <v>3</v>
      </c>
      <c r="AH140" s="17">
        <v>0</v>
      </c>
      <c r="AI140" s="17">
        <v>0</v>
      </c>
      <c r="AJ140" s="17">
        <v>0</v>
      </c>
      <c r="AK140" s="17">
        <v>0</v>
      </c>
      <c r="AL140" s="17">
        <v>1</v>
      </c>
      <c r="AM140" s="17">
        <v>0</v>
      </c>
      <c r="AN140" s="17">
        <v>0</v>
      </c>
      <c r="AO140" s="18">
        <v>1</v>
      </c>
      <c r="AP140" s="17">
        <v>3</v>
      </c>
      <c r="AQ140" s="17">
        <v>11</v>
      </c>
      <c r="AR140" s="19">
        <v>1586</v>
      </c>
      <c r="AS140" s="19">
        <v>1634</v>
      </c>
    </row>
    <row r="141" spans="1:45" x14ac:dyDescent="0.25">
      <c r="A141">
        <v>2158</v>
      </c>
      <c r="B141" s="11">
        <f t="shared" si="2"/>
        <v>89616</v>
      </c>
      <c r="C141" s="12">
        <v>896160</v>
      </c>
      <c r="D141" s="13">
        <v>0</v>
      </c>
      <c r="E141" s="13">
        <v>0</v>
      </c>
      <c r="F141" s="13">
        <v>36</v>
      </c>
      <c r="G141" s="13">
        <v>37</v>
      </c>
      <c r="H141" s="13" t="str" cm="1">
        <f t="array" ref="H141">_xlfn.IFS(G141&lt;=20,"0-20",G141&lt;=30,"20-30",G141&lt;=40,"30-40",G141&lt;=50,"50-60",G141&lt;=60,"60-70",G141&lt;=70,"70-80",G141&lt;=80,"80-90")</f>
        <v>30-40</v>
      </c>
      <c r="I141" s="13">
        <v>2648</v>
      </c>
      <c r="J141" s="13" t="str" cm="1">
        <f t="array" ref="J141">_xlfn.IFS(K141=1,"Divorciado",L141=1,"Casado",M141=1,"Solteiro",N141=1,"Juntos",O141=1,"Viuvo")</f>
        <v>Solteiro</v>
      </c>
      <c r="K141" s="13">
        <v>0</v>
      </c>
      <c r="L141" s="13">
        <v>0</v>
      </c>
      <c r="M141" s="13">
        <v>1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1</v>
      </c>
      <c r="T141" s="13">
        <v>0</v>
      </c>
      <c r="U141" s="13">
        <v>671</v>
      </c>
      <c r="V141" s="13" t="str" cm="1">
        <f t="array" ref="V141">_xlfn.IFS(U141&lt;=250,"0-R$250",U141&lt;=500,"251-R$500",U141&lt;=750,"501-R$750",U141&lt;=1000,"751-R$1000",U141&lt;=1250,"1001-R$1250",U141&lt;=1500,"1251-R$1500")</f>
        <v>501-R$750</v>
      </c>
      <c r="W141" s="13">
        <v>47</v>
      </c>
      <c r="X141" s="13" t="str" cm="1">
        <f t="array" ref="X141">_xlfn.IFS(W141 = 0, "0", W141&lt;=20, "até R$20",W141&lt;=40, "21 - R$40",W141&lt;=60, "41- R$60",W141&lt;=80, "61 - R$80", W141&lt;=100, "81 - R$100",W141&lt;=120, "101 - R$120",W141&lt;=140, "121 - R$140", W141&lt;=160, "141- R$160", W141&lt;=180, "161 - R$180", W141&lt;=200, "181-R$194")</f>
        <v>41- R$60</v>
      </c>
      <c r="Y141" s="13">
        <v>655</v>
      </c>
      <c r="Z141" s="13">
        <v>145</v>
      </c>
      <c r="AA141" s="13">
        <v>111</v>
      </c>
      <c r="AB141" s="13">
        <v>15</v>
      </c>
      <c r="AC141" s="13">
        <v>1</v>
      </c>
      <c r="AD141" s="13">
        <v>7</v>
      </c>
      <c r="AE141" s="13">
        <v>5</v>
      </c>
      <c r="AF141" s="13">
        <v>12</v>
      </c>
      <c r="AG141" s="13">
        <v>2</v>
      </c>
      <c r="AH141" s="13">
        <v>0</v>
      </c>
      <c r="AI141" s="13">
        <v>0</v>
      </c>
      <c r="AJ141" s="13">
        <v>0</v>
      </c>
      <c r="AK141" s="13">
        <v>0</v>
      </c>
      <c r="AL141" s="13">
        <v>0</v>
      </c>
      <c r="AM141" s="13">
        <v>0</v>
      </c>
      <c r="AN141" s="13">
        <v>1</v>
      </c>
      <c r="AO141" s="14">
        <v>0</v>
      </c>
      <c r="AP141" s="13">
        <v>3</v>
      </c>
      <c r="AQ141" s="13">
        <v>11</v>
      </c>
      <c r="AR141" s="15">
        <v>1614</v>
      </c>
      <c r="AS141" s="15">
        <v>1629</v>
      </c>
    </row>
    <row r="142" spans="1:45" x14ac:dyDescent="0.25">
      <c r="A142">
        <v>1107</v>
      </c>
      <c r="B142" s="11">
        <f t="shared" si="2"/>
        <v>86358</v>
      </c>
      <c r="C142" s="16">
        <v>863580</v>
      </c>
      <c r="D142" s="17">
        <v>1</v>
      </c>
      <c r="E142" s="17">
        <v>1</v>
      </c>
      <c r="F142" s="17">
        <v>78</v>
      </c>
      <c r="G142" s="17">
        <v>54</v>
      </c>
      <c r="H142" s="13" t="str" cm="1">
        <f t="array" ref="H142">_xlfn.IFS(G142&lt;=20,"0-20",G142&lt;=30,"20-30",G142&lt;=40,"30-40",G142&lt;=50,"50-60",G142&lt;=60,"60-70",G142&lt;=70,"70-80",G142&lt;=80,"80-90")</f>
        <v>60-70</v>
      </c>
      <c r="I142" s="17">
        <v>2849</v>
      </c>
      <c r="J142" s="13" t="str" cm="1">
        <f t="array" ref="J142">_xlfn.IFS(K142=1,"Divorciado",L142=1,"Casado",M142=1,"Solteiro",N142=1,"Juntos",O142=1,"Viuvo")</f>
        <v>Solteiro</v>
      </c>
      <c r="K142" s="17">
        <v>0</v>
      </c>
      <c r="L142" s="17">
        <v>0</v>
      </c>
      <c r="M142" s="17">
        <v>1</v>
      </c>
      <c r="N142" s="17">
        <v>0</v>
      </c>
      <c r="O142" s="17">
        <v>0</v>
      </c>
      <c r="P142" s="17">
        <v>0</v>
      </c>
      <c r="Q142" s="17">
        <v>0</v>
      </c>
      <c r="R142" s="17">
        <v>1</v>
      </c>
      <c r="S142" s="17">
        <v>0</v>
      </c>
      <c r="T142" s="17">
        <v>0</v>
      </c>
      <c r="U142" s="17">
        <v>957</v>
      </c>
      <c r="V142" s="13" t="str" cm="1">
        <f t="array" ref="V142">_xlfn.IFS(U142&lt;=250,"0-R$250",U142&lt;=500,"251-R$500",U142&lt;=750,"501-R$750",U142&lt;=1000,"751-R$1000",U142&lt;=1250,"1001-R$1250",U142&lt;=1500,"1251-R$1500")</f>
        <v>751-R$1000</v>
      </c>
      <c r="W142" s="17">
        <v>47</v>
      </c>
      <c r="X142" s="13" t="str" cm="1">
        <f t="array" ref="X142">_xlfn.IFS(W142 = 0, "0", W142&lt;=20, "até R$20",W142&lt;=40, "21 - R$40",W142&lt;=60, "41- R$60",W142&lt;=80, "61 - R$80", W142&lt;=100, "81 - R$100",W142&lt;=120, "101 - R$120",W142&lt;=140, "121 - R$140", W142&lt;=160, "141- R$160", W142&lt;=180, "161 - R$180", W142&lt;=200, "181-R$194")</f>
        <v>41- R$60</v>
      </c>
      <c r="Y142" s="17">
        <v>494</v>
      </c>
      <c r="Z142" s="17">
        <v>82</v>
      </c>
      <c r="AA142" s="17">
        <v>47</v>
      </c>
      <c r="AB142" s="17">
        <v>95</v>
      </c>
      <c r="AC142" s="17">
        <v>4</v>
      </c>
      <c r="AD142" s="17">
        <v>5</v>
      </c>
      <c r="AE142" s="17">
        <v>3</v>
      </c>
      <c r="AF142" s="17">
        <v>6</v>
      </c>
      <c r="AG142" s="17">
        <v>8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8">
        <v>0</v>
      </c>
      <c r="AP142" s="17">
        <v>3</v>
      </c>
      <c r="AQ142" s="17">
        <v>11</v>
      </c>
      <c r="AR142" s="19">
        <v>1532</v>
      </c>
      <c r="AS142" s="19">
        <v>1627</v>
      </c>
    </row>
    <row r="143" spans="1:45" x14ac:dyDescent="0.25">
      <c r="A143">
        <v>341</v>
      </c>
      <c r="B143" s="11">
        <f t="shared" si="2"/>
        <v>68462</v>
      </c>
      <c r="C143" s="16">
        <v>684620</v>
      </c>
      <c r="D143" s="17">
        <v>0</v>
      </c>
      <c r="E143" s="17">
        <v>0</v>
      </c>
      <c r="F143" s="17">
        <v>6</v>
      </c>
      <c r="G143" s="17">
        <v>51</v>
      </c>
      <c r="H143" s="13" t="str" cm="1">
        <f t="array" ref="H143">_xlfn.IFS(G143&lt;=20,"0-20",G143&lt;=30,"20-30",G143&lt;=40,"30-40",G143&lt;=50,"50-60",G143&lt;=60,"60-70",G143&lt;=70,"70-80",G143&lt;=80,"80-90")</f>
        <v>60-70</v>
      </c>
      <c r="I143" s="17">
        <v>2723</v>
      </c>
      <c r="J143" s="13" t="str" cm="1">
        <f t="array" ref="J143">_xlfn.IFS(K143=1,"Divorciado",L143=1,"Casado",M143=1,"Solteiro",N143=1,"Juntos",O143=1,"Viuvo")</f>
        <v>Casado</v>
      </c>
      <c r="K143" s="17">
        <v>0</v>
      </c>
      <c r="L143" s="17">
        <v>1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1</v>
      </c>
      <c r="U143" s="17">
        <v>561</v>
      </c>
      <c r="V143" s="13" t="str" cm="1">
        <f t="array" ref="V143">_xlfn.IFS(U143&lt;=250,"0-R$250",U143&lt;=500,"251-R$500",U143&lt;=750,"501-R$750",U143&lt;=1000,"751-R$1000",U143&lt;=1250,"1001-R$1250",U143&lt;=1500,"1251-R$1500")</f>
        <v>501-R$750</v>
      </c>
      <c r="W143" s="17">
        <v>64</v>
      </c>
      <c r="X143" s="13" t="str" cm="1">
        <f t="array" ref="X143">_xlfn.IFS(W143 = 0, "0", W143&lt;=20, "até R$20",W143&lt;=40, "21 - R$40",W143&lt;=60, "41- R$60",W143&lt;=80, "61 - R$80", W143&lt;=100, "81 - R$100",W143&lt;=120, "101 - R$120",W143&lt;=140, "121 - R$140", W143&lt;=160, "141- R$160", W143&lt;=180, "161 - R$180", W143&lt;=200, "181-R$194")</f>
        <v>61 - R$80</v>
      </c>
      <c r="Y143" s="17">
        <v>785</v>
      </c>
      <c r="Z143" s="17">
        <v>84</v>
      </c>
      <c r="AA143" s="17">
        <v>128</v>
      </c>
      <c r="AB143" s="17">
        <v>48</v>
      </c>
      <c r="AC143" s="17">
        <v>1</v>
      </c>
      <c r="AD143" s="17">
        <v>3</v>
      </c>
      <c r="AE143" s="17">
        <v>3</v>
      </c>
      <c r="AF143" s="17">
        <v>8</v>
      </c>
      <c r="AG143" s="17">
        <v>1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8">
        <v>0</v>
      </c>
      <c r="AP143" s="17">
        <v>3</v>
      </c>
      <c r="AQ143" s="17">
        <v>11</v>
      </c>
      <c r="AR143" s="19">
        <v>1574</v>
      </c>
      <c r="AS143" s="19">
        <v>1622</v>
      </c>
    </row>
    <row r="144" spans="1:45" x14ac:dyDescent="0.25">
      <c r="A144">
        <v>1989</v>
      </c>
      <c r="B144" s="11">
        <f t="shared" si="2"/>
        <v>68281</v>
      </c>
      <c r="C144" s="16">
        <v>682810</v>
      </c>
      <c r="D144" s="17">
        <v>0</v>
      </c>
      <c r="E144" s="17">
        <v>0</v>
      </c>
      <c r="F144" s="17">
        <v>31</v>
      </c>
      <c r="G144" s="17">
        <v>62</v>
      </c>
      <c r="H144" s="13" t="str" cm="1">
        <f t="array" ref="H144">_xlfn.IFS(G144&lt;=20,"0-20",G144&lt;=30,"20-30",G144&lt;=40,"30-40",G144&lt;=50,"50-60",G144&lt;=60,"60-70",G144&lt;=70,"70-80",G144&lt;=80,"80-90")</f>
        <v>70-80</v>
      </c>
      <c r="I144" s="17">
        <v>2850</v>
      </c>
      <c r="J144" s="13" t="str" cm="1">
        <f t="array" ref="J144">_xlfn.IFS(K144=1,"Divorciado",L144=1,"Casado",M144=1,"Solteiro",N144=1,"Juntos",O144=1,"Viuvo")</f>
        <v>Solteiro</v>
      </c>
      <c r="K144" s="17">
        <v>0</v>
      </c>
      <c r="L144" s="17">
        <v>0</v>
      </c>
      <c r="M144" s="17">
        <v>1</v>
      </c>
      <c r="N144" s="17">
        <v>0</v>
      </c>
      <c r="O144" s="17">
        <v>0</v>
      </c>
      <c r="P144" s="17">
        <v>0</v>
      </c>
      <c r="Q144" s="17">
        <v>0</v>
      </c>
      <c r="R144" s="17">
        <v>1</v>
      </c>
      <c r="S144" s="17">
        <v>0</v>
      </c>
      <c r="T144" s="17">
        <v>0</v>
      </c>
      <c r="U144" s="17">
        <v>995</v>
      </c>
      <c r="V144" s="13" t="str" cm="1">
        <f t="array" ref="V144">_xlfn.IFS(U144&lt;=250,"0-R$250",U144&lt;=500,"251-R$500",U144&lt;=750,"501-R$750",U144&lt;=1000,"751-R$1000",U144&lt;=1250,"1001-R$1250",U144&lt;=1500,"1251-R$1500")</f>
        <v>751-R$1000</v>
      </c>
      <c r="W144" s="17">
        <v>112</v>
      </c>
      <c r="X144" s="13" t="str" cm="1">
        <f t="array" ref="X144">_xlfn.IFS(W144 = 0, "0", W144&lt;=20, "até R$20",W144&lt;=40, "21 - R$40",W144&lt;=60, "41- R$60",W144&lt;=80, "61 - R$80", W144&lt;=100, "81 - R$100",W144&lt;=120, "101 - R$120",W144&lt;=140, "121 - R$140", W144&lt;=160, "141- R$160", W144&lt;=180, "161 - R$180", W144&lt;=200, "181-R$194")</f>
        <v>101 - R$120</v>
      </c>
      <c r="Y144" s="17">
        <v>417</v>
      </c>
      <c r="Z144" s="17">
        <v>42</v>
      </c>
      <c r="AA144" s="17">
        <v>48</v>
      </c>
      <c r="AB144" s="17">
        <v>41</v>
      </c>
      <c r="AC144" s="17">
        <v>1</v>
      </c>
      <c r="AD144" s="17">
        <v>2</v>
      </c>
      <c r="AE144" s="17">
        <v>9</v>
      </c>
      <c r="AF144" s="17">
        <v>13</v>
      </c>
      <c r="AG144" s="17">
        <v>5</v>
      </c>
      <c r="AH144" s="17">
        <v>0</v>
      </c>
      <c r="AI144" s="17">
        <v>0</v>
      </c>
      <c r="AJ144" s="17">
        <v>0</v>
      </c>
      <c r="AK144" s="17">
        <v>0</v>
      </c>
      <c r="AL144" s="17">
        <v>0</v>
      </c>
      <c r="AM144" s="17">
        <v>0</v>
      </c>
      <c r="AN144" s="17">
        <v>1</v>
      </c>
      <c r="AO144" s="18">
        <v>0</v>
      </c>
      <c r="AP144" s="17">
        <v>3</v>
      </c>
      <c r="AQ144" s="17">
        <v>11</v>
      </c>
      <c r="AR144" s="19">
        <v>1573</v>
      </c>
      <c r="AS144" s="19">
        <v>1614</v>
      </c>
    </row>
    <row r="145" spans="1:45" x14ac:dyDescent="0.25">
      <c r="A145">
        <v>197</v>
      </c>
      <c r="B145" s="11">
        <f t="shared" si="2"/>
        <v>64497</v>
      </c>
      <c r="C145" s="16">
        <v>644970</v>
      </c>
      <c r="D145" s="17">
        <v>0</v>
      </c>
      <c r="E145" s="17">
        <v>1</v>
      </c>
      <c r="F145" s="17">
        <v>17</v>
      </c>
      <c r="G145" s="17">
        <v>66</v>
      </c>
      <c r="H145" s="13" t="str" cm="1">
        <f t="array" ref="H145">_xlfn.IFS(G145&lt;=20,"0-20",G145&lt;=30,"20-30",G145&lt;=40,"30-40",G145&lt;=50,"50-60",G145&lt;=60,"60-70",G145&lt;=70,"70-80",G145&lt;=80,"80-90")</f>
        <v>70-80</v>
      </c>
      <c r="I145" s="17">
        <v>2816</v>
      </c>
      <c r="J145" s="13" t="str" cm="1">
        <f t="array" ref="J145">_xlfn.IFS(K145=1,"Divorciado",L145=1,"Casado",M145=1,"Solteiro",N145=1,"Juntos",O145=1,"Viuvo")</f>
        <v>Divorciado</v>
      </c>
      <c r="K145" s="17">
        <v>1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1</v>
      </c>
      <c r="S145" s="17">
        <v>0</v>
      </c>
      <c r="T145" s="17">
        <v>0</v>
      </c>
      <c r="U145" s="17">
        <v>1170</v>
      </c>
      <c r="V145" s="13" t="str" cm="1">
        <f t="array" ref="V145">_xlfn.IFS(U145&lt;=250,"0-R$250",U145&lt;=500,"251-R$500",U145&lt;=750,"501-R$750",U145&lt;=1000,"751-R$1000",U145&lt;=1250,"1001-R$1250",U145&lt;=1500,"1251-R$1500")</f>
        <v>1001-R$1250</v>
      </c>
      <c r="W145" s="17">
        <v>48</v>
      </c>
      <c r="X145" s="13" t="str" cm="1">
        <f t="array" ref="X145">_xlfn.IFS(W145 = 0, "0", W145&lt;=20, "até R$20",W145&lt;=40, "21 - R$40",W145&lt;=60, "41- R$60",W145&lt;=80, "61 - R$80", W145&lt;=100, "81 - R$100",W145&lt;=120, "101 - R$120",W145&lt;=140, "121 - R$140", W145&lt;=160, "141- R$160", W145&lt;=180, "161 - R$180", W145&lt;=200, "181-R$194")</f>
        <v>41- R$60</v>
      </c>
      <c r="Y145" s="17">
        <v>320</v>
      </c>
      <c r="Z145" s="17">
        <v>42</v>
      </c>
      <c r="AA145" s="17">
        <v>32</v>
      </c>
      <c r="AB145" s="17">
        <v>192</v>
      </c>
      <c r="AC145" s="17">
        <v>5</v>
      </c>
      <c r="AD145" s="17">
        <v>11</v>
      </c>
      <c r="AE145" s="17">
        <v>4</v>
      </c>
      <c r="AF145" s="17">
        <v>9</v>
      </c>
      <c r="AG145" s="17">
        <v>8</v>
      </c>
      <c r="AH145" s="17">
        <v>0</v>
      </c>
      <c r="AI145" s="17">
        <v>1</v>
      </c>
      <c r="AJ145" s="17">
        <v>0</v>
      </c>
      <c r="AK145" s="17">
        <v>0</v>
      </c>
      <c r="AL145" s="17">
        <v>0</v>
      </c>
      <c r="AM145" s="17">
        <v>0</v>
      </c>
      <c r="AN145" s="17">
        <v>1</v>
      </c>
      <c r="AO145" s="18">
        <v>1</v>
      </c>
      <c r="AP145" s="17">
        <v>3</v>
      </c>
      <c r="AQ145" s="17">
        <v>11</v>
      </c>
      <c r="AR145" s="19">
        <v>1420</v>
      </c>
      <c r="AS145" s="19">
        <v>1612</v>
      </c>
    </row>
    <row r="146" spans="1:45" x14ac:dyDescent="0.25">
      <c r="A146">
        <v>233</v>
      </c>
      <c r="B146" s="11">
        <f t="shared" si="2"/>
        <v>80134</v>
      </c>
      <c r="C146" s="16">
        <v>801340</v>
      </c>
      <c r="D146" s="17">
        <v>1</v>
      </c>
      <c r="E146" s="17">
        <v>0</v>
      </c>
      <c r="F146" s="17">
        <v>40</v>
      </c>
      <c r="G146" s="17">
        <v>48</v>
      </c>
      <c r="H146" s="13" t="str" cm="1">
        <f t="array" ref="H146">_xlfn.IFS(G146&lt;=20,"0-20",G146&lt;=30,"20-30",G146&lt;=40,"30-40",G146&lt;=50,"50-60",G146&lt;=60,"60-70",G146&lt;=70,"70-80",G146&lt;=80,"80-90")</f>
        <v>50-60</v>
      </c>
      <c r="I146" s="17">
        <v>2564</v>
      </c>
      <c r="J146" s="13" t="str" cm="1">
        <f t="array" ref="J146">_xlfn.IFS(K146=1,"Divorciado",L146=1,"Casado",M146=1,"Solteiro",N146=1,"Juntos",O146=1,"Viuvo")</f>
        <v>Casado</v>
      </c>
      <c r="K146" s="17">
        <v>0</v>
      </c>
      <c r="L146" s="17">
        <v>1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1</v>
      </c>
      <c r="S146" s="17">
        <v>0</v>
      </c>
      <c r="T146" s="17">
        <v>0</v>
      </c>
      <c r="U146" s="17">
        <v>1218</v>
      </c>
      <c r="V146" s="13" t="str" cm="1">
        <f t="array" ref="V146">_xlfn.IFS(U146&lt;=250,"0-R$250",U146&lt;=500,"251-R$500",U146&lt;=750,"501-R$750",U146&lt;=1000,"751-R$1000",U146&lt;=1250,"1001-R$1250",U146&lt;=1500,"1251-R$1500")</f>
        <v>1001-R$1250</v>
      </c>
      <c r="W146" s="17">
        <v>16</v>
      </c>
      <c r="X146" s="13" t="str" cm="1">
        <f t="array" ref="X146">_xlfn.IFS(W146 = 0, "0", W146&lt;=20, "até R$20",W146&lt;=40, "21 - R$40",W146&lt;=60, "41- R$60",W146&lt;=80, "61 - R$80", W146&lt;=100, "81 - R$100",W146&lt;=120, "101 - R$120",W146&lt;=140, "121 - R$140", W146&lt;=160, "141- R$160", W146&lt;=180, "161 - R$180", W146&lt;=200, "181-R$194")</f>
        <v>até R$20</v>
      </c>
      <c r="Y146" s="17">
        <v>272</v>
      </c>
      <c r="Z146" s="17">
        <v>104</v>
      </c>
      <c r="AA146" s="17">
        <v>0</v>
      </c>
      <c r="AB146" s="17">
        <v>80</v>
      </c>
      <c r="AC146" s="17">
        <v>2</v>
      </c>
      <c r="AD146" s="17">
        <v>5</v>
      </c>
      <c r="AE146" s="17">
        <v>3</v>
      </c>
      <c r="AF146" s="17">
        <v>6</v>
      </c>
      <c r="AG146" s="17">
        <v>6</v>
      </c>
      <c r="AH146" s="17">
        <v>0</v>
      </c>
      <c r="AI146" s="17">
        <v>0</v>
      </c>
      <c r="AJ146" s="17">
        <v>1</v>
      </c>
      <c r="AK146" s="17">
        <v>1</v>
      </c>
      <c r="AL146" s="17">
        <v>1</v>
      </c>
      <c r="AM146" s="17">
        <v>0</v>
      </c>
      <c r="AN146" s="17">
        <v>1</v>
      </c>
      <c r="AO146" s="18">
        <v>3</v>
      </c>
      <c r="AP146" s="17">
        <v>3</v>
      </c>
      <c r="AQ146" s="17">
        <v>11</v>
      </c>
      <c r="AR146" s="19">
        <v>1530</v>
      </c>
      <c r="AS146" s="19">
        <v>1610</v>
      </c>
    </row>
    <row r="147" spans="1:45" x14ac:dyDescent="0.25">
      <c r="A147">
        <v>1387</v>
      </c>
      <c r="B147" s="11">
        <f t="shared" si="2"/>
        <v>80134</v>
      </c>
      <c r="C147" s="16">
        <v>801340</v>
      </c>
      <c r="D147" s="17">
        <v>1</v>
      </c>
      <c r="E147" s="17">
        <v>0</v>
      </c>
      <c r="F147" s="17">
        <v>40</v>
      </c>
      <c r="G147" s="17">
        <v>48</v>
      </c>
      <c r="H147" s="13" t="str" cm="1">
        <f t="array" ref="H147">_xlfn.IFS(G147&lt;=20,"0-20",G147&lt;=30,"20-30",G147&lt;=40,"30-40",G147&lt;=50,"50-60",G147&lt;=60,"60-70",G147&lt;=70,"70-80",G147&lt;=80,"80-90")</f>
        <v>50-60</v>
      </c>
      <c r="I147" s="17">
        <v>2564</v>
      </c>
      <c r="J147" s="13" t="str" cm="1">
        <f t="array" ref="J147">_xlfn.IFS(K147=1,"Divorciado",L147=1,"Casado",M147=1,"Solteiro",N147=1,"Juntos",O147=1,"Viuvo")</f>
        <v>Casado</v>
      </c>
      <c r="K147" s="17">
        <v>0</v>
      </c>
      <c r="L147" s="17">
        <v>1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1</v>
      </c>
      <c r="S147" s="17">
        <v>0</v>
      </c>
      <c r="T147" s="17">
        <v>0</v>
      </c>
      <c r="U147" s="17">
        <v>1218</v>
      </c>
      <c r="V147" s="13" t="str" cm="1">
        <f t="array" ref="V147">_xlfn.IFS(U147&lt;=250,"0-R$250",U147&lt;=500,"251-R$500",U147&lt;=750,"501-R$750",U147&lt;=1000,"751-R$1000",U147&lt;=1250,"1001-R$1250",U147&lt;=1500,"1251-R$1500")</f>
        <v>1001-R$1250</v>
      </c>
      <c r="W147" s="17">
        <v>16</v>
      </c>
      <c r="X147" s="13" t="str" cm="1">
        <f t="array" ref="X147">_xlfn.IFS(W147 = 0, "0", W147&lt;=20, "até R$20",W147&lt;=40, "21 - R$40",W147&lt;=60, "41- R$60",W147&lt;=80, "61 - R$80", W147&lt;=100, "81 - R$100",W147&lt;=120, "101 - R$120",W147&lt;=140, "121 - R$140", W147&lt;=160, "141- R$160", W147&lt;=180, "161 - R$180", W147&lt;=200, "181-R$194")</f>
        <v>até R$20</v>
      </c>
      <c r="Y147" s="17">
        <v>272</v>
      </c>
      <c r="Z147" s="17">
        <v>104</v>
      </c>
      <c r="AA147" s="17">
        <v>0</v>
      </c>
      <c r="AB147" s="17">
        <v>80</v>
      </c>
      <c r="AC147" s="17">
        <v>2</v>
      </c>
      <c r="AD147" s="17">
        <v>5</v>
      </c>
      <c r="AE147" s="17">
        <v>3</v>
      </c>
      <c r="AF147" s="17">
        <v>6</v>
      </c>
      <c r="AG147" s="17">
        <v>6</v>
      </c>
      <c r="AH147" s="17">
        <v>0</v>
      </c>
      <c r="AI147" s="17">
        <v>0</v>
      </c>
      <c r="AJ147" s="17">
        <v>1</v>
      </c>
      <c r="AK147" s="17">
        <v>1</v>
      </c>
      <c r="AL147" s="17">
        <v>1</v>
      </c>
      <c r="AM147" s="17">
        <v>0</v>
      </c>
      <c r="AN147" s="17">
        <v>1</v>
      </c>
      <c r="AO147" s="18">
        <v>3</v>
      </c>
      <c r="AP147" s="17">
        <v>3</v>
      </c>
      <c r="AQ147" s="17">
        <v>11</v>
      </c>
      <c r="AR147" s="19">
        <v>1530</v>
      </c>
      <c r="AS147" s="19">
        <v>1610</v>
      </c>
    </row>
    <row r="148" spans="1:45" x14ac:dyDescent="0.25">
      <c r="A148">
        <v>1504</v>
      </c>
      <c r="B148" s="11">
        <f t="shared" si="2"/>
        <v>74004</v>
      </c>
      <c r="C148" s="12">
        <v>740040</v>
      </c>
      <c r="D148" s="13">
        <v>0</v>
      </c>
      <c r="E148" s="13">
        <v>0</v>
      </c>
      <c r="F148" s="13">
        <v>5</v>
      </c>
      <c r="G148" s="13">
        <v>33</v>
      </c>
      <c r="H148" s="13" t="str" cm="1">
        <f t="array" ref="H148">_xlfn.IFS(G148&lt;=20,"0-20",G148&lt;=30,"20-30",G148&lt;=40,"30-40",G148&lt;=50,"50-60",G148&lt;=60,"60-70",G148&lt;=70,"70-80",G148&lt;=80,"80-90")</f>
        <v>30-40</v>
      </c>
      <c r="I148" s="13">
        <v>2284</v>
      </c>
      <c r="J148" s="13" t="str" cm="1">
        <f t="array" ref="J148">_xlfn.IFS(K148=1,"Divorciado",L148=1,"Casado",M148=1,"Solteiro",N148=1,"Juntos",O148=1,"Viuvo")</f>
        <v>Solteiro</v>
      </c>
      <c r="K148" s="13">
        <v>0</v>
      </c>
      <c r="L148" s="13">
        <v>0</v>
      </c>
      <c r="M148" s="13">
        <v>1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1</v>
      </c>
      <c r="U148" s="13">
        <v>784</v>
      </c>
      <c r="V148" s="13" t="str" cm="1">
        <f t="array" ref="V148">_xlfn.IFS(U148&lt;=250,"0-R$250",U148&lt;=500,"251-R$500",U148&lt;=750,"501-R$750",U148&lt;=1000,"751-R$1000",U148&lt;=1250,"1001-R$1250",U148&lt;=1500,"1251-R$1500")</f>
        <v>751-R$1000</v>
      </c>
      <c r="W148" s="13">
        <v>48</v>
      </c>
      <c r="X148" s="13" t="str" cm="1">
        <f t="array" ref="X148">_xlfn.IFS(W148 = 0, "0", W148&lt;=20, "até R$20",W148&lt;=40, "21 - R$40",W148&lt;=60, "41- R$60",W148&lt;=80, "61 - R$80", W148&lt;=100, "81 - R$100",W148&lt;=120, "101 - R$120",W148&lt;=140, "121 - R$140", W148&lt;=160, "141- R$160", W148&lt;=180, "161 - R$180", W148&lt;=200, "181-R$194")</f>
        <v>41- R$60</v>
      </c>
      <c r="Y148" s="13">
        <v>560</v>
      </c>
      <c r="Z148" s="13">
        <v>42</v>
      </c>
      <c r="AA148" s="13">
        <v>176</v>
      </c>
      <c r="AB148" s="13">
        <v>48</v>
      </c>
      <c r="AC148" s="13">
        <v>1</v>
      </c>
      <c r="AD148" s="13">
        <v>4</v>
      </c>
      <c r="AE148" s="13">
        <v>6</v>
      </c>
      <c r="AF148" s="13">
        <v>4</v>
      </c>
      <c r="AG148" s="13">
        <v>3</v>
      </c>
      <c r="AH148" s="13">
        <v>0</v>
      </c>
      <c r="AI148" s="13">
        <v>0</v>
      </c>
      <c r="AJ148" s="13">
        <v>0</v>
      </c>
      <c r="AK148" s="13">
        <v>1</v>
      </c>
      <c r="AL148" s="13">
        <v>1</v>
      </c>
      <c r="AM148" s="13">
        <v>0</v>
      </c>
      <c r="AN148" s="13">
        <v>1</v>
      </c>
      <c r="AO148" s="14">
        <v>2</v>
      </c>
      <c r="AP148" s="13">
        <v>3</v>
      </c>
      <c r="AQ148" s="13">
        <v>11</v>
      </c>
      <c r="AR148" s="15">
        <v>1562</v>
      </c>
      <c r="AS148" s="15">
        <v>1610</v>
      </c>
    </row>
    <row r="149" spans="1:45" x14ac:dyDescent="0.25">
      <c r="A149">
        <v>1698</v>
      </c>
      <c r="B149" s="11">
        <f t="shared" si="2"/>
        <v>82571</v>
      </c>
      <c r="C149" s="12">
        <v>825710</v>
      </c>
      <c r="D149" s="13">
        <v>0</v>
      </c>
      <c r="E149" s="13">
        <v>0</v>
      </c>
      <c r="F149" s="13">
        <v>28</v>
      </c>
      <c r="G149" s="13">
        <v>58</v>
      </c>
      <c r="H149" s="13" t="str" cm="1">
        <f t="array" ref="H149">_xlfn.IFS(G149&lt;=20,"0-20",G149&lt;=30,"20-30",G149&lt;=40,"30-40",G149&lt;=50,"50-60",G149&lt;=60,"60-70",G149&lt;=70,"70-80",G149&lt;=80,"80-90")</f>
        <v>60-70</v>
      </c>
      <c r="I149" s="13">
        <v>2247</v>
      </c>
      <c r="J149" s="13" t="str" cm="1">
        <f t="array" ref="J149">_xlfn.IFS(K149=1,"Divorciado",L149=1,"Casado",M149=1,"Solteiro",N149=1,"Juntos",O149=1,"Viuvo")</f>
        <v>Viuvo</v>
      </c>
      <c r="K149" s="13">
        <v>0</v>
      </c>
      <c r="L149" s="13">
        <v>0</v>
      </c>
      <c r="M149" s="13">
        <v>0</v>
      </c>
      <c r="N149" s="13">
        <v>0</v>
      </c>
      <c r="O149" s="13">
        <v>1</v>
      </c>
      <c r="P149" s="13">
        <v>0</v>
      </c>
      <c r="Q149" s="13">
        <v>0</v>
      </c>
      <c r="R149" s="13">
        <v>0</v>
      </c>
      <c r="S149" s="13">
        <v>0</v>
      </c>
      <c r="T149" s="13">
        <v>1</v>
      </c>
      <c r="U149" s="13">
        <v>861</v>
      </c>
      <c r="V149" s="13" t="str" cm="1">
        <f t="array" ref="V149">_xlfn.IFS(U149&lt;=250,"0-R$250",U149&lt;=500,"251-R$500",U149&lt;=750,"501-R$750",U149&lt;=1000,"751-R$1000",U149&lt;=1250,"1001-R$1250",U149&lt;=1500,"1251-R$1500")</f>
        <v>751-R$1000</v>
      </c>
      <c r="W149" s="13">
        <v>31</v>
      </c>
      <c r="X149" s="13" t="str" cm="1">
        <f t="array" ref="X149">_xlfn.IFS(W149 = 0, "0", W149&lt;=20, "até R$20",W149&lt;=40, "21 - R$40",W149&lt;=60, "41- R$60",W149&lt;=80, "61 - R$80", W149&lt;=100, "81 - R$100",W149&lt;=120, "101 - R$120",W149&lt;=140, "121 - R$140", W149&lt;=160, "141- R$160", W149&lt;=180, "161 - R$180", W149&lt;=200, "181-R$194")</f>
        <v>21 - R$40</v>
      </c>
      <c r="Y149" s="13">
        <v>558</v>
      </c>
      <c r="Z149" s="13">
        <v>62</v>
      </c>
      <c r="AA149" s="13">
        <v>95</v>
      </c>
      <c r="AB149" s="13">
        <v>79</v>
      </c>
      <c r="AC149" s="13">
        <v>0</v>
      </c>
      <c r="AD149" s="13">
        <v>6</v>
      </c>
      <c r="AE149" s="13">
        <v>5</v>
      </c>
      <c r="AF149" s="13">
        <v>13</v>
      </c>
      <c r="AG149" s="13">
        <v>2</v>
      </c>
      <c r="AH149" s="13">
        <v>0</v>
      </c>
      <c r="AI149" s="13">
        <v>0</v>
      </c>
      <c r="AJ149" s="13">
        <v>0</v>
      </c>
      <c r="AK149" s="13">
        <v>1</v>
      </c>
      <c r="AL149" s="13">
        <v>0</v>
      </c>
      <c r="AM149" s="13">
        <v>0</v>
      </c>
      <c r="AN149" s="13">
        <v>0</v>
      </c>
      <c r="AO149" s="14">
        <v>1</v>
      </c>
      <c r="AP149" s="13">
        <v>3</v>
      </c>
      <c r="AQ149" s="13">
        <v>11</v>
      </c>
      <c r="AR149" s="15">
        <v>1528</v>
      </c>
      <c r="AS149" s="15">
        <v>1607</v>
      </c>
    </row>
    <row r="150" spans="1:45" x14ac:dyDescent="0.25">
      <c r="A150">
        <v>18</v>
      </c>
      <c r="B150" s="11">
        <f t="shared" si="2"/>
        <v>76995</v>
      </c>
      <c r="C150" s="12">
        <v>769950</v>
      </c>
      <c r="D150" s="13">
        <v>0</v>
      </c>
      <c r="E150" s="13">
        <v>1</v>
      </c>
      <c r="F150" s="13">
        <v>91</v>
      </c>
      <c r="G150" s="13">
        <v>71</v>
      </c>
      <c r="H150" s="13" t="str" cm="1">
        <f t="array" ref="H150">_xlfn.IFS(G150&lt;=20,"0-20",G150&lt;=30,"20-30",G150&lt;=40,"30-40",G150&lt;=50,"50-60",G150&lt;=60,"60-70",G150&lt;=70,"70-80",G150&lt;=80,"80-90")</f>
        <v>80-90</v>
      </c>
      <c r="I150" s="13">
        <v>2617</v>
      </c>
      <c r="J150" s="13" t="str" cm="1">
        <f t="array" ref="J150">_xlfn.IFS(K150=1,"Divorciado",L150=1,"Casado",M150=1,"Solteiro",N150=1,"Juntos",O150=1,"Viuvo")</f>
        <v>Casado</v>
      </c>
      <c r="K150" s="13">
        <v>0</v>
      </c>
      <c r="L150" s="13">
        <v>1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1</v>
      </c>
      <c r="T150" s="13">
        <v>0</v>
      </c>
      <c r="U150" s="13">
        <v>1012</v>
      </c>
      <c r="V150" s="13" t="str" cm="1">
        <f t="array" ref="V150">_xlfn.IFS(U150&lt;=250,"0-R$250",U150&lt;=500,"251-R$500",U150&lt;=750,"501-R$750",U150&lt;=1000,"751-R$1000",U150&lt;=1250,"1001-R$1250",U150&lt;=1500,"1251-R$1500")</f>
        <v>1001-R$1250</v>
      </c>
      <c r="W150" s="13">
        <v>80</v>
      </c>
      <c r="X150" s="13" t="str" cm="1">
        <f t="array" ref="X150">_xlfn.IFS(W150 = 0, "0", W150&lt;=20, "até R$20",W150&lt;=40, "21 - R$40",W150&lt;=60, "41- R$60",W150&lt;=80, "61 - R$80", W150&lt;=100, "81 - R$100",W150&lt;=120, "101 - R$120",W150&lt;=140, "121 - R$140", W150&lt;=160, "141- R$160", W150&lt;=180, "161 - R$180", W150&lt;=200, "181-R$194")</f>
        <v>61 - R$80</v>
      </c>
      <c r="Y150" s="13">
        <v>498</v>
      </c>
      <c r="Z150" s="13">
        <v>0</v>
      </c>
      <c r="AA150" s="13">
        <v>16</v>
      </c>
      <c r="AB150" s="13">
        <v>176</v>
      </c>
      <c r="AC150" s="13">
        <v>2</v>
      </c>
      <c r="AD150" s="13">
        <v>11</v>
      </c>
      <c r="AE150" s="13">
        <v>4</v>
      </c>
      <c r="AF150" s="13">
        <v>9</v>
      </c>
      <c r="AG150" s="13">
        <v>5</v>
      </c>
      <c r="AH150" s="13">
        <v>0</v>
      </c>
      <c r="AI150" s="13">
        <v>0</v>
      </c>
      <c r="AJ150" s="13">
        <v>0</v>
      </c>
      <c r="AK150" s="13">
        <v>0</v>
      </c>
      <c r="AL150" s="13">
        <v>1</v>
      </c>
      <c r="AM150" s="13">
        <v>0</v>
      </c>
      <c r="AN150" s="13">
        <v>0</v>
      </c>
      <c r="AO150" s="14">
        <v>1</v>
      </c>
      <c r="AP150" s="13">
        <v>3</v>
      </c>
      <c r="AQ150" s="13">
        <v>11</v>
      </c>
      <c r="AR150" s="15">
        <v>1430</v>
      </c>
      <c r="AS150" s="15">
        <v>1606</v>
      </c>
    </row>
    <row r="151" spans="1:45" x14ac:dyDescent="0.25">
      <c r="A151">
        <v>1872</v>
      </c>
      <c r="B151" s="11">
        <f t="shared" si="2"/>
        <v>90933</v>
      </c>
      <c r="C151" s="12">
        <v>909330</v>
      </c>
      <c r="D151" s="13">
        <v>0</v>
      </c>
      <c r="E151" s="13">
        <v>0</v>
      </c>
      <c r="F151" s="13">
        <v>90</v>
      </c>
      <c r="G151" s="13">
        <v>66</v>
      </c>
      <c r="H151" s="13" t="str" cm="1">
        <f t="array" ref="H151">_xlfn.IFS(G151&lt;=20,"0-20",G151&lt;=30,"20-30",G151&lt;=40,"30-40",G151&lt;=50,"50-60",G151&lt;=60,"60-70",G151&lt;=70,"70-80",G151&lt;=80,"80-90")</f>
        <v>70-80</v>
      </c>
      <c r="I151" s="13">
        <v>2249</v>
      </c>
      <c r="J151" s="13" t="str" cm="1">
        <f t="array" ref="J151">_xlfn.IFS(K151=1,"Divorciado",L151=1,"Casado",M151=1,"Solteiro",N151=1,"Juntos",O151=1,"Viuvo")</f>
        <v>Solteiro</v>
      </c>
      <c r="K151" s="13">
        <v>0</v>
      </c>
      <c r="L151" s="13">
        <v>0</v>
      </c>
      <c r="M151" s="13">
        <v>1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1</v>
      </c>
      <c r="U151" s="13">
        <v>1020</v>
      </c>
      <c r="V151" s="13" t="str" cm="1">
        <f t="array" ref="V151">_xlfn.IFS(U151&lt;=250,"0-R$250",U151&lt;=500,"251-R$500",U151&lt;=750,"501-R$750",U151&lt;=1000,"751-R$1000",U151&lt;=1250,"1001-R$1250",U151&lt;=1500,"1251-R$1500")</f>
        <v>1001-R$1250</v>
      </c>
      <c r="W151" s="13">
        <v>31</v>
      </c>
      <c r="X151" s="13" t="str" cm="1">
        <f t="array" ref="X151">_xlfn.IFS(W151 = 0, "0", W151&lt;=20, "até R$20",W151&lt;=40, "21 - R$40",W151&lt;=60, "41- R$60",W151&lt;=80, "61 - R$80", W151&lt;=100, "81 - R$100",W151&lt;=120, "101 - R$120",W151&lt;=140, "121 - R$140", W151&lt;=160, "141- R$160", W151&lt;=180, "161 - R$180", W151&lt;=200, "181-R$194")</f>
        <v>21 - R$40</v>
      </c>
      <c r="Y151" s="13">
        <v>430</v>
      </c>
      <c r="Z151" s="13">
        <v>62</v>
      </c>
      <c r="AA151" s="13">
        <v>63</v>
      </c>
      <c r="AB151" s="13">
        <v>79</v>
      </c>
      <c r="AC151" s="13">
        <v>1</v>
      </c>
      <c r="AD151" s="13">
        <v>4</v>
      </c>
      <c r="AE151" s="13">
        <v>6</v>
      </c>
      <c r="AF151" s="13">
        <v>4</v>
      </c>
      <c r="AG151" s="13">
        <v>1</v>
      </c>
      <c r="AH151" s="13">
        <v>0</v>
      </c>
      <c r="AI151" s="13">
        <v>0</v>
      </c>
      <c r="AJ151" s="13">
        <v>0</v>
      </c>
      <c r="AK151" s="13">
        <v>1</v>
      </c>
      <c r="AL151" s="13">
        <v>0</v>
      </c>
      <c r="AM151" s="13">
        <v>0</v>
      </c>
      <c r="AN151" s="13">
        <v>0</v>
      </c>
      <c r="AO151" s="14">
        <v>1</v>
      </c>
      <c r="AP151" s="13">
        <v>3</v>
      </c>
      <c r="AQ151" s="13">
        <v>11</v>
      </c>
      <c r="AR151" s="15">
        <v>1527</v>
      </c>
      <c r="AS151" s="15">
        <v>1606</v>
      </c>
    </row>
    <row r="152" spans="1:45" x14ac:dyDescent="0.25">
      <c r="A152">
        <v>1936</v>
      </c>
      <c r="B152" s="11">
        <f t="shared" si="2"/>
        <v>71670</v>
      </c>
      <c r="C152" s="12">
        <v>716700</v>
      </c>
      <c r="D152" s="13">
        <v>0</v>
      </c>
      <c r="E152" s="13">
        <v>0</v>
      </c>
      <c r="F152" s="13">
        <v>8</v>
      </c>
      <c r="G152" s="13">
        <v>58</v>
      </c>
      <c r="H152" s="13" t="str" cm="1">
        <f t="array" ref="H152">_xlfn.IFS(G152&lt;=20,"0-20",G152&lt;=30,"20-30",G152&lt;=40,"30-40",G152&lt;=50,"50-60",G152&lt;=60,"60-70",G152&lt;=70,"70-80",G152&lt;=80,"80-90")</f>
        <v>60-70</v>
      </c>
      <c r="I152" s="13">
        <v>2514</v>
      </c>
      <c r="J152" s="13" t="str" cm="1">
        <f t="array" ref="J152">_xlfn.IFS(K152=1,"Divorciado",L152=1,"Casado",M152=1,"Solteiro",N152=1,"Juntos",O152=1,"Viuvo")</f>
        <v>Viuvo</v>
      </c>
      <c r="K152" s="13">
        <v>0</v>
      </c>
      <c r="L152" s="13">
        <v>0</v>
      </c>
      <c r="M152" s="13">
        <v>0</v>
      </c>
      <c r="N152" s="13">
        <v>0</v>
      </c>
      <c r="O152" s="13">
        <v>1</v>
      </c>
      <c r="P152" s="13">
        <v>0</v>
      </c>
      <c r="Q152" s="13">
        <v>0</v>
      </c>
      <c r="R152" s="13">
        <v>0</v>
      </c>
      <c r="S152" s="13">
        <v>0</v>
      </c>
      <c r="T152" s="13">
        <v>1</v>
      </c>
      <c r="U152" s="13">
        <v>1462</v>
      </c>
      <c r="V152" s="13" t="str" cm="1">
        <f t="array" ref="V152">_xlfn.IFS(U152&lt;=250,"0-R$250",U152&lt;=500,"251-R$500",U152&lt;=750,"501-R$750",U152&lt;=1000,"751-R$1000",U152&lt;=1250,"1001-R$1250",U152&lt;=1500,"1251-R$1500")</f>
        <v>1251-R$1500</v>
      </c>
      <c r="W152" s="13">
        <v>16</v>
      </c>
      <c r="X152" s="13" t="str" cm="1">
        <f t="array" ref="X152">_xlfn.IFS(W152 = 0, "0", W152&lt;=20, "até R$20",W152&lt;=40, "21 - R$40",W152&lt;=60, "41- R$60",W152&lt;=80, "61 - R$80", W152&lt;=100, "81 - R$100",W152&lt;=120, "101 - R$120",W152&lt;=140, "121 - R$140", W152&lt;=160, "141- R$160", W152&lt;=180, "161 - R$180", W152&lt;=200, "181-R$194")</f>
        <v>até R$20</v>
      </c>
      <c r="Y152" s="13">
        <v>128</v>
      </c>
      <c r="Z152" s="13">
        <v>0</v>
      </c>
      <c r="AA152" s="13">
        <v>0</v>
      </c>
      <c r="AB152" s="13">
        <v>160</v>
      </c>
      <c r="AC152" s="13">
        <v>1</v>
      </c>
      <c r="AD152" s="13">
        <v>5</v>
      </c>
      <c r="AE152" s="13">
        <v>3</v>
      </c>
      <c r="AF152" s="13">
        <v>6</v>
      </c>
      <c r="AG152" s="13">
        <v>6</v>
      </c>
      <c r="AH152" s="13">
        <v>0</v>
      </c>
      <c r="AI152" s="13">
        <v>0</v>
      </c>
      <c r="AJ152" s="13">
        <v>1</v>
      </c>
      <c r="AK152" s="13">
        <v>1</v>
      </c>
      <c r="AL152" s="13">
        <v>0</v>
      </c>
      <c r="AM152" s="13">
        <v>1</v>
      </c>
      <c r="AN152" s="13">
        <v>1</v>
      </c>
      <c r="AO152" s="14">
        <v>3</v>
      </c>
      <c r="AP152" s="13">
        <v>3</v>
      </c>
      <c r="AQ152" s="13">
        <v>11</v>
      </c>
      <c r="AR152" s="15">
        <v>1446</v>
      </c>
      <c r="AS152" s="15">
        <v>1606</v>
      </c>
    </row>
    <row r="153" spans="1:45" x14ac:dyDescent="0.25">
      <c r="A153">
        <v>684</v>
      </c>
      <c r="B153" s="11">
        <f t="shared" si="2"/>
        <v>90247</v>
      </c>
      <c r="C153" s="12">
        <v>902470</v>
      </c>
      <c r="D153" s="13">
        <v>0</v>
      </c>
      <c r="E153" s="13">
        <v>0</v>
      </c>
      <c r="F153" s="13">
        <v>27</v>
      </c>
      <c r="G153" s="13">
        <v>32</v>
      </c>
      <c r="H153" s="13" t="str" cm="1">
        <f t="array" ref="H153">_xlfn.IFS(G153&lt;=20,"0-20",G153&lt;=30,"20-30",G153&lt;=40,"30-40",G153&lt;=50,"50-60",G153&lt;=60,"60-70",G153&lt;=70,"70-80",G153&lt;=80,"80-90")</f>
        <v>30-40</v>
      </c>
      <c r="I153" s="13">
        <v>2220</v>
      </c>
      <c r="J153" s="13" t="str" cm="1">
        <f t="array" ref="J153">_xlfn.IFS(K153=1,"Divorciado",L153=1,"Casado",M153=1,"Solteiro",N153=1,"Juntos",O153=1,"Viuvo")</f>
        <v>Solteiro</v>
      </c>
      <c r="K153" s="13">
        <v>0</v>
      </c>
      <c r="L153" s="13">
        <v>0</v>
      </c>
      <c r="M153" s="13">
        <v>1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1</v>
      </c>
      <c r="T153" s="13">
        <v>0</v>
      </c>
      <c r="U153" s="13">
        <v>1184</v>
      </c>
      <c r="V153" s="13" t="str" cm="1">
        <f t="array" ref="V153">_xlfn.IFS(U153&lt;=250,"0-R$250",U153&lt;=500,"251-R$500",U153&lt;=750,"501-R$750",U153&lt;=1000,"751-R$1000",U153&lt;=1250,"1001-R$1250",U153&lt;=1500,"1251-R$1500")</f>
        <v>1001-R$1250</v>
      </c>
      <c r="W153" s="13">
        <v>32</v>
      </c>
      <c r="X153" s="13" t="str" cm="1">
        <f t="array" ref="X153">_xlfn.IFS(W153 = 0, "0", W153&lt;=20, "até R$20",W153&lt;=40, "21 - R$40",W153&lt;=60, "41- R$60",W153&lt;=80, "61 - R$80", W153&lt;=100, "81 - R$100",W153&lt;=120, "101 - R$120",W153&lt;=140, "121 - R$140", W153&lt;=160, "141- R$160", W153&lt;=180, "161 - R$180", W153&lt;=200, "181-R$194")</f>
        <v>21 - R$40</v>
      </c>
      <c r="Y153" s="13">
        <v>352</v>
      </c>
      <c r="Z153" s="13">
        <v>21</v>
      </c>
      <c r="AA153" s="13">
        <v>16</v>
      </c>
      <c r="AB153" s="13">
        <v>16</v>
      </c>
      <c r="AC153" s="13">
        <v>1</v>
      </c>
      <c r="AD153" s="13">
        <v>3</v>
      </c>
      <c r="AE153" s="13">
        <v>4</v>
      </c>
      <c r="AF153" s="13">
        <v>7</v>
      </c>
      <c r="AG153" s="13">
        <v>1</v>
      </c>
      <c r="AH153" s="13">
        <v>0</v>
      </c>
      <c r="AI153" s="13">
        <v>0</v>
      </c>
      <c r="AJ153" s="13">
        <v>1</v>
      </c>
      <c r="AK153" s="13">
        <v>1</v>
      </c>
      <c r="AL153" s="13">
        <v>1</v>
      </c>
      <c r="AM153" s="13">
        <v>0</v>
      </c>
      <c r="AN153" s="13">
        <v>1</v>
      </c>
      <c r="AO153" s="14">
        <v>3</v>
      </c>
      <c r="AP153" s="13">
        <v>3</v>
      </c>
      <c r="AQ153" s="13">
        <v>11</v>
      </c>
      <c r="AR153" s="15">
        <v>1589</v>
      </c>
      <c r="AS153" s="15">
        <v>1605</v>
      </c>
    </row>
    <row r="154" spans="1:45" x14ac:dyDescent="0.25">
      <c r="A154">
        <v>807</v>
      </c>
      <c r="B154" s="11">
        <f t="shared" si="2"/>
        <v>93404</v>
      </c>
      <c r="C154" s="16">
        <v>934040</v>
      </c>
      <c r="D154" s="17">
        <v>1</v>
      </c>
      <c r="E154" s="17">
        <v>2</v>
      </c>
      <c r="F154" s="17">
        <v>97</v>
      </c>
      <c r="G154" s="17">
        <v>66</v>
      </c>
      <c r="H154" s="13" t="str" cm="1">
        <f t="array" ref="H154">_xlfn.IFS(G154&lt;=20,"0-20",G154&lt;=30,"20-30",G154&lt;=40,"30-40",G154&lt;=50,"50-60",G154&lt;=60,"60-70",G154&lt;=70,"70-80",G154&lt;=80,"80-90")</f>
        <v>70-80</v>
      </c>
      <c r="I154" s="17">
        <v>2577</v>
      </c>
      <c r="J154" s="13" t="str" cm="1">
        <f t="array" ref="J154">_xlfn.IFS(K154=1,"Divorciado",L154=1,"Casado",M154=1,"Solteiro",N154=1,"Juntos",O154=1,"Viuvo")</f>
        <v>Casado</v>
      </c>
      <c r="K154" s="17">
        <v>0</v>
      </c>
      <c r="L154" s="17">
        <v>1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1</v>
      </c>
      <c r="S154" s="17">
        <v>0</v>
      </c>
      <c r="T154" s="17">
        <v>0</v>
      </c>
      <c r="U154" s="17">
        <v>1279</v>
      </c>
      <c r="V154" s="13" t="str" cm="1">
        <f t="array" ref="V154">_xlfn.IFS(U154&lt;=250,"0-R$250",U154&lt;=500,"251-R$500",U154&lt;=750,"501-R$750",U154&lt;=1000,"751-R$1000",U154&lt;=1250,"1001-R$1250",U154&lt;=1500,"1251-R$1500")</f>
        <v>1251-R$1500</v>
      </c>
      <c r="W154" s="17">
        <v>15</v>
      </c>
      <c r="X154" s="13" t="str" cm="1">
        <f t="array" ref="X154">_xlfn.IFS(W154 = 0, "0", W154&lt;=20, "até R$20",W154&lt;=40, "21 - R$40",W154&lt;=60, "41- R$60",W154&lt;=80, "61 - R$80", W154&lt;=100, "81 - R$100",W154&lt;=120, "101 - R$120",W154&lt;=140, "121 - R$140", W154&lt;=160, "141- R$160", W154&lt;=180, "161 - R$180", W154&lt;=200, "181-R$194")</f>
        <v>até R$20</v>
      </c>
      <c r="Y154" s="17">
        <v>287</v>
      </c>
      <c r="Z154" s="17">
        <v>20</v>
      </c>
      <c r="AA154" s="17">
        <v>0</v>
      </c>
      <c r="AB154" s="17">
        <v>15</v>
      </c>
      <c r="AC154" s="17">
        <v>3</v>
      </c>
      <c r="AD154" s="17">
        <v>3</v>
      </c>
      <c r="AE154" s="17">
        <v>4</v>
      </c>
      <c r="AF154" s="17">
        <v>7</v>
      </c>
      <c r="AG154" s="17">
        <v>5</v>
      </c>
      <c r="AH154" s="17">
        <v>0</v>
      </c>
      <c r="AI154" s="17">
        <v>0</v>
      </c>
      <c r="AJ154" s="17">
        <v>1</v>
      </c>
      <c r="AK154" s="17">
        <v>1</v>
      </c>
      <c r="AL154" s="17">
        <v>0</v>
      </c>
      <c r="AM154" s="17">
        <v>0</v>
      </c>
      <c r="AN154" s="17">
        <v>0</v>
      </c>
      <c r="AO154" s="18">
        <v>2</v>
      </c>
      <c r="AP154" s="17">
        <v>3</v>
      </c>
      <c r="AQ154" s="17">
        <v>11</v>
      </c>
      <c r="AR154" s="19">
        <v>1586</v>
      </c>
      <c r="AS154" s="19">
        <v>1601</v>
      </c>
    </row>
    <row r="155" spans="1:45" x14ac:dyDescent="0.25">
      <c r="A155">
        <v>1462</v>
      </c>
      <c r="B155" s="11">
        <f t="shared" si="2"/>
        <v>79419</v>
      </c>
      <c r="C155" s="12">
        <v>794190</v>
      </c>
      <c r="D155" s="13">
        <v>0</v>
      </c>
      <c r="E155" s="13">
        <v>0</v>
      </c>
      <c r="F155" s="13">
        <v>96</v>
      </c>
      <c r="G155" s="13">
        <v>50</v>
      </c>
      <c r="H155" s="13" t="str" cm="1">
        <f t="array" ref="H155">_xlfn.IFS(G155&lt;=20,"0-20",G155&lt;=30,"20-30",G155&lt;=40,"30-40",G155&lt;=50,"50-60",G155&lt;=60,"60-70",G155&lt;=70,"70-80",G155&lt;=80,"80-90")</f>
        <v>50-60</v>
      </c>
      <c r="I155" s="13">
        <v>2166</v>
      </c>
      <c r="J155" s="13" t="str" cm="1">
        <f t="array" ref="J155">_xlfn.IFS(K155=1,"Divorciado",L155=1,"Casado",M155=1,"Solteiro",N155=1,"Juntos",O155=1,"Viuvo")</f>
        <v>Juntos</v>
      </c>
      <c r="K155" s="13">
        <v>0</v>
      </c>
      <c r="L155" s="13">
        <v>0</v>
      </c>
      <c r="M155" s="13">
        <v>0</v>
      </c>
      <c r="N155" s="13">
        <v>1</v>
      </c>
      <c r="O155" s="13">
        <v>0</v>
      </c>
      <c r="P155" s="13">
        <v>0</v>
      </c>
      <c r="Q155" s="13">
        <v>0</v>
      </c>
      <c r="R155" s="13">
        <v>0</v>
      </c>
      <c r="S155" s="13">
        <v>1</v>
      </c>
      <c r="T155" s="13">
        <v>0</v>
      </c>
      <c r="U155" s="13">
        <v>751</v>
      </c>
      <c r="V155" s="13" t="str" cm="1">
        <f t="array" ref="V155">_xlfn.IFS(U155&lt;=250,"0-R$250",U155&lt;=500,"251-R$500",U155&lt;=750,"501-R$750",U155&lt;=1000,"751-R$1000",U155&lt;=1250,"1001-R$1250",U155&lt;=1500,"1251-R$1500")</f>
        <v>751-R$1000</v>
      </c>
      <c r="W155" s="13">
        <v>127</v>
      </c>
      <c r="X155" s="13" t="str" cm="1">
        <f t="array" ref="X155">_xlfn.IFS(W155 = 0, "0", W155&lt;=20, "até R$20",W155&lt;=40, "21 - R$40",W155&lt;=60, "41- R$60",W155&lt;=80, "61 - R$80", W155&lt;=100, "81 - R$100",W155&lt;=120, "101 - R$120",W155&lt;=140, "121 - R$140", W155&lt;=160, "141- R$160", W155&lt;=180, "161 - R$180", W155&lt;=200, "181-R$194")</f>
        <v>121 - R$140</v>
      </c>
      <c r="Y155" s="13">
        <v>687</v>
      </c>
      <c r="Z155" s="13">
        <v>20</v>
      </c>
      <c r="AA155" s="13">
        <v>15</v>
      </c>
      <c r="AB155" s="13">
        <v>31</v>
      </c>
      <c r="AC155" s="13">
        <v>1</v>
      </c>
      <c r="AD155" s="13">
        <v>4</v>
      </c>
      <c r="AE155" s="13">
        <v>6</v>
      </c>
      <c r="AF155" s="13">
        <v>4</v>
      </c>
      <c r="AG155" s="13">
        <v>2</v>
      </c>
      <c r="AH155" s="13">
        <v>0</v>
      </c>
      <c r="AI155" s="13">
        <v>0</v>
      </c>
      <c r="AJ155" s="13">
        <v>0</v>
      </c>
      <c r="AK155" s="13">
        <v>0</v>
      </c>
      <c r="AL155" s="13">
        <v>0</v>
      </c>
      <c r="AM155" s="13">
        <v>0</v>
      </c>
      <c r="AN155" s="13">
        <v>0</v>
      </c>
      <c r="AO155" s="14">
        <v>0</v>
      </c>
      <c r="AP155" s="13">
        <v>3</v>
      </c>
      <c r="AQ155" s="13">
        <v>11</v>
      </c>
      <c r="AR155" s="15">
        <v>1569</v>
      </c>
      <c r="AS155" s="15">
        <v>1600</v>
      </c>
    </row>
    <row r="156" spans="1:45" x14ac:dyDescent="0.25">
      <c r="A156">
        <v>205</v>
      </c>
      <c r="B156" s="11">
        <f t="shared" si="2"/>
        <v>83790</v>
      </c>
      <c r="C156" s="16">
        <v>837900</v>
      </c>
      <c r="D156" s="17">
        <v>0</v>
      </c>
      <c r="E156" s="17">
        <v>0</v>
      </c>
      <c r="F156" s="17">
        <v>81</v>
      </c>
      <c r="G156" s="17">
        <v>72</v>
      </c>
      <c r="H156" s="13" t="str" cm="1">
        <f t="array" ref="H156">_xlfn.IFS(G156&lt;=20,"0-20",G156&lt;=30,"20-30",G156&lt;=40,"30-40",G156&lt;=50,"50-60",G156&lt;=60,"60-70",G156&lt;=70,"70-80",G156&lt;=80,"80-90")</f>
        <v>80-90</v>
      </c>
      <c r="I156" s="17">
        <v>2385</v>
      </c>
      <c r="J156" s="13" t="str" cm="1">
        <f t="array" ref="J156">_xlfn.IFS(K156=1,"Divorciado",L156=1,"Casado",M156=1,"Solteiro",N156=1,"Juntos",O156=1,"Viuvo")</f>
        <v>Casado</v>
      </c>
      <c r="K156" s="17">
        <v>0</v>
      </c>
      <c r="L156" s="17">
        <v>1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7">
        <v>1</v>
      </c>
      <c r="T156" s="17">
        <v>0</v>
      </c>
      <c r="U156" s="17">
        <v>1076</v>
      </c>
      <c r="V156" s="13" t="str" cm="1">
        <f t="array" ref="V156">_xlfn.IFS(U156&lt;=250,"0-R$250",U156&lt;=500,"251-R$500",U156&lt;=750,"501-R$750",U156&lt;=1000,"751-R$1000",U156&lt;=1250,"1001-R$1250",U156&lt;=1500,"1251-R$1500")</f>
        <v>1001-R$1250</v>
      </c>
      <c r="W156" s="17">
        <v>16</v>
      </c>
      <c r="X156" s="13" t="str" cm="1">
        <f t="array" ref="X156">_xlfn.IFS(W156 = 0, "0", W156&lt;=20, "até R$20",W156&lt;=40, "21 - R$40",W156&lt;=60, "41- R$60",W156&lt;=80, "61 - R$80", W156&lt;=100, "81 - R$100",W156&lt;=120, "101 - R$120",W156&lt;=140, "121 - R$140", W156&lt;=160, "141- R$160", W156&lt;=180, "161 - R$180", W156&lt;=200, "181-R$194")</f>
        <v>até R$20</v>
      </c>
      <c r="Y156" s="17">
        <v>417</v>
      </c>
      <c r="Z156" s="17">
        <v>42</v>
      </c>
      <c r="AA156" s="17">
        <v>48</v>
      </c>
      <c r="AB156" s="17">
        <v>16</v>
      </c>
      <c r="AC156" s="17">
        <v>1</v>
      </c>
      <c r="AD156" s="17">
        <v>8</v>
      </c>
      <c r="AE156" s="17">
        <v>10</v>
      </c>
      <c r="AF156" s="17">
        <v>6</v>
      </c>
      <c r="AG156" s="17">
        <v>3</v>
      </c>
      <c r="AH156" s="17">
        <v>0</v>
      </c>
      <c r="AI156" s="17">
        <v>0</v>
      </c>
      <c r="AJ156" s="17">
        <v>1</v>
      </c>
      <c r="AK156" s="17">
        <v>1</v>
      </c>
      <c r="AL156" s="17">
        <v>0</v>
      </c>
      <c r="AM156" s="17">
        <v>0</v>
      </c>
      <c r="AN156" s="17">
        <v>0</v>
      </c>
      <c r="AO156" s="18">
        <v>2</v>
      </c>
      <c r="AP156" s="17">
        <v>3</v>
      </c>
      <c r="AQ156" s="17">
        <v>11</v>
      </c>
      <c r="AR156" s="19">
        <v>1583</v>
      </c>
      <c r="AS156" s="19">
        <v>1599</v>
      </c>
    </row>
    <row r="157" spans="1:45" x14ac:dyDescent="0.25">
      <c r="A157">
        <v>1674</v>
      </c>
      <c r="B157" s="11">
        <f t="shared" si="2"/>
        <v>73705</v>
      </c>
      <c r="C157" s="12">
        <v>737050</v>
      </c>
      <c r="D157" s="13">
        <v>0</v>
      </c>
      <c r="E157" s="13">
        <v>2</v>
      </c>
      <c r="F157" s="13">
        <v>86</v>
      </c>
      <c r="G157" s="13">
        <v>69</v>
      </c>
      <c r="H157" s="13" t="str" cm="1">
        <f t="array" ref="H157">_xlfn.IFS(G157&lt;=20,"0-20",G157&lt;=30,"20-30",G157&lt;=40,"30-40",G157&lt;=50,"50-60",G157&lt;=60,"60-70",G157&lt;=70,"70-80",G157&lt;=80,"80-90")</f>
        <v>70-80</v>
      </c>
      <c r="I157" s="13">
        <v>2275</v>
      </c>
      <c r="J157" s="13" t="str" cm="1">
        <f t="array" ref="J157">_xlfn.IFS(K157=1,"Divorciado",L157=1,"Casado",M157=1,"Solteiro",N157=1,"Juntos",O157=1,"Viuvo")</f>
        <v>Viuvo</v>
      </c>
      <c r="K157" s="13">
        <v>0</v>
      </c>
      <c r="L157" s="13">
        <v>0</v>
      </c>
      <c r="M157" s="13">
        <v>0</v>
      </c>
      <c r="N157" s="13">
        <v>0</v>
      </c>
      <c r="O157" s="13">
        <v>1</v>
      </c>
      <c r="P157" s="13">
        <v>0</v>
      </c>
      <c r="Q157" s="13">
        <v>0</v>
      </c>
      <c r="R157" s="13">
        <v>0</v>
      </c>
      <c r="S157" s="13">
        <v>1</v>
      </c>
      <c r="T157" s="13">
        <v>0</v>
      </c>
      <c r="U157" s="13">
        <v>612</v>
      </c>
      <c r="V157" s="13" t="str" cm="1">
        <f t="array" ref="V157">_xlfn.IFS(U157&lt;=250,"0-R$250",U157&lt;=500,"251-R$500",U157&lt;=750,"501-R$750",U157&lt;=1000,"751-R$1000",U157&lt;=1250,"1001-R$1250",U157&lt;=1500,"1251-R$1500")</f>
        <v>501-R$750</v>
      </c>
      <c r="W157" s="13">
        <v>91</v>
      </c>
      <c r="X157" s="13" t="str" cm="1">
        <f t="array" ref="X157">_xlfn.IFS(W157 = 0, "0", W157&lt;=20, "até R$20",W157&lt;=40, "21 - R$40",W157&lt;=60, "41- R$60",W157&lt;=80, "61 - R$80", W157&lt;=100, "81 - R$100",W157&lt;=120, "101 - R$120",W157&lt;=140, "121 - R$140", W157&lt;=160, "141- R$160", W157&lt;=180, "161 - R$180", W157&lt;=200, "181-R$194")</f>
        <v>81 - R$100</v>
      </c>
      <c r="Y157" s="13">
        <v>520</v>
      </c>
      <c r="Z157" s="13">
        <v>258</v>
      </c>
      <c r="AA157" s="13">
        <v>107</v>
      </c>
      <c r="AB157" s="13">
        <v>107</v>
      </c>
      <c r="AC157" s="13">
        <v>2</v>
      </c>
      <c r="AD157" s="13">
        <v>9</v>
      </c>
      <c r="AE157" s="13">
        <v>6</v>
      </c>
      <c r="AF157" s="13">
        <v>8</v>
      </c>
      <c r="AG157" s="13">
        <v>5</v>
      </c>
      <c r="AH157" s="13">
        <v>0</v>
      </c>
      <c r="AI157" s="13">
        <v>0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14">
        <v>0</v>
      </c>
      <c r="AP157" s="13">
        <v>3</v>
      </c>
      <c r="AQ157" s="13">
        <v>11</v>
      </c>
      <c r="AR157" s="15">
        <v>1481</v>
      </c>
      <c r="AS157" s="15">
        <v>1588</v>
      </c>
    </row>
    <row r="158" spans="1:45" x14ac:dyDescent="0.25">
      <c r="A158">
        <v>2014</v>
      </c>
      <c r="B158" s="11">
        <f t="shared" si="2"/>
        <v>61416</v>
      </c>
      <c r="C158" s="12">
        <v>614160</v>
      </c>
      <c r="D158" s="13">
        <v>0</v>
      </c>
      <c r="E158" s="13">
        <v>0</v>
      </c>
      <c r="F158" s="13">
        <v>25</v>
      </c>
      <c r="G158" s="13">
        <v>38</v>
      </c>
      <c r="H158" s="13" t="str" cm="1">
        <f t="array" ref="H158">_xlfn.IFS(G158&lt;=20,"0-20",G158&lt;=30,"20-30",G158&lt;=40,"30-40",G158&lt;=50,"50-60",G158&lt;=60,"60-70",G158&lt;=70,"70-80",G158&lt;=80,"80-90")</f>
        <v>30-40</v>
      </c>
      <c r="I158" s="13">
        <v>2665</v>
      </c>
      <c r="J158" s="13" t="str" cm="1">
        <f t="array" ref="J158">_xlfn.IFS(K158=1,"Divorciado",L158=1,"Casado",M158=1,"Solteiro",N158=1,"Juntos",O158=1,"Viuvo")</f>
        <v>Juntos</v>
      </c>
      <c r="K158" s="13">
        <v>0</v>
      </c>
      <c r="L158" s="13">
        <v>0</v>
      </c>
      <c r="M158" s="13">
        <v>0</v>
      </c>
      <c r="N158" s="13">
        <v>1</v>
      </c>
      <c r="O158" s="13">
        <v>0</v>
      </c>
      <c r="P158" s="13">
        <v>0</v>
      </c>
      <c r="Q158" s="13">
        <v>0</v>
      </c>
      <c r="R158" s="13">
        <v>1</v>
      </c>
      <c r="S158" s="13">
        <v>0</v>
      </c>
      <c r="T158" s="13">
        <v>0</v>
      </c>
      <c r="U158" s="13">
        <v>848</v>
      </c>
      <c r="V158" s="13" t="str" cm="1">
        <f t="array" ref="V158">_xlfn.IFS(U158&lt;=250,"0-R$250",U158&lt;=500,"251-R$500",U158&lt;=750,"501-R$750",U158&lt;=1000,"751-R$1000",U158&lt;=1250,"1001-R$1250",U158&lt;=1500,"1251-R$1500")</f>
        <v>751-R$1000</v>
      </c>
      <c r="W158" s="13">
        <v>154</v>
      </c>
      <c r="X158" s="13" t="str" cm="1">
        <f t="array" ref="X158">_xlfn.IFS(W158 = 0, "0", W158&lt;=20, "até R$20",W158&lt;=40, "21 - R$40",W158&lt;=60, "41- R$60",W158&lt;=80, "61 - R$80", W158&lt;=100, "81 - R$100",W158&lt;=120, "101 - R$120",W158&lt;=140, "121 - R$140", W158&lt;=160, "141- R$160", W158&lt;=180, "161 - R$180", W158&lt;=200, "181-R$194")</f>
        <v>141- R$160</v>
      </c>
      <c r="Y158" s="13">
        <v>323</v>
      </c>
      <c r="Z158" s="13">
        <v>201</v>
      </c>
      <c r="AA158" s="13">
        <v>61</v>
      </c>
      <c r="AB158" s="13">
        <v>78</v>
      </c>
      <c r="AC158" s="13">
        <v>1</v>
      </c>
      <c r="AD158" s="13">
        <v>10</v>
      </c>
      <c r="AE158" s="13">
        <v>3</v>
      </c>
      <c r="AF158" s="13">
        <v>10</v>
      </c>
      <c r="AG158" s="13">
        <v>6</v>
      </c>
      <c r="AH158" s="13">
        <v>0</v>
      </c>
      <c r="AI158" s="13">
        <v>1</v>
      </c>
      <c r="AJ158" s="13">
        <v>0</v>
      </c>
      <c r="AK158" s="13">
        <v>0</v>
      </c>
      <c r="AL158" s="13">
        <v>0</v>
      </c>
      <c r="AM158" s="13">
        <v>0</v>
      </c>
      <c r="AN158" s="13">
        <v>0</v>
      </c>
      <c r="AO158" s="14">
        <v>1</v>
      </c>
      <c r="AP158" s="13">
        <v>3</v>
      </c>
      <c r="AQ158" s="13">
        <v>11</v>
      </c>
      <c r="AR158" s="15">
        <v>1509</v>
      </c>
      <c r="AS158" s="15">
        <v>1587</v>
      </c>
    </row>
    <row r="159" spans="1:45" x14ac:dyDescent="0.25">
      <c r="A159">
        <v>2031</v>
      </c>
      <c r="B159" s="11">
        <f t="shared" si="2"/>
        <v>71128</v>
      </c>
      <c r="C159" s="16">
        <v>711280</v>
      </c>
      <c r="D159" s="17">
        <v>1</v>
      </c>
      <c r="E159" s="17">
        <v>0</v>
      </c>
      <c r="F159" s="17">
        <v>80</v>
      </c>
      <c r="G159" s="17">
        <v>47</v>
      </c>
      <c r="H159" s="13" t="str" cm="1">
        <f t="array" ref="H159">_xlfn.IFS(G159&lt;=20,"0-20",G159&lt;=30,"20-30",G159&lt;=40,"30-40",G159&lt;=50,"50-60",G159&lt;=60,"60-70",G159&lt;=70,"70-80",G159&lt;=80,"80-90")</f>
        <v>50-60</v>
      </c>
      <c r="I159" s="17">
        <v>2790</v>
      </c>
      <c r="J159" s="13" t="str" cm="1">
        <f t="array" ref="J159">_xlfn.IFS(K159=1,"Divorciado",L159=1,"Casado",M159=1,"Solteiro",N159=1,"Juntos",O159=1,"Viuvo")</f>
        <v>Divorciado</v>
      </c>
      <c r="K159" s="17">
        <v>1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1</v>
      </c>
      <c r="S159" s="17">
        <v>0</v>
      </c>
      <c r="T159" s="17">
        <v>0</v>
      </c>
      <c r="U159" s="17">
        <v>958</v>
      </c>
      <c r="V159" s="13" t="str" cm="1">
        <f t="array" ref="V159">_xlfn.IFS(U159&lt;=250,"0-R$250",U159&lt;=500,"251-R$500",U159&lt;=750,"501-R$750",U159&lt;=1000,"751-R$1000",U159&lt;=1250,"1001-R$1250",U159&lt;=1500,"1251-R$1500")</f>
        <v>751-R$1000</v>
      </c>
      <c r="W159" s="17">
        <v>159</v>
      </c>
      <c r="X159" s="13" t="str" cm="1">
        <f t="array" ref="X159">_xlfn.IFS(W159 = 0, "0", W159&lt;=20, "até R$20",W159&lt;=40, "21 - R$40",W159&lt;=60, "41- R$60",W159&lt;=80, "61 - R$80", W159&lt;=100, "81 - R$100",W159&lt;=120, "101 - R$120",W159&lt;=140, "121 - R$140", W159&lt;=160, "141- R$160", W159&lt;=180, "161 - R$180", W159&lt;=200, "181-R$194")</f>
        <v>141- R$160</v>
      </c>
      <c r="Y159" s="17">
        <v>447</v>
      </c>
      <c r="Z159" s="17">
        <v>20</v>
      </c>
      <c r="AA159" s="17">
        <v>0</v>
      </c>
      <c r="AB159" s="17">
        <v>31</v>
      </c>
      <c r="AC159" s="17">
        <v>3</v>
      </c>
      <c r="AD159" s="17">
        <v>2</v>
      </c>
      <c r="AE159" s="17">
        <v>10</v>
      </c>
      <c r="AF159" s="17">
        <v>12</v>
      </c>
      <c r="AG159" s="17">
        <v>7</v>
      </c>
      <c r="AH159" s="17">
        <v>0</v>
      </c>
      <c r="AI159" s="17">
        <v>0</v>
      </c>
      <c r="AJ159" s="17">
        <v>0</v>
      </c>
      <c r="AK159" s="17">
        <v>0</v>
      </c>
      <c r="AL159" s="17">
        <v>0</v>
      </c>
      <c r="AM159" s="17">
        <v>0</v>
      </c>
      <c r="AN159" s="17">
        <v>0</v>
      </c>
      <c r="AO159" s="18">
        <v>0</v>
      </c>
      <c r="AP159" s="17">
        <v>3</v>
      </c>
      <c r="AQ159" s="17">
        <v>11</v>
      </c>
      <c r="AR159" s="19">
        <v>1553</v>
      </c>
      <c r="AS159" s="19">
        <v>1584</v>
      </c>
    </row>
    <row r="160" spans="1:45" x14ac:dyDescent="0.25">
      <c r="A160">
        <v>878</v>
      </c>
      <c r="B160" s="11">
        <f t="shared" si="2"/>
        <v>78331</v>
      </c>
      <c r="C160" s="12">
        <v>783310</v>
      </c>
      <c r="D160" s="13">
        <v>0</v>
      </c>
      <c r="E160" s="13">
        <v>1</v>
      </c>
      <c r="F160" s="13">
        <v>97</v>
      </c>
      <c r="G160" s="13">
        <v>62</v>
      </c>
      <c r="H160" s="13" t="str" cm="1">
        <f t="array" ref="H160">_xlfn.IFS(G160&lt;=20,"0-20",G160&lt;=30,"20-30",G160&lt;=40,"30-40",G160&lt;=50,"50-60",G160&lt;=60,"60-70",G160&lt;=70,"70-80",G160&lt;=80,"80-90")</f>
        <v>70-80</v>
      </c>
      <c r="I160" s="13">
        <v>2316</v>
      </c>
      <c r="J160" s="13" t="str" cm="1">
        <f t="array" ref="J160">_xlfn.IFS(K160=1,"Divorciado",L160=1,"Casado",M160=1,"Solteiro",N160=1,"Juntos",O160=1,"Viuvo")</f>
        <v>Divorciado</v>
      </c>
      <c r="K160" s="13">
        <v>1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1</v>
      </c>
      <c r="S160" s="13">
        <v>0</v>
      </c>
      <c r="T160" s="13">
        <v>0</v>
      </c>
      <c r="U160" s="13">
        <v>756</v>
      </c>
      <c r="V160" s="13" t="str" cm="1">
        <f t="array" ref="V160">_xlfn.IFS(U160&lt;=250,"0-R$250",U160&lt;=500,"251-R$500",U160&lt;=750,"501-R$750",U160&lt;=1000,"751-R$1000",U160&lt;=1250,"1001-R$1250",U160&lt;=1500,"1251-R$1500")</f>
        <v>751-R$1000</v>
      </c>
      <c r="W160" s="13">
        <v>138</v>
      </c>
      <c r="X160" s="13" t="str" cm="1">
        <f t="array" ref="X160">_xlfn.IFS(W160 = 0, "0", W160&lt;=20, "até R$20",W160&lt;=40, "21 - R$40",W160&lt;=60, "41- R$60",W160&lt;=80, "61 - R$80", W160&lt;=100, "81 - R$100",W160&lt;=120, "101 - R$120",W160&lt;=140, "121 - R$140", W160&lt;=160, "141- R$160", W160&lt;=180, "161 - R$180", W160&lt;=200, "181-R$194")</f>
        <v>121 - R$140</v>
      </c>
      <c r="Y160" s="13">
        <v>354</v>
      </c>
      <c r="Z160" s="13">
        <v>160</v>
      </c>
      <c r="AA160" s="13">
        <v>169</v>
      </c>
      <c r="AB160" s="13">
        <v>61</v>
      </c>
      <c r="AC160" s="13">
        <v>2</v>
      </c>
      <c r="AD160" s="13">
        <v>10</v>
      </c>
      <c r="AE160" s="13">
        <v>6</v>
      </c>
      <c r="AF160" s="13">
        <v>7</v>
      </c>
      <c r="AG160" s="13">
        <v>4</v>
      </c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13">
        <v>0</v>
      </c>
      <c r="AO160" s="14">
        <v>0</v>
      </c>
      <c r="AP160" s="13">
        <v>3</v>
      </c>
      <c r="AQ160" s="13">
        <v>11</v>
      </c>
      <c r="AR160" s="15">
        <v>1516</v>
      </c>
      <c r="AS160" s="15">
        <v>1577</v>
      </c>
    </row>
    <row r="161" spans="1:45" x14ac:dyDescent="0.25">
      <c r="A161">
        <v>1688</v>
      </c>
      <c r="B161" s="11">
        <f t="shared" si="2"/>
        <v>80398</v>
      </c>
      <c r="C161" s="12">
        <v>803980</v>
      </c>
      <c r="D161" s="13">
        <v>0</v>
      </c>
      <c r="E161" s="13">
        <v>0</v>
      </c>
      <c r="F161" s="13">
        <v>92</v>
      </c>
      <c r="G161" s="13">
        <v>54</v>
      </c>
      <c r="H161" s="13" t="str" cm="1">
        <f t="array" ref="H161">_xlfn.IFS(G161&lt;=20,"0-20",G161&lt;=30,"20-30",G161&lt;=40,"30-40",G161&lt;=50,"50-60",G161&lt;=60,"60-70",G161&lt;=70,"70-80",G161&lt;=80,"80-90")</f>
        <v>60-70</v>
      </c>
      <c r="I161" s="13">
        <v>2755</v>
      </c>
      <c r="J161" s="13" t="str" cm="1">
        <f t="array" ref="J161">_xlfn.IFS(K161=1,"Divorciado",L161=1,"Casado",M161=1,"Solteiro",N161=1,"Juntos",O161=1,"Viuvo")</f>
        <v>Casado</v>
      </c>
      <c r="K161" s="13">
        <v>0</v>
      </c>
      <c r="L161" s="13">
        <v>1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1</v>
      </c>
      <c r="S161" s="13">
        <v>0</v>
      </c>
      <c r="T161" s="13">
        <v>0</v>
      </c>
      <c r="U161" s="13">
        <v>342</v>
      </c>
      <c r="V161" s="13" t="str" cm="1">
        <f t="array" ref="V161">_xlfn.IFS(U161&lt;=250,"0-R$250",U161&lt;=500,"251-R$500",U161&lt;=750,"501-R$750",U161&lt;=1000,"751-R$1000",U161&lt;=1250,"1001-R$1250",U161&lt;=1500,"1251-R$1500")</f>
        <v>251-R$500</v>
      </c>
      <c r="W161" s="13">
        <v>51</v>
      </c>
      <c r="X161" s="13" t="str" cm="1">
        <f t="array" ref="X161">_xlfn.IFS(W161 = 0, "0", W161&lt;=20, "até R$20",W161&lt;=40, "21 - R$40",W161&lt;=60, "41- R$60",W161&lt;=80, "61 - R$80", W161&lt;=100, "81 - R$100",W161&lt;=120, "101 - R$120",W161&lt;=140, "121 - R$140", W161&lt;=160, "141- R$160", W161&lt;=180, "161 - R$180", W161&lt;=200, "181-R$194")</f>
        <v>41- R$60</v>
      </c>
      <c r="Y161" s="13">
        <v>936</v>
      </c>
      <c r="Z161" s="13">
        <v>207</v>
      </c>
      <c r="AA161" s="13">
        <v>35</v>
      </c>
      <c r="AB161" s="13">
        <v>26</v>
      </c>
      <c r="AC161" s="13">
        <v>1</v>
      </c>
      <c r="AD161" s="13">
        <v>5</v>
      </c>
      <c r="AE161" s="13">
        <v>8</v>
      </c>
      <c r="AF161" s="13">
        <v>12</v>
      </c>
      <c r="AG161" s="13">
        <v>3</v>
      </c>
      <c r="AH161" s="13">
        <v>0</v>
      </c>
      <c r="AI161" s="13">
        <v>0</v>
      </c>
      <c r="AJ161" s="13">
        <v>0</v>
      </c>
      <c r="AK161" s="13">
        <v>1</v>
      </c>
      <c r="AL161" s="13">
        <v>0</v>
      </c>
      <c r="AM161" s="13">
        <v>0</v>
      </c>
      <c r="AN161" s="13">
        <v>0</v>
      </c>
      <c r="AO161" s="14">
        <v>1</v>
      </c>
      <c r="AP161" s="13">
        <v>3</v>
      </c>
      <c r="AQ161" s="13">
        <v>11</v>
      </c>
      <c r="AR161" s="15">
        <v>1545</v>
      </c>
      <c r="AS161" s="15">
        <v>1571</v>
      </c>
    </row>
    <row r="162" spans="1:45" x14ac:dyDescent="0.25">
      <c r="A162">
        <v>1783</v>
      </c>
      <c r="B162" s="11">
        <f t="shared" si="2"/>
        <v>90369</v>
      </c>
      <c r="C162" s="16">
        <v>903690</v>
      </c>
      <c r="D162" s="17">
        <v>0</v>
      </c>
      <c r="E162" s="17">
        <v>0</v>
      </c>
      <c r="F162" s="17">
        <v>2</v>
      </c>
      <c r="G162" s="17">
        <v>64</v>
      </c>
      <c r="H162" s="13" t="str" cm="1">
        <f t="array" ref="H162">_xlfn.IFS(G162&lt;=20,"0-20",G162&lt;=30,"20-30",G162&lt;=40,"30-40",G162&lt;=50,"50-60",G162&lt;=60,"60-70",G162&lt;=70,"70-80",G162&lt;=80,"80-90")</f>
        <v>70-80</v>
      </c>
      <c r="I162" s="17">
        <v>2221</v>
      </c>
      <c r="J162" s="13" t="str" cm="1">
        <f t="array" ref="J162">_xlfn.IFS(K162=1,"Divorciado",L162=1,"Casado",M162=1,"Solteiro",N162=1,"Juntos",O162=1,"Viuvo")</f>
        <v>Casado</v>
      </c>
      <c r="K162" s="17">
        <v>0</v>
      </c>
      <c r="L162" s="17">
        <v>1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1</v>
      </c>
      <c r="S162" s="17">
        <v>0</v>
      </c>
      <c r="T162" s="17">
        <v>0</v>
      </c>
      <c r="U162" s="17">
        <v>292</v>
      </c>
      <c r="V162" s="13" t="str" cm="1">
        <f t="array" ref="V162">_xlfn.IFS(U162&lt;=250,"0-R$250",U162&lt;=500,"251-R$500",U162&lt;=750,"501-R$750",U162&lt;=1000,"751-R$1000",U162&lt;=1250,"1001-R$1250",U162&lt;=1500,"1251-R$1500")</f>
        <v>251-R$500</v>
      </c>
      <c r="W162" s="17">
        <v>51</v>
      </c>
      <c r="X162" s="13" t="str" cm="1">
        <f t="array" ref="X162">_xlfn.IFS(W162 = 0, "0", W162&lt;=20, "até R$20",W162&lt;=40, "21 - R$40",W162&lt;=60, "41- R$60",W162&lt;=80, "61 - R$80", W162&lt;=100, "81 - R$100",W162&lt;=120, "101 - R$120",W162&lt;=140, "121 - R$140", W162&lt;=160, "141- R$160", W162&lt;=180, "161 - R$180", W162&lt;=200, "181-R$194")</f>
        <v>41- R$60</v>
      </c>
      <c r="Y162" s="17">
        <v>981</v>
      </c>
      <c r="Z162" s="17">
        <v>224</v>
      </c>
      <c r="AA162" s="17">
        <v>23</v>
      </c>
      <c r="AB162" s="17">
        <v>17</v>
      </c>
      <c r="AC162" s="17">
        <v>1</v>
      </c>
      <c r="AD162" s="17">
        <v>4</v>
      </c>
      <c r="AE162" s="17">
        <v>6</v>
      </c>
      <c r="AF162" s="17">
        <v>6</v>
      </c>
      <c r="AG162" s="17">
        <v>1</v>
      </c>
      <c r="AH162" s="17">
        <v>0</v>
      </c>
      <c r="AI162" s="17">
        <v>0</v>
      </c>
      <c r="AJ162" s="17">
        <v>0</v>
      </c>
      <c r="AK162" s="17">
        <v>0</v>
      </c>
      <c r="AL162" s="17">
        <v>0</v>
      </c>
      <c r="AM162" s="17">
        <v>0</v>
      </c>
      <c r="AN162" s="17">
        <v>1</v>
      </c>
      <c r="AO162" s="18">
        <v>0</v>
      </c>
      <c r="AP162" s="17">
        <v>3</v>
      </c>
      <c r="AQ162" s="17">
        <v>11</v>
      </c>
      <c r="AR162" s="19">
        <v>1554</v>
      </c>
      <c r="AS162" s="19">
        <v>1571</v>
      </c>
    </row>
    <row r="163" spans="1:45" x14ac:dyDescent="0.25">
      <c r="A163">
        <v>2179</v>
      </c>
      <c r="B163" s="11">
        <f t="shared" si="2"/>
        <v>88325</v>
      </c>
      <c r="C163" s="16">
        <v>883250</v>
      </c>
      <c r="D163" s="17">
        <v>0</v>
      </c>
      <c r="E163" s="17">
        <v>0</v>
      </c>
      <c r="F163" s="17">
        <v>42</v>
      </c>
      <c r="G163" s="17">
        <v>39</v>
      </c>
      <c r="H163" s="13" t="str" cm="1">
        <f t="array" ref="H163">_xlfn.IFS(G163&lt;=20,"0-20",G163&lt;=30,"20-30",G163&lt;=40,"30-40",G163&lt;=50,"50-60",G163&lt;=60,"60-70",G163&lt;=70,"70-80",G163&lt;=80,"80-90")</f>
        <v>30-40</v>
      </c>
      <c r="I163" s="17">
        <v>2303</v>
      </c>
      <c r="J163" s="13" t="str" cm="1">
        <f t="array" ref="J163">_xlfn.IFS(K163=1,"Divorciado",L163=1,"Casado",M163=1,"Solteiro",N163=1,"Juntos",O163=1,"Viuvo")</f>
        <v>Juntos</v>
      </c>
      <c r="K163" s="17">
        <v>0</v>
      </c>
      <c r="L163" s="17">
        <v>0</v>
      </c>
      <c r="M163" s="17">
        <v>0</v>
      </c>
      <c r="N163" s="17">
        <v>1</v>
      </c>
      <c r="O163" s="17">
        <v>0</v>
      </c>
      <c r="P163" s="17">
        <v>0</v>
      </c>
      <c r="Q163" s="17">
        <v>0</v>
      </c>
      <c r="R163" s="17">
        <v>1</v>
      </c>
      <c r="S163" s="17">
        <v>0</v>
      </c>
      <c r="T163" s="17">
        <v>0</v>
      </c>
      <c r="U163" s="17">
        <v>519</v>
      </c>
      <c r="V163" s="13" t="str" cm="1">
        <f t="array" ref="V163">_xlfn.IFS(U163&lt;=250,"0-R$250",U163&lt;=500,"251-R$500",U163&lt;=750,"501-R$750",U163&lt;=1000,"751-R$1000",U163&lt;=1250,"1001-R$1250",U163&lt;=1500,"1251-R$1500")</f>
        <v>501-R$750</v>
      </c>
      <c r="W163" s="17">
        <v>71</v>
      </c>
      <c r="X163" s="13" t="str" cm="1">
        <f t="array" ref="X163">_xlfn.IFS(W163 = 0, "0", W163&lt;=20, "até R$20",W163&lt;=40, "21 - R$40",W163&lt;=60, "41- R$60",W163&lt;=80, "61 - R$80", W163&lt;=100, "81 - R$100",W163&lt;=120, "101 - R$120",W163&lt;=140, "121 - R$140", W163&lt;=160, "141- R$160", W163&lt;=180, "161 - R$180", W163&lt;=200, "181-R$194")</f>
        <v>61 - R$80</v>
      </c>
      <c r="Y163" s="17">
        <v>860</v>
      </c>
      <c r="Z163" s="17">
        <v>93</v>
      </c>
      <c r="AA163" s="17">
        <v>27</v>
      </c>
      <c r="AB163" s="17">
        <v>53</v>
      </c>
      <c r="AC163" s="17">
        <v>1</v>
      </c>
      <c r="AD163" s="17">
        <v>6</v>
      </c>
      <c r="AE163" s="17">
        <v>2</v>
      </c>
      <c r="AF163" s="17">
        <v>9</v>
      </c>
      <c r="AG163" s="17">
        <v>2</v>
      </c>
      <c r="AH163" s="17">
        <v>0</v>
      </c>
      <c r="AI163" s="17">
        <v>0</v>
      </c>
      <c r="AJ163" s="17">
        <v>0</v>
      </c>
      <c r="AK163" s="17">
        <v>0</v>
      </c>
      <c r="AL163" s="17">
        <v>0</v>
      </c>
      <c r="AM163" s="17">
        <v>0</v>
      </c>
      <c r="AN163" s="17">
        <v>0</v>
      </c>
      <c r="AO163" s="18">
        <v>0</v>
      </c>
      <c r="AP163" s="17">
        <v>3</v>
      </c>
      <c r="AQ163" s="17">
        <v>11</v>
      </c>
      <c r="AR163" s="19">
        <v>1517</v>
      </c>
      <c r="AS163" s="19">
        <v>1570</v>
      </c>
    </row>
    <row r="164" spans="1:45" x14ac:dyDescent="0.25">
      <c r="A164">
        <v>177</v>
      </c>
      <c r="B164" s="11">
        <f t="shared" si="2"/>
        <v>74068</v>
      </c>
      <c r="C164" s="16">
        <v>740680</v>
      </c>
      <c r="D164" s="17">
        <v>0</v>
      </c>
      <c r="E164" s="17">
        <v>0</v>
      </c>
      <c r="F164" s="17">
        <v>14</v>
      </c>
      <c r="G164" s="17">
        <v>44</v>
      </c>
      <c r="H164" s="13" t="str" cm="1">
        <f t="array" ref="H164">_xlfn.IFS(G164&lt;=20,"0-20",G164&lt;=30,"20-30",G164&lt;=40,"30-40",G164&lt;=50,"50-60",G164&lt;=60,"60-70",G164&lt;=70,"70-80",G164&lt;=80,"80-90")</f>
        <v>50-60</v>
      </c>
      <c r="I164" s="17">
        <v>2626</v>
      </c>
      <c r="J164" s="13" t="str" cm="1">
        <f t="array" ref="J164">_xlfn.IFS(K164=1,"Divorciado",L164=1,"Casado",M164=1,"Solteiro",N164=1,"Juntos",O164=1,"Viuvo")</f>
        <v>Casado</v>
      </c>
      <c r="K164" s="17">
        <v>0</v>
      </c>
      <c r="L164" s="17">
        <v>1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1</v>
      </c>
      <c r="S164" s="17">
        <v>0</v>
      </c>
      <c r="T164" s="17">
        <v>0</v>
      </c>
      <c r="U164" s="17">
        <v>783</v>
      </c>
      <c r="V164" s="13" t="str" cm="1">
        <f t="array" ref="V164">_xlfn.IFS(U164&lt;=250,"0-R$250",U164&lt;=500,"251-R$500",U164&lt;=750,"501-R$750",U164&lt;=1000,"751-R$1000",U164&lt;=1250,"1001-R$1250",U164&lt;=1500,"1251-R$1500")</f>
        <v>751-R$1000</v>
      </c>
      <c r="W164" s="17">
        <v>30</v>
      </c>
      <c r="X164" s="13" t="str" cm="1">
        <f t="array" ref="X164">_xlfn.IFS(W164 = 0, "0", W164&lt;=20, "até R$20",W164&lt;=40, "21 - R$40",W164&lt;=60, "41- R$60",W164&lt;=80, "61 - R$80", W164&lt;=100, "81 - R$100",W164&lt;=120, "101 - R$120",W164&lt;=140, "121 - R$140", W164&lt;=160, "141- R$160", W164&lt;=180, "161 - R$180", W164&lt;=200, "181-R$194")</f>
        <v>21 - R$40</v>
      </c>
      <c r="Y164" s="17">
        <v>537</v>
      </c>
      <c r="Z164" s="17">
        <v>140</v>
      </c>
      <c r="AA164" s="17">
        <v>76</v>
      </c>
      <c r="AB164" s="17">
        <v>15</v>
      </c>
      <c r="AC164" s="17">
        <v>1</v>
      </c>
      <c r="AD164" s="17">
        <v>4</v>
      </c>
      <c r="AE164" s="17">
        <v>10</v>
      </c>
      <c r="AF164" s="17">
        <v>9</v>
      </c>
      <c r="AG164" s="17">
        <v>2</v>
      </c>
      <c r="AH164" s="17">
        <v>0</v>
      </c>
      <c r="AI164" s="17">
        <v>0</v>
      </c>
      <c r="AJ164" s="17">
        <v>0</v>
      </c>
      <c r="AK164" s="17">
        <v>0</v>
      </c>
      <c r="AL164" s="17">
        <v>0</v>
      </c>
      <c r="AM164" s="17">
        <v>0</v>
      </c>
      <c r="AN164" s="17">
        <v>0</v>
      </c>
      <c r="AO164" s="18">
        <v>0</v>
      </c>
      <c r="AP164" s="17">
        <v>3</v>
      </c>
      <c r="AQ164" s="17">
        <v>11</v>
      </c>
      <c r="AR164" s="19">
        <v>1551</v>
      </c>
      <c r="AS164" s="19">
        <v>1566</v>
      </c>
    </row>
    <row r="165" spans="1:45" x14ac:dyDescent="0.25">
      <c r="A165">
        <v>779</v>
      </c>
      <c r="B165" s="11">
        <f t="shared" si="2"/>
        <v>73926</v>
      </c>
      <c r="C165" s="16">
        <v>739260</v>
      </c>
      <c r="D165" s="17">
        <v>0</v>
      </c>
      <c r="E165" s="17">
        <v>0</v>
      </c>
      <c r="F165" s="17">
        <v>54</v>
      </c>
      <c r="G165" s="17">
        <v>47</v>
      </c>
      <c r="H165" s="13" t="str" cm="1">
        <f t="array" ref="H165">_xlfn.IFS(G165&lt;=20,"0-20",G165&lt;=30,"20-30",G165&lt;=40,"30-40",G165&lt;=50,"50-60",G165&lt;=60,"60-70",G165&lt;=70,"70-80",G165&lt;=80,"80-90")</f>
        <v>50-60</v>
      </c>
      <c r="I165" s="17">
        <v>2643</v>
      </c>
      <c r="J165" s="13" t="str" cm="1">
        <f t="array" ref="J165">_xlfn.IFS(K165=1,"Divorciado",L165=1,"Casado",M165=1,"Solteiro",N165=1,"Juntos",O165=1,"Viuvo")</f>
        <v>Juntos</v>
      </c>
      <c r="K165" s="17">
        <v>0</v>
      </c>
      <c r="L165" s="17">
        <v>0</v>
      </c>
      <c r="M165" s="17">
        <v>0</v>
      </c>
      <c r="N165" s="17">
        <v>1</v>
      </c>
      <c r="O165" s="17">
        <v>0</v>
      </c>
      <c r="P165" s="17">
        <v>0</v>
      </c>
      <c r="Q165" s="17">
        <v>0</v>
      </c>
      <c r="R165" s="17">
        <v>1</v>
      </c>
      <c r="S165" s="17">
        <v>0</v>
      </c>
      <c r="T165" s="17">
        <v>0</v>
      </c>
      <c r="U165" s="17">
        <v>627</v>
      </c>
      <c r="V165" s="13" t="str" cm="1">
        <f t="array" ref="V165">_xlfn.IFS(U165&lt;=250,"0-R$250",U165&lt;=500,"251-R$500",U165&lt;=750,"501-R$750",U165&lt;=1000,"751-R$1000",U165&lt;=1250,"1001-R$1250",U165&lt;=1500,"1251-R$1500")</f>
        <v>501-R$750</v>
      </c>
      <c r="W165" s="17">
        <v>91</v>
      </c>
      <c r="X165" s="13" t="str" cm="1">
        <f t="array" ref="X165">_xlfn.IFS(W165 = 0, "0", W165&lt;=20, "até R$20",W165&lt;=40, "21 - R$40",W165&lt;=60, "41- R$60",W165&lt;=80, "61 - R$80", W165&lt;=100, "81 - R$100",W165&lt;=120, "101 - R$120",W165&lt;=140, "121 - R$140", W165&lt;=160, "141- R$160", W165&lt;=180, "161 - R$180", W165&lt;=200, "181-R$194")</f>
        <v>81 - R$100</v>
      </c>
      <c r="Y165" s="17">
        <v>597</v>
      </c>
      <c r="Z165" s="17">
        <v>159</v>
      </c>
      <c r="AA165" s="17">
        <v>91</v>
      </c>
      <c r="AB165" s="17">
        <v>15</v>
      </c>
      <c r="AC165" s="17">
        <v>1</v>
      </c>
      <c r="AD165" s="17">
        <v>6</v>
      </c>
      <c r="AE165" s="17">
        <v>5</v>
      </c>
      <c r="AF165" s="17">
        <v>12</v>
      </c>
      <c r="AG165" s="17">
        <v>3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8">
        <v>0</v>
      </c>
      <c r="AP165" s="17">
        <v>3</v>
      </c>
      <c r="AQ165" s="17">
        <v>11</v>
      </c>
      <c r="AR165" s="19">
        <v>1550</v>
      </c>
      <c r="AS165" s="19">
        <v>1565</v>
      </c>
    </row>
    <row r="166" spans="1:45" x14ac:dyDescent="0.25">
      <c r="A166">
        <v>219</v>
      </c>
      <c r="B166" s="11">
        <f t="shared" si="2"/>
        <v>81975</v>
      </c>
      <c r="C166" s="16">
        <v>819750</v>
      </c>
      <c r="D166" s="17">
        <v>0</v>
      </c>
      <c r="E166" s="17">
        <v>1</v>
      </c>
      <c r="F166" s="17">
        <v>2</v>
      </c>
      <c r="G166" s="17">
        <v>58</v>
      </c>
      <c r="H166" s="13" t="str" cm="1">
        <f t="array" ref="H166">_xlfn.IFS(G166&lt;=20,"0-20",G166&lt;=30,"20-30",G166&lt;=40,"30-40",G166&lt;=50,"50-60",G166&lt;=60,"60-70",G166&lt;=70,"70-80",G166&lt;=80,"80-90")</f>
        <v>60-70</v>
      </c>
      <c r="I166" s="17">
        <v>2699</v>
      </c>
      <c r="J166" s="13" t="str" cm="1">
        <f t="array" ref="J166">_xlfn.IFS(K166=1,"Divorciado",L166=1,"Casado",M166=1,"Solteiro",N166=1,"Juntos",O166=1,"Viuvo")</f>
        <v>Divorciado</v>
      </c>
      <c r="K166" s="17">
        <v>1</v>
      </c>
      <c r="L166" s="17">
        <v>0</v>
      </c>
      <c r="M166" s="17">
        <v>0</v>
      </c>
      <c r="N166" s="17">
        <v>0</v>
      </c>
      <c r="O166" s="17">
        <v>0</v>
      </c>
      <c r="P166" s="17">
        <v>1</v>
      </c>
      <c r="Q166" s="17">
        <v>0</v>
      </c>
      <c r="R166" s="17">
        <v>0</v>
      </c>
      <c r="S166" s="17">
        <v>0</v>
      </c>
      <c r="T166" s="17">
        <v>0</v>
      </c>
      <c r="U166" s="17">
        <v>983</v>
      </c>
      <c r="V166" s="13" t="str" cm="1">
        <f t="array" ref="V166">_xlfn.IFS(U166&lt;=250,"0-R$250",U166&lt;=500,"251-R$500",U166&lt;=750,"501-R$750",U166&lt;=1000,"751-R$1000",U166&lt;=1250,"1001-R$1250",U166&lt;=1500,"1251-R$1500")</f>
        <v>751-R$1000</v>
      </c>
      <c r="W166" s="17">
        <v>76</v>
      </c>
      <c r="X166" s="13" t="str" cm="1">
        <f t="array" ref="X166">_xlfn.IFS(W166 = 0, "0", W166&lt;=20, "até R$20",W166&lt;=40, "21 - R$40",W166&lt;=60, "41- R$60",W166&lt;=80, "61 - R$80", W166&lt;=100, "81 - R$100",W166&lt;=120, "101 - R$120",W166&lt;=140, "121 - R$140", W166&lt;=160, "141- R$160", W166&lt;=180, "161 - R$180", W166&lt;=200, "181-R$194")</f>
        <v>61 - R$80</v>
      </c>
      <c r="Y166" s="17">
        <v>184</v>
      </c>
      <c r="Z166" s="17">
        <v>180</v>
      </c>
      <c r="AA166" s="17">
        <v>138</v>
      </c>
      <c r="AB166" s="17">
        <v>27</v>
      </c>
      <c r="AC166" s="17">
        <v>1</v>
      </c>
      <c r="AD166" s="17">
        <v>6</v>
      </c>
      <c r="AE166" s="17">
        <v>3</v>
      </c>
      <c r="AF166" s="17">
        <v>4</v>
      </c>
      <c r="AG166" s="17">
        <v>7</v>
      </c>
      <c r="AH166" s="17">
        <v>0</v>
      </c>
      <c r="AI166" s="17">
        <v>0</v>
      </c>
      <c r="AJ166" s="17">
        <v>0</v>
      </c>
      <c r="AK166" s="17">
        <v>1</v>
      </c>
      <c r="AL166" s="17">
        <v>0</v>
      </c>
      <c r="AM166" s="17">
        <v>0</v>
      </c>
      <c r="AN166" s="17">
        <v>0</v>
      </c>
      <c r="AO166" s="18">
        <v>1</v>
      </c>
      <c r="AP166" s="17">
        <v>3</v>
      </c>
      <c r="AQ166" s="17">
        <v>11</v>
      </c>
      <c r="AR166" s="19">
        <v>1534</v>
      </c>
      <c r="AS166" s="19">
        <v>1561</v>
      </c>
    </row>
    <row r="167" spans="1:45" x14ac:dyDescent="0.25">
      <c r="A167">
        <v>613</v>
      </c>
      <c r="B167" s="11">
        <f t="shared" si="2"/>
        <v>69084</v>
      </c>
      <c r="C167" s="16">
        <v>690840</v>
      </c>
      <c r="D167" s="17">
        <v>1</v>
      </c>
      <c r="E167" s="17">
        <v>0</v>
      </c>
      <c r="F167" s="17">
        <v>43</v>
      </c>
      <c r="G167" s="17">
        <v>50</v>
      </c>
      <c r="H167" s="13" t="str" cm="1">
        <f t="array" ref="H167">_xlfn.IFS(G167&lt;=20,"0-20",G167&lt;=30,"20-30",G167&lt;=40,"30-40",G167&lt;=50,"50-60",G167&lt;=60,"60-70",G167&lt;=70,"70-80",G167&lt;=80,"80-90")</f>
        <v>50-60</v>
      </c>
      <c r="I167" s="17">
        <v>2381</v>
      </c>
      <c r="J167" s="13" t="str" cm="1">
        <f t="array" ref="J167">_xlfn.IFS(K167=1,"Divorciado",L167=1,"Casado",M167=1,"Solteiro",N167=1,"Juntos",O167=1,"Viuvo")</f>
        <v>Casado</v>
      </c>
      <c r="K167" s="17">
        <v>0</v>
      </c>
      <c r="L167" s="17">
        <v>1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1</v>
      </c>
      <c r="U167" s="17">
        <v>1181</v>
      </c>
      <c r="V167" s="13" t="str" cm="1">
        <f t="array" ref="V167">_xlfn.IFS(U167&lt;=250,"0-R$250",U167&lt;=500,"251-R$500",U167&lt;=750,"501-R$750",U167&lt;=1000,"751-R$1000",U167&lt;=1250,"1001-R$1250",U167&lt;=1500,"1251-R$1500")</f>
        <v>1001-R$1250</v>
      </c>
      <c r="W167" s="17">
        <v>107</v>
      </c>
      <c r="X167" s="13" t="str" cm="1">
        <f t="array" ref="X167">_xlfn.IFS(W167 = 0, "0", W167&lt;=20, "até R$20",W167&lt;=40, "21 - R$40",W167&lt;=60, "41- R$60",W167&lt;=80, "61 - R$80", W167&lt;=100, "81 - R$100",W167&lt;=120, "101 - R$120",W167&lt;=140, "121 - R$140", W167&lt;=160, "141- R$160", W167&lt;=180, "161 - R$180", W167&lt;=200, "181-R$194")</f>
        <v>101 - R$120</v>
      </c>
      <c r="Y167" s="17">
        <v>199</v>
      </c>
      <c r="Z167" s="17">
        <v>39</v>
      </c>
      <c r="AA167" s="17">
        <v>30</v>
      </c>
      <c r="AB167" s="17">
        <v>30</v>
      </c>
      <c r="AC167" s="17">
        <v>2</v>
      </c>
      <c r="AD167" s="17">
        <v>7</v>
      </c>
      <c r="AE167" s="17">
        <v>3</v>
      </c>
      <c r="AF167" s="17">
        <v>13</v>
      </c>
      <c r="AG167" s="17">
        <v>8</v>
      </c>
      <c r="AH167" s="17">
        <v>0</v>
      </c>
      <c r="AI167" s="17">
        <v>0</v>
      </c>
      <c r="AJ167" s="17">
        <v>0</v>
      </c>
      <c r="AK167" s="17">
        <v>0</v>
      </c>
      <c r="AL167" s="17">
        <v>0</v>
      </c>
      <c r="AM167" s="17">
        <v>0</v>
      </c>
      <c r="AN167" s="17">
        <v>0</v>
      </c>
      <c r="AO167" s="18">
        <v>0</v>
      </c>
      <c r="AP167" s="17">
        <v>3</v>
      </c>
      <c r="AQ167" s="17">
        <v>11</v>
      </c>
      <c r="AR167" s="19">
        <v>1526</v>
      </c>
      <c r="AS167" s="19">
        <v>1556</v>
      </c>
    </row>
    <row r="168" spans="1:45" x14ac:dyDescent="0.25">
      <c r="A168">
        <v>1643</v>
      </c>
      <c r="B168" s="11">
        <f t="shared" si="2"/>
        <v>69084</v>
      </c>
      <c r="C168" s="16">
        <v>690840</v>
      </c>
      <c r="D168" s="17">
        <v>1</v>
      </c>
      <c r="E168" s="17">
        <v>0</v>
      </c>
      <c r="F168" s="17">
        <v>43</v>
      </c>
      <c r="G168" s="17">
        <v>50</v>
      </c>
      <c r="H168" s="13" t="str" cm="1">
        <f t="array" ref="H168">_xlfn.IFS(G168&lt;=20,"0-20",G168&lt;=30,"20-30",G168&lt;=40,"30-40",G168&lt;=50,"50-60",G168&lt;=60,"60-70",G168&lt;=70,"70-80",G168&lt;=80,"80-90")</f>
        <v>50-60</v>
      </c>
      <c r="I168" s="17">
        <v>2381</v>
      </c>
      <c r="J168" s="13" t="str" cm="1">
        <f t="array" ref="J168">_xlfn.IFS(K168=1,"Divorciado",L168=1,"Casado",M168=1,"Solteiro",N168=1,"Juntos",O168=1,"Viuvo")</f>
        <v>Casado</v>
      </c>
      <c r="K168" s="17">
        <v>0</v>
      </c>
      <c r="L168" s="17">
        <v>1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1</v>
      </c>
      <c r="U168" s="17">
        <v>1181</v>
      </c>
      <c r="V168" s="13" t="str" cm="1">
        <f t="array" ref="V168">_xlfn.IFS(U168&lt;=250,"0-R$250",U168&lt;=500,"251-R$500",U168&lt;=750,"501-R$750",U168&lt;=1000,"751-R$1000",U168&lt;=1250,"1001-R$1250",U168&lt;=1500,"1251-R$1500")</f>
        <v>1001-R$1250</v>
      </c>
      <c r="W168" s="17">
        <v>107</v>
      </c>
      <c r="X168" s="13" t="str" cm="1">
        <f t="array" ref="X168">_xlfn.IFS(W168 = 0, "0", W168&lt;=20, "até R$20",W168&lt;=40, "21 - R$40",W168&lt;=60, "41- R$60",W168&lt;=80, "61 - R$80", W168&lt;=100, "81 - R$100",W168&lt;=120, "101 - R$120",W168&lt;=140, "121 - R$140", W168&lt;=160, "141- R$160", W168&lt;=180, "161 - R$180", W168&lt;=200, "181-R$194")</f>
        <v>101 - R$120</v>
      </c>
      <c r="Y168" s="17">
        <v>199</v>
      </c>
      <c r="Z168" s="17">
        <v>39</v>
      </c>
      <c r="AA168" s="17">
        <v>30</v>
      </c>
      <c r="AB168" s="17">
        <v>30</v>
      </c>
      <c r="AC168" s="17">
        <v>2</v>
      </c>
      <c r="AD168" s="17">
        <v>7</v>
      </c>
      <c r="AE168" s="17">
        <v>3</v>
      </c>
      <c r="AF168" s="17">
        <v>13</v>
      </c>
      <c r="AG168" s="17">
        <v>8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8">
        <v>0</v>
      </c>
      <c r="AP168" s="17">
        <v>3</v>
      </c>
      <c r="AQ168" s="17">
        <v>11</v>
      </c>
      <c r="AR168" s="19">
        <v>1526</v>
      </c>
      <c r="AS168" s="19">
        <v>1556</v>
      </c>
    </row>
    <row r="169" spans="1:45" x14ac:dyDescent="0.25">
      <c r="A169">
        <v>1218</v>
      </c>
      <c r="B169" s="11">
        <f t="shared" si="2"/>
        <v>84906</v>
      </c>
      <c r="C169" s="12">
        <v>849060</v>
      </c>
      <c r="D169" s="13">
        <v>0</v>
      </c>
      <c r="E169" s="13">
        <v>0</v>
      </c>
      <c r="F169" s="13">
        <v>98</v>
      </c>
      <c r="G169" s="13">
        <v>48</v>
      </c>
      <c r="H169" s="13" t="str" cm="1">
        <f t="array" ref="H169">_xlfn.IFS(G169&lt;=20,"0-20",G169&lt;=30,"20-30",G169&lt;=40,"30-40",G169&lt;=50,"50-60",G169&lt;=60,"60-70",G169&lt;=70,"70-80",G169&lt;=80,"80-90")</f>
        <v>50-60</v>
      </c>
      <c r="I169" s="13">
        <v>2427</v>
      </c>
      <c r="J169" s="13" t="str" cm="1">
        <f t="array" ref="J169">_xlfn.IFS(K169=1,"Divorciado",L169=1,"Casado",M169=1,"Solteiro",N169=1,"Juntos",O169=1,"Viuvo")</f>
        <v>Juntos</v>
      </c>
      <c r="K169" s="13">
        <v>0</v>
      </c>
      <c r="L169" s="13">
        <v>0</v>
      </c>
      <c r="M169" s="13">
        <v>0</v>
      </c>
      <c r="N169" s="13">
        <v>1</v>
      </c>
      <c r="O169" s="13">
        <v>0</v>
      </c>
      <c r="P169" s="13">
        <v>0</v>
      </c>
      <c r="Q169" s="13">
        <v>0</v>
      </c>
      <c r="R169" s="13">
        <v>1</v>
      </c>
      <c r="S169" s="13">
        <v>0</v>
      </c>
      <c r="T169" s="13">
        <v>0</v>
      </c>
      <c r="U169" s="13">
        <v>997</v>
      </c>
      <c r="V169" s="13" t="str" cm="1">
        <f t="array" ref="V169">_xlfn.IFS(U169&lt;=250,"0-R$250",U169&lt;=500,"251-R$500",U169&lt;=750,"501-R$750",U169&lt;=1000,"751-R$1000",U169&lt;=1250,"1001-R$1250",U169&lt;=1500,"1251-R$1500")</f>
        <v>751-R$1000</v>
      </c>
      <c r="W169" s="13">
        <v>15</v>
      </c>
      <c r="X169" s="13" t="str" cm="1">
        <f t="array" ref="X169">_xlfn.IFS(W169 = 0, "0", W169&lt;=20, "até R$20",W169&lt;=40, "21 - R$40",W169&lt;=60, "41- R$60",W169&lt;=80, "61 - R$80", W169&lt;=100, "81 - R$100",W169&lt;=120, "101 - R$120",W169&lt;=140, "121 - R$140", W169&lt;=160, "141- R$160", W169&lt;=180, "161 - R$180", W169&lt;=200, "181-R$194")</f>
        <v>até R$20</v>
      </c>
      <c r="Y169" s="13">
        <v>414</v>
      </c>
      <c r="Z169" s="13">
        <v>99</v>
      </c>
      <c r="AA169" s="13">
        <v>30</v>
      </c>
      <c r="AB169" s="13">
        <v>76</v>
      </c>
      <c r="AC169" s="13">
        <v>1</v>
      </c>
      <c r="AD169" s="13">
        <v>5</v>
      </c>
      <c r="AE169" s="13">
        <v>6</v>
      </c>
      <c r="AF169" s="13">
        <v>12</v>
      </c>
      <c r="AG169" s="13">
        <v>2</v>
      </c>
      <c r="AH169" s="13">
        <v>0</v>
      </c>
      <c r="AI169" s="13">
        <v>0</v>
      </c>
      <c r="AJ169" s="13">
        <v>1</v>
      </c>
      <c r="AK169" s="13">
        <v>1</v>
      </c>
      <c r="AL169" s="13">
        <v>0</v>
      </c>
      <c r="AM169" s="13">
        <v>1</v>
      </c>
      <c r="AN169" s="13">
        <v>0</v>
      </c>
      <c r="AO169" s="14">
        <v>3</v>
      </c>
      <c r="AP169" s="13">
        <v>3</v>
      </c>
      <c r="AQ169" s="13">
        <v>11</v>
      </c>
      <c r="AR169" s="15">
        <v>1479</v>
      </c>
      <c r="AS169" s="15">
        <v>1555</v>
      </c>
    </row>
    <row r="170" spans="1:45" x14ac:dyDescent="0.25">
      <c r="A170">
        <v>2094</v>
      </c>
      <c r="B170" s="11">
        <f t="shared" si="2"/>
        <v>84906</v>
      </c>
      <c r="C170" s="12">
        <v>849060</v>
      </c>
      <c r="D170" s="13">
        <v>0</v>
      </c>
      <c r="E170" s="13">
        <v>0</v>
      </c>
      <c r="F170" s="13">
        <v>98</v>
      </c>
      <c r="G170" s="13">
        <v>48</v>
      </c>
      <c r="H170" s="13" t="str" cm="1">
        <f t="array" ref="H170">_xlfn.IFS(G170&lt;=20,"0-20",G170&lt;=30,"20-30",G170&lt;=40,"30-40",G170&lt;=50,"50-60",G170&lt;=60,"60-70",G170&lt;=70,"70-80",G170&lt;=80,"80-90")</f>
        <v>50-60</v>
      </c>
      <c r="I170" s="13">
        <v>2427</v>
      </c>
      <c r="J170" s="13" t="str" cm="1">
        <f t="array" ref="J170">_xlfn.IFS(K170=1,"Divorciado",L170=1,"Casado",M170=1,"Solteiro",N170=1,"Juntos",O170=1,"Viuvo")</f>
        <v>Juntos</v>
      </c>
      <c r="K170" s="13">
        <v>0</v>
      </c>
      <c r="L170" s="13">
        <v>0</v>
      </c>
      <c r="M170" s="13">
        <v>0</v>
      </c>
      <c r="N170" s="13">
        <v>1</v>
      </c>
      <c r="O170" s="13">
        <v>0</v>
      </c>
      <c r="P170" s="13">
        <v>0</v>
      </c>
      <c r="Q170" s="13">
        <v>0</v>
      </c>
      <c r="R170" s="13">
        <v>1</v>
      </c>
      <c r="S170" s="13">
        <v>0</v>
      </c>
      <c r="T170" s="13">
        <v>0</v>
      </c>
      <c r="U170" s="13">
        <v>997</v>
      </c>
      <c r="V170" s="13" t="str" cm="1">
        <f t="array" ref="V170">_xlfn.IFS(U170&lt;=250,"0-R$250",U170&lt;=500,"251-R$500",U170&lt;=750,"501-R$750",U170&lt;=1000,"751-R$1000",U170&lt;=1250,"1001-R$1250",U170&lt;=1500,"1251-R$1500")</f>
        <v>751-R$1000</v>
      </c>
      <c r="W170" s="13">
        <v>15</v>
      </c>
      <c r="X170" s="13" t="str" cm="1">
        <f t="array" ref="X170">_xlfn.IFS(W170 = 0, "0", W170&lt;=20, "até R$20",W170&lt;=40, "21 - R$40",W170&lt;=60, "41- R$60",W170&lt;=80, "61 - R$80", W170&lt;=100, "81 - R$100",W170&lt;=120, "101 - R$120",W170&lt;=140, "121 - R$140", W170&lt;=160, "141- R$160", W170&lt;=180, "161 - R$180", W170&lt;=200, "181-R$194")</f>
        <v>até R$20</v>
      </c>
      <c r="Y170" s="13">
        <v>414</v>
      </c>
      <c r="Z170" s="13">
        <v>99</v>
      </c>
      <c r="AA170" s="13">
        <v>30</v>
      </c>
      <c r="AB170" s="13">
        <v>76</v>
      </c>
      <c r="AC170" s="13">
        <v>1</v>
      </c>
      <c r="AD170" s="13">
        <v>5</v>
      </c>
      <c r="AE170" s="13">
        <v>6</v>
      </c>
      <c r="AF170" s="13">
        <v>12</v>
      </c>
      <c r="AG170" s="13">
        <v>2</v>
      </c>
      <c r="AH170" s="13">
        <v>0</v>
      </c>
      <c r="AI170" s="13">
        <v>0</v>
      </c>
      <c r="AJ170" s="13">
        <v>1</v>
      </c>
      <c r="AK170" s="13">
        <v>1</v>
      </c>
      <c r="AL170" s="13">
        <v>0</v>
      </c>
      <c r="AM170" s="13">
        <v>1</v>
      </c>
      <c r="AN170" s="13">
        <v>0</v>
      </c>
      <c r="AO170" s="14">
        <v>3</v>
      </c>
      <c r="AP170" s="13">
        <v>3</v>
      </c>
      <c r="AQ170" s="13">
        <v>11</v>
      </c>
      <c r="AR170" s="15">
        <v>1479</v>
      </c>
      <c r="AS170" s="15">
        <v>1555</v>
      </c>
    </row>
    <row r="171" spans="1:45" x14ac:dyDescent="0.25">
      <c r="A171">
        <v>530</v>
      </c>
      <c r="B171" s="11">
        <f t="shared" si="2"/>
        <v>85620</v>
      </c>
      <c r="C171" s="12">
        <v>856200</v>
      </c>
      <c r="D171" s="13">
        <v>0</v>
      </c>
      <c r="E171" s="13">
        <v>0</v>
      </c>
      <c r="F171" s="13">
        <v>68</v>
      </c>
      <c r="G171" s="13">
        <v>56</v>
      </c>
      <c r="H171" s="13" t="str" cm="1">
        <f t="array" ref="H171">_xlfn.IFS(G171&lt;=20,"0-20",G171&lt;=30,"20-30",G171&lt;=40,"30-40",G171&lt;=50,"50-60",G171&lt;=60,"60-70",G171&lt;=70,"70-80",G171&lt;=80,"80-90")</f>
        <v>60-70</v>
      </c>
      <c r="I171" s="13">
        <v>2332</v>
      </c>
      <c r="J171" s="13" t="str" cm="1">
        <f t="array" ref="J171">_xlfn.IFS(K171=1,"Divorciado",L171=1,"Casado",M171=1,"Solteiro",N171=1,"Juntos",O171=1,"Viuvo")</f>
        <v>Viuvo</v>
      </c>
      <c r="K171" s="13">
        <v>0</v>
      </c>
      <c r="L171" s="13">
        <v>0</v>
      </c>
      <c r="M171" s="13">
        <v>0</v>
      </c>
      <c r="N171" s="13">
        <v>0</v>
      </c>
      <c r="O171" s="13">
        <v>1</v>
      </c>
      <c r="P171" s="13">
        <v>0</v>
      </c>
      <c r="Q171" s="13">
        <v>0</v>
      </c>
      <c r="R171" s="13">
        <v>1</v>
      </c>
      <c r="S171" s="13">
        <v>0</v>
      </c>
      <c r="T171" s="13">
        <v>0</v>
      </c>
      <c r="U171" s="13">
        <v>416</v>
      </c>
      <c r="V171" s="13" t="str" cm="1">
        <f t="array" ref="V171">_xlfn.IFS(U171&lt;=250,"0-R$250",U171&lt;=500,"251-R$500",U171&lt;=750,"501-R$750",U171&lt;=1000,"751-R$1000",U171&lt;=1250,"1001-R$1250",U171&lt;=1500,"1251-R$1500")</f>
        <v>251-R$500</v>
      </c>
      <c r="W171" s="13">
        <v>46</v>
      </c>
      <c r="X171" s="13" t="str" cm="1">
        <f t="array" ref="X171">_xlfn.IFS(W171 = 0, "0", W171&lt;=20, "até R$20",W171&lt;=40, "21 - R$40",W171&lt;=60, "41- R$60",W171&lt;=80, "61 - R$80", W171&lt;=100, "81 - R$100",W171&lt;=120, "101 - R$120",W171&lt;=140, "121 - R$140", W171&lt;=160, "141- R$160", W171&lt;=180, "161 - R$180", W171&lt;=200, "181-R$194")</f>
        <v>41- R$60</v>
      </c>
      <c r="Y171" s="13">
        <v>925</v>
      </c>
      <c r="Z171" s="13">
        <v>60</v>
      </c>
      <c r="AA171" s="13">
        <v>107</v>
      </c>
      <c r="AB171" s="13">
        <v>46</v>
      </c>
      <c r="AC171" s="13">
        <v>1</v>
      </c>
      <c r="AD171" s="13">
        <v>3</v>
      </c>
      <c r="AE171" s="13">
        <v>6</v>
      </c>
      <c r="AF171" s="13">
        <v>4</v>
      </c>
      <c r="AG171" s="13">
        <v>1</v>
      </c>
      <c r="AH171" s="13">
        <v>0</v>
      </c>
      <c r="AI171" s="13">
        <v>0</v>
      </c>
      <c r="AJ171" s="13">
        <v>0</v>
      </c>
      <c r="AK171" s="13">
        <v>0</v>
      </c>
      <c r="AL171" s="13">
        <v>0</v>
      </c>
      <c r="AM171" s="13">
        <v>0</v>
      </c>
      <c r="AN171" s="13">
        <v>1</v>
      </c>
      <c r="AO171" s="14">
        <v>0</v>
      </c>
      <c r="AP171" s="13">
        <v>3</v>
      </c>
      <c r="AQ171" s="13">
        <v>11</v>
      </c>
      <c r="AR171" s="15">
        <v>1508</v>
      </c>
      <c r="AS171" s="15">
        <v>1554</v>
      </c>
    </row>
    <row r="172" spans="1:45" x14ac:dyDescent="0.25">
      <c r="A172">
        <v>379</v>
      </c>
      <c r="B172" s="11">
        <f t="shared" si="2"/>
        <v>68682</v>
      </c>
      <c r="C172" s="16">
        <v>686820</v>
      </c>
      <c r="D172" s="17">
        <v>0</v>
      </c>
      <c r="E172" s="17">
        <v>0</v>
      </c>
      <c r="F172" s="17">
        <v>56</v>
      </c>
      <c r="G172" s="17">
        <v>29</v>
      </c>
      <c r="H172" s="13" t="str" cm="1">
        <f t="array" ref="H172">_xlfn.IFS(G172&lt;=20,"0-20",G172&lt;=30,"20-30",G172&lt;=40,"30-40",G172&lt;=50,"50-60",G172&lt;=60,"60-70",G172&lt;=70,"70-80",G172&lt;=80,"80-90")</f>
        <v>20-30</v>
      </c>
      <c r="I172" s="17">
        <v>2425</v>
      </c>
      <c r="J172" s="13" t="str" cm="1">
        <f t="array" ref="J172">_xlfn.IFS(K172=1,"Divorciado",L172=1,"Casado",M172=1,"Solteiro",N172=1,"Juntos",O172=1,"Viuvo")</f>
        <v>Juntos</v>
      </c>
      <c r="K172" s="17">
        <v>0</v>
      </c>
      <c r="L172" s="17">
        <v>0</v>
      </c>
      <c r="M172" s="17">
        <v>0</v>
      </c>
      <c r="N172" s="17">
        <v>1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1</v>
      </c>
      <c r="U172" s="17">
        <v>919</v>
      </c>
      <c r="V172" s="13" t="str" cm="1">
        <f t="array" ref="V172">_xlfn.IFS(U172&lt;=250,"0-R$250",U172&lt;=500,"251-R$500",U172&lt;=750,"501-R$750",U172&lt;=1000,"751-R$1000",U172&lt;=1250,"1001-R$1250",U172&lt;=1500,"1251-R$1500")</f>
        <v>751-R$1000</v>
      </c>
      <c r="W172" s="17">
        <v>0</v>
      </c>
      <c r="X172" s="13" t="str" cm="1">
        <f t="array" ref="X172">_xlfn.IFS(W172 = 0, "0", W172&lt;=20, "até R$20",W172&lt;=40, "21 - R$40",W172&lt;=60, "41- R$60",W172&lt;=80, "61 - R$80", W172&lt;=100, "81 - R$100",W172&lt;=120, "101 - R$120",W172&lt;=140, "121 - R$140", W172&lt;=160, "141- R$160", W172&lt;=180, "161 - R$180", W172&lt;=200, "181-R$194")</f>
        <v>0</v>
      </c>
      <c r="Y172" s="17">
        <v>505</v>
      </c>
      <c r="Z172" s="17">
        <v>99</v>
      </c>
      <c r="AA172" s="17">
        <v>30</v>
      </c>
      <c r="AB172" s="17">
        <v>45</v>
      </c>
      <c r="AC172" s="17">
        <v>1</v>
      </c>
      <c r="AD172" s="17">
        <v>4</v>
      </c>
      <c r="AE172" s="17">
        <v>9</v>
      </c>
      <c r="AF172" s="17">
        <v>10</v>
      </c>
      <c r="AG172" s="17">
        <v>2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8">
        <v>0</v>
      </c>
      <c r="AP172" s="17">
        <v>3</v>
      </c>
      <c r="AQ172" s="17">
        <v>11</v>
      </c>
      <c r="AR172" s="19">
        <v>1508</v>
      </c>
      <c r="AS172" s="19">
        <v>1553</v>
      </c>
    </row>
    <row r="173" spans="1:45" x14ac:dyDescent="0.25">
      <c r="A173">
        <v>1199</v>
      </c>
      <c r="B173" s="11">
        <f t="shared" si="2"/>
        <v>68682</v>
      </c>
      <c r="C173" s="16">
        <v>686820</v>
      </c>
      <c r="D173" s="17">
        <v>0</v>
      </c>
      <c r="E173" s="17">
        <v>0</v>
      </c>
      <c r="F173" s="17">
        <v>56</v>
      </c>
      <c r="G173" s="17">
        <v>29</v>
      </c>
      <c r="H173" s="13" t="str" cm="1">
        <f t="array" ref="H173">_xlfn.IFS(G173&lt;=20,"0-20",G173&lt;=30,"20-30",G173&lt;=40,"30-40",G173&lt;=50,"50-60",G173&lt;=60,"60-70",G173&lt;=70,"70-80",G173&lt;=80,"80-90")</f>
        <v>20-30</v>
      </c>
      <c r="I173" s="17">
        <v>2425</v>
      </c>
      <c r="J173" s="13" t="str" cm="1">
        <f t="array" ref="J173">_xlfn.IFS(K173=1,"Divorciado",L173=1,"Casado",M173=1,"Solteiro",N173=1,"Juntos",O173=1,"Viuvo")</f>
        <v>Juntos</v>
      </c>
      <c r="K173" s="17">
        <v>0</v>
      </c>
      <c r="L173" s="17">
        <v>0</v>
      </c>
      <c r="M173" s="17">
        <v>0</v>
      </c>
      <c r="N173" s="17">
        <v>1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1</v>
      </c>
      <c r="U173" s="17">
        <v>919</v>
      </c>
      <c r="V173" s="13" t="str" cm="1">
        <f t="array" ref="V173">_xlfn.IFS(U173&lt;=250,"0-R$250",U173&lt;=500,"251-R$500",U173&lt;=750,"501-R$750",U173&lt;=1000,"751-R$1000",U173&lt;=1250,"1001-R$1250",U173&lt;=1500,"1251-R$1500")</f>
        <v>751-R$1000</v>
      </c>
      <c r="W173" s="17">
        <v>0</v>
      </c>
      <c r="X173" s="13" t="str" cm="1">
        <f t="array" ref="X173">_xlfn.IFS(W173 = 0, "0", W173&lt;=20, "até R$20",W173&lt;=40, "21 - R$40",W173&lt;=60, "41- R$60",W173&lt;=80, "61 - R$80", W173&lt;=100, "81 - R$100",W173&lt;=120, "101 - R$120",W173&lt;=140, "121 - R$140", W173&lt;=160, "141- R$160", W173&lt;=180, "161 - R$180", W173&lt;=200, "181-R$194")</f>
        <v>0</v>
      </c>
      <c r="Y173" s="17">
        <v>505</v>
      </c>
      <c r="Z173" s="17">
        <v>99</v>
      </c>
      <c r="AA173" s="17">
        <v>30</v>
      </c>
      <c r="AB173" s="17">
        <v>45</v>
      </c>
      <c r="AC173" s="17">
        <v>1</v>
      </c>
      <c r="AD173" s="17">
        <v>4</v>
      </c>
      <c r="AE173" s="17">
        <v>9</v>
      </c>
      <c r="AF173" s="17">
        <v>10</v>
      </c>
      <c r="AG173" s="17">
        <v>2</v>
      </c>
      <c r="AH173" s="17">
        <v>0</v>
      </c>
      <c r="AI173" s="17">
        <v>0</v>
      </c>
      <c r="AJ173" s="17">
        <v>0</v>
      </c>
      <c r="AK173" s="17">
        <v>0</v>
      </c>
      <c r="AL173" s="17">
        <v>0</v>
      </c>
      <c r="AM173" s="17">
        <v>0</v>
      </c>
      <c r="AN173" s="17">
        <v>0</v>
      </c>
      <c r="AO173" s="18">
        <v>0</v>
      </c>
      <c r="AP173" s="17">
        <v>3</v>
      </c>
      <c r="AQ173" s="17">
        <v>11</v>
      </c>
      <c r="AR173" s="19">
        <v>1508</v>
      </c>
      <c r="AS173" s="19">
        <v>1553</v>
      </c>
    </row>
    <row r="174" spans="1:45" x14ac:dyDescent="0.25">
      <c r="A174">
        <v>323</v>
      </c>
      <c r="B174" s="11">
        <f t="shared" si="2"/>
        <v>83003</v>
      </c>
      <c r="C174" s="16">
        <v>830030</v>
      </c>
      <c r="D174" s="17">
        <v>0</v>
      </c>
      <c r="E174" s="17">
        <v>0</v>
      </c>
      <c r="F174" s="17">
        <v>18</v>
      </c>
      <c r="G174" s="17">
        <v>55</v>
      </c>
      <c r="H174" s="13" t="str" cm="1">
        <f t="array" ref="H174">_xlfn.IFS(G174&lt;=20,"0-20",G174&lt;=30,"20-30",G174&lt;=40,"30-40",G174&lt;=50,"50-60",G174&lt;=60,"60-70",G174&lt;=70,"70-80",G174&lt;=80,"80-90")</f>
        <v>60-70</v>
      </c>
      <c r="I174" s="17">
        <v>2642</v>
      </c>
      <c r="J174" s="13" t="str" cm="1">
        <f t="array" ref="J174">_xlfn.IFS(K174=1,"Divorciado",L174=1,"Casado",M174=1,"Solteiro",N174=1,"Juntos",O174=1,"Viuvo")</f>
        <v>Juntos</v>
      </c>
      <c r="K174" s="17">
        <v>0</v>
      </c>
      <c r="L174" s="17">
        <v>0</v>
      </c>
      <c r="M174" s="17">
        <v>0</v>
      </c>
      <c r="N174" s="17">
        <v>1</v>
      </c>
      <c r="O174" s="17">
        <v>0</v>
      </c>
      <c r="P174" s="17">
        <v>0</v>
      </c>
      <c r="Q174" s="17">
        <v>0</v>
      </c>
      <c r="R174" s="17">
        <v>1</v>
      </c>
      <c r="S174" s="17">
        <v>0</v>
      </c>
      <c r="T174" s="17">
        <v>0</v>
      </c>
      <c r="U174" s="17">
        <v>856</v>
      </c>
      <c r="V174" s="13" t="str" cm="1">
        <f t="array" ref="V174">_xlfn.IFS(U174&lt;=250,"0-R$250",U174&lt;=500,"251-R$500",U174&lt;=750,"501-R$750",U174&lt;=1000,"751-R$1000",U174&lt;=1250,"1001-R$1250",U174&lt;=1500,"1251-R$1500")</f>
        <v>751-R$1000</v>
      </c>
      <c r="W174" s="17">
        <v>61</v>
      </c>
      <c r="X174" s="13" t="str" cm="1">
        <f t="array" ref="X174">_xlfn.IFS(W174 = 0, "0", W174&lt;=20, "até R$20",W174&lt;=40, "21 - R$40",W174&lt;=60, "41- R$60",W174&lt;=80, "61 - R$80", W174&lt;=100, "81 - R$100",W174&lt;=120, "101 - R$120",W174&lt;=140, "121 - R$140", W174&lt;=160, "141- R$160", W174&lt;=180, "161 - R$180", W174&lt;=200, "181-R$194")</f>
        <v>61 - R$80</v>
      </c>
      <c r="Y174" s="17">
        <v>570</v>
      </c>
      <c r="Z174" s="17">
        <v>40</v>
      </c>
      <c r="AA174" s="17">
        <v>25</v>
      </c>
      <c r="AB174" s="17">
        <v>122</v>
      </c>
      <c r="AC174" s="17">
        <v>1</v>
      </c>
      <c r="AD174" s="17">
        <v>7</v>
      </c>
      <c r="AE174" s="17">
        <v>6</v>
      </c>
      <c r="AF174" s="17">
        <v>8</v>
      </c>
      <c r="AG174" s="17">
        <v>3</v>
      </c>
      <c r="AH174" s="17">
        <v>0</v>
      </c>
      <c r="AI174" s="17">
        <v>0</v>
      </c>
      <c r="AJ174" s="17">
        <v>0</v>
      </c>
      <c r="AK174" s="17">
        <v>1</v>
      </c>
      <c r="AL174" s="17">
        <v>0</v>
      </c>
      <c r="AM174" s="17">
        <v>0</v>
      </c>
      <c r="AN174" s="17">
        <v>1</v>
      </c>
      <c r="AO174" s="18">
        <v>1</v>
      </c>
      <c r="AP174" s="17">
        <v>3</v>
      </c>
      <c r="AQ174" s="17">
        <v>11</v>
      </c>
      <c r="AR174" s="19">
        <v>1430</v>
      </c>
      <c r="AS174" s="19">
        <v>1552</v>
      </c>
    </row>
    <row r="175" spans="1:45" x14ac:dyDescent="0.25">
      <c r="A175">
        <v>771</v>
      </c>
      <c r="B175" s="11">
        <f t="shared" si="2"/>
        <v>62847</v>
      </c>
      <c r="C175" s="16">
        <v>628470</v>
      </c>
      <c r="D175" s="17">
        <v>0</v>
      </c>
      <c r="E175" s="17">
        <v>0</v>
      </c>
      <c r="F175" s="17">
        <v>45</v>
      </c>
      <c r="G175" s="17">
        <v>75</v>
      </c>
      <c r="H175" s="13" t="str" cm="1">
        <f t="array" ref="H175">_xlfn.IFS(G175&lt;=20,"0-20",G175&lt;=30,"20-30",G175&lt;=40,"30-40",G175&lt;=50,"50-60",G175&lt;=60,"60-70",G175&lt;=70,"70-80",G175&lt;=80,"80-90")</f>
        <v>80-90</v>
      </c>
      <c r="I175" s="17">
        <v>2689</v>
      </c>
      <c r="J175" s="13" t="str" cm="1">
        <f t="array" ref="J175">_xlfn.IFS(K175=1,"Divorciado",L175=1,"Casado",M175=1,"Solteiro",N175=1,"Juntos",O175=1,"Viuvo")</f>
        <v>Juntos</v>
      </c>
      <c r="K175" s="17">
        <v>0</v>
      </c>
      <c r="L175" s="17">
        <v>0</v>
      </c>
      <c r="M175" s="17">
        <v>0</v>
      </c>
      <c r="N175" s="17">
        <v>1</v>
      </c>
      <c r="O175" s="17">
        <v>0</v>
      </c>
      <c r="P175" s="17">
        <v>0</v>
      </c>
      <c r="Q175" s="17">
        <v>0</v>
      </c>
      <c r="R175" s="17">
        <v>0</v>
      </c>
      <c r="S175" s="17">
        <v>1</v>
      </c>
      <c r="T175" s="17">
        <v>0</v>
      </c>
      <c r="U175" s="17">
        <v>521</v>
      </c>
      <c r="V175" s="13" t="str" cm="1">
        <f t="array" ref="V175">_xlfn.IFS(U175&lt;=250,"0-R$250",U175&lt;=500,"251-R$500",U175&lt;=750,"501-R$750",U175&lt;=1000,"751-R$1000",U175&lt;=1250,"1001-R$1250",U175&lt;=1500,"1251-R$1500")</f>
        <v>501-R$750</v>
      </c>
      <c r="W175" s="17">
        <v>168</v>
      </c>
      <c r="X175" s="13" t="str" cm="1">
        <f t="array" ref="X175">_xlfn.IFS(W175 = 0, "0", W175&lt;=20, "até R$20",W175&lt;=40, "21 - R$40",W175&lt;=60, "41- R$60",W175&lt;=80, "61 - R$80", W175&lt;=100, "81 - R$100",W175&lt;=120, "101 - R$120",W175&lt;=140, "121 - R$140", W175&lt;=160, "141- R$160", W175&lt;=180, "161 - R$180", W175&lt;=200, "181-R$194")</f>
        <v>161 - R$180</v>
      </c>
      <c r="Y175" s="17">
        <v>706</v>
      </c>
      <c r="Z175" s="17">
        <v>80</v>
      </c>
      <c r="AA175" s="17">
        <v>76</v>
      </c>
      <c r="AB175" s="17">
        <v>61</v>
      </c>
      <c r="AC175" s="17">
        <v>1</v>
      </c>
      <c r="AD175" s="17">
        <v>3</v>
      </c>
      <c r="AE175" s="17">
        <v>6</v>
      </c>
      <c r="AF175" s="17">
        <v>4</v>
      </c>
      <c r="AG175" s="17">
        <v>2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8">
        <v>0</v>
      </c>
      <c r="AP175" s="17">
        <v>3</v>
      </c>
      <c r="AQ175" s="17">
        <v>11</v>
      </c>
      <c r="AR175" s="19">
        <v>1490</v>
      </c>
      <c r="AS175" s="19">
        <v>1551</v>
      </c>
    </row>
    <row r="176" spans="1:45" x14ac:dyDescent="0.25">
      <c r="A176">
        <v>1488</v>
      </c>
      <c r="B176" s="11">
        <f t="shared" si="2"/>
        <v>73538</v>
      </c>
      <c r="C176" s="12">
        <v>735380</v>
      </c>
      <c r="D176" s="13">
        <v>0</v>
      </c>
      <c r="E176" s="13">
        <v>1</v>
      </c>
      <c r="F176" s="13">
        <v>92</v>
      </c>
      <c r="G176" s="13">
        <v>55</v>
      </c>
      <c r="H176" s="13" t="str" cm="1">
        <f t="array" ref="H176">_xlfn.IFS(G176&lt;=20,"0-20",G176&lt;=30,"20-30",G176&lt;=40,"30-40",G176&lt;=50,"50-60",G176&lt;=60,"60-70",G176&lt;=70,"70-80",G176&lt;=80,"80-90")</f>
        <v>60-70</v>
      </c>
      <c r="I176" s="13">
        <v>2740</v>
      </c>
      <c r="J176" s="13" t="str" cm="1">
        <f t="array" ref="J176">_xlfn.IFS(K176=1,"Divorciado",L176=1,"Casado",M176=1,"Solteiro",N176=1,"Juntos",O176=1,"Viuvo")</f>
        <v>Casado</v>
      </c>
      <c r="K176" s="13">
        <v>0</v>
      </c>
      <c r="L176" s="13">
        <v>1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1</v>
      </c>
      <c r="S176" s="13">
        <v>0</v>
      </c>
      <c r="T176" s="13">
        <v>0</v>
      </c>
      <c r="U176" s="13">
        <v>811</v>
      </c>
      <c r="V176" s="13" t="str" cm="1">
        <f t="array" ref="V176">_xlfn.IFS(U176&lt;=250,"0-R$250",U176&lt;=500,"251-R$500",U176&lt;=750,"501-R$750",U176&lt;=1000,"751-R$1000",U176&lt;=1250,"1001-R$1250",U176&lt;=1500,"1251-R$1500")</f>
        <v>751-R$1000</v>
      </c>
      <c r="W176" s="13">
        <v>76</v>
      </c>
      <c r="X176" s="13" t="str" cm="1">
        <f t="array" ref="X176">_xlfn.IFS(W176 = 0, "0", W176&lt;=20, "até R$20",W176&lt;=40, "21 - R$40",W176&lt;=60, "41- R$60",W176&lt;=80, "61 - R$80", W176&lt;=100, "81 - R$100",W176&lt;=120, "101 - R$120",W176&lt;=140, "121 - R$140", W176&lt;=160, "141- R$160", W176&lt;=180, "161 - R$180", W176&lt;=200, "181-R$194")</f>
        <v>61 - R$80</v>
      </c>
      <c r="Y176" s="13">
        <v>428</v>
      </c>
      <c r="Z176" s="13">
        <v>99</v>
      </c>
      <c r="AA176" s="13">
        <v>137</v>
      </c>
      <c r="AB176" s="13">
        <v>107</v>
      </c>
      <c r="AC176" s="13">
        <v>3</v>
      </c>
      <c r="AD176" s="13">
        <v>10</v>
      </c>
      <c r="AE176" s="13">
        <v>4</v>
      </c>
      <c r="AF176" s="13">
        <v>9</v>
      </c>
      <c r="AG176" s="13">
        <v>7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3">
        <v>0</v>
      </c>
      <c r="AO176" s="14">
        <v>0</v>
      </c>
      <c r="AP176" s="13">
        <v>3</v>
      </c>
      <c r="AQ176" s="13">
        <v>11</v>
      </c>
      <c r="AR176" s="15">
        <v>1444</v>
      </c>
      <c r="AS176" s="15">
        <v>1551</v>
      </c>
    </row>
    <row r="177" spans="1:45" x14ac:dyDescent="0.25">
      <c r="A177">
        <v>1646</v>
      </c>
      <c r="B177" s="11">
        <f t="shared" si="2"/>
        <v>86610</v>
      </c>
      <c r="C177" s="12">
        <v>866100</v>
      </c>
      <c r="D177" s="13">
        <v>0</v>
      </c>
      <c r="E177" s="13">
        <v>0</v>
      </c>
      <c r="F177" s="13">
        <v>66</v>
      </c>
      <c r="G177" s="13">
        <v>69</v>
      </c>
      <c r="H177" s="13" t="str" cm="1">
        <f t="array" ref="H177">_xlfn.IFS(G177&lt;=20,"0-20",G177&lt;=30,"20-30",G177&lt;=40,"30-40",G177&lt;=50,"50-60",G177&lt;=60,"60-70",G177&lt;=70,"70-80",G177&lt;=80,"80-90")</f>
        <v>70-80</v>
      </c>
      <c r="I177" s="13">
        <v>2456</v>
      </c>
      <c r="J177" s="13" t="str" cm="1">
        <f t="array" ref="J177">_xlfn.IFS(K177=1,"Divorciado",L177=1,"Casado",M177=1,"Solteiro",N177=1,"Juntos",O177=1,"Viuvo")</f>
        <v>Juntos</v>
      </c>
      <c r="K177" s="13">
        <v>0</v>
      </c>
      <c r="L177" s="13">
        <v>0</v>
      </c>
      <c r="M177" s="13">
        <v>0</v>
      </c>
      <c r="N177" s="13">
        <v>1</v>
      </c>
      <c r="O177" s="13">
        <v>0</v>
      </c>
      <c r="P177" s="13">
        <v>0</v>
      </c>
      <c r="Q177" s="13">
        <v>0</v>
      </c>
      <c r="R177" s="13">
        <v>1</v>
      </c>
      <c r="S177" s="13">
        <v>0</v>
      </c>
      <c r="T177" s="13">
        <v>0</v>
      </c>
      <c r="U177" s="13">
        <v>446</v>
      </c>
      <c r="V177" s="13" t="str" cm="1">
        <f t="array" ref="V177">_xlfn.IFS(U177&lt;=250,"0-R$250",U177&lt;=500,"251-R$500",U177&lt;=750,"501-R$750",U177&lt;=1000,"751-R$1000",U177&lt;=1250,"1001-R$1250",U177&lt;=1500,"1251-R$1500")</f>
        <v>251-R$500</v>
      </c>
      <c r="W177" s="13">
        <v>107</v>
      </c>
      <c r="X177" s="13" t="str" cm="1">
        <f t="array" ref="X177">_xlfn.IFS(W177 = 0, "0", W177&lt;=20, "até R$20",W177&lt;=40, "21 - R$40",W177&lt;=60, "41- R$60",W177&lt;=80, "61 - R$80", W177&lt;=100, "81 - R$100",W177&lt;=120, "101 - R$120",W177&lt;=140, "121 - R$140", W177&lt;=160, "141- R$160", W177&lt;=180, "161 - R$180", W177&lt;=200, "181-R$194")</f>
        <v>101 - R$120</v>
      </c>
      <c r="Y177" s="13">
        <v>768</v>
      </c>
      <c r="Z177" s="13">
        <v>33</v>
      </c>
      <c r="AA177" s="13">
        <v>196</v>
      </c>
      <c r="AB177" s="13">
        <v>53</v>
      </c>
      <c r="AC177" s="13">
        <v>1</v>
      </c>
      <c r="AD177" s="13">
        <v>5</v>
      </c>
      <c r="AE177" s="13">
        <v>6</v>
      </c>
      <c r="AF177" s="13">
        <v>6</v>
      </c>
      <c r="AG177" s="13">
        <v>2</v>
      </c>
      <c r="AH177" s="13">
        <v>0</v>
      </c>
      <c r="AI177" s="13">
        <v>0</v>
      </c>
      <c r="AJ177" s="13">
        <v>0</v>
      </c>
      <c r="AK177" s="13">
        <v>0</v>
      </c>
      <c r="AL177" s="13">
        <v>0</v>
      </c>
      <c r="AM177" s="13">
        <v>0</v>
      </c>
      <c r="AN177" s="13">
        <v>0</v>
      </c>
      <c r="AO177" s="14">
        <v>0</v>
      </c>
      <c r="AP177" s="13">
        <v>3</v>
      </c>
      <c r="AQ177" s="13">
        <v>11</v>
      </c>
      <c r="AR177" s="15">
        <v>1497</v>
      </c>
      <c r="AS177" s="15">
        <v>1550</v>
      </c>
    </row>
    <row r="178" spans="1:45" x14ac:dyDescent="0.25">
      <c r="A178">
        <v>1854</v>
      </c>
      <c r="B178" s="11">
        <f t="shared" si="2"/>
        <v>70300</v>
      </c>
      <c r="C178" s="12">
        <v>703000</v>
      </c>
      <c r="D178" s="13">
        <v>1</v>
      </c>
      <c r="E178" s="13">
        <v>0</v>
      </c>
      <c r="F178" s="13">
        <v>89</v>
      </c>
      <c r="G178" s="13">
        <v>45</v>
      </c>
      <c r="H178" s="13" t="str" cm="1">
        <f t="array" ref="H178">_xlfn.IFS(G178&lt;=20,"0-20",G178&lt;=30,"20-30",G178&lt;=40,"30-40",G178&lt;=50,"50-60",G178&lt;=60,"60-70",G178&lt;=70,"70-80",G178&lt;=80,"80-90")</f>
        <v>50-60</v>
      </c>
      <c r="I178" s="13">
        <v>2508</v>
      </c>
      <c r="J178" s="13" t="str" cm="1">
        <f t="array" ref="J178">_xlfn.IFS(K178=1,"Divorciado",L178=1,"Casado",M178=1,"Solteiro",N178=1,"Juntos",O178=1,"Viuvo")</f>
        <v>Divorciado</v>
      </c>
      <c r="K178" s="13">
        <v>1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1</v>
      </c>
      <c r="S178" s="13">
        <v>0</v>
      </c>
      <c r="T178" s="13">
        <v>0</v>
      </c>
      <c r="U178" s="13">
        <v>1045</v>
      </c>
      <c r="V178" s="13" t="str" cm="1">
        <f t="array" ref="V178">_xlfn.IFS(U178&lt;=250,"0-R$250",U178&lt;=500,"251-R$500",U178&lt;=750,"501-R$750",U178&lt;=1000,"751-R$1000",U178&lt;=1250,"1001-R$1250",U178&lt;=1500,"1251-R$1500")</f>
        <v>1001-R$1250</v>
      </c>
      <c r="W178" s="13">
        <v>61</v>
      </c>
      <c r="X178" s="13" t="str" cm="1">
        <f t="array" ref="X178">_xlfn.IFS(W178 = 0, "0", W178&lt;=20, "até R$20",W178&lt;=40, "21 - R$40",W178&lt;=60, "41- R$60",W178&lt;=80, "61 - R$80", W178&lt;=100, "81 - R$100",W178&lt;=120, "101 - R$120",W178&lt;=140, "121 - R$140", W178&lt;=160, "141- R$160", W178&lt;=180, "161 - R$180", W178&lt;=200, "181-R$194")</f>
        <v>61 - R$80</v>
      </c>
      <c r="Y178" s="13">
        <v>338</v>
      </c>
      <c r="Z178" s="13">
        <v>60</v>
      </c>
      <c r="AA178" s="13">
        <v>46</v>
      </c>
      <c r="AB178" s="13">
        <v>46</v>
      </c>
      <c r="AC178" s="13">
        <v>3</v>
      </c>
      <c r="AD178" s="13">
        <v>5</v>
      </c>
      <c r="AE178" s="13">
        <v>5</v>
      </c>
      <c r="AF178" s="13">
        <v>13</v>
      </c>
      <c r="AG178" s="13">
        <v>8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3">
        <v>0</v>
      </c>
      <c r="AO178" s="14">
        <v>0</v>
      </c>
      <c r="AP178" s="13">
        <v>3</v>
      </c>
      <c r="AQ178" s="13">
        <v>11</v>
      </c>
      <c r="AR178" s="15">
        <v>1504</v>
      </c>
      <c r="AS178" s="15">
        <v>1550</v>
      </c>
    </row>
    <row r="179" spans="1:45" x14ac:dyDescent="0.25">
      <c r="A179">
        <v>185</v>
      </c>
      <c r="B179" s="11">
        <f t="shared" si="2"/>
        <v>80067</v>
      </c>
      <c r="C179" s="16">
        <v>800670</v>
      </c>
      <c r="D179" s="17">
        <v>0</v>
      </c>
      <c r="E179" s="17">
        <v>0</v>
      </c>
      <c r="F179" s="17">
        <v>82</v>
      </c>
      <c r="G179" s="17">
        <v>66</v>
      </c>
      <c r="H179" s="13" t="str" cm="1">
        <f t="array" ref="H179">_xlfn.IFS(G179&lt;=20,"0-20",G179&lt;=30,"20-30",G179&lt;=40,"30-40",G179&lt;=50,"50-60",G179&lt;=60,"60-70",G179&lt;=70,"70-80",G179&lt;=80,"80-90")</f>
        <v>70-80</v>
      </c>
      <c r="I179" s="17">
        <v>2442</v>
      </c>
      <c r="J179" s="13" t="str" cm="1">
        <f t="array" ref="J179">_xlfn.IFS(K179=1,"Divorciado",L179=1,"Casado",M179=1,"Solteiro",N179=1,"Juntos",O179=1,"Viuvo")</f>
        <v>Casado</v>
      </c>
      <c r="K179" s="17">
        <v>0</v>
      </c>
      <c r="L179" s="17">
        <v>1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1</v>
      </c>
      <c r="S179" s="17">
        <v>0</v>
      </c>
      <c r="T179" s="17">
        <v>0</v>
      </c>
      <c r="U179" s="17">
        <v>519</v>
      </c>
      <c r="V179" s="13" t="str" cm="1">
        <f t="array" ref="V179">_xlfn.IFS(U179&lt;=250,"0-R$250",U179&lt;=500,"251-R$500",U179&lt;=750,"501-R$750",U179&lt;=1000,"751-R$1000",U179&lt;=1250,"1001-R$1250",U179&lt;=1500,"1251-R$1500")</f>
        <v>501-R$750</v>
      </c>
      <c r="W179" s="17">
        <v>17</v>
      </c>
      <c r="X179" s="13" t="str" cm="1">
        <f t="array" ref="X179">_xlfn.IFS(W179 = 0, "0", W179&lt;=20, "até R$20",W179&lt;=40, "21 - R$40",W179&lt;=60, "41- R$60",W179&lt;=80, "61 - R$80", W179&lt;=100, "81 - R$100",W179&lt;=120, "101 - R$120",W179&lt;=140, "121 - R$140", W179&lt;=160, "141- R$160", W179&lt;=180, "161 - R$180", W179&lt;=200, "181-R$194")</f>
        <v>até R$20</v>
      </c>
      <c r="Y179" s="17">
        <v>813</v>
      </c>
      <c r="Z179" s="17">
        <v>27</v>
      </c>
      <c r="AA179" s="17">
        <v>173</v>
      </c>
      <c r="AB179" s="17">
        <v>51</v>
      </c>
      <c r="AC179" s="17">
        <v>1</v>
      </c>
      <c r="AD179" s="17">
        <v>4</v>
      </c>
      <c r="AE179" s="17">
        <v>6</v>
      </c>
      <c r="AF179" s="17">
        <v>6</v>
      </c>
      <c r="AG179" s="17">
        <v>2</v>
      </c>
      <c r="AH179" s="17">
        <v>0</v>
      </c>
      <c r="AI179" s="17">
        <v>0</v>
      </c>
      <c r="AJ179" s="17">
        <v>0</v>
      </c>
      <c r="AK179" s="17">
        <v>1</v>
      </c>
      <c r="AL179" s="17">
        <v>0</v>
      </c>
      <c r="AM179" s="17">
        <v>0</v>
      </c>
      <c r="AN179" s="17">
        <v>0</v>
      </c>
      <c r="AO179" s="18">
        <v>1</v>
      </c>
      <c r="AP179" s="17">
        <v>3</v>
      </c>
      <c r="AQ179" s="17">
        <v>11</v>
      </c>
      <c r="AR179" s="19">
        <v>1498</v>
      </c>
      <c r="AS179" s="19">
        <v>1549</v>
      </c>
    </row>
    <row r="180" spans="1:45" x14ac:dyDescent="0.25">
      <c r="A180">
        <v>955</v>
      </c>
      <c r="B180" s="11">
        <f t="shared" si="2"/>
        <v>80573</v>
      </c>
      <c r="C180" s="16">
        <v>805730</v>
      </c>
      <c r="D180" s="17">
        <v>0</v>
      </c>
      <c r="E180" s="17">
        <v>0</v>
      </c>
      <c r="F180" s="17">
        <v>85</v>
      </c>
      <c r="G180" s="17">
        <v>49</v>
      </c>
      <c r="H180" s="13" t="str" cm="1">
        <f t="array" ref="H180">_xlfn.IFS(G180&lt;=20,"0-20",G180&lt;=30,"20-30",G180&lt;=40,"30-40",G180&lt;=50,"50-60",G180&lt;=60,"60-70",G180&lt;=70,"70-80",G180&lt;=80,"80-90")</f>
        <v>50-60</v>
      </c>
      <c r="I180" s="17">
        <v>2782</v>
      </c>
      <c r="J180" s="13" t="str" cm="1">
        <f t="array" ref="J180">_xlfn.IFS(K180=1,"Divorciado",L180=1,"Casado",M180=1,"Solteiro",N180=1,"Juntos",O180=1,"Viuvo")</f>
        <v>Juntos</v>
      </c>
      <c r="K180" s="17">
        <v>0</v>
      </c>
      <c r="L180" s="17">
        <v>0</v>
      </c>
      <c r="M180" s="17">
        <v>0</v>
      </c>
      <c r="N180" s="17">
        <v>1</v>
      </c>
      <c r="O180" s="17">
        <v>0</v>
      </c>
      <c r="P180" s="17">
        <v>0</v>
      </c>
      <c r="Q180" s="17">
        <v>0</v>
      </c>
      <c r="R180" s="17">
        <v>0</v>
      </c>
      <c r="S180" s="17">
        <v>1</v>
      </c>
      <c r="T180" s="17">
        <v>0</v>
      </c>
      <c r="U180" s="17">
        <v>829</v>
      </c>
      <c r="V180" s="13" t="str" cm="1">
        <f t="array" ref="V180">_xlfn.IFS(U180&lt;=250,"0-R$250",U180&lt;=500,"251-R$500",U180&lt;=750,"501-R$750",U180&lt;=1000,"751-R$1000",U180&lt;=1250,"1001-R$1250",U180&lt;=1500,"1251-R$1500")</f>
        <v>751-R$1000</v>
      </c>
      <c r="W180" s="17">
        <v>138</v>
      </c>
      <c r="X180" s="13" t="str" cm="1">
        <f t="array" ref="X180">_xlfn.IFS(W180 = 0, "0", W180&lt;=20, "até R$20",W180&lt;=40, "21 - R$40",W180&lt;=60, "41- R$60",W180&lt;=80, "61 - R$80", W180&lt;=100, "81 - R$100",W180&lt;=120, "101 - R$120",W180&lt;=140, "121 - R$140", W180&lt;=160, "141- R$160", W180&lt;=180, "161 - R$180", W180&lt;=200, "181-R$194")</f>
        <v>121 - R$140</v>
      </c>
      <c r="Y180" s="17">
        <v>430</v>
      </c>
      <c r="Z180" s="17">
        <v>60</v>
      </c>
      <c r="AA180" s="17">
        <v>92</v>
      </c>
      <c r="AB180" s="17">
        <v>15</v>
      </c>
      <c r="AC180" s="17">
        <v>1</v>
      </c>
      <c r="AD180" s="17">
        <v>4</v>
      </c>
      <c r="AE180" s="17">
        <v>6</v>
      </c>
      <c r="AF180" s="17">
        <v>13</v>
      </c>
      <c r="AG180" s="17">
        <v>2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8">
        <v>0</v>
      </c>
      <c r="AP180" s="17">
        <v>3</v>
      </c>
      <c r="AQ180" s="17">
        <v>11</v>
      </c>
      <c r="AR180" s="19">
        <v>1534</v>
      </c>
      <c r="AS180" s="19">
        <v>1549</v>
      </c>
    </row>
    <row r="181" spans="1:45" x14ac:dyDescent="0.25">
      <c r="A181">
        <v>1887</v>
      </c>
      <c r="B181" s="11">
        <f t="shared" si="2"/>
        <v>80573</v>
      </c>
      <c r="C181" s="16">
        <v>805730</v>
      </c>
      <c r="D181" s="17">
        <v>0</v>
      </c>
      <c r="E181" s="17">
        <v>0</v>
      </c>
      <c r="F181" s="17">
        <v>85</v>
      </c>
      <c r="G181" s="17">
        <v>49</v>
      </c>
      <c r="H181" s="13" t="str" cm="1">
        <f t="array" ref="H181">_xlfn.IFS(G181&lt;=20,"0-20",G181&lt;=30,"20-30",G181&lt;=40,"30-40",G181&lt;=50,"50-60",G181&lt;=60,"60-70",G181&lt;=70,"70-80",G181&lt;=80,"80-90")</f>
        <v>50-60</v>
      </c>
      <c r="I181" s="17">
        <v>2782</v>
      </c>
      <c r="J181" s="13" t="str" cm="1">
        <f t="array" ref="J181">_xlfn.IFS(K181=1,"Divorciado",L181=1,"Casado",M181=1,"Solteiro",N181=1,"Juntos",O181=1,"Viuvo")</f>
        <v>Juntos</v>
      </c>
      <c r="K181" s="17">
        <v>0</v>
      </c>
      <c r="L181" s="17">
        <v>0</v>
      </c>
      <c r="M181" s="17">
        <v>0</v>
      </c>
      <c r="N181" s="17">
        <v>1</v>
      </c>
      <c r="O181" s="17">
        <v>0</v>
      </c>
      <c r="P181" s="17">
        <v>0</v>
      </c>
      <c r="Q181" s="17">
        <v>0</v>
      </c>
      <c r="R181" s="17">
        <v>0</v>
      </c>
      <c r="S181" s="17">
        <v>1</v>
      </c>
      <c r="T181" s="17">
        <v>0</v>
      </c>
      <c r="U181" s="17">
        <v>829</v>
      </c>
      <c r="V181" s="13" t="str" cm="1">
        <f t="array" ref="V181">_xlfn.IFS(U181&lt;=250,"0-R$250",U181&lt;=500,"251-R$500",U181&lt;=750,"501-R$750",U181&lt;=1000,"751-R$1000",U181&lt;=1250,"1001-R$1250",U181&lt;=1500,"1251-R$1500")</f>
        <v>751-R$1000</v>
      </c>
      <c r="W181" s="17">
        <v>138</v>
      </c>
      <c r="X181" s="13" t="str" cm="1">
        <f t="array" ref="X181">_xlfn.IFS(W181 = 0, "0", W181&lt;=20, "até R$20",W181&lt;=40, "21 - R$40",W181&lt;=60, "41- R$60",W181&lt;=80, "61 - R$80", W181&lt;=100, "81 - R$100",W181&lt;=120, "101 - R$120",W181&lt;=140, "121 - R$140", W181&lt;=160, "141- R$160", W181&lt;=180, "161 - R$180", W181&lt;=200, "181-R$194")</f>
        <v>121 - R$140</v>
      </c>
      <c r="Y181" s="17">
        <v>430</v>
      </c>
      <c r="Z181" s="17">
        <v>60</v>
      </c>
      <c r="AA181" s="17">
        <v>92</v>
      </c>
      <c r="AB181" s="17">
        <v>15</v>
      </c>
      <c r="AC181" s="17">
        <v>1</v>
      </c>
      <c r="AD181" s="17">
        <v>4</v>
      </c>
      <c r="AE181" s="17">
        <v>6</v>
      </c>
      <c r="AF181" s="17">
        <v>13</v>
      </c>
      <c r="AG181" s="17">
        <v>2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8">
        <v>0</v>
      </c>
      <c r="AP181" s="17">
        <v>3</v>
      </c>
      <c r="AQ181" s="17">
        <v>11</v>
      </c>
      <c r="AR181" s="19">
        <v>1534</v>
      </c>
      <c r="AS181" s="19">
        <v>1549</v>
      </c>
    </row>
    <row r="182" spans="1:45" x14ac:dyDescent="0.25">
      <c r="A182">
        <v>2128</v>
      </c>
      <c r="B182" s="11">
        <f t="shared" si="2"/>
        <v>60896</v>
      </c>
      <c r="C182" s="12">
        <v>608960</v>
      </c>
      <c r="D182" s="13">
        <v>0</v>
      </c>
      <c r="E182" s="13">
        <v>1</v>
      </c>
      <c r="F182" s="13">
        <v>90</v>
      </c>
      <c r="G182" s="13">
        <v>56</v>
      </c>
      <c r="H182" s="13" t="str" cm="1">
        <f t="array" ref="H182">_xlfn.IFS(G182&lt;=20,"0-20",G182&lt;=30,"20-30",G182&lt;=40,"30-40",G182&lt;=50,"50-60",G182&lt;=60,"60-70",G182&lt;=70,"70-80",G182&lt;=80,"80-90")</f>
        <v>60-70</v>
      </c>
      <c r="I182" s="13">
        <v>2785</v>
      </c>
      <c r="J182" s="13" t="str" cm="1">
        <f t="array" ref="J182">_xlfn.IFS(K182=1,"Divorciado",L182=1,"Casado",M182=1,"Solteiro",N182=1,"Juntos",O182=1,"Viuvo")</f>
        <v>Casado</v>
      </c>
      <c r="K182" s="13">
        <v>0</v>
      </c>
      <c r="L182" s="13">
        <v>1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1</v>
      </c>
      <c r="U182" s="13">
        <v>1013</v>
      </c>
      <c r="V182" s="13" t="str" cm="1">
        <f t="array" ref="V182">_xlfn.IFS(U182&lt;=250,"0-R$250",U182&lt;=500,"251-R$500",U182&lt;=750,"501-R$750",U182&lt;=1000,"751-R$1000",U182&lt;=1250,"1001-R$1250",U182&lt;=1500,"1251-R$1500")</f>
        <v>1001-R$1250</v>
      </c>
      <c r="W182" s="13">
        <v>30</v>
      </c>
      <c r="X182" s="13" t="str" cm="1">
        <f t="array" ref="X182">_xlfn.IFS(W182 = 0, "0", W182&lt;=20, "até R$20",W182&lt;=40, "21 - R$40",W182&lt;=60, "41- R$60",W182&lt;=80, "61 - R$80", W182&lt;=100, "81 - R$100",W182&lt;=120, "101 - R$120",W182&lt;=140, "121 - R$140", W182&lt;=160, "141- R$160", W182&lt;=180, "161 - R$180", W182&lt;=200, "181-R$194")</f>
        <v>21 - R$40</v>
      </c>
      <c r="Y182" s="13">
        <v>399</v>
      </c>
      <c r="Z182" s="13">
        <v>60</v>
      </c>
      <c r="AA182" s="13">
        <v>46</v>
      </c>
      <c r="AB182" s="13">
        <v>153</v>
      </c>
      <c r="AC182" s="13">
        <v>3</v>
      </c>
      <c r="AD182" s="13">
        <v>9</v>
      </c>
      <c r="AE182" s="13">
        <v>10</v>
      </c>
      <c r="AF182" s="13">
        <v>4</v>
      </c>
      <c r="AG182" s="13">
        <v>6</v>
      </c>
      <c r="AH182" s="13">
        <v>0</v>
      </c>
      <c r="AI182" s="13">
        <v>0</v>
      </c>
      <c r="AJ182" s="13">
        <v>0</v>
      </c>
      <c r="AK182" s="13">
        <v>0</v>
      </c>
      <c r="AL182" s="13">
        <v>0</v>
      </c>
      <c r="AM182" s="13">
        <v>0</v>
      </c>
      <c r="AN182" s="13">
        <v>1</v>
      </c>
      <c r="AO182" s="14">
        <v>0</v>
      </c>
      <c r="AP182" s="13">
        <v>3</v>
      </c>
      <c r="AQ182" s="13">
        <v>11</v>
      </c>
      <c r="AR182" s="15">
        <v>1395</v>
      </c>
      <c r="AS182" s="15">
        <v>1548</v>
      </c>
    </row>
    <row r="183" spans="1:45" x14ac:dyDescent="0.25">
      <c r="A183">
        <v>1828</v>
      </c>
      <c r="B183" s="11">
        <f t="shared" si="2"/>
        <v>64260</v>
      </c>
      <c r="C183" s="12">
        <v>642600</v>
      </c>
      <c r="D183" s="13">
        <v>0</v>
      </c>
      <c r="E183" s="13">
        <v>0</v>
      </c>
      <c r="F183" s="13">
        <v>1</v>
      </c>
      <c r="G183" s="13">
        <v>59</v>
      </c>
      <c r="H183" s="13" t="str" cm="1">
        <f t="array" ref="H183">_xlfn.IFS(G183&lt;=20,"0-20",G183&lt;=30,"20-30",G183&lt;=40,"30-40",G183&lt;=50,"50-60",G183&lt;=60,"60-70",G183&lt;=70,"70-80",G183&lt;=80,"80-90")</f>
        <v>60-70</v>
      </c>
      <c r="I183" s="13">
        <v>2693</v>
      </c>
      <c r="J183" s="13" t="str" cm="1">
        <f t="array" ref="J183">_xlfn.IFS(K183=1,"Divorciado",L183=1,"Casado",M183=1,"Solteiro",N183=1,"Juntos",O183=1,"Viuvo")</f>
        <v>Juntos</v>
      </c>
      <c r="K183" s="13">
        <v>0</v>
      </c>
      <c r="L183" s="13">
        <v>0</v>
      </c>
      <c r="M183" s="13">
        <v>0</v>
      </c>
      <c r="N183" s="13">
        <v>1</v>
      </c>
      <c r="O183" s="13">
        <v>0</v>
      </c>
      <c r="P183" s="13">
        <v>0</v>
      </c>
      <c r="Q183" s="13">
        <v>0</v>
      </c>
      <c r="R183" s="13">
        <v>1</v>
      </c>
      <c r="S183" s="13">
        <v>0</v>
      </c>
      <c r="T183" s="13">
        <v>0</v>
      </c>
      <c r="U183" s="13">
        <v>539</v>
      </c>
      <c r="V183" s="13" t="str" cm="1">
        <f t="array" ref="V183">_xlfn.IFS(U183&lt;=250,"0-R$250",U183&lt;=500,"251-R$500",U183&lt;=750,"501-R$750",U183&lt;=1000,"751-R$1000",U183&lt;=1250,"1001-R$1250",U183&lt;=1500,"1251-R$1500")</f>
        <v>501-R$750</v>
      </c>
      <c r="W183" s="13">
        <v>169</v>
      </c>
      <c r="X183" s="13" t="str" cm="1">
        <f t="array" ref="X183">_xlfn.IFS(W183 = 0, "0", W183&lt;=20, "até R$20",W183&lt;=40, "21 - R$40",W183&lt;=60, "41- R$60",W183&lt;=80, "61 - R$80", W183&lt;=100, "81 - R$100",W183&lt;=120, "101 - R$120",W183&lt;=140, "121 - R$140", W183&lt;=160, "141- R$160", W183&lt;=180, "161 - R$180", W183&lt;=200, "181-R$194")</f>
        <v>161 - R$180</v>
      </c>
      <c r="Y183" s="13">
        <v>816</v>
      </c>
      <c r="Z183" s="13">
        <v>20</v>
      </c>
      <c r="AA183" s="13">
        <v>0</v>
      </c>
      <c r="AB183" s="13">
        <v>30</v>
      </c>
      <c r="AC183" s="13">
        <v>1</v>
      </c>
      <c r="AD183" s="13">
        <v>4</v>
      </c>
      <c r="AE183" s="13">
        <v>5</v>
      </c>
      <c r="AF183" s="13">
        <v>4</v>
      </c>
      <c r="AG183" s="13">
        <v>3</v>
      </c>
      <c r="AH183" s="13">
        <v>0</v>
      </c>
      <c r="AI183" s="13">
        <v>0</v>
      </c>
      <c r="AJ183" s="13">
        <v>0</v>
      </c>
      <c r="AK183" s="13">
        <v>0</v>
      </c>
      <c r="AL183" s="13">
        <v>0</v>
      </c>
      <c r="AM183" s="13">
        <v>0</v>
      </c>
      <c r="AN183" s="13">
        <v>1</v>
      </c>
      <c r="AO183" s="14">
        <v>0</v>
      </c>
      <c r="AP183" s="13">
        <v>3</v>
      </c>
      <c r="AQ183" s="13">
        <v>11</v>
      </c>
      <c r="AR183" s="15">
        <v>1514</v>
      </c>
      <c r="AS183" s="15">
        <v>1544</v>
      </c>
    </row>
    <row r="184" spans="1:45" x14ac:dyDescent="0.25">
      <c r="A184">
        <v>806</v>
      </c>
      <c r="B184" s="11">
        <f t="shared" si="2"/>
        <v>78353</v>
      </c>
      <c r="C184" s="12">
        <v>783530</v>
      </c>
      <c r="D184" s="13">
        <v>0</v>
      </c>
      <c r="E184" s="13">
        <v>1</v>
      </c>
      <c r="F184" s="13">
        <v>51</v>
      </c>
      <c r="G184" s="13">
        <v>61</v>
      </c>
      <c r="H184" s="13" t="str" cm="1">
        <f t="array" ref="H184">_xlfn.IFS(G184&lt;=20,"0-20",G184&lt;=30,"20-30",G184&lt;=40,"30-40",G184&lt;=50,"50-60",G184&lt;=60,"60-70",G184&lt;=70,"70-80",G184&lt;=80,"80-90")</f>
        <v>70-80</v>
      </c>
      <c r="I184" s="13">
        <v>2598</v>
      </c>
      <c r="J184" s="13" t="str" cm="1">
        <f t="array" ref="J184">_xlfn.IFS(K184=1,"Divorciado",L184=1,"Casado",M184=1,"Solteiro",N184=1,"Juntos",O184=1,"Viuvo")</f>
        <v>Divorciado</v>
      </c>
      <c r="K184" s="13">
        <v>1</v>
      </c>
      <c r="L184" s="13">
        <v>0</v>
      </c>
      <c r="M184" s="13">
        <v>0</v>
      </c>
      <c r="N184" s="13">
        <v>0</v>
      </c>
      <c r="O184" s="13">
        <v>0</v>
      </c>
      <c r="P184" s="13">
        <v>1</v>
      </c>
      <c r="Q184" s="13">
        <v>0</v>
      </c>
      <c r="R184" s="13">
        <v>0</v>
      </c>
      <c r="S184" s="13">
        <v>0</v>
      </c>
      <c r="T184" s="13">
        <v>0</v>
      </c>
      <c r="U184" s="13">
        <v>752</v>
      </c>
      <c r="V184" s="13" t="str" cm="1">
        <f t="array" ref="V184">_xlfn.IFS(U184&lt;=250,"0-R$250",U184&lt;=500,"251-R$500",U184&lt;=750,"501-R$750",U184&lt;=1000,"751-R$1000",U184&lt;=1250,"1001-R$1250",U184&lt;=1500,"1251-R$1500")</f>
        <v>751-R$1000</v>
      </c>
      <c r="W184" s="13">
        <v>122</v>
      </c>
      <c r="X184" s="13" t="str" cm="1">
        <f t="array" ref="X184">_xlfn.IFS(W184 = 0, "0", W184&lt;=20, "até R$20",W184&lt;=40, "21 - R$40",W184&lt;=60, "41- R$60",W184&lt;=80, "61 - R$80", W184&lt;=100, "81 - R$100",W184&lt;=120, "101 - R$120",W184&lt;=140, "121 - R$140", W184&lt;=160, "141- R$160", W184&lt;=180, "161 - R$180", W184&lt;=200, "181-R$194")</f>
        <v>121 - R$140</v>
      </c>
      <c r="Y184" s="13">
        <v>476</v>
      </c>
      <c r="Z184" s="13">
        <v>39</v>
      </c>
      <c r="AA184" s="13">
        <v>153</v>
      </c>
      <c r="AB184" s="13">
        <v>34</v>
      </c>
      <c r="AC184" s="13">
        <v>1</v>
      </c>
      <c r="AD184" s="13">
        <v>10</v>
      </c>
      <c r="AE184" s="13">
        <v>2</v>
      </c>
      <c r="AF184" s="13">
        <v>11</v>
      </c>
      <c r="AG184" s="13">
        <v>8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3">
        <v>0</v>
      </c>
      <c r="AO184" s="14">
        <v>0</v>
      </c>
      <c r="AP184" s="13">
        <v>3</v>
      </c>
      <c r="AQ184" s="13">
        <v>11</v>
      </c>
      <c r="AR184" s="15">
        <v>1508</v>
      </c>
      <c r="AS184" s="15">
        <v>1542</v>
      </c>
    </row>
    <row r="185" spans="1:45" x14ac:dyDescent="0.25">
      <c r="A185">
        <v>1803</v>
      </c>
      <c r="B185" s="11">
        <f t="shared" si="2"/>
        <v>80739</v>
      </c>
      <c r="C185" s="16">
        <v>807390</v>
      </c>
      <c r="D185" s="17">
        <v>0</v>
      </c>
      <c r="E185" s="17">
        <v>0</v>
      </c>
      <c r="F185" s="17">
        <v>92</v>
      </c>
      <c r="G185" s="17">
        <v>62</v>
      </c>
      <c r="H185" s="13" t="str" cm="1">
        <f t="array" ref="H185">_xlfn.IFS(G185&lt;=20,"0-20",G185&lt;=30,"20-30",G185&lt;=40,"30-40",G185&lt;=50,"50-60",G185&lt;=60,"60-70",G185&lt;=70,"70-80",G185&lt;=80,"80-90")</f>
        <v>70-80</v>
      </c>
      <c r="I185" s="17">
        <v>2561</v>
      </c>
      <c r="J185" s="13" t="str" cm="1">
        <f t="array" ref="J185">_xlfn.IFS(K185=1,"Divorciado",L185=1,"Casado",M185=1,"Solteiro",N185=1,"Juntos",O185=1,"Viuvo")</f>
        <v>Casado</v>
      </c>
      <c r="K185" s="17">
        <v>0</v>
      </c>
      <c r="L185" s="17">
        <v>1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1</v>
      </c>
      <c r="T185" s="17">
        <v>0</v>
      </c>
      <c r="U185" s="17">
        <v>674</v>
      </c>
      <c r="V185" s="13" t="str" cm="1">
        <f t="array" ref="V185">_xlfn.IFS(U185&lt;=250,"0-R$250",U185&lt;=500,"251-R$500",U185&lt;=750,"501-R$750",U185&lt;=1000,"751-R$1000",U185&lt;=1250,"1001-R$1250",U185&lt;=1500,"1251-R$1500")</f>
        <v>501-R$750</v>
      </c>
      <c r="W185" s="17">
        <v>92</v>
      </c>
      <c r="X185" s="13" t="str" cm="1">
        <f t="array" ref="X185">_xlfn.IFS(W185 = 0, "0", W185&lt;=20, "até R$20",W185&lt;=40, "21 - R$40",W185&lt;=60, "41- R$60",W185&lt;=80, "61 - R$80", W185&lt;=100, "81 - R$100",W185&lt;=120, "101 - R$120",W185&lt;=140, "121 - R$140", W185&lt;=160, "141- R$160", W185&lt;=180, "161 - R$180", W185&lt;=200, "181-R$194")</f>
        <v>81 - R$100</v>
      </c>
      <c r="Y185" s="17">
        <v>736</v>
      </c>
      <c r="Z185" s="17">
        <v>39</v>
      </c>
      <c r="AA185" s="17">
        <v>0</v>
      </c>
      <c r="AB185" s="17">
        <v>92</v>
      </c>
      <c r="AC185" s="17">
        <v>1</v>
      </c>
      <c r="AD185" s="17">
        <v>3</v>
      </c>
      <c r="AE185" s="17">
        <v>11</v>
      </c>
      <c r="AF185" s="17">
        <v>9</v>
      </c>
      <c r="AG185" s="17">
        <v>1</v>
      </c>
      <c r="AH185" s="17">
        <v>0</v>
      </c>
      <c r="AI185" s="17">
        <v>0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8">
        <v>0</v>
      </c>
      <c r="AP185" s="17">
        <v>3</v>
      </c>
      <c r="AQ185" s="17">
        <v>11</v>
      </c>
      <c r="AR185" s="19">
        <v>1449</v>
      </c>
      <c r="AS185" s="19">
        <v>1541</v>
      </c>
    </row>
    <row r="186" spans="1:45" x14ac:dyDescent="0.25">
      <c r="A186">
        <v>2155</v>
      </c>
      <c r="B186" s="11">
        <f t="shared" si="2"/>
        <v>84117</v>
      </c>
      <c r="C186" s="16">
        <v>841170</v>
      </c>
      <c r="D186" s="17">
        <v>0</v>
      </c>
      <c r="E186" s="17">
        <v>0</v>
      </c>
      <c r="F186" s="17">
        <v>60</v>
      </c>
      <c r="G186" s="17">
        <v>64</v>
      </c>
      <c r="H186" s="13" t="str" cm="1">
        <f t="array" ref="H186">_xlfn.IFS(G186&lt;=20,"0-20",G186&lt;=30,"20-30",G186&lt;=40,"30-40",G186&lt;=50,"50-60",G186&lt;=60,"60-70",G186&lt;=70,"70-80",G186&lt;=80,"80-90")</f>
        <v>70-80</v>
      </c>
      <c r="I186" s="17">
        <v>2208</v>
      </c>
      <c r="J186" s="13" t="str" cm="1">
        <f t="array" ref="J186">_xlfn.IFS(K186=1,"Divorciado",L186=1,"Casado",M186=1,"Solteiro",N186=1,"Juntos",O186=1,"Viuvo")</f>
        <v>Casado</v>
      </c>
      <c r="K186" s="17">
        <v>0</v>
      </c>
      <c r="L186" s="17">
        <v>1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1</v>
      </c>
      <c r="U186" s="17">
        <v>611</v>
      </c>
      <c r="V186" s="13" t="str" cm="1">
        <f t="array" ref="V186">_xlfn.IFS(U186&lt;=250,"0-R$250",U186&lt;=500,"251-R$500",U186&lt;=750,"501-R$750",U186&lt;=1000,"751-R$1000",U186&lt;=1250,"1001-R$1250",U186&lt;=1500,"1251-R$1500")</f>
        <v>501-R$750</v>
      </c>
      <c r="W186" s="17">
        <v>76</v>
      </c>
      <c r="X186" s="13" t="str" cm="1">
        <f t="array" ref="X186">_xlfn.IFS(W186 = 0, "0", W186&lt;=20, "até R$20",W186&lt;=40, "21 - R$40",W186&lt;=60, "41- R$60",W186&lt;=80, "61 - R$80", W186&lt;=100, "81 - R$100",W186&lt;=120, "101 - R$120",W186&lt;=140, "121 - R$140", W186&lt;=160, "141- R$160", W186&lt;=180, "161 - R$180", W186&lt;=200, "181-R$194")</f>
        <v>61 - R$80</v>
      </c>
      <c r="Y186" s="17">
        <v>749</v>
      </c>
      <c r="Z186" s="17">
        <v>59</v>
      </c>
      <c r="AA186" s="17">
        <v>45</v>
      </c>
      <c r="AB186" s="17">
        <v>26</v>
      </c>
      <c r="AC186" s="17">
        <v>1</v>
      </c>
      <c r="AD186" s="17">
        <v>7</v>
      </c>
      <c r="AE186" s="17">
        <v>10</v>
      </c>
      <c r="AF186" s="17">
        <v>6</v>
      </c>
      <c r="AG186" s="17">
        <v>2</v>
      </c>
      <c r="AH186" s="17">
        <v>0</v>
      </c>
      <c r="AI186" s="17">
        <v>0</v>
      </c>
      <c r="AJ186" s="17">
        <v>0</v>
      </c>
      <c r="AK186" s="17">
        <v>1</v>
      </c>
      <c r="AL186" s="17">
        <v>0</v>
      </c>
      <c r="AM186" s="17">
        <v>0</v>
      </c>
      <c r="AN186" s="17">
        <v>0</v>
      </c>
      <c r="AO186" s="18">
        <v>1</v>
      </c>
      <c r="AP186" s="17">
        <v>3</v>
      </c>
      <c r="AQ186" s="17">
        <v>11</v>
      </c>
      <c r="AR186" s="19">
        <v>1514</v>
      </c>
      <c r="AS186" s="19">
        <v>1540</v>
      </c>
    </row>
    <row r="187" spans="1:45" x14ac:dyDescent="0.25">
      <c r="A187">
        <v>1617</v>
      </c>
      <c r="B187" s="11">
        <f t="shared" si="2"/>
        <v>64140</v>
      </c>
      <c r="C187" s="16">
        <v>641400</v>
      </c>
      <c r="D187" s="17">
        <v>0</v>
      </c>
      <c r="E187" s="17">
        <v>2</v>
      </c>
      <c r="F187" s="17">
        <v>71</v>
      </c>
      <c r="G187" s="17">
        <v>56</v>
      </c>
      <c r="H187" s="13" t="str" cm="1">
        <f t="array" ref="H187">_xlfn.IFS(G187&lt;=20,"0-20",G187&lt;=30,"20-30",G187&lt;=40,"30-40",G187&lt;=50,"50-60",G187&lt;=60,"60-70",G187&lt;=70,"70-80",G187&lt;=80,"80-90")</f>
        <v>60-70</v>
      </c>
      <c r="I187" s="17">
        <v>2438</v>
      </c>
      <c r="J187" s="13" t="str" cm="1">
        <f t="array" ref="J187">_xlfn.IFS(K187=1,"Divorciado",L187=1,"Casado",M187=1,"Solteiro",N187=1,"Juntos",O187=1,"Viuvo")</f>
        <v>Divorciado</v>
      </c>
      <c r="K187" s="17">
        <v>1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1</v>
      </c>
      <c r="U187" s="17">
        <v>1459</v>
      </c>
      <c r="V187" s="13" t="str" cm="1">
        <f t="array" ref="V187">_xlfn.IFS(U187&lt;=250,"0-R$250",U187&lt;=500,"251-R$500",U187&lt;=750,"501-R$750",U187&lt;=1000,"751-R$1000",U187&lt;=1250,"1001-R$1250",U187&lt;=1500,"1251-R$1500")</f>
        <v>1251-R$1500</v>
      </c>
      <c r="W187" s="17">
        <v>0</v>
      </c>
      <c r="X187" s="13" t="str" cm="1">
        <f t="array" ref="X187">_xlfn.IFS(W187 = 0, "0", W187&lt;=20, "até R$20",W187&lt;=40, "21 - R$40",W187&lt;=60, "41- R$60",W187&lt;=80, "61 - R$80", W187&lt;=100, "81 - R$100",W187&lt;=120, "101 - R$120",W187&lt;=140, "121 - R$140", W187&lt;=160, "141- R$160", W187&lt;=180, "161 - R$180", W187&lt;=200, "181-R$194")</f>
        <v>0</v>
      </c>
      <c r="Y187" s="17">
        <v>61</v>
      </c>
      <c r="Z187" s="17">
        <v>0</v>
      </c>
      <c r="AA187" s="17">
        <v>15</v>
      </c>
      <c r="AB187" s="17">
        <v>215</v>
      </c>
      <c r="AC187" s="17">
        <v>5</v>
      </c>
      <c r="AD187" s="17">
        <v>2</v>
      </c>
      <c r="AE187" s="17">
        <v>5</v>
      </c>
      <c r="AF187" s="17">
        <v>6</v>
      </c>
      <c r="AG187" s="17">
        <v>5</v>
      </c>
      <c r="AH187" s="17">
        <v>0</v>
      </c>
      <c r="AI187" s="17">
        <v>1</v>
      </c>
      <c r="AJ187" s="17">
        <v>0</v>
      </c>
      <c r="AK187" s="17">
        <v>1</v>
      </c>
      <c r="AL187" s="17">
        <v>0</v>
      </c>
      <c r="AM187" s="17">
        <v>1</v>
      </c>
      <c r="AN187" s="17">
        <v>1</v>
      </c>
      <c r="AO187" s="18">
        <v>3</v>
      </c>
      <c r="AP187" s="17">
        <v>3</v>
      </c>
      <c r="AQ187" s="17">
        <v>11</v>
      </c>
      <c r="AR187" s="19">
        <v>1320</v>
      </c>
      <c r="AS187" s="19">
        <v>1535</v>
      </c>
    </row>
    <row r="188" spans="1:45" x14ac:dyDescent="0.25">
      <c r="A188">
        <v>545</v>
      </c>
      <c r="B188" s="11">
        <f t="shared" si="2"/>
        <v>81741</v>
      </c>
      <c r="C188" s="16">
        <v>817410</v>
      </c>
      <c r="D188" s="17">
        <v>0</v>
      </c>
      <c r="E188" s="17">
        <v>0</v>
      </c>
      <c r="F188" s="17">
        <v>75</v>
      </c>
      <c r="G188" s="17">
        <v>40</v>
      </c>
      <c r="H188" s="13" t="str" cm="1">
        <f t="array" ref="H188">_xlfn.IFS(G188&lt;=20,"0-20",G188&lt;=30,"20-30",G188&lt;=40,"30-40",G188&lt;=50,"50-60",G188&lt;=60,"60-70",G188&lt;=70,"70-80",G188&lt;=80,"80-90")</f>
        <v>30-40</v>
      </c>
      <c r="I188" s="17">
        <v>2537</v>
      </c>
      <c r="J188" s="13" t="str" cm="1">
        <f t="array" ref="J188">_xlfn.IFS(K188=1,"Divorciado",L188=1,"Casado",M188=1,"Solteiro",N188=1,"Juntos",O188=1,"Viuvo")</f>
        <v>Solteiro</v>
      </c>
      <c r="K188" s="17">
        <v>0</v>
      </c>
      <c r="L188" s="17">
        <v>0</v>
      </c>
      <c r="M188" s="17">
        <v>1</v>
      </c>
      <c r="N188" s="17">
        <v>0</v>
      </c>
      <c r="O188" s="17">
        <v>0</v>
      </c>
      <c r="P188" s="17">
        <v>0</v>
      </c>
      <c r="Q188" s="17">
        <v>0</v>
      </c>
      <c r="R188" s="17">
        <v>1</v>
      </c>
      <c r="S188" s="17">
        <v>0</v>
      </c>
      <c r="T188" s="17">
        <v>0</v>
      </c>
      <c r="U188" s="17">
        <v>249</v>
      </c>
      <c r="V188" s="13" t="str" cm="1">
        <f t="array" ref="V188">_xlfn.IFS(U188&lt;=250,"0-R$250",U188&lt;=500,"251-R$500",U188&lt;=750,"501-R$750",U188&lt;=1000,"751-R$1000",U188&lt;=1250,"1001-R$1250",U188&lt;=1500,"1251-R$1500")</f>
        <v>0-R$250</v>
      </c>
      <c r="W188" s="17">
        <v>153</v>
      </c>
      <c r="X188" s="13" t="str" cm="1">
        <f t="array" ref="X188">_xlfn.IFS(W188 = 0, "0", W188&lt;=20, "até R$20",W188&lt;=40, "21 - R$40",W188&lt;=60, "41- R$60",W188&lt;=80, "61 - R$80", W188&lt;=100, "81 - R$100",W188&lt;=120, "101 - R$120",W188&lt;=140, "121 - R$140", W188&lt;=160, "141- R$160", W188&lt;=180, "161 - R$180", W188&lt;=200, "181-R$194")</f>
        <v>141- R$160</v>
      </c>
      <c r="Y188" s="17">
        <v>940</v>
      </c>
      <c r="Z188" s="17">
        <v>58</v>
      </c>
      <c r="AA188" s="17">
        <v>134</v>
      </c>
      <c r="AB188" s="17">
        <v>38</v>
      </c>
      <c r="AC188" s="17">
        <v>0</v>
      </c>
      <c r="AD188" s="17">
        <v>6</v>
      </c>
      <c r="AE188" s="17">
        <v>6</v>
      </c>
      <c r="AF188" s="17">
        <v>7</v>
      </c>
      <c r="AG188" s="17">
        <v>2</v>
      </c>
      <c r="AH188" s="17">
        <v>0</v>
      </c>
      <c r="AI188" s="17">
        <v>0</v>
      </c>
      <c r="AJ188" s="17">
        <v>0</v>
      </c>
      <c r="AK188" s="17">
        <v>0</v>
      </c>
      <c r="AL188" s="17">
        <v>0</v>
      </c>
      <c r="AM188" s="17">
        <v>0</v>
      </c>
      <c r="AN188" s="17">
        <v>0</v>
      </c>
      <c r="AO188" s="18">
        <v>0</v>
      </c>
      <c r="AP188" s="17">
        <v>3</v>
      </c>
      <c r="AQ188" s="17">
        <v>11</v>
      </c>
      <c r="AR188" s="19">
        <v>1496</v>
      </c>
      <c r="AS188" s="19">
        <v>1534</v>
      </c>
    </row>
    <row r="189" spans="1:45" x14ac:dyDescent="0.25">
      <c r="A189">
        <v>1</v>
      </c>
      <c r="B189" s="11">
        <f t="shared" si="2"/>
        <v>58138</v>
      </c>
      <c r="C189" s="16">
        <v>581380</v>
      </c>
      <c r="D189" s="17">
        <v>0</v>
      </c>
      <c r="E189" s="17">
        <v>0</v>
      </c>
      <c r="F189" s="17">
        <v>58</v>
      </c>
      <c r="G189" s="17">
        <v>63</v>
      </c>
      <c r="H189" s="13" t="str" cm="1">
        <f t="array" ref="H189">_xlfn.IFS(G189&lt;=20,"0-20",G189&lt;=30,"20-30",G189&lt;=40,"30-40",G189&lt;=50,"50-60",G189&lt;=60,"60-70",G189&lt;=70,"70-80",G189&lt;=80,"80-90")</f>
        <v>70-80</v>
      </c>
      <c r="I189" s="17">
        <v>2822</v>
      </c>
      <c r="J189" s="13" t="str" cm="1">
        <f t="array" ref="J189">_xlfn.IFS(K189=1,"Divorciado",L189=1,"Casado",M189=1,"Solteiro",N189=1,"Juntos",O189=1,"Viuvo")</f>
        <v>Solteiro</v>
      </c>
      <c r="K189" s="17">
        <v>0</v>
      </c>
      <c r="L189" s="17">
        <v>0</v>
      </c>
      <c r="M189" s="17">
        <v>1</v>
      </c>
      <c r="N189" s="17">
        <v>0</v>
      </c>
      <c r="O189" s="17">
        <v>0</v>
      </c>
      <c r="P189" s="17">
        <v>0</v>
      </c>
      <c r="Q189" s="17">
        <v>0</v>
      </c>
      <c r="R189" s="17">
        <v>1</v>
      </c>
      <c r="S189" s="17">
        <v>0</v>
      </c>
      <c r="T189" s="17">
        <v>0</v>
      </c>
      <c r="U189" s="17">
        <v>635</v>
      </c>
      <c r="V189" s="13" t="str" cm="1">
        <f t="array" ref="V189">_xlfn.IFS(U189&lt;=250,"0-R$250",U189&lt;=500,"251-R$500",U189&lt;=750,"501-R$750",U189&lt;=1000,"751-R$1000",U189&lt;=1250,"1001-R$1250",U189&lt;=1500,"1251-R$1500")</f>
        <v>501-R$750</v>
      </c>
      <c r="W189" s="17">
        <v>88</v>
      </c>
      <c r="X189" s="13" t="str" cm="1">
        <f t="array" ref="X189">_xlfn.IFS(W189 = 0, "0", W189&lt;=20, "até R$20",W189&lt;=40, "21 - R$40",W189&lt;=60, "41- R$60",W189&lt;=80, "61 - R$80", W189&lt;=100, "81 - R$100",W189&lt;=120, "101 - R$120",W189&lt;=140, "121 - R$140", W189&lt;=160, "141- R$160", W189&lt;=180, "161 - R$180", W189&lt;=200, "181-R$194")</f>
        <v>81 - R$100</v>
      </c>
      <c r="Y189" s="17">
        <v>546</v>
      </c>
      <c r="Z189" s="17">
        <v>172</v>
      </c>
      <c r="AA189" s="17">
        <v>88</v>
      </c>
      <c r="AB189" s="17">
        <v>88</v>
      </c>
      <c r="AC189" s="17">
        <v>3</v>
      </c>
      <c r="AD189" s="17">
        <v>8</v>
      </c>
      <c r="AE189" s="17">
        <v>10</v>
      </c>
      <c r="AF189" s="17">
        <v>4</v>
      </c>
      <c r="AG189" s="17">
        <v>7</v>
      </c>
      <c r="AH189" s="17">
        <v>0</v>
      </c>
      <c r="AI189" s="17">
        <v>0</v>
      </c>
      <c r="AJ189" s="17">
        <v>0</v>
      </c>
      <c r="AK189" s="17">
        <v>0</v>
      </c>
      <c r="AL189" s="17">
        <v>0</v>
      </c>
      <c r="AM189" s="17">
        <v>0</v>
      </c>
      <c r="AN189" s="17">
        <v>1</v>
      </c>
      <c r="AO189" s="18">
        <v>0</v>
      </c>
      <c r="AP189" s="17">
        <v>3</v>
      </c>
      <c r="AQ189" s="17">
        <v>11</v>
      </c>
      <c r="AR189" s="19">
        <v>1441</v>
      </c>
      <c r="AS189" s="19">
        <v>1529</v>
      </c>
    </row>
    <row r="190" spans="1:45" x14ac:dyDescent="0.25">
      <c r="A190">
        <v>1933</v>
      </c>
      <c r="B190" s="11">
        <f t="shared" si="2"/>
        <v>96843</v>
      </c>
      <c r="C190" s="16">
        <v>968430</v>
      </c>
      <c r="D190" s="17">
        <v>0</v>
      </c>
      <c r="E190" s="17">
        <v>0</v>
      </c>
      <c r="F190" s="17">
        <v>60</v>
      </c>
      <c r="G190" s="17">
        <v>30</v>
      </c>
      <c r="H190" s="13" t="str" cm="1">
        <f t="array" ref="H190">_xlfn.IFS(G190&lt;=20,"0-20",G190&lt;=30,"20-30",G190&lt;=40,"30-40",G190&lt;=50,"50-60",G190&lt;=60,"60-70",G190&lt;=70,"70-80",G190&lt;=80,"80-90")</f>
        <v>20-30</v>
      </c>
      <c r="I190" s="17">
        <v>2591</v>
      </c>
      <c r="J190" s="13" t="str" cm="1">
        <f t="array" ref="J190">_xlfn.IFS(K190=1,"Divorciado",L190=1,"Casado",M190=1,"Solteiro",N190=1,"Juntos",O190=1,"Viuvo")</f>
        <v>Solteiro</v>
      </c>
      <c r="K190" s="17">
        <v>0</v>
      </c>
      <c r="L190" s="17">
        <v>0</v>
      </c>
      <c r="M190" s="17">
        <v>1</v>
      </c>
      <c r="N190" s="17">
        <v>0</v>
      </c>
      <c r="O190" s="17">
        <v>0</v>
      </c>
      <c r="P190" s="17">
        <v>0</v>
      </c>
      <c r="Q190" s="17">
        <v>0</v>
      </c>
      <c r="R190" s="17">
        <v>1</v>
      </c>
      <c r="S190" s="17">
        <v>0</v>
      </c>
      <c r="T190" s="17">
        <v>0</v>
      </c>
      <c r="U190" s="17">
        <v>448</v>
      </c>
      <c r="V190" s="13" t="str" cm="1">
        <f t="array" ref="V190">_xlfn.IFS(U190&lt;=250,"0-R$250",U190&lt;=500,"251-R$500",U190&lt;=750,"501-R$750",U190&lt;=1000,"751-R$1000",U190&lt;=1250,"1001-R$1250",U190&lt;=1500,"1251-R$1500")</f>
        <v>251-R$500</v>
      </c>
      <c r="W190" s="17">
        <v>71</v>
      </c>
      <c r="X190" s="13" t="str" cm="1">
        <f t="array" ref="X190">_xlfn.IFS(W190 = 0, "0", W190&lt;=20, "até R$20",W190&lt;=40, "21 - R$40",W190&lt;=60, "41- R$60",W190&lt;=80, "61 - R$80", W190&lt;=100, "81 - R$100",W190&lt;=120, "101 - R$120",W190&lt;=140, "121 - R$140", W190&lt;=160, "141- R$160", W190&lt;=180, "161 - R$180", W190&lt;=200, "181-R$194")</f>
        <v>61 - R$80</v>
      </c>
      <c r="Y190" s="17">
        <v>951</v>
      </c>
      <c r="Z190" s="17">
        <v>40</v>
      </c>
      <c r="AA190" s="17">
        <v>17</v>
      </c>
      <c r="AB190" s="17">
        <v>17</v>
      </c>
      <c r="AC190" s="17">
        <v>1</v>
      </c>
      <c r="AD190" s="17">
        <v>6</v>
      </c>
      <c r="AE190" s="17">
        <v>11</v>
      </c>
      <c r="AF190" s="17">
        <v>10</v>
      </c>
      <c r="AG190" s="17">
        <v>2</v>
      </c>
      <c r="AH190" s="17">
        <v>0</v>
      </c>
      <c r="AI190" s="17">
        <v>0</v>
      </c>
      <c r="AJ190" s="17">
        <v>0</v>
      </c>
      <c r="AK190" s="17">
        <v>1</v>
      </c>
      <c r="AL190" s="17">
        <v>0</v>
      </c>
      <c r="AM190" s="17">
        <v>0</v>
      </c>
      <c r="AN190" s="17">
        <v>1</v>
      </c>
      <c r="AO190" s="18">
        <v>1</v>
      </c>
      <c r="AP190" s="17">
        <v>3</v>
      </c>
      <c r="AQ190" s="17">
        <v>11</v>
      </c>
      <c r="AR190" s="19">
        <v>1510</v>
      </c>
      <c r="AS190" s="19">
        <v>1527</v>
      </c>
    </row>
    <row r="191" spans="1:45" x14ac:dyDescent="0.25">
      <c r="A191">
        <v>629</v>
      </c>
      <c r="B191" s="11">
        <f t="shared" si="2"/>
        <v>105471</v>
      </c>
      <c r="C191" s="16">
        <v>1054710</v>
      </c>
      <c r="D191" s="17">
        <v>0</v>
      </c>
      <c r="E191" s="17">
        <v>0</v>
      </c>
      <c r="F191" s="17">
        <v>36</v>
      </c>
      <c r="G191" s="17">
        <v>50</v>
      </c>
      <c r="H191" s="13" t="str" cm="1">
        <f t="array" ref="H191">_xlfn.IFS(G191&lt;=20,"0-20",G191&lt;=30,"20-30",G191&lt;=40,"30-40",G191&lt;=50,"50-60",G191&lt;=60,"60-70",G191&lt;=70,"70-80",G191&lt;=80,"80-90")</f>
        <v>50-60</v>
      </c>
      <c r="I191" s="17">
        <v>2683</v>
      </c>
      <c r="J191" s="13" t="str" cm="1">
        <f t="array" ref="J191">_xlfn.IFS(K191=1,"Divorciado",L191=1,"Casado",M191=1,"Solteiro",N191=1,"Juntos",O191=1,"Viuvo")</f>
        <v>Juntos</v>
      </c>
      <c r="K191" s="17">
        <v>0</v>
      </c>
      <c r="L191" s="17">
        <v>0</v>
      </c>
      <c r="M191" s="17">
        <v>0</v>
      </c>
      <c r="N191" s="17">
        <v>1</v>
      </c>
      <c r="O191" s="17">
        <v>0</v>
      </c>
      <c r="P191" s="17">
        <v>0</v>
      </c>
      <c r="Q191" s="17">
        <v>0</v>
      </c>
      <c r="R191" s="17">
        <v>1</v>
      </c>
      <c r="S191" s="17">
        <v>0</v>
      </c>
      <c r="T191" s="17">
        <v>0</v>
      </c>
      <c r="U191" s="17">
        <v>1009</v>
      </c>
      <c r="V191" s="13" t="str" cm="1">
        <f t="array" ref="V191">_xlfn.IFS(U191&lt;=250,"0-R$250",U191&lt;=500,"251-R$500",U191&lt;=750,"501-R$750",U191&lt;=1000,"751-R$1000",U191&lt;=1250,"1001-R$1250",U191&lt;=1500,"1251-R$1500")</f>
        <v>1001-R$1250</v>
      </c>
      <c r="W191" s="17">
        <v>181</v>
      </c>
      <c r="X191" s="13" t="str" cm="1">
        <f t="array" ref="X191">_xlfn.IFS(W191 = 0, "0", W191&lt;=20, "até R$20",W191&lt;=40, "21 - R$40",W191&lt;=60, "41- R$60",W191&lt;=80, "61 - R$80", W191&lt;=100, "81 - R$100",W191&lt;=120, "101 - R$120",W191&lt;=140, "121 - R$140", W191&lt;=160, "141- R$160", W191&lt;=180, "161 - R$180", W191&lt;=200, "181-R$194")</f>
        <v>181-R$194</v>
      </c>
      <c r="Y191" s="17">
        <v>104</v>
      </c>
      <c r="Z191" s="17">
        <v>202</v>
      </c>
      <c r="AA191" s="17">
        <v>21</v>
      </c>
      <c r="AB191" s="17">
        <v>207</v>
      </c>
      <c r="AC191" s="17">
        <v>0</v>
      </c>
      <c r="AD191" s="17">
        <v>9</v>
      </c>
      <c r="AE191" s="17">
        <v>8</v>
      </c>
      <c r="AF191" s="17">
        <v>13</v>
      </c>
      <c r="AG191" s="17">
        <v>3</v>
      </c>
      <c r="AH191" s="17">
        <v>0</v>
      </c>
      <c r="AI191" s="17">
        <v>0</v>
      </c>
      <c r="AJ191" s="17">
        <v>0</v>
      </c>
      <c r="AK191" s="17">
        <v>1</v>
      </c>
      <c r="AL191" s="17">
        <v>1</v>
      </c>
      <c r="AM191" s="17">
        <v>0</v>
      </c>
      <c r="AN191" s="17">
        <v>1</v>
      </c>
      <c r="AO191" s="18">
        <v>2</v>
      </c>
      <c r="AP191" s="17">
        <v>3</v>
      </c>
      <c r="AQ191" s="17">
        <v>11</v>
      </c>
      <c r="AR191" s="19">
        <v>1310</v>
      </c>
      <c r="AS191" s="19">
        <v>1517</v>
      </c>
    </row>
    <row r="192" spans="1:45" x14ac:dyDescent="0.25">
      <c r="A192">
        <v>2023</v>
      </c>
      <c r="B192" s="11">
        <f t="shared" si="2"/>
        <v>76467</v>
      </c>
      <c r="C192" s="16">
        <v>764670</v>
      </c>
      <c r="D192" s="17">
        <v>1</v>
      </c>
      <c r="E192" s="17">
        <v>0</v>
      </c>
      <c r="F192" s="17">
        <v>44</v>
      </c>
      <c r="G192" s="17">
        <v>50</v>
      </c>
      <c r="H192" s="13" t="str" cm="1">
        <f t="array" ref="H192">_xlfn.IFS(G192&lt;=20,"0-20",G192&lt;=30,"20-30",G192&lt;=40,"30-40",G192&lt;=50,"50-60",G192&lt;=60,"60-70",G192&lt;=70,"70-80",G192&lt;=80,"80-90")</f>
        <v>50-60</v>
      </c>
      <c r="I192" s="17">
        <v>2840</v>
      </c>
      <c r="J192" s="13" t="str" cm="1">
        <f t="array" ref="J192">_xlfn.IFS(K192=1,"Divorciado",L192=1,"Casado",M192=1,"Solteiro",N192=1,"Juntos",O192=1,"Viuvo")</f>
        <v>Solteiro</v>
      </c>
      <c r="K192" s="17">
        <v>0</v>
      </c>
      <c r="L192" s="17">
        <v>0</v>
      </c>
      <c r="M192" s="17">
        <v>1</v>
      </c>
      <c r="N192" s="17">
        <v>0</v>
      </c>
      <c r="O192" s="17">
        <v>0</v>
      </c>
      <c r="P192" s="17">
        <v>0</v>
      </c>
      <c r="Q192" s="17">
        <v>0</v>
      </c>
      <c r="R192" s="17">
        <v>1</v>
      </c>
      <c r="S192" s="17">
        <v>0</v>
      </c>
      <c r="T192" s="17">
        <v>0</v>
      </c>
      <c r="U192" s="17">
        <v>676</v>
      </c>
      <c r="V192" s="13" t="str" cm="1">
        <f t="array" ref="V192">_xlfn.IFS(U192&lt;=250,"0-R$250",U192&lt;=500,"251-R$500",U192&lt;=750,"501-R$750",U192&lt;=1000,"751-R$1000",U192&lt;=1250,"1001-R$1250",U192&lt;=1500,"1251-R$1500")</f>
        <v>501-R$750</v>
      </c>
      <c r="W192" s="17">
        <v>161</v>
      </c>
      <c r="X192" s="13" t="str" cm="1">
        <f t="array" ref="X192">_xlfn.IFS(W192 = 0, "0", W192&lt;=20, "até R$20",W192&lt;=40, "21 - R$40",W192&lt;=60, "41- R$60",W192&lt;=80, "61 - R$80", W192&lt;=100, "81 - R$100",W192&lt;=120, "101 - R$120",W192&lt;=140, "121 - R$140", W192&lt;=160, "141- R$160", W192&lt;=180, "161 - R$180", W192&lt;=200, "181-R$194")</f>
        <v>161 - R$180</v>
      </c>
      <c r="Y192" s="17">
        <v>426</v>
      </c>
      <c r="Z192" s="17">
        <v>210</v>
      </c>
      <c r="AA192" s="17">
        <v>44</v>
      </c>
      <c r="AB192" s="17">
        <v>58</v>
      </c>
      <c r="AC192" s="17">
        <v>2</v>
      </c>
      <c r="AD192" s="17">
        <v>2</v>
      </c>
      <c r="AE192" s="17">
        <v>5</v>
      </c>
      <c r="AF192" s="17">
        <v>5</v>
      </c>
      <c r="AG192" s="17">
        <v>6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1</v>
      </c>
      <c r="AO192" s="18">
        <v>0</v>
      </c>
      <c r="AP192" s="17">
        <v>3</v>
      </c>
      <c r="AQ192" s="17">
        <v>11</v>
      </c>
      <c r="AR192" s="19">
        <v>1459</v>
      </c>
      <c r="AS192" s="19">
        <v>1517</v>
      </c>
    </row>
    <row r="193" spans="1:45" x14ac:dyDescent="0.25">
      <c r="A193">
        <v>617</v>
      </c>
      <c r="B193" s="11">
        <f t="shared" si="2"/>
        <v>83917</v>
      </c>
      <c r="C193" s="16">
        <v>839170</v>
      </c>
      <c r="D193" s="17">
        <v>0</v>
      </c>
      <c r="E193" s="17">
        <v>0</v>
      </c>
      <c r="F193" s="17">
        <v>12</v>
      </c>
      <c r="G193" s="17">
        <v>47</v>
      </c>
      <c r="H193" s="13" t="str" cm="1">
        <f t="array" ref="H193">_xlfn.IFS(G193&lt;=20,"0-20",G193&lt;=30,"20-30",G193&lt;=40,"30-40",G193&lt;=50,"50-60",G193&lt;=60,"60-70",G193&lt;=70,"70-80",G193&lt;=80,"80-90")</f>
        <v>50-60</v>
      </c>
      <c r="I193" s="17">
        <v>2596</v>
      </c>
      <c r="J193" s="13" t="str" cm="1">
        <f t="array" ref="J193">_xlfn.IFS(K193=1,"Divorciado",L193=1,"Casado",M193=1,"Solteiro",N193=1,"Juntos",O193=1,"Viuvo")</f>
        <v>Solteiro</v>
      </c>
      <c r="K193" s="17">
        <v>0</v>
      </c>
      <c r="L193" s="17">
        <v>0</v>
      </c>
      <c r="M193" s="17">
        <v>1</v>
      </c>
      <c r="N193" s="17">
        <v>0</v>
      </c>
      <c r="O193" s="17">
        <v>0</v>
      </c>
      <c r="P193" s="17">
        <v>0</v>
      </c>
      <c r="Q193" s="17">
        <v>0</v>
      </c>
      <c r="R193" s="17">
        <v>1</v>
      </c>
      <c r="S193" s="17">
        <v>0</v>
      </c>
      <c r="T193" s="17">
        <v>0</v>
      </c>
      <c r="U193" s="17">
        <v>514</v>
      </c>
      <c r="V193" s="13" t="str" cm="1">
        <f t="array" ref="V193">_xlfn.IFS(U193&lt;=250,"0-R$250",U193&lt;=500,"251-R$500",U193&lt;=750,"501-R$750",U193&lt;=1000,"751-R$1000",U193&lt;=1250,"1001-R$1250",U193&lt;=1500,"1251-R$1500")</f>
        <v>501-R$750</v>
      </c>
      <c r="W193" s="17">
        <v>22</v>
      </c>
      <c r="X193" s="13" t="str" cm="1">
        <f t="array" ref="X193">_xlfn.IFS(W193 = 0, "0", W193&lt;=20, "até R$20",W193&lt;=40, "21 - R$40",W193&lt;=60, "41- R$60",W193&lt;=80, "61 - R$80", W193&lt;=100, "81 - R$100",W193&lt;=120, "101 - R$120",W193&lt;=140, "121 - R$140", W193&lt;=160, "141- R$160", W193&lt;=180, "161 - R$180", W193&lt;=200, "181-R$194")</f>
        <v>21 - R$40</v>
      </c>
      <c r="Y193" s="17">
        <v>732</v>
      </c>
      <c r="Z193" s="17">
        <v>42</v>
      </c>
      <c r="AA193" s="17">
        <v>198</v>
      </c>
      <c r="AB193" s="17">
        <v>79</v>
      </c>
      <c r="AC193" s="17">
        <v>1</v>
      </c>
      <c r="AD193" s="17">
        <v>6</v>
      </c>
      <c r="AE193" s="17">
        <v>7</v>
      </c>
      <c r="AF193" s="17">
        <v>7</v>
      </c>
      <c r="AG193" s="17">
        <v>3</v>
      </c>
      <c r="AH193" s="17">
        <v>0</v>
      </c>
      <c r="AI193" s="17">
        <v>0</v>
      </c>
      <c r="AJ193" s="17">
        <v>0</v>
      </c>
      <c r="AK193" s="17">
        <v>0</v>
      </c>
      <c r="AL193" s="17">
        <v>0</v>
      </c>
      <c r="AM193" s="17">
        <v>0</v>
      </c>
      <c r="AN193" s="17">
        <v>1</v>
      </c>
      <c r="AO193" s="18">
        <v>0</v>
      </c>
      <c r="AP193" s="17">
        <v>3</v>
      </c>
      <c r="AQ193" s="17">
        <v>11</v>
      </c>
      <c r="AR193" s="19">
        <v>1429</v>
      </c>
      <c r="AS193" s="19">
        <v>1508</v>
      </c>
    </row>
    <row r="194" spans="1:45" x14ac:dyDescent="0.25">
      <c r="A194">
        <v>1833</v>
      </c>
      <c r="B194" s="11">
        <f t="shared" ref="B194:B257" si="3">C194/10</f>
        <v>70116</v>
      </c>
      <c r="C194" s="16">
        <v>701160</v>
      </c>
      <c r="D194" s="17">
        <v>0</v>
      </c>
      <c r="E194" s="17">
        <v>0</v>
      </c>
      <c r="F194" s="17">
        <v>73</v>
      </c>
      <c r="G194" s="17">
        <v>48</v>
      </c>
      <c r="H194" s="13" t="str" cm="1">
        <f t="array" ref="H194">_xlfn.IFS(G194&lt;=20,"0-20",G194&lt;=30,"20-30",G194&lt;=40,"30-40",G194&lt;=50,"50-60",G194&lt;=60,"60-70",G194&lt;=70,"70-80",G194&lt;=80,"80-90")</f>
        <v>50-60</v>
      </c>
      <c r="I194" s="17">
        <v>2678</v>
      </c>
      <c r="J194" s="13" t="str" cm="1">
        <f t="array" ref="J194">_xlfn.IFS(K194=1,"Divorciado",L194=1,"Casado",M194=1,"Solteiro",N194=1,"Juntos",O194=1,"Viuvo")</f>
        <v>Casado</v>
      </c>
      <c r="K194" s="17">
        <v>0</v>
      </c>
      <c r="L194" s="17">
        <v>1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1</v>
      </c>
      <c r="U194" s="17">
        <v>707</v>
      </c>
      <c r="V194" s="13" t="str" cm="1">
        <f t="array" ref="V194">_xlfn.IFS(U194&lt;=250,"0-R$250",U194&lt;=500,"251-R$500",U194&lt;=750,"501-R$750",U194&lt;=1000,"751-R$1000",U194&lt;=1250,"1001-R$1250",U194&lt;=1500,"1251-R$1500")</f>
        <v>501-R$750</v>
      </c>
      <c r="W194" s="17">
        <v>44</v>
      </c>
      <c r="X194" s="13" t="str" cm="1">
        <f t="array" ref="X194">_xlfn.IFS(W194 = 0, "0", W194&lt;=20, "até R$20",W194&lt;=40, "21 - R$40",W194&lt;=60, "41- R$60",W194&lt;=80, "61 - R$80", W194&lt;=100, "81 - R$100",W194&lt;=120, "101 - R$120",W194&lt;=140, "121 - R$140", W194&lt;=160, "141- R$160", W194&lt;=180, "161 - R$180", W194&lt;=200, "181-R$194")</f>
        <v>41- R$60</v>
      </c>
      <c r="Y194" s="17">
        <v>603</v>
      </c>
      <c r="Z194" s="17">
        <v>95</v>
      </c>
      <c r="AA194" s="17">
        <v>58</v>
      </c>
      <c r="AB194" s="17">
        <v>29</v>
      </c>
      <c r="AC194" s="17">
        <v>1</v>
      </c>
      <c r="AD194" s="17">
        <v>2</v>
      </c>
      <c r="AE194" s="17">
        <v>8</v>
      </c>
      <c r="AF194" s="17">
        <v>12</v>
      </c>
      <c r="AG194" s="17">
        <v>1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8">
        <v>0</v>
      </c>
      <c r="AP194" s="17">
        <v>3</v>
      </c>
      <c r="AQ194" s="17">
        <v>11</v>
      </c>
      <c r="AR194" s="19">
        <v>1478</v>
      </c>
      <c r="AS194" s="19">
        <v>1507</v>
      </c>
    </row>
    <row r="195" spans="1:45" x14ac:dyDescent="0.25">
      <c r="A195">
        <v>1300</v>
      </c>
      <c r="B195" s="11">
        <f t="shared" si="3"/>
        <v>81843</v>
      </c>
      <c r="C195" s="12">
        <v>818430</v>
      </c>
      <c r="D195" s="13">
        <v>0</v>
      </c>
      <c r="E195" s="13">
        <v>0</v>
      </c>
      <c r="F195" s="13">
        <v>13</v>
      </c>
      <c r="G195" s="13">
        <v>60</v>
      </c>
      <c r="H195" s="13" t="str" cm="1">
        <f t="array" ref="H195">_xlfn.IFS(G195&lt;=20,"0-20",G195&lt;=30,"20-30",G195&lt;=40,"30-40",G195&lt;=50,"50-60",G195&lt;=60,"60-70",G195&lt;=70,"70-80",G195&lt;=80,"80-90")</f>
        <v>60-70</v>
      </c>
      <c r="I195" s="13">
        <v>2592</v>
      </c>
      <c r="J195" s="13" t="str" cm="1">
        <f t="array" ref="J195">_xlfn.IFS(K195=1,"Divorciado",L195=1,"Casado",M195=1,"Solteiro",N195=1,"Juntos",O195=1,"Viuvo")</f>
        <v>Casado</v>
      </c>
      <c r="K195" s="13">
        <v>0</v>
      </c>
      <c r="L195" s="13">
        <v>1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1</v>
      </c>
      <c r="T195" s="13">
        <v>0</v>
      </c>
      <c r="U195" s="13">
        <v>779</v>
      </c>
      <c r="V195" s="13" t="str" cm="1">
        <f t="array" ref="V195">_xlfn.IFS(U195&lt;=250,"0-R$250",U195&lt;=500,"251-R$500",U195&lt;=750,"501-R$750",U195&lt;=1000,"751-R$1000",U195&lt;=1250,"1001-R$1250",U195&lt;=1500,"1251-R$1500")</f>
        <v>751-R$1000</v>
      </c>
      <c r="W195" s="13">
        <v>86</v>
      </c>
      <c r="X195" s="13" t="str" cm="1">
        <f t="array" ref="X195">_xlfn.IFS(W195 = 0, "0", W195&lt;=20, "até R$20",W195&lt;=40, "21 - R$40",W195&lt;=60, "41- R$60",W195&lt;=80, "61 - R$80", W195&lt;=100, "81 - R$100",W195&lt;=120, "101 - R$120",W195&lt;=140, "121 - R$140", W195&lt;=160, "141- R$160", W195&lt;=180, "161 - R$180", W195&lt;=200, "181-R$194")</f>
        <v>81 - R$100</v>
      </c>
      <c r="Y195" s="13">
        <v>537</v>
      </c>
      <c r="Z195" s="13">
        <v>34</v>
      </c>
      <c r="AA195" s="13">
        <v>69</v>
      </c>
      <c r="AB195" s="13">
        <v>138</v>
      </c>
      <c r="AC195" s="13">
        <v>1</v>
      </c>
      <c r="AD195" s="13">
        <v>5</v>
      </c>
      <c r="AE195" s="13">
        <v>9</v>
      </c>
      <c r="AF195" s="13">
        <v>12</v>
      </c>
      <c r="AG195" s="13">
        <v>3</v>
      </c>
      <c r="AH195" s="13">
        <v>0</v>
      </c>
      <c r="AI195" s="13">
        <v>0</v>
      </c>
      <c r="AJ195" s="13">
        <v>0</v>
      </c>
      <c r="AK195" s="13">
        <v>0</v>
      </c>
      <c r="AL195" s="13">
        <v>0</v>
      </c>
      <c r="AM195" s="13">
        <v>0</v>
      </c>
      <c r="AN195" s="13">
        <v>0</v>
      </c>
      <c r="AO195" s="14">
        <v>0</v>
      </c>
      <c r="AP195" s="13">
        <v>3</v>
      </c>
      <c r="AQ195" s="13">
        <v>11</v>
      </c>
      <c r="AR195" s="15">
        <v>1367</v>
      </c>
      <c r="AS195" s="15">
        <v>1505</v>
      </c>
    </row>
    <row r="196" spans="1:45" x14ac:dyDescent="0.25">
      <c r="A196">
        <v>1047</v>
      </c>
      <c r="B196" s="11">
        <f t="shared" si="3"/>
        <v>83528</v>
      </c>
      <c r="C196" s="16">
        <v>835280</v>
      </c>
      <c r="D196" s="17">
        <v>0</v>
      </c>
      <c r="E196" s="17">
        <v>0</v>
      </c>
      <c r="F196" s="17">
        <v>7</v>
      </c>
      <c r="G196" s="17">
        <v>28</v>
      </c>
      <c r="H196" s="13" t="str" cm="1">
        <f t="array" ref="H196">_xlfn.IFS(G196&lt;=20,"0-20",G196&lt;=30,"20-30",G196&lt;=40,"30-40",G196&lt;=50,"50-60",G196&lt;=60,"60-70",G196&lt;=70,"70-80",G196&lt;=80,"80-90")</f>
        <v>20-30</v>
      </c>
      <c r="I196" s="17">
        <v>2218</v>
      </c>
      <c r="J196" s="13" t="str" cm="1">
        <f t="array" ref="J196">_xlfn.IFS(K196=1,"Divorciado",L196=1,"Casado",M196=1,"Solteiro",N196=1,"Juntos",O196=1,"Viuvo")</f>
        <v>Solteiro</v>
      </c>
      <c r="K196" s="17">
        <v>0</v>
      </c>
      <c r="L196" s="17">
        <v>0</v>
      </c>
      <c r="M196" s="17">
        <v>1</v>
      </c>
      <c r="N196" s="17">
        <v>0</v>
      </c>
      <c r="O196" s="17">
        <v>0</v>
      </c>
      <c r="P196" s="17">
        <v>0</v>
      </c>
      <c r="Q196" s="17">
        <v>0</v>
      </c>
      <c r="R196" s="17">
        <v>1</v>
      </c>
      <c r="S196" s="17">
        <v>0</v>
      </c>
      <c r="T196" s="17">
        <v>0</v>
      </c>
      <c r="U196" s="17">
        <v>530</v>
      </c>
      <c r="V196" s="13" t="str" cm="1">
        <f t="array" ref="V196">_xlfn.IFS(U196&lt;=250,"0-R$250",U196&lt;=500,"251-R$500",U196&lt;=750,"501-R$750",U196&lt;=1000,"751-R$1000",U196&lt;=1250,"1001-R$1250",U196&lt;=1500,"1251-R$1500")</f>
        <v>501-R$750</v>
      </c>
      <c r="W196" s="17">
        <v>117</v>
      </c>
      <c r="X196" s="13" t="str" cm="1">
        <f t="array" ref="X196">_xlfn.IFS(W196 = 0, "0", W196&lt;=20, "até R$20",W196&lt;=40, "21 - R$40",W196&lt;=60, "41- R$60",W196&lt;=80, "61 - R$80", W196&lt;=100, "81 - R$100",W196&lt;=120, "101 - R$120",W196&lt;=140, "121 - R$140", W196&lt;=160, "141- R$160", W196&lt;=180, "161 - R$180", W196&lt;=200, "181-R$194")</f>
        <v>101 - R$120</v>
      </c>
      <c r="Y196" s="17">
        <v>678</v>
      </c>
      <c r="Z196" s="17">
        <v>134</v>
      </c>
      <c r="AA196" s="17">
        <v>44</v>
      </c>
      <c r="AB196" s="17">
        <v>147</v>
      </c>
      <c r="AC196" s="17">
        <v>1</v>
      </c>
      <c r="AD196" s="17">
        <v>4</v>
      </c>
      <c r="AE196" s="17">
        <v>10</v>
      </c>
      <c r="AF196" s="17">
        <v>8</v>
      </c>
      <c r="AG196" s="17">
        <v>1</v>
      </c>
      <c r="AH196" s="17">
        <v>0</v>
      </c>
      <c r="AI196" s="17">
        <v>1</v>
      </c>
      <c r="AJ196" s="17">
        <v>0</v>
      </c>
      <c r="AK196" s="17">
        <v>0</v>
      </c>
      <c r="AL196" s="17">
        <v>1</v>
      </c>
      <c r="AM196" s="17">
        <v>0</v>
      </c>
      <c r="AN196" s="17">
        <v>1</v>
      </c>
      <c r="AO196" s="18">
        <v>2</v>
      </c>
      <c r="AP196" s="17">
        <v>3</v>
      </c>
      <c r="AQ196" s="17">
        <v>11</v>
      </c>
      <c r="AR196" s="19">
        <v>1356</v>
      </c>
      <c r="AS196" s="19">
        <v>1503</v>
      </c>
    </row>
    <row r="197" spans="1:45" x14ac:dyDescent="0.25">
      <c r="A197">
        <v>1233</v>
      </c>
      <c r="B197" s="11">
        <f t="shared" si="3"/>
        <v>77766</v>
      </c>
      <c r="C197" s="16">
        <v>777660</v>
      </c>
      <c r="D197" s="17">
        <v>0</v>
      </c>
      <c r="E197" s="17">
        <v>1</v>
      </c>
      <c r="F197" s="17">
        <v>97</v>
      </c>
      <c r="G197" s="17">
        <v>53</v>
      </c>
      <c r="H197" s="13" t="str" cm="1">
        <f t="array" ref="H197">_xlfn.IFS(G197&lt;=20,"0-20",G197&lt;=30,"20-30",G197&lt;=40,"30-40",G197&lt;=50,"50-60",G197&lt;=60,"60-70",G197&lt;=70,"70-80",G197&lt;=80,"80-90")</f>
        <v>60-70</v>
      </c>
      <c r="I197" s="17">
        <v>2651</v>
      </c>
      <c r="J197" s="13" t="str" cm="1">
        <f t="array" ref="J197">_xlfn.IFS(K197=1,"Divorciado",L197=1,"Casado",M197=1,"Solteiro",N197=1,"Juntos",O197=1,"Viuvo")</f>
        <v>Casado</v>
      </c>
      <c r="K197" s="17">
        <v>0</v>
      </c>
      <c r="L197" s="17">
        <v>1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1</v>
      </c>
      <c r="U197" s="17">
        <v>1004</v>
      </c>
      <c r="V197" s="13" t="str" cm="1">
        <f t="array" ref="V197">_xlfn.IFS(U197&lt;=250,"0-R$250",U197&lt;=500,"251-R$500",U197&lt;=750,"501-R$750",U197&lt;=1000,"751-R$1000",U197&lt;=1250,"1001-R$1250",U197&lt;=1500,"1251-R$1500")</f>
        <v>1001-R$1250</v>
      </c>
      <c r="W197" s="17">
        <v>59</v>
      </c>
      <c r="X197" s="13" t="str" cm="1">
        <f t="array" ref="X197">_xlfn.IFS(W197 = 0, "0", W197&lt;=20, "até R$20",W197&lt;=40, "21 - R$40",W197&lt;=60, "41- R$60",W197&lt;=80, "61 - R$80", W197&lt;=100, "81 - R$100",W197&lt;=120, "101 - R$120",W197&lt;=140, "121 - R$140", W197&lt;=160, "141- R$160", W197&lt;=180, "161 - R$180", W197&lt;=200, "181-R$194")</f>
        <v>41- R$60</v>
      </c>
      <c r="Y197" s="17">
        <v>265</v>
      </c>
      <c r="Z197" s="17">
        <v>115</v>
      </c>
      <c r="AA197" s="17">
        <v>59</v>
      </c>
      <c r="AB197" s="17">
        <v>27</v>
      </c>
      <c r="AC197" s="17">
        <v>2</v>
      </c>
      <c r="AD197" s="17">
        <v>11</v>
      </c>
      <c r="AE197" s="17">
        <v>10</v>
      </c>
      <c r="AF197" s="17">
        <v>11</v>
      </c>
      <c r="AG197" s="17">
        <v>6</v>
      </c>
      <c r="AH197" s="17">
        <v>0</v>
      </c>
      <c r="AI197" s="17">
        <v>1</v>
      </c>
      <c r="AJ197" s="17">
        <v>0</v>
      </c>
      <c r="AK197" s="17">
        <v>0</v>
      </c>
      <c r="AL197" s="17">
        <v>0</v>
      </c>
      <c r="AM197" s="17">
        <v>0</v>
      </c>
      <c r="AN197" s="17">
        <v>1</v>
      </c>
      <c r="AO197" s="18">
        <v>1</v>
      </c>
      <c r="AP197" s="17">
        <v>3</v>
      </c>
      <c r="AQ197" s="17">
        <v>11</v>
      </c>
      <c r="AR197" s="19">
        <v>1475</v>
      </c>
      <c r="AS197" s="19">
        <v>1502</v>
      </c>
    </row>
    <row r="198" spans="1:45" x14ac:dyDescent="0.25">
      <c r="A198">
        <v>1644</v>
      </c>
      <c r="B198" s="11">
        <f t="shared" si="3"/>
        <v>77766</v>
      </c>
      <c r="C198" s="12">
        <v>777660</v>
      </c>
      <c r="D198" s="13">
        <v>0</v>
      </c>
      <c r="E198" s="13">
        <v>1</v>
      </c>
      <c r="F198" s="13">
        <v>97</v>
      </c>
      <c r="G198" s="13">
        <v>53</v>
      </c>
      <c r="H198" s="13" t="str" cm="1">
        <f t="array" ref="H198">_xlfn.IFS(G198&lt;=20,"0-20",G198&lt;=30,"20-30",G198&lt;=40,"30-40",G198&lt;=50,"50-60",G198&lt;=60,"60-70",G198&lt;=70,"70-80",G198&lt;=80,"80-90")</f>
        <v>60-70</v>
      </c>
      <c r="I198" s="13">
        <v>2651</v>
      </c>
      <c r="J198" s="13" t="str" cm="1">
        <f t="array" ref="J198">_xlfn.IFS(K198=1,"Divorciado",L198=1,"Casado",M198=1,"Solteiro",N198=1,"Juntos",O198=1,"Viuvo")</f>
        <v>Casado</v>
      </c>
      <c r="K198" s="13">
        <v>0</v>
      </c>
      <c r="L198" s="13">
        <v>1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1</v>
      </c>
      <c r="U198" s="13">
        <v>1004</v>
      </c>
      <c r="V198" s="13" t="str" cm="1">
        <f t="array" ref="V198">_xlfn.IFS(U198&lt;=250,"0-R$250",U198&lt;=500,"251-R$500",U198&lt;=750,"501-R$750",U198&lt;=1000,"751-R$1000",U198&lt;=1250,"1001-R$1250",U198&lt;=1500,"1251-R$1500")</f>
        <v>1001-R$1250</v>
      </c>
      <c r="W198" s="13">
        <v>59</v>
      </c>
      <c r="X198" s="13" t="str" cm="1">
        <f t="array" ref="X198">_xlfn.IFS(W198 = 0, "0", W198&lt;=20, "até R$20",W198&lt;=40, "21 - R$40",W198&lt;=60, "41- R$60",W198&lt;=80, "61 - R$80", W198&lt;=100, "81 - R$100",W198&lt;=120, "101 - R$120",W198&lt;=140, "121 - R$140", W198&lt;=160, "141- R$160", W198&lt;=180, "161 - R$180", W198&lt;=200, "181-R$194")</f>
        <v>41- R$60</v>
      </c>
      <c r="Y198" s="13">
        <v>265</v>
      </c>
      <c r="Z198" s="13">
        <v>115</v>
      </c>
      <c r="AA198" s="13">
        <v>59</v>
      </c>
      <c r="AB198" s="13">
        <v>27</v>
      </c>
      <c r="AC198" s="13">
        <v>2</v>
      </c>
      <c r="AD198" s="13">
        <v>11</v>
      </c>
      <c r="AE198" s="13">
        <v>10</v>
      </c>
      <c r="AF198" s="13">
        <v>11</v>
      </c>
      <c r="AG198" s="13">
        <v>6</v>
      </c>
      <c r="AH198" s="13">
        <v>0</v>
      </c>
      <c r="AI198" s="13">
        <v>1</v>
      </c>
      <c r="AJ198" s="13">
        <v>0</v>
      </c>
      <c r="AK198" s="13">
        <v>0</v>
      </c>
      <c r="AL198" s="13">
        <v>0</v>
      </c>
      <c r="AM198" s="13">
        <v>0</v>
      </c>
      <c r="AN198" s="13">
        <v>1</v>
      </c>
      <c r="AO198" s="14">
        <v>1</v>
      </c>
      <c r="AP198" s="13">
        <v>3</v>
      </c>
      <c r="AQ198" s="13">
        <v>11</v>
      </c>
      <c r="AR198" s="15">
        <v>1475</v>
      </c>
      <c r="AS198" s="15">
        <v>1502</v>
      </c>
    </row>
    <row r="199" spans="1:45" x14ac:dyDescent="0.25">
      <c r="A199">
        <v>324</v>
      </c>
      <c r="B199" s="11">
        <f t="shared" si="3"/>
        <v>68655</v>
      </c>
      <c r="C199" s="12">
        <v>686550</v>
      </c>
      <c r="D199" s="13">
        <v>0</v>
      </c>
      <c r="E199" s="13">
        <v>0</v>
      </c>
      <c r="F199" s="13">
        <v>95</v>
      </c>
      <c r="G199" s="13">
        <v>32</v>
      </c>
      <c r="H199" s="13" t="str" cm="1">
        <f t="array" ref="H199">_xlfn.IFS(G199&lt;=20,"0-20",G199&lt;=30,"20-30",G199&lt;=40,"30-40",G199&lt;=50,"50-60",G199&lt;=60,"60-70",G199&lt;=70,"70-80",G199&lt;=80,"80-90")</f>
        <v>30-40</v>
      </c>
      <c r="I199" s="13">
        <v>2847</v>
      </c>
      <c r="J199" s="13" t="str" cm="1">
        <f t="array" ref="J199">_xlfn.IFS(K199=1,"Divorciado",L199=1,"Casado",M199=1,"Solteiro",N199=1,"Juntos",O199=1,"Viuvo")</f>
        <v>Solteiro</v>
      </c>
      <c r="K199" s="13">
        <v>0</v>
      </c>
      <c r="L199" s="13">
        <v>0</v>
      </c>
      <c r="M199" s="13">
        <v>1</v>
      </c>
      <c r="N199" s="13">
        <v>0</v>
      </c>
      <c r="O199" s="13">
        <v>0</v>
      </c>
      <c r="P199" s="13">
        <v>0</v>
      </c>
      <c r="Q199" s="13">
        <v>0</v>
      </c>
      <c r="R199" s="13">
        <v>1</v>
      </c>
      <c r="S199" s="13">
        <v>0</v>
      </c>
      <c r="T199" s="13">
        <v>0</v>
      </c>
      <c r="U199" s="13">
        <v>456</v>
      </c>
      <c r="V199" s="13" t="str" cm="1">
        <f t="array" ref="V199">_xlfn.IFS(U199&lt;=250,"0-R$250",U199&lt;=500,"251-R$500",U199&lt;=750,"501-R$750",U199&lt;=1000,"751-R$1000",U199&lt;=1250,"1001-R$1250",U199&lt;=1500,"1251-R$1500")</f>
        <v>251-R$500</v>
      </c>
      <c r="W199" s="13">
        <v>19</v>
      </c>
      <c r="X199" s="13" t="str" cm="1">
        <f t="array" ref="X199">_xlfn.IFS(W199 = 0, "0", W199&lt;=20, "até R$20",W199&lt;=40, "21 - R$40",W199&lt;=60, "41- R$60",W199&lt;=80, "61 - R$80", W199&lt;=100, "81 - R$100",W199&lt;=120, "101 - R$120",W199&lt;=140, "121 - R$140", W199&lt;=160, "141- R$160", W199&lt;=180, "161 - R$180", W199&lt;=200, "181-R$194")</f>
        <v>até R$20</v>
      </c>
      <c r="Y199" s="13">
        <v>832</v>
      </c>
      <c r="Z199" s="13">
        <v>75</v>
      </c>
      <c r="AA199" s="13">
        <v>118</v>
      </c>
      <c r="AB199" s="13">
        <v>38</v>
      </c>
      <c r="AC199" s="13">
        <v>1</v>
      </c>
      <c r="AD199" s="13">
        <v>4</v>
      </c>
      <c r="AE199" s="13">
        <v>5</v>
      </c>
      <c r="AF199" s="13">
        <v>11</v>
      </c>
      <c r="AG199" s="13">
        <v>3</v>
      </c>
      <c r="AH199" s="13">
        <v>0</v>
      </c>
      <c r="AI199" s="13">
        <v>0</v>
      </c>
      <c r="AJ199" s="13">
        <v>0</v>
      </c>
      <c r="AK199" s="13">
        <v>0</v>
      </c>
      <c r="AL199" s="13">
        <v>0</v>
      </c>
      <c r="AM199" s="13">
        <v>0</v>
      </c>
      <c r="AN199" s="13">
        <v>0</v>
      </c>
      <c r="AO199" s="14">
        <v>0</v>
      </c>
      <c r="AP199" s="13">
        <v>3</v>
      </c>
      <c r="AQ199" s="13">
        <v>11</v>
      </c>
      <c r="AR199" s="15">
        <v>1462</v>
      </c>
      <c r="AS199" s="15">
        <v>1500</v>
      </c>
    </row>
    <row r="200" spans="1:45" x14ac:dyDescent="0.25">
      <c r="A200">
        <v>1586</v>
      </c>
      <c r="B200" s="11">
        <f t="shared" si="3"/>
        <v>68655</v>
      </c>
      <c r="C200" s="12">
        <v>686550</v>
      </c>
      <c r="D200" s="13">
        <v>0</v>
      </c>
      <c r="E200" s="13">
        <v>0</v>
      </c>
      <c r="F200" s="13">
        <v>95</v>
      </c>
      <c r="G200" s="13">
        <v>32</v>
      </c>
      <c r="H200" s="13" t="str" cm="1">
        <f t="array" ref="H200">_xlfn.IFS(G200&lt;=20,"0-20",G200&lt;=30,"20-30",G200&lt;=40,"30-40",G200&lt;=50,"50-60",G200&lt;=60,"60-70",G200&lt;=70,"70-80",G200&lt;=80,"80-90")</f>
        <v>30-40</v>
      </c>
      <c r="I200" s="13">
        <v>2847</v>
      </c>
      <c r="J200" s="13" t="str" cm="1">
        <f t="array" ref="J200">_xlfn.IFS(K200=1,"Divorciado",L200=1,"Casado",M200=1,"Solteiro",N200=1,"Juntos",O200=1,"Viuvo")</f>
        <v>Solteiro</v>
      </c>
      <c r="K200" s="13">
        <v>0</v>
      </c>
      <c r="L200" s="13">
        <v>0</v>
      </c>
      <c r="M200" s="13">
        <v>1</v>
      </c>
      <c r="N200" s="13">
        <v>0</v>
      </c>
      <c r="O200" s="13">
        <v>0</v>
      </c>
      <c r="P200" s="13">
        <v>0</v>
      </c>
      <c r="Q200" s="13">
        <v>0</v>
      </c>
      <c r="R200" s="13">
        <v>1</v>
      </c>
      <c r="S200" s="13">
        <v>0</v>
      </c>
      <c r="T200" s="13">
        <v>0</v>
      </c>
      <c r="U200" s="13">
        <v>456</v>
      </c>
      <c r="V200" s="13" t="str" cm="1">
        <f t="array" ref="V200">_xlfn.IFS(U200&lt;=250,"0-R$250",U200&lt;=500,"251-R$500",U200&lt;=750,"501-R$750",U200&lt;=1000,"751-R$1000",U200&lt;=1250,"1001-R$1250",U200&lt;=1500,"1251-R$1500")</f>
        <v>251-R$500</v>
      </c>
      <c r="W200" s="13">
        <v>19</v>
      </c>
      <c r="X200" s="13" t="str" cm="1">
        <f t="array" ref="X200">_xlfn.IFS(W200 = 0, "0", W200&lt;=20, "até R$20",W200&lt;=40, "21 - R$40",W200&lt;=60, "41- R$60",W200&lt;=80, "61 - R$80", W200&lt;=100, "81 - R$100",W200&lt;=120, "101 - R$120",W200&lt;=140, "121 - R$140", W200&lt;=160, "141- R$160", W200&lt;=180, "161 - R$180", W200&lt;=200, "181-R$194")</f>
        <v>até R$20</v>
      </c>
      <c r="Y200" s="13">
        <v>832</v>
      </c>
      <c r="Z200" s="13">
        <v>75</v>
      </c>
      <c r="AA200" s="13">
        <v>118</v>
      </c>
      <c r="AB200" s="13">
        <v>38</v>
      </c>
      <c r="AC200" s="13">
        <v>1</v>
      </c>
      <c r="AD200" s="13">
        <v>4</v>
      </c>
      <c r="AE200" s="13">
        <v>5</v>
      </c>
      <c r="AF200" s="13">
        <v>11</v>
      </c>
      <c r="AG200" s="13">
        <v>3</v>
      </c>
      <c r="AH200" s="13">
        <v>0</v>
      </c>
      <c r="AI200" s="13">
        <v>0</v>
      </c>
      <c r="AJ200" s="13">
        <v>0</v>
      </c>
      <c r="AK200" s="13">
        <v>0</v>
      </c>
      <c r="AL200" s="13">
        <v>0</v>
      </c>
      <c r="AM200" s="13">
        <v>0</v>
      </c>
      <c r="AN200" s="13">
        <v>0</v>
      </c>
      <c r="AO200" s="14">
        <v>0</v>
      </c>
      <c r="AP200" s="13">
        <v>3</v>
      </c>
      <c r="AQ200" s="13">
        <v>11</v>
      </c>
      <c r="AR200" s="15">
        <v>1462</v>
      </c>
      <c r="AS200" s="15">
        <v>1500</v>
      </c>
    </row>
    <row r="201" spans="1:45" x14ac:dyDescent="0.25">
      <c r="A201">
        <v>785</v>
      </c>
      <c r="B201" s="11">
        <f t="shared" si="3"/>
        <v>48192</v>
      </c>
      <c r="C201" s="16">
        <v>481920</v>
      </c>
      <c r="D201" s="17">
        <v>0</v>
      </c>
      <c r="E201" s="17">
        <v>0</v>
      </c>
      <c r="F201" s="17">
        <v>76</v>
      </c>
      <c r="G201" s="17">
        <v>62</v>
      </c>
      <c r="H201" s="13" t="str" cm="1">
        <f t="array" ref="H201">_xlfn.IFS(G201&lt;=20,"0-20",G201&lt;=30,"20-30",G201&lt;=40,"30-40",G201&lt;=50,"50-60",G201&lt;=60,"60-70",G201&lt;=70,"70-80",G201&lt;=80,"80-90")</f>
        <v>70-80</v>
      </c>
      <c r="I201" s="17">
        <v>2608</v>
      </c>
      <c r="J201" s="13" t="str" cm="1">
        <f t="array" ref="J201">_xlfn.IFS(K201=1,"Divorciado",L201=1,"Casado",M201=1,"Solteiro",N201=1,"Juntos",O201=1,"Viuvo")</f>
        <v>Casado</v>
      </c>
      <c r="K201" s="17">
        <v>0</v>
      </c>
      <c r="L201" s="17">
        <v>1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1</v>
      </c>
      <c r="S201" s="17">
        <v>0</v>
      </c>
      <c r="T201" s="17">
        <v>0</v>
      </c>
      <c r="U201" s="17">
        <v>1039</v>
      </c>
      <c r="V201" s="13" t="str" cm="1">
        <f t="array" ref="V201">_xlfn.IFS(U201&lt;=250,"0-R$250",U201&lt;=500,"251-R$500",U201&lt;=750,"501-R$750",U201&lt;=1000,"751-R$1000",U201&lt;=1250,"1001-R$1250",U201&lt;=1500,"1251-R$1500")</f>
        <v>1001-R$1250</v>
      </c>
      <c r="W201" s="17">
        <v>43</v>
      </c>
      <c r="X201" s="13" t="str" cm="1">
        <f t="array" ref="X201">_xlfn.IFS(W201 = 0, "0", W201&lt;=20, "até R$20",W201&lt;=40, "21 - R$40",W201&lt;=60, "41- R$60",W201&lt;=80, "61 - R$80", W201&lt;=100, "81 - R$100",W201&lt;=120, "101 - R$120",W201&lt;=140, "121 - R$140", W201&lt;=160, "141- R$160", W201&lt;=180, "161 - R$180", W201&lt;=200, "181-R$194")</f>
        <v>41- R$60</v>
      </c>
      <c r="Y201" s="17">
        <v>204</v>
      </c>
      <c r="Z201" s="17">
        <v>153</v>
      </c>
      <c r="AA201" s="17">
        <v>58</v>
      </c>
      <c r="AB201" s="17">
        <v>29</v>
      </c>
      <c r="AC201" s="17">
        <v>3</v>
      </c>
      <c r="AD201" s="17">
        <v>2</v>
      </c>
      <c r="AE201" s="17">
        <v>8</v>
      </c>
      <c r="AF201" s="17">
        <v>12</v>
      </c>
      <c r="AG201" s="17">
        <v>8</v>
      </c>
      <c r="AH201" s="17">
        <v>0</v>
      </c>
      <c r="AI201" s="17">
        <v>0</v>
      </c>
      <c r="AJ201" s="17">
        <v>1</v>
      </c>
      <c r="AK201" s="17">
        <v>0</v>
      </c>
      <c r="AL201" s="17">
        <v>1</v>
      </c>
      <c r="AM201" s="17">
        <v>1</v>
      </c>
      <c r="AN201" s="17">
        <v>1</v>
      </c>
      <c r="AO201" s="18">
        <v>3</v>
      </c>
      <c r="AP201" s="17">
        <v>3</v>
      </c>
      <c r="AQ201" s="17">
        <v>11</v>
      </c>
      <c r="AR201" s="19">
        <v>1468</v>
      </c>
      <c r="AS201" s="19">
        <v>1497</v>
      </c>
    </row>
    <row r="202" spans="1:45" x14ac:dyDescent="0.25">
      <c r="A202">
        <v>1291</v>
      </c>
      <c r="B202" s="11">
        <f t="shared" si="3"/>
        <v>64857</v>
      </c>
      <c r="C202" s="16">
        <v>648570</v>
      </c>
      <c r="D202" s="17">
        <v>0</v>
      </c>
      <c r="E202" s="17">
        <v>0</v>
      </c>
      <c r="F202" s="17">
        <v>78</v>
      </c>
      <c r="G202" s="17">
        <v>64</v>
      </c>
      <c r="H202" s="13" t="str" cm="1">
        <f t="array" ref="H202">_xlfn.IFS(G202&lt;=20,"0-20",G202&lt;=30,"20-30",G202&lt;=40,"30-40",G202&lt;=50,"50-60",G202&lt;=60,"60-70",G202&lt;=70,"70-80",G202&lt;=80,"80-90")</f>
        <v>70-80</v>
      </c>
      <c r="I202" s="17">
        <v>2742</v>
      </c>
      <c r="J202" s="13" t="str" cm="1">
        <f t="array" ref="J202">_xlfn.IFS(K202=1,"Divorciado",L202=1,"Casado",M202=1,"Solteiro",N202=1,"Juntos",O202=1,"Viuvo")</f>
        <v>Solteiro</v>
      </c>
      <c r="K202" s="17">
        <v>0</v>
      </c>
      <c r="L202" s="17">
        <v>0</v>
      </c>
      <c r="M202" s="17">
        <v>1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1</v>
      </c>
      <c r="T202" s="17">
        <v>0</v>
      </c>
      <c r="U202" s="17">
        <v>556</v>
      </c>
      <c r="V202" s="13" t="str" cm="1">
        <f t="array" ref="V202">_xlfn.IFS(U202&lt;=250,"0-R$250",U202&lt;=500,"251-R$500",U202&lt;=750,"501-R$750",U202&lt;=1000,"751-R$1000",U202&lt;=1250,"1001-R$1250",U202&lt;=1500,"1251-R$1500")</f>
        <v>501-R$750</v>
      </c>
      <c r="W202" s="17">
        <v>14</v>
      </c>
      <c r="X202" s="13" t="str" cm="1">
        <f t="array" ref="X202">_xlfn.IFS(W202 = 0, "0", W202&lt;=20, "até R$20",W202&lt;=40, "21 - R$40",W202&lt;=60, "41- R$60",W202&lt;=80, "61 - R$80", W202&lt;=100, "81 - R$100",W202&lt;=120, "101 - R$120",W202&lt;=140, "121 - R$140", W202&lt;=160, "141- R$160", W202&lt;=180, "161 - R$180", W202&lt;=200, "181-R$194")</f>
        <v>até R$20</v>
      </c>
      <c r="Y202" s="17">
        <v>717</v>
      </c>
      <c r="Z202" s="17">
        <v>210</v>
      </c>
      <c r="AA202" s="17">
        <v>0</v>
      </c>
      <c r="AB202" s="17">
        <v>43</v>
      </c>
      <c r="AC202" s="17">
        <v>1</v>
      </c>
      <c r="AD202" s="17">
        <v>7</v>
      </c>
      <c r="AE202" s="17">
        <v>5</v>
      </c>
      <c r="AF202" s="17">
        <v>10</v>
      </c>
      <c r="AG202" s="17">
        <v>4</v>
      </c>
      <c r="AH202" s="17">
        <v>0</v>
      </c>
      <c r="AI202" s="17">
        <v>0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18">
        <v>0</v>
      </c>
      <c r="AP202" s="17">
        <v>3</v>
      </c>
      <c r="AQ202" s="17">
        <v>11</v>
      </c>
      <c r="AR202" s="19">
        <v>1454</v>
      </c>
      <c r="AS202" s="19">
        <v>1497</v>
      </c>
    </row>
    <row r="203" spans="1:45" x14ac:dyDescent="0.25">
      <c r="A203">
        <v>1452</v>
      </c>
      <c r="B203" s="11">
        <f t="shared" si="3"/>
        <v>64857</v>
      </c>
      <c r="C203" s="12">
        <v>648570</v>
      </c>
      <c r="D203" s="13">
        <v>0</v>
      </c>
      <c r="E203" s="13">
        <v>0</v>
      </c>
      <c r="F203" s="13">
        <v>78</v>
      </c>
      <c r="G203" s="13">
        <v>64</v>
      </c>
      <c r="H203" s="13" t="str" cm="1">
        <f t="array" ref="H203">_xlfn.IFS(G203&lt;=20,"0-20",G203&lt;=30,"20-30",G203&lt;=40,"30-40",G203&lt;=50,"50-60",G203&lt;=60,"60-70",G203&lt;=70,"70-80",G203&lt;=80,"80-90")</f>
        <v>70-80</v>
      </c>
      <c r="I203" s="13">
        <v>2742</v>
      </c>
      <c r="J203" s="13" t="str" cm="1">
        <f t="array" ref="J203">_xlfn.IFS(K203=1,"Divorciado",L203=1,"Casado",M203=1,"Solteiro",N203=1,"Juntos",O203=1,"Viuvo")</f>
        <v>Solteiro</v>
      </c>
      <c r="K203" s="13">
        <v>0</v>
      </c>
      <c r="L203" s="13">
        <v>0</v>
      </c>
      <c r="M203" s="13">
        <v>1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1</v>
      </c>
      <c r="T203" s="13">
        <v>0</v>
      </c>
      <c r="U203" s="13">
        <v>556</v>
      </c>
      <c r="V203" s="13" t="str" cm="1">
        <f t="array" ref="V203">_xlfn.IFS(U203&lt;=250,"0-R$250",U203&lt;=500,"251-R$500",U203&lt;=750,"501-R$750",U203&lt;=1000,"751-R$1000",U203&lt;=1250,"1001-R$1250",U203&lt;=1500,"1251-R$1500")</f>
        <v>501-R$750</v>
      </c>
      <c r="W203" s="13">
        <v>14</v>
      </c>
      <c r="X203" s="13" t="str" cm="1">
        <f t="array" ref="X203">_xlfn.IFS(W203 = 0, "0", W203&lt;=20, "até R$20",W203&lt;=40, "21 - R$40",W203&lt;=60, "41- R$60",W203&lt;=80, "61 - R$80", W203&lt;=100, "81 - R$100",W203&lt;=120, "101 - R$120",W203&lt;=140, "121 - R$140", W203&lt;=160, "141- R$160", W203&lt;=180, "161 - R$180", W203&lt;=200, "181-R$194")</f>
        <v>até R$20</v>
      </c>
      <c r="Y203" s="13">
        <v>717</v>
      </c>
      <c r="Z203" s="13">
        <v>210</v>
      </c>
      <c r="AA203" s="13">
        <v>0</v>
      </c>
      <c r="AB203" s="13">
        <v>43</v>
      </c>
      <c r="AC203" s="13">
        <v>1</v>
      </c>
      <c r="AD203" s="13">
        <v>7</v>
      </c>
      <c r="AE203" s="13">
        <v>5</v>
      </c>
      <c r="AF203" s="13">
        <v>10</v>
      </c>
      <c r="AG203" s="13">
        <v>4</v>
      </c>
      <c r="AH203" s="13">
        <v>0</v>
      </c>
      <c r="AI203" s="13">
        <v>0</v>
      </c>
      <c r="AJ203" s="13">
        <v>0</v>
      </c>
      <c r="AK203" s="13">
        <v>0</v>
      </c>
      <c r="AL203" s="13">
        <v>0</v>
      </c>
      <c r="AM203" s="13">
        <v>0</v>
      </c>
      <c r="AN203" s="13">
        <v>0</v>
      </c>
      <c r="AO203" s="14">
        <v>0</v>
      </c>
      <c r="AP203" s="13">
        <v>3</v>
      </c>
      <c r="AQ203" s="13">
        <v>11</v>
      </c>
      <c r="AR203" s="15">
        <v>1454</v>
      </c>
      <c r="AS203" s="15">
        <v>1497</v>
      </c>
    </row>
    <row r="204" spans="1:45" x14ac:dyDescent="0.25">
      <c r="A204">
        <v>299</v>
      </c>
      <c r="B204" s="11">
        <f t="shared" si="3"/>
        <v>70893</v>
      </c>
      <c r="C204" s="16">
        <v>708930</v>
      </c>
      <c r="D204" s="17">
        <v>0</v>
      </c>
      <c r="E204" s="17">
        <v>0</v>
      </c>
      <c r="F204" s="17">
        <v>42</v>
      </c>
      <c r="G204" s="17">
        <v>44</v>
      </c>
      <c r="H204" s="13" t="str" cm="1">
        <f t="array" ref="H204">_xlfn.IFS(G204&lt;=20,"0-20",G204&lt;=30,"20-30",G204&lt;=40,"30-40",G204&lt;=50,"50-60",G204&lt;=60,"60-70",G204&lt;=70,"70-80",G204&lt;=80,"80-90")</f>
        <v>50-60</v>
      </c>
      <c r="I204" s="17">
        <v>2667</v>
      </c>
      <c r="J204" s="13" t="str" cm="1">
        <f t="array" ref="J204">_xlfn.IFS(K204=1,"Divorciado",L204=1,"Casado",M204=1,"Solteiro",N204=1,"Juntos",O204=1,"Viuvo")</f>
        <v>Solteiro</v>
      </c>
      <c r="K204" s="17">
        <v>0</v>
      </c>
      <c r="L204" s="17">
        <v>0</v>
      </c>
      <c r="M204" s="17">
        <v>1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1</v>
      </c>
      <c r="T204" s="17">
        <v>0</v>
      </c>
      <c r="U204" s="17">
        <v>768</v>
      </c>
      <c r="V204" s="13" t="str" cm="1">
        <f t="array" ref="V204">_xlfn.IFS(U204&lt;=250,"0-R$250",U204&lt;=500,"251-R$500",U204&lt;=750,"501-R$750",U204&lt;=1000,"751-R$1000",U204&lt;=1250,"1001-R$1250",U204&lt;=1500,"1251-R$1500")</f>
        <v>751-R$1000</v>
      </c>
      <c r="W204" s="17">
        <v>44</v>
      </c>
      <c r="X204" s="13" t="str" cm="1">
        <f t="array" ref="X204">_xlfn.IFS(W204 = 0, "0", W204&lt;=20, "até R$20",W204&lt;=40, "21 - R$40",W204&lt;=60, "41- R$60",W204&lt;=80, "61 - R$80", W204&lt;=100, "81 - R$100",W204&lt;=120, "101 - R$120",W204&lt;=140, "121 - R$140", W204&lt;=160, "141- R$160", W204&lt;=180, "161 - R$180", W204&lt;=200, "181-R$194")</f>
        <v>41- R$60</v>
      </c>
      <c r="Y204" s="17">
        <v>561</v>
      </c>
      <c r="Z204" s="17">
        <v>77</v>
      </c>
      <c r="AA204" s="17">
        <v>44</v>
      </c>
      <c r="AB204" s="17">
        <v>14</v>
      </c>
      <c r="AC204" s="17">
        <v>1</v>
      </c>
      <c r="AD204" s="17">
        <v>6</v>
      </c>
      <c r="AE204" s="17">
        <v>6</v>
      </c>
      <c r="AF204" s="17">
        <v>10</v>
      </c>
      <c r="AG204" s="17">
        <v>3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8">
        <v>0</v>
      </c>
      <c r="AP204" s="17">
        <v>3</v>
      </c>
      <c r="AQ204" s="17">
        <v>11</v>
      </c>
      <c r="AR204" s="19">
        <v>1480</v>
      </c>
      <c r="AS204" s="19">
        <v>1494</v>
      </c>
    </row>
    <row r="205" spans="1:45" x14ac:dyDescent="0.25">
      <c r="A205">
        <v>977</v>
      </c>
      <c r="B205" s="11">
        <f t="shared" si="3"/>
        <v>75437</v>
      </c>
      <c r="C205" s="16">
        <v>754370</v>
      </c>
      <c r="D205" s="17">
        <v>0</v>
      </c>
      <c r="E205" s="17">
        <v>0</v>
      </c>
      <c r="F205" s="17">
        <v>25</v>
      </c>
      <c r="G205" s="17">
        <v>42</v>
      </c>
      <c r="H205" s="13" t="str" cm="1">
        <f t="array" ref="H205">_xlfn.IFS(G205&lt;=20,"0-20",G205&lt;=30,"20-30",G205&lt;=40,"30-40",G205&lt;=50,"50-60",G205&lt;=60,"60-70",G205&lt;=70,"70-80",G205&lt;=80,"80-90")</f>
        <v>50-60</v>
      </c>
      <c r="I205" s="17">
        <v>2391</v>
      </c>
      <c r="J205" s="13" t="str" cm="1">
        <f t="array" ref="J205">_xlfn.IFS(K205=1,"Divorciado",L205=1,"Casado",M205=1,"Solteiro",N205=1,"Juntos",O205=1,"Viuvo")</f>
        <v>Juntos</v>
      </c>
      <c r="K205" s="17">
        <v>0</v>
      </c>
      <c r="L205" s="17">
        <v>0</v>
      </c>
      <c r="M205" s="17">
        <v>0</v>
      </c>
      <c r="N205" s="17">
        <v>1</v>
      </c>
      <c r="O205" s="17">
        <v>0</v>
      </c>
      <c r="P205" s="17">
        <v>0</v>
      </c>
      <c r="Q205" s="17">
        <v>0</v>
      </c>
      <c r="R205" s="17">
        <v>1</v>
      </c>
      <c r="S205" s="17">
        <v>0</v>
      </c>
      <c r="T205" s="17">
        <v>0</v>
      </c>
      <c r="U205" s="17">
        <v>795</v>
      </c>
      <c r="V205" s="13" t="str" cm="1">
        <f t="array" ref="V205">_xlfn.IFS(U205&lt;=250,"0-R$250",U205&lt;=500,"251-R$500",U205&lt;=750,"501-R$750",U205&lt;=1000,"751-R$1000",U205&lt;=1250,"1001-R$1250",U205&lt;=1500,"1251-R$1500")</f>
        <v>751-R$1000</v>
      </c>
      <c r="W205" s="17">
        <v>0</v>
      </c>
      <c r="X205" s="13" t="str" cm="1">
        <f t="array" ref="X205">_xlfn.IFS(W205 = 0, "0", W205&lt;=20, "até R$20",W205&lt;=40, "21 - R$40",W205&lt;=60, "41- R$60",W205&lt;=80, "61 - R$80", W205&lt;=100, "81 - R$100",W205&lt;=120, "101 - R$120",W205&lt;=140, "121 - R$140", W205&lt;=160, "141- R$160", W205&lt;=180, "161 - R$180", W205&lt;=200, "181-R$194")</f>
        <v>0</v>
      </c>
      <c r="Y205" s="17">
        <v>545</v>
      </c>
      <c r="Z205" s="17">
        <v>95</v>
      </c>
      <c r="AA205" s="17">
        <v>58</v>
      </c>
      <c r="AB205" s="17">
        <v>0</v>
      </c>
      <c r="AC205" s="17">
        <v>1</v>
      </c>
      <c r="AD205" s="17">
        <v>8</v>
      </c>
      <c r="AE205" s="17">
        <v>4</v>
      </c>
      <c r="AF205" s="17">
        <v>10</v>
      </c>
      <c r="AG205" s="17">
        <v>6</v>
      </c>
      <c r="AH205" s="17">
        <v>0</v>
      </c>
      <c r="AI205" s="17">
        <v>0</v>
      </c>
      <c r="AJ205" s="17">
        <v>0</v>
      </c>
      <c r="AK205" s="17">
        <v>0</v>
      </c>
      <c r="AL205" s="17">
        <v>1</v>
      </c>
      <c r="AM205" s="17">
        <v>0</v>
      </c>
      <c r="AN205" s="17">
        <v>0</v>
      </c>
      <c r="AO205" s="18">
        <v>1</v>
      </c>
      <c r="AP205" s="17">
        <v>3</v>
      </c>
      <c r="AQ205" s="17">
        <v>11</v>
      </c>
      <c r="AR205" s="19">
        <v>1493</v>
      </c>
      <c r="AS205" s="19">
        <v>1493</v>
      </c>
    </row>
    <row r="206" spans="1:45" x14ac:dyDescent="0.25">
      <c r="A206">
        <v>1231</v>
      </c>
      <c r="B206" s="11">
        <f t="shared" si="3"/>
        <v>69969</v>
      </c>
      <c r="C206" s="16">
        <v>699690</v>
      </c>
      <c r="D206" s="17">
        <v>0</v>
      </c>
      <c r="E206" s="17">
        <v>0</v>
      </c>
      <c r="F206" s="17">
        <v>64</v>
      </c>
      <c r="G206" s="17">
        <v>55</v>
      </c>
      <c r="H206" s="13" t="str" cm="1">
        <f t="array" ref="H206">_xlfn.IFS(G206&lt;=20,"0-20",G206&lt;=30,"20-30",G206&lt;=40,"30-40",G206&lt;=50,"50-60",G206&lt;=60,"60-70",G206&lt;=70,"70-80",G206&lt;=80,"80-90")</f>
        <v>60-70</v>
      </c>
      <c r="I206" s="17">
        <v>2465</v>
      </c>
      <c r="J206" s="13" t="str" cm="1">
        <f t="array" ref="J206">_xlfn.IFS(K206=1,"Divorciado",L206=1,"Casado",M206=1,"Solteiro",N206=1,"Juntos",O206=1,"Viuvo")</f>
        <v>Casado</v>
      </c>
      <c r="K206" s="17">
        <v>0</v>
      </c>
      <c r="L206" s="17">
        <v>1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1</v>
      </c>
      <c r="U206" s="17">
        <v>882</v>
      </c>
      <c r="V206" s="13" t="str" cm="1">
        <f t="array" ref="V206">_xlfn.IFS(U206&lt;=250,"0-R$250",U206&lt;=500,"251-R$500",U206&lt;=750,"501-R$750",U206&lt;=1000,"751-R$1000",U206&lt;=1250,"1001-R$1250",U206&lt;=1500,"1251-R$1500")</f>
        <v>751-R$1000</v>
      </c>
      <c r="W206" s="17">
        <v>29</v>
      </c>
      <c r="X206" s="13" t="str" cm="1">
        <f t="array" ref="X206">_xlfn.IFS(W206 = 0, "0", W206&lt;=20, "até R$20",W206&lt;=40, "21 - R$40",W206&lt;=60, "41- R$60",W206&lt;=80, "61 - R$80", W206&lt;=100, "81 - R$100",W206&lt;=120, "101 - R$120",W206&lt;=140, "121 - R$140", W206&lt;=160, "141- R$160", W206&lt;=180, "161 - R$180", W206&lt;=200, "181-R$194")</f>
        <v>21 - R$40</v>
      </c>
      <c r="Y206" s="17">
        <v>514</v>
      </c>
      <c r="Z206" s="17">
        <v>38</v>
      </c>
      <c r="AA206" s="17">
        <v>29</v>
      </c>
      <c r="AB206" s="17">
        <v>44</v>
      </c>
      <c r="AC206" s="17">
        <v>1</v>
      </c>
      <c r="AD206" s="17">
        <v>4</v>
      </c>
      <c r="AE206" s="17">
        <v>2</v>
      </c>
      <c r="AF206" s="17">
        <v>6</v>
      </c>
      <c r="AG206" s="17">
        <v>3</v>
      </c>
      <c r="AH206" s="17">
        <v>0</v>
      </c>
      <c r="AI206" s="17">
        <v>0</v>
      </c>
      <c r="AJ206" s="17">
        <v>0</v>
      </c>
      <c r="AK206" s="17">
        <v>1</v>
      </c>
      <c r="AL206" s="17">
        <v>1</v>
      </c>
      <c r="AM206" s="17">
        <v>0</v>
      </c>
      <c r="AN206" s="17">
        <v>1</v>
      </c>
      <c r="AO206" s="18">
        <v>2</v>
      </c>
      <c r="AP206" s="17">
        <v>3</v>
      </c>
      <c r="AQ206" s="17">
        <v>11</v>
      </c>
      <c r="AR206" s="19">
        <v>1448</v>
      </c>
      <c r="AS206" s="19">
        <v>1492</v>
      </c>
    </row>
    <row r="207" spans="1:45" x14ac:dyDescent="0.25">
      <c r="A207">
        <v>2131</v>
      </c>
      <c r="B207" s="11">
        <f t="shared" si="3"/>
        <v>74859</v>
      </c>
      <c r="C207" s="16">
        <v>748590</v>
      </c>
      <c r="D207" s="17">
        <v>0</v>
      </c>
      <c r="E207" s="17">
        <v>0</v>
      </c>
      <c r="F207" s="17">
        <v>63</v>
      </c>
      <c r="G207" s="17">
        <v>71</v>
      </c>
      <c r="H207" s="13" t="str" cm="1">
        <f t="array" ref="H207">_xlfn.IFS(G207&lt;=20,"0-20",G207&lt;=30,"20-30",G207&lt;=40,"30-40",G207&lt;=50,"50-60",G207&lt;=60,"60-70",G207&lt;=70,"70-80",G207&lt;=80,"80-90")</f>
        <v>80-90</v>
      </c>
      <c r="I207" s="17">
        <v>2550</v>
      </c>
      <c r="J207" s="13" t="str" cm="1">
        <f t="array" ref="J207">_xlfn.IFS(K207=1,"Divorciado",L207=1,"Casado",M207=1,"Solteiro",N207=1,"Juntos",O207=1,"Viuvo")</f>
        <v>Viuvo</v>
      </c>
      <c r="K207" s="17">
        <v>0</v>
      </c>
      <c r="L207" s="17">
        <v>0</v>
      </c>
      <c r="M207" s="17">
        <v>0</v>
      </c>
      <c r="N207" s="17">
        <v>0</v>
      </c>
      <c r="O207" s="17">
        <v>1</v>
      </c>
      <c r="P207" s="17">
        <v>1</v>
      </c>
      <c r="Q207" s="17">
        <v>0</v>
      </c>
      <c r="R207" s="17">
        <v>0</v>
      </c>
      <c r="S207" s="17">
        <v>0</v>
      </c>
      <c r="T207" s="17">
        <v>0</v>
      </c>
      <c r="U207" s="17">
        <v>570</v>
      </c>
      <c r="V207" s="13" t="str" cm="1">
        <f t="array" ref="V207">_xlfn.IFS(U207&lt;=250,"0-R$250",U207&lt;=500,"251-R$500",U207&lt;=750,"501-R$750",U207&lt;=1000,"751-R$1000",U207&lt;=1250,"1001-R$1250",U207&lt;=1500,"1251-R$1500")</f>
        <v>501-R$750</v>
      </c>
      <c r="W207" s="17">
        <v>73</v>
      </c>
      <c r="X207" s="13" t="str" cm="1">
        <f t="array" ref="X207">_xlfn.IFS(W207 = 0, "0", W207&lt;=20, "até R$20",W207&lt;=40, "21 - R$40",W207&lt;=60, "41- R$60",W207&lt;=80, "61 - R$80", W207&lt;=100, "81 - R$100",W207&lt;=120, "101 - R$120",W207&lt;=140, "121 - R$140", W207&lt;=160, "141- R$160", W207&lt;=180, "161 - R$180", W207&lt;=200, "181-R$194")</f>
        <v>61 - R$80</v>
      </c>
      <c r="Y207" s="17">
        <v>614</v>
      </c>
      <c r="Z207" s="17">
        <v>133</v>
      </c>
      <c r="AA207" s="17">
        <v>102</v>
      </c>
      <c r="AB207" s="17">
        <v>73</v>
      </c>
      <c r="AC207" s="17">
        <v>1</v>
      </c>
      <c r="AD207" s="17">
        <v>6</v>
      </c>
      <c r="AE207" s="17">
        <v>5</v>
      </c>
      <c r="AF207" s="17">
        <v>11</v>
      </c>
      <c r="AG207" s="17">
        <v>3</v>
      </c>
      <c r="AH207" s="17">
        <v>0</v>
      </c>
      <c r="AI207" s="17">
        <v>0</v>
      </c>
      <c r="AJ207" s="17">
        <v>0</v>
      </c>
      <c r="AK207" s="17">
        <v>0</v>
      </c>
      <c r="AL207" s="17">
        <v>1</v>
      </c>
      <c r="AM207" s="17">
        <v>0</v>
      </c>
      <c r="AN207" s="17">
        <v>0</v>
      </c>
      <c r="AO207" s="18">
        <v>1</v>
      </c>
      <c r="AP207" s="17">
        <v>3</v>
      </c>
      <c r="AQ207" s="17">
        <v>11</v>
      </c>
      <c r="AR207" s="19">
        <v>1419</v>
      </c>
      <c r="AS207" s="19">
        <v>1492</v>
      </c>
    </row>
    <row r="208" spans="1:45" x14ac:dyDescent="0.25">
      <c r="A208">
        <v>1710</v>
      </c>
      <c r="B208" s="11">
        <f t="shared" si="3"/>
        <v>70044</v>
      </c>
      <c r="C208" s="12">
        <v>700440</v>
      </c>
      <c r="D208" s="13">
        <v>0</v>
      </c>
      <c r="E208" s="13">
        <v>1</v>
      </c>
      <c r="F208" s="13">
        <v>46</v>
      </c>
      <c r="G208" s="13">
        <v>66</v>
      </c>
      <c r="H208" s="13" t="str" cm="1">
        <f t="array" ref="H208">_xlfn.IFS(G208&lt;=20,"0-20",G208&lt;=30,"20-30",G208&lt;=40,"30-40",G208&lt;=50,"50-60",G208&lt;=60,"60-70",G208&lt;=70,"70-80",G208&lt;=80,"80-90")</f>
        <v>70-80</v>
      </c>
      <c r="I208" s="13">
        <v>2655</v>
      </c>
      <c r="J208" s="13" t="str" cm="1">
        <f t="array" ref="J208">_xlfn.IFS(K208=1,"Divorciado",L208=1,"Casado",M208=1,"Solteiro",N208=1,"Juntos",O208=1,"Viuvo")</f>
        <v>Divorciado</v>
      </c>
      <c r="K208" s="13">
        <v>1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1</v>
      </c>
      <c r="S208" s="13">
        <v>0</v>
      </c>
      <c r="T208" s="13">
        <v>0</v>
      </c>
      <c r="U208" s="13">
        <v>1073</v>
      </c>
      <c r="V208" s="13" t="str" cm="1">
        <f t="array" ref="V208">_xlfn.IFS(U208&lt;=250,"0-R$250",U208&lt;=500,"251-R$500",U208&lt;=750,"501-R$750",U208&lt;=1000,"751-R$1000",U208&lt;=1250,"1001-R$1250",U208&lt;=1500,"1251-R$1500")</f>
        <v>1001-R$1250</v>
      </c>
      <c r="W208" s="13">
        <v>0</v>
      </c>
      <c r="X208" s="13" t="str" cm="1">
        <f t="array" ref="X208">_xlfn.IFS(W208 = 0, "0", W208&lt;=20, "até R$20",W208&lt;=40, "21 - R$40",W208&lt;=60, "41- R$60",W208&lt;=80, "61 - R$80", W208&lt;=100, "81 - R$100",W208&lt;=120, "101 - R$120",W208&lt;=140, "121 - R$140", W208&lt;=160, "141- R$160", W208&lt;=180, "161 - R$180", W208&lt;=200, "181-R$194")</f>
        <v>0</v>
      </c>
      <c r="Y208" s="13">
        <v>250</v>
      </c>
      <c r="Z208" s="13">
        <v>153</v>
      </c>
      <c r="AA208" s="13">
        <v>14</v>
      </c>
      <c r="AB208" s="13">
        <v>14</v>
      </c>
      <c r="AC208" s="13">
        <v>4</v>
      </c>
      <c r="AD208" s="13">
        <v>7</v>
      </c>
      <c r="AE208" s="13">
        <v>10</v>
      </c>
      <c r="AF208" s="13">
        <v>5</v>
      </c>
      <c r="AG208" s="13">
        <v>5</v>
      </c>
      <c r="AH208" s="13">
        <v>0</v>
      </c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14">
        <v>0</v>
      </c>
      <c r="AP208" s="13">
        <v>3</v>
      </c>
      <c r="AQ208" s="13">
        <v>11</v>
      </c>
      <c r="AR208" s="15">
        <v>1476</v>
      </c>
      <c r="AS208" s="15">
        <v>1490</v>
      </c>
    </row>
    <row r="209" spans="1:45" x14ac:dyDescent="0.25">
      <c r="A209">
        <v>65</v>
      </c>
      <c r="B209" s="11">
        <f t="shared" si="3"/>
        <v>74854</v>
      </c>
      <c r="C209" s="16">
        <v>748540</v>
      </c>
      <c r="D209" s="17">
        <v>1</v>
      </c>
      <c r="E209" s="17">
        <v>2</v>
      </c>
      <c r="F209" s="17">
        <v>90</v>
      </c>
      <c r="G209" s="17">
        <v>50</v>
      </c>
      <c r="H209" s="13" t="str" cm="1">
        <f t="array" ref="H209">_xlfn.IFS(G209&lt;=20,"0-20",G209&lt;=30,"20-30",G209&lt;=40,"30-40",G209&lt;=50,"50-60",G209&lt;=60,"60-70",G209&lt;=70,"70-80",G209&lt;=80,"80-90")</f>
        <v>50-60</v>
      </c>
      <c r="I209" s="17">
        <v>2606</v>
      </c>
      <c r="J209" s="13" t="str" cm="1">
        <f t="array" ref="J209">_xlfn.IFS(K209=1,"Divorciado",L209=1,"Casado",M209=1,"Solteiro",N209=1,"Juntos",O209=1,"Viuvo")</f>
        <v>Juntos</v>
      </c>
      <c r="K209" s="17">
        <v>0</v>
      </c>
      <c r="L209" s="17">
        <v>0</v>
      </c>
      <c r="M209" s="17">
        <v>0</v>
      </c>
      <c r="N209" s="17">
        <v>1</v>
      </c>
      <c r="O209" s="17">
        <v>0</v>
      </c>
      <c r="P209" s="17">
        <v>0</v>
      </c>
      <c r="Q209" s="17">
        <v>0</v>
      </c>
      <c r="R209" s="17">
        <v>1</v>
      </c>
      <c r="S209" s="17">
        <v>0</v>
      </c>
      <c r="T209" s="17">
        <v>0</v>
      </c>
      <c r="U209" s="17">
        <v>856</v>
      </c>
      <c r="V209" s="13" t="str" cm="1">
        <f t="array" ref="V209">_xlfn.IFS(U209&lt;=250,"0-R$250",U209&lt;=500,"251-R$500",U209&lt;=750,"501-R$750",U209&lt;=1000,"751-R$1000",U209&lt;=1250,"1001-R$1250",U209&lt;=1500,"1251-R$1500")</f>
        <v>751-R$1000</v>
      </c>
      <c r="W209" s="17">
        <v>59</v>
      </c>
      <c r="X209" s="13" t="str" cm="1">
        <f t="array" ref="X209">_xlfn.IFS(W209 = 0, "0", W209&lt;=20, "até R$20",W209&lt;=40, "21 - R$40",W209&lt;=60, "41- R$60",W209&lt;=80, "61 - R$80", W209&lt;=100, "81 - R$100",W209&lt;=120, "101 - R$120",W209&lt;=140, "121 - R$140", W209&lt;=160, "141- R$160", W209&lt;=180, "161 - R$180", W209&lt;=200, "181-R$194")</f>
        <v>41- R$60</v>
      </c>
      <c r="Y209" s="17">
        <v>487</v>
      </c>
      <c r="Z209" s="17">
        <v>58</v>
      </c>
      <c r="AA209" s="17">
        <v>29</v>
      </c>
      <c r="AB209" s="17">
        <v>73</v>
      </c>
      <c r="AC209" s="17">
        <v>7</v>
      </c>
      <c r="AD209" s="17">
        <v>2</v>
      </c>
      <c r="AE209" s="17">
        <v>5</v>
      </c>
      <c r="AF209" s="17">
        <v>5</v>
      </c>
      <c r="AG209" s="17">
        <v>5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8">
        <v>0</v>
      </c>
      <c r="AP209" s="17">
        <v>3</v>
      </c>
      <c r="AQ209" s="17">
        <v>11</v>
      </c>
      <c r="AR209" s="19">
        <v>1416</v>
      </c>
      <c r="AS209" s="19">
        <v>1489</v>
      </c>
    </row>
    <row r="210" spans="1:45" x14ac:dyDescent="0.25">
      <c r="A210">
        <v>257</v>
      </c>
      <c r="B210" s="11">
        <f t="shared" si="3"/>
        <v>69267</v>
      </c>
      <c r="C210" s="16">
        <v>692670</v>
      </c>
      <c r="D210" s="17">
        <v>0</v>
      </c>
      <c r="E210" s="17">
        <v>0</v>
      </c>
      <c r="F210" s="17">
        <v>31</v>
      </c>
      <c r="G210" s="17">
        <v>67</v>
      </c>
      <c r="H210" s="13" t="str" cm="1">
        <f t="array" ref="H210">_xlfn.IFS(G210&lt;=20,"0-20",G210&lt;=30,"20-30",G210&lt;=40,"30-40",G210&lt;=50,"50-60",G210&lt;=60,"60-70",G210&lt;=70,"70-80",G210&lt;=80,"80-90")</f>
        <v>70-80</v>
      </c>
      <c r="I210" s="17">
        <v>2804</v>
      </c>
      <c r="J210" s="13" t="str" cm="1">
        <f t="array" ref="J210">_xlfn.IFS(K210=1,"Divorciado",L210=1,"Casado",M210=1,"Solteiro",N210=1,"Juntos",O210=1,"Viuvo")</f>
        <v>Solteiro</v>
      </c>
      <c r="K210" s="17">
        <v>0</v>
      </c>
      <c r="L210" s="17">
        <v>0</v>
      </c>
      <c r="M210" s="17">
        <v>1</v>
      </c>
      <c r="N210" s="17">
        <v>0</v>
      </c>
      <c r="O210" s="17">
        <v>0</v>
      </c>
      <c r="P210" s="17">
        <v>0</v>
      </c>
      <c r="Q210" s="17">
        <v>0</v>
      </c>
      <c r="R210" s="17">
        <v>1</v>
      </c>
      <c r="S210" s="17">
        <v>0</v>
      </c>
      <c r="T210" s="17">
        <v>0</v>
      </c>
      <c r="U210" s="17">
        <v>778</v>
      </c>
      <c r="V210" s="13" t="str" cm="1">
        <f t="array" ref="V210">_xlfn.IFS(U210&lt;=250,"0-R$250",U210&lt;=500,"251-R$500",U210&lt;=750,"501-R$750",U210&lt;=1000,"751-R$1000",U210&lt;=1250,"1001-R$1250",U210&lt;=1500,"1251-R$1500")</f>
        <v>751-R$1000</v>
      </c>
      <c r="W210" s="17">
        <v>44</v>
      </c>
      <c r="X210" s="13" t="str" cm="1">
        <f t="array" ref="X210">_xlfn.IFS(W210 = 0, "0", W210&lt;=20, "até R$20",W210&lt;=40, "21 - R$40",W210&lt;=60, "41- R$60",W210&lt;=80, "61 - R$80", W210&lt;=100, "81 - R$100",W210&lt;=120, "101 - R$120",W210&lt;=140, "121 - R$140", W210&lt;=160, "141- R$160", W210&lt;=180, "161 - R$180", W210&lt;=200, "181-R$194")</f>
        <v>41- R$60</v>
      </c>
      <c r="Y210" s="17">
        <v>499</v>
      </c>
      <c r="Z210" s="17">
        <v>95</v>
      </c>
      <c r="AA210" s="17">
        <v>73</v>
      </c>
      <c r="AB210" s="17">
        <v>146</v>
      </c>
      <c r="AC210" s="17">
        <v>2</v>
      </c>
      <c r="AD210" s="17">
        <v>3</v>
      </c>
      <c r="AE210" s="17">
        <v>4</v>
      </c>
      <c r="AF210" s="17">
        <v>5</v>
      </c>
      <c r="AG210" s="17">
        <v>7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1</v>
      </c>
      <c r="AO210" s="18">
        <v>0</v>
      </c>
      <c r="AP210" s="17">
        <v>3</v>
      </c>
      <c r="AQ210" s="17">
        <v>11</v>
      </c>
      <c r="AR210" s="19">
        <v>1343</v>
      </c>
      <c r="AS210" s="19">
        <v>1489</v>
      </c>
    </row>
    <row r="211" spans="1:45" x14ac:dyDescent="0.25">
      <c r="A211">
        <v>1287</v>
      </c>
      <c r="B211" s="11">
        <f t="shared" si="3"/>
        <v>81051</v>
      </c>
      <c r="C211" s="16">
        <v>810510</v>
      </c>
      <c r="D211" s="17">
        <v>0</v>
      </c>
      <c r="E211" s="17">
        <v>0</v>
      </c>
      <c r="F211" s="17">
        <v>43</v>
      </c>
      <c r="G211" s="17">
        <v>55</v>
      </c>
      <c r="H211" s="13" t="str" cm="1">
        <f t="array" ref="H211">_xlfn.IFS(G211&lt;=20,"0-20",G211&lt;=30,"20-30",G211&lt;=40,"30-40",G211&lt;=50,"50-60",G211&lt;=60,"60-70",G211&lt;=70,"70-80",G211&lt;=80,"80-90")</f>
        <v>60-70</v>
      </c>
      <c r="I211" s="17">
        <v>2196</v>
      </c>
      <c r="J211" s="13" t="str" cm="1">
        <f t="array" ref="J211">_xlfn.IFS(K211=1,"Divorciado",L211=1,"Casado",M211=1,"Solteiro",N211=1,"Juntos",O211=1,"Viuvo")</f>
        <v>Casado</v>
      </c>
      <c r="K211" s="17">
        <v>0</v>
      </c>
      <c r="L211" s="17">
        <v>1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1</v>
      </c>
      <c r="U211" s="17">
        <v>1142</v>
      </c>
      <c r="V211" s="13" t="str" cm="1">
        <f t="array" ref="V211">_xlfn.IFS(U211&lt;=250,"0-R$250",U211&lt;=500,"251-R$500",U211&lt;=750,"501-R$750",U211&lt;=1000,"751-R$1000",U211&lt;=1250,"1001-R$1250",U211&lt;=1500,"1251-R$1500")</f>
        <v>1001-R$1250</v>
      </c>
      <c r="W211" s="17">
        <v>29</v>
      </c>
      <c r="X211" s="13" t="str" cm="1">
        <f t="array" ref="X211">_xlfn.IFS(W211 = 0, "0", W211&lt;=20, "até R$20",W211&lt;=40, "21 - R$40",W211&lt;=60, "41- R$60",W211&lt;=80, "61 - R$80", W211&lt;=100, "81 - R$100",W211&lt;=120, "101 - R$120",W211&lt;=140, "121 - R$140", W211&lt;=160, "141- R$160", W211&lt;=180, "161 - R$180", W211&lt;=200, "181-R$194")</f>
        <v>21 - R$40</v>
      </c>
      <c r="Y211" s="17">
        <v>249</v>
      </c>
      <c r="Z211" s="17">
        <v>38</v>
      </c>
      <c r="AA211" s="17">
        <v>29</v>
      </c>
      <c r="AB211" s="17">
        <v>14</v>
      </c>
      <c r="AC211" s="17">
        <v>1</v>
      </c>
      <c r="AD211" s="17">
        <v>5</v>
      </c>
      <c r="AE211" s="17">
        <v>5</v>
      </c>
      <c r="AF211" s="17">
        <v>12</v>
      </c>
      <c r="AG211" s="17">
        <v>2</v>
      </c>
      <c r="AH211" s="17">
        <v>0</v>
      </c>
      <c r="AI211" s="17">
        <v>0</v>
      </c>
      <c r="AJ211" s="17">
        <v>1</v>
      </c>
      <c r="AK211" s="17">
        <v>1</v>
      </c>
      <c r="AL211" s="17">
        <v>0</v>
      </c>
      <c r="AM211" s="17">
        <v>0</v>
      </c>
      <c r="AN211" s="17">
        <v>0</v>
      </c>
      <c r="AO211" s="18">
        <v>2</v>
      </c>
      <c r="AP211" s="17">
        <v>3</v>
      </c>
      <c r="AQ211" s="17">
        <v>11</v>
      </c>
      <c r="AR211" s="19">
        <v>1473</v>
      </c>
      <c r="AS211" s="19">
        <v>1487</v>
      </c>
    </row>
    <row r="212" spans="1:45" x14ac:dyDescent="0.25">
      <c r="A212">
        <v>1814</v>
      </c>
      <c r="B212" s="11">
        <f t="shared" si="3"/>
        <v>57333</v>
      </c>
      <c r="C212" s="12">
        <v>573330</v>
      </c>
      <c r="D212" s="13">
        <v>0</v>
      </c>
      <c r="E212" s="13">
        <v>1</v>
      </c>
      <c r="F212" s="13">
        <v>55</v>
      </c>
      <c r="G212" s="13">
        <v>66</v>
      </c>
      <c r="H212" s="13" t="str" cm="1">
        <f t="array" ref="H212">_xlfn.IFS(G212&lt;=20,"0-20",G212&lt;=30,"20-30",G212&lt;=40,"30-40",G212&lt;=50,"50-60",G212&lt;=60,"60-70",G212&lt;=70,"70-80",G212&lt;=80,"80-90")</f>
        <v>70-80</v>
      </c>
      <c r="I212" s="13">
        <v>2804</v>
      </c>
      <c r="J212" s="13" t="str" cm="1">
        <f t="array" ref="J212">_xlfn.IFS(K212=1,"Divorciado",L212=1,"Casado",M212=1,"Solteiro",N212=1,"Juntos",O212=1,"Viuvo")</f>
        <v>Divorciado</v>
      </c>
      <c r="K212" s="13">
        <v>1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>
        <v>1</v>
      </c>
      <c r="U212" s="13">
        <v>941</v>
      </c>
      <c r="V212" s="13" t="str" cm="1">
        <f t="array" ref="V212">_xlfn.IFS(U212&lt;=250,"0-R$250",U212&lt;=500,"251-R$500",U212&lt;=750,"501-R$750",U212&lt;=1000,"751-R$1000",U212&lt;=1250,"1001-R$1250",U212&lt;=1500,"1251-R$1500")</f>
        <v>751-R$1000</v>
      </c>
      <c r="W212" s="13">
        <v>14</v>
      </c>
      <c r="X212" s="13" t="str" cm="1">
        <f t="array" ref="X212">_xlfn.IFS(W212 = 0, "0", W212&lt;=20, "até R$20",W212&lt;=40, "21 - R$40",W212&lt;=60, "41- R$60",W212&lt;=80, "61 - R$80", W212&lt;=100, "81 - R$100",W212&lt;=120, "101 - R$120",W212&lt;=140, "121 - R$140", W212&lt;=160, "141- R$160", W212&lt;=180, "161 - R$180", W212&lt;=200, "181-R$194")</f>
        <v>até R$20</v>
      </c>
      <c r="Y212" s="13">
        <v>397</v>
      </c>
      <c r="Z212" s="13">
        <v>76</v>
      </c>
      <c r="AA212" s="13">
        <v>58</v>
      </c>
      <c r="AB212" s="13">
        <v>176</v>
      </c>
      <c r="AC212" s="13">
        <v>11</v>
      </c>
      <c r="AD212" s="13">
        <v>8</v>
      </c>
      <c r="AE212" s="13">
        <v>5</v>
      </c>
      <c r="AF212" s="13">
        <v>9</v>
      </c>
      <c r="AG212" s="13">
        <v>6</v>
      </c>
      <c r="AH212" s="13">
        <v>0</v>
      </c>
      <c r="AI212" s="13">
        <v>0</v>
      </c>
      <c r="AJ212" s="13">
        <v>0</v>
      </c>
      <c r="AK212" s="13">
        <v>0</v>
      </c>
      <c r="AL212" s="13">
        <v>0</v>
      </c>
      <c r="AM212" s="13">
        <v>0</v>
      </c>
      <c r="AN212" s="13">
        <v>1</v>
      </c>
      <c r="AO212" s="14">
        <v>0</v>
      </c>
      <c r="AP212" s="13">
        <v>3</v>
      </c>
      <c r="AQ212" s="13">
        <v>11</v>
      </c>
      <c r="AR212" s="15">
        <v>1310</v>
      </c>
      <c r="AS212" s="15">
        <v>1486</v>
      </c>
    </row>
    <row r="213" spans="1:45" x14ac:dyDescent="0.25">
      <c r="A213">
        <v>1655</v>
      </c>
      <c r="B213" s="11">
        <f t="shared" si="3"/>
        <v>70440</v>
      </c>
      <c r="C213" s="16">
        <v>704400</v>
      </c>
      <c r="D213" s="17">
        <v>0</v>
      </c>
      <c r="E213" s="17">
        <v>0</v>
      </c>
      <c r="F213" s="17">
        <v>49</v>
      </c>
      <c r="G213" s="17">
        <v>42</v>
      </c>
      <c r="H213" s="13" t="str" cm="1">
        <f t="array" ref="H213">_xlfn.IFS(G213&lt;=20,"0-20",G213&lt;=30,"20-30",G213&lt;=40,"30-40",G213&lt;=50,"50-60",G213&lt;=60,"60-70",G213&lt;=70,"70-80",G213&lt;=80,"80-90")</f>
        <v>50-60</v>
      </c>
      <c r="I213" s="17">
        <v>2423</v>
      </c>
      <c r="J213" s="13" t="str" cm="1">
        <f t="array" ref="J213">_xlfn.IFS(K213=1,"Divorciado",L213=1,"Casado",M213=1,"Solteiro",N213=1,"Juntos",O213=1,"Viuvo")</f>
        <v>Juntos</v>
      </c>
      <c r="K213" s="17">
        <v>0</v>
      </c>
      <c r="L213" s="17">
        <v>0</v>
      </c>
      <c r="M213" s="17">
        <v>0</v>
      </c>
      <c r="N213" s="17">
        <v>1</v>
      </c>
      <c r="O213" s="17">
        <v>0</v>
      </c>
      <c r="P213" s="17">
        <v>0</v>
      </c>
      <c r="Q213" s="17">
        <v>0</v>
      </c>
      <c r="R213" s="17">
        <v>1</v>
      </c>
      <c r="S213" s="17">
        <v>0</v>
      </c>
      <c r="T213" s="17">
        <v>0</v>
      </c>
      <c r="U213" s="17">
        <v>690</v>
      </c>
      <c r="V213" s="13" t="str" cm="1">
        <f t="array" ref="V213">_xlfn.IFS(U213&lt;=250,"0-R$250",U213&lt;=500,"251-R$500",U213&lt;=750,"501-R$750",U213&lt;=1000,"751-R$1000",U213&lt;=1250,"1001-R$1250",U213&lt;=1500,"1251-R$1500")</f>
        <v>501-R$750</v>
      </c>
      <c r="W213" s="17">
        <v>117</v>
      </c>
      <c r="X213" s="13" t="str" cm="1">
        <f t="array" ref="X213">_xlfn.IFS(W213 = 0, "0", W213&lt;=20, "até R$20",W213&lt;=40, "21 - R$40",W213&lt;=60, "41- R$60",W213&lt;=80, "61 - R$80", W213&lt;=100, "81 - R$100",W213&lt;=120, "101 - R$120",W213&lt;=140, "121 - R$140", W213&lt;=160, "141- R$160", W213&lt;=180, "161 - R$180", W213&lt;=200, "181-R$194")</f>
        <v>101 - R$120</v>
      </c>
      <c r="Y213" s="17">
        <v>499</v>
      </c>
      <c r="Z213" s="17">
        <v>76</v>
      </c>
      <c r="AA213" s="17">
        <v>102</v>
      </c>
      <c r="AB213" s="17">
        <v>88</v>
      </c>
      <c r="AC213" s="17">
        <v>1</v>
      </c>
      <c r="AD213" s="17">
        <v>5</v>
      </c>
      <c r="AE213" s="17">
        <v>10</v>
      </c>
      <c r="AF213" s="17">
        <v>7</v>
      </c>
      <c r="AG213" s="17">
        <v>3</v>
      </c>
      <c r="AH213" s="17">
        <v>0</v>
      </c>
      <c r="AI213" s="17">
        <v>0</v>
      </c>
      <c r="AJ213" s="17">
        <v>0</v>
      </c>
      <c r="AK213" s="17">
        <v>0</v>
      </c>
      <c r="AL213" s="17">
        <v>1</v>
      </c>
      <c r="AM213" s="17">
        <v>0</v>
      </c>
      <c r="AN213" s="17">
        <v>0</v>
      </c>
      <c r="AO213" s="18">
        <v>1</v>
      </c>
      <c r="AP213" s="17">
        <v>3</v>
      </c>
      <c r="AQ213" s="17">
        <v>11</v>
      </c>
      <c r="AR213" s="19">
        <v>1396</v>
      </c>
      <c r="AS213" s="19">
        <v>1484</v>
      </c>
    </row>
    <row r="214" spans="1:45" x14ac:dyDescent="0.25">
      <c r="A214">
        <v>125</v>
      </c>
      <c r="B214" s="11">
        <f t="shared" si="3"/>
        <v>62981</v>
      </c>
      <c r="C214" s="16">
        <v>629810</v>
      </c>
      <c r="D214" s="17">
        <v>0</v>
      </c>
      <c r="E214" s="17">
        <v>0</v>
      </c>
      <c r="F214" s="17">
        <v>21</v>
      </c>
      <c r="G214" s="17">
        <v>53</v>
      </c>
      <c r="H214" s="13" t="str" cm="1">
        <f t="array" ref="H214">_xlfn.IFS(G214&lt;=20,"0-20",G214&lt;=30,"20-30",G214&lt;=40,"30-40",G214&lt;=50,"50-60",G214&lt;=60,"60-70",G214&lt;=70,"70-80",G214&lt;=80,"80-90")</f>
        <v>60-70</v>
      </c>
      <c r="I214" s="17">
        <v>2628</v>
      </c>
      <c r="J214" s="13" t="str" cm="1">
        <f t="array" ref="J214">_xlfn.IFS(K214=1,"Divorciado",L214=1,"Casado",M214=1,"Solteiro",N214=1,"Juntos",O214=1,"Viuvo")</f>
        <v>Juntos</v>
      </c>
      <c r="K214" s="17">
        <v>0</v>
      </c>
      <c r="L214" s="17">
        <v>0</v>
      </c>
      <c r="M214" s="17">
        <v>0</v>
      </c>
      <c r="N214" s="17">
        <v>1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1</v>
      </c>
      <c r="U214" s="17">
        <v>796</v>
      </c>
      <c r="V214" s="13" t="str" cm="1">
        <f t="array" ref="V214">_xlfn.IFS(U214&lt;=250,"0-R$250",U214&lt;=500,"251-R$500",U214&lt;=750,"501-R$750",U214&lt;=1000,"751-R$1000",U214&lt;=1250,"1001-R$1250",U214&lt;=1500,"1251-R$1500")</f>
        <v>751-R$1000</v>
      </c>
      <c r="W214" s="17">
        <v>14</v>
      </c>
      <c r="X214" s="13" t="str" cm="1">
        <f t="array" ref="X214">_xlfn.IFS(W214 = 0, "0", W214&lt;=20, "até R$20",W214&lt;=40, "21 - R$40",W214&lt;=60, "41- R$60",W214&lt;=80, "61 - R$80", W214&lt;=100, "81 - R$100",W214&lt;=120, "101 - R$120",W214&lt;=140, "121 - R$140", W214&lt;=160, "141- R$160", W214&lt;=180, "161 - R$180", W214&lt;=200, "181-R$194")</f>
        <v>até R$20</v>
      </c>
      <c r="Y214" s="17">
        <v>590</v>
      </c>
      <c r="Z214" s="17">
        <v>38</v>
      </c>
      <c r="AA214" s="17">
        <v>44</v>
      </c>
      <c r="AB214" s="17">
        <v>0</v>
      </c>
      <c r="AC214" s="17">
        <v>1</v>
      </c>
      <c r="AD214" s="17">
        <v>4</v>
      </c>
      <c r="AE214" s="17">
        <v>5</v>
      </c>
      <c r="AF214" s="17">
        <v>13</v>
      </c>
      <c r="AG214" s="17">
        <v>3</v>
      </c>
      <c r="AH214" s="17">
        <v>0</v>
      </c>
      <c r="AI214" s="17">
        <v>0</v>
      </c>
      <c r="AJ214" s="17">
        <v>1</v>
      </c>
      <c r="AK214" s="17">
        <v>0</v>
      </c>
      <c r="AL214" s="17">
        <v>0</v>
      </c>
      <c r="AM214" s="17">
        <v>0</v>
      </c>
      <c r="AN214" s="17">
        <v>0</v>
      </c>
      <c r="AO214" s="18">
        <v>1</v>
      </c>
      <c r="AP214" s="17">
        <v>3</v>
      </c>
      <c r="AQ214" s="17">
        <v>11</v>
      </c>
      <c r="AR214" s="19">
        <v>1482</v>
      </c>
      <c r="AS214" s="19">
        <v>1482</v>
      </c>
    </row>
    <row r="215" spans="1:45" x14ac:dyDescent="0.25">
      <c r="A215">
        <v>1627</v>
      </c>
      <c r="B215" s="11">
        <f t="shared" si="3"/>
        <v>82014</v>
      </c>
      <c r="C215" s="16">
        <v>820140</v>
      </c>
      <c r="D215" s="17">
        <v>0</v>
      </c>
      <c r="E215" s="17">
        <v>0</v>
      </c>
      <c r="F215" s="17">
        <v>48</v>
      </c>
      <c r="G215" s="17">
        <v>59</v>
      </c>
      <c r="H215" s="13" t="str" cm="1">
        <f t="array" ref="H215">_xlfn.IFS(G215&lt;=20,"0-20",G215&lt;=30,"20-30",G215&lt;=40,"30-40",G215&lt;=50,"50-60",G215&lt;=60,"60-70",G215&lt;=70,"70-80",G215&lt;=80,"80-90")</f>
        <v>60-70</v>
      </c>
      <c r="I215" s="17">
        <v>2837</v>
      </c>
      <c r="J215" s="13" t="str" cm="1">
        <f t="array" ref="J215">_xlfn.IFS(K215=1,"Divorciado",L215=1,"Casado",M215=1,"Solteiro",N215=1,"Juntos",O215=1,"Viuvo")</f>
        <v>Solteiro</v>
      </c>
      <c r="K215" s="17">
        <v>0</v>
      </c>
      <c r="L215" s="17">
        <v>0</v>
      </c>
      <c r="M215" s="17">
        <v>1</v>
      </c>
      <c r="N215" s="17">
        <v>0</v>
      </c>
      <c r="O215" s="17">
        <v>0</v>
      </c>
      <c r="P215" s="17">
        <v>0</v>
      </c>
      <c r="Q215" s="17">
        <v>0</v>
      </c>
      <c r="R215" s="17">
        <v>1</v>
      </c>
      <c r="S215" s="17">
        <v>0</v>
      </c>
      <c r="T215" s="17">
        <v>0</v>
      </c>
      <c r="U215" s="17">
        <v>980</v>
      </c>
      <c r="V215" s="13" t="str" cm="1">
        <f t="array" ref="V215">_xlfn.IFS(U215&lt;=250,"0-R$250",U215&lt;=500,"251-R$500",U215&lt;=750,"501-R$750",U215&lt;=1000,"751-R$1000",U215&lt;=1250,"1001-R$1250",U215&lt;=1500,"1251-R$1500")</f>
        <v>751-R$1000</v>
      </c>
      <c r="W215" s="17">
        <v>37</v>
      </c>
      <c r="X215" s="13" t="str" cm="1">
        <f t="array" ref="X215">_xlfn.IFS(W215 = 0, "0", W215&lt;=20, "até R$20",W215&lt;=40, "21 - R$40",W215&lt;=60, "41- R$60",W215&lt;=80, "61 - R$80", W215&lt;=100, "81 - R$100",W215&lt;=120, "101 - R$120",W215&lt;=140, "121 - R$140", W215&lt;=160, "141- R$160", W215&lt;=180, "161 - R$180", W215&lt;=200, "181-R$194")</f>
        <v>21 - R$40</v>
      </c>
      <c r="Y215" s="17">
        <v>265</v>
      </c>
      <c r="Z215" s="17">
        <v>35</v>
      </c>
      <c r="AA215" s="17">
        <v>163</v>
      </c>
      <c r="AB215" s="17">
        <v>31</v>
      </c>
      <c r="AC215" s="17">
        <v>1</v>
      </c>
      <c r="AD215" s="17">
        <v>3</v>
      </c>
      <c r="AE215" s="17">
        <v>6</v>
      </c>
      <c r="AF215" s="17">
        <v>12</v>
      </c>
      <c r="AG215" s="17">
        <v>6</v>
      </c>
      <c r="AH215" s="17">
        <v>0</v>
      </c>
      <c r="AI215" s="17">
        <v>0</v>
      </c>
      <c r="AJ215" s="17">
        <v>0</v>
      </c>
      <c r="AK215" s="17">
        <v>0</v>
      </c>
      <c r="AL215" s="17">
        <v>0</v>
      </c>
      <c r="AM215" s="17">
        <v>0</v>
      </c>
      <c r="AN215" s="17">
        <v>1</v>
      </c>
      <c r="AO215" s="18">
        <v>0</v>
      </c>
      <c r="AP215" s="17">
        <v>3</v>
      </c>
      <c r="AQ215" s="17">
        <v>11</v>
      </c>
      <c r="AR215" s="19">
        <v>1449</v>
      </c>
      <c r="AS215" s="19">
        <v>1480</v>
      </c>
    </row>
    <row r="216" spans="1:45" x14ac:dyDescent="0.25">
      <c r="A216">
        <v>505</v>
      </c>
      <c r="B216" s="11">
        <f t="shared" si="3"/>
        <v>73454</v>
      </c>
      <c r="C216" s="16">
        <v>734540</v>
      </c>
      <c r="D216" s="17">
        <v>0</v>
      </c>
      <c r="E216" s="17">
        <v>0</v>
      </c>
      <c r="F216" s="17">
        <v>95</v>
      </c>
      <c r="G216" s="17">
        <v>33</v>
      </c>
      <c r="H216" s="13" t="str" cm="1">
        <f t="array" ref="H216">_xlfn.IFS(G216&lt;=20,"0-20",G216&lt;=30,"20-30",G216&lt;=40,"30-40",G216&lt;=50,"50-60",G216&lt;=60,"60-70",G216&lt;=70,"70-80",G216&lt;=80,"80-90")</f>
        <v>30-40</v>
      </c>
      <c r="I216" s="17">
        <v>2279</v>
      </c>
      <c r="J216" s="13" t="str" cm="1">
        <f t="array" ref="J216">_xlfn.IFS(K216=1,"Divorciado",L216=1,"Casado",M216=1,"Solteiro",N216=1,"Juntos",O216=1,"Viuvo")</f>
        <v>Solteiro</v>
      </c>
      <c r="K216" s="17">
        <v>0</v>
      </c>
      <c r="L216" s="17">
        <v>0</v>
      </c>
      <c r="M216" s="17">
        <v>1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1</v>
      </c>
      <c r="T216" s="17">
        <v>0</v>
      </c>
      <c r="U216" s="17">
        <v>982</v>
      </c>
      <c r="V216" s="13" t="str" cm="1">
        <f t="array" ref="V216">_xlfn.IFS(U216&lt;=250,"0-R$250",U216&lt;=500,"251-R$500",U216&lt;=750,"501-R$750",U216&lt;=1000,"751-R$1000",U216&lt;=1250,"1001-R$1250",U216&lt;=1500,"1251-R$1500")</f>
        <v>751-R$1000</v>
      </c>
      <c r="W216" s="17">
        <v>73</v>
      </c>
      <c r="X216" s="13" t="str" cm="1">
        <f t="array" ref="X216">_xlfn.IFS(W216 = 0, "0", W216&lt;=20, "até R$20",W216&lt;=40, "21 - R$40",W216&lt;=60, "41- R$60",W216&lt;=80, "61 - R$80", W216&lt;=100, "81 - R$100",W216&lt;=120, "101 - R$120",W216&lt;=140, "121 - R$140", W216&lt;=160, "141- R$160", W216&lt;=180, "161 - R$180", W216&lt;=200, "181-R$194")</f>
        <v>61 - R$80</v>
      </c>
      <c r="Y216" s="17">
        <v>351</v>
      </c>
      <c r="Z216" s="17">
        <v>56</v>
      </c>
      <c r="AA216" s="17">
        <v>14</v>
      </c>
      <c r="AB216" s="17">
        <v>175</v>
      </c>
      <c r="AC216" s="17">
        <v>1</v>
      </c>
      <c r="AD216" s="17">
        <v>2</v>
      </c>
      <c r="AE216" s="17">
        <v>4</v>
      </c>
      <c r="AF216" s="17">
        <v>6</v>
      </c>
      <c r="AG216" s="17">
        <v>5</v>
      </c>
      <c r="AH216" s="17">
        <v>0</v>
      </c>
      <c r="AI216" s="17">
        <v>1</v>
      </c>
      <c r="AJ216" s="17">
        <v>0</v>
      </c>
      <c r="AK216" s="17">
        <v>0</v>
      </c>
      <c r="AL216" s="17">
        <v>0</v>
      </c>
      <c r="AM216" s="17">
        <v>0</v>
      </c>
      <c r="AN216" s="17">
        <v>0</v>
      </c>
      <c r="AO216" s="18">
        <v>1</v>
      </c>
      <c r="AP216" s="17">
        <v>3</v>
      </c>
      <c r="AQ216" s="17">
        <v>11</v>
      </c>
      <c r="AR216" s="19">
        <v>1301</v>
      </c>
      <c r="AS216" s="19">
        <v>1476</v>
      </c>
    </row>
    <row r="217" spans="1:45" x14ac:dyDescent="0.25">
      <c r="A217">
        <v>2056</v>
      </c>
      <c r="B217" s="11">
        <f t="shared" si="3"/>
        <v>79823</v>
      </c>
      <c r="C217" s="12">
        <v>798230</v>
      </c>
      <c r="D217" s="13">
        <v>0</v>
      </c>
      <c r="E217" s="13">
        <v>1</v>
      </c>
      <c r="F217" s="13">
        <v>6</v>
      </c>
      <c r="G217" s="13">
        <v>61</v>
      </c>
      <c r="H217" s="13" t="str" cm="1">
        <f t="array" ref="H217">_xlfn.IFS(G217&lt;=20,"0-20",G217&lt;=30,"20-30",G217&lt;=40,"30-40",G217&lt;=50,"50-60",G217&lt;=60,"60-70",G217&lt;=70,"70-80",G217&lt;=80,"80-90")</f>
        <v>70-80</v>
      </c>
      <c r="I217" s="13">
        <v>2249</v>
      </c>
      <c r="J217" s="13" t="str" cm="1">
        <f t="array" ref="J217">_xlfn.IFS(K217=1,"Divorciado",L217=1,"Casado",M217=1,"Solteiro",N217=1,"Juntos",O217=1,"Viuvo")</f>
        <v>Casado</v>
      </c>
      <c r="K217" s="13">
        <v>0</v>
      </c>
      <c r="L217" s="13">
        <v>1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1</v>
      </c>
      <c r="S217" s="13">
        <v>0</v>
      </c>
      <c r="T217" s="13">
        <v>0</v>
      </c>
      <c r="U217" s="13">
        <v>835</v>
      </c>
      <c r="V217" s="13" t="str" cm="1">
        <f t="array" ref="V217">_xlfn.IFS(U217&lt;=250,"0-R$250",U217&lt;=500,"251-R$500",U217&lt;=750,"501-R$750",U217&lt;=1000,"751-R$1000",U217&lt;=1250,"1001-R$1250",U217&lt;=1500,"1251-R$1500")</f>
        <v>751-R$1000</v>
      </c>
      <c r="W217" s="13">
        <v>73</v>
      </c>
      <c r="X217" s="13" t="str" cm="1">
        <f t="array" ref="X217">_xlfn.IFS(W217 = 0, "0", W217&lt;=20, "até R$20",W217&lt;=40, "21 - R$40",W217&lt;=60, "41- R$60",W217&lt;=80, "61 - R$80", W217&lt;=100, "81 - R$100",W217&lt;=120, "101 - R$120",W217&lt;=140, "121 - R$140", W217&lt;=160, "141- R$160", W217&lt;=180, "161 - R$180", W217&lt;=200, "181-R$194")</f>
        <v>61 - R$80</v>
      </c>
      <c r="Y217" s="13">
        <v>380</v>
      </c>
      <c r="Z217" s="13">
        <v>114</v>
      </c>
      <c r="AA217" s="13">
        <v>73</v>
      </c>
      <c r="AB217" s="13">
        <v>43</v>
      </c>
      <c r="AC217" s="13">
        <v>1</v>
      </c>
      <c r="AD217" s="13">
        <v>6</v>
      </c>
      <c r="AE217" s="13">
        <v>9</v>
      </c>
      <c r="AF217" s="13">
        <v>7</v>
      </c>
      <c r="AG217" s="13">
        <v>2</v>
      </c>
      <c r="AH217" s="13">
        <v>0</v>
      </c>
      <c r="AI217" s="13">
        <v>0</v>
      </c>
      <c r="AJ217" s="13">
        <v>1</v>
      </c>
      <c r="AK217" s="13">
        <v>0</v>
      </c>
      <c r="AL217" s="13">
        <v>0</v>
      </c>
      <c r="AM217" s="13">
        <v>0</v>
      </c>
      <c r="AN217" s="13">
        <v>0</v>
      </c>
      <c r="AO217" s="14">
        <v>1</v>
      </c>
      <c r="AP217" s="13">
        <v>3</v>
      </c>
      <c r="AQ217" s="13">
        <v>11</v>
      </c>
      <c r="AR217" s="15">
        <v>1432</v>
      </c>
      <c r="AS217" s="15">
        <v>1475</v>
      </c>
    </row>
    <row r="218" spans="1:45" x14ac:dyDescent="0.25">
      <c r="A218">
        <v>1305</v>
      </c>
      <c r="B218" s="11">
        <f t="shared" si="3"/>
        <v>72828</v>
      </c>
      <c r="C218" s="16">
        <v>728280</v>
      </c>
      <c r="D218" s="17">
        <v>0</v>
      </c>
      <c r="E218" s="17">
        <v>1</v>
      </c>
      <c r="F218" s="17">
        <v>17</v>
      </c>
      <c r="G218" s="17">
        <v>58</v>
      </c>
      <c r="H218" s="13" t="str" cm="1">
        <f t="array" ref="H218">_xlfn.IFS(G218&lt;=20,"0-20",G218&lt;=30,"20-30",G218&lt;=40,"30-40",G218&lt;=50,"50-60",G218&lt;=60,"60-70",G218&lt;=70,"70-80",G218&lt;=80,"80-90")</f>
        <v>60-70</v>
      </c>
      <c r="I218" s="17">
        <v>2659</v>
      </c>
      <c r="J218" s="13" t="str" cm="1">
        <f t="array" ref="J218">_xlfn.IFS(K218=1,"Divorciado",L218=1,"Casado",M218=1,"Solteiro",N218=1,"Juntos",O218=1,"Viuvo")</f>
        <v>Casado</v>
      </c>
      <c r="K218" s="17">
        <v>0</v>
      </c>
      <c r="L218" s="17">
        <v>1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1</v>
      </c>
      <c r="T218" s="17">
        <v>0</v>
      </c>
      <c r="U218" s="17">
        <v>1205</v>
      </c>
      <c r="V218" s="13" t="str" cm="1">
        <f t="array" ref="V218">_xlfn.IFS(U218&lt;=250,"0-R$250",U218&lt;=500,"251-R$500",U218&lt;=750,"501-R$750",U218&lt;=1000,"751-R$1000",U218&lt;=1250,"1001-R$1250",U218&lt;=1500,"1251-R$1500")</f>
        <v>1001-R$1250</v>
      </c>
      <c r="W218" s="17">
        <v>0</v>
      </c>
      <c r="X218" s="13" t="str" cm="1">
        <f t="array" ref="X218">_xlfn.IFS(W218 = 0, "0", W218&lt;=20, "até R$20",W218&lt;=40, "21 - R$40",W218&lt;=60, "41- R$60",W218&lt;=80, "61 - R$80", W218&lt;=100, "81 - R$100",W218&lt;=120, "101 - R$120",W218&lt;=140, "121 - R$140", W218&lt;=160, "141- R$160", W218&lt;=180, "161 - R$180", W218&lt;=200, "181-R$194")</f>
        <v>0</v>
      </c>
      <c r="Y218" s="17">
        <v>235</v>
      </c>
      <c r="Z218" s="17">
        <v>19</v>
      </c>
      <c r="AA218" s="17">
        <v>14</v>
      </c>
      <c r="AB218" s="17">
        <v>205</v>
      </c>
      <c r="AC218" s="17">
        <v>6</v>
      </c>
      <c r="AD218" s="17">
        <v>6</v>
      </c>
      <c r="AE218" s="17">
        <v>3</v>
      </c>
      <c r="AF218" s="17">
        <v>13</v>
      </c>
      <c r="AG218" s="17">
        <v>7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8">
        <v>0</v>
      </c>
      <c r="AP218" s="17">
        <v>3</v>
      </c>
      <c r="AQ218" s="17">
        <v>11</v>
      </c>
      <c r="AR218" s="19">
        <v>1268</v>
      </c>
      <c r="AS218" s="19">
        <v>1473</v>
      </c>
    </row>
    <row r="219" spans="1:45" x14ac:dyDescent="0.25">
      <c r="A219">
        <v>396</v>
      </c>
      <c r="B219" s="11">
        <f t="shared" si="3"/>
        <v>66465</v>
      </c>
      <c r="C219" s="12">
        <v>664650</v>
      </c>
      <c r="D219" s="13">
        <v>0</v>
      </c>
      <c r="E219" s="13">
        <v>1</v>
      </c>
      <c r="F219" s="13">
        <v>1</v>
      </c>
      <c r="G219" s="13">
        <v>65</v>
      </c>
      <c r="H219" s="13" t="str" cm="1">
        <f t="array" ref="H219">_xlfn.IFS(G219&lt;=20,"0-20",G219&lt;=30,"20-30",G219&lt;=40,"30-40",G219&lt;=50,"50-60",G219&lt;=60,"60-70",G219&lt;=70,"70-80",G219&lt;=80,"80-90")</f>
        <v>70-80</v>
      </c>
      <c r="I219" s="13">
        <v>2615</v>
      </c>
      <c r="J219" s="13" t="str" cm="1">
        <f t="array" ref="J219">_xlfn.IFS(K219=1,"Divorciado",L219=1,"Casado",M219=1,"Solteiro",N219=1,"Juntos",O219=1,"Viuvo")</f>
        <v>Casado</v>
      </c>
      <c r="K219" s="13">
        <v>0</v>
      </c>
      <c r="L219" s="13">
        <v>1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1</v>
      </c>
      <c r="U219" s="13">
        <v>1200</v>
      </c>
      <c r="V219" s="13" t="str" cm="1">
        <f t="array" ref="V219">_xlfn.IFS(U219&lt;=250,"0-R$250",U219&lt;=500,"251-R$500",U219&lt;=750,"501-R$750",U219&lt;=1000,"751-R$1000",U219&lt;=1250,"1001-R$1250",U219&lt;=1500,"1251-R$1500")</f>
        <v>1001-R$1250</v>
      </c>
      <c r="W219" s="13">
        <v>0</v>
      </c>
      <c r="X219" s="13" t="str" cm="1">
        <f t="array" ref="X219">_xlfn.IFS(W219 = 0, "0", W219&lt;=20, "até R$20",W219&lt;=40, "21 - R$40",W219&lt;=60, "41- R$60",W219&lt;=80, "61 - R$80", W219&lt;=100, "81 - R$100",W219&lt;=120, "101 - R$120",W219&lt;=140, "121 - R$140", W219&lt;=160, "141- R$160", W219&lt;=180, "161 - R$180", W219&lt;=200, "181-R$194")</f>
        <v>0</v>
      </c>
      <c r="Y219" s="13">
        <v>204</v>
      </c>
      <c r="Z219" s="13">
        <v>38</v>
      </c>
      <c r="AA219" s="13">
        <v>29</v>
      </c>
      <c r="AB219" s="13">
        <v>14</v>
      </c>
      <c r="AC219" s="13">
        <v>3</v>
      </c>
      <c r="AD219" s="13">
        <v>11</v>
      </c>
      <c r="AE219" s="13">
        <v>9</v>
      </c>
      <c r="AF219" s="13">
        <v>12</v>
      </c>
      <c r="AG219" s="13">
        <v>6</v>
      </c>
      <c r="AH219" s="13">
        <v>0</v>
      </c>
      <c r="AI219" s="13">
        <v>0</v>
      </c>
      <c r="AJ219" s="13">
        <v>0</v>
      </c>
      <c r="AK219" s="13">
        <v>0</v>
      </c>
      <c r="AL219" s="13">
        <v>1</v>
      </c>
      <c r="AM219" s="13">
        <v>0</v>
      </c>
      <c r="AN219" s="13">
        <v>0</v>
      </c>
      <c r="AO219" s="14">
        <v>1</v>
      </c>
      <c r="AP219" s="13">
        <v>3</v>
      </c>
      <c r="AQ219" s="13">
        <v>11</v>
      </c>
      <c r="AR219" s="15">
        <v>1457</v>
      </c>
      <c r="AS219" s="15">
        <v>1471</v>
      </c>
    </row>
    <row r="220" spans="1:45" x14ac:dyDescent="0.25">
      <c r="A220">
        <v>1330</v>
      </c>
      <c r="B220" s="11">
        <f t="shared" si="3"/>
        <v>76542</v>
      </c>
      <c r="C220" s="12">
        <v>765420</v>
      </c>
      <c r="D220" s="13">
        <v>0</v>
      </c>
      <c r="E220" s="13">
        <v>0</v>
      </c>
      <c r="F220" s="13">
        <v>91</v>
      </c>
      <c r="G220" s="13">
        <v>64</v>
      </c>
      <c r="H220" s="13" t="str" cm="1">
        <f t="array" ref="H220">_xlfn.IFS(G220&lt;=20,"0-20",G220&lt;=30,"20-30",G220&lt;=40,"30-40",G220&lt;=50,"50-60",G220&lt;=60,"60-70",G220&lt;=70,"70-80",G220&lt;=80,"80-90")</f>
        <v>70-80</v>
      </c>
      <c r="I220" s="13">
        <v>2615</v>
      </c>
      <c r="J220" s="13" t="str" cm="1">
        <f t="array" ref="J220">_xlfn.IFS(K220=1,"Divorciado",L220=1,"Casado",M220=1,"Solteiro",N220=1,"Juntos",O220=1,"Viuvo")</f>
        <v>Juntos</v>
      </c>
      <c r="K220" s="13">
        <v>0</v>
      </c>
      <c r="L220" s="13">
        <v>0</v>
      </c>
      <c r="M220" s="13">
        <v>0</v>
      </c>
      <c r="N220" s="13">
        <v>1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1</v>
      </c>
      <c r="U220" s="13">
        <v>794</v>
      </c>
      <c r="V220" s="13" t="str" cm="1">
        <f t="array" ref="V220">_xlfn.IFS(U220&lt;=250,"0-R$250",U220&lt;=500,"251-R$500",U220&lt;=750,"501-R$750",U220&lt;=1000,"751-R$1000",U220&lt;=1250,"1001-R$1250",U220&lt;=1500,"1251-R$1500")</f>
        <v>751-R$1000</v>
      </c>
      <c r="W220" s="13">
        <v>73</v>
      </c>
      <c r="X220" s="13" t="str" cm="1">
        <f t="array" ref="X220">_xlfn.IFS(W220 = 0, "0", W220&lt;=20, "até R$20",W220&lt;=40, "21 - R$40",W220&lt;=60, "41- R$60",W220&lt;=80, "61 - R$80", W220&lt;=100, "81 - R$100",W220&lt;=120, "101 - R$120",W220&lt;=140, "121 - R$140", W220&lt;=160, "141- R$160", W220&lt;=180, "161 - R$180", W220&lt;=200, "181-R$194")</f>
        <v>61 - R$80</v>
      </c>
      <c r="Y220" s="13">
        <v>573</v>
      </c>
      <c r="Z220" s="13">
        <v>0</v>
      </c>
      <c r="AA220" s="13">
        <v>29</v>
      </c>
      <c r="AB220" s="13">
        <v>14</v>
      </c>
      <c r="AC220" s="13">
        <v>1</v>
      </c>
      <c r="AD220" s="13">
        <v>4</v>
      </c>
      <c r="AE220" s="13">
        <v>8</v>
      </c>
      <c r="AF220" s="13">
        <v>10</v>
      </c>
      <c r="AG220" s="13">
        <v>2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4">
        <v>0</v>
      </c>
      <c r="AP220" s="13">
        <v>3</v>
      </c>
      <c r="AQ220" s="13">
        <v>11</v>
      </c>
      <c r="AR220" s="15">
        <v>1455</v>
      </c>
      <c r="AS220" s="15">
        <v>1469</v>
      </c>
    </row>
    <row r="221" spans="1:45" x14ac:dyDescent="0.25">
      <c r="A221">
        <v>1686</v>
      </c>
      <c r="B221" s="11">
        <f t="shared" si="3"/>
        <v>77520</v>
      </c>
      <c r="C221" s="12">
        <v>775200</v>
      </c>
      <c r="D221" s="13">
        <v>0</v>
      </c>
      <c r="E221" s="13">
        <v>1</v>
      </c>
      <c r="F221" s="13">
        <v>30</v>
      </c>
      <c r="G221" s="13">
        <v>61</v>
      </c>
      <c r="H221" s="13" t="str" cm="1">
        <f t="array" ref="H221">_xlfn.IFS(G221&lt;=20,"0-20",G221&lt;=30,"20-30",G221&lt;=40,"30-40",G221&lt;=50,"50-60",G221&lt;=60,"60-70",G221&lt;=70,"70-80",G221&lt;=80,"80-90")</f>
        <v>70-80</v>
      </c>
      <c r="I221" s="13">
        <v>2464</v>
      </c>
      <c r="J221" s="13" t="str" cm="1">
        <f t="array" ref="J221">_xlfn.IFS(K221=1,"Divorciado",L221=1,"Casado",M221=1,"Solteiro",N221=1,"Juntos",O221=1,"Viuvo")</f>
        <v>Casado</v>
      </c>
      <c r="K221" s="13">
        <v>0</v>
      </c>
      <c r="L221" s="13">
        <v>1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1</v>
      </c>
      <c r="T221" s="13">
        <v>0</v>
      </c>
      <c r="U221" s="13">
        <v>940</v>
      </c>
      <c r="V221" s="13" t="str" cm="1">
        <f t="array" ref="V221">_xlfn.IFS(U221&lt;=250,"0-R$250",U221&lt;=500,"251-R$500",U221&lt;=750,"501-R$750",U221&lt;=1000,"751-R$1000",U221&lt;=1250,"1001-R$1250",U221&lt;=1500,"1251-R$1500")</f>
        <v>751-R$1000</v>
      </c>
      <c r="W221" s="13">
        <v>44</v>
      </c>
      <c r="X221" s="13" t="str" cm="1">
        <f t="array" ref="X221">_xlfn.IFS(W221 = 0, "0", W221&lt;=20, "até R$20",W221&lt;=40, "21 - R$40",W221&lt;=60, "41- R$60",W221&lt;=80, "61 - R$80", W221&lt;=100, "81 - R$100",W221&lt;=120, "101 - R$120",W221&lt;=140, "121 - R$140", W221&lt;=160, "141- R$160", W221&lt;=180, "161 - R$180", W221&lt;=200, "181-R$194")</f>
        <v>41- R$60</v>
      </c>
      <c r="Y221" s="13">
        <v>396</v>
      </c>
      <c r="Z221" s="13">
        <v>0</v>
      </c>
      <c r="AA221" s="13">
        <v>88</v>
      </c>
      <c r="AB221" s="13">
        <v>58</v>
      </c>
      <c r="AC221" s="13">
        <v>1</v>
      </c>
      <c r="AD221" s="13">
        <v>8</v>
      </c>
      <c r="AE221" s="13">
        <v>7</v>
      </c>
      <c r="AF221" s="13">
        <v>7</v>
      </c>
      <c r="AG221" s="13">
        <v>4</v>
      </c>
      <c r="AH221" s="13">
        <v>0</v>
      </c>
      <c r="AI221" s="13">
        <v>1</v>
      </c>
      <c r="AJ221" s="13">
        <v>0</v>
      </c>
      <c r="AK221" s="13">
        <v>1</v>
      </c>
      <c r="AL221" s="13">
        <v>1</v>
      </c>
      <c r="AM221" s="13">
        <v>0</v>
      </c>
      <c r="AN221" s="13">
        <v>1</v>
      </c>
      <c r="AO221" s="14">
        <v>3</v>
      </c>
      <c r="AP221" s="13">
        <v>3</v>
      </c>
      <c r="AQ221" s="13">
        <v>11</v>
      </c>
      <c r="AR221" s="15">
        <v>1410</v>
      </c>
      <c r="AS221" s="15">
        <v>1468</v>
      </c>
    </row>
    <row r="222" spans="1:45" x14ac:dyDescent="0.25">
      <c r="A222">
        <v>795</v>
      </c>
      <c r="B222" s="11">
        <f t="shared" si="3"/>
        <v>91820</v>
      </c>
      <c r="C222" s="16">
        <v>918200</v>
      </c>
      <c r="D222" s="17">
        <v>0</v>
      </c>
      <c r="E222" s="17">
        <v>0</v>
      </c>
      <c r="F222" s="17">
        <v>72</v>
      </c>
      <c r="G222" s="17">
        <v>34</v>
      </c>
      <c r="H222" s="13" t="str" cm="1">
        <f t="array" ref="H222">_xlfn.IFS(G222&lt;=20,"0-20",G222&lt;=30,"20-30",G222&lt;=40,"30-40",G222&lt;=50,"50-60",G222&lt;=60,"60-70",G222&lt;=70,"70-80",G222&lt;=80,"80-90")</f>
        <v>30-40</v>
      </c>
      <c r="I222" s="17">
        <v>2377</v>
      </c>
      <c r="J222" s="13" t="str" cm="1">
        <f t="array" ref="J222">_xlfn.IFS(K222=1,"Divorciado",L222=1,"Casado",M222=1,"Solteiro",N222=1,"Juntos",O222=1,"Viuvo")</f>
        <v>Juntos</v>
      </c>
      <c r="K222" s="17">
        <v>0</v>
      </c>
      <c r="L222" s="17">
        <v>0</v>
      </c>
      <c r="M222" s="17">
        <v>0</v>
      </c>
      <c r="N222" s="17">
        <v>1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17">
        <v>1</v>
      </c>
      <c r="U222" s="17">
        <v>410</v>
      </c>
      <c r="V222" s="13" t="str" cm="1">
        <f t="array" ref="V222">_xlfn.IFS(U222&lt;=250,"0-R$250",U222&lt;=500,"251-R$500",U222&lt;=750,"501-R$750",U222&lt;=1000,"751-R$1000",U222&lt;=1250,"1001-R$1250",U222&lt;=1500,"1251-R$1500")</f>
        <v>251-R$500</v>
      </c>
      <c r="W222" s="17">
        <v>73</v>
      </c>
      <c r="X222" s="13" t="str" cm="1">
        <f t="array" ref="X222">_xlfn.IFS(W222 = 0, "0", W222&lt;=20, "até R$20",W222&lt;=40, "21 - R$40",W222&lt;=60, "41- R$60",W222&lt;=80, "61 - R$80", W222&lt;=100, "81 - R$100",W222&lt;=120, "101 - R$120",W222&lt;=140, "121 - R$140", W222&lt;=160, "141- R$160", W222&lt;=180, "161 - R$180", W222&lt;=200, "181-R$194")</f>
        <v>61 - R$80</v>
      </c>
      <c r="Y222" s="17">
        <v>747</v>
      </c>
      <c r="Z222" s="17">
        <v>76</v>
      </c>
      <c r="AA222" s="17">
        <v>161</v>
      </c>
      <c r="AB222" s="17">
        <v>30</v>
      </c>
      <c r="AC222" s="17">
        <v>0</v>
      </c>
      <c r="AD222" s="17">
        <v>5</v>
      </c>
      <c r="AE222" s="17">
        <v>5</v>
      </c>
      <c r="AF222" s="17">
        <v>12</v>
      </c>
      <c r="AG222" s="17">
        <v>1</v>
      </c>
      <c r="AH222" s="17">
        <v>0</v>
      </c>
      <c r="AI222" s="17">
        <v>0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18">
        <v>0</v>
      </c>
      <c r="AP222" s="17">
        <v>3</v>
      </c>
      <c r="AQ222" s="17">
        <v>11</v>
      </c>
      <c r="AR222" s="19">
        <v>1437</v>
      </c>
      <c r="AS222" s="19">
        <v>1467</v>
      </c>
    </row>
    <row r="223" spans="1:45" x14ac:dyDescent="0.25">
      <c r="A223">
        <v>1497</v>
      </c>
      <c r="B223" s="11">
        <f t="shared" si="3"/>
        <v>69930</v>
      </c>
      <c r="C223" s="16">
        <v>699300</v>
      </c>
      <c r="D223" s="17">
        <v>0</v>
      </c>
      <c r="E223" s="17">
        <v>0</v>
      </c>
      <c r="F223" s="17">
        <v>21</v>
      </c>
      <c r="G223" s="17">
        <v>49</v>
      </c>
      <c r="H223" s="13" t="str" cm="1">
        <f t="array" ref="H223">_xlfn.IFS(G223&lt;=20,"0-20",G223&lt;=30,"20-30",G223&lt;=40,"30-40",G223&lt;=50,"50-60",G223&lt;=60,"60-70",G223&lt;=70,"70-80",G223&lt;=80,"80-90")</f>
        <v>50-60</v>
      </c>
      <c r="I223" s="17">
        <v>2558</v>
      </c>
      <c r="J223" s="13" t="str" cm="1">
        <f t="array" ref="J223">_xlfn.IFS(K223=1,"Divorciado",L223=1,"Casado",M223=1,"Solteiro",N223=1,"Juntos",O223=1,"Viuvo")</f>
        <v>Juntos</v>
      </c>
      <c r="K223" s="17">
        <v>0</v>
      </c>
      <c r="L223" s="17">
        <v>0</v>
      </c>
      <c r="M223" s="17">
        <v>0</v>
      </c>
      <c r="N223" s="17">
        <v>1</v>
      </c>
      <c r="O223" s="17">
        <v>0</v>
      </c>
      <c r="P223" s="17">
        <v>0</v>
      </c>
      <c r="Q223" s="17">
        <v>0</v>
      </c>
      <c r="R223" s="17">
        <v>1</v>
      </c>
      <c r="S223" s="17">
        <v>0</v>
      </c>
      <c r="T223" s="17">
        <v>0</v>
      </c>
      <c r="U223" s="17">
        <v>252</v>
      </c>
      <c r="V223" s="13" t="str" cm="1">
        <f t="array" ref="V223">_xlfn.IFS(U223&lt;=250,"0-R$250",U223&lt;=500,"251-R$500",U223&lt;=750,"501-R$750",U223&lt;=1000,"751-R$1000",U223&lt;=1250,"1001-R$1250",U223&lt;=1500,"1251-R$1500")</f>
        <v>251-R$500</v>
      </c>
      <c r="W223" s="17">
        <v>98</v>
      </c>
      <c r="X223" s="13" t="str" cm="1">
        <f t="array" ref="X223">_xlfn.IFS(W223 = 0, "0", W223&lt;=20, "até R$20",W223&lt;=40, "21 - R$40",W223&lt;=60, "41- R$60",W223&lt;=80, "61 - R$80", W223&lt;=100, "81 - R$100",W223&lt;=120, "101 - R$120",W223&lt;=140, "121 - R$140", W223&lt;=160, "141- R$160", W223&lt;=180, "161 - R$180", W223&lt;=200, "181-R$194")</f>
        <v>81 - R$100</v>
      </c>
      <c r="Y223" s="17">
        <v>827</v>
      </c>
      <c r="Z223" s="17">
        <v>219</v>
      </c>
      <c r="AA223" s="17">
        <v>70</v>
      </c>
      <c r="AB223" s="17">
        <v>196</v>
      </c>
      <c r="AC223" s="17">
        <v>1</v>
      </c>
      <c r="AD223" s="17">
        <v>4</v>
      </c>
      <c r="AE223" s="17">
        <v>5</v>
      </c>
      <c r="AF223" s="17">
        <v>12</v>
      </c>
      <c r="AG223" s="17">
        <v>3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8">
        <v>0</v>
      </c>
      <c r="AP223" s="17">
        <v>3</v>
      </c>
      <c r="AQ223" s="17">
        <v>11</v>
      </c>
      <c r="AR223" s="19">
        <v>1270</v>
      </c>
      <c r="AS223" s="19">
        <v>1466</v>
      </c>
    </row>
    <row r="224" spans="1:45" x14ac:dyDescent="0.25">
      <c r="A224">
        <v>1506</v>
      </c>
      <c r="B224" s="11">
        <f t="shared" si="3"/>
        <v>57036</v>
      </c>
      <c r="C224" s="12">
        <v>570360</v>
      </c>
      <c r="D224" s="13">
        <v>0</v>
      </c>
      <c r="E224" s="13">
        <v>1</v>
      </c>
      <c r="F224" s="13">
        <v>33</v>
      </c>
      <c r="G224" s="13">
        <v>45</v>
      </c>
      <c r="H224" s="13" t="str" cm="1">
        <f t="array" ref="H224">_xlfn.IFS(G224&lt;=20,"0-20",G224&lt;=30,"20-30",G224&lt;=40,"30-40",G224&lt;=50,"50-60",G224&lt;=60,"60-70",G224&lt;=70,"70-80",G224&lt;=80,"80-90")</f>
        <v>50-60</v>
      </c>
      <c r="I224" s="13">
        <v>2724</v>
      </c>
      <c r="J224" s="13" t="str" cm="1">
        <f t="array" ref="J224">_xlfn.IFS(K224=1,"Divorciado",L224=1,"Casado",M224=1,"Solteiro",N224=1,"Juntos",O224=1,"Viuvo")</f>
        <v>Casado</v>
      </c>
      <c r="K224" s="13">
        <v>0</v>
      </c>
      <c r="L224" s="13">
        <v>1</v>
      </c>
      <c r="M224" s="13">
        <v>0</v>
      </c>
      <c r="N224" s="13">
        <v>0</v>
      </c>
      <c r="O224" s="13">
        <v>0</v>
      </c>
      <c r="P224" s="13">
        <v>1</v>
      </c>
      <c r="Q224" s="13">
        <v>0</v>
      </c>
      <c r="R224" s="13">
        <v>0</v>
      </c>
      <c r="S224" s="13">
        <v>0</v>
      </c>
      <c r="T224" s="13">
        <v>0</v>
      </c>
      <c r="U224" s="13">
        <v>1171</v>
      </c>
      <c r="V224" s="13" t="str" cm="1">
        <f t="array" ref="V224">_xlfn.IFS(U224&lt;=250,"0-R$250",U224&lt;=500,"251-R$500",U224&lt;=750,"501-R$750",U224&lt;=1000,"751-R$1000",U224&lt;=1250,"1001-R$1250",U224&lt;=1500,"1251-R$1500")</f>
        <v>1001-R$1250</v>
      </c>
      <c r="W224" s="13">
        <v>43</v>
      </c>
      <c r="X224" s="13" t="str" cm="1">
        <f t="array" ref="X224">_xlfn.IFS(W224 = 0, "0", W224&lt;=20, "até R$20",W224&lt;=40, "21 - R$40",W224&lt;=60, "41- R$60",W224&lt;=80, "61 - R$80", W224&lt;=100, "81 - R$100",W224&lt;=120, "101 - R$120",W224&lt;=140, "121 - R$140", W224&lt;=160, "141- R$160", W224&lt;=180, "161 - R$180", W224&lt;=200, "181-R$194")</f>
        <v>41- R$60</v>
      </c>
      <c r="Y224" s="13">
        <v>219</v>
      </c>
      <c r="Z224" s="13">
        <v>19</v>
      </c>
      <c r="AA224" s="13">
        <v>14</v>
      </c>
      <c r="AB224" s="13">
        <v>47</v>
      </c>
      <c r="AC224" s="13">
        <v>4</v>
      </c>
      <c r="AD224" s="13">
        <v>6</v>
      </c>
      <c r="AE224" s="13">
        <v>3</v>
      </c>
      <c r="AF224" s="13">
        <v>13</v>
      </c>
      <c r="AG224" s="13">
        <v>9</v>
      </c>
      <c r="AH224" s="13">
        <v>0</v>
      </c>
      <c r="AI224" s="13">
        <v>1</v>
      </c>
      <c r="AJ224" s="13">
        <v>0</v>
      </c>
      <c r="AK224" s="13">
        <v>0</v>
      </c>
      <c r="AL224" s="13">
        <v>0</v>
      </c>
      <c r="AM224" s="13">
        <v>0</v>
      </c>
      <c r="AN224" s="13">
        <v>0</v>
      </c>
      <c r="AO224" s="14">
        <v>1</v>
      </c>
      <c r="AP224" s="13">
        <v>3</v>
      </c>
      <c r="AQ224" s="13">
        <v>11</v>
      </c>
      <c r="AR224" s="15">
        <v>1419</v>
      </c>
      <c r="AS224" s="15">
        <v>1466</v>
      </c>
    </row>
    <row r="225" spans="1:45" x14ac:dyDescent="0.25">
      <c r="A225">
        <v>1428</v>
      </c>
      <c r="B225" s="11">
        <f t="shared" si="3"/>
        <v>73892</v>
      </c>
      <c r="C225" s="12">
        <v>738920</v>
      </c>
      <c r="D225" s="13">
        <v>0</v>
      </c>
      <c r="E225" s="13">
        <v>0</v>
      </c>
      <c r="F225" s="13">
        <v>40</v>
      </c>
      <c r="G225" s="13">
        <v>67</v>
      </c>
      <c r="H225" s="13" t="str" cm="1">
        <f t="array" ref="H225">_xlfn.IFS(G225&lt;=20,"0-20",G225&lt;=30,"20-30",G225&lt;=40,"30-40",G225&lt;=50,"50-60",G225&lt;=60,"60-70",G225&lt;=70,"70-80",G225&lt;=80,"80-90")</f>
        <v>70-80</v>
      </c>
      <c r="I225" s="13">
        <v>2387</v>
      </c>
      <c r="J225" s="13" t="str" cm="1">
        <f t="array" ref="J225">_xlfn.IFS(K225=1,"Divorciado",L225=1,"Casado",M225=1,"Solteiro",N225=1,"Juntos",O225=1,"Viuvo")</f>
        <v>Solteiro</v>
      </c>
      <c r="K225" s="13">
        <v>0</v>
      </c>
      <c r="L225" s="13">
        <v>0</v>
      </c>
      <c r="M225" s="13">
        <v>1</v>
      </c>
      <c r="N225" s="13">
        <v>0</v>
      </c>
      <c r="O225" s="13">
        <v>0</v>
      </c>
      <c r="P225" s="13">
        <v>0</v>
      </c>
      <c r="Q225" s="13">
        <v>0</v>
      </c>
      <c r="R225" s="13">
        <v>1</v>
      </c>
      <c r="S225" s="13">
        <v>0</v>
      </c>
      <c r="T225" s="13">
        <v>0</v>
      </c>
      <c r="U225" s="13">
        <v>703</v>
      </c>
      <c r="V225" s="13" t="str" cm="1">
        <f t="array" ref="V225">_xlfn.IFS(U225&lt;=250,"0-R$250",U225&lt;=500,"251-R$500",U225&lt;=750,"501-R$750",U225&lt;=1000,"751-R$1000",U225&lt;=1250,"1001-R$1250",U225&lt;=1500,"1251-R$1500")</f>
        <v>501-R$750</v>
      </c>
      <c r="W225" s="13">
        <v>102</v>
      </c>
      <c r="X225" s="13" t="str" cm="1">
        <f t="array" ref="X225">_xlfn.IFS(W225 = 0, "0", W225&lt;=20, "até R$20",W225&lt;=40, "21 - R$40",W225&lt;=60, "41- R$60",W225&lt;=80, "61 - R$80", W225&lt;=100, "81 - R$100",W225&lt;=120, "101 - R$120",W225&lt;=140, "121 - R$140", W225&lt;=160, "141- R$160", W225&lt;=180, "161 - R$180", W225&lt;=200, "181-R$194")</f>
        <v>101 - R$120</v>
      </c>
      <c r="Y225" s="13">
        <v>601</v>
      </c>
      <c r="Z225" s="13">
        <v>0</v>
      </c>
      <c r="AA225" s="13">
        <v>58</v>
      </c>
      <c r="AB225" s="13">
        <v>43</v>
      </c>
      <c r="AC225" s="13">
        <v>1</v>
      </c>
      <c r="AD225" s="13">
        <v>3</v>
      </c>
      <c r="AE225" s="13">
        <v>11</v>
      </c>
      <c r="AF225" s="13">
        <v>8</v>
      </c>
      <c r="AG225" s="13">
        <v>1</v>
      </c>
      <c r="AH225" s="13">
        <v>0</v>
      </c>
      <c r="AI225" s="13">
        <v>0</v>
      </c>
      <c r="AJ225" s="13">
        <v>0</v>
      </c>
      <c r="AK225" s="13">
        <v>0</v>
      </c>
      <c r="AL225" s="13">
        <v>0</v>
      </c>
      <c r="AM225" s="13">
        <v>0</v>
      </c>
      <c r="AN225" s="13">
        <v>1</v>
      </c>
      <c r="AO225" s="14">
        <v>0</v>
      </c>
      <c r="AP225" s="13">
        <v>3</v>
      </c>
      <c r="AQ225" s="13">
        <v>11</v>
      </c>
      <c r="AR225" s="15">
        <v>1421</v>
      </c>
      <c r="AS225" s="15">
        <v>1464</v>
      </c>
    </row>
    <row r="226" spans="1:45" x14ac:dyDescent="0.25">
      <c r="A226">
        <v>236</v>
      </c>
      <c r="B226" s="11">
        <f t="shared" si="3"/>
        <v>65176</v>
      </c>
      <c r="C226" s="12">
        <v>651760</v>
      </c>
      <c r="D226" s="13">
        <v>0</v>
      </c>
      <c r="E226" s="13">
        <v>1</v>
      </c>
      <c r="F226" s="13">
        <v>57</v>
      </c>
      <c r="G226" s="13">
        <v>51</v>
      </c>
      <c r="H226" s="13" t="str" cm="1">
        <f t="array" ref="H226">_xlfn.IFS(G226&lt;=20,"0-20",G226&lt;=30,"20-30",G226&lt;=40,"30-40",G226&lt;=50,"50-60",G226&lt;=60,"60-70",G226&lt;=70,"70-80",G226&lt;=80,"80-90")</f>
        <v>60-70</v>
      </c>
      <c r="I226" s="13">
        <v>2767</v>
      </c>
      <c r="J226" s="13" t="str" cm="1">
        <f t="array" ref="J226">_xlfn.IFS(K226=1,"Divorciado",L226=1,"Casado",M226=1,"Solteiro",N226=1,"Juntos",O226=1,"Viuvo")</f>
        <v>Juntos</v>
      </c>
      <c r="K226" s="13">
        <v>0</v>
      </c>
      <c r="L226" s="13">
        <v>0</v>
      </c>
      <c r="M226" s="13">
        <v>0</v>
      </c>
      <c r="N226" s="13">
        <v>1</v>
      </c>
      <c r="O226" s="13">
        <v>0</v>
      </c>
      <c r="P226" s="13">
        <v>0</v>
      </c>
      <c r="Q226" s="13">
        <v>0</v>
      </c>
      <c r="R226" s="13">
        <v>0</v>
      </c>
      <c r="S226" s="13">
        <v>1</v>
      </c>
      <c r="T226" s="13">
        <v>0</v>
      </c>
      <c r="U226" s="13">
        <v>960</v>
      </c>
      <c r="V226" s="13" t="str" cm="1">
        <f t="array" ref="V226">_xlfn.IFS(U226&lt;=250,"0-R$250",U226&lt;=500,"251-R$500",U226&lt;=750,"501-R$750",U226&lt;=1000,"751-R$1000",U226&lt;=1250,"1001-R$1250",U226&lt;=1500,"1251-R$1500")</f>
        <v>751-R$1000</v>
      </c>
      <c r="W226" s="13">
        <v>28</v>
      </c>
      <c r="X226" s="13" t="str" cm="1">
        <f t="array" ref="X226">_xlfn.IFS(W226 = 0, "0", W226&lt;=20, "até R$20",W226&lt;=40, "21 - R$40",W226&lt;=60, "41- R$60",W226&lt;=80, "61 - R$80", W226&lt;=100, "81 - R$100",W226&lt;=120, "101 - R$120",W226&lt;=140, "121 - R$140", W226&lt;=160, "141- R$160", W226&lt;=180, "161 - R$180", W226&lt;=200, "181-R$194")</f>
        <v>21 - R$40</v>
      </c>
      <c r="Y226" s="13">
        <v>183</v>
      </c>
      <c r="Z226" s="13">
        <v>220</v>
      </c>
      <c r="AA226" s="13">
        <v>70</v>
      </c>
      <c r="AB226" s="13">
        <v>70</v>
      </c>
      <c r="AC226" s="13">
        <v>4</v>
      </c>
      <c r="AD226" s="13">
        <v>9</v>
      </c>
      <c r="AE226" s="13">
        <v>6</v>
      </c>
      <c r="AF226" s="13">
        <v>6</v>
      </c>
      <c r="AG226" s="13">
        <v>6</v>
      </c>
      <c r="AH226" s="13">
        <v>0</v>
      </c>
      <c r="AI226" s="13">
        <v>0</v>
      </c>
      <c r="AJ226" s="13">
        <v>0</v>
      </c>
      <c r="AK226" s="13">
        <v>0</v>
      </c>
      <c r="AL226" s="13">
        <v>0</v>
      </c>
      <c r="AM226" s="13">
        <v>0</v>
      </c>
      <c r="AN226" s="13">
        <v>0</v>
      </c>
      <c r="AO226" s="14">
        <v>0</v>
      </c>
      <c r="AP226" s="13">
        <v>3</v>
      </c>
      <c r="AQ226" s="13">
        <v>11</v>
      </c>
      <c r="AR226" s="15">
        <v>1391</v>
      </c>
      <c r="AS226" s="15">
        <v>1461</v>
      </c>
    </row>
    <row r="227" spans="1:45" x14ac:dyDescent="0.25">
      <c r="A227">
        <v>1334</v>
      </c>
      <c r="B227" s="11">
        <f t="shared" si="3"/>
        <v>69109</v>
      </c>
      <c r="C227" s="12">
        <v>691090</v>
      </c>
      <c r="D227" s="13">
        <v>0</v>
      </c>
      <c r="E227" s="13">
        <v>0</v>
      </c>
      <c r="F227" s="13">
        <v>10</v>
      </c>
      <c r="G227" s="13">
        <v>38</v>
      </c>
      <c r="H227" s="13" t="str" cm="1">
        <f t="array" ref="H227">_xlfn.IFS(G227&lt;=20,"0-20",G227&lt;=30,"20-30",G227&lt;=40,"30-40",G227&lt;=50,"50-60",G227&lt;=60,"60-70",G227&lt;=70,"70-80",G227&lt;=80,"80-90")</f>
        <v>30-40</v>
      </c>
      <c r="I227" s="13">
        <v>2756</v>
      </c>
      <c r="J227" s="13" t="str" cm="1">
        <f t="array" ref="J227">_xlfn.IFS(K227=1,"Divorciado",L227=1,"Casado",M227=1,"Solteiro",N227=1,"Juntos",O227=1,"Viuvo")</f>
        <v>Casado</v>
      </c>
      <c r="K227" s="13">
        <v>0</v>
      </c>
      <c r="L227" s="13">
        <v>1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1</v>
      </c>
      <c r="S227" s="13">
        <v>0</v>
      </c>
      <c r="T227" s="13">
        <v>0</v>
      </c>
      <c r="U227" s="13">
        <v>823</v>
      </c>
      <c r="V227" s="13" t="str" cm="1">
        <f t="array" ref="V227">_xlfn.IFS(U227&lt;=250,"0-R$250",U227&lt;=500,"251-R$500",U227&lt;=750,"501-R$750",U227&lt;=1000,"751-R$1000",U227&lt;=1250,"1001-R$1250",U227&lt;=1500,"1251-R$1500")</f>
        <v>751-R$1000</v>
      </c>
      <c r="W227" s="13">
        <v>25</v>
      </c>
      <c r="X227" s="13" t="str" cm="1">
        <f t="array" ref="X227">_xlfn.IFS(W227 = 0, "0", W227&lt;=20, "até R$20",W227&lt;=40, "21 - R$40",W227&lt;=60, "41- R$60",W227&lt;=80, "61 - R$80", W227&lt;=100, "81 - R$100",W227&lt;=120, "101 - R$120",W227&lt;=140, "121 - R$140", W227&lt;=160, "141- R$160", W227&lt;=180, "161 - R$180", W227&lt;=200, "181-R$194")</f>
        <v>21 - R$40</v>
      </c>
      <c r="Y227" s="13">
        <v>459</v>
      </c>
      <c r="Z227" s="13">
        <v>124</v>
      </c>
      <c r="AA227" s="13">
        <v>29</v>
      </c>
      <c r="AB227" s="13">
        <v>95</v>
      </c>
      <c r="AC227" s="13">
        <v>1</v>
      </c>
      <c r="AD227" s="13">
        <v>6</v>
      </c>
      <c r="AE227" s="13">
        <v>6</v>
      </c>
      <c r="AF227" s="13">
        <v>7</v>
      </c>
      <c r="AG227" s="13">
        <v>4</v>
      </c>
      <c r="AH227" s="13">
        <v>0</v>
      </c>
      <c r="AI227" s="13">
        <v>0</v>
      </c>
      <c r="AJ227" s="13">
        <v>0</v>
      </c>
      <c r="AK227" s="13">
        <v>1</v>
      </c>
      <c r="AL227" s="13">
        <v>0</v>
      </c>
      <c r="AM227" s="13">
        <v>0</v>
      </c>
      <c r="AN227" s="13">
        <v>1</v>
      </c>
      <c r="AO227" s="14">
        <v>1</v>
      </c>
      <c r="AP227" s="13">
        <v>3</v>
      </c>
      <c r="AQ227" s="13">
        <v>11</v>
      </c>
      <c r="AR227" s="15">
        <v>1365</v>
      </c>
      <c r="AS227" s="15">
        <v>1460</v>
      </c>
    </row>
    <row r="228" spans="1:45" x14ac:dyDescent="0.25">
      <c r="A228">
        <v>1839</v>
      </c>
      <c r="B228" s="11">
        <f t="shared" si="3"/>
        <v>69109</v>
      </c>
      <c r="C228" s="16">
        <v>691090</v>
      </c>
      <c r="D228" s="17">
        <v>0</v>
      </c>
      <c r="E228" s="17">
        <v>0</v>
      </c>
      <c r="F228" s="17">
        <v>10</v>
      </c>
      <c r="G228" s="17">
        <v>38</v>
      </c>
      <c r="H228" s="13" t="str" cm="1">
        <f t="array" ref="H228">_xlfn.IFS(G228&lt;=20,"0-20",G228&lt;=30,"20-30",G228&lt;=40,"30-40",G228&lt;=50,"50-60",G228&lt;=60,"60-70",G228&lt;=70,"70-80",G228&lt;=80,"80-90")</f>
        <v>30-40</v>
      </c>
      <c r="I228" s="17">
        <v>2756</v>
      </c>
      <c r="J228" s="13" t="str" cm="1">
        <f t="array" ref="J228">_xlfn.IFS(K228=1,"Divorciado",L228=1,"Casado",M228=1,"Solteiro",N228=1,"Juntos",O228=1,"Viuvo")</f>
        <v>Casado</v>
      </c>
      <c r="K228" s="17">
        <v>0</v>
      </c>
      <c r="L228" s="17">
        <v>1</v>
      </c>
      <c r="M228" s="17">
        <v>0</v>
      </c>
      <c r="N228" s="17">
        <v>0</v>
      </c>
      <c r="O228" s="17">
        <v>0</v>
      </c>
      <c r="P228" s="17">
        <v>0</v>
      </c>
      <c r="Q228" s="17">
        <v>0</v>
      </c>
      <c r="R228" s="17">
        <v>1</v>
      </c>
      <c r="S228" s="17">
        <v>0</v>
      </c>
      <c r="T228" s="17">
        <v>0</v>
      </c>
      <c r="U228" s="17">
        <v>823</v>
      </c>
      <c r="V228" s="13" t="str" cm="1">
        <f t="array" ref="V228">_xlfn.IFS(U228&lt;=250,"0-R$250",U228&lt;=500,"251-R$500",U228&lt;=750,"501-R$750",U228&lt;=1000,"751-R$1000",U228&lt;=1250,"1001-R$1250",U228&lt;=1500,"1251-R$1500")</f>
        <v>751-R$1000</v>
      </c>
      <c r="W228" s="17">
        <v>25</v>
      </c>
      <c r="X228" s="13" t="str" cm="1">
        <f t="array" ref="X228">_xlfn.IFS(W228 = 0, "0", W228&lt;=20, "até R$20",W228&lt;=40, "21 - R$40",W228&lt;=60, "41- R$60",W228&lt;=80, "61 - R$80", W228&lt;=100, "81 - R$100",W228&lt;=120, "101 - R$120",W228&lt;=140, "121 - R$140", W228&lt;=160, "141- R$160", W228&lt;=180, "161 - R$180", W228&lt;=200, "181-R$194")</f>
        <v>21 - R$40</v>
      </c>
      <c r="Y228" s="17">
        <v>459</v>
      </c>
      <c r="Z228" s="17">
        <v>124</v>
      </c>
      <c r="AA228" s="17">
        <v>29</v>
      </c>
      <c r="AB228" s="17">
        <v>95</v>
      </c>
      <c r="AC228" s="17">
        <v>1</v>
      </c>
      <c r="AD228" s="17">
        <v>6</v>
      </c>
      <c r="AE228" s="17">
        <v>6</v>
      </c>
      <c r="AF228" s="17">
        <v>7</v>
      </c>
      <c r="AG228" s="17">
        <v>4</v>
      </c>
      <c r="AH228" s="17">
        <v>0</v>
      </c>
      <c r="AI228" s="17">
        <v>0</v>
      </c>
      <c r="AJ228" s="17">
        <v>0</v>
      </c>
      <c r="AK228" s="17">
        <v>1</v>
      </c>
      <c r="AL228" s="17">
        <v>0</v>
      </c>
      <c r="AM228" s="17">
        <v>0</v>
      </c>
      <c r="AN228" s="17">
        <v>1</v>
      </c>
      <c r="AO228" s="18">
        <v>1</v>
      </c>
      <c r="AP228" s="17">
        <v>3</v>
      </c>
      <c r="AQ228" s="17">
        <v>11</v>
      </c>
      <c r="AR228" s="19">
        <v>1365</v>
      </c>
      <c r="AS228" s="19">
        <v>1460</v>
      </c>
    </row>
    <row r="229" spans="1:45" x14ac:dyDescent="0.25">
      <c r="A229">
        <v>275</v>
      </c>
      <c r="B229" s="11">
        <f t="shared" si="3"/>
        <v>79946</v>
      </c>
      <c r="C229" s="16">
        <v>799460</v>
      </c>
      <c r="D229" s="17">
        <v>0</v>
      </c>
      <c r="E229" s="17">
        <v>0</v>
      </c>
      <c r="F229" s="17">
        <v>19</v>
      </c>
      <c r="G229" s="17">
        <v>54</v>
      </c>
      <c r="H229" s="13" t="str" cm="1">
        <f t="array" ref="H229">_xlfn.IFS(G229&lt;=20,"0-20",G229&lt;=30,"20-30",G229&lt;=40,"30-40",G229&lt;=50,"50-60",G229&lt;=60,"60-70",G229&lt;=70,"70-80",G229&lt;=80,"80-90")</f>
        <v>60-70</v>
      </c>
      <c r="I229" s="17">
        <v>2207</v>
      </c>
      <c r="J229" s="13" t="str" cm="1">
        <f t="array" ref="J229">_xlfn.IFS(K229=1,"Divorciado",L229=1,"Casado",M229=1,"Solteiro",N229=1,"Juntos",O229=1,"Viuvo")</f>
        <v>Viuvo</v>
      </c>
      <c r="K229" s="17">
        <v>0</v>
      </c>
      <c r="L229" s="17">
        <v>0</v>
      </c>
      <c r="M229" s="17">
        <v>0</v>
      </c>
      <c r="N229" s="17">
        <v>0</v>
      </c>
      <c r="O229" s="17">
        <v>1</v>
      </c>
      <c r="P229" s="17">
        <v>0</v>
      </c>
      <c r="Q229" s="17">
        <v>0</v>
      </c>
      <c r="R229" s="17">
        <v>1</v>
      </c>
      <c r="S229" s="17">
        <v>0</v>
      </c>
      <c r="T229" s="17">
        <v>0</v>
      </c>
      <c r="U229" s="17">
        <v>395</v>
      </c>
      <c r="V229" s="13" t="str" cm="1">
        <f t="array" ref="V229">_xlfn.IFS(U229&lt;=250,"0-R$250",U229&lt;=500,"251-R$500",U229&lt;=750,"501-R$750",U229&lt;=1000,"751-R$1000",U229&lt;=1250,"1001-R$1250",U229&lt;=1500,"1251-R$1500")</f>
        <v>251-R$500</v>
      </c>
      <c r="W229" s="17">
        <v>183</v>
      </c>
      <c r="X229" s="13" t="str" cm="1">
        <f t="array" ref="X229">_xlfn.IFS(W229 = 0, "0", W229&lt;=20, "até R$20",W229&lt;=40, "21 - R$40",W229&lt;=60, "41- R$60",W229&lt;=80, "61 - R$80", W229&lt;=100, "81 - R$100",W229&lt;=120, "101 - R$120",W229&lt;=140, "121 - R$140", W229&lt;=160, "141- R$160", W229&lt;=180, "161 - R$180", W229&lt;=200, "181-R$194")</f>
        <v>181-R$194</v>
      </c>
      <c r="Y229" s="17">
        <v>565</v>
      </c>
      <c r="Z229" s="17">
        <v>166</v>
      </c>
      <c r="AA229" s="17">
        <v>141</v>
      </c>
      <c r="AB229" s="17">
        <v>28</v>
      </c>
      <c r="AC229" s="17">
        <v>1</v>
      </c>
      <c r="AD229" s="17">
        <v>5</v>
      </c>
      <c r="AE229" s="17">
        <v>11</v>
      </c>
      <c r="AF229" s="17">
        <v>5</v>
      </c>
      <c r="AG229" s="17">
        <v>3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8">
        <v>0</v>
      </c>
      <c r="AP229" s="17">
        <v>3</v>
      </c>
      <c r="AQ229" s="17">
        <v>11</v>
      </c>
      <c r="AR229" s="19">
        <v>1422</v>
      </c>
      <c r="AS229" s="19">
        <v>1450</v>
      </c>
    </row>
    <row r="230" spans="1:45" x14ac:dyDescent="0.25">
      <c r="A230">
        <v>230</v>
      </c>
      <c r="B230" s="11">
        <f t="shared" si="3"/>
        <v>73687</v>
      </c>
      <c r="C230" s="12">
        <v>736870</v>
      </c>
      <c r="D230" s="13">
        <v>0</v>
      </c>
      <c r="E230" s="13">
        <v>0</v>
      </c>
      <c r="F230" s="13">
        <v>8</v>
      </c>
      <c r="G230" s="13">
        <v>30</v>
      </c>
      <c r="H230" s="13" t="str" cm="1">
        <f t="array" ref="H230">_xlfn.IFS(G230&lt;=20,"0-20",G230&lt;=30,"20-30",G230&lt;=40,"30-40",G230&lt;=50,"50-60",G230&lt;=60,"60-70",G230&lt;=70,"70-80",G230&lt;=80,"80-90")</f>
        <v>20-30</v>
      </c>
      <c r="I230" s="13">
        <v>2372</v>
      </c>
      <c r="J230" s="13" t="str" cm="1">
        <f t="array" ref="J230">_xlfn.IFS(K230=1,"Divorciado",L230=1,"Casado",M230=1,"Solteiro",N230=1,"Juntos",O230=1,"Viuvo")</f>
        <v>Casado</v>
      </c>
      <c r="K230" s="13">
        <v>0</v>
      </c>
      <c r="L230" s="13">
        <v>1</v>
      </c>
      <c r="M230" s="13">
        <v>0</v>
      </c>
      <c r="N230" s="13">
        <v>0</v>
      </c>
      <c r="O230" s="13">
        <v>0</v>
      </c>
      <c r="P230" s="13">
        <v>0</v>
      </c>
      <c r="Q230" s="13">
        <v>0</v>
      </c>
      <c r="R230" s="13">
        <v>1</v>
      </c>
      <c r="S230" s="13">
        <v>0</v>
      </c>
      <c r="T230" s="13">
        <v>0</v>
      </c>
      <c r="U230" s="13">
        <v>559</v>
      </c>
      <c r="V230" s="13" t="str" cm="1">
        <f t="array" ref="V230">_xlfn.IFS(U230&lt;=250,"0-R$250",U230&lt;=500,"251-R$500",U230&lt;=750,"501-R$750",U230&lt;=1000,"751-R$1000",U230&lt;=1250,"1001-R$1250",U230&lt;=1500,"1251-R$1500")</f>
        <v>501-R$750</v>
      </c>
      <c r="W230" s="13">
        <v>153</v>
      </c>
      <c r="X230" s="13" t="str" cm="1">
        <f t="array" ref="X230">_xlfn.IFS(W230 = 0, "0", W230&lt;=20, "até R$20",W230&lt;=40, "21 - R$40",W230&lt;=60, "41- R$60",W230&lt;=80, "61 - R$80", W230&lt;=100, "81 - R$100",W230&lt;=120, "101 - R$120",W230&lt;=140, "121 - R$140", W230&lt;=160, "141- R$160", W230&lt;=180, "161 - R$180", W230&lt;=200, "181-R$194")</f>
        <v>141- R$160</v>
      </c>
      <c r="Y230" s="13">
        <v>503</v>
      </c>
      <c r="Z230" s="13">
        <v>218</v>
      </c>
      <c r="AA230" s="13">
        <v>13</v>
      </c>
      <c r="AB230" s="13">
        <v>181</v>
      </c>
      <c r="AC230" s="13">
        <v>1</v>
      </c>
      <c r="AD230" s="13">
        <v>3</v>
      </c>
      <c r="AE230" s="13">
        <v>9</v>
      </c>
      <c r="AF230" s="13">
        <v>9</v>
      </c>
      <c r="AG230" s="13">
        <v>2</v>
      </c>
      <c r="AH230" s="13">
        <v>0</v>
      </c>
      <c r="AI230" s="13">
        <v>0</v>
      </c>
      <c r="AJ230" s="13">
        <v>0</v>
      </c>
      <c r="AK230" s="13">
        <v>0</v>
      </c>
      <c r="AL230" s="13">
        <v>1</v>
      </c>
      <c r="AM230" s="13">
        <v>0</v>
      </c>
      <c r="AN230" s="13">
        <v>1</v>
      </c>
      <c r="AO230" s="14">
        <v>1</v>
      </c>
      <c r="AP230" s="13">
        <v>3</v>
      </c>
      <c r="AQ230" s="13">
        <v>11</v>
      </c>
      <c r="AR230" s="15">
        <v>1265</v>
      </c>
      <c r="AS230" s="15">
        <v>1446</v>
      </c>
    </row>
    <row r="231" spans="1:45" x14ac:dyDescent="0.25">
      <c r="A231">
        <v>818</v>
      </c>
      <c r="B231" s="11">
        <f t="shared" si="3"/>
        <v>81702</v>
      </c>
      <c r="C231" s="12">
        <v>817020</v>
      </c>
      <c r="D231" s="13">
        <v>0</v>
      </c>
      <c r="E231" s="13">
        <v>0</v>
      </c>
      <c r="F231" s="13">
        <v>98</v>
      </c>
      <c r="G231" s="13">
        <v>40</v>
      </c>
      <c r="H231" s="13" t="str" cm="1">
        <f t="array" ref="H231">_xlfn.IFS(G231&lt;=20,"0-20",G231&lt;=30,"20-30",G231&lt;=40,"30-40",G231&lt;=50,"50-60",G231&lt;=60,"60-70",G231&lt;=70,"70-80",G231&lt;=80,"80-90")</f>
        <v>30-40</v>
      </c>
      <c r="I231" s="13">
        <v>2803</v>
      </c>
      <c r="J231" s="13" t="str" cm="1">
        <f t="array" ref="J231">_xlfn.IFS(K231=1,"Divorciado",L231=1,"Casado",M231=1,"Solteiro",N231=1,"Juntos",O231=1,"Viuvo")</f>
        <v>Divorciado</v>
      </c>
      <c r="K231" s="13">
        <v>1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1</v>
      </c>
      <c r="S231" s="13">
        <v>0</v>
      </c>
      <c r="T231" s="13">
        <v>0</v>
      </c>
      <c r="U231" s="13">
        <v>563</v>
      </c>
      <c r="V231" s="13" t="str" cm="1">
        <f t="array" ref="V231">_xlfn.IFS(U231&lt;=250,"0-R$250",U231&lt;=500,"251-R$500",U231&lt;=750,"501-R$750",U231&lt;=1000,"751-R$1000",U231&lt;=1250,"1001-R$1250",U231&lt;=1500,"1251-R$1500")</f>
        <v>501-R$750</v>
      </c>
      <c r="W231" s="13">
        <v>50</v>
      </c>
      <c r="X231" s="13" t="str" cm="1">
        <f t="array" ref="X231">_xlfn.IFS(W231 = 0, "0", W231&lt;=20, "até R$20",W231&lt;=40, "21 - R$40",W231&lt;=60, "41- R$60",W231&lt;=80, "61 - R$80", W231&lt;=100, "81 - R$100",W231&lt;=120, "101 - R$120",W231&lt;=140, "121 - R$140", W231&lt;=160, "141- R$160", W231&lt;=180, "161 - R$180", W231&lt;=200, "181-R$194")</f>
        <v>41- R$60</v>
      </c>
      <c r="Y231" s="13">
        <v>774</v>
      </c>
      <c r="Z231" s="13">
        <v>28</v>
      </c>
      <c r="AA231" s="13">
        <v>31</v>
      </c>
      <c r="AB231" s="13">
        <v>187</v>
      </c>
      <c r="AC231" s="13">
        <v>1</v>
      </c>
      <c r="AD231" s="13">
        <v>7</v>
      </c>
      <c r="AE231" s="13">
        <v>7</v>
      </c>
      <c r="AF231" s="13">
        <v>12</v>
      </c>
      <c r="AG231" s="13">
        <v>3</v>
      </c>
      <c r="AH231" s="13">
        <v>0</v>
      </c>
      <c r="AI231" s="13">
        <v>0</v>
      </c>
      <c r="AJ231" s="13">
        <v>0</v>
      </c>
      <c r="AK231" s="13">
        <v>0</v>
      </c>
      <c r="AL231" s="13">
        <v>0</v>
      </c>
      <c r="AM231" s="13">
        <v>0</v>
      </c>
      <c r="AN231" s="13">
        <v>0</v>
      </c>
      <c r="AO231" s="14">
        <v>0</v>
      </c>
      <c r="AP231" s="13">
        <v>3</v>
      </c>
      <c r="AQ231" s="13">
        <v>11</v>
      </c>
      <c r="AR231" s="15">
        <v>1259</v>
      </c>
      <c r="AS231" s="15">
        <v>1446</v>
      </c>
    </row>
    <row r="232" spans="1:45" x14ac:dyDescent="0.25">
      <c r="A232">
        <v>1489</v>
      </c>
      <c r="B232" s="11">
        <f t="shared" si="3"/>
        <v>79529</v>
      </c>
      <c r="C232" s="16">
        <v>795290</v>
      </c>
      <c r="D232" s="17">
        <v>0</v>
      </c>
      <c r="E232" s="17">
        <v>0</v>
      </c>
      <c r="F232" s="17">
        <v>1</v>
      </c>
      <c r="G232" s="17">
        <v>34</v>
      </c>
      <c r="H232" s="13" t="str" cm="1">
        <f t="array" ref="H232">_xlfn.IFS(G232&lt;=20,"0-20",G232&lt;=30,"20-30",G232&lt;=40,"30-40",G232&lt;=50,"50-60",G232&lt;=60,"60-70",G232&lt;=70,"70-80",G232&lt;=80,"80-90")</f>
        <v>30-40</v>
      </c>
      <c r="I232" s="17">
        <v>2222</v>
      </c>
      <c r="J232" s="13" t="str" cm="1">
        <f t="array" ref="J232">_xlfn.IFS(K232=1,"Divorciado",L232=1,"Casado",M232=1,"Solteiro",N232=1,"Juntos",O232=1,"Viuvo")</f>
        <v>Casado</v>
      </c>
      <c r="K232" s="17">
        <v>0</v>
      </c>
      <c r="L232" s="17">
        <v>1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1</v>
      </c>
      <c r="S232" s="17">
        <v>0</v>
      </c>
      <c r="T232" s="17">
        <v>0</v>
      </c>
      <c r="U232" s="17">
        <v>423</v>
      </c>
      <c r="V232" s="13" t="str" cm="1">
        <f t="array" ref="V232">_xlfn.IFS(U232&lt;=250,"0-R$250",U232&lt;=500,"251-R$500",U232&lt;=750,"501-R$750",U232&lt;=1000,"751-R$1000",U232&lt;=1250,"1001-R$1250",U232&lt;=1500,"1251-R$1500")</f>
        <v>251-R$500</v>
      </c>
      <c r="W232" s="17">
        <v>42</v>
      </c>
      <c r="X232" s="13" t="str" cm="1">
        <f t="array" ref="X232">_xlfn.IFS(W232 = 0, "0", W232&lt;=20, "até R$20",W232&lt;=40, "21 - R$40",W232&lt;=60, "41- R$60",W232&lt;=80, "61 - R$80", W232&lt;=100, "81 - R$100",W232&lt;=120, "101 - R$120",W232&lt;=140, "121 - R$140", W232&lt;=160, "141- R$160", W232&lt;=180, "161 - R$180", W232&lt;=200, "181-R$194")</f>
        <v>41- R$60</v>
      </c>
      <c r="Y232" s="17">
        <v>706</v>
      </c>
      <c r="Z232" s="17">
        <v>73</v>
      </c>
      <c r="AA232" s="17">
        <v>197</v>
      </c>
      <c r="AB232" s="17">
        <v>197</v>
      </c>
      <c r="AC232" s="17">
        <v>1</v>
      </c>
      <c r="AD232" s="17">
        <v>4</v>
      </c>
      <c r="AE232" s="17">
        <v>8</v>
      </c>
      <c r="AF232" s="17">
        <v>9</v>
      </c>
      <c r="AG232" s="17">
        <v>2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8">
        <v>0</v>
      </c>
      <c r="AP232" s="17">
        <v>3</v>
      </c>
      <c r="AQ232" s="17">
        <v>11</v>
      </c>
      <c r="AR232" s="19">
        <v>1244</v>
      </c>
      <c r="AS232" s="19">
        <v>1441</v>
      </c>
    </row>
    <row r="233" spans="1:45" x14ac:dyDescent="0.25">
      <c r="A233">
        <v>1011</v>
      </c>
      <c r="B233" s="11">
        <f t="shared" si="3"/>
        <v>74538</v>
      </c>
      <c r="C233" s="16">
        <v>745380</v>
      </c>
      <c r="D233" s="17">
        <v>0</v>
      </c>
      <c r="E233" s="17">
        <v>0</v>
      </c>
      <c r="F233" s="17">
        <v>21</v>
      </c>
      <c r="G233" s="17">
        <v>49</v>
      </c>
      <c r="H233" s="13" t="str" cm="1">
        <f t="array" ref="H233">_xlfn.IFS(G233&lt;=20,"0-20",G233&lt;=30,"20-30",G233&lt;=40,"30-40",G233&lt;=50,"50-60",G233&lt;=60,"60-70",G233&lt;=70,"70-80",G233&lt;=80,"80-90")</f>
        <v>50-60</v>
      </c>
      <c r="I233" s="17">
        <v>2524</v>
      </c>
      <c r="J233" s="13" t="str" cm="1">
        <f t="array" ref="J233">_xlfn.IFS(K233=1,"Divorciado",L233=1,"Casado",M233=1,"Solteiro",N233=1,"Juntos",O233=1,"Viuvo")</f>
        <v>Juntos</v>
      </c>
      <c r="K233" s="17">
        <v>0</v>
      </c>
      <c r="L233" s="17">
        <v>0</v>
      </c>
      <c r="M233" s="17">
        <v>0</v>
      </c>
      <c r="N233" s="17">
        <v>1</v>
      </c>
      <c r="O233" s="17">
        <v>0</v>
      </c>
      <c r="P233" s="17">
        <v>0</v>
      </c>
      <c r="Q233" s="17">
        <v>0</v>
      </c>
      <c r="R233" s="17">
        <v>1</v>
      </c>
      <c r="S233" s="17">
        <v>0</v>
      </c>
      <c r="T233" s="17">
        <v>0</v>
      </c>
      <c r="U233" s="17">
        <v>380</v>
      </c>
      <c r="V233" s="13" t="str" cm="1">
        <f t="array" ref="V233">_xlfn.IFS(U233&lt;=250,"0-R$250",U233&lt;=500,"251-R$500",U233&lt;=750,"501-R$750",U233&lt;=1000,"751-R$1000",U233&lt;=1250,"1001-R$1250",U233&lt;=1500,"1251-R$1500")</f>
        <v>251-R$500</v>
      </c>
      <c r="W233" s="17">
        <v>98</v>
      </c>
      <c r="X233" s="13" t="str" cm="1">
        <f t="array" ref="X233">_xlfn.IFS(W233 = 0, "0", W233&lt;=20, "até R$20",W233&lt;=40, "21 - R$40",W233&lt;=60, "41- R$60",W233&lt;=80, "61 - R$80", W233&lt;=100, "81 - R$100",W233&lt;=120, "101 - R$120",W233&lt;=140, "121 - R$140", W233&lt;=160, "141- R$160", W233&lt;=180, "161 - R$180", W233&lt;=200, "181-R$194")</f>
        <v>81 - R$100</v>
      </c>
      <c r="Y233" s="17">
        <v>733</v>
      </c>
      <c r="Z233" s="17">
        <v>110</v>
      </c>
      <c r="AA233" s="17">
        <v>112</v>
      </c>
      <c r="AB233" s="17">
        <v>28</v>
      </c>
      <c r="AC233" s="17">
        <v>1</v>
      </c>
      <c r="AD233" s="17">
        <v>8</v>
      </c>
      <c r="AE233" s="17">
        <v>8</v>
      </c>
      <c r="AF233" s="17">
        <v>5</v>
      </c>
      <c r="AG233" s="17">
        <v>3</v>
      </c>
      <c r="AH233" s="17">
        <v>0</v>
      </c>
      <c r="AI233" s="17">
        <v>0</v>
      </c>
      <c r="AJ233" s="17">
        <v>0</v>
      </c>
      <c r="AK233" s="17">
        <v>1</v>
      </c>
      <c r="AL233" s="17">
        <v>0</v>
      </c>
      <c r="AM233" s="17">
        <v>0</v>
      </c>
      <c r="AN233" s="17">
        <v>1</v>
      </c>
      <c r="AO233" s="18">
        <v>1</v>
      </c>
      <c r="AP233" s="17">
        <v>3</v>
      </c>
      <c r="AQ233" s="17">
        <v>11</v>
      </c>
      <c r="AR233" s="19">
        <v>1405</v>
      </c>
      <c r="AS233" s="19">
        <v>1433</v>
      </c>
    </row>
    <row r="234" spans="1:45" x14ac:dyDescent="0.25">
      <c r="A234">
        <v>1788</v>
      </c>
      <c r="B234" s="11">
        <f t="shared" si="3"/>
        <v>63207</v>
      </c>
      <c r="C234" s="12">
        <v>632070</v>
      </c>
      <c r="D234" s="13">
        <v>0</v>
      </c>
      <c r="E234" s="13">
        <v>0</v>
      </c>
      <c r="F234" s="13">
        <v>68</v>
      </c>
      <c r="G234" s="13">
        <v>28</v>
      </c>
      <c r="H234" s="13" t="str" cm="1">
        <f t="array" ref="H234">_xlfn.IFS(G234&lt;=20,"0-20",G234&lt;=30,"20-30",G234&lt;=40,"30-40",G234&lt;=50,"50-60",G234&lt;=60,"60-70",G234&lt;=70,"70-80",G234&lt;=80,"80-90")</f>
        <v>20-30</v>
      </c>
      <c r="I234" s="13">
        <v>2684</v>
      </c>
      <c r="J234" s="13" t="str" cm="1">
        <f t="array" ref="J234">_xlfn.IFS(K234=1,"Divorciado",L234=1,"Casado",M234=1,"Solteiro",N234=1,"Juntos",O234=1,"Viuvo")</f>
        <v>Juntos</v>
      </c>
      <c r="K234" s="13">
        <v>0</v>
      </c>
      <c r="L234" s="13">
        <v>0</v>
      </c>
      <c r="M234" s="13">
        <v>0</v>
      </c>
      <c r="N234" s="13">
        <v>1</v>
      </c>
      <c r="O234" s="13">
        <v>0</v>
      </c>
      <c r="P234" s="13">
        <v>0</v>
      </c>
      <c r="Q234" s="13">
        <v>0</v>
      </c>
      <c r="R234" s="13">
        <v>1</v>
      </c>
      <c r="S234" s="13">
        <v>0</v>
      </c>
      <c r="T234" s="13">
        <v>0</v>
      </c>
      <c r="U234" s="13">
        <v>438</v>
      </c>
      <c r="V234" s="13" t="str" cm="1">
        <f t="array" ref="V234">_xlfn.IFS(U234&lt;=250,"0-R$250",U234&lt;=500,"251-R$500",U234&lt;=750,"501-R$750",U234&lt;=1000,"751-R$1000",U234&lt;=1250,"1001-R$1250",U234&lt;=1500,"1251-R$1500")</f>
        <v>251-R$500</v>
      </c>
      <c r="W234" s="13">
        <v>169</v>
      </c>
      <c r="X234" s="13" t="str" cm="1">
        <f t="array" ref="X234">_xlfn.IFS(W234 = 0, "0", W234&lt;=20, "até R$20",W234&lt;=40, "21 - R$40",W234&lt;=60, "41- R$60",W234&lt;=80, "61 - R$80", W234&lt;=100, "81 - R$100",W234&lt;=120, "101 - R$120",W234&lt;=140, "121 - R$140", W234&lt;=160, "141- R$160", W234&lt;=180, "161 - R$180", W234&lt;=200, "181-R$194")</f>
        <v>161 - R$180</v>
      </c>
      <c r="Y234" s="13">
        <v>565</v>
      </c>
      <c r="Z234" s="13">
        <v>91</v>
      </c>
      <c r="AA234" s="13">
        <v>169</v>
      </c>
      <c r="AB234" s="13">
        <v>70</v>
      </c>
      <c r="AC234" s="13">
        <v>1</v>
      </c>
      <c r="AD234" s="13">
        <v>2</v>
      </c>
      <c r="AE234" s="13">
        <v>3</v>
      </c>
      <c r="AF234" s="13">
        <v>6</v>
      </c>
      <c r="AG234" s="13">
        <v>7</v>
      </c>
      <c r="AH234" s="13">
        <v>0</v>
      </c>
      <c r="AI234" s="13">
        <v>0</v>
      </c>
      <c r="AJ234" s="13">
        <v>0</v>
      </c>
      <c r="AK234" s="13">
        <v>0</v>
      </c>
      <c r="AL234" s="13">
        <v>1</v>
      </c>
      <c r="AM234" s="13">
        <v>0</v>
      </c>
      <c r="AN234" s="13">
        <v>0</v>
      </c>
      <c r="AO234" s="14">
        <v>1</v>
      </c>
      <c r="AP234" s="13">
        <v>3</v>
      </c>
      <c r="AQ234" s="13">
        <v>11</v>
      </c>
      <c r="AR234" s="15">
        <v>1362</v>
      </c>
      <c r="AS234" s="15">
        <v>1432</v>
      </c>
    </row>
    <row r="235" spans="1:45" x14ac:dyDescent="0.25">
      <c r="A235">
        <v>715</v>
      </c>
      <c r="B235" s="11">
        <f t="shared" si="3"/>
        <v>89694</v>
      </c>
      <c r="C235" s="16">
        <v>896940</v>
      </c>
      <c r="D235" s="17">
        <v>1</v>
      </c>
      <c r="E235" s="17">
        <v>1</v>
      </c>
      <c r="F235" s="17">
        <v>22</v>
      </c>
      <c r="G235" s="17">
        <v>47</v>
      </c>
      <c r="H235" s="13" t="str" cm="1">
        <f t="array" ref="H235">_xlfn.IFS(G235&lt;=20,"0-20",G235&lt;=30,"20-30",G235&lt;=40,"30-40",G235&lt;=50,"50-60",G235&lt;=60,"60-70",G235&lt;=70,"70-80",G235&lt;=80,"80-90")</f>
        <v>50-60</v>
      </c>
      <c r="I235" s="17">
        <v>2422</v>
      </c>
      <c r="J235" s="13" t="str" cm="1">
        <f t="array" ref="J235">_xlfn.IFS(K235=1,"Divorciado",L235=1,"Casado",M235=1,"Solteiro",N235=1,"Juntos",O235=1,"Viuvo")</f>
        <v>Divorciado</v>
      </c>
      <c r="K235" s="17">
        <v>1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1</v>
      </c>
      <c r="S235" s="17">
        <v>0</v>
      </c>
      <c r="T235" s="17">
        <v>0</v>
      </c>
      <c r="U235" s="17">
        <v>1126</v>
      </c>
      <c r="V235" s="13" t="str" cm="1">
        <f t="array" ref="V235">_xlfn.IFS(U235&lt;=250,"0-R$250",U235&lt;=500,"251-R$500",U235&lt;=750,"501-R$750",U235&lt;=1000,"751-R$1000",U235&lt;=1250,"1001-R$1250",U235&lt;=1500,"1251-R$1500")</f>
        <v>1001-R$1250</v>
      </c>
      <c r="W235" s="17">
        <v>28</v>
      </c>
      <c r="X235" s="13" t="str" cm="1">
        <f t="array" ref="X235">_xlfn.IFS(W235 = 0, "0", W235&lt;=20, "até R$20",W235&lt;=40, "21 - R$40",W235&lt;=60, "41- R$60",W235&lt;=80, "61 - R$80", W235&lt;=100, "81 - R$100",W235&lt;=120, "101 - R$120",W235&lt;=140, "121 - R$140", W235&lt;=160, "141- R$160", W235&lt;=180, "161 - R$180", W235&lt;=200, "181-R$194")</f>
        <v>21 - R$40</v>
      </c>
      <c r="Y235" s="17">
        <v>211</v>
      </c>
      <c r="Z235" s="17">
        <v>37</v>
      </c>
      <c r="AA235" s="17">
        <v>28</v>
      </c>
      <c r="AB235" s="17">
        <v>42</v>
      </c>
      <c r="AC235" s="17">
        <v>3</v>
      </c>
      <c r="AD235" s="17">
        <v>4</v>
      </c>
      <c r="AE235" s="17">
        <v>3</v>
      </c>
      <c r="AF235" s="17">
        <v>4</v>
      </c>
      <c r="AG235" s="17">
        <v>5</v>
      </c>
      <c r="AH235" s="17">
        <v>0</v>
      </c>
      <c r="AI235" s="17">
        <v>0</v>
      </c>
      <c r="AJ235" s="17">
        <v>1</v>
      </c>
      <c r="AK235" s="17">
        <v>1</v>
      </c>
      <c r="AL235" s="17">
        <v>1</v>
      </c>
      <c r="AM235" s="17">
        <v>0</v>
      </c>
      <c r="AN235" s="17">
        <v>0</v>
      </c>
      <c r="AO235" s="18">
        <v>3</v>
      </c>
      <c r="AP235" s="17">
        <v>3</v>
      </c>
      <c r="AQ235" s="17">
        <v>11</v>
      </c>
      <c r="AR235" s="19">
        <v>1388</v>
      </c>
      <c r="AS235" s="19">
        <v>1430</v>
      </c>
    </row>
    <row r="236" spans="1:45" x14ac:dyDescent="0.25">
      <c r="A236">
        <v>1445</v>
      </c>
      <c r="B236" s="11">
        <f t="shared" si="3"/>
        <v>67419</v>
      </c>
      <c r="C236" s="16">
        <v>674190</v>
      </c>
      <c r="D236" s="17">
        <v>0</v>
      </c>
      <c r="E236" s="17">
        <v>1</v>
      </c>
      <c r="F236" s="17">
        <v>29</v>
      </c>
      <c r="G236" s="17">
        <v>50</v>
      </c>
      <c r="H236" s="13" t="str" cm="1">
        <f t="array" ref="H236">_xlfn.IFS(G236&lt;=20,"0-20",G236&lt;=30,"20-30",G236&lt;=40,"30-40",G236&lt;=50,"50-60",G236&lt;=60,"60-70",G236&lt;=70,"70-80",G236&lt;=80,"80-90")</f>
        <v>50-60</v>
      </c>
      <c r="I236" s="17">
        <v>2688</v>
      </c>
      <c r="J236" s="13" t="str" cm="1">
        <f t="array" ref="J236">_xlfn.IFS(K236=1,"Divorciado",L236=1,"Casado",M236=1,"Solteiro",N236=1,"Juntos",O236=1,"Viuvo")</f>
        <v>Juntos</v>
      </c>
      <c r="K236" s="17">
        <v>0</v>
      </c>
      <c r="L236" s="17">
        <v>0</v>
      </c>
      <c r="M236" s="17">
        <v>0</v>
      </c>
      <c r="N236" s="17">
        <v>1</v>
      </c>
      <c r="O236" s="17">
        <v>0</v>
      </c>
      <c r="P236" s="17">
        <v>0</v>
      </c>
      <c r="Q236" s="17">
        <v>0</v>
      </c>
      <c r="R236" s="17">
        <v>1</v>
      </c>
      <c r="S236" s="17">
        <v>0</v>
      </c>
      <c r="T236" s="17">
        <v>0</v>
      </c>
      <c r="U236" s="17">
        <v>846</v>
      </c>
      <c r="V236" s="13" t="str" cm="1">
        <f t="array" ref="V236">_xlfn.IFS(U236&lt;=250,"0-R$250",U236&lt;=500,"251-R$500",U236&lt;=750,"501-R$750",U236&lt;=1000,"751-R$1000",U236&lt;=1250,"1001-R$1250",U236&lt;=1500,"1251-R$1500")</f>
        <v>751-R$1000</v>
      </c>
      <c r="W236" s="17">
        <v>84</v>
      </c>
      <c r="X236" s="13" t="str" cm="1">
        <f t="array" ref="X236">_xlfn.IFS(W236 = 0, "0", W236&lt;=20, "até R$20",W236&lt;=40, "21 - R$40",W236&lt;=60, "41- R$60",W236&lt;=80, "61 - R$80", W236&lt;=100, "81 - R$100",W236&lt;=120, "101 - R$120",W236&lt;=140, "121 - R$140", W236&lt;=160, "141- R$160", W236&lt;=180, "161 - R$180", W236&lt;=200, "181-R$194")</f>
        <v>81 - R$100</v>
      </c>
      <c r="Y236" s="17">
        <v>352</v>
      </c>
      <c r="Z236" s="17">
        <v>91</v>
      </c>
      <c r="AA236" s="17">
        <v>56</v>
      </c>
      <c r="AB236" s="17">
        <v>42</v>
      </c>
      <c r="AC236" s="17">
        <v>4</v>
      </c>
      <c r="AD236" s="17">
        <v>9</v>
      </c>
      <c r="AE236" s="17">
        <v>4</v>
      </c>
      <c r="AF236" s="17">
        <v>8</v>
      </c>
      <c r="AG236" s="17">
        <v>5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8">
        <v>0</v>
      </c>
      <c r="AP236" s="17">
        <v>3</v>
      </c>
      <c r="AQ236" s="17">
        <v>11</v>
      </c>
      <c r="AR236" s="19">
        <v>1387</v>
      </c>
      <c r="AS236" s="19">
        <v>1429</v>
      </c>
    </row>
    <row r="237" spans="1:45" x14ac:dyDescent="0.25">
      <c r="A237">
        <v>1474</v>
      </c>
      <c r="B237" s="11">
        <f t="shared" si="3"/>
        <v>71706</v>
      </c>
      <c r="C237" s="12">
        <v>717060</v>
      </c>
      <c r="D237" s="13">
        <v>0</v>
      </c>
      <c r="E237" s="13">
        <v>1</v>
      </c>
      <c r="F237" s="13">
        <v>16</v>
      </c>
      <c r="G237" s="13">
        <v>61</v>
      </c>
      <c r="H237" s="13" t="str" cm="1">
        <f t="array" ref="H237">_xlfn.IFS(G237&lt;=20,"0-20",G237&lt;=30,"20-30",G237&lt;=40,"30-40",G237&lt;=50,"50-60",G237&lt;=60,"60-70",G237&lt;=70,"70-80",G237&lt;=80,"80-90")</f>
        <v>70-80</v>
      </c>
      <c r="I237" s="13">
        <v>2752</v>
      </c>
      <c r="J237" s="13" t="str" cm="1">
        <f t="array" ref="J237">_xlfn.IFS(K237=1,"Divorciado",L237=1,"Casado",M237=1,"Solteiro",N237=1,"Juntos",O237=1,"Viuvo")</f>
        <v>Juntos</v>
      </c>
      <c r="K237" s="13">
        <v>0</v>
      </c>
      <c r="L237" s="13">
        <v>0</v>
      </c>
      <c r="M237" s="13">
        <v>0</v>
      </c>
      <c r="N237" s="13">
        <v>1</v>
      </c>
      <c r="O237" s="13">
        <v>0</v>
      </c>
      <c r="P237" s="13">
        <v>0</v>
      </c>
      <c r="Q237" s="13">
        <v>0</v>
      </c>
      <c r="R237" s="13">
        <v>1</v>
      </c>
      <c r="S237" s="13">
        <v>0</v>
      </c>
      <c r="T237" s="13">
        <v>0</v>
      </c>
      <c r="U237" s="13">
        <v>931</v>
      </c>
      <c r="V237" s="13" t="str" cm="1">
        <f t="array" ref="V237">_xlfn.IFS(U237&lt;=250,"0-R$250",U237&lt;=500,"251-R$500",U237&lt;=750,"501-R$750",U237&lt;=1000,"751-R$1000",U237&lt;=1250,"1001-R$1250",U237&lt;=1500,"1251-R$1500")</f>
        <v>751-R$1000</v>
      </c>
      <c r="W237" s="13">
        <v>56</v>
      </c>
      <c r="X237" s="13" t="str" cm="1">
        <f t="array" ref="X237">_xlfn.IFS(W237 = 0, "0", W237&lt;=20, "até R$20",W237&lt;=40, "21 - R$40",W237&lt;=60, "41- R$60",W237&lt;=80, "61 - R$80", W237&lt;=100, "81 - R$100",W237&lt;=120, "101 - R$120",W237&lt;=140, "121 - R$140", W237&lt;=160, "141- R$160", W237&lt;=180, "161 - R$180", W237&lt;=200, "181-R$194")</f>
        <v>41- R$60</v>
      </c>
      <c r="Y237" s="13">
        <v>253</v>
      </c>
      <c r="Z237" s="13">
        <v>91</v>
      </c>
      <c r="AA237" s="13">
        <v>98</v>
      </c>
      <c r="AB237" s="13">
        <v>14</v>
      </c>
      <c r="AC237" s="13">
        <v>4</v>
      </c>
      <c r="AD237" s="13">
        <v>9</v>
      </c>
      <c r="AE237" s="13">
        <v>5</v>
      </c>
      <c r="AF237" s="13">
        <v>7</v>
      </c>
      <c r="AG237" s="13">
        <v>5</v>
      </c>
      <c r="AH237" s="13">
        <v>0</v>
      </c>
      <c r="AI237" s="13">
        <v>0</v>
      </c>
      <c r="AJ237" s="13">
        <v>0</v>
      </c>
      <c r="AK237" s="13">
        <v>0</v>
      </c>
      <c r="AL237" s="13">
        <v>0</v>
      </c>
      <c r="AM237" s="13">
        <v>0</v>
      </c>
      <c r="AN237" s="13">
        <v>0</v>
      </c>
      <c r="AO237" s="14">
        <v>0</v>
      </c>
      <c r="AP237" s="13">
        <v>3</v>
      </c>
      <c r="AQ237" s="13">
        <v>11</v>
      </c>
      <c r="AR237" s="15">
        <v>1415</v>
      </c>
      <c r="AS237" s="15">
        <v>1429</v>
      </c>
    </row>
    <row r="238" spans="1:45" x14ac:dyDescent="0.25">
      <c r="A238">
        <v>809</v>
      </c>
      <c r="B238" s="11">
        <f t="shared" si="3"/>
        <v>80995</v>
      </c>
      <c r="C238" s="16">
        <v>809950</v>
      </c>
      <c r="D238" s="17">
        <v>0</v>
      </c>
      <c r="E238" s="17">
        <v>1</v>
      </c>
      <c r="F238" s="17">
        <v>83</v>
      </c>
      <c r="G238" s="17">
        <v>62</v>
      </c>
      <c r="H238" s="13" t="str" cm="1">
        <f t="array" ref="H238">_xlfn.IFS(G238&lt;=20,"0-20",G238&lt;=30,"20-30",G238&lt;=40,"30-40",G238&lt;=50,"50-60",G238&lt;=60,"60-70",G238&lt;=70,"70-80",G238&lt;=80,"80-90")</f>
        <v>70-80</v>
      </c>
      <c r="I238" s="17">
        <v>2573</v>
      </c>
      <c r="J238" s="13" t="str" cm="1">
        <f t="array" ref="J238">_xlfn.IFS(K238=1,"Divorciado",L238=1,"Casado",M238=1,"Solteiro",N238=1,"Juntos",O238=1,"Viuvo")</f>
        <v>Viuvo</v>
      </c>
      <c r="K238" s="17">
        <v>0</v>
      </c>
      <c r="L238" s="17">
        <v>0</v>
      </c>
      <c r="M238" s="17">
        <v>0</v>
      </c>
      <c r="N238" s="17">
        <v>0</v>
      </c>
      <c r="O238" s="17">
        <v>1</v>
      </c>
      <c r="P238" s="17">
        <v>0</v>
      </c>
      <c r="Q238" s="17">
        <v>0</v>
      </c>
      <c r="R238" s="17">
        <v>0</v>
      </c>
      <c r="S238" s="17">
        <v>0</v>
      </c>
      <c r="T238" s="17">
        <v>1</v>
      </c>
      <c r="U238" s="17">
        <v>860</v>
      </c>
      <c r="V238" s="13" t="str" cm="1">
        <f t="array" ref="V238">_xlfn.IFS(U238&lt;=250,"0-R$250",U238&lt;=500,"251-R$500",U238&lt;=750,"501-R$750",U238&lt;=1000,"751-R$1000",U238&lt;=1250,"1001-R$1250",U238&lt;=1500,"1251-R$1500")</f>
        <v>751-R$1000</v>
      </c>
      <c r="W238" s="17">
        <v>28</v>
      </c>
      <c r="X238" s="13" t="str" cm="1">
        <f t="array" ref="X238">_xlfn.IFS(W238 = 0, "0", W238&lt;=20, "até R$20",W238&lt;=40, "21 - R$40",W238&lt;=60, "41- R$60",W238&lt;=80, "61 - R$80", W238&lt;=100, "81 - R$100",W238&lt;=120, "101 - R$120",W238&lt;=140, "121 - R$140", W238&lt;=160, "141- R$160", W238&lt;=180, "161 - R$180", W238&lt;=200, "181-R$194")</f>
        <v>21 - R$40</v>
      </c>
      <c r="Y238" s="17">
        <v>409</v>
      </c>
      <c r="Z238" s="17">
        <v>73</v>
      </c>
      <c r="AA238" s="17">
        <v>56</v>
      </c>
      <c r="AB238" s="17">
        <v>56</v>
      </c>
      <c r="AC238" s="17">
        <v>1</v>
      </c>
      <c r="AD238" s="17">
        <v>8</v>
      </c>
      <c r="AE238" s="17">
        <v>9</v>
      </c>
      <c r="AF238" s="17">
        <v>4</v>
      </c>
      <c r="AG238" s="17">
        <v>4</v>
      </c>
      <c r="AH238" s="17">
        <v>0</v>
      </c>
      <c r="AI238" s="17">
        <v>0</v>
      </c>
      <c r="AJ238" s="17">
        <v>0</v>
      </c>
      <c r="AK238" s="17">
        <v>0</v>
      </c>
      <c r="AL238" s="17">
        <v>0</v>
      </c>
      <c r="AM238" s="17">
        <v>0</v>
      </c>
      <c r="AN238" s="17">
        <v>0</v>
      </c>
      <c r="AO238" s="18">
        <v>0</v>
      </c>
      <c r="AP238" s="17">
        <v>3</v>
      </c>
      <c r="AQ238" s="17">
        <v>11</v>
      </c>
      <c r="AR238" s="19">
        <v>1370</v>
      </c>
      <c r="AS238" s="19">
        <v>1426</v>
      </c>
    </row>
    <row r="239" spans="1:45" x14ac:dyDescent="0.25">
      <c r="A239">
        <v>891</v>
      </c>
      <c r="B239" s="11">
        <f t="shared" si="3"/>
        <v>78420</v>
      </c>
      <c r="C239" s="16">
        <v>784200</v>
      </c>
      <c r="D239" s="17">
        <v>0</v>
      </c>
      <c r="E239" s="17">
        <v>0</v>
      </c>
      <c r="F239" s="17">
        <v>75</v>
      </c>
      <c r="G239" s="17">
        <v>54</v>
      </c>
      <c r="H239" s="13" t="str" cm="1">
        <f t="array" ref="H239">_xlfn.IFS(G239&lt;=20,"0-20",G239&lt;=30,"20-30",G239&lt;=40,"30-40",G239&lt;=50,"50-60",G239&lt;=60,"60-70",G239&lt;=70,"70-80",G239&lt;=80,"80-90")</f>
        <v>60-70</v>
      </c>
      <c r="I239" s="17">
        <v>2524</v>
      </c>
      <c r="J239" s="13" t="str" cm="1">
        <f t="array" ref="J239">_xlfn.IFS(K239=1,"Divorciado",L239=1,"Casado",M239=1,"Solteiro",N239=1,"Juntos",O239=1,"Viuvo")</f>
        <v>Solteiro</v>
      </c>
      <c r="K239" s="17">
        <v>0</v>
      </c>
      <c r="L239" s="17">
        <v>0</v>
      </c>
      <c r="M239" s="17">
        <v>1</v>
      </c>
      <c r="N239" s="17">
        <v>0</v>
      </c>
      <c r="O239" s="17">
        <v>0</v>
      </c>
      <c r="P239" s="17">
        <v>0</v>
      </c>
      <c r="Q239" s="17">
        <v>0</v>
      </c>
      <c r="R239" s="17">
        <v>0</v>
      </c>
      <c r="S239" s="17">
        <v>0</v>
      </c>
      <c r="T239" s="17">
        <v>1</v>
      </c>
      <c r="U239" s="17">
        <v>604</v>
      </c>
      <c r="V239" s="13" t="str" cm="1">
        <f t="array" ref="V239">_xlfn.IFS(U239&lt;=250,"0-R$250",U239&lt;=500,"251-R$500",U239&lt;=750,"501-R$750",U239&lt;=1000,"751-R$1000",U239&lt;=1250,"1001-R$1250",U239&lt;=1500,"1251-R$1500")</f>
        <v>501-R$750</v>
      </c>
      <c r="W239" s="17">
        <v>28</v>
      </c>
      <c r="X239" s="13" t="str" cm="1">
        <f t="array" ref="X239">_xlfn.IFS(W239 = 0, "0", W239&lt;=20, "até R$20",W239&lt;=40, "21 - R$40",W239&lt;=60, "41- R$60",W239&lt;=80, "61 - R$80", W239&lt;=100, "81 - R$100",W239&lt;=120, "101 - R$120",W239&lt;=140, "121 - R$140", W239&lt;=160, "141- R$160", W239&lt;=180, "161 - R$180", W239&lt;=200, "181-R$194")</f>
        <v>21 - R$40</v>
      </c>
      <c r="Y239" s="17">
        <v>674</v>
      </c>
      <c r="Z239" s="17">
        <v>91</v>
      </c>
      <c r="AA239" s="17">
        <v>28</v>
      </c>
      <c r="AB239" s="17">
        <v>28</v>
      </c>
      <c r="AC239" s="17">
        <v>1</v>
      </c>
      <c r="AD239" s="17">
        <v>3</v>
      </c>
      <c r="AE239" s="17">
        <v>10</v>
      </c>
      <c r="AF239" s="17">
        <v>8</v>
      </c>
      <c r="AG239" s="17">
        <v>1</v>
      </c>
      <c r="AH239" s="17">
        <v>0</v>
      </c>
      <c r="AI239" s="17">
        <v>0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8">
        <v>0</v>
      </c>
      <c r="AP239" s="17">
        <v>3</v>
      </c>
      <c r="AQ239" s="17">
        <v>11</v>
      </c>
      <c r="AR239" s="19">
        <v>1397</v>
      </c>
      <c r="AS239" s="19">
        <v>1425</v>
      </c>
    </row>
    <row r="240" spans="1:45" x14ac:dyDescent="0.25">
      <c r="A240">
        <v>1132</v>
      </c>
      <c r="B240" s="11">
        <f t="shared" si="3"/>
        <v>68142</v>
      </c>
      <c r="C240" s="12">
        <v>681420</v>
      </c>
      <c r="D240" s="13">
        <v>0</v>
      </c>
      <c r="E240" s="13">
        <v>1</v>
      </c>
      <c r="F240" s="13">
        <v>96</v>
      </c>
      <c r="G240" s="13">
        <v>56</v>
      </c>
      <c r="H240" s="13" t="str" cm="1">
        <f t="array" ref="H240">_xlfn.IFS(G240&lt;=20,"0-20",G240&lt;=30,"20-30",G240&lt;=40,"30-40",G240&lt;=50,"50-60",G240&lt;=60,"60-70",G240&lt;=70,"70-80",G240&lt;=80,"80-90")</f>
        <v>60-70</v>
      </c>
      <c r="I240" s="13">
        <v>2828</v>
      </c>
      <c r="J240" s="13" t="str" cm="1">
        <f t="array" ref="J240">_xlfn.IFS(K240=1,"Divorciado",L240=1,"Casado",M240=1,"Solteiro",N240=1,"Juntos",O240=1,"Viuvo")</f>
        <v>Juntos</v>
      </c>
      <c r="K240" s="13">
        <v>0</v>
      </c>
      <c r="L240" s="13">
        <v>0</v>
      </c>
      <c r="M240" s="13">
        <v>0</v>
      </c>
      <c r="N240" s="13">
        <v>1</v>
      </c>
      <c r="O240" s="13">
        <v>0</v>
      </c>
      <c r="P240" s="13">
        <v>0</v>
      </c>
      <c r="Q240" s="13">
        <v>0</v>
      </c>
      <c r="R240" s="13">
        <v>1</v>
      </c>
      <c r="S240" s="13">
        <v>0</v>
      </c>
      <c r="T240" s="13">
        <v>0</v>
      </c>
      <c r="U240" s="13">
        <v>897</v>
      </c>
      <c r="V240" s="13" t="str" cm="1">
        <f t="array" ref="V240">_xlfn.IFS(U240&lt;=250,"0-R$250",U240&lt;=500,"251-R$500",U240&lt;=750,"501-R$750",U240&lt;=1000,"751-R$1000",U240&lt;=1250,"1001-R$1250",U240&lt;=1500,"1251-R$1500")</f>
        <v>751-R$1000</v>
      </c>
      <c r="W240" s="13">
        <v>126</v>
      </c>
      <c r="X240" s="13" t="str" cm="1">
        <f t="array" ref="X240">_xlfn.IFS(W240 = 0, "0", W240&lt;=20, "até R$20",W240&lt;=40, "21 - R$40",W240&lt;=60, "41- R$60",W240&lt;=80, "61 - R$80", W240&lt;=100, "81 - R$100",W240&lt;=120, "101 - R$120",W240&lt;=140, "121 - R$140", W240&lt;=160, "141- R$160", W240&lt;=180, "161 - R$180", W240&lt;=200, "181-R$194")</f>
        <v>121 - R$140</v>
      </c>
      <c r="Y240" s="13">
        <v>196</v>
      </c>
      <c r="Z240" s="13">
        <v>91</v>
      </c>
      <c r="AA240" s="13">
        <v>112</v>
      </c>
      <c r="AB240" s="13">
        <v>37</v>
      </c>
      <c r="AC240" s="13">
        <v>3</v>
      </c>
      <c r="AD240" s="13">
        <v>10</v>
      </c>
      <c r="AE240" s="13">
        <v>4</v>
      </c>
      <c r="AF240" s="13">
        <v>7</v>
      </c>
      <c r="AG240" s="13">
        <v>6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14">
        <v>0</v>
      </c>
      <c r="AP240" s="13">
        <v>3</v>
      </c>
      <c r="AQ240" s="13">
        <v>11</v>
      </c>
      <c r="AR240" s="15">
        <v>1385</v>
      </c>
      <c r="AS240" s="15">
        <v>1422</v>
      </c>
    </row>
    <row r="241" spans="1:45" x14ac:dyDescent="0.25">
      <c r="A241">
        <v>1172</v>
      </c>
      <c r="B241" s="11">
        <f t="shared" si="3"/>
        <v>67369</v>
      </c>
      <c r="C241" s="12">
        <v>673690</v>
      </c>
      <c r="D241" s="13">
        <v>0</v>
      </c>
      <c r="E241" s="13">
        <v>1</v>
      </c>
      <c r="F241" s="13">
        <v>81</v>
      </c>
      <c r="G241" s="13">
        <v>51</v>
      </c>
      <c r="H241" s="13" t="str" cm="1">
        <f t="array" ref="H241">_xlfn.IFS(G241&lt;=20,"0-20",G241&lt;=30,"20-30",G241&lt;=40,"30-40",G241&lt;=50,"50-60",G241&lt;=60,"60-70",G241&lt;=70,"70-80",G241&lt;=80,"80-90")</f>
        <v>60-70</v>
      </c>
      <c r="I241" s="13">
        <v>2748</v>
      </c>
      <c r="J241" s="13" t="str" cm="1">
        <f t="array" ref="J241">_xlfn.IFS(K241=1,"Divorciado",L241=1,"Casado",M241=1,"Solteiro",N241=1,"Juntos",O241=1,"Viuvo")</f>
        <v>Viuvo</v>
      </c>
      <c r="K241" s="13">
        <v>0</v>
      </c>
      <c r="L241" s="13">
        <v>0</v>
      </c>
      <c r="M241" s="13">
        <v>0</v>
      </c>
      <c r="N241" s="13">
        <v>0</v>
      </c>
      <c r="O241" s="13">
        <v>1</v>
      </c>
      <c r="P241" s="13">
        <v>0</v>
      </c>
      <c r="Q241" s="13">
        <v>0</v>
      </c>
      <c r="R241" s="13">
        <v>0</v>
      </c>
      <c r="S241" s="13">
        <v>1</v>
      </c>
      <c r="T241" s="13">
        <v>0</v>
      </c>
      <c r="U241" s="13">
        <v>1298</v>
      </c>
      <c r="V241" s="13" t="str" cm="1">
        <f t="array" ref="V241">_xlfn.IFS(U241&lt;=250,"0-R$250",U241&lt;=500,"251-R$500",U241&lt;=750,"501-R$750",U241&lt;=1000,"751-R$1000",U241&lt;=1250,"1001-R$1250",U241&lt;=1500,"1251-R$1500")</f>
        <v>1251-R$1500</v>
      </c>
      <c r="W241" s="13">
        <v>0</v>
      </c>
      <c r="X241" s="13" t="str" cm="1">
        <f t="array" ref="X241">_xlfn.IFS(W241 = 0, "0", W241&lt;=20, "até R$20",W241&lt;=40, "21 - R$40",W241&lt;=60, "41- R$60",W241&lt;=80, "61 - R$80", W241&lt;=100, "81 - R$100",W241&lt;=120, "101 - R$120",W241&lt;=140, "121 - R$140", W241&lt;=160, "141- R$160", W241&lt;=180, "161 - R$180", W241&lt;=200, "181-R$194")</f>
        <v>0</v>
      </c>
      <c r="Y241" s="13">
        <v>70</v>
      </c>
      <c r="Z241" s="13">
        <v>37</v>
      </c>
      <c r="AA241" s="13">
        <v>14</v>
      </c>
      <c r="AB241" s="13">
        <v>42</v>
      </c>
      <c r="AC241" s="13">
        <v>4</v>
      </c>
      <c r="AD241" s="13">
        <v>7</v>
      </c>
      <c r="AE241" s="13">
        <v>4</v>
      </c>
      <c r="AF241" s="13">
        <v>10</v>
      </c>
      <c r="AG241" s="13">
        <v>4</v>
      </c>
      <c r="AH241" s="13">
        <v>0</v>
      </c>
      <c r="AI241" s="13">
        <v>0</v>
      </c>
      <c r="AJ241" s="13">
        <v>1</v>
      </c>
      <c r="AK241" s="13">
        <v>1</v>
      </c>
      <c r="AL241" s="13">
        <v>0</v>
      </c>
      <c r="AM241" s="13">
        <v>0</v>
      </c>
      <c r="AN241" s="13">
        <v>1</v>
      </c>
      <c r="AO241" s="14">
        <v>2</v>
      </c>
      <c r="AP241" s="13">
        <v>3</v>
      </c>
      <c r="AQ241" s="13">
        <v>11</v>
      </c>
      <c r="AR241" s="15">
        <v>1377</v>
      </c>
      <c r="AS241" s="15">
        <v>1419</v>
      </c>
    </row>
    <row r="242" spans="1:45" x14ac:dyDescent="0.25">
      <c r="A242">
        <v>2087</v>
      </c>
      <c r="B242" s="11">
        <f t="shared" si="3"/>
        <v>72217</v>
      </c>
      <c r="C242" s="16">
        <v>722170</v>
      </c>
      <c r="D242" s="17">
        <v>0</v>
      </c>
      <c r="E242" s="17">
        <v>0</v>
      </c>
      <c r="F242" s="17">
        <v>93</v>
      </c>
      <c r="G242" s="17">
        <v>58</v>
      </c>
      <c r="H242" s="13" t="str" cm="1">
        <f t="array" ref="H242">_xlfn.IFS(G242&lt;=20,"0-20",G242&lt;=30,"20-30",G242&lt;=40,"30-40",G242&lt;=50,"50-60",G242&lt;=60,"60-70",G242&lt;=70,"70-80",G242&lt;=80,"80-90")</f>
        <v>60-70</v>
      </c>
      <c r="I242" s="17">
        <v>2604</v>
      </c>
      <c r="J242" s="13" t="str" cm="1">
        <f t="array" ref="J242">_xlfn.IFS(K242=1,"Divorciado",L242=1,"Casado",M242=1,"Solteiro",N242=1,"Juntos",O242=1,"Viuvo")</f>
        <v>Solteiro</v>
      </c>
      <c r="K242" s="17">
        <v>0</v>
      </c>
      <c r="L242" s="17">
        <v>0</v>
      </c>
      <c r="M242" s="17">
        <v>1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1</v>
      </c>
      <c r="T242" s="17">
        <v>0</v>
      </c>
      <c r="U242" s="17">
        <v>816</v>
      </c>
      <c r="V242" s="13" t="str" cm="1">
        <f t="array" ref="V242">_xlfn.IFS(U242&lt;=250,"0-R$250",U242&lt;=500,"251-R$500",U242&lt;=750,"501-R$750",U242&lt;=1000,"751-R$1000",U242&lt;=1250,"1001-R$1250",U242&lt;=1500,"1251-R$1500")</f>
        <v>751-R$1000</v>
      </c>
      <c r="W242" s="17">
        <v>42</v>
      </c>
      <c r="X242" s="13" t="str" cm="1">
        <f t="array" ref="X242">_xlfn.IFS(W242 = 0, "0", W242&lt;=20, "até R$20",W242&lt;=40, "21 - R$40",W242&lt;=60, "41- R$60",W242&lt;=80, "61 - R$80", W242&lt;=100, "81 - R$100",W242&lt;=120, "101 - R$120",W242&lt;=140, "121 - R$140", W242&lt;=160, "141- R$160", W242&lt;=180, "161 - R$180", W242&lt;=200, "181-R$194")</f>
        <v>41- R$60</v>
      </c>
      <c r="Y242" s="17">
        <v>450</v>
      </c>
      <c r="Z242" s="17">
        <v>55</v>
      </c>
      <c r="AA242" s="17">
        <v>56</v>
      </c>
      <c r="AB242" s="17">
        <v>154</v>
      </c>
      <c r="AC242" s="17">
        <v>1</v>
      </c>
      <c r="AD242" s="17">
        <v>3</v>
      </c>
      <c r="AE242" s="17">
        <v>10</v>
      </c>
      <c r="AF242" s="17">
        <v>8</v>
      </c>
      <c r="AG242" s="17">
        <v>2</v>
      </c>
      <c r="AH242" s="17">
        <v>0</v>
      </c>
      <c r="AI242" s="17">
        <v>0</v>
      </c>
      <c r="AJ242" s="17">
        <v>0</v>
      </c>
      <c r="AK242" s="17">
        <v>0</v>
      </c>
      <c r="AL242" s="17">
        <v>0</v>
      </c>
      <c r="AM242" s="17">
        <v>0</v>
      </c>
      <c r="AN242" s="17">
        <v>0</v>
      </c>
      <c r="AO242" s="18">
        <v>0</v>
      </c>
      <c r="AP242" s="17">
        <v>3</v>
      </c>
      <c r="AQ242" s="17">
        <v>11</v>
      </c>
      <c r="AR242" s="19">
        <v>1265</v>
      </c>
      <c r="AS242" s="19">
        <v>1419</v>
      </c>
    </row>
    <row r="243" spans="1:45" x14ac:dyDescent="0.25">
      <c r="A243">
        <v>731</v>
      </c>
      <c r="B243" s="11">
        <f t="shared" si="3"/>
        <v>83443</v>
      </c>
      <c r="C243" s="16">
        <v>834430</v>
      </c>
      <c r="D243" s="17">
        <v>0</v>
      </c>
      <c r="E243" s="17">
        <v>0</v>
      </c>
      <c r="F243" s="17">
        <v>89</v>
      </c>
      <c r="G243" s="17">
        <v>48</v>
      </c>
      <c r="H243" s="13" t="str" cm="1">
        <f t="array" ref="H243">_xlfn.IFS(G243&lt;=20,"0-20",G243&lt;=30,"20-30",G243&lt;=40,"30-40",G243&lt;=50,"50-60",G243&lt;=60,"60-70",G243&lt;=70,"70-80",G243&lt;=80,"80-90")</f>
        <v>50-60</v>
      </c>
      <c r="I243" s="17">
        <v>2339</v>
      </c>
      <c r="J243" s="13" t="str" cm="1">
        <f t="array" ref="J243">_xlfn.IFS(K243=1,"Divorciado",L243=1,"Casado",M243=1,"Solteiro",N243=1,"Juntos",O243=1,"Viuvo")</f>
        <v>Juntos</v>
      </c>
      <c r="K243" s="17">
        <v>0</v>
      </c>
      <c r="L243" s="17">
        <v>0</v>
      </c>
      <c r="M243" s="17">
        <v>0</v>
      </c>
      <c r="N243" s="17">
        <v>1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1</v>
      </c>
      <c r="U243" s="17">
        <v>518</v>
      </c>
      <c r="V243" s="13" t="str" cm="1">
        <f t="array" ref="V243">_xlfn.IFS(U243&lt;=250,"0-R$250",U243&lt;=500,"251-R$500",U243&lt;=750,"501-R$750",U243&lt;=1000,"751-R$1000",U243&lt;=1250,"1001-R$1250",U243&lt;=1500,"1251-R$1500")</f>
        <v>501-R$750</v>
      </c>
      <c r="W243" s="17">
        <v>42</v>
      </c>
      <c r="X243" s="13" t="str" cm="1">
        <f t="array" ref="X243">_xlfn.IFS(W243 = 0, "0", W243&lt;=20, "até R$20",W243&lt;=40, "21 - R$40",W243&lt;=60, "41- R$60",W243&lt;=80, "61 - R$80", W243&lt;=100, "81 - R$100",W243&lt;=120, "101 - R$120",W243&lt;=140, "121 - R$140", W243&lt;=160, "141- R$160", W243&lt;=180, "161 - R$180", W243&lt;=200, "181-R$194")</f>
        <v>41- R$60</v>
      </c>
      <c r="Y243" s="17">
        <v>742</v>
      </c>
      <c r="Z243" s="17">
        <v>55</v>
      </c>
      <c r="AA243" s="17">
        <v>56</v>
      </c>
      <c r="AB243" s="17">
        <v>84</v>
      </c>
      <c r="AC243" s="17">
        <v>1</v>
      </c>
      <c r="AD243" s="17">
        <v>6</v>
      </c>
      <c r="AE243" s="17">
        <v>10</v>
      </c>
      <c r="AF243" s="17">
        <v>5</v>
      </c>
      <c r="AG243" s="17">
        <v>2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8">
        <v>0</v>
      </c>
      <c r="AP243" s="17">
        <v>3</v>
      </c>
      <c r="AQ243" s="17">
        <v>11</v>
      </c>
      <c r="AR243" s="19">
        <v>1329</v>
      </c>
      <c r="AS243" s="19">
        <v>1413</v>
      </c>
    </row>
    <row r="244" spans="1:45" x14ac:dyDescent="0.25">
      <c r="A244">
        <v>321</v>
      </c>
      <c r="B244" s="11">
        <f t="shared" si="3"/>
        <v>75693</v>
      </c>
      <c r="C244" s="16">
        <v>756930</v>
      </c>
      <c r="D244" s="17">
        <v>0</v>
      </c>
      <c r="E244" s="17">
        <v>0</v>
      </c>
      <c r="F244" s="17">
        <v>10</v>
      </c>
      <c r="G244" s="17">
        <v>52</v>
      </c>
      <c r="H244" s="13" t="str" cm="1">
        <f t="array" ref="H244">_xlfn.IFS(G244&lt;=20,"0-20",G244&lt;=30,"20-30",G244&lt;=40,"30-40",G244&lt;=50,"50-60",G244&lt;=60,"60-70",G244&lt;=70,"70-80",G244&lt;=80,"80-90")</f>
        <v>60-70</v>
      </c>
      <c r="I244" s="17">
        <v>2729</v>
      </c>
      <c r="J244" s="13" t="str" cm="1">
        <f t="array" ref="J244">_xlfn.IFS(K244=1,"Divorciado",L244=1,"Casado",M244=1,"Solteiro",N244=1,"Juntos",O244=1,"Viuvo")</f>
        <v>Divorciado</v>
      </c>
      <c r="K244" s="17">
        <v>1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1</v>
      </c>
      <c r="S244" s="17">
        <v>0</v>
      </c>
      <c r="T244" s="17">
        <v>0</v>
      </c>
      <c r="U244" s="17">
        <v>797</v>
      </c>
      <c r="V244" s="13" t="str" cm="1">
        <f t="array" ref="V244">_xlfn.IFS(U244&lt;=250,"0-R$250",U244&lt;=500,"251-R$500",U244&lt;=750,"501-R$750",U244&lt;=1000,"751-R$1000",U244&lt;=1250,"1001-R$1250",U244&lt;=1500,"1251-R$1500")</f>
        <v>751-R$1000</v>
      </c>
      <c r="W244" s="17">
        <v>153</v>
      </c>
      <c r="X244" s="13" t="str" cm="1">
        <f t="array" ref="X244">_xlfn.IFS(W244 = 0, "0", W244&lt;=20, "até R$20",W244&lt;=40, "21 - R$40",W244&lt;=60, "41- R$60",W244&lt;=80, "61 - R$80", W244&lt;=100, "81 - R$100",W244&lt;=120, "101 - R$120",W244&lt;=140, "121 - R$140", W244&lt;=160, "141- R$160", W244&lt;=180, "161 - R$180", W244&lt;=200, "181-R$194")</f>
        <v>141- R$160</v>
      </c>
      <c r="Y244" s="17">
        <v>293</v>
      </c>
      <c r="Z244" s="17">
        <v>72</v>
      </c>
      <c r="AA244" s="17">
        <v>97</v>
      </c>
      <c r="AB244" s="17">
        <v>30</v>
      </c>
      <c r="AC244" s="17">
        <v>1</v>
      </c>
      <c r="AD244" s="17">
        <v>11</v>
      </c>
      <c r="AE244" s="17">
        <v>4</v>
      </c>
      <c r="AF244" s="17">
        <v>6</v>
      </c>
      <c r="AG244" s="17">
        <v>4</v>
      </c>
      <c r="AH244" s="17">
        <v>0</v>
      </c>
      <c r="AI244" s="17">
        <v>0</v>
      </c>
      <c r="AJ244" s="17">
        <v>1</v>
      </c>
      <c r="AK244" s="17">
        <v>1</v>
      </c>
      <c r="AL244" s="17">
        <v>1</v>
      </c>
      <c r="AM244" s="17">
        <v>0</v>
      </c>
      <c r="AN244" s="17">
        <v>1</v>
      </c>
      <c r="AO244" s="18">
        <v>3</v>
      </c>
      <c r="AP244" s="17">
        <v>3</v>
      </c>
      <c r="AQ244" s="17">
        <v>11</v>
      </c>
      <c r="AR244" s="19">
        <v>1382</v>
      </c>
      <c r="AS244" s="19">
        <v>1412</v>
      </c>
    </row>
    <row r="245" spans="1:45" x14ac:dyDescent="0.25">
      <c r="A245">
        <v>887</v>
      </c>
      <c r="B245" s="11">
        <f t="shared" si="3"/>
        <v>86429</v>
      </c>
      <c r="C245" s="16">
        <v>864290</v>
      </c>
      <c r="D245" s="17">
        <v>0</v>
      </c>
      <c r="E245" s="17">
        <v>0</v>
      </c>
      <c r="F245" s="17">
        <v>10</v>
      </c>
      <c r="G245" s="17">
        <v>59</v>
      </c>
      <c r="H245" s="13" t="str" cm="1">
        <f t="array" ref="H245">_xlfn.IFS(G245&lt;=20,"0-20",G245&lt;=30,"20-30",G245&lt;=40,"30-40",G245&lt;=50,"50-60",G245&lt;=60,"60-70",G245&lt;=70,"70-80",G245&lt;=80,"80-90")</f>
        <v>60-70</v>
      </c>
      <c r="I245" s="17">
        <v>2379</v>
      </c>
      <c r="J245" s="13" t="str" cm="1">
        <f t="array" ref="J245">_xlfn.IFS(K245=1,"Divorciado",L245=1,"Casado",M245=1,"Solteiro",N245=1,"Juntos",O245=1,"Viuvo")</f>
        <v>Solteiro</v>
      </c>
      <c r="K245" s="17">
        <v>0</v>
      </c>
      <c r="L245" s="17">
        <v>0</v>
      </c>
      <c r="M245" s="17">
        <v>1</v>
      </c>
      <c r="N245" s="17">
        <v>0</v>
      </c>
      <c r="O245" s="17">
        <v>0</v>
      </c>
      <c r="P245" s="17">
        <v>0</v>
      </c>
      <c r="Q245" s="17">
        <v>0</v>
      </c>
      <c r="R245" s="17">
        <v>1</v>
      </c>
      <c r="S245" s="17">
        <v>0</v>
      </c>
      <c r="T245" s="17">
        <v>0</v>
      </c>
      <c r="U245" s="17">
        <v>464</v>
      </c>
      <c r="V245" s="13" t="str" cm="1">
        <f t="array" ref="V245">_xlfn.IFS(U245&lt;=250,"0-R$250",U245&lt;=500,"251-R$500",U245&lt;=750,"501-R$750",U245&lt;=1000,"751-R$1000",U245&lt;=1250,"1001-R$1250",U245&lt;=1500,"1251-R$1500")</f>
        <v>251-R$500</v>
      </c>
      <c r="W245" s="17">
        <v>28</v>
      </c>
      <c r="X245" s="13" t="str" cm="1">
        <f t="array" ref="X245">_xlfn.IFS(W245 = 0, "0", W245&lt;=20, "até R$20",W245&lt;=40, "21 - R$40",W245&lt;=60, "41- R$60",W245&lt;=80, "61 - R$80", W245&lt;=100, "81 - R$100",W245&lt;=120, "101 - R$120",W245&lt;=140, "121 - R$140", W245&lt;=160, "141- R$160", W245&lt;=180, "161 - R$180", W245&lt;=200, "181-R$194")</f>
        <v>21 - R$40</v>
      </c>
      <c r="Y245" s="17">
        <v>873</v>
      </c>
      <c r="Z245" s="17">
        <v>29</v>
      </c>
      <c r="AA245" s="17">
        <v>18</v>
      </c>
      <c r="AB245" s="17">
        <v>37</v>
      </c>
      <c r="AC245" s="17">
        <v>0</v>
      </c>
      <c r="AD245" s="17">
        <v>7</v>
      </c>
      <c r="AE245" s="17">
        <v>4</v>
      </c>
      <c r="AF245" s="17">
        <v>7</v>
      </c>
      <c r="AG245" s="17">
        <v>2</v>
      </c>
      <c r="AH245" s="17">
        <v>0</v>
      </c>
      <c r="AI245" s="17">
        <v>0</v>
      </c>
      <c r="AJ245" s="17">
        <v>0</v>
      </c>
      <c r="AK245" s="17">
        <v>0</v>
      </c>
      <c r="AL245" s="17">
        <v>1</v>
      </c>
      <c r="AM245" s="17">
        <v>0</v>
      </c>
      <c r="AN245" s="17">
        <v>1</v>
      </c>
      <c r="AO245" s="18">
        <v>1</v>
      </c>
      <c r="AP245" s="17">
        <v>3</v>
      </c>
      <c r="AQ245" s="17">
        <v>11</v>
      </c>
      <c r="AR245" s="19">
        <v>1375</v>
      </c>
      <c r="AS245" s="19">
        <v>1412</v>
      </c>
    </row>
    <row r="246" spans="1:45" x14ac:dyDescent="0.25">
      <c r="A246">
        <v>621</v>
      </c>
      <c r="B246" s="11">
        <f t="shared" si="3"/>
        <v>63120</v>
      </c>
      <c r="C246" s="16">
        <v>631200</v>
      </c>
      <c r="D246" s="17">
        <v>0</v>
      </c>
      <c r="E246" s="17">
        <v>1</v>
      </c>
      <c r="F246" s="17">
        <v>53</v>
      </c>
      <c r="G246" s="17">
        <v>70</v>
      </c>
      <c r="H246" s="13" t="str" cm="1">
        <f t="array" ref="H246">_xlfn.IFS(G246&lt;=20,"0-20",G246&lt;=30,"20-30",G246&lt;=40,"30-40",G246&lt;=50,"50-60",G246&lt;=60,"60-70",G246&lt;=70,"70-80",G246&lt;=80,"80-90")</f>
        <v>70-80</v>
      </c>
      <c r="I246" s="17">
        <v>2798</v>
      </c>
      <c r="J246" s="13" t="str" cm="1">
        <f t="array" ref="J246">_xlfn.IFS(K246=1,"Divorciado",L246=1,"Casado",M246=1,"Solteiro",N246=1,"Juntos",O246=1,"Viuvo")</f>
        <v>Divorciado</v>
      </c>
      <c r="K246" s="17">
        <v>1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1</v>
      </c>
      <c r="T246" s="17">
        <v>0</v>
      </c>
      <c r="U246" s="17">
        <v>965</v>
      </c>
      <c r="V246" s="13" t="str" cm="1">
        <f t="array" ref="V246">_xlfn.IFS(U246&lt;=250,"0-R$250",U246&lt;=500,"251-R$500",U246&lt;=750,"501-R$750",U246&lt;=1000,"751-R$1000",U246&lt;=1250,"1001-R$1250",U246&lt;=1500,"1251-R$1500")</f>
        <v>751-R$1000</v>
      </c>
      <c r="W246" s="17">
        <v>69</v>
      </c>
      <c r="X246" s="13" t="str" cm="1">
        <f t="array" ref="X246">_xlfn.IFS(W246 = 0, "0", W246&lt;=20, "até R$20",W246&lt;=40, "21 - R$40",W246&lt;=60, "41- R$60",W246&lt;=80, "61 - R$80", W246&lt;=100, "81 - R$100",W246&lt;=120, "101 - R$120",W246&lt;=140, "121 - R$140", W246&lt;=160, "141- R$160", W246&lt;=180, "161 - R$180", W246&lt;=200, "181-R$194")</f>
        <v>61 - R$80</v>
      </c>
      <c r="Y246" s="17">
        <v>279</v>
      </c>
      <c r="Z246" s="17">
        <v>54</v>
      </c>
      <c r="AA246" s="17">
        <v>41</v>
      </c>
      <c r="AB246" s="17">
        <v>69</v>
      </c>
      <c r="AC246" s="17">
        <v>5</v>
      </c>
      <c r="AD246" s="17">
        <v>8</v>
      </c>
      <c r="AE246" s="17">
        <v>4</v>
      </c>
      <c r="AF246" s="17">
        <v>9</v>
      </c>
      <c r="AG246" s="17">
        <v>7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1</v>
      </c>
      <c r="AO246" s="18">
        <v>0</v>
      </c>
      <c r="AP246" s="17">
        <v>3</v>
      </c>
      <c r="AQ246" s="17">
        <v>11</v>
      </c>
      <c r="AR246" s="19">
        <v>1339</v>
      </c>
      <c r="AS246" s="19">
        <v>1408</v>
      </c>
    </row>
    <row r="247" spans="1:45" x14ac:dyDescent="0.25">
      <c r="A247">
        <v>1096</v>
      </c>
      <c r="B247" s="11">
        <f t="shared" si="3"/>
        <v>71819</v>
      </c>
      <c r="C247" s="12">
        <v>718190</v>
      </c>
      <c r="D247" s="13">
        <v>0</v>
      </c>
      <c r="E247" s="13">
        <v>1</v>
      </c>
      <c r="F247" s="13">
        <v>70</v>
      </c>
      <c r="G247" s="13">
        <v>49</v>
      </c>
      <c r="H247" s="13" t="str" cm="1">
        <f t="array" ref="H247">_xlfn.IFS(G247&lt;=20,"0-20",G247&lt;=30,"20-30",G247&lt;=40,"30-40",G247&lt;=50,"50-60",G247&lt;=60,"60-70",G247&lt;=70,"70-80",G247&lt;=80,"80-90")</f>
        <v>50-60</v>
      </c>
      <c r="I247" s="13">
        <v>2464</v>
      </c>
      <c r="J247" s="13" t="str" cm="1">
        <f t="array" ref="J247">_xlfn.IFS(K247=1,"Divorciado",L247=1,"Casado",M247=1,"Solteiro",N247=1,"Juntos",O247=1,"Viuvo")</f>
        <v>Juntos</v>
      </c>
      <c r="K247" s="13">
        <v>0</v>
      </c>
      <c r="L247" s="13">
        <v>0</v>
      </c>
      <c r="M247" s="13">
        <v>0</v>
      </c>
      <c r="N247" s="13">
        <v>1</v>
      </c>
      <c r="O247" s="13">
        <v>0</v>
      </c>
      <c r="P247" s="13">
        <v>0</v>
      </c>
      <c r="Q247" s="13">
        <v>0</v>
      </c>
      <c r="R247" s="13">
        <v>1</v>
      </c>
      <c r="S247" s="13">
        <v>0</v>
      </c>
      <c r="T247" s="13">
        <v>0</v>
      </c>
      <c r="U247" s="13">
        <v>1224</v>
      </c>
      <c r="V247" s="13" t="str" cm="1">
        <f t="array" ref="V247">_xlfn.IFS(U247&lt;=250,"0-R$250",U247&lt;=500,"251-R$500",U247&lt;=750,"501-R$750",U247&lt;=1000,"751-R$1000",U247&lt;=1250,"1001-R$1250",U247&lt;=1500,"1251-R$1500")</f>
        <v>1001-R$1250</v>
      </c>
      <c r="W247" s="13">
        <v>28</v>
      </c>
      <c r="X247" s="13" t="str" cm="1">
        <f t="array" ref="X247">_xlfn.IFS(W247 = 0, "0", W247&lt;=20, "até R$20",W247&lt;=40, "21 - R$40",W247&lt;=60, "41- R$60",W247&lt;=80, "61 - R$80", W247&lt;=100, "81 - R$100",W247&lt;=120, "101 - R$120",W247&lt;=140, "121 - R$140", W247&lt;=160, "141- R$160", W247&lt;=180, "161 - R$180", W247&lt;=200, "181-R$194")</f>
        <v>21 - R$40</v>
      </c>
      <c r="Y247" s="13">
        <v>140</v>
      </c>
      <c r="Z247" s="13">
        <v>0</v>
      </c>
      <c r="AA247" s="13">
        <v>14</v>
      </c>
      <c r="AB247" s="13">
        <v>168</v>
      </c>
      <c r="AC247" s="13">
        <v>3</v>
      </c>
      <c r="AD247" s="13">
        <v>3</v>
      </c>
      <c r="AE247" s="13">
        <v>3</v>
      </c>
      <c r="AF247" s="13">
        <v>5</v>
      </c>
      <c r="AG247" s="13">
        <v>6</v>
      </c>
      <c r="AH247" s="13">
        <v>0</v>
      </c>
      <c r="AI247" s="13">
        <v>0</v>
      </c>
      <c r="AJ247" s="13">
        <v>1</v>
      </c>
      <c r="AK247" s="13">
        <v>1</v>
      </c>
      <c r="AL247" s="13">
        <v>0</v>
      </c>
      <c r="AM247" s="13">
        <v>0</v>
      </c>
      <c r="AN247" s="13">
        <v>0</v>
      </c>
      <c r="AO247" s="14">
        <v>2</v>
      </c>
      <c r="AP247" s="13">
        <v>3</v>
      </c>
      <c r="AQ247" s="13">
        <v>11</v>
      </c>
      <c r="AR247" s="15">
        <v>1238</v>
      </c>
      <c r="AS247" s="15">
        <v>1406</v>
      </c>
    </row>
    <row r="248" spans="1:45" x14ac:dyDescent="0.25">
      <c r="A248">
        <v>2181</v>
      </c>
      <c r="B248" s="11">
        <f t="shared" si="3"/>
        <v>80617</v>
      </c>
      <c r="C248" s="16">
        <v>806170</v>
      </c>
      <c r="D248" s="17">
        <v>0</v>
      </c>
      <c r="E248" s="17">
        <v>0</v>
      </c>
      <c r="F248" s="17">
        <v>42</v>
      </c>
      <c r="G248" s="17">
        <v>25</v>
      </c>
      <c r="H248" s="13" t="str" cm="1">
        <f t="array" ref="H248">_xlfn.IFS(G248&lt;=20,"0-20",G248&lt;=30,"20-30",G248&lt;=40,"30-40",G248&lt;=50,"50-60",G248&lt;=60,"60-70",G248&lt;=70,"70-80",G248&lt;=80,"80-90")</f>
        <v>20-30</v>
      </c>
      <c r="I248" s="17">
        <v>2784</v>
      </c>
      <c r="J248" s="13" t="str" cm="1">
        <f t="array" ref="J248">_xlfn.IFS(K248=1,"Divorciado",L248=1,"Casado",M248=1,"Solteiro",N248=1,"Juntos",O248=1,"Viuvo")</f>
        <v>Solteiro</v>
      </c>
      <c r="K248" s="17">
        <v>0</v>
      </c>
      <c r="L248" s="17">
        <v>0</v>
      </c>
      <c r="M248" s="17">
        <v>1</v>
      </c>
      <c r="N248" s="17">
        <v>0</v>
      </c>
      <c r="O248" s="17">
        <v>0</v>
      </c>
      <c r="P248" s="17">
        <v>1</v>
      </c>
      <c r="Q248" s="17">
        <v>0</v>
      </c>
      <c r="R248" s="17">
        <v>0</v>
      </c>
      <c r="S248" s="17">
        <v>0</v>
      </c>
      <c r="T248" s="17">
        <v>0</v>
      </c>
      <c r="U248" s="17">
        <v>594</v>
      </c>
      <c r="V248" s="13" t="str" cm="1">
        <f t="array" ref="V248">_xlfn.IFS(U248&lt;=250,"0-R$250",U248&lt;=500,"251-R$500",U248&lt;=750,"501-R$750",U248&lt;=1000,"751-R$1000",U248&lt;=1250,"1001-R$1250",U248&lt;=1500,"1251-R$1500")</f>
        <v>501-R$750</v>
      </c>
      <c r="W248" s="17">
        <v>51</v>
      </c>
      <c r="X248" s="13" t="str" cm="1">
        <f t="array" ref="X248">_xlfn.IFS(W248 = 0, "0", W248&lt;=20, "até R$20",W248&lt;=40, "21 - R$40",W248&lt;=60, "41- R$60",W248&lt;=80, "61 - R$80", W248&lt;=100, "81 - R$100",W248&lt;=120, "101 - R$120",W248&lt;=140, "121 - R$140", W248&lt;=160, "141- R$160", W248&lt;=180, "161 - R$180", W248&lt;=200, "181-R$194")</f>
        <v>41- R$60</v>
      </c>
      <c r="Y248" s="17">
        <v>631</v>
      </c>
      <c r="Z248" s="17">
        <v>72</v>
      </c>
      <c r="AA248" s="17">
        <v>55</v>
      </c>
      <c r="AB248" s="17">
        <v>32</v>
      </c>
      <c r="AC248" s="17">
        <v>1</v>
      </c>
      <c r="AD248" s="17">
        <v>4</v>
      </c>
      <c r="AE248" s="17">
        <v>6</v>
      </c>
      <c r="AF248" s="17">
        <v>8</v>
      </c>
      <c r="AG248" s="17">
        <v>2</v>
      </c>
      <c r="AH248" s="17">
        <v>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18">
        <v>0</v>
      </c>
      <c r="AP248" s="17">
        <v>3</v>
      </c>
      <c r="AQ248" s="17">
        <v>11</v>
      </c>
      <c r="AR248" s="19">
        <v>1371</v>
      </c>
      <c r="AS248" s="19">
        <v>1403</v>
      </c>
    </row>
    <row r="249" spans="1:45" x14ac:dyDescent="0.25">
      <c r="A249">
        <v>1389</v>
      </c>
      <c r="B249" s="11">
        <f t="shared" si="3"/>
        <v>80589</v>
      </c>
      <c r="C249" s="16">
        <v>805890</v>
      </c>
      <c r="D249" s="17">
        <v>0</v>
      </c>
      <c r="E249" s="17">
        <v>0</v>
      </c>
      <c r="F249" s="17">
        <v>25</v>
      </c>
      <c r="G249" s="17">
        <v>76</v>
      </c>
      <c r="H249" s="13" t="str" cm="1">
        <f t="array" ref="H249">_xlfn.IFS(G249&lt;=20,"0-20",G249&lt;=30,"20-30",G249&lt;=40,"30-40",G249&lt;=50,"50-60",G249&lt;=60,"60-70",G249&lt;=70,"70-80",G249&lt;=80,"80-90")</f>
        <v>80-90</v>
      </c>
      <c r="I249" s="17">
        <v>2317</v>
      </c>
      <c r="J249" s="13" t="str" cm="1">
        <f t="array" ref="J249">_xlfn.IFS(K249=1,"Divorciado",L249=1,"Casado",M249=1,"Solteiro",N249=1,"Juntos",O249=1,"Viuvo")</f>
        <v>Casado</v>
      </c>
      <c r="K249" s="17">
        <v>0</v>
      </c>
      <c r="L249" s="17">
        <v>1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1</v>
      </c>
      <c r="S249" s="17">
        <v>0</v>
      </c>
      <c r="T249" s="17">
        <v>0</v>
      </c>
      <c r="U249" s="17">
        <v>507</v>
      </c>
      <c r="V249" s="13" t="str" cm="1">
        <f t="array" ref="V249">_xlfn.IFS(U249&lt;=250,"0-R$250",U249&lt;=500,"251-R$500",U249&lt;=750,"501-R$750",U249&lt;=1000,"751-R$1000",U249&lt;=1250,"1001-R$1250",U249&lt;=1500,"1251-R$1500")</f>
        <v>501-R$750</v>
      </c>
      <c r="W249" s="17">
        <v>93</v>
      </c>
      <c r="X249" s="13" t="str" cm="1">
        <f t="array" ref="X249">_xlfn.IFS(W249 = 0, "0", W249&lt;=20, "até R$20",W249&lt;=40, "21 - R$40",W249&lt;=60, "41- R$60",W249&lt;=80, "61 - R$80", W249&lt;=100, "81 - R$100",W249&lt;=120, "101 - R$120",W249&lt;=140, "121 - R$140", W249&lt;=160, "141- R$160", W249&lt;=180, "161 - R$180", W249&lt;=200, "181-R$194")</f>
        <v>81 - R$100</v>
      </c>
      <c r="Y249" s="17">
        <v>520</v>
      </c>
      <c r="Z249" s="17">
        <v>242</v>
      </c>
      <c r="AA249" s="17">
        <v>40</v>
      </c>
      <c r="AB249" s="17">
        <v>26</v>
      </c>
      <c r="AC249" s="17">
        <v>1</v>
      </c>
      <c r="AD249" s="17">
        <v>5</v>
      </c>
      <c r="AE249" s="17">
        <v>10</v>
      </c>
      <c r="AF249" s="17">
        <v>5</v>
      </c>
      <c r="AG249" s="17">
        <v>1</v>
      </c>
      <c r="AH249" s="17">
        <v>0</v>
      </c>
      <c r="AI249" s="17">
        <v>0</v>
      </c>
      <c r="AJ249" s="17">
        <v>0</v>
      </c>
      <c r="AK249" s="17">
        <v>0</v>
      </c>
      <c r="AL249" s="17">
        <v>1</v>
      </c>
      <c r="AM249" s="17">
        <v>0</v>
      </c>
      <c r="AN249" s="17">
        <v>1</v>
      </c>
      <c r="AO249" s="18">
        <v>1</v>
      </c>
      <c r="AP249" s="17">
        <v>3</v>
      </c>
      <c r="AQ249" s="17">
        <v>11</v>
      </c>
      <c r="AR249" s="19">
        <v>1376</v>
      </c>
      <c r="AS249" s="19">
        <v>1402</v>
      </c>
    </row>
    <row r="250" spans="1:45" x14ac:dyDescent="0.25">
      <c r="A250">
        <v>1915</v>
      </c>
      <c r="B250" s="11">
        <f t="shared" si="3"/>
        <v>73356</v>
      </c>
      <c r="C250" s="16">
        <v>733560</v>
      </c>
      <c r="D250" s="17">
        <v>0</v>
      </c>
      <c r="E250" s="17">
        <v>0</v>
      </c>
      <c r="F250" s="17">
        <v>56</v>
      </c>
      <c r="G250" s="17">
        <v>36</v>
      </c>
      <c r="H250" s="13" t="str" cm="1">
        <f t="array" ref="H250">_xlfn.IFS(G250&lt;=20,"0-20",G250&lt;=30,"20-30",G250&lt;=40,"30-40",G250&lt;=50,"50-60",G250&lt;=60,"60-70",G250&lt;=70,"70-80",G250&lt;=80,"80-90")</f>
        <v>30-40</v>
      </c>
      <c r="I250" s="17">
        <v>2302</v>
      </c>
      <c r="J250" s="13" t="str" cm="1">
        <f t="array" ref="J250">_xlfn.IFS(K250=1,"Divorciado",L250=1,"Casado",M250=1,"Solteiro",N250=1,"Juntos",O250=1,"Viuvo")</f>
        <v>Casado</v>
      </c>
      <c r="K250" s="17">
        <v>0</v>
      </c>
      <c r="L250" s="17">
        <v>1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1</v>
      </c>
      <c r="U250" s="17">
        <v>1050</v>
      </c>
      <c r="V250" s="13" t="str" cm="1">
        <f t="array" ref="V250">_xlfn.IFS(U250&lt;=250,"0-R$250",U250&lt;=500,"251-R$500",U250&lt;=750,"501-R$750",U250&lt;=1000,"751-R$1000",U250&lt;=1250,"1001-R$1250",U250&lt;=1500,"1251-R$1500")</f>
        <v>1001-R$1250</v>
      </c>
      <c r="W250" s="17">
        <v>14</v>
      </c>
      <c r="X250" s="13" t="str" cm="1">
        <f t="array" ref="X250">_xlfn.IFS(W250 = 0, "0", W250&lt;=20, "até R$20",W250&lt;=40, "21 - R$40",W250&lt;=60, "41- R$60",W250&lt;=80, "61 - R$80", W250&lt;=100, "81 - R$100",W250&lt;=120, "101 - R$120",W250&lt;=140, "121 - R$140", W250&lt;=160, "141- R$160", W250&lt;=180, "161 - R$180", W250&lt;=200, "181-R$194")</f>
        <v>até R$20</v>
      </c>
      <c r="Y250" s="17">
        <v>322</v>
      </c>
      <c r="Z250" s="17">
        <v>0</v>
      </c>
      <c r="AA250" s="17">
        <v>14</v>
      </c>
      <c r="AB250" s="17">
        <v>112</v>
      </c>
      <c r="AC250" s="17">
        <v>1</v>
      </c>
      <c r="AD250" s="17">
        <v>5</v>
      </c>
      <c r="AE250" s="17">
        <v>11</v>
      </c>
      <c r="AF250" s="17">
        <v>5</v>
      </c>
      <c r="AG250" s="17">
        <v>2</v>
      </c>
      <c r="AH250" s="17">
        <v>0</v>
      </c>
      <c r="AI250" s="17">
        <v>1</v>
      </c>
      <c r="AJ250" s="17">
        <v>0</v>
      </c>
      <c r="AK250" s="17">
        <v>1</v>
      </c>
      <c r="AL250" s="17">
        <v>1</v>
      </c>
      <c r="AM250" s="17">
        <v>0</v>
      </c>
      <c r="AN250" s="17">
        <v>1</v>
      </c>
      <c r="AO250" s="18">
        <v>3</v>
      </c>
      <c r="AP250" s="17">
        <v>3</v>
      </c>
      <c r="AQ250" s="17">
        <v>11</v>
      </c>
      <c r="AR250" s="19">
        <v>1288</v>
      </c>
      <c r="AS250" s="19">
        <v>1400</v>
      </c>
    </row>
    <row r="251" spans="1:45" x14ac:dyDescent="0.25">
      <c r="A251">
        <v>760</v>
      </c>
      <c r="B251" s="11">
        <f t="shared" si="3"/>
        <v>72258</v>
      </c>
      <c r="C251" s="12">
        <v>722580</v>
      </c>
      <c r="D251" s="13">
        <v>0</v>
      </c>
      <c r="E251" s="13">
        <v>1</v>
      </c>
      <c r="F251" s="13">
        <v>28</v>
      </c>
      <c r="G251" s="13">
        <v>49</v>
      </c>
      <c r="H251" s="13" t="str" cm="1">
        <f t="array" ref="H251">_xlfn.IFS(G251&lt;=20,"0-20",G251&lt;=30,"20-30",G251&lt;=40,"30-40",G251&lt;=50,"50-60",G251&lt;=60,"60-70",G251&lt;=70,"70-80",G251&lt;=80,"80-90")</f>
        <v>50-60</v>
      </c>
      <c r="I251" s="13">
        <v>2449</v>
      </c>
      <c r="J251" s="13" t="str" cm="1">
        <f t="array" ref="J251">_xlfn.IFS(K251=1,"Divorciado",L251=1,"Casado",M251=1,"Solteiro",N251=1,"Juntos",O251=1,"Viuvo")</f>
        <v>Solteiro</v>
      </c>
      <c r="K251" s="13">
        <v>0</v>
      </c>
      <c r="L251" s="13">
        <v>0</v>
      </c>
      <c r="M251" s="13">
        <v>1</v>
      </c>
      <c r="N251" s="13">
        <v>0</v>
      </c>
      <c r="O251" s="13">
        <v>0</v>
      </c>
      <c r="P251" s="13">
        <v>0</v>
      </c>
      <c r="Q251" s="13">
        <v>0</v>
      </c>
      <c r="R251" s="13">
        <v>1</v>
      </c>
      <c r="S251" s="13">
        <v>0</v>
      </c>
      <c r="T251" s="13">
        <v>0</v>
      </c>
      <c r="U251" s="13">
        <v>522</v>
      </c>
      <c r="V251" s="13" t="str" cm="1">
        <f t="array" ref="V251">_xlfn.IFS(U251&lt;=250,"0-R$250",U251&lt;=500,"251-R$500",U251&lt;=750,"501-R$750",U251&lt;=1000,"751-R$1000",U251&lt;=1250,"1001-R$1250",U251&lt;=1500,"1251-R$1500")</f>
        <v>501-R$750</v>
      </c>
      <c r="W251" s="13">
        <v>0</v>
      </c>
      <c r="X251" s="13" t="str" cm="1">
        <f t="array" ref="X251">_xlfn.IFS(W251 = 0, "0", W251&lt;=20, "até R$20",W251&lt;=40, "21 - R$40",W251&lt;=60, "41- R$60",W251&lt;=80, "61 - R$80", W251&lt;=100, "81 - R$100",W251&lt;=120, "101 - R$120",W251&lt;=140, "121 - R$140", W251&lt;=160, "141- R$160", W251&lt;=180, "161 - R$180", W251&lt;=200, "181-R$194")</f>
        <v>0</v>
      </c>
      <c r="Y251" s="13">
        <v>522</v>
      </c>
      <c r="Z251" s="13">
        <v>227</v>
      </c>
      <c r="AA251" s="13">
        <v>120</v>
      </c>
      <c r="AB251" s="13">
        <v>134</v>
      </c>
      <c r="AC251" s="13">
        <v>2</v>
      </c>
      <c r="AD251" s="13">
        <v>6</v>
      </c>
      <c r="AE251" s="13">
        <v>9</v>
      </c>
      <c r="AF251" s="13">
        <v>5</v>
      </c>
      <c r="AG251" s="13">
        <v>2</v>
      </c>
      <c r="AH251" s="13">
        <v>0</v>
      </c>
      <c r="AI251" s="13">
        <v>0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4">
        <v>0</v>
      </c>
      <c r="AP251" s="13">
        <v>3</v>
      </c>
      <c r="AQ251" s="13">
        <v>11</v>
      </c>
      <c r="AR251" s="15">
        <v>1257</v>
      </c>
      <c r="AS251" s="15">
        <v>1391</v>
      </c>
    </row>
    <row r="252" spans="1:45" x14ac:dyDescent="0.25">
      <c r="A252">
        <v>743</v>
      </c>
      <c r="B252" s="11">
        <f t="shared" si="3"/>
        <v>78285</v>
      </c>
      <c r="C252" s="16">
        <v>782850</v>
      </c>
      <c r="D252" s="17">
        <v>0</v>
      </c>
      <c r="E252" s="17">
        <v>0</v>
      </c>
      <c r="F252" s="17">
        <v>13</v>
      </c>
      <c r="G252" s="17">
        <v>32</v>
      </c>
      <c r="H252" s="13" t="str" cm="1">
        <f t="array" ref="H252">_xlfn.IFS(G252&lt;=20,"0-20",G252&lt;=30,"20-30",G252&lt;=40,"30-40",G252&lt;=50,"50-60",G252&lt;=60,"60-70",G252&lt;=70,"70-80",G252&lt;=80,"80-90")</f>
        <v>30-40</v>
      </c>
      <c r="I252" s="17">
        <v>2403</v>
      </c>
      <c r="J252" s="13" t="str" cm="1">
        <f t="array" ref="J252">_xlfn.IFS(K252=1,"Divorciado",L252=1,"Casado",M252=1,"Solteiro",N252=1,"Juntos",O252=1,"Viuvo")</f>
        <v>Casado</v>
      </c>
      <c r="K252" s="17">
        <v>0</v>
      </c>
      <c r="L252" s="17">
        <v>1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1</v>
      </c>
      <c r="T252" s="17">
        <v>0</v>
      </c>
      <c r="U252" s="17">
        <v>647</v>
      </c>
      <c r="V252" s="13" t="str" cm="1">
        <f t="array" ref="V252">_xlfn.IFS(U252&lt;=250,"0-R$250",U252&lt;=500,"251-R$500",U252&lt;=750,"501-R$750",U252&lt;=1000,"751-R$1000",U252&lt;=1250,"1001-R$1250",U252&lt;=1500,"1251-R$1500")</f>
        <v>501-R$750</v>
      </c>
      <c r="W252" s="17">
        <v>107</v>
      </c>
      <c r="X252" s="13" t="str" cm="1">
        <f t="array" ref="X252">_xlfn.IFS(W252 = 0, "0", W252&lt;=20, "até R$20",W252&lt;=40, "21 - R$40",W252&lt;=60, "41- R$60",W252&lt;=80, "61 - R$80", W252&lt;=100, "81 - R$100",W252&lt;=120, "101 - R$120",W252&lt;=140, "121 - R$140", W252&lt;=160, "141- R$160", W252&lt;=180, "161 - R$180", W252&lt;=200, "181-R$194")</f>
        <v>101 - R$120</v>
      </c>
      <c r="Y252" s="17">
        <v>391</v>
      </c>
      <c r="Z252" s="17">
        <v>175</v>
      </c>
      <c r="AA252" s="17">
        <v>67</v>
      </c>
      <c r="AB252" s="17">
        <v>40</v>
      </c>
      <c r="AC252" s="17">
        <v>1</v>
      </c>
      <c r="AD252" s="17">
        <v>6</v>
      </c>
      <c r="AE252" s="17">
        <v>4</v>
      </c>
      <c r="AF252" s="17">
        <v>10</v>
      </c>
      <c r="AG252" s="17">
        <v>3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8">
        <v>0</v>
      </c>
      <c r="AP252" s="17">
        <v>3</v>
      </c>
      <c r="AQ252" s="17">
        <v>11</v>
      </c>
      <c r="AR252" s="19">
        <v>1347</v>
      </c>
      <c r="AS252" s="19">
        <v>1387</v>
      </c>
    </row>
    <row r="253" spans="1:45" x14ac:dyDescent="0.25">
      <c r="A253">
        <v>790</v>
      </c>
      <c r="B253" s="11">
        <f t="shared" si="3"/>
        <v>72504</v>
      </c>
      <c r="C253" s="12">
        <v>725040</v>
      </c>
      <c r="D253" s="13">
        <v>0</v>
      </c>
      <c r="E253" s="13">
        <v>1</v>
      </c>
      <c r="F253" s="13">
        <v>43</v>
      </c>
      <c r="G253" s="13">
        <v>48</v>
      </c>
      <c r="H253" s="13" t="str" cm="1">
        <f t="array" ref="H253">_xlfn.IFS(G253&lt;=20,"0-20",G253&lt;=30,"20-30",G253&lt;=40,"30-40",G253&lt;=50,"50-60",G253&lt;=60,"60-70",G253&lt;=70,"70-80",G253&lt;=80,"80-90")</f>
        <v>50-60</v>
      </c>
      <c r="I253" s="13">
        <v>2608</v>
      </c>
      <c r="J253" s="13" t="str" cm="1">
        <f t="array" ref="J253">_xlfn.IFS(K253=1,"Divorciado",L253=1,"Casado",M253=1,"Solteiro",N253=1,"Juntos",O253=1,"Viuvo")</f>
        <v>Solteiro</v>
      </c>
      <c r="K253" s="13">
        <v>0</v>
      </c>
      <c r="L253" s="13">
        <v>0</v>
      </c>
      <c r="M253" s="13">
        <v>1</v>
      </c>
      <c r="N253" s="13">
        <v>0</v>
      </c>
      <c r="O253" s="13">
        <v>0</v>
      </c>
      <c r="P253" s="13">
        <v>0</v>
      </c>
      <c r="Q253" s="13">
        <v>0</v>
      </c>
      <c r="R253" s="13">
        <v>1</v>
      </c>
      <c r="S253" s="13">
        <v>0</v>
      </c>
      <c r="T253" s="13">
        <v>0</v>
      </c>
      <c r="U253" s="13">
        <v>604</v>
      </c>
      <c r="V253" s="13" t="str" cm="1">
        <f t="array" ref="V253">_xlfn.IFS(U253&lt;=250,"0-R$250",U253&lt;=500,"251-R$500",U253&lt;=750,"501-R$750",U253&lt;=1000,"751-R$1000",U253&lt;=1250,"1001-R$1250",U253&lt;=1500,"1251-R$1500")</f>
        <v>501-R$750</v>
      </c>
      <c r="W253" s="13">
        <v>26</v>
      </c>
      <c r="X253" s="13" t="str" cm="1">
        <f t="array" ref="X253">_xlfn.IFS(W253 = 0, "0", W253&lt;=20, "até R$20",W253&lt;=40, "21 - R$40",W253&lt;=60, "41- R$60",W253&lt;=80, "61 - R$80", W253&lt;=100, "81 - R$100",W253&lt;=120, "101 - R$120",W253&lt;=140, "121 - R$140", W253&lt;=160, "141- R$160", W253&lt;=180, "161 - R$180", W253&lt;=200, "181-R$194")</f>
        <v>21 - R$40</v>
      </c>
      <c r="Y253" s="13">
        <v>470</v>
      </c>
      <c r="Z253" s="13">
        <v>123</v>
      </c>
      <c r="AA253" s="13">
        <v>161</v>
      </c>
      <c r="AB253" s="13">
        <v>94</v>
      </c>
      <c r="AC253" s="13">
        <v>2</v>
      </c>
      <c r="AD253" s="13">
        <v>5</v>
      </c>
      <c r="AE253" s="13">
        <v>9</v>
      </c>
      <c r="AF253" s="13">
        <v>6</v>
      </c>
      <c r="AG253" s="13">
        <v>2</v>
      </c>
      <c r="AH253" s="13">
        <v>0</v>
      </c>
      <c r="AI253" s="13">
        <v>0</v>
      </c>
      <c r="AJ253" s="13">
        <v>0</v>
      </c>
      <c r="AK253" s="13">
        <v>0</v>
      </c>
      <c r="AL253" s="13">
        <v>0</v>
      </c>
      <c r="AM253" s="13">
        <v>0</v>
      </c>
      <c r="AN253" s="13">
        <v>0</v>
      </c>
      <c r="AO253" s="14">
        <v>0</v>
      </c>
      <c r="AP253" s="13">
        <v>3</v>
      </c>
      <c r="AQ253" s="13">
        <v>11</v>
      </c>
      <c r="AR253" s="15">
        <v>1290</v>
      </c>
      <c r="AS253" s="15">
        <v>1384</v>
      </c>
    </row>
    <row r="254" spans="1:45" x14ac:dyDescent="0.25">
      <c r="A254">
        <v>1981</v>
      </c>
      <c r="B254" s="11">
        <f t="shared" si="3"/>
        <v>63684</v>
      </c>
      <c r="C254" s="16">
        <v>636840</v>
      </c>
      <c r="D254" s="17">
        <v>0</v>
      </c>
      <c r="E254" s="17">
        <v>1</v>
      </c>
      <c r="F254" s="17">
        <v>61</v>
      </c>
      <c r="G254" s="17">
        <v>50</v>
      </c>
      <c r="H254" s="13" t="str" cm="1">
        <f t="array" ref="H254">_xlfn.IFS(G254&lt;=20,"0-20",G254&lt;=30,"20-30",G254&lt;=40,"30-40",G254&lt;=50,"50-60",G254&lt;=60,"60-70",G254&lt;=70,"70-80",G254&lt;=80,"80-90")</f>
        <v>50-60</v>
      </c>
      <c r="I254" s="17">
        <v>2739</v>
      </c>
      <c r="J254" s="13" t="str" cm="1">
        <f t="array" ref="J254">_xlfn.IFS(K254=1,"Divorciado",L254=1,"Casado",M254=1,"Solteiro",N254=1,"Juntos",O254=1,"Viuvo")</f>
        <v>Casado</v>
      </c>
      <c r="K254" s="17">
        <v>0</v>
      </c>
      <c r="L254" s="17">
        <v>1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1</v>
      </c>
      <c r="S254" s="17">
        <v>0</v>
      </c>
      <c r="T254" s="17">
        <v>0</v>
      </c>
      <c r="U254" s="17">
        <v>575</v>
      </c>
      <c r="V254" s="13" t="str" cm="1">
        <f t="array" ref="V254">_xlfn.IFS(U254&lt;=250,"0-R$250",U254&lt;=500,"251-R$500",U254&lt;=750,"501-R$750",U254&lt;=1000,"751-R$1000",U254&lt;=1250,"1001-R$1250",U254&lt;=1500,"1251-R$1500")</f>
        <v>501-R$750</v>
      </c>
      <c r="W254" s="17">
        <v>80</v>
      </c>
      <c r="X254" s="13" t="str" cm="1">
        <f t="array" ref="X254">_xlfn.IFS(W254 = 0, "0", W254&lt;=20, "até R$20",W254&lt;=40, "21 - R$40",W254&lt;=60, "41- R$60",W254&lt;=80, "61 - R$80", W254&lt;=100, "81 - R$100",W254&lt;=120, "101 - R$120",W254&lt;=140, "121 - R$140", W254&lt;=160, "141- R$160", W254&lt;=180, "161 - R$180", W254&lt;=200, "181-R$194")</f>
        <v>61 - R$80</v>
      </c>
      <c r="Y254" s="17">
        <v>428</v>
      </c>
      <c r="Z254" s="17">
        <v>208</v>
      </c>
      <c r="AA254" s="17">
        <v>93</v>
      </c>
      <c r="AB254" s="17">
        <v>80</v>
      </c>
      <c r="AC254" s="17">
        <v>3</v>
      </c>
      <c r="AD254" s="17">
        <v>8</v>
      </c>
      <c r="AE254" s="17">
        <v>4</v>
      </c>
      <c r="AF254" s="17">
        <v>8</v>
      </c>
      <c r="AG254" s="17">
        <v>5</v>
      </c>
      <c r="AH254" s="17">
        <v>0</v>
      </c>
      <c r="AI254" s="17">
        <v>0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8">
        <v>0</v>
      </c>
      <c r="AP254" s="17">
        <v>3</v>
      </c>
      <c r="AQ254" s="17">
        <v>11</v>
      </c>
      <c r="AR254" s="19">
        <v>1304</v>
      </c>
      <c r="AS254" s="19">
        <v>1384</v>
      </c>
    </row>
    <row r="255" spans="1:45" x14ac:dyDescent="0.25">
      <c r="A255">
        <v>726</v>
      </c>
      <c r="B255" s="11">
        <f t="shared" si="3"/>
        <v>83844</v>
      </c>
      <c r="C255" s="12">
        <v>838440</v>
      </c>
      <c r="D255" s="13">
        <v>0</v>
      </c>
      <c r="E255" s="13">
        <v>0</v>
      </c>
      <c r="F255" s="13">
        <v>57</v>
      </c>
      <c r="G255" s="13">
        <v>68</v>
      </c>
      <c r="H255" s="13" t="str" cm="1">
        <f t="array" ref="H255">_xlfn.IFS(G255&lt;=20,"0-20",G255&lt;=30,"20-30",G255&lt;=40,"30-40",G255&lt;=50,"50-60",G255&lt;=60,"60-70",G255&lt;=70,"70-80",G255&lt;=80,"80-90")</f>
        <v>70-80</v>
      </c>
      <c r="I255" s="13">
        <v>2572</v>
      </c>
      <c r="J255" s="13" t="str" cm="1">
        <f t="array" ref="J255">_xlfn.IFS(K255=1,"Divorciado",L255=1,"Casado",M255=1,"Solteiro",N255=1,"Juntos",O255=1,"Viuvo")</f>
        <v>Juntos</v>
      </c>
      <c r="K255" s="13">
        <v>0</v>
      </c>
      <c r="L255" s="13">
        <v>0</v>
      </c>
      <c r="M255" s="13">
        <v>0</v>
      </c>
      <c r="N255" s="13">
        <v>1</v>
      </c>
      <c r="O255" s="13">
        <v>0</v>
      </c>
      <c r="P255" s="13">
        <v>0</v>
      </c>
      <c r="Q255" s="13">
        <v>0</v>
      </c>
      <c r="R255" s="13">
        <v>1</v>
      </c>
      <c r="S255" s="13">
        <v>0</v>
      </c>
      <c r="T255" s="13">
        <v>0</v>
      </c>
      <c r="U255" s="13">
        <v>901</v>
      </c>
      <c r="V255" s="13" t="str" cm="1">
        <f t="array" ref="V255">_xlfn.IFS(U255&lt;=250,"0-R$250",U255&lt;=500,"251-R$500",U255&lt;=750,"501-R$750",U255&lt;=1000,"751-R$1000",U255&lt;=1250,"1001-R$1250",U255&lt;=1500,"1251-R$1500")</f>
        <v>751-R$1000</v>
      </c>
      <c r="W255" s="13">
        <v>31</v>
      </c>
      <c r="X255" s="13" t="str" cm="1">
        <f t="array" ref="X255">_xlfn.IFS(W255 = 0, "0", W255&lt;=20, "até R$20",W255&lt;=40, "21 - R$40",W255&lt;=60, "41- R$60",W255&lt;=80, "61 - R$80", W255&lt;=100, "81 - R$100",W255&lt;=120, "101 - R$120",W255&lt;=140, "121 - R$140", W255&lt;=160, "141- R$160", W255&lt;=180, "161 - R$180", W255&lt;=200, "181-R$194")</f>
        <v>21 - R$40</v>
      </c>
      <c r="Y255" s="13">
        <v>345</v>
      </c>
      <c r="Z255" s="13">
        <v>75</v>
      </c>
      <c r="AA255" s="13">
        <v>31</v>
      </c>
      <c r="AB255" s="13">
        <v>191</v>
      </c>
      <c r="AC255" s="13">
        <v>1</v>
      </c>
      <c r="AD255" s="13">
        <v>4</v>
      </c>
      <c r="AE255" s="13">
        <v>4</v>
      </c>
      <c r="AF255" s="13">
        <v>11</v>
      </c>
      <c r="AG255" s="13">
        <v>1</v>
      </c>
      <c r="AH255" s="13">
        <v>0</v>
      </c>
      <c r="AI255" s="13">
        <v>0</v>
      </c>
      <c r="AJ255" s="13">
        <v>0</v>
      </c>
      <c r="AK255" s="13">
        <v>1</v>
      </c>
      <c r="AL255" s="13">
        <v>0</v>
      </c>
      <c r="AM255" s="13">
        <v>0</v>
      </c>
      <c r="AN255" s="13">
        <v>0</v>
      </c>
      <c r="AO255" s="14">
        <v>1</v>
      </c>
      <c r="AP255" s="13">
        <v>3</v>
      </c>
      <c r="AQ255" s="13">
        <v>11</v>
      </c>
      <c r="AR255" s="15">
        <v>1192</v>
      </c>
      <c r="AS255" s="15">
        <v>1383</v>
      </c>
    </row>
    <row r="256" spans="1:45" x14ac:dyDescent="0.25">
      <c r="A256">
        <v>988</v>
      </c>
      <c r="B256" s="11">
        <f t="shared" si="3"/>
        <v>83844</v>
      </c>
      <c r="C256" s="12">
        <v>838440</v>
      </c>
      <c r="D256" s="13">
        <v>0</v>
      </c>
      <c r="E256" s="13">
        <v>0</v>
      </c>
      <c r="F256" s="13">
        <v>57</v>
      </c>
      <c r="G256" s="13">
        <v>68</v>
      </c>
      <c r="H256" s="13" t="str" cm="1">
        <f t="array" ref="H256">_xlfn.IFS(G256&lt;=20,"0-20",G256&lt;=30,"20-30",G256&lt;=40,"30-40",G256&lt;=50,"50-60",G256&lt;=60,"60-70",G256&lt;=70,"70-80",G256&lt;=80,"80-90")</f>
        <v>70-80</v>
      </c>
      <c r="I256" s="13">
        <v>2572</v>
      </c>
      <c r="J256" s="13" t="str" cm="1">
        <f t="array" ref="J256">_xlfn.IFS(K256=1,"Divorciado",L256=1,"Casado",M256=1,"Solteiro",N256=1,"Juntos",O256=1,"Viuvo")</f>
        <v>Juntos</v>
      </c>
      <c r="K256" s="13">
        <v>0</v>
      </c>
      <c r="L256" s="13">
        <v>0</v>
      </c>
      <c r="M256" s="13">
        <v>0</v>
      </c>
      <c r="N256" s="13">
        <v>1</v>
      </c>
      <c r="O256" s="13">
        <v>0</v>
      </c>
      <c r="P256" s="13">
        <v>0</v>
      </c>
      <c r="Q256" s="13">
        <v>0</v>
      </c>
      <c r="R256" s="13">
        <v>1</v>
      </c>
      <c r="S256" s="13">
        <v>0</v>
      </c>
      <c r="T256" s="13">
        <v>0</v>
      </c>
      <c r="U256" s="13">
        <v>901</v>
      </c>
      <c r="V256" s="13" t="str" cm="1">
        <f t="array" ref="V256">_xlfn.IFS(U256&lt;=250,"0-R$250",U256&lt;=500,"251-R$500",U256&lt;=750,"501-R$750",U256&lt;=1000,"751-R$1000",U256&lt;=1250,"1001-R$1250",U256&lt;=1500,"1251-R$1500")</f>
        <v>751-R$1000</v>
      </c>
      <c r="W256" s="13">
        <v>31</v>
      </c>
      <c r="X256" s="13" t="str" cm="1">
        <f t="array" ref="X256">_xlfn.IFS(W256 = 0, "0", W256&lt;=20, "até R$20",W256&lt;=40, "21 - R$40",W256&lt;=60, "41- R$60",W256&lt;=80, "61 - R$80", W256&lt;=100, "81 - R$100",W256&lt;=120, "101 - R$120",W256&lt;=140, "121 - R$140", W256&lt;=160, "141- R$160", W256&lt;=180, "161 - R$180", W256&lt;=200, "181-R$194")</f>
        <v>21 - R$40</v>
      </c>
      <c r="Y256" s="13">
        <v>345</v>
      </c>
      <c r="Z256" s="13">
        <v>75</v>
      </c>
      <c r="AA256" s="13">
        <v>31</v>
      </c>
      <c r="AB256" s="13">
        <v>191</v>
      </c>
      <c r="AC256" s="13">
        <v>1</v>
      </c>
      <c r="AD256" s="13">
        <v>4</v>
      </c>
      <c r="AE256" s="13">
        <v>4</v>
      </c>
      <c r="AF256" s="13">
        <v>11</v>
      </c>
      <c r="AG256" s="13">
        <v>1</v>
      </c>
      <c r="AH256" s="13">
        <v>0</v>
      </c>
      <c r="AI256" s="13">
        <v>0</v>
      </c>
      <c r="AJ256" s="13">
        <v>0</v>
      </c>
      <c r="AK256" s="13">
        <v>1</v>
      </c>
      <c r="AL256" s="13">
        <v>0</v>
      </c>
      <c r="AM256" s="13">
        <v>0</v>
      </c>
      <c r="AN256" s="13">
        <v>0</v>
      </c>
      <c r="AO256" s="14">
        <v>1</v>
      </c>
      <c r="AP256" s="13">
        <v>3</v>
      </c>
      <c r="AQ256" s="13">
        <v>11</v>
      </c>
      <c r="AR256" s="15">
        <v>1192</v>
      </c>
      <c r="AS256" s="15">
        <v>1383</v>
      </c>
    </row>
    <row r="257" spans="1:45" x14ac:dyDescent="0.25">
      <c r="A257">
        <v>1443</v>
      </c>
      <c r="B257" s="11">
        <f t="shared" si="3"/>
        <v>83844</v>
      </c>
      <c r="C257" s="16">
        <v>838440</v>
      </c>
      <c r="D257" s="17">
        <v>0</v>
      </c>
      <c r="E257" s="17">
        <v>0</v>
      </c>
      <c r="F257" s="17">
        <v>57</v>
      </c>
      <c r="G257" s="17">
        <v>68</v>
      </c>
      <c r="H257" s="13" t="str" cm="1">
        <f t="array" ref="H257">_xlfn.IFS(G257&lt;=20,"0-20",G257&lt;=30,"20-30",G257&lt;=40,"30-40",G257&lt;=50,"50-60",G257&lt;=60,"60-70",G257&lt;=70,"70-80",G257&lt;=80,"80-90")</f>
        <v>70-80</v>
      </c>
      <c r="I257" s="17">
        <v>2572</v>
      </c>
      <c r="J257" s="13" t="str" cm="1">
        <f t="array" ref="J257">_xlfn.IFS(K257=1,"Divorciado",L257=1,"Casado",M257=1,"Solteiro",N257=1,"Juntos",O257=1,"Viuvo")</f>
        <v>Juntos</v>
      </c>
      <c r="K257" s="17">
        <v>0</v>
      </c>
      <c r="L257" s="17">
        <v>0</v>
      </c>
      <c r="M257" s="17">
        <v>0</v>
      </c>
      <c r="N257" s="17">
        <v>1</v>
      </c>
      <c r="O257" s="17">
        <v>0</v>
      </c>
      <c r="P257" s="17">
        <v>0</v>
      </c>
      <c r="Q257" s="17">
        <v>0</v>
      </c>
      <c r="R257" s="17">
        <v>1</v>
      </c>
      <c r="S257" s="17">
        <v>0</v>
      </c>
      <c r="T257" s="17">
        <v>0</v>
      </c>
      <c r="U257" s="17">
        <v>901</v>
      </c>
      <c r="V257" s="13" t="str" cm="1">
        <f t="array" ref="V257">_xlfn.IFS(U257&lt;=250,"0-R$250",U257&lt;=500,"251-R$500",U257&lt;=750,"501-R$750",U257&lt;=1000,"751-R$1000",U257&lt;=1250,"1001-R$1250",U257&lt;=1500,"1251-R$1500")</f>
        <v>751-R$1000</v>
      </c>
      <c r="W257" s="17">
        <v>31</v>
      </c>
      <c r="X257" s="13" t="str" cm="1">
        <f t="array" ref="X257">_xlfn.IFS(W257 = 0, "0", W257&lt;=20, "até R$20",W257&lt;=40, "21 - R$40",W257&lt;=60, "41- R$60",W257&lt;=80, "61 - R$80", W257&lt;=100, "81 - R$100",W257&lt;=120, "101 - R$120",W257&lt;=140, "121 - R$140", W257&lt;=160, "141- R$160", W257&lt;=180, "161 - R$180", W257&lt;=200, "181-R$194")</f>
        <v>21 - R$40</v>
      </c>
      <c r="Y257" s="17">
        <v>345</v>
      </c>
      <c r="Z257" s="17">
        <v>75</v>
      </c>
      <c r="AA257" s="17">
        <v>31</v>
      </c>
      <c r="AB257" s="17">
        <v>191</v>
      </c>
      <c r="AC257" s="17">
        <v>1</v>
      </c>
      <c r="AD257" s="17">
        <v>4</v>
      </c>
      <c r="AE257" s="17">
        <v>4</v>
      </c>
      <c r="AF257" s="17">
        <v>11</v>
      </c>
      <c r="AG257" s="17">
        <v>1</v>
      </c>
      <c r="AH257" s="17">
        <v>0</v>
      </c>
      <c r="AI257" s="17">
        <v>0</v>
      </c>
      <c r="AJ257" s="17">
        <v>0</v>
      </c>
      <c r="AK257" s="17">
        <v>1</v>
      </c>
      <c r="AL257" s="17">
        <v>0</v>
      </c>
      <c r="AM257" s="17">
        <v>0</v>
      </c>
      <c r="AN257" s="17">
        <v>0</v>
      </c>
      <c r="AO257" s="18">
        <v>1</v>
      </c>
      <c r="AP257" s="17">
        <v>3</v>
      </c>
      <c r="AQ257" s="17">
        <v>11</v>
      </c>
      <c r="AR257" s="19">
        <v>1192</v>
      </c>
      <c r="AS257" s="19">
        <v>1383</v>
      </c>
    </row>
    <row r="258" spans="1:45" x14ac:dyDescent="0.25">
      <c r="A258">
        <v>1886</v>
      </c>
      <c r="B258" s="11">
        <f t="shared" ref="B258:B321" si="4">C258/10</f>
        <v>67384</v>
      </c>
      <c r="C258" s="12">
        <v>673840</v>
      </c>
      <c r="D258" s="13">
        <v>0</v>
      </c>
      <c r="E258" s="13">
        <v>1</v>
      </c>
      <c r="F258" s="13">
        <v>32</v>
      </c>
      <c r="G258" s="13">
        <v>50</v>
      </c>
      <c r="H258" s="13" t="str" cm="1">
        <f t="array" ref="H258">_xlfn.IFS(G258&lt;=20,"0-20",G258&lt;=30,"20-30",G258&lt;=40,"30-40",G258&lt;=50,"50-60",G258&lt;=60,"60-70",G258&lt;=70,"70-80",G258&lt;=80,"80-90")</f>
        <v>50-60</v>
      </c>
      <c r="I258" s="13">
        <v>2755</v>
      </c>
      <c r="J258" s="13" t="str" cm="1">
        <f t="array" ref="J258">_xlfn.IFS(K258=1,"Divorciado",L258=1,"Casado",M258=1,"Solteiro",N258=1,"Juntos",O258=1,"Viuvo")</f>
        <v>Solteiro</v>
      </c>
      <c r="K258" s="13">
        <v>0</v>
      </c>
      <c r="L258" s="13">
        <v>0</v>
      </c>
      <c r="M258" s="13">
        <v>1</v>
      </c>
      <c r="N258" s="13">
        <v>0</v>
      </c>
      <c r="O258" s="13">
        <v>0</v>
      </c>
      <c r="P258" s="13">
        <v>0</v>
      </c>
      <c r="Q258" s="13">
        <v>0</v>
      </c>
      <c r="R258" s="13">
        <v>1</v>
      </c>
      <c r="S258" s="13">
        <v>0</v>
      </c>
      <c r="T258" s="13">
        <v>0</v>
      </c>
      <c r="U258" s="13">
        <v>957</v>
      </c>
      <c r="V258" s="13" t="str" cm="1">
        <f t="array" ref="V258">_xlfn.IFS(U258&lt;=250,"0-R$250",U258&lt;=500,"251-R$500",U258&lt;=750,"501-R$750",U258&lt;=1000,"751-R$1000",U258&lt;=1250,"1001-R$1250",U258&lt;=1500,"1251-R$1500")</f>
        <v>751-R$1000</v>
      </c>
      <c r="W258" s="13">
        <v>40</v>
      </c>
      <c r="X258" s="13" t="str" cm="1">
        <f t="array" ref="X258">_xlfn.IFS(W258 = 0, "0", W258&lt;=20, "até R$20",W258&lt;=40, "21 - R$40",W258&lt;=60, "41- R$60",W258&lt;=80, "61 - R$80", W258&lt;=100, "81 - R$100",W258&lt;=120, "101 - R$120",W258&lt;=140, "121 - R$140", W258&lt;=160, "141- R$160", W258&lt;=180, "161 - R$180", W258&lt;=200, "181-R$194")</f>
        <v>21 - R$40</v>
      </c>
      <c r="Y258" s="13">
        <v>175</v>
      </c>
      <c r="Z258" s="13">
        <v>158</v>
      </c>
      <c r="AA258" s="13">
        <v>53</v>
      </c>
      <c r="AB258" s="13">
        <v>107</v>
      </c>
      <c r="AC258" s="13">
        <v>2</v>
      </c>
      <c r="AD258" s="13">
        <v>7</v>
      </c>
      <c r="AE258" s="13">
        <v>8</v>
      </c>
      <c r="AF258" s="13">
        <v>5</v>
      </c>
      <c r="AG258" s="13">
        <v>5</v>
      </c>
      <c r="AH258" s="13">
        <v>0</v>
      </c>
      <c r="AI258" s="13">
        <v>0</v>
      </c>
      <c r="AJ258" s="13">
        <v>1</v>
      </c>
      <c r="AK258" s="13">
        <v>0</v>
      </c>
      <c r="AL258" s="13">
        <v>0</v>
      </c>
      <c r="AM258" s="13">
        <v>0</v>
      </c>
      <c r="AN258" s="13">
        <v>0</v>
      </c>
      <c r="AO258" s="14">
        <v>1</v>
      </c>
      <c r="AP258" s="13">
        <v>3</v>
      </c>
      <c r="AQ258" s="13">
        <v>11</v>
      </c>
      <c r="AR258" s="15">
        <v>1276</v>
      </c>
      <c r="AS258" s="15">
        <v>1383</v>
      </c>
    </row>
    <row r="259" spans="1:45" x14ac:dyDescent="0.25">
      <c r="A259">
        <v>50</v>
      </c>
      <c r="B259" s="11">
        <f t="shared" si="4"/>
        <v>82582</v>
      </c>
      <c r="C259" s="12">
        <v>825820</v>
      </c>
      <c r="D259" s="13">
        <v>0</v>
      </c>
      <c r="E259" s="13">
        <v>0</v>
      </c>
      <c r="F259" s="13">
        <v>54</v>
      </c>
      <c r="G259" s="13">
        <v>43</v>
      </c>
      <c r="H259" s="13" t="str" cm="1">
        <f t="array" ref="H259">_xlfn.IFS(G259&lt;=20,"0-20",G259&lt;=30,"20-30",G259&lt;=40,"30-40",G259&lt;=50,"50-60",G259&lt;=60,"60-70",G259&lt;=70,"70-80",G259&lt;=80,"80-90")</f>
        <v>50-60</v>
      </c>
      <c r="I259" s="13">
        <v>2181</v>
      </c>
      <c r="J259" s="13" t="str" cm="1">
        <f t="array" ref="J259">_xlfn.IFS(K259=1,"Divorciado",L259=1,"Casado",M259=1,"Solteiro",N259=1,"Juntos",O259=1,"Viuvo")</f>
        <v>Divorciado</v>
      </c>
      <c r="K259" s="13">
        <v>1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13">
        <v>1</v>
      </c>
      <c r="S259" s="13">
        <v>0</v>
      </c>
      <c r="T259" s="13">
        <v>0</v>
      </c>
      <c r="U259" s="13">
        <v>510</v>
      </c>
      <c r="V259" s="13" t="str" cm="1">
        <f t="array" ref="V259">_xlfn.IFS(U259&lt;=250,"0-R$250",U259&lt;=500,"251-R$500",U259&lt;=750,"501-R$750",U259&lt;=1000,"751-R$1000",U259&lt;=1250,"1001-R$1250",U259&lt;=1500,"1251-R$1500")</f>
        <v>501-R$750</v>
      </c>
      <c r="W259" s="13">
        <v>120</v>
      </c>
      <c r="X259" s="13" t="str" cm="1">
        <f t="array" ref="X259">_xlfn.IFS(W259 = 0, "0", W259&lt;=20, "até R$20",W259&lt;=40, "21 - R$40",W259&lt;=60, "41- R$60",W259&lt;=80, "61 - R$80", W259&lt;=100, "81 - R$100",W259&lt;=120, "101 - R$120",W259&lt;=140, "121 - R$140", W259&lt;=160, "141- R$160", W259&lt;=180, "161 - R$180", W259&lt;=200, "181-R$194")</f>
        <v>101 - R$120</v>
      </c>
      <c r="Y259" s="13">
        <v>550</v>
      </c>
      <c r="Z259" s="13">
        <v>156</v>
      </c>
      <c r="AA259" s="13">
        <v>40</v>
      </c>
      <c r="AB259" s="13">
        <v>241</v>
      </c>
      <c r="AC259" s="13">
        <v>1</v>
      </c>
      <c r="AD259" s="13">
        <v>4</v>
      </c>
      <c r="AE259" s="13">
        <v>9</v>
      </c>
      <c r="AF259" s="13">
        <v>7</v>
      </c>
      <c r="AG259" s="13">
        <v>1</v>
      </c>
      <c r="AH259" s="13">
        <v>0</v>
      </c>
      <c r="AI259" s="13">
        <v>1</v>
      </c>
      <c r="AJ259" s="13">
        <v>0</v>
      </c>
      <c r="AK259" s="13">
        <v>0</v>
      </c>
      <c r="AL259" s="13">
        <v>1</v>
      </c>
      <c r="AM259" s="13">
        <v>0</v>
      </c>
      <c r="AN259" s="13">
        <v>1</v>
      </c>
      <c r="AO259" s="14">
        <v>2</v>
      </c>
      <c r="AP259" s="13">
        <v>3</v>
      </c>
      <c r="AQ259" s="13">
        <v>11</v>
      </c>
      <c r="AR259" s="15">
        <v>1135</v>
      </c>
      <c r="AS259" s="15">
        <v>1376</v>
      </c>
    </row>
    <row r="260" spans="1:45" x14ac:dyDescent="0.25">
      <c r="A260">
        <v>1943</v>
      </c>
      <c r="B260" s="11">
        <f t="shared" si="4"/>
        <v>72643</v>
      </c>
      <c r="C260" s="16">
        <v>726430</v>
      </c>
      <c r="D260" s="17">
        <v>0</v>
      </c>
      <c r="E260" s="17">
        <v>0</v>
      </c>
      <c r="F260" s="17">
        <v>60</v>
      </c>
      <c r="G260" s="17">
        <v>71</v>
      </c>
      <c r="H260" s="13" t="str" cm="1">
        <f t="array" ref="H260">_xlfn.IFS(G260&lt;=20,"0-20",G260&lt;=30,"20-30",G260&lt;=40,"30-40",G260&lt;=50,"50-60",G260&lt;=60,"60-70",G260&lt;=70,"70-80",G260&lt;=80,"80-90")</f>
        <v>80-90</v>
      </c>
      <c r="I260" s="17">
        <v>2646</v>
      </c>
      <c r="J260" s="13" t="str" cm="1">
        <f t="array" ref="J260">_xlfn.IFS(K260=1,"Divorciado",L260=1,"Casado",M260=1,"Solteiro",N260=1,"Juntos",O260=1,"Viuvo")</f>
        <v>Viuvo</v>
      </c>
      <c r="K260" s="17">
        <v>0</v>
      </c>
      <c r="L260" s="17">
        <v>0</v>
      </c>
      <c r="M260" s="17">
        <v>0</v>
      </c>
      <c r="N260" s="17">
        <v>0</v>
      </c>
      <c r="O260" s="17">
        <v>1</v>
      </c>
      <c r="P260" s="17">
        <v>0</v>
      </c>
      <c r="Q260" s="17">
        <v>0</v>
      </c>
      <c r="R260" s="17">
        <v>1</v>
      </c>
      <c r="S260" s="17">
        <v>0</v>
      </c>
      <c r="T260" s="17">
        <v>0</v>
      </c>
      <c r="U260" s="17">
        <v>526</v>
      </c>
      <c r="V260" s="13" t="str" cm="1">
        <f t="array" ref="V260">_xlfn.IFS(U260&lt;=250,"0-R$250",U260&lt;=500,"251-R$500",U260&lt;=750,"501-R$750",U260&lt;=1000,"751-R$1000",U260&lt;=1250,"1001-R$1250",U260&lt;=1500,"1251-R$1500")</f>
        <v>501-R$750</v>
      </c>
      <c r="W260" s="17">
        <v>80</v>
      </c>
      <c r="X260" s="13" t="str" cm="1">
        <f t="array" ref="X260">_xlfn.IFS(W260 = 0, "0", W260&lt;=20, "até R$20",W260&lt;=40, "21 - R$40",W260&lt;=60, "41- R$60",W260&lt;=80, "61 - R$80", W260&lt;=100, "81 - R$100",W260&lt;=120, "101 - R$120",W260&lt;=140, "121 - R$140", W260&lt;=160, "141- R$160", W260&lt;=180, "161 - R$180", W260&lt;=200, "181-R$194")</f>
        <v>61 - R$80</v>
      </c>
      <c r="Y260" s="17">
        <v>553</v>
      </c>
      <c r="Z260" s="17">
        <v>123</v>
      </c>
      <c r="AA260" s="17">
        <v>94</v>
      </c>
      <c r="AB260" s="17">
        <v>53</v>
      </c>
      <c r="AC260" s="17">
        <v>1</v>
      </c>
      <c r="AD260" s="17">
        <v>3</v>
      </c>
      <c r="AE260" s="17">
        <v>10</v>
      </c>
      <c r="AF260" s="17">
        <v>7</v>
      </c>
      <c r="AG260" s="17">
        <v>2</v>
      </c>
      <c r="AH260" s="17">
        <v>0</v>
      </c>
      <c r="AI260" s="17">
        <v>0</v>
      </c>
      <c r="AJ260" s="17">
        <v>0</v>
      </c>
      <c r="AK260" s="17">
        <v>0</v>
      </c>
      <c r="AL260" s="17">
        <v>1</v>
      </c>
      <c r="AM260" s="17">
        <v>0</v>
      </c>
      <c r="AN260" s="17">
        <v>1</v>
      </c>
      <c r="AO260" s="18">
        <v>1</v>
      </c>
      <c r="AP260" s="17">
        <v>3</v>
      </c>
      <c r="AQ260" s="17">
        <v>11</v>
      </c>
      <c r="AR260" s="19">
        <v>1323</v>
      </c>
      <c r="AS260" s="19">
        <v>1376</v>
      </c>
    </row>
    <row r="261" spans="1:45" x14ac:dyDescent="0.25">
      <c r="A261">
        <v>1574</v>
      </c>
      <c r="B261" s="11">
        <f t="shared" si="4"/>
        <v>76445</v>
      </c>
      <c r="C261" s="12">
        <v>764450</v>
      </c>
      <c r="D261" s="13">
        <v>1</v>
      </c>
      <c r="E261" s="13">
        <v>0</v>
      </c>
      <c r="F261" s="13">
        <v>2</v>
      </c>
      <c r="G261" s="13">
        <v>49</v>
      </c>
      <c r="H261" s="13" t="str" cm="1">
        <f t="array" ref="H261">_xlfn.IFS(G261&lt;=20,"0-20",G261&lt;=30,"20-30",G261&lt;=40,"30-40",G261&lt;=50,"50-60",G261&lt;=60,"60-70",G261&lt;=70,"70-80",G261&lt;=80,"80-90")</f>
        <v>50-60</v>
      </c>
      <c r="I261" s="13">
        <v>2798</v>
      </c>
      <c r="J261" s="13" t="str" cm="1">
        <f t="array" ref="J261">_xlfn.IFS(K261=1,"Divorciado",L261=1,"Casado",M261=1,"Solteiro",N261=1,"Juntos",O261=1,"Viuvo")</f>
        <v>Casado</v>
      </c>
      <c r="K261" s="13">
        <v>0</v>
      </c>
      <c r="L261" s="13">
        <v>1</v>
      </c>
      <c r="M261" s="13">
        <v>0</v>
      </c>
      <c r="N261" s="13">
        <v>0</v>
      </c>
      <c r="O261" s="13">
        <v>0</v>
      </c>
      <c r="P261" s="13">
        <v>0</v>
      </c>
      <c r="Q261" s="13">
        <v>0</v>
      </c>
      <c r="R261" s="13">
        <v>1</v>
      </c>
      <c r="S261" s="13">
        <v>0</v>
      </c>
      <c r="T261" s="13">
        <v>0</v>
      </c>
      <c r="U261" s="13">
        <v>739</v>
      </c>
      <c r="V261" s="13" t="str" cm="1">
        <f t="array" ref="V261">_xlfn.IFS(U261&lt;=250,"0-R$250",U261&lt;=500,"251-R$500",U261&lt;=750,"501-R$750",U261&lt;=1000,"751-R$1000",U261&lt;=1250,"1001-R$1250",U261&lt;=1500,"1251-R$1500")</f>
        <v>501-R$750</v>
      </c>
      <c r="W261" s="13">
        <v>107</v>
      </c>
      <c r="X261" s="13" t="str" cm="1">
        <f t="array" ref="X261">_xlfn.IFS(W261 = 0, "0", W261&lt;=20, "até R$20",W261&lt;=40, "21 - R$40",W261&lt;=60, "41- R$60",W261&lt;=80, "61 - R$80", W261&lt;=100, "81 - R$100",W261&lt;=120, "101 - R$120",W261&lt;=140, "121 - R$140", W261&lt;=160, "141- R$160", W261&lt;=180, "161 - R$180", W261&lt;=200, "181-R$194")</f>
        <v>101 - R$120</v>
      </c>
      <c r="Y261" s="13">
        <v>309</v>
      </c>
      <c r="Z261" s="13">
        <v>140</v>
      </c>
      <c r="AA261" s="13">
        <v>80</v>
      </c>
      <c r="AB261" s="13">
        <v>35</v>
      </c>
      <c r="AC261" s="13">
        <v>1</v>
      </c>
      <c r="AD261" s="13">
        <v>2</v>
      </c>
      <c r="AE261" s="13">
        <v>5</v>
      </c>
      <c r="AF261" s="13">
        <v>13</v>
      </c>
      <c r="AG261" s="13">
        <v>6</v>
      </c>
      <c r="AH261" s="13">
        <v>0</v>
      </c>
      <c r="AI261" s="13">
        <v>0</v>
      </c>
      <c r="AJ261" s="13">
        <v>0</v>
      </c>
      <c r="AK261" s="13">
        <v>0</v>
      </c>
      <c r="AL261" s="13">
        <v>0</v>
      </c>
      <c r="AM261" s="13">
        <v>0</v>
      </c>
      <c r="AN261" s="13">
        <v>0</v>
      </c>
      <c r="AO261" s="14">
        <v>0</v>
      </c>
      <c r="AP261" s="13">
        <v>3</v>
      </c>
      <c r="AQ261" s="13">
        <v>11</v>
      </c>
      <c r="AR261" s="15">
        <v>1340</v>
      </c>
      <c r="AS261" s="15">
        <v>1375</v>
      </c>
    </row>
    <row r="262" spans="1:45" x14ac:dyDescent="0.25">
      <c r="A262">
        <v>1649</v>
      </c>
      <c r="B262" s="11">
        <f t="shared" si="4"/>
        <v>69016</v>
      </c>
      <c r="C262" s="16">
        <v>690160</v>
      </c>
      <c r="D262" s="17">
        <v>0</v>
      </c>
      <c r="E262" s="17">
        <v>1</v>
      </c>
      <c r="F262" s="17">
        <v>61</v>
      </c>
      <c r="G262" s="17">
        <v>50</v>
      </c>
      <c r="H262" s="13" t="str" cm="1">
        <f t="array" ref="H262">_xlfn.IFS(G262&lt;=20,"0-20",G262&lt;=30,"20-30",G262&lt;=40,"30-40",G262&lt;=50,"50-60",G262&lt;=60,"60-70",G262&lt;=70,"70-80",G262&lt;=80,"80-90")</f>
        <v>50-60</v>
      </c>
      <c r="I262" s="17">
        <v>2743</v>
      </c>
      <c r="J262" s="13" t="str" cm="1">
        <f t="array" ref="J262">_xlfn.IFS(K262=1,"Divorciado",L262=1,"Casado",M262=1,"Solteiro",N262=1,"Juntos",O262=1,"Viuvo")</f>
        <v>Casado</v>
      </c>
      <c r="K262" s="17">
        <v>0</v>
      </c>
      <c r="L262" s="17">
        <v>1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1</v>
      </c>
      <c r="S262" s="17">
        <v>0</v>
      </c>
      <c r="T262" s="17">
        <v>0</v>
      </c>
      <c r="U262" s="17">
        <v>726</v>
      </c>
      <c r="V262" s="13" t="str" cm="1">
        <f t="array" ref="V262">_xlfn.IFS(U262&lt;=250,"0-R$250",U262&lt;=500,"251-R$500",U262&lt;=750,"501-R$750",U262&lt;=1000,"751-R$1000",U262&lt;=1250,"1001-R$1250",U262&lt;=1500,"1251-R$1500")</f>
        <v>501-R$750</v>
      </c>
      <c r="W262" s="17">
        <v>53</v>
      </c>
      <c r="X262" s="13" t="str" cm="1">
        <f t="array" ref="X262">_xlfn.IFS(W262 = 0, "0", W262&lt;=20, "até R$20",W262&lt;=40, "21 - R$40",W262&lt;=60, "41- R$60",W262&lt;=80, "61 - R$80", W262&lt;=100, "81 - R$100",W262&lt;=120, "101 - R$120",W262&lt;=140, "121 - R$140", W262&lt;=160, "141- R$160", W262&lt;=180, "161 - R$180", W262&lt;=200, "181-R$194")</f>
        <v>41- R$60</v>
      </c>
      <c r="Y262" s="17">
        <v>363</v>
      </c>
      <c r="Z262" s="17">
        <v>123</v>
      </c>
      <c r="AA262" s="17">
        <v>107</v>
      </c>
      <c r="AB262" s="17">
        <v>161</v>
      </c>
      <c r="AC262" s="17">
        <v>4</v>
      </c>
      <c r="AD262" s="17">
        <v>8</v>
      </c>
      <c r="AE262" s="17">
        <v>9</v>
      </c>
      <c r="AF262" s="17">
        <v>13</v>
      </c>
      <c r="AG262" s="17">
        <v>5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8">
        <v>0</v>
      </c>
      <c r="AP262" s="17">
        <v>3</v>
      </c>
      <c r="AQ262" s="17">
        <v>11</v>
      </c>
      <c r="AR262" s="19">
        <v>1211</v>
      </c>
      <c r="AS262" s="19">
        <v>1372</v>
      </c>
    </row>
    <row r="263" spans="1:45" x14ac:dyDescent="0.25">
      <c r="A263">
        <v>407</v>
      </c>
      <c r="B263" s="11">
        <f t="shared" si="4"/>
        <v>82584</v>
      </c>
      <c r="C263" s="16">
        <v>825840</v>
      </c>
      <c r="D263" s="17">
        <v>0</v>
      </c>
      <c r="E263" s="17">
        <v>0</v>
      </c>
      <c r="F263" s="17">
        <v>26</v>
      </c>
      <c r="G263" s="17">
        <v>46</v>
      </c>
      <c r="H263" s="13" t="str" cm="1">
        <f t="array" ref="H263">_xlfn.IFS(G263&lt;=20,"0-20",G263&lt;=30,"20-30",G263&lt;=40,"30-40",G263&lt;=50,"50-60",G263&lt;=60,"60-70",G263&lt;=70,"70-80",G263&lt;=80,"80-90")</f>
        <v>50-60</v>
      </c>
      <c r="I263" s="17">
        <v>2549</v>
      </c>
      <c r="J263" s="13" t="str" cm="1">
        <f t="array" ref="J263">_xlfn.IFS(K263=1,"Divorciado",L263=1,"Casado",M263=1,"Solteiro",N263=1,"Juntos",O263=1,"Viuvo")</f>
        <v>Casado</v>
      </c>
      <c r="K263" s="17">
        <v>0</v>
      </c>
      <c r="L263" s="17">
        <v>1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1</v>
      </c>
      <c r="T263" s="17">
        <v>0</v>
      </c>
      <c r="U263" s="17">
        <v>1076</v>
      </c>
      <c r="V263" s="13" t="str" cm="1">
        <f t="array" ref="V263">_xlfn.IFS(U263&lt;=250,"0-R$250",U263&lt;=500,"251-R$500",U263&lt;=750,"501-R$750",U263&lt;=1000,"751-R$1000",U263&lt;=1250,"1001-R$1250",U263&lt;=1500,"1251-R$1500")</f>
        <v>1001-R$1250</v>
      </c>
      <c r="W263" s="17">
        <v>68</v>
      </c>
      <c r="X263" s="13" t="str" cm="1">
        <f t="array" ref="X263">_xlfn.IFS(W263 = 0, "0", W263&lt;=20, "até R$20",W263&lt;=40, "21 - R$40",W263&lt;=60, "41- R$60",W263&lt;=80, "61 - R$80", W263&lt;=100, "81 - R$100",W263&lt;=120, "101 - R$120",W263&lt;=140, "121 - R$140", W263&lt;=160, "141- R$160", W263&lt;=180, "161 - R$180", W263&lt;=200, "181-R$194")</f>
        <v>61 - R$80</v>
      </c>
      <c r="Y263" s="17">
        <v>103</v>
      </c>
      <c r="Z263" s="17">
        <v>29</v>
      </c>
      <c r="AA263" s="17">
        <v>91</v>
      </c>
      <c r="AB263" s="17">
        <v>68</v>
      </c>
      <c r="AC263" s="17">
        <v>1</v>
      </c>
      <c r="AD263" s="17">
        <v>3</v>
      </c>
      <c r="AE263" s="17">
        <v>4</v>
      </c>
      <c r="AF263" s="17">
        <v>8</v>
      </c>
      <c r="AG263" s="17">
        <v>1</v>
      </c>
      <c r="AH263" s="17">
        <v>0</v>
      </c>
      <c r="AI263" s="17">
        <v>0</v>
      </c>
      <c r="AJ263" s="17">
        <v>1</v>
      </c>
      <c r="AK263" s="17">
        <v>1</v>
      </c>
      <c r="AL263" s="17">
        <v>0</v>
      </c>
      <c r="AM263" s="17">
        <v>0</v>
      </c>
      <c r="AN263" s="17">
        <v>1</v>
      </c>
      <c r="AO263" s="18">
        <v>2</v>
      </c>
      <c r="AP263" s="17">
        <v>3</v>
      </c>
      <c r="AQ263" s="17">
        <v>11</v>
      </c>
      <c r="AR263" s="19">
        <v>1299</v>
      </c>
      <c r="AS263" s="19">
        <v>1367</v>
      </c>
    </row>
    <row r="264" spans="1:45" x14ac:dyDescent="0.25">
      <c r="A264">
        <v>696</v>
      </c>
      <c r="B264" s="11">
        <f t="shared" si="4"/>
        <v>76618</v>
      </c>
      <c r="C264" s="12">
        <v>766180</v>
      </c>
      <c r="D264" s="13">
        <v>0</v>
      </c>
      <c r="E264" s="13">
        <v>0</v>
      </c>
      <c r="F264" s="13">
        <v>64</v>
      </c>
      <c r="G264" s="13">
        <v>45</v>
      </c>
      <c r="H264" s="13" t="str" cm="1">
        <f t="array" ref="H264">_xlfn.IFS(G264&lt;=20,"0-20",G264&lt;=30,"20-30",G264&lt;=40,"30-40",G264&lt;=50,"50-60",G264&lt;=60,"60-70",G264&lt;=70,"70-80",G264&lt;=80,"80-90")</f>
        <v>50-60</v>
      </c>
      <c r="I264" s="13">
        <v>2728</v>
      </c>
      <c r="J264" s="13" t="str" cm="1">
        <f t="array" ref="J264">_xlfn.IFS(K264=1,"Divorciado",L264=1,"Casado",M264=1,"Solteiro",N264=1,"Juntos",O264=1,"Viuvo")</f>
        <v>Casado</v>
      </c>
      <c r="K264" s="13">
        <v>0</v>
      </c>
      <c r="L264" s="13">
        <v>1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0</v>
      </c>
      <c r="T264" s="13">
        <v>1</v>
      </c>
      <c r="U264" s="13">
        <v>749</v>
      </c>
      <c r="V264" s="13" t="str" cm="1">
        <f t="array" ref="V264">_xlfn.IFS(U264&lt;=250,"0-R$250",U264&lt;=500,"251-R$500",U264&lt;=750,"501-R$750",U264&lt;=1000,"751-R$1000",U264&lt;=1250,"1001-R$1250",U264&lt;=1500,"1251-R$1500")</f>
        <v>501-R$750</v>
      </c>
      <c r="W264" s="13">
        <v>40</v>
      </c>
      <c r="X264" s="13" t="str" cm="1">
        <f t="array" ref="X264">_xlfn.IFS(W264 = 0, "0", W264&lt;=20, "até R$20",W264&lt;=40, "21 - R$40",W264&lt;=60, "41- R$60",W264&lt;=80, "61 - R$80", W264&lt;=100, "81 - R$100",W264&lt;=120, "101 - R$120",W264&lt;=140, "121 - R$140", W264&lt;=160, "141- R$160", W264&lt;=180, "161 - R$180", W264&lt;=200, "181-R$194")</f>
        <v>21 - R$40</v>
      </c>
      <c r="Y264" s="13">
        <v>294</v>
      </c>
      <c r="Z264" s="13">
        <v>121</v>
      </c>
      <c r="AA264" s="13">
        <v>160</v>
      </c>
      <c r="AB264" s="13">
        <v>147</v>
      </c>
      <c r="AC264" s="13">
        <v>1</v>
      </c>
      <c r="AD264" s="13">
        <v>3</v>
      </c>
      <c r="AE264" s="13">
        <v>2</v>
      </c>
      <c r="AF264" s="13">
        <v>5</v>
      </c>
      <c r="AG264" s="13">
        <v>1</v>
      </c>
      <c r="AH264" s="13">
        <v>0</v>
      </c>
      <c r="AI264" s="13">
        <v>0</v>
      </c>
      <c r="AJ264" s="13">
        <v>0</v>
      </c>
      <c r="AK264" s="13">
        <v>0</v>
      </c>
      <c r="AL264" s="13">
        <v>0</v>
      </c>
      <c r="AM264" s="13">
        <v>0</v>
      </c>
      <c r="AN264" s="13">
        <v>0</v>
      </c>
      <c r="AO264" s="14">
        <v>0</v>
      </c>
      <c r="AP264" s="13">
        <v>3</v>
      </c>
      <c r="AQ264" s="13">
        <v>11</v>
      </c>
      <c r="AR264" s="15">
        <v>1217</v>
      </c>
      <c r="AS264" s="15">
        <v>1364</v>
      </c>
    </row>
    <row r="265" spans="1:45" x14ac:dyDescent="0.25">
      <c r="A265">
        <v>2047</v>
      </c>
      <c r="B265" s="11">
        <f t="shared" si="4"/>
        <v>69520</v>
      </c>
      <c r="C265" s="16">
        <v>695200</v>
      </c>
      <c r="D265" s="17">
        <v>0</v>
      </c>
      <c r="E265" s="17">
        <v>0</v>
      </c>
      <c r="F265" s="17">
        <v>95</v>
      </c>
      <c r="G265" s="17">
        <v>37</v>
      </c>
      <c r="H265" s="13" t="str" cm="1">
        <f t="array" ref="H265">_xlfn.IFS(G265&lt;=20,"0-20",G265&lt;=30,"20-30",G265&lt;=40,"30-40",G265&lt;=50,"50-60",G265&lt;=60,"60-70",G265&lt;=70,"70-80",G265&lt;=80,"80-90")</f>
        <v>30-40</v>
      </c>
      <c r="I265" s="17">
        <v>2516</v>
      </c>
      <c r="J265" s="13" t="str" cm="1">
        <f t="array" ref="J265">_xlfn.IFS(K265=1,"Divorciado",L265=1,"Casado",M265=1,"Solteiro",N265=1,"Juntos",O265=1,"Viuvo")</f>
        <v>Casado</v>
      </c>
      <c r="K265" s="17">
        <v>0</v>
      </c>
      <c r="L265" s="17">
        <v>1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1</v>
      </c>
      <c r="S265" s="17">
        <v>0</v>
      </c>
      <c r="T265" s="17">
        <v>0</v>
      </c>
      <c r="U265" s="17">
        <v>627</v>
      </c>
      <c r="V265" s="13" t="str" cm="1">
        <f t="array" ref="V265">_xlfn.IFS(U265&lt;=250,"0-R$250",U265&lt;=500,"251-R$500",U265&lt;=750,"501-R$750",U265&lt;=1000,"751-R$1000",U265&lt;=1250,"1001-R$1250",U265&lt;=1500,"1251-R$1500")</f>
        <v>501-R$750</v>
      </c>
      <c r="W265" s="17">
        <v>120</v>
      </c>
      <c r="X265" s="13" t="str" cm="1">
        <f t="array" ref="X265">_xlfn.IFS(W265 = 0, "0", W265&lt;=20, "até R$20",W265&lt;=40, "21 - R$40",W265&lt;=60, "41- R$60",W265&lt;=80, "61 - R$80", W265&lt;=100, "81 - R$100",W265&lt;=120, "101 - R$120",W265&lt;=140, "121 - R$140", W265&lt;=160, "141- R$160", W265&lt;=180, "161 - R$180", W265&lt;=200, "181-R$194")</f>
        <v>101 - R$120</v>
      </c>
      <c r="Y265" s="17">
        <v>414</v>
      </c>
      <c r="Z265" s="17">
        <v>121</v>
      </c>
      <c r="AA265" s="17">
        <v>80</v>
      </c>
      <c r="AB265" s="17">
        <v>93</v>
      </c>
      <c r="AC265" s="17">
        <v>1</v>
      </c>
      <c r="AD265" s="17">
        <v>9</v>
      </c>
      <c r="AE265" s="17">
        <v>6</v>
      </c>
      <c r="AF265" s="17">
        <v>5</v>
      </c>
      <c r="AG265" s="17">
        <v>5</v>
      </c>
      <c r="AH265" s="17">
        <v>0</v>
      </c>
      <c r="AI265" s="17">
        <v>0</v>
      </c>
      <c r="AJ265" s="17">
        <v>0</v>
      </c>
      <c r="AK265" s="17">
        <v>0</v>
      </c>
      <c r="AL265" s="17">
        <v>0</v>
      </c>
      <c r="AM265" s="17">
        <v>0</v>
      </c>
      <c r="AN265" s="17">
        <v>0</v>
      </c>
      <c r="AO265" s="18">
        <v>0</v>
      </c>
      <c r="AP265" s="17">
        <v>3</v>
      </c>
      <c r="AQ265" s="17">
        <v>11</v>
      </c>
      <c r="AR265" s="19">
        <v>1269</v>
      </c>
      <c r="AS265" s="19">
        <v>1362</v>
      </c>
    </row>
    <row r="266" spans="1:45" x14ac:dyDescent="0.25">
      <c r="A266">
        <v>402</v>
      </c>
      <c r="B266" s="11">
        <f t="shared" si="4"/>
        <v>91065</v>
      </c>
      <c r="C266" s="12">
        <v>910650</v>
      </c>
      <c r="D266" s="13">
        <v>0</v>
      </c>
      <c r="E266" s="13">
        <v>0</v>
      </c>
      <c r="F266" s="13">
        <v>33</v>
      </c>
      <c r="G266" s="13">
        <v>39</v>
      </c>
      <c r="H266" s="13" t="str" cm="1">
        <f t="array" ref="H266">_xlfn.IFS(G266&lt;=20,"0-20",G266&lt;=30,"20-30",G266&lt;=40,"30-40",G266&lt;=50,"50-60",G266&lt;=60,"60-70",G266&lt;=70,"70-80",G266&lt;=80,"80-90")</f>
        <v>30-40</v>
      </c>
      <c r="I266" s="13">
        <v>2651</v>
      </c>
      <c r="J266" s="13" t="str" cm="1">
        <f t="array" ref="J266">_xlfn.IFS(K266=1,"Divorciado",L266=1,"Casado",M266=1,"Solteiro",N266=1,"Juntos",O266=1,"Viuvo")</f>
        <v>Solteiro</v>
      </c>
      <c r="K266" s="13">
        <v>0</v>
      </c>
      <c r="L266" s="13">
        <v>0</v>
      </c>
      <c r="M266" s="13">
        <v>1</v>
      </c>
      <c r="N266" s="13">
        <v>0</v>
      </c>
      <c r="O266" s="13">
        <v>0</v>
      </c>
      <c r="P266" s="13">
        <v>0</v>
      </c>
      <c r="Q266" s="13">
        <v>0</v>
      </c>
      <c r="R266" s="13">
        <v>1</v>
      </c>
      <c r="S266" s="13">
        <v>0</v>
      </c>
      <c r="T266" s="13">
        <v>0</v>
      </c>
      <c r="U266" s="13">
        <v>822</v>
      </c>
      <c r="V266" s="13" t="str" cm="1">
        <f t="array" ref="V266">_xlfn.IFS(U266&lt;=250,"0-R$250",U266&lt;=500,"251-R$500",U266&lt;=750,"501-R$750",U266&lt;=1000,"751-R$1000",U266&lt;=1250,"1001-R$1250",U266&lt;=1500,"1251-R$1500")</f>
        <v>751-R$1000</v>
      </c>
      <c r="W266" s="13">
        <v>114</v>
      </c>
      <c r="X266" s="13" t="str" cm="1">
        <f t="array" ref="X266">_xlfn.IFS(W266 = 0, "0", W266&lt;=20, "até R$20",W266&lt;=40, "21 - R$40",W266&lt;=60, "41- R$60",W266&lt;=80, "61 - R$80", W266&lt;=100, "81 - R$100",W266&lt;=120, "101 - R$120",W266&lt;=140, "121 - R$140", W266&lt;=160, "141- R$160", W266&lt;=180, "161 - R$180", W266&lt;=200, "181-R$194")</f>
        <v>101 - R$120</v>
      </c>
      <c r="Y266" s="13">
        <v>108</v>
      </c>
      <c r="Z266" s="13">
        <v>179</v>
      </c>
      <c r="AA266" s="13">
        <v>137</v>
      </c>
      <c r="AB266" s="13">
        <v>114</v>
      </c>
      <c r="AC266" s="13">
        <v>1</v>
      </c>
      <c r="AD266" s="13">
        <v>7</v>
      </c>
      <c r="AE266" s="13">
        <v>9</v>
      </c>
      <c r="AF266" s="13">
        <v>9</v>
      </c>
      <c r="AG266" s="13">
        <v>3</v>
      </c>
      <c r="AH266" s="13">
        <v>0</v>
      </c>
      <c r="AI266" s="13">
        <v>0</v>
      </c>
      <c r="AJ266" s="13">
        <v>0</v>
      </c>
      <c r="AK266" s="13">
        <v>1</v>
      </c>
      <c r="AL266" s="13">
        <v>1</v>
      </c>
      <c r="AM266" s="13">
        <v>0</v>
      </c>
      <c r="AN266" s="13">
        <v>1</v>
      </c>
      <c r="AO266" s="14">
        <v>2</v>
      </c>
      <c r="AP266" s="13">
        <v>3</v>
      </c>
      <c r="AQ266" s="13">
        <v>11</v>
      </c>
      <c r="AR266" s="15">
        <v>1246</v>
      </c>
      <c r="AS266" s="15">
        <v>1360</v>
      </c>
    </row>
    <row r="267" spans="1:45" x14ac:dyDescent="0.25">
      <c r="A267">
        <v>735</v>
      </c>
      <c r="B267" s="11">
        <f t="shared" si="4"/>
        <v>75507</v>
      </c>
      <c r="C267" s="16">
        <v>755070</v>
      </c>
      <c r="D267" s="17">
        <v>0</v>
      </c>
      <c r="E267" s="17">
        <v>0</v>
      </c>
      <c r="F267" s="17">
        <v>56</v>
      </c>
      <c r="G267" s="17">
        <v>41</v>
      </c>
      <c r="H267" s="13" t="str" cm="1">
        <f t="array" ref="H267">_xlfn.IFS(G267&lt;=20,"0-20",G267&lt;=30,"20-30",G267&lt;=40,"30-40",G267&lt;=50,"50-60",G267&lt;=60,"60-70",G267&lt;=70,"70-80",G267&lt;=80,"80-90")</f>
        <v>50-60</v>
      </c>
      <c r="I267" s="17">
        <v>2217</v>
      </c>
      <c r="J267" s="13" t="str" cm="1">
        <f t="array" ref="J267">_xlfn.IFS(K267=1,"Divorciado",L267=1,"Casado",M267=1,"Solteiro",N267=1,"Juntos",O267=1,"Viuvo")</f>
        <v>Juntos</v>
      </c>
      <c r="K267" s="17">
        <v>0</v>
      </c>
      <c r="L267" s="17">
        <v>0</v>
      </c>
      <c r="M267" s="17">
        <v>0</v>
      </c>
      <c r="N267" s="17">
        <v>1</v>
      </c>
      <c r="O267" s="17">
        <v>0</v>
      </c>
      <c r="P267" s="17">
        <v>0</v>
      </c>
      <c r="Q267" s="17">
        <v>0</v>
      </c>
      <c r="R267" s="17">
        <v>1</v>
      </c>
      <c r="S267" s="17">
        <v>0</v>
      </c>
      <c r="T267" s="17">
        <v>0</v>
      </c>
      <c r="U267" s="17">
        <v>709</v>
      </c>
      <c r="V267" s="13" t="str" cm="1">
        <f t="array" ref="V267">_xlfn.IFS(U267&lt;=250,"0-R$250",U267&lt;=500,"251-R$500",U267&lt;=750,"501-R$750",U267&lt;=1000,"751-R$1000",U267&lt;=1250,"1001-R$1250",U267&lt;=1500,"1251-R$1500")</f>
        <v>501-R$750</v>
      </c>
      <c r="W267" s="17">
        <v>93</v>
      </c>
      <c r="X267" s="13" t="str" cm="1">
        <f t="array" ref="X267">_xlfn.IFS(W267 = 0, "0", W267&lt;=20, "até R$20",W267&lt;=40, "21 - R$40",W267&lt;=60, "41- R$60",W267&lt;=80, "61 - R$80", W267&lt;=100, "81 - R$100",W267&lt;=120, "101 - R$120",W267&lt;=140, "121 - R$140", W267&lt;=160, "141- R$160", W267&lt;=180, "161 - R$180", W267&lt;=200, "181-R$194")</f>
        <v>81 - R$100</v>
      </c>
      <c r="Y267" s="17">
        <v>374</v>
      </c>
      <c r="Z267" s="17">
        <v>104</v>
      </c>
      <c r="AA267" s="17">
        <v>80</v>
      </c>
      <c r="AB267" s="17">
        <v>80</v>
      </c>
      <c r="AC267" s="17">
        <v>1</v>
      </c>
      <c r="AD267" s="17">
        <v>8</v>
      </c>
      <c r="AE267" s="17">
        <v>6</v>
      </c>
      <c r="AF267" s="17">
        <v>6</v>
      </c>
      <c r="AG267" s="17">
        <v>3</v>
      </c>
      <c r="AH267" s="17">
        <v>0</v>
      </c>
      <c r="AI267" s="17">
        <v>0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8">
        <v>0</v>
      </c>
      <c r="AP267" s="17">
        <v>3</v>
      </c>
      <c r="AQ267" s="17">
        <v>11</v>
      </c>
      <c r="AR267" s="19">
        <v>1280</v>
      </c>
      <c r="AS267" s="19">
        <v>1360</v>
      </c>
    </row>
    <row r="268" spans="1:45" x14ac:dyDescent="0.25">
      <c r="A268">
        <v>1365</v>
      </c>
      <c r="B268" s="11">
        <f t="shared" si="4"/>
        <v>75507</v>
      </c>
      <c r="C268" s="16">
        <v>755070</v>
      </c>
      <c r="D268" s="17">
        <v>0</v>
      </c>
      <c r="E268" s="17">
        <v>0</v>
      </c>
      <c r="F268" s="17">
        <v>56</v>
      </c>
      <c r="G268" s="17">
        <v>41</v>
      </c>
      <c r="H268" s="13" t="str" cm="1">
        <f t="array" ref="H268">_xlfn.IFS(G268&lt;=20,"0-20",G268&lt;=30,"20-30",G268&lt;=40,"30-40",G268&lt;=50,"50-60",G268&lt;=60,"60-70",G268&lt;=70,"70-80",G268&lt;=80,"80-90")</f>
        <v>50-60</v>
      </c>
      <c r="I268" s="17">
        <v>2217</v>
      </c>
      <c r="J268" s="13" t="str" cm="1">
        <f t="array" ref="J268">_xlfn.IFS(K268=1,"Divorciado",L268=1,"Casado",M268=1,"Solteiro",N268=1,"Juntos",O268=1,"Viuvo")</f>
        <v>Juntos</v>
      </c>
      <c r="K268" s="17">
        <v>0</v>
      </c>
      <c r="L268" s="17">
        <v>0</v>
      </c>
      <c r="M268" s="17">
        <v>0</v>
      </c>
      <c r="N268" s="17">
        <v>1</v>
      </c>
      <c r="O268" s="17">
        <v>0</v>
      </c>
      <c r="P268" s="17">
        <v>0</v>
      </c>
      <c r="Q268" s="17">
        <v>0</v>
      </c>
      <c r="R268" s="17">
        <v>1</v>
      </c>
      <c r="S268" s="17">
        <v>0</v>
      </c>
      <c r="T268" s="17">
        <v>0</v>
      </c>
      <c r="U268" s="17">
        <v>709</v>
      </c>
      <c r="V268" s="13" t="str" cm="1">
        <f t="array" ref="V268">_xlfn.IFS(U268&lt;=250,"0-R$250",U268&lt;=500,"251-R$500",U268&lt;=750,"501-R$750",U268&lt;=1000,"751-R$1000",U268&lt;=1250,"1001-R$1250",U268&lt;=1500,"1251-R$1500")</f>
        <v>501-R$750</v>
      </c>
      <c r="W268" s="17">
        <v>93</v>
      </c>
      <c r="X268" s="13" t="str" cm="1">
        <f t="array" ref="X268">_xlfn.IFS(W268 = 0, "0", W268&lt;=20, "até R$20",W268&lt;=40, "21 - R$40",W268&lt;=60, "41- R$60",W268&lt;=80, "61 - R$80", W268&lt;=100, "81 - R$100",W268&lt;=120, "101 - R$120",W268&lt;=140, "121 - R$140", W268&lt;=160, "141- R$160", W268&lt;=180, "161 - R$180", W268&lt;=200, "181-R$194")</f>
        <v>81 - R$100</v>
      </c>
      <c r="Y268" s="17">
        <v>374</v>
      </c>
      <c r="Z268" s="17">
        <v>104</v>
      </c>
      <c r="AA268" s="17">
        <v>80</v>
      </c>
      <c r="AB268" s="17">
        <v>80</v>
      </c>
      <c r="AC268" s="17">
        <v>1</v>
      </c>
      <c r="AD268" s="17">
        <v>8</v>
      </c>
      <c r="AE268" s="17">
        <v>6</v>
      </c>
      <c r="AF268" s="17">
        <v>6</v>
      </c>
      <c r="AG268" s="17">
        <v>3</v>
      </c>
      <c r="AH268" s="17">
        <v>0</v>
      </c>
      <c r="AI268" s="17">
        <v>0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8">
        <v>0</v>
      </c>
      <c r="AP268" s="17">
        <v>3</v>
      </c>
      <c r="AQ268" s="17">
        <v>11</v>
      </c>
      <c r="AR268" s="19">
        <v>1280</v>
      </c>
      <c r="AS268" s="19">
        <v>1360</v>
      </c>
    </row>
    <row r="269" spans="1:45" x14ac:dyDescent="0.25">
      <c r="A269">
        <v>56</v>
      </c>
      <c r="B269" s="11">
        <f t="shared" si="4"/>
        <v>75777</v>
      </c>
      <c r="C269" s="12">
        <v>757770</v>
      </c>
      <c r="D269" s="13">
        <v>0</v>
      </c>
      <c r="E269" s="13">
        <v>0</v>
      </c>
      <c r="F269" s="13">
        <v>12</v>
      </c>
      <c r="G269" s="13">
        <v>38</v>
      </c>
      <c r="H269" s="13" t="str" cm="1">
        <f t="array" ref="H269">_xlfn.IFS(G269&lt;=20,"0-20",G269&lt;=30,"20-30",G269&lt;=40,"30-40",G269&lt;=50,"50-60",G269&lt;=60,"60-70",G269&lt;=70,"70-80",G269&lt;=80,"80-90")</f>
        <v>30-40</v>
      </c>
      <c r="I269" s="13">
        <v>2519</v>
      </c>
      <c r="J269" s="13" t="str" cm="1">
        <f t="array" ref="J269">_xlfn.IFS(K269=1,"Divorciado",L269=1,"Casado",M269=1,"Solteiro",N269=1,"Juntos",O269=1,"Viuvo")</f>
        <v>Solteiro</v>
      </c>
      <c r="K269" s="13">
        <v>0</v>
      </c>
      <c r="L269" s="13">
        <v>0</v>
      </c>
      <c r="M269" s="13">
        <v>1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1</v>
      </c>
      <c r="T269" s="13">
        <v>0</v>
      </c>
      <c r="U269" s="13">
        <v>712</v>
      </c>
      <c r="V269" s="13" t="str" cm="1">
        <f t="array" ref="V269">_xlfn.IFS(U269&lt;=250,"0-R$250",U269&lt;=500,"251-R$500",U269&lt;=750,"501-R$750",U269&lt;=1000,"751-R$1000",U269&lt;=1250,"1001-R$1250",U269&lt;=1500,"1251-R$1500")</f>
        <v>501-R$750</v>
      </c>
      <c r="W269" s="13">
        <v>26</v>
      </c>
      <c r="X269" s="13" t="str" cm="1">
        <f t="array" ref="X269">_xlfn.IFS(W269 = 0, "0", W269&lt;=20, "até R$20",W269&lt;=40, "21 - R$40",W269&lt;=60, "41- R$60",W269&lt;=80, "61 - R$80", W269&lt;=100, "81 - R$100",W269&lt;=120, "101 - R$120",W269&lt;=140, "121 - R$140", W269&lt;=160, "141- R$160", W269&lt;=180, "161 - R$180", W269&lt;=200, "181-R$194")</f>
        <v>21 - R$40</v>
      </c>
      <c r="Y269" s="13">
        <v>538</v>
      </c>
      <c r="Z269" s="13">
        <v>69</v>
      </c>
      <c r="AA269" s="13">
        <v>13</v>
      </c>
      <c r="AB269" s="13">
        <v>80</v>
      </c>
      <c r="AC269" s="13">
        <v>1</v>
      </c>
      <c r="AD269" s="13">
        <v>3</v>
      </c>
      <c r="AE269" s="13">
        <v>6</v>
      </c>
      <c r="AF269" s="13">
        <v>11</v>
      </c>
      <c r="AG269" s="13">
        <v>1</v>
      </c>
      <c r="AH269" s="13">
        <v>0</v>
      </c>
      <c r="AI269" s="13">
        <v>0</v>
      </c>
      <c r="AJ269" s="13">
        <v>1</v>
      </c>
      <c r="AK269" s="13">
        <v>1</v>
      </c>
      <c r="AL269" s="13">
        <v>0</v>
      </c>
      <c r="AM269" s="13">
        <v>0</v>
      </c>
      <c r="AN269" s="13">
        <v>1</v>
      </c>
      <c r="AO269" s="14">
        <v>2</v>
      </c>
      <c r="AP269" s="13">
        <v>3</v>
      </c>
      <c r="AQ269" s="13">
        <v>11</v>
      </c>
      <c r="AR269" s="15">
        <v>1278</v>
      </c>
      <c r="AS269" s="15">
        <v>1358</v>
      </c>
    </row>
    <row r="270" spans="1:45" x14ac:dyDescent="0.25">
      <c r="A270">
        <v>1944</v>
      </c>
      <c r="B270" s="11">
        <f t="shared" si="4"/>
        <v>85738</v>
      </c>
      <c r="C270" s="12">
        <v>857380</v>
      </c>
      <c r="D270" s="13">
        <v>0</v>
      </c>
      <c r="E270" s="13">
        <v>0</v>
      </c>
      <c r="F270" s="13">
        <v>41</v>
      </c>
      <c r="G270" s="13">
        <v>42</v>
      </c>
      <c r="H270" s="13" t="str" cm="1">
        <f t="array" ref="H270">_xlfn.IFS(G270&lt;=20,"0-20",G270&lt;=30,"20-30",G270&lt;=40,"30-40",G270&lt;=50,"50-60",G270&lt;=60,"60-70",G270&lt;=70,"70-80",G270&lt;=80,"80-90")</f>
        <v>50-60</v>
      </c>
      <c r="I270" s="13">
        <v>2316</v>
      </c>
      <c r="J270" s="13" t="str" cm="1">
        <f t="array" ref="J270">_xlfn.IFS(K270=1,"Divorciado",L270=1,"Casado",M270=1,"Solteiro",N270=1,"Juntos",O270=1,"Viuvo")</f>
        <v>Juntos</v>
      </c>
      <c r="K270" s="13">
        <v>0</v>
      </c>
      <c r="L270" s="13">
        <v>0</v>
      </c>
      <c r="M270" s="13">
        <v>0</v>
      </c>
      <c r="N270" s="13">
        <v>1</v>
      </c>
      <c r="O270" s="13">
        <v>0</v>
      </c>
      <c r="P270" s="13">
        <v>0</v>
      </c>
      <c r="Q270" s="13">
        <v>0</v>
      </c>
      <c r="R270" s="13">
        <v>0</v>
      </c>
      <c r="S270" s="13">
        <v>1</v>
      </c>
      <c r="T270" s="13">
        <v>0</v>
      </c>
      <c r="U270" s="13">
        <v>913</v>
      </c>
      <c r="V270" s="13" t="str" cm="1">
        <f t="array" ref="V270">_xlfn.IFS(U270&lt;=250,"0-R$250",U270&lt;=500,"251-R$500",U270&lt;=750,"501-R$750",U270&lt;=1000,"751-R$1000",U270&lt;=1250,"1001-R$1250",U270&lt;=1500,"1251-R$1500")</f>
        <v>751-R$1000</v>
      </c>
      <c r="W270" s="13">
        <v>26</v>
      </c>
      <c r="X270" s="13" t="str" cm="1">
        <f t="array" ref="X270">_xlfn.IFS(W270 = 0, "0", W270&lt;=20, "até R$20",W270&lt;=40, "21 - R$40",W270&lt;=60, "41- R$60",W270&lt;=80, "61 - R$80", W270&lt;=100, "81 - R$100",W270&lt;=120, "101 - R$120",W270&lt;=140, "121 - R$140", W270&lt;=160, "141- R$160", W270&lt;=180, "161 - R$180", W270&lt;=200, "181-R$194")</f>
        <v>21 - R$40</v>
      </c>
      <c r="Y270" s="13">
        <v>376</v>
      </c>
      <c r="Z270" s="13">
        <v>17</v>
      </c>
      <c r="AA270" s="13">
        <v>26</v>
      </c>
      <c r="AB270" s="13">
        <v>13</v>
      </c>
      <c r="AC270" s="13">
        <v>1</v>
      </c>
      <c r="AD270" s="13">
        <v>3</v>
      </c>
      <c r="AE270" s="13">
        <v>6</v>
      </c>
      <c r="AF270" s="13">
        <v>11</v>
      </c>
      <c r="AG270" s="13">
        <v>1</v>
      </c>
      <c r="AH270" s="13">
        <v>0</v>
      </c>
      <c r="AI270" s="13">
        <v>0</v>
      </c>
      <c r="AJ270" s="13">
        <v>1</v>
      </c>
      <c r="AK270" s="13">
        <v>1</v>
      </c>
      <c r="AL270" s="13">
        <v>0</v>
      </c>
      <c r="AM270" s="13">
        <v>0</v>
      </c>
      <c r="AN270" s="13">
        <v>0</v>
      </c>
      <c r="AO270" s="14">
        <v>2</v>
      </c>
      <c r="AP270" s="13">
        <v>3</v>
      </c>
      <c r="AQ270" s="13">
        <v>11</v>
      </c>
      <c r="AR270" s="15">
        <v>1345</v>
      </c>
      <c r="AS270" s="15">
        <v>1358</v>
      </c>
    </row>
    <row r="271" spans="1:45" x14ac:dyDescent="0.25">
      <c r="A271">
        <v>2189</v>
      </c>
      <c r="B271" s="11">
        <f t="shared" si="4"/>
        <v>75777</v>
      </c>
      <c r="C271" s="16">
        <v>757770</v>
      </c>
      <c r="D271" s="17">
        <v>0</v>
      </c>
      <c r="E271" s="17">
        <v>0</v>
      </c>
      <c r="F271" s="17">
        <v>12</v>
      </c>
      <c r="G271" s="17">
        <v>38</v>
      </c>
      <c r="H271" s="13" t="str" cm="1">
        <f t="array" ref="H271">_xlfn.IFS(G271&lt;=20,"0-20",G271&lt;=30,"20-30",G271&lt;=40,"30-40",G271&lt;=50,"50-60",G271&lt;=60,"60-70",G271&lt;=70,"70-80",G271&lt;=80,"80-90")</f>
        <v>30-40</v>
      </c>
      <c r="I271" s="17">
        <v>2519</v>
      </c>
      <c r="J271" s="13" t="str" cm="1">
        <f t="array" ref="J271">_xlfn.IFS(K271=1,"Divorciado",L271=1,"Casado",M271=1,"Solteiro",N271=1,"Juntos",O271=1,"Viuvo")</f>
        <v>Solteiro</v>
      </c>
      <c r="K271" s="17">
        <v>0</v>
      </c>
      <c r="L271" s="17">
        <v>0</v>
      </c>
      <c r="M271" s="17">
        <v>1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1</v>
      </c>
      <c r="T271" s="17">
        <v>0</v>
      </c>
      <c r="U271" s="17">
        <v>712</v>
      </c>
      <c r="V271" s="13" t="str" cm="1">
        <f t="array" ref="V271">_xlfn.IFS(U271&lt;=250,"0-R$250",U271&lt;=500,"251-R$500",U271&lt;=750,"501-R$750",U271&lt;=1000,"751-R$1000",U271&lt;=1250,"1001-R$1250",U271&lt;=1500,"1251-R$1500")</f>
        <v>501-R$750</v>
      </c>
      <c r="W271" s="17">
        <v>26</v>
      </c>
      <c r="X271" s="13" t="str" cm="1">
        <f t="array" ref="X271">_xlfn.IFS(W271 = 0, "0", W271&lt;=20, "até R$20",W271&lt;=40, "21 - R$40",W271&lt;=60, "41- R$60",W271&lt;=80, "61 - R$80", W271&lt;=100, "81 - R$100",W271&lt;=120, "101 - R$120",W271&lt;=140, "121 - R$140", W271&lt;=160, "141- R$160", W271&lt;=180, "161 - R$180", W271&lt;=200, "181-R$194")</f>
        <v>21 - R$40</v>
      </c>
      <c r="Y271" s="17">
        <v>538</v>
      </c>
      <c r="Z271" s="17">
        <v>69</v>
      </c>
      <c r="AA271" s="17">
        <v>13</v>
      </c>
      <c r="AB271" s="17">
        <v>80</v>
      </c>
      <c r="AC271" s="17">
        <v>1</v>
      </c>
      <c r="AD271" s="17">
        <v>3</v>
      </c>
      <c r="AE271" s="17">
        <v>6</v>
      </c>
      <c r="AF271" s="17">
        <v>11</v>
      </c>
      <c r="AG271" s="17">
        <v>1</v>
      </c>
      <c r="AH271" s="17">
        <v>0</v>
      </c>
      <c r="AI271" s="17">
        <v>0</v>
      </c>
      <c r="AJ271" s="17">
        <v>1</v>
      </c>
      <c r="AK271" s="17">
        <v>1</v>
      </c>
      <c r="AL271" s="17">
        <v>0</v>
      </c>
      <c r="AM271" s="17">
        <v>0</v>
      </c>
      <c r="AN271" s="17">
        <v>1</v>
      </c>
      <c r="AO271" s="18">
        <v>2</v>
      </c>
      <c r="AP271" s="17">
        <v>3</v>
      </c>
      <c r="AQ271" s="17">
        <v>11</v>
      </c>
      <c r="AR271" s="19">
        <v>1278</v>
      </c>
      <c r="AS271" s="19">
        <v>1358</v>
      </c>
    </row>
    <row r="272" spans="1:45" x14ac:dyDescent="0.25">
      <c r="A272">
        <v>1139</v>
      </c>
      <c r="B272" s="11">
        <f t="shared" si="4"/>
        <v>79410</v>
      </c>
      <c r="C272" s="16">
        <v>794100</v>
      </c>
      <c r="D272" s="17">
        <v>0</v>
      </c>
      <c r="E272" s="17">
        <v>0</v>
      </c>
      <c r="F272" s="17">
        <v>19</v>
      </c>
      <c r="G272" s="17">
        <v>59</v>
      </c>
      <c r="H272" s="13" t="str" cm="1">
        <f t="array" ref="H272">_xlfn.IFS(G272&lt;=20,"0-20",G272&lt;=30,"20-30",G272&lt;=40,"30-40",G272&lt;=50,"50-60",G272&lt;=60,"60-70",G272&lt;=70,"70-80",G272&lt;=80,"80-90")</f>
        <v>60-70</v>
      </c>
      <c r="I272" s="17">
        <v>2190</v>
      </c>
      <c r="J272" s="13" t="str" cm="1">
        <f t="array" ref="J272">_xlfn.IFS(K272=1,"Divorciado",L272=1,"Casado",M272=1,"Solteiro",N272=1,"Juntos",O272=1,"Viuvo")</f>
        <v>Casado</v>
      </c>
      <c r="K272" s="17">
        <v>0</v>
      </c>
      <c r="L272" s="17">
        <v>1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1</v>
      </c>
      <c r="S272" s="17">
        <v>0</v>
      </c>
      <c r="T272" s="17">
        <v>0</v>
      </c>
      <c r="U272" s="17">
        <v>658</v>
      </c>
      <c r="V272" s="13" t="str" cm="1">
        <f t="array" ref="V272">_xlfn.IFS(U272&lt;=250,"0-R$250",U272&lt;=500,"251-R$500",U272&lt;=750,"501-R$750",U272&lt;=1000,"751-R$1000",U272&lt;=1250,"1001-R$1250",U272&lt;=1500,"1251-R$1500")</f>
        <v>501-R$750</v>
      </c>
      <c r="W272" s="17">
        <v>80</v>
      </c>
      <c r="X272" s="13" t="str" cm="1">
        <f t="array" ref="X272">_xlfn.IFS(W272 = 0, "0", W272&lt;=20, "até R$20",W272&lt;=40, "21 - R$40",W272&lt;=60, "41- R$60",W272&lt;=80, "61 - R$80", W272&lt;=100, "81 - R$100",W272&lt;=120, "101 - R$120",W272&lt;=140, "121 - R$140", W272&lt;=160, "141- R$160", W272&lt;=180, "161 - R$180", W272&lt;=200, "181-R$194")</f>
        <v>61 - R$80</v>
      </c>
      <c r="Y272" s="17">
        <v>483</v>
      </c>
      <c r="Z272" s="17">
        <v>123</v>
      </c>
      <c r="AA272" s="17">
        <v>13</v>
      </c>
      <c r="AB272" s="17">
        <v>13</v>
      </c>
      <c r="AC272" s="17">
        <v>1</v>
      </c>
      <c r="AD272" s="17">
        <v>3</v>
      </c>
      <c r="AE272" s="17">
        <v>2</v>
      </c>
      <c r="AF272" s="17">
        <v>5</v>
      </c>
      <c r="AG272" s="17">
        <v>1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8">
        <v>0</v>
      </c>
      <c r="AP272" s="17">
        <v>3</v>
      </c>
      <c r="AQ272" s="17">
        <v>11</v>
      </c>
      <c r="AR272" s="19">
        <v>1344</v>
      </c>
      <c r="AS272" s="19">
        <v>1357</v>
      </c>
    </row>
    <row r="273" spans="1:45" x14ac:dyDescent="0.25">
      <c r="A273">
        <v>1480</v>
      </c>
      <c r="B273" s="11">
        <f t="shared" si="4"/>
        <v>49667</v>
      </c>
      <c r="C273" s="12">
        <v>496670</v>
      </c>
      <c r="D273" s="13">
        <v>0</v>
      </c>
      <c r="E273" s="13">
        <v>0</v>
      </c>
      <c r="F273" s="13">
        <v>35</v>
      </c>
      <c r="G273" s="13">
        <v>65</v>
      </c>
      <c r="H273" s="13" t="str" cm="1">
        <f t="array" ref="H273">_xlfn.IFS(G273&lt;=20,"0-20",G273&lt;=30,"20-30",G273&lt;=40,"30-40",G273&lt;=50,"50-60",G273&lt;=60,"60-70",G273&lt;=70,"70-80",G273&lt;=80,"80-90")</f>
        <v>70-80</v>
      </c>
      <c r="I273" s="13">
        <v>2837</v>
      </c>
      <c r="J273" s="13" t="str" cm="1">
        <f t="array" ref="J273">_xlfn.IFS(K273=1,"Divorciado",L273=1,"Casado",M273=1,"Solteiro",N273=1,"Juntos",O273=1,"Viuvo")</f>
        <v>Solteiro</v>
      </c>
      <c r="K273" s="13">
        <v>0</v>
      </c>
      <c r="L273" s="13">
        <v>0</v>
      </c>
      <c r="M273" s="13">
        <v>1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1</v>
      </c>
      <c r="U273" s="13">
        <v>1181</v>
      </c>
      <c r="V273" s="13" t="str" cm="1">
        <f t="array" ref="V273">_xlfn.IFS(U273&lt;=250,"0-R$250",U273&lt;=500,"251-R$500",U273&lt;=750,"501-R$750",U273&lt;=1000,"751-R$1000",U273&lt;=1250,"1001-R$1250",U273&lt;=1500,"1251-R$1500")</f>
        <v>1001-R$1250</v>
      </c>
      <c r="W273" s="13">
        <v>26</v>
      </c>
      <c r="X273" s="13" t="str" cm="1">
        <f t="array" ref="X273">_xlfn.IFS(W273 = 0, "0", W273&lt;=20, "até R$20",W273&lt;=40, "21 - R$40",W273&lt;=60, "41- R$60",W273&lt;=80, "61 - R$80", W273&lt;=100, "81 - R$100",W273&lt;=120, "101 - R$120",W273&lt;=140, "121 - R$140", W273&lt;=160, "141- R$160", W273&lt;=180, "161 - R$180", W273&lt;=200, "181-R$194")</f>
        <v>21 - R$40</v>
      </c>
      <c r="Y273" s="13">
        <v>120</v>
      </c>
      <c r="Z273" s="13">
        <v>17</v>
      </c>
      <c r="AA273" s="13">
        <v>13</v>
      </c>
      <c r="AB273" s="13">
        <v>39</v>
      </c>
      <c r="AC273" s="13">
        <v>2</v>
      </c>
      <c r="AD273" s="13">
        <v>5</v>
      </c>
      <c r="AE273" s="13">
        <v>10</v>
      </c>
      <c r="AF273" s="13">
        <v>5</v>
      </c>
      <c r="AG273" s="13">
        <v>8</v>
      </c>
      <c r="AH273" s="13">
        <v>0</v>
      </c>
      <c r="AI273" s="13">
        <v>1</v>
      </c>
      <c r="AJ273" s="13">
        <v>0</v>
      </c>
      <c r="AK273" s="13">
        <v>0</v>
      </c>
      <c r="AL273" s="13">
        <v>0</v>
      </c>
      <c r="AM273" s="13">
        <v>0</v>
      </c>
      <c r="AN273" s="13">
        <v>1</v>
      </c>
      <c r="AO273" s="14">
        <v>1</v>
      </c>
      <c r="AP273" s="13">
        <v>3</v>
      </c>
      <c r="AQ273" s="13">
        <v>11</v>
      </c>
      <c r="AR273" s="15">
        <v>1318</v>
      </c>
      <c r="AS273" s="15">
        <v>1357</v>
      </c>
    </row>
    <row r="274" spans="1:45" x14ac:dyDescent="0.25">
      <c r="A274">
        <v>2162</v>
      </c>
      <c r="B274" s="11">
        <f t="shared" si="4"/>
        <v>73803</v>
      </c>
      <c r="C274" s="12">
        <v>738030</v>
      </c>
      <c r="D274" s="13">
        <v>0</v>
      </c>
      <c r="E274" s="13">
        <v>1</v>
      </c>
      <c r="F274" s="13">
        <v>61</v>
      </c>
      <c r="G274" s="13">
        <v>63</v>
      </c>
      <c r="H274" s="13" t="str" cm="1">
        <f t="array" ref="H274">_xlfn.IFS(G274&lt;=20,"0-20",G274&lt;=30,"20-30",G274&lt;=40,"30-40",G274&lt;=50,"50-60",G274&lt;=60,"60-70",G274&lt;=70,"70-80",G274&lt;=80,"80-90")</f>
        <v>70-80</v>
      </c>
      <c r="I274" s="13">
        <v>2856</v>
      </c>
      <c r="J274" s="13" t="str" cm="1">
        <f t="array" ref="J274">_xlfn.IFS(K274=1,"Divorciado",L274=1,"Casado",M274=1,"Solteiro",N274=1,"Juntos",O274=1,"Viuvo")</f>
        <v>Casado</v>
      </c>
      <c r="K274" s="13">
        <v>0</v>
      </c>
      <c r="L274" s="13">
        <v>1</v>
      </c>
      <c r="M274" s="13">
        <v>0</v>
      </c>
      <c r="N274" s="13">
        <v>0</v>
      </c>
      <c r="O274" s="13">
        <v>0</v>
      </c>
      <c r="P274" s="13">
        <v>0</v>
      </c>
      <c r="Q274" s="13">
        <v>0</v>
      </c>
      <c r="R274" s="13">
        <v>1</v>
      </c>
      <c r="S274" s="13">
        <v>0</v>
      </c>
      <c r="T274" s="13">
        <v>0</v>
      </c>
      <c r="U274" s="13">
        <v>833</v>
      </c>
      <c r="V274" s="13" t="str" cm="1">
        <f t="array" ref="V274">_xlfn.IFS(U274&lt;=250,"0-R$250",U274&lt;=500,"251-R$500",U274&lt;=750,"501-R$750",U274&lt;=1000,"751-R$1000",U274&lt;=1250,"1001-R$1250",U274&lt;=1500,"1251-R$1500")</f>
        <v>751-R$1000</v>
      </c>
      <c r="W274" s="13">
        <v>80</v>
      </c>
      <c r="X274" s="13" t="str" cm="1">
        <f t="array" ref="X274">_xlfn.IFS(W274 = 0, "0", W274&lt;=20, "até R$20",W274&lt;=40, "21 - R$40",W274&lt;=60, "41- R$60",W274&lt;=80, "61 - R$80", W274&lt;=100, "81 - R$100",W274&lt;=120, "101 - R$120",W274&lt;=140, "121 - R$140", W274&lt;=160, "141- R$160", W274&lt;=180, "161 - R$180", W274&lt;=200, "181-R$194")</f>
        <v>61 - R$80</v>
      </c>
      <c r="Y274" s="13">
        <v>363</v>
      </c>
      <c r="Z274" s="13">
        <v>52</v>
      </c>
      <c r="AA274" s="13">
        <v>26</v>
      </c>
      <c r="AB274" s="13">
        <v>174</v>
      </c>
      <c r="AC274" s="13">
        <v>2</v>
      </c>
      <c r="AD274" s="13">
        <v>9</v>
      </c>
      <c r="AE274" s="13">
        <v>5</v>
      </c>
      <c r="AF274" s="13">
        <v>6</v>
      </c>
      <c r="AG274" s="13">
        <v>6</v>
      </c>
      <c r="AH274" s="13">
        <v>0</v>
      </c>
      <c r="AI274" s="13">
        <v>1</v>
      </c>
      <c r="AJ274" s="13">
        <v>0</v>
      </c>
      <c r="AK274" s="13">
        <v>0</v>
      </c>
      <c r="AL274" s="13">
        <v>0</v>
      </c>
      <c r="AM274" s="13">
        <v>0</v>
      </c>
      <c r="AN274" s="13">
        <v>1</v>
      </c>
      <c r="AO274" s="14">
        <v>1</v>
      </c>
      <c r="AP274" s="13">
        <v>3</v>
      </c>
      <c r="AQ274" s="13">
        <v>11</v>
      </c>
      <c r="AR274" s="15">
        <v>1180</v>
      </c>
      <c r="AS274" s="15">
        <v>1354</v>
      </c>
    </row>
    <row r="275" spans="1:45" x14ac:dyDescent="0.25">
      <c r="A275">
        <v>401</v>
      </c>
      <c r="B275" s="11">
        <f t="shared" si="4"/>
        <v>80134</v>
      </c>
      <c r="C275" s="16">
        <v>801340</v>
      </c>
      <c r="D275" s="17">
        <v>0</v>
      </c>
      <c r="E275" s="17">
        <v>0</v>
      </c>
      <c r="F275" s="17">
        <v>11</v>
      </c>
      <c r="G275" s="17">
        <v>26</v>
      </c>
      <c r="H275" s="13" t="str" cm="1">
        <f t="array" ref="H275">_xlfn.IFS(G275&lt;=20,"0-20",G275&lt;=30,"20-30",G275&lt;=40,"30-40",G275&lt;=50,"50-60",G275&lt;=60,"60-70",G275&lt;=70,"70-80",G275&lt;=80,"80-90")</f>
        <v>20-30</v>
      </c>
      <c r="I275" s="17">
        <v>2294</v>
      </c>
      <c r="J275" s="13" t="str" cm="1">
        <f t="array" ref="J275">_xlfn.IFS(K275=1,"Divorciado",L275=1,"Casado",M275=1,"Solteiro",N275=1,"Juntos",O275=1,"Viuvo")</f>
        <v>Juntos</v>
      </c>
      <c r="K275" s="17">
        <v>0</v>
      </c>
      <c r="L275" s="17">
        <v>0</v>
      </c>
      <c r="M275" s="17">
        <v>0</v>
      </c>
      <c r="N275" s="17">
        <v>1</v>
      </c>
      <c r="O275" s="17">
        <v>0</v>
      </c>
      <c r="P275" s="17">
        <v>0</v>
      </c>
      <c r="Q275" s="17">
        <v>0</v>
      </c>
      <c r="R275" s="17">
        <v>1</v>
      </c>
      <c r="S275" s="17">
        <v>0</v>
      </c>
      <c r="T275" s="17">
        <v>0</v>
      </c>
      <c r="U275" s="17">
        <v>966</v>
      </c>
      <c r="V275" s="13" t="str" cm="1">
        <f t="array" ref="V275">_xlfn.IFS(U275&lt;=250,"0-R$250",U275&lt;=500,"251-R$500",U275&lt;=750,"501-R$750",U275&lt;=1000,"751-R$1000",U275&lt;=1250,"1001-R$1250",U275&lt;=1500,"1251-R$1500")</f>
        <v>751-R$1000</v>
      </c>
      <c r="W275" s="17">
        <v>26</v>
      </c>
      <c r="X275" s="13" t="str" cm="1">
        <f t="array" ref="X275">_xlfn.IFS(W275 = 0, "0", W275&lt;=20, "até R$20",W275&lt;=40, "21 - R$40",W275&lt;=60, "41- R$60",W275&lt;=80, "61 - R$80", W275&lt;=100, "81 - R$100",W275&lt;=120, "101 - R$120",W275&lt;=140, "121 - R$140", W275&lt;=160, "141- R$160", W275&lt;=180, "161 - R$180", W275&lt;=200, "181-R$194")</f>
        <v>21 - R$40</v>
      </c>
      <c r="Y275" s="17">
        <v>282</v>
      </c>
      <c r="Z275" s="17">
        <v>52</v>
      </c>
      <c r="AA275" s="17">
        <v>26</v>
      </c>
      <c r="AB275" s="17">
        <v>26</v>
      </c>
      <c r="AC275" s="17">
        <v>1</v>
      </c>
      <c r="AD275" s="17">
        <v>2</v>
      </c>
      <c r="AE275" s="17">
        <v>7</v>
      </c>
      <c r="AF275" s="17">
        <v>11</v>
      </c>
      <c r="AG275" s="17">
        <v>5</v>
      </c>
      <c r="AH275" s="17">
        <v>0</v>
      </c>
      <c r="AI275" s="17">
        <v>0</v>
      </c>
      <c r="AJ275" s="17">
        <v>1</v>
      </c>
      <c r="AK275" s="17">
        <v>1</v>
      </c>
      <c r="AL275" s="17">
        <v>1</v>
      </c>
      <c r="AM275" s="17">
        <v>1</v>
      </c>
      <c r="AN275" s="17">
        <v>0</v>
      </c>
      <c r="AO275" s="18">
        <v>4</v>
      </c>
      <c r="AP275" s="17">
        <v>3</v>
      </c>
      <c r="AQ275" s="17">
        <v>11</v>
      </c>
      <c r="AR275" s="19">
        <v>1326</v>
      </c>
      <c r="AS275" s="19">
        <v>1352</v>
      </c>
    </row>
    <row r="276" spans="1:45" x14ac:dyDescent="0.25">
      <c r="A276">
        <v>335</v>
      </c>
      <c r="B276" s="11">
        <f t="shared" si="4"/>
        <v>71952</v>
      </c>
      <c r="C276" s="16">
        <v>719520</v>
      </c>
      <c r="D276" s="17">
        <v>1</v>
      </c>
      <c r="E276" s="17">
        <v>0</v>
      </c>
      <c r="F276" s="17">
        <v>93</v>
      </c>
      <c r="G276" s="17">
        <v>34</v>
      </c>
      <c r="H276" s="13" t="str" cm="1">
        <f t="array" ref="H276">_xlfn.IFS(G276&lt;=20,"0-20",G276&lt;=30,"20-30",G276&lt;=40,"30-40",G276&lt;=50,"50-60",G276&lt;=60,"60-70",G276&lt;=70,"70-80",G276&lt;=80,"80-90")</f>
        <v>30-40</v>
      </c>
      <c r="I276" s="17">
        <v>2694</v>
      </c>
      <c r="J276" s="13" t="str" cm="1">
        <f t="array" ref="J276">_xlfn.IFS(K276=1,"Divorciado",L276=1,"Casado",M276=1,"Solteiro",N276=1,"Juntos",O276=1,"Viuvo")</f>
        <v>Casado</v>
      </c>
      <c r="K276" s="17">
        <v>0</v>
      </c>
      <c r="L276" s="17">
        <v>1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1</v>
      </c>
      <c r="S276" s="17">
        <v>0</v>
      </c>
      <c r="T276" s="17">
        <v>0</v>
      </c>
      <c r="U276" s="17">
        <v>656</v>
      </c>
      <c r="V276" s="13" t="str" cm="1">
        <f t="array" ref="V276">_xlfn.IFS(U276&lt;=250,"0-R$250",U276&lt;=500,"251-R$500",U276&lt;=750,"501-R$750",U276&lt;=1000,"751-R$1000",U276&lt;=1250,"1001-R$1250",U276&lt;=1500,"1251-R$1500")</f>
        <v>501-R$750</v>
      </c>
      <c r="W276" s="17">
        <v>80</v>
      </c>
      <c r="X276" s="13" t="str" cm="1">
        <f t="array" ref="X276">_xlfn.IFS(W276 = 0, "0", W276&lt;=20, "até R$20",W276&lt;=40, "21 - R$40",W276&lt;=60, "41- R$60",W276&lt;=80, "61 - R$80", W276&lt;=100, "81 - R$100",W276&lt;=120, "101 - R$120",W276&lt;=140, "121 - R$140", W276&lt;=160, "141- R$160", W276&lt;=180, "161 - R$180", W276&lt;=200, "181-R$194")</f>
        <v>61 - R$80</v>
      </c>
      <c r="Y276" s="17">
        <v>455</v>
      </c>
      <c r="Z276" s="17">
        <v>52</v>
      </c>
      <c r="AA276" s="17">
        <v>107</v>
      </c>
      <c r="AB276" s="17">
        <v>93</v>
      </c>
      <c r="AC276" s="17">
        <v>2</v>
      </c>
      <c r="AD276" s="17">
        <v>8</v>
      </c>
      <c r="AE276" s="17">
        <v>4</v>
      </c>
      <c r="AF276" s="17">
        <v>8</v>
      </c>
      <c r="AG276" s="17">
        <v>4</v>
      </c>
      <c r="AH276" s="17">
        <v>0</v>
      </c>
      <c r="AI276" s="17">
        <v>1</v>
      </c>
      <c r="AJ276" s="17">
        <v>0</v>
      </c>
      <c r="AK276" s="17">
        <v>1</v>
      </c>
      <c r="AL276" s="17">
        <v>0</v>
      </c>
      <c r="AM276" s="17">
        <v>0</v>
      </c>
      <c r="AN276" s="17">
        <v>0</v>
      </c>
      <c r="AO276" s="18">
        <v>2</v>
      </c>
      <c r="AP276" s="17">
        <v>3</v>
      </c>
      <c r="AQ276" s="17">
        <v>11</v>
      </c>
      <c r="AR276" s="19">
        <v>1257</v>
      </c>
      <c r="AS276" s="19">
        <v>1350</v>
      </c>
    </row>
    <row r="277" spans="1:45" x14ac:dyDescent="0.25">
      <c r="A277">
        <v>686</v>
      </c>
      <c r="B277" s="11">
        <f t="shared" si="4"/>
        <v>71952</v>
      </c>
      <c r="C277" s="12">
        <v>719520</v>
      </c>
      <c r="D277" s="13">
        <v>1</v>
      </c>
      <c r="E277" s="13">
        <v>0</v>
      </c>
      <c r="F277" s="13">
        <v>93</v>
      </c>
      <c r="G277" s="13">
        <v>34</v>
      </c>
      <c r="H277" s="13" t="str" cm="1">
        <f t="array" ref="H277">_xlfn.IFS(G277&lt;=20,"0-20",G277&lt;=30,"20-30",G277&lt;=40,"30-40",G277&lt;=50,"50-60",G277&lt;=60,"60-70",G277&lt;=70,"70-80",G277&lt;=80,"80-90")</f>
        <v>30-40</v>
      </c>
      <c r="I277" s="13">
        <v>2694</v>
      </c>
      <c r="J277" s="13" t="str" cm="1">
        <f t="array" ref="J277">_xlfn.IFS(K277=1,"Divorciado",L277=1,"Casado",M277=1,"Solteiro",N277=1,"Juntos",O277=1,"Viuvo")</f>
        <v>Casado</v>
      </c>
      <c r="K277" s="13">
        <v>0</v>
      </c>
      <c r="L277" s="13">
        <v>1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1</v>
      </c>
      <c r="S277" s="13">
        <v>0</v>
      </c>
      <c r="T277" s="13">
        <v>0</v>
      </c>
      <c r="U277" s="13">
        <v>656</v>
      </c>
      <c r="V277" s="13" t="str" cm="1">
        <f t="array" ref="V277">_xlfn.IFS(U277&lt;=250,"0-R$250",U277&lt;=500,"251-R$500",U277&lt;=750,"501-R$750",U277&lt;=1000,"751-R$1000",U277&lt;=1250,"1001-R$1250",U277&lt;=1500,"1251-R$1500")</f>
        <v>501-R$750</v>
      </c>
      <c r="W277" s="13">
        <v>80</v>
      </c>
      <c r="X277" s="13" t="str" cm="1">
        <f t="array" ref="X277">_xlfn.IFS(W277 = 0, "0", W277&lt;=20, "até R$20",W277&lt;=40, "21 - R$40",W277&lt;=60, "41- R$60",W277&lt;=80, "61 - R$80", W277&lt;=100, "81 - R$100",W277&lt;=120, "101 - R$120",W277&lt;=140, "121 - R$140", W277&lt;=160, "141- R$160", W277&lt;=180, "161 - R$180", W277&lt;=200, "181-R$194")</f>
        <v>61 - R$80</v>
      </c>
      <c r="Y277" s="13">
        <v>455</v>
      </c>
      <c r="Z277" s="13">
        <v>52</v>
      </c>
      <c r="AA277" s="13">
        <v>107</v>
      </c>
      <c r="AB277" s="13">
        <v>93</v>
      </c>
      <c r="AC277" s="13">
        <v>2</v>
      </c>
      <c r="AD277" s="13">
        <v>8</v>
      </c>
      <c r="AE277" s="13">
        <v>4</v>
      </c>
      <c r="AF277" s="13">
        <v>8</v>
      </c>
      <c r="AG277" s="13">
        <v>4</v>
      </c>
      <c r="AH277" s="13">
        <v>0</v>
      </c>
      <c r="AI277" s="13">
        <v>1</v>
      </c>
      <c r="AJ277" s="13">
        <v>0</v>
      </c>
      <c r="AK277" s="13">
        <v>1</v>
      </c>
      <c r="AL277" s="13">
        <v>0</v>
      </c>
      <c r="AM277" s="13">
        <v>0</v>
      </c>
      <c r="AN277" s="13">
        <v>0</v>
      </c>
      <c r="AO277" s="14">
        <v>2</v>
      </c>
      <c r="AP277" s="13">
        <v>3</v>
      </c>
      <c r="AQ277" s="13">
        <v>11</v>
      </c>
      <c r="AR277" s="15">
        <v>1257</v>
      </c>
      <c r="AS277" s="15">
        <v>1350</v>
      </c>
    </row>
    <row r="278" spans="1:45" x14ac:dyDescent="0.25">
      <c r="A278">
        <v>1708</v>
      </c>
      <c r="B278" s="11">
        <f t="shared" si="4"/>
        <v>82427</v>
      </c>
      <c r="C278" s="12">
        <v>824270</v>
      </c>
      <c r="D278" s="13">
        <v>0</v>
      </c>
      <c r="E278" s="13">
        <v>0</v>
      </c>
      <c r="F278" s="13">
        <v>35</v>
      </c>
      <c r="G278" s="13">
        <v>54</v>
      </c>
      <c r="H278" s="13" t="str" cm="1">
        <f t="array" ref="H278">_xlfn.IFS(G278&lt;=20,"0-20",G278&lt;=30,"20-30",G278&lt;=40,"30-40",G278&lt;=50,"50-60",G278&lt;=60,"60-70",G278&lt;=70,"70-80",G278&lt;=80,"80-90")</f>
        <v>60-70</v>
      </c>
      <c r="I278" s="13">
        <v>2268</v>
      </c>
      <c r="J278" s="13" t="str" cm="1">
        <f t="array" ref="J278">_xlfn.IFS(K278=1,"Divorciado",L278=1,"Casado",M278=1,"Solteiro",N278=1,"Juntos",O278=1,"Viuvo")</f>
        <v>Juntos</v>
      </c>
      <c r="K278" s="13">
        <v>0</v>
      </c>
      <c r="L278" s="13">
        <v>0</v>
      </c>
      <c r="M278" s="13">
        <v>0</v>
      </c>
      <c r="N278" s="13">
        <v>1</v>
      </c>
      <c r="O278" s="13">
        <v>0</v>
      </c>
      <c r="P278" s="13">
        <v>0</v>
      </c>
      <c r="Q278" s="13">
        <v>0</v>
      </c>
      <c r="R278" s="13">
        <v>1</v>
      </c>
      <c r="S278" s="13">
        <v>0</v>
      </c>
      <c r="T278" s="13">
        <v>0</v>
      </c>
      <c r="U278" s="13">
        <v>482</v>
      </c>
      <c r="V278" s="13" t="str" cm="1">
        <f t="array" ref="V278">_xlfn.IFS(U278&lt;=250,"0-R$250",U278&lt;=500,"251-R$500",U278&lt;=750,"501-R$750",U278&lt;=1000,"751-R$1000",U278&lt;=1250,"1001-R$1250",U278&lt;=1500,"1251-R$1500")</f>
        <v>251-R$500</v>
      </c>
      <c r="W278" s="13">
        <v>147</v>
      </c>
      <c r="X278" s="13" t="str" cm="1">
        <f t="array" ref="X278">_xlfn.IFS(W278 = 0, "0", W278&lt;=20, "até R$20",W278&lt;=40, "21 - R$40",W278&lt;=60, "41- R$60",W278&lt;=80, "61 - R$80", W278&lt;=100, "81 - R$100",W278&lt;=120, "101 - R$120",W278&lt;=140, "121 - R$140", W278&lt;=160, "141- R$160", W278&lt;=180, "161 - R$180", W278&lt;=200, "181-R$194")</f>
        <v>141- R$160</v>
      </c>
      <c r="Y278" s="13">
        <v>509</v>
      </c>
      <c r="Z278" s="13">
        <v>104</v>
      </c>
      <c r="AA278" s="13">
        <v>107</v>
      </c>
      <c r="AB278" s="13">
        <v>107</v>
      </c>
      <c r="AC278" s="13">
        <v>1</v>
      </c>
      <c r="AD278" s="13">
        <v>3</v>
      </c>
      <c r="AE278" s="13">
        <v>5</v>
      </c>
      <c r="AF278" s="13">
        <v>12</v>
      </c>
      <c r="AG278" s="13">
        <v>1</v>
      </c>
      <c r="AH278" s="13">
        <v>0</v>
      </c>
      <c r="AI278" s="13">
        <v>0</v>
      </c>
      <c r="AJ278" s="13">
        <v>0</v>
      </c>
      <c r="AK278" s="13">
        <v>1</v>
      </c>
      <c r="AL278" s="13">
        <v>0</v>
      </c>
      <c r="AM278" s="13">
        <v>0</v>
      </c>
      <c r="AN278" s="13">
        <v>0</v>
      </c>
      <c r="AO278" s="14">
        <v>1</v>
      </c>
      <c r="AP278" s="13">
        <v>3</v>
      </c>
      <c r="AQ278" s="13">
        <v>11</v>
      </c>
      <c r="AR278" s="15">
        <v>1242</v>
      </c>
      <c r="AS278" s="15">
        <v>1349</v>
      </c>
    </row>
    <row r="279" spans="1:45" x14ac:dyDescent="0.25">
      <c r="A279">
        <v>1827</v>
      </c>
      <c r="B279" s="11">
        <f t="shared" si="4"/>
        <v>72159</v>
      </c>
      <c r="C279" s="16">
        <v>721590</v>
      </c>
      <c r="D279" s="17">
        <v>0</v>
      </c>
      <c r="E279" s="17">
        <v>0</v>
      </c>
      <c r="F279" s="17">
        <v>62</v>
      </c>
      <c r="G279" s="17">
        <v>42</v>
      </c>
      <c r="H279" s="13" t="str" cm="1">
        <f t="array" ref="H279">_xlfn.IFS(G279&lt;=20,"0-20",G279&lt;=30,"20-30",G279&lt;=40,"30-40",G279&lt;=50,"50-60",G279&lt;=60,"60-70",G279&lt;=70,"70-80",G279&lt;=80,"80-90")</f>
        <v>50-60</v>
      </c>
      <c r="I279" s="17">
        <v>2767</v>
      </c>
      <c r="J279" s="13" t="str" cm="1">
        <f t="array" ref="J279">_xlfn.IFS(K279=1,"Divorciado",L279=1,"Casado",M279=1,"Solteiro",N279=1,"Juntos",O279=1,"Viuvo")</f>
        <v>Casado</v>
      </c>
      <c r="K279" s="17">
        <v>0</v>
      </c>
      <c r="L279" s="17">
        <v>1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1</v>
      </c>
      <c r="U279" s="17">
        <v>322</v>
      </c>
      <c r="V279" s="13" t="str" cm="1">
        <f t="array" ref="V279">_xlfn.IFS(U279&lt;=250,"0-R$250",U279&lt;=500,"251-R$500",U279&lt;=750,"501-R$750",U279&lt;=1000,"751-R$1000",U279&lt;=1250,"1001-R$1250",U279&lt;=1500,"1251-R$1500")</f>
        <v>251-R$500</v>
      </c>
      <c r="W279" s="17">
        <v>53</v>
      </c>
      <c r="X279" s="13" t="str" cm="1">
        <f t="array" ref="X279">_xlfn.IFS(W279 = 0, "0", W279&lt;=20, "até R$20",W279&lt;=40, "21 - R$40",W279&lt;=60, "41- R$60",W279&lt;=80, "61 - R$80", W279&lt;=100, "81 - R$100",W279&lt;=120, "101 - R$120",W279&lt;=140, "121 - R$140", W279&lt;=160, "141- R$160", W279&lt;=180, "161 - R$180", W279&lt;=200, "181-R$194")</f>
        <v>41- R$60</v>
      </c>
      <c r="Y279" s="17">
        <v>899</v>
      </c>
      <c r="Z279" s="17">
        <v>34</v>
      </c>
      <c r="AA279" s="17">
        <v>40</v>
      </c>
      <c r="AB279" s="17">
        <v>53</v>
      </c>
      <c r="AC279" s="17">
        <v>1</v>
      </c>
      <c r="AD279" s="17">
        <v>4</v>
      </c>
      <c r="AE279" s="17">
        <v>6</v>
      </c>
      <c r="AF279" s="17">
        <v>10</v>
      </c>
      <c r="AG279" s="17">
        <v>2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8">
        <v>0</v>
      </c>
      <c r="AP279" s="17">
        <v>3</v>
      </c>
      <c r="AQ279" s="17">
        <v>11</v>
      </c>
      <c r="AR279" s="19">
        <v>1295</v>
      </c>
      <c r="AS279" s="19">
        <v>1348</v>
      </c>
    </row>
    <row r="280" spans="1:45" x14ac:dyDescent="0.25">
      <c r="A280">
        <v>431</v>
      </c>
      <c r="B280" s="11">
        <f t="shared" si="4"/>
        <v>81246</v>
      </c>
      <c r="C280" s="16">
        <v>812460</v>
      </c>
      <c r="D280" s="17">
        <v>0</v>
      </c>
      <c r="E280" s="17">
        <v>0</v>
      </c>
      <c r="F280" s="17">
        <v>87</v>
      </c>
      <c r="G280" s="17">
        <v>56</v>
      </c>
      <c r="H280" s="13" t="str" cm="1">
        <f t="array" ref="H280">_xlfn.IFS(G280&lt;=20,"0-20",G280&lt;=30,"20-30",G280&lt;=40,"30-40",G280&lt;=50,"50-60",G280&lt;=60,"60-70",G280&lt;=70,"70-80",G280&lt;=80,"80-90")</f>
        <v>60-70</v>
      </c>
      <c r="I280" s="17">
        <v>2341</v>
      </c>
      <c r="J280" s="13" t="str" cm="1">
        <f t="array" ref="J280">_xlfn.IFS(K280=1,"Divorciado",L280=1,"Casado",M280=1,"Solteiro",N280=1,"Juntos",O280=1,"Viuvo")</f>
        <v>Solteiro</v>
      </c>
      <c r="K280" s="17">
        <v>0</v>
      </c>
      <c r="L280" s="17">
        <v>0</v>
      </c>
      <c r="M280" s="17">
        <v>1</v>
      </c>
      <c r="N280" s="17">
        <v>0</v>
      </c>
      <c r="O280" s="17">
        <v>0</v>
      </c>
      <c r="P280" s="17">
        <v>0</v>
      </c>
      <c r="Q280" s="17">
        <v>0</v>
      </c>
      <c r="R280" s="17">
        <v>1</v>
      </c>
      <c r="S280" s="17">
        <v>0</v>
      </c>
      <c r="T280" s="17">
        <v>0</v>
      </c>
      <c r="U280" s="17">
        <v>398</v>
      </c>
      <c r="V280" s="13" t="str" cm="1">
        <f t="array" ref="V280">_xlfn.IFS(U280&lt;=250,"0-R$250",U280&lt;=500,"251-R$500",U280&lt;=750,"501-R$750",U280&lt;=1000,"751-R$1000",U280&lt;=1250,"1001-R$1250",U280&lt;=1500,"1251-R$1500")</f>
        <v>251-R$500</v>
      </c>
      <c r="W280" s="17">
        <v>190</v>
      </c>
      <c r="X280" s="13" t="str" cm="1">
        <f t="array" ref="X280">_xlfn.IFS(W280 = 0, "0", W280&lt;=20, "até R$20",W280&lt;=40, "21 - R$40",W280&lt;=60, "41- R$60",W280&lt;=80, "61 - R$80", W280&lt;=100, "81 - R$100",W280&lt;=120, "101 - R$120",W280&lt;=140, "121 - R$140", W280&lt;=160, "141- R$160", W280&lt;=180, "161 - R$180", W280&lt;=200, "181-R$194")</f>
        <v>181-R$194</v>
      </c>
      <c r="Y280" s="17">
        <v>537</v>
      </c>
      <c r="Z280" s="17">
        <v>61</v>
      </c>
      <c r="AA280" s="17">
        <v>156</v>
      </c>
      <c r="AB280" s="17">
        <v>37</v>
      </c>
      <c r="AC280" s="17">
        <v>1</v>
      </c>
      <c r="AD280" s="17">
        <v>4</v>
      </c>
      <c r="AE280" s="17">
        <v>5</v>
      </c>
      <c r="AF280" s="17">
        <v>7</v>
      </c>
      <c r="AG280" s="17">
        <v>1</v>
      </c>
      <c r="AH280" s="17">
        <v>0</v>
      </c>
      <c r="AI280" s="17">
        <v>1</v>
      </c>
      <c r="AJ280" s="17">
        <v>0</v>
      </c>
      <c r="AK280" s="17">
        <v>0</v>
      </c>
      <c r="AL280" s="17">
        <v>1</v>
      </c>
      <c r="AM280" s="17">
        <v>0</v>
      </c>
      <c r="AN280" s="17">
        <v>0</v>
      </c>
      <c r="AO280" s="18">
        <v>2</v>
      </c>
      <c r="AP280" s="17">
        <v>3</v>
      </c>
      <c r="AQ280" s="17">
        <v>11</v>
      </c>
      <c r="AR280" s="19">
        <v>1305</v>
      </c>
      <c r="AS280" s="19">
        <v>1342</v>
      </c>
    </row>
    <row r="281" spans="1:45" x14ac:dyDescent="0.25">
      <c r="A281">
        <v>145</v>
      </c>
      <c r="B281" s="11">
        <f t="shared" si="4"/>
        <v>69372</v>
      </c>
      <c r="C281" s="16">
        <v>693720</v>
      </c>
      <c r="D281" s="17">
        <v>0</v>
      </c>
      <c r="E281" s="17">
        <v>0</v>
      </c>
      <c r="F281" s="17">
        <v>10</v>
      </c>
      <c r="G281" s="17">
        <v>71</v>
      </c>
      <c r="H281" s="13" t="str" cm="1">
        <f t="array" ref="H281">_xlfn.IFS(G281&lt;=20,"0-20",G281&lt;=30,"20-30",G281&lt;=40,"30-40",G281&lt;=50,"50-60",G281&lt;=60,"60-70",G281&lt;=70,"70-80",G281&lt;=80,"80-90")</f>
        <v>80-90</v>
      </c>
      <c r="I281" s="17">
        <v>2654</v>
      </c>
      <c r="J281" s="13" t="str" cm="1">
        <f t="array" ref="J281">_xlfn.IFS(K281=1,"Divorciado",L281=1,"Casado",M281=1,"Solteiro",N281=1,"Juntos",O281=1,"Viuvo")</f>
        <v>Juntos</v>
      </c>
      <c r="K281" s="17">
        <v>0</v>
      </c>
      <c r="L281" s="17">
        <v>0</v>
      </c>
      <c r="M281" s="17">
        <v>0</v>
      </c>
      <c r="N281" s="17">
        <v>1</v>
      </c>
      <c r="O281" s="17">
        <v>0</v>
      </c>
      <c r="P281" s="17">
        <v>0</v>
      </c>
      <c r="Q281" s="17">
        <v>0</v>
      </c>
      <c r="R281" s="17">
        <v>1</v>
      </c>
      <c r="S281" s="17">
        <v>0</v>
      </c>
      <c r="T281" s="17">
        <v>0</v>
      </c>
      <c r="U281" s="17">
        <v>997</v>
      </c>
      <c r="V281" s="13" t="str" cm="1">
        <f t="array" ref="V281">_xlfn.IFS(U281&lt;=250,"0-R$250",U281&lt;=500,"251-R$500",U281&lt;=750,"501-R$750",U281&lt;=1000,"751-R$1000",U281&lt;=1250,"1001-R$1250",U281&lt;=1500,"1251-R$1500")</f>
        <v>751-R$1000</v>
      </c>
      <c r="W281" s="17">
        <v>26</v>
      </c>
      <c r="X281" s="13" t="str" cm="1">
        <f t="array" ref="X281">_xlfn.IFS(W281 = 0, "0", W281&lt;=20, "até R$20",W281&lt;=40, "21 - R$40",W281&lt;=60, "41- R$60",W281&lt;=80, "61 - R$80", W281&lt;=100, "81 - R$100",W281&lt;=120, "101 - R$120",W281&lt;=140, "121 - R$140", W281&lt;=160, "141- R$160", W281&lt;=180, "161 - R$180", W281&lt;=200, "181-R$194")</f>
        <v>21 - R$40</v>
      </c>
      <c r="Y281" s="17">
        <v>269</v>
      </c>
      <c r="Z281" s="17">
        <v>34</v>
      </c>
      <c r="AA281" s="17">
        <v>13</v>
      </c>
      <c r="AB281" s="17">
        <v>42</v>
      </c>
      <c r="AC281" s="17">
        <v>1</v>
      </c>
      <c r="AD281" s="17">
        <v>10</v>
      </c>
      <c r="AE281" s="17">
        <v>4</v>
      </c>
      <c r="AF281" s="17">
        <v>6</v>
      </c>
      <c r="AG281" s="17">
        <v>4</v>
      </c>
      <c r="AH281" s="17">
        <v>0</v>
      </c>
      <c r="AI281" s="17">
        <v>0</v>
      </c>
      <c r="AJ281" s="17">
        <v>1</v>
      </c>
      <c r="AK281" s="17">
        <v>1</v>
      </c>
      <c r="AL281" s="17">
        <v>0</v>
      </c>
      <c r="AM281" s="17">
        <v>0</v>
      </c>
      <c r="AN281" s="17">
        <v>1</v>
      </c>
      <c r="AO281" s="18">
        <v>2</v>
      </c>
      <c r="AP281" s="17">
        <v>3</v>
      </c>
      <c r="AQ281" s="17">
        <v>11</v>
      </c>
      <c r="AR281" s="19">
        <v>1297</v>
      </c>
      <c r="AS281" s="19">
        <v>1339</v>
      </c>
    </row>
    <row r="282" spans="1:45" x14ac:dyDescent="0.25">
      <c r="A282">
        <v>910</v>
      </c>
      <c r="B282" s="11">
        <f t="shared" si="4"/>
        <v>68397</v>
      </c>
      <c r="C282" s="12">
        <v>683970</v>
      </c>
      <c r="D282" s="13">
        <v>0</v>
      </c>
      <c r="E282" s="13">
        <v>1</v>
      </c>
      <c r="F282" s="13">
        <v>6</v>
      </c>
      <c r="G282" s="13">
        <v>44</v>
      </c>
      <c r="H282" s="13" t="str" cm="1">
        <f t="array" ref="H282">_xlfn.IFS(G282&lt;=20,"0-20",G282&lt;=30,"20-30",G282&lt;=40,"30-40",G282&lt;=50,"50-60",G282&lt;=60,"60-70",G282&lt;=70,"70-80",G282&lt;=80,"80-90")</f>
        <v>50-60</v>
      </c>
      <c r="I282" s="13">
        <v>2383</v>
      </c>
      <c r="J282" s="13" t="str" cm="1">
        <f t="array" ref="J282">_xlfn.IFS(K282=1,"Divorciado",L282=1,"Casado",M282=1,"Solteiro",N282=1,"Juntos",O282=1,"Viuvo")</f>
        <v>Casado</v>
      </c>
      <c r="K282" s="13">
        <v>0</v>
      </c>
      <c r="L282" s="13">
        <v>1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1</v>
      </c>
      <c r="U282" s="13">
        <v>760</v>
      </c>
      <c r="V282" s="13" t="str" cm="1">
        <f t="array" ref="V282">_xlfn.IFS(U282&lt;=250,"0-R$250",U282&lt;=500,"251-R$500",U282&lt;=750,"501-R$750",U282&lt;=1000,"751-R$1000",U282&lt;=1250,"1001-R$1250",U282&lt;=1500,"1251-R$1500")</f>
        <v>751-R$1000</v>
      </c>
      <c r="W282" s="13">
        <v>80</v>
      </c>
      <c r="X282" s="13" t="str" cm="1">
        <f t="array" ref="X282">_xlfn.IFS(W282 = 0, "0", W282&lt;=20, "até R$20",W282&lt;=40, "21 - R$40",W282&lt;=60, "41- R$60",W282&lt;=80, "61 - R$80", W282&lt;=100, "81 - R$100",W282&lt;=120, "101 - R$120",W282&lt;=140, "121 - R$140", W282&lt;=160, "141- R$160", W282&lt;=180, "161 - R$180", W282&lt;=200, "181-R$194")</f>
        <v>61 - R$80</v>
      </c>
      <c r="Y282" s="13">
        <v>466</v>
      </c>
      <c r="Z282" s="13">
        <v>17</v>
      </c>
      <c r="AA282" s="13">
        <v>13</v>
      </c>
      <c r="AB282" s="13">
        <v>80</v>
      </c>
      <c r="AC282" s="13">
        <v>1</v>
      </c>
      <c r="AD282" s="13">
        <v>6</v>
      </c>
      <c r="AE282" s="13">
        <v>9</v>
      </c>
      <c r="AF282" s="13">
        <v>5</v>
      </c>
      <c r="AG282" s="13">
        <v>3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3">
        <v>0</v>
      </c>
      <c r="AO282" s="14">
        <v>0</v>
      </c>
      <c r="AP282" s="13">
        <v>3</v>
      </c>
      <c r="AQ282" s="13">
        <v>11</v>
      </c>
      <c r="AR282" s="15">
        <v>1256</v>
      </c>
      <c r="AS282" s="15">
        <v>1336</v>
      </c>
    </row>
    <row r="283" spans="1:45" x14ac:dyDescent="0.25">
      <c r="A283">
        <v>282</v>
      </c>
      <c r="B283" s="11">
        <f t="shared" si="4"/>
        <v>55951</v>
      </c>
      <c r="C283" s="12">
        <v>559510</v>
      </c>
      <c r="D283" s="13">
        <v>0</v>
      </c>
      <c r="E283" s="13">
        <v>1</v>
      </c>
      <c r="F283" s="13">
        <v>62</v>
      </c>
      <c r="G283" s="13">
        <v>68</v>
      </c>
      <c r="H283" s="13" t="str" cm="1">
        <f t="array" ref="H283">_xlfn.IFS(G283&lt;=20,"0-20",G283&lt;=30,"20-30",G283&lt;=40,"30-40",G283&lt;=50,"50-60",G283&lt;=60,"60-70",G283&lt;=70,"70-80",G283&lt;=80,"80-90")</f>
        <v>70-80</v>
      </c>
      <c r="I283" s="13">
        <v>2834</v>
      </c>
      <c r="J283" s="13" t="str" cm="1">
        <f t="array" ref="J283">_xlfn.IFS(K283=1,"Divorciado",L283=1,"Casado",M283=1,"Solteiro",N283=1,"Juntos",O283=1,"Viuvo")</f>
        <v>Juntos</v>
      </c>
      <c r="K283" s="13">
        <v>0</v>
      </c>
      <c r="L283" s="13">
        <v>0</v>
      </c>
      <c r="M283" s="13">
        <v>0</v>
      </c>
      <c r="N283" s="13">
        <v>1</v>
      </c>
      <c r="O283" s="13">
        <v>0</v>
      </c>
      <c r="P283" s="13">
        <v>0</v>
      </c>
      <c r="Q283" s="13">
        <v>0</v>
      </c>
      <c r="R283" s="13">
        <v>0</v>
      </c>
      <c r="S283" s="13">
        <v>1</v>
      </c>
      <c r="T283" s="13">
        <v>0</v>
      </c>
      <c r="U283" s="13">
        <v>1241</v>
      </c>
      <c r="V283" s="13" t="str" cm="1">
        <f t="array" ref="V283">_xlfn.IFS(U283&lt;=250,"0-R$250",U283&lt;=500,"251-R$500",U283&lt;=750,"501-R$750",U283&lt;=1000,"751-R$1000",U283&lt;=1250,"1001-R$1250",U283&lt;=1500,"1251-R$1500")</f>
        <v>1001-R$1250</v>
      </c>
      <c r="W283" s="13">
        <v>0</v>
      </c>
      <c r="X283" s="13" t="str" cm="1">
        <f t="array" ref="X283">_xlfn.IFS(W283 = 0, "0", W283&lt;=20, "até R$20",W283&lt;=40, "21 - R$40",W283&lt;=60, "41- R$60",W283&lt;=80, "61 - R$80", W283&lt;=100, "81 - R$100",W283&lt;=120, "101 - R$120",W283&lt;=140, "121 - R$140", W283&lt;=160, "141- R$160", W283&lt;=180, "161 - R$180", W283&lt;=200, "181-R$194")</f>
        <v>0</v>
      </c>
      <c r="Y283" s="13">
        <v>80</v>
      </c>
      <c r="Z283" s="13">
        <v>0</v>
      </c>
      <c r="AA283" s="13">
        <v>13</v>
      </c>
      <c r="AB283" s="13">
        <v>40</v>
      </c>
      <c r="AC283" s="13">
        <v>3</v>
      </c>
      <c r="AD283" s="13">
        <v>3</v>
      </c>
      <c r="AE283" s="13">
        <v>6</v>
      </c>
      <c r="AF283" s="13">
        <v>11</v>
      </c>
      <c r="AG283" s="13">
        <v>8</v>
      </c>
      <c r="AH283" s="13">
        <v>0</v>
      </c>
      <c r="AI283" s="13">
        <v>0</v>
      </c>
      <c r="AJ283" s="13">
        <v>1</v>
      </c>
      <c r="AK283" s="13">
        <v>0</v>
      </c>
      <c r="AL283" s="13">
        <v>0</v>
      </c>
      <c r="AM283" s="13">
        <v>1</v>
      </c>
      <c r="AN283" s="13">
        <v>0</v>
      </c>
      <c r="AO283" s="14">
        <v>2</v>
      </c>
      <c r="AP283" s="13">
        <v>3</v>
      </c>
      <c r="AQ283" s="13">
        <v>11</v>
      </c>
      <c r="AR283" s="15">
        <v>1294</v>
      </c>
      <c r="AS283" s="15">
        <v>1334</v>
      </c>
    </row>
    <row r="284" spans="1:45" x14ac:dyDescent="0.25">
      <c r="A284">
        <v>707</v>
      </c>
      <c r="B284" s="11">
        <f t="shared" si="4"/>
        <v>80395</v>
      </c>
      <c r="C284" s="16">
        <v>803950</v>
      </c>
      <c r="D284" s="17">
        <v>0</v>
      </c>
      <c r="E284" s="17">
        <v>0</v>
      </c>
      <c r="F284" s="17">
        <v>62</v>
      </c>
      <c r="G284" s="17">
        <v>65</v>
      </c>
      <c r="H284" s="13" t="str" cm="1">
        <f t="array" ref="H284">_xlfn.IFS(G284&lt;=20,"0-20",G284&lt;=30,"20-30",G284&lt;=40,"30-40",G284&lt;=50,"50-60",G284&lt;=60,"60-70",G284&lt;=70,"70-80",G284&lt;=80,"80-90")</f>
        <v>70-80</v>
      </c>
      <c r="I284" s="17">
        <v>2377</v>
      </c>
      <c r="J284" s="13" t="str" cm="1">
        <f t="array" ref="J284">_xlfn.IFS(K284=1,"Divorciado",L284=1,"Casado",M284=1,"Solteiro",N284=1,"Juntos",O284=1,"Viuvo")</f>
        <v>Casado</v>
      </c>
      <c r="K284" s="17">
        <v>0</v>
      </c>
      <c r="L284" s="17">
        <v>1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1</v>
      </c>
      <c r="S284" s="17">
        <v>0</v>
      </c>
      <c r="T284" s="17">
        <v>0</v>
      </c>
      <c r="U284" s="17">
        <v>445</v>
      </c>
      <c r="V284" s="13" t="str" cm="1">
        <f t="array" ref="V284">_xlfn.IFS(U284&lt;=250,"0-R$250",U284&lt;=500,"251-R$500",U284&lt;=750,"501-R$750",U284&lt;=1000,"751-R$1000",U284&lt;=1250,"1001-R$1250",U284&lt;=1500,"1251-R$1500")</f>
        <v>251-R$500</v>
      </c>
      <c r="W284" s="17">
        <v>25</v>
      </c>
      <c r="X284" s="13" t="str" cm="1">
        <f t="array" ref="X284">_xlfn.IFS(W284 = 0, "0", W284&lt;=20, "até R$20",W284&lt;=40, "21 - R$40",W284&lt;=60, "41- R$60",W284&lt;=80, "61 - R$80", W284&lt;=100, "81 - R$100",W284&lt;=120, "101 - R$120",W284&lt;=140, "121 - R$140", W284&lt;=160, "141- R$160", W284&lt;=180, "161 - R$180", W284&lt;=200, "181-R$194")</f>
        <v>21 - R$40</v>
      </c>
      <c r="Y284" s="17">
        <v>706</v>
      </c>
      <c r="Z284" s="17">
        <v>80</v>
      </c>
      <c r="AA284" s="17">
        <v>76</v>
      </c>
      <c r="AB284" s="17">
        <v>48</v>
      </c>
      <c r="AC284" s="17">
        <v>1</v>
      </c>
      <c r="AD284" s="17">
        <v>6</v>
      </c>
      <c r="AE284" s="17">
        <v>5</v>
      </c>
      <c r="AF284" s="17">
        <v>12</v>
      </c>
      <c r="AG284" s="17">
        <v>2</v>
      </c>
      <c r="AH284" s="17">
        <v>0</v>
      </c>
      <c r="AI284" s="17">
        <v>0</v>
      </c>
      <c r="AJ284" s="17">
        <v>0</v>
      </c>
      <c r="AK284" s="17">
        <v>0</v>
      </c>
      <c r="AL284" s="17">
        <v>1</v>
      </c>
      <c r="AM284" s="17">
        <v>0</v>
      </c>
      <c r="AN284" s="17">
        <v>0</v>
      </c>
      <c r="AO284" s="18">
        <v>1</v>
      </c>
      <c r="AP284" s="17">
        <v>3</v>
      </c>
      <c r="AQ284" s="17">
        <v>11</v>
      </c>
      <c r="AR284" s="19">
        <v>1284</v>
      </c>
      <c r="AS284" s="19">
        <v>1332</v>
      </c>
    </row>
    <row r="285" spans="1:45" x14ac:dyDescent="0.25">
      <c r="A285">
        <v>1313</v>
      </c>
      <c r="B285" s="11">
        <f t="shared" si="4"/>
        <v>90842</v>
      </c>
      <c r="C285" s="16">
        <v>908420</v>
      </c>
      <c r="D285" s="17">
        <v>0</v>
      </c>
      <c r="E285" s="17">
        <v>0</v>
      </c>
      <c r="F285" s="17">
        <v>57</v>
      </c>
      <c r="G285" s="17">
        <v>72</v>
      </c>
      <c r="H285" s="13" t="str" cm="1">
        <f t="array" ref="H285">_xlfn.IFS(G285&lt;=20,"0-20",G285&lt;=30,"20-30",G285&lt;=40,"30-40",G285&lt;=50,"50-60",G285&lt;=60,"60-70",G285&lt;=70,"70-80",G285&lt;=80,"80-90")</f>
        <v>80-90</v>
      </c>
      <c r="I285" s="17">
        <v>2494</v>
      </c>
      <c r="J285" s="13" t="str" cm="1">
        <f t="array" ref="J285">_xlfn.IFS(K285=1,"Divorciado",L285=1,"Casado",M285=1,"Solteiro",N285=1,"Juntos",O285=1,"Viuvo")</f>
        <v>Solteiro</v>
      </c>
      <c r="K285" s="17">
        <v>0</v>
      </c>
      <c r="L285" s="17">
        <v>0</v>
      </c>
      <c r="M285" s="17">
        <v>1</v>
      </c>
      <c r="N285" s="17">
        <v>0</v>
      </c>
      <c r="O285" s="17">
        <v>0</v>
      </c>
      <c r="P285" s="17">
        <v>0</v>
      </c>
      <c r="Q285" s="17">
        <v>0</v>
      </c>
      <c r="R285" s="17">
        <v>1</v>
      </c>
      <c r="S285" s="17">
        <v>0</v>
      </c>
      <c r="T285" s="17">
        <v>0</v>
      </c>
      <c r="U285" s="17">
        <v>774</v>
      </c>
      <c r="V285" s="13" t="str" cm="1">
        <f t="array" ref="V285">_xlfn.IFS(U285&lt;=250,"0-R$250",U285&lt;=500,"251-R$500",U285&lt;=750,"501-R$750",U285&lt;=1000,"751-R$1000",U285&lt;=1250,"1001-R$1250",U285&lt;=1500,"1251-R$1500")</f>
        <v>751-R$1000</v>
      </c>
      <c r="W285" s="17">
        <v>70</v>
      </c>
      <c r="X285" s="13" t="str" cm="1">
        <f t="array" ref="X285">_xlfn.IFS(W285 = 0, "0", W285&lt;=20, "até R$20",W285&lt;=40, "21 - R$40",W285&lt;=60, "41- R$60",W285&lt;=80, "61 - R$80", W285&lt;=100, "81 - R$100",W285&lt;=120, "101 - R$120",W285&lt;=140, "121 - R$140", W285&lt;=160, "141- R$160", W285&lt;=180, "161 - R$180", W285&lt;=200, "181-R$194")</f>
        <v>61 - R$80</v>
      </c>
      <c r="Y285" s="17">
        <v>118</v>
      </c>
      <c r="Z285" s="17">
        <v>182</v>
      </c>
      <c r="AA285" s="17">
        <v>187</v>
      </c>
      <c r="AB285" s="17">
        <v>93</v>
      </c>
      <c r="AC285" s="17">
        <v>1</v>
      </c>
      <c r="AD285" s="17">
        <v>4</v>
      </c>
      <c r="AE285" s="17">
        <v>9</v>
      </c>
      <c r="AF285" s="17">
        <v>13</v>
      </c>
      <c r="AG285" s="17">
        <v>1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8">
        <v>0</v>
      </c>
      <c r="AP285" s="17">
        <v>3</v>
      </c>
      <c r="AQ285" s="17">
        <v>11</v>
      </c>
      <c r="AR285" s="19">
        <v>1238</v>
      </c>
      <c r="AS285" s="19">
        <v>1331</v>
      </c>
    </row>
    <row r="286" spans="1:45" x14ac:dyDescent="0.25">
      <c r="A286">
        <v>1250</v>
      </c>
      <c r="B286" s="11">
        <f t="shared" si="4"/>
        <v>85485</v>
      </c>
      <c r="C286" s="12">
        <v>854850</v>
      </c>
      <c r="D286" s="13">
        <v>0</v>
      </c>
      <c r="E286" s="13">
        <v>0</v>
      </c>
      <c r="F286" s="13">
        <v>73</v>
      </c>
      <c r="G286" s="13">
        <v>62</v>
      </c>
      <c r="H286" s="13" t="str" cm="1">
        <f t="array" ref="H286">_xlfn.IFS(G286&lt;=20,"0-20",G286&lt;=30,"20-30",G286&lt;=40,"30-40",G286&lt;=50,"50-60",G286&lt;=60,"60-70",G286&lt;=70,"70-80",G286&lt;=80,"80-90")</f>
        <v>70-80</v>
      </c>
      <c r="I286" s="13">
        <v>2167</v>
      </c>
      <c r="J286" s="13" t="str" cm="1">
        <f t="array" ref="J286">_xlfn.IFS(K286=1,"Divorciado",L286=1,"Casado",M286=1,"Solteiro",N286=1,"Juntos",O286=1,"Viuvo")</f>
        <v>Solteiro</v>
      </c>
      <c r="K286" s="13">
        <v>0</v>
      </c>
      <c r="L286" s="13">
        <v>0</v>
      </c>
      <c r="M286" s="13">
        <v>1</v>
      </c>
      <c r="N286" s="13">
        <v>0</v>
      </c>
      <c r="O286" s="13">
        <v>0</v>
      </c>
      <c r="P286" s="13">
        <v>1</v>
      </c>
      <c r="Q286" s="13">
        <v>0</v>
      </c>
      <c r="R286" s="13">
        <v>0</v>
      </c>
      <c r="S286" s="13">
        <v>0</v>
      </c>
      <c r="T286" s="13">
        <v>0</v>
      </c>
      <c r="U286" s="13">
        <v>630</v>
      </c>
      <c r="V286" s="13" t="str" cm="1">
        <f t="array" ref="V286">_xlfn.IFS(U286&lt;=250,"0-R$250",U286&lt;=500,"251-R$500",U286&lt;=750,"501-R$750",U286&lt;=1000,"751-R$1000",U286&lt;=1250,"1001-R$1250",U286&lt;=1500,"1251-R$1500")</f>
        <v>501-R$750</v>
      </c>
      <c r="W286" s="13">
        <v>26</v>
      </c>
      <c r="X286" s="13" t="str" cm="1">
        <f t="array" ref="X286">_xlfn.IFS(W286 = 0, "0", W286&lt;=20, "até R$20",W286&lt;=40, "21 - R$40",W286&lt;=60, "41- R$60",W286&lt;=80, "61 - R$80", W286&lt;=100, "81 - R$100",W286&lt;=120, "101 - R$120",W286&lt;=140, "121 - R$140", W286&lt;=160, "141- R$160", W286&lt;=180, "161 - R$180", W286&lt;=200, "181-R$194")</f>
        <v>21 - R$40</v>
      </c>
      <c r="Y286" s="13">
        <v>611</v>
      </c>
      <c r="Z286" s="13">
        <v>44</v>
      </c>
      <c r="AA286" s="13">
        <v>18</v>
      </c>
      <c r="AB286" s="13">
        <v>54</v>
      </c>
      <c r="AC286" s="13">
        <v>1</v>
      </c>
      <c r="AD286" s="13">
        <v>6</v>
      </c>
      <c r="AE286" s="13">
        <v>6</v>
      </c>
      <c r="AF286" s="13">
        <v>6</v>
      </c>
      <c r="AG286" s="13">
        <v>2</v>
      </c>
      <c r="AH286" s="13">
        <v>0</v>
      </c>
      <c r="AI286" s="13">
        <v>0</v>
      </c>
      <c r="AJ286" s="13">
        <v>0</v>
      </c>
      <c r="AK286" s="13">
        <v>0</v>
      </c>
      <c r="AL286" s="13">
        <v>0</v>
      </c>
      <c r="AM286" s="13">
        <v>0</v>
      </c>
      <c r="AN286" s="13">
        <v>0</v>
      </c>
      <c r="AO286" s="14">
        <v>0</v>
      </c>
      <c r="AP286" s="13">
        <v>3</v>
      </c>
      <c r="AQ286" s="13">
        <v>11</v>
      </c>
      <c r="AR286" s="15">
        <v>1275</v>
      </c>
      <c r="AS286" s="15">
        <v>1329</v>
      </c>
    </row>
    <row r="287" spans="1:45" x14ac:dyDescent="0.25">
      <c r="A287">
        <v>1086</v>
      </c>
      <c r="B287" s="11">
        <f t="shared" si="4"/>
        <v>76045</v>
      </c>
      <c r="C287" s="12">
        <v>760450</v>
      </c>
      <c r="D287" s="13">
        <v>0</v>
      </c>
      <c r="E287" s="13">
        <v>0</v>
      </c>
      <c r="F287" s="13">
        <v>78</v>
      </c>
      <c r="G287" s="13">
        <v>60</v>
      </c>
      <c r="H287" s="13" t="str" cm="1">
        <f t="array" ref="H287">_xlfn.IFS(G287&lt;=20,"0-20",G287&lt;=30,"20-30",G287&lt;=40,"30-40",G287&lt;=50,"50-60",G287&lt;=60,"60-70",G287&lt;=70,"70-80",G287&lt;=80,"80-90")</f>
        <v>60-70</v>
      </c>
      <c r="I287" s="13">
        <v>2385</v>
      </c>
      <c r="J287" s="13" t="str" cm="1">
        <f t="array" ref="J287">_xlfn.IFS(K287=1,"Divorciado",L287=1,"Casado",M287=1,"Solteiro",N287=1,"Juntos",O287=1,"Viuvo")</f>
        <v>Solteiro</v>
      </c>
      <c r="K287" s="13">
        <v>0</v>
      </c>
      <c r="L287" s="13">
        <v>0</v>
      </c>
      <c r="M287" s="13">
        <v>1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1</v>
      </c>
      <c r="U287" s="13">
        <v>760</v>
      </c>
      <c r="V287" s="13" t="str" cm="1">
        <f t="array" ref="V287">_xlfn.IFS(U287&lt;=250,"0-R$250",U287&lt;=500,"251-R$500",U287&lt;=750,"501-R$750",U287&lt;=1000,"751-R$1000",U287&lt;=1250,"1001-R$1250",U287&lt;=1500,"1251-R$1500")</f>
        <v>751-R$1000</v>
      </c>
      <c r="W287" s="13">
        <v>53</v>
      </c>
      <c r="X287" s="13" t="str" cm="1">
        <f t="array" ref="X287">_xlfn.IFS(W287 = 0, "0", W287&lt;=20, "até R$20",W287&lt;=40, "21 - R$40",W287&lt;=60, "41- R$60",W287&lt;=80, "61 - R$80", W287&lt;=100, "81 - R$100",W287&lt;=120, "101 - R$120",W287&lt;=140, "121 - R$140", W287&lt;=160, "141- R$160", W287&lt;=180, "161 - R$180", W287&lt;=200, "181-R$194")</f>
        <v>41- R$60</v>
      </c>
      <c r="Y287" s="13">
        <v>400</v>
      </c>
      <c r="Z287" s="13">
        <v>17</v>
      </c>
      <c r="AA287" s="13">
        <v>93</v>
      </c>
      <c r="AB287" s="13">
        <v>0</v>
      </c>
      <c r="AC287" s="13">
        <v>1</v>
      </c>
      <c r="AD287" s="13">
        <v>4</v>
      </c>
      <c r="AE287" s="13">
        <v>5</v>
      </c>
      <c r="AF287" s="13">
        <v>11</v>
      </c>
      <c r="AG287" s="13">
        <v>2</v>
      </c>
      <c r="AH287" s="13">
        <v>0</v>
      </c>
      <c r="AI287" s="13">
        <v>0</v>
      </c>
      <c r="AJ287" s="13">
        <v>0</v>
      </c>
      <c r="AK287" s="13">
        <v>0</v>
      </c>
      <c r="AL287" s="13">
        <v>1</v>
      </c>
      <c r="AM287" s="13">
        <v>0</v>
      </c>
      <c r="AN287" s="13">
        <v>0</v>
      </c>
      <c r="AO287" s="14">
        <v>1</v>
      </c>
      <c r="AP287" s="13">
        <v>3</v>
      </c>
      <c r="AQ287" s="13">
        <v>11</v>
      </c>
      <c r="AR287" s="15">
        <v>1323</v>
      </c>
      <c r="AS287" s="15">
        <v>1323</v>
      </c>
    </row>
    <row r="288" spans="1:45" x14ac:dyDescent="0.25">
      <c r="A288">
        <v>624</v>
      </c>
      <c r="B288" s="11">
        <f t="shared" si="4"/>
        <v>76140</v>
      </c>
      <c r="C288" s="12">
        <v>761400</v>
      </c>
      <c r="D288" s="13">
        <v>0</v>
      </c>
      <c r="E288" s="13">
        <v>0</v>
      </c>
      <c r="F288" s="13">
        <v>57</v>
      </c>
      <c r="G288" s="13">
        <v>72</v>
      </c>
      <c r="H288" s="13" t="str" cm="1">
        <f t="array" ref="H288">_xlfn.IFS(G288&lt;=20,"0-20",G288&lt;=30,"20-30",G288&lt;=40,"30-40",G288&lt;=50,"50-60",G288&lt;=60,"60-70",G288&lt;=70,"70-80",G288&lt;=80,"80-90")</f>
        <v>80-90</v>
      </c>
      <c r="I288" s="13">
        <v>2206</v>
      </c>
      <c r="J288" s="13" t="str" cm="1">
        <f t="array" ref="J288">_xlfn.IFS(K288=1,"Divorciado",L288=1,"Casado",M288=1,"Solteiro",N288=1,"Juntos",O288=1,"Viuvo")</f>
        <v>Juntos</v>
      </c>
      <c r="K288" s="13">
        <v>0</v>
      </c>
      <c r="L288" s="13">
        <v>0</v>
      </c>
      <c r="M288" s="13">
        <v>0</v>
      </c>
      <c r="N288" s="13">
        <v>1</v>
      </c>
      <c r="O288" s="13">
        <v>0</v>
      </c>
      <c r="P288" s="13">
        <v>0</v>
      </c>
      <c r="Q288" s="13">
        <v>0</v>
      </c>
      <c r="R288" s="13">
        <v>0</v>
      </c>
      <c r="S288" s="13">
        <v>0</v>
      </c>
      <c r="T288" s="13">
        <v>1</v>
      </c>
      <c r="U288" s="13">
        <v>586</v>
      </c>
      <c r="V288" s="13" t="str" cm="1">
        <f t="array" ref="V288">_xlfn.IFS(U288&lt;=250,"0-R$250",U288&lt;=500,"251-R$500",U288&lt;=750,"501-R$750",U288&lt;=1000,"751-R$1000",U288&lt;=1250,"1001-R$1250",U288&lt;=1500,"1251-R$1500")</f>
        <v>501-R$750</v>
      </c>
      <c r="W288" s="13">
        <v>66</v>
      </c>
      <c r="X288" s="13" t="str" cm="1">
        <f t="array" ref="X288">_xlfn.IFS(W288 = 0, "0", W288&lt;=20, "até R$20",W288&lt;=40, "21 - R$40",W288&lt;=60, "41- R$60",W288&lt;=80, "61 - R$80", W288&lt;=100, "81 - R$100",W288&lt;=120, "101 - R$120",W288&lt;=140, "121 - R$140", W288&lt;=160, "141- R$160", W288&lt;=180, "161 - R$180", W288&lt;=200, "181-R$194")</f>
        <v>61 - R$80</v>
      </c>
      <c r="Y288" s="13">
        <v>653</v>
      </c>
      <c r="Z288" s="13">
        <v>17</v>
      </c>
      <c r="AA288" s="13">
        <v>0</v>
      </c>
      <c r="AB288" s="13">
        <v>26</v>
      </c>
      <c r="AC288" s="13">
        <v>1</v>
      </c>
      <c r="AD288" s="13">
        <v>5</v>
      </c>
      <c r="AE288" s="13">
        <v>9</v>
      </c>
      <c r="AF288" s="13">
        <v>6</v>
      </c>
      <c r="AG288" s="13">
        <v>2</v>
      </c>
      <c r="AH288" s="13">
        <v>0</v>
      </c>
      <c r="AI288" s="13">
        <v>0</v>
      </c>
      <c r="AJ288" s="13">
        <v>0</v>
      </c>
      <c r="AK288" s="13">
        <v>0</v>
      </c>
      <c r="AL288" s="13">
        <v>0</v>
      </c>
      <c r="AM288" s="13">
        <v>0</v>
      </c>
      <c r="AN288" s="13">
        <v>0</v>
      </c>
      <c r="AO288" s="14">
        <v>0</v>
      </c>
      <c r="AP288" s="13">
        <v>3</v>
      </c>
      <c r="AQ288" s="13">
        <v>11</v>
      </c>
      <c r="AR288" s="15">
        <v>1296</v>
      </c>
      <c r="AS288" s="15">
        <v>1322</v>
      </c>
    </row>
    <row r="289" spans="1:45" x14ac:dyDescent="0.25">
      <c r="A289">
        <v>669</v>
      </c>
      <c r="B289" s="11">
        <f t="shared" si="4"/>
        <v>77845</v>
      </c>
      <c r="C289" s="16">
        <v>778450</v>
      </c>
      <c r="D289" s="17">
        <v>0</v>
      </c>
      <c r="E289" s="17">
        <v>0</v>
      </c>
      <c r="F289" s="17">
        <v>40</v>
      </c>
      <c r="G289" s="17">
        <v>31</v>
      </c>
      <c r="H289" s="13" t="str" cm="1">
        <f t="array" ref="H289">_xlfn.IFS(G289&lt;=20,"0-20",G289&lt;=30,"20-30",G289&lt;=40,"30-40",G289&lt;=50,"50-60",G289&lt;=60,"60-70",G289&lt;=70,"70-80",G289&lt;=80,"80-90")</f>
        <v>30-40</v>
      </c>
      <c r="I289" s="17">
        <v>2203</v>
      </c>
      <c r="J289" s="13" t="str" cm="1">
        <f t="array" ref="J289">_xlfn.IFS(K289=1,"Divorciado",L289=1,"Casado",M289=1,"Solteiro",N289=1,"Juntos",O289=1,"Viuvo")</f>
        <v>Juntos</v>
      </c>
      <c r="K289" s="17">
        <v>0</v>
      </c>
      <c r="L289" s="17">
        <v>0</v>
      </c>
      <c r="M289" s="17">
        <v>0</v>
      </c>
      <c r="N289" s="17">
        <v>1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1</v>
      </c>
      <c r="U289" s="17">
        <v>760</v>
      </c>
      <c r="V289" s="13" t="str" cm="1">
        <f t="array" ref="V289">_xlfn.IFS(U289&lt;=250,"0-R$250",U289&lt;=500,"251-R$500",U289&lt;=750,"501-R$750",U289&lt;=1000,"751-R$1000",U289&lt;=1250,"1001-R$1250",U289&lt;=1500,"1251-R$1500")</f>
        <v>751-R$1000</v>
      </c>
      <c r="W289" s="17">
        <v>40</v>
      </c>
      <c r="X289" s="13" t="str" cm="1">
        <f t="array" ref="X289">_xlfn.IFS(W289 = 0, "0", W289&lt;=20, "até R$20",W289&lt;=40, "21 - R$40",W289&lt;=60, "41- R$60",W289&lt;=80, "61 - R$80", W289&lt;=100, "81 - R$100",W289&lt;=120, "101 - R$120",W289&lt;=140, "121 - R$140", W289&lt;=160, "141- R$160", W289&lt;=180, "161 - R$180", W289&lt;=200, "181-R$194")</f>
        <v>21 - R$40</v>
      </c>
      <c r="Y289" s="17">
        <v>480</v>
      </c>
      <c r="Z289" s="17">
        <v>0</v>
      </c>
      <c r="AA289" s="17">
        <v>40</v>
      </c>
      <c r="AB289" s="17">
        <v>26</v>
      </c>
      <c r="AC289" s="17">
        <v>1</v>
      </c>
      <c r="AD289" s="17">
        <v>3</v>
      </c>
      <c r="AE289" s="17">
        <v>5</v>
      </c>
      <c r="AF289" s="17">
        <v>12</v>
      </c>
      <c r="AG289" s="17">
        <v>1</v>
      </c>
      <c r="AH289" s="17">
        <v>0</v>
      </c>
      <c r="AI289" s="17">
        <v>0</v>
      </c>
      <c r="AJ289" s="17">
        <v>0</v>
      </c>
      <c r="AK289" s="17">
        <v>1</v>
      </c>
      <c r="AL289" s="17">
        <v>1</v>
      </c>
      <c r="AM289" s="17">
        <v>0</v>
      </c>
      <c r="AN289" s="17">
        <v>0</v>
      </c>
      <c r="AO289" s="18">
        <v>2</v>
      </c>
      <c r="AP289" s="17">
        <v>3</v>
      </c>
      <c r="AQ289" s="17">
        <v>11</v>
      </c>
      <c r="AR289" s="19">
        <v>1294</v>
      </c>
      <c r="AS289" s="19">
        <v>1320</v>
      </c>
    </row>
    <row r="290" spans="1:45" x14ac:dyDescent="0.25">
      <c r="A290">
        <v>1518</v>
      </c>
      <c r="B290" s="11">
        <f t="shared" si="4"/>
        <v>65819</v>
      </c>
      <c r="C290" s="12">
        <v>658190</v>
      </c>
      <c r="D290" s="13">
        <v>0</v>
      </c>
      <c r="E290" s="13">
        <v>0</v>
      </c>
      <c r="F290" s="13">
        <v>99</v>
      </c>
      <c r="G290" s="13">
        <v>42</v>
      </c>
      <c r="H290" s="13" t="str" cm="1">
        <f t="array" ref="H290">_xlfn.IFS(G290&lt;=20,"0-20",G290&lt;=30,"20-30",G290&lt;=40,"30-40",G290&lt;=50,"50-60",G290&lt;=60,"60-70",G290&lt;=70,"70-80",G290&lt;=80,"80-90")</f>
        <v>50-60</v>
      </c>
      <c r="I290" s="13">
        <v>2736</v>
      </c>
      <c r="J290" s="13" t="str" cm="1">
        <f t="array" ref="J290">_xlfn.IFS(K290=1,"Divorciado",L290=1,"Casado",M290=1,"Solteiro",N290=1,"Juntos",O290=1,"Viuvo")</f>
        <v>Casado</v>
      </c>
      <c r="K290" s="13">
        <v>0</v>
      </c>
      <c r="L290" s="13">
        <v>1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1</v>
      </c>
      <c r="S290" s="13">
        <v>0</v>
      </c>
      <c r="T290" s="13">
        <v>0</v>
      </c>
      <c r="U290" s="13">
        <v>267</v>
      </c>
      <c r="V290" s="13" t="str" cm="1">
        <f t="array" ref="V290">_xlfn.IFS(U290&lt;=250,"0-R$250",U290&lt;=500,"251-R$500",U290&lt;=750,"501-R$750",U290&lt;=1000,"751-R$1000",U290&lt;=1250,"1001-R$1250",U290&lt;=1500,"1251-R$1500")</f>
        <v>251-R$500</v>
      </c>
      <c r="W290" s="13">
        <v>38</v>
      </c>
      <c r="X290" s="13" t="str" cm="1">
        <f t="array" ref="X290">_xlfn.IFS(W290 = 0, "0", W290&lt;=20, "até R$20",W290&lt;=40, "21 - R$40",W290&lt;=60, "41- R$60",W290&lt;=80, "61 - R$80", W290&lt;=100, "81 - R$100",W290&lt;=120, "101 - R$120",W290&lt;=140, "121 - R$140", W290&lt;=160, "141- R$160", W290&lt;=180, "161 - R$180", W290&lt;=200, "181-R$194")</f>
        <v>21 - R$40</v>
      </c>
      <c r="Y290" s="13">
        <v>701</v>
      </c>
      <c r="Z290" s="13">
        <v>149</v>
      </c>
      <c r="AA290" s="13">
        <v>165</v>
      </c>
      <c r="AB290" s="13">
        <v>63</v>
      </c>
      <c r="AC290" s="13">
        <v>1</v>
      </c>
      <c r="AD290" s="13">
        <v>5</v>
      </c>
      <c r="AE290" s="13">
        <v>4</v>
      </c>
      <c r="AF290" s="13">
        <v>10</v>
      </c>
      <c r="AG290" s="13">
        <v>3</v>
      </c>
      <c r="AH290" s="13">
        <v>0</v>
      </c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3">
        <v>0</v>
      </c>
      <c r="AO290" s="14">
        <v>0</v>
      </c>
      <c r="AP290" s="13">
        <v>3</v>
      </c>
      <c r="AQ290" s="13">
        <v>11</v>
      </c>
      <c r="AR290" s="15">
        <v>1257</v>
      </c>
      <c r="AS290" s="15">
        <v>1320</v>
      </c>
    </row>
    <row r="291" spans="1:45" x14ac:dyDescent="0.25">
      <c r="A291">
        <v>350</v>
      </c>
      <c r="B291" s="11">
        <f t="shared" si="4"/>
        <v>79530</v>
      </c>
      <c r="C291" s="12">
        <v>795300</v>
      </c>
      <c r="D291" s="13">
        <v>0</v>
      </c>
      <c r="E291" s="13">
        <v>0</v>
      </c>
      <c r="F291" s="13">
        <v>64</v>
      </c>
      <c r="G291" s="13">
        <v>60</v>
      </c>
      <c r="H291" s="13" t="str" cm="1">
        <f t="array" ref="H291">_xlfn.IFS(G291&lt;=20,"0-20",G291&lt;=30,"20-30",G291&lt;=40,"30-40",G291&lt;=50,"50-60",G291&lt;=60,"60-70",G291&lt;=70,"70-80",G291&lt;=80,"80-90")</f>
        <v>60-70</v>
      </c>
      <c r="I291" s="13">
        <v>2567</v>
      </c>
      <c r="J291" s="13" t="str" cm="1">
        <f t="array" ref="J291">_xlfn.IFS(K291=1,"Divorciado",L291=1,"Casado",M291=1,"Solteiro",N291=1,"Juntos",O291=1,"Viuvo")</f>
        <v>Casado</v>
      </c>
      <c r="K291" s="13">
        <v>0</v>
      </c>
      <c r="L291" s="13">
        <v>1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1</v>
      </c>
      <c r="S291" s="13">
        <v>0</v>
      </c>
      <c r="T291" s="13">
        <v>0</v>
      </c>
      <c r="U291" s="13">
        <v>333</v>
      </c>
      <c r="V291" s="13" t="str" cm="1">
        <f t="array" ref="V291">_xlfn.IFS(U291&lt;=250,"0-R$250",U291&lt;=500,"251-R$500",U291&lt;=750,"501-R$750",U291&lt;=1000,"751-R$1000",U291&lt;=1250,"1001-R$1250",U291&lt;=1500,"1251-R$1500")</f>
        <v>251-R$500</v>
      </c>
      <c r="W291" s="13">
        <v>0</v>
      </c>
      <c r="X291" s="13" t="str" cm="1">
        <f t="array" ref="X291">_xlfn.IFS(W291 = 0, "0", W291&lt;=20, "até R$20",W291&lt;=40, "21 - R$40",W291&lt;=60, "41- R$60",W291&lt;=80, "61 - R$80", W291&lt;=100, "81 - R$100",W291&lt;=120, "101 - R$120",W291&lt;=140, "121 - R$140", W291&lt;=160, "141- R$160", W291&lt;=180, "161 - R$180", W291&lt;=200, "181-R$194")</f>
        <v>0</v>
      </c>
      <c r="Y291" s="13">
        <v>815</v>
      </c>
      <c r="Z291" s="13">
        <v>129</v>
      </c>
      <c r="AA291" s="13">
        <v>42</v>
      </c>
      <c r="AB291" s="13">
        <v>29</v>
      </c>
      <c r="AC291" s="13">
        <v>1</v>
      </c>
      <c r="AD291" s="13">
        <v>4</v>
      </c>
      <c r="AE291" s="13">
        <v>10</v>
      </c>
      <c r="AF291" s="13">
        <v>11</v>
      </c>
      <c r="AG291" s="13">
        <v>2</v>
      </c>
      <c r="AH291" s="13">
        <v>0</v>
      </c>
      <c r="AI291" s="13">
        <v>0</v>
      </c>
      <c r="AJ291" s="13">
        <v>0</v>
      </c>
      <c r="AK291" s="13">
        <v>0</v>
      </c>
      <c r="AL291" s="13">
        <v>0</v>
      </c>
      <c r="AM291" s="13">
        <v>0</v>
      </c>
      <c r="AN291" s="13">
        <v>0</v>
      </c>
      <c r="AO291" s="14">
        <v>0</v>
      </c>
      <c r="AP291" s="13">
        <v>3</v>
      </c>
      <c r="AQ291" s="13">
        <v>11</v>
      </c>
      <c r="AR291" s="15">
        <v>1290</v>
      </c>
      <c r="AS291" s="15">
        <v>1319</v>
      </c>
    </row>
    <row r="292" spans="1:45" x14ac:dyDescent="0.25">
      <c r="A292">
        <v>234</v>
      </c>
      <c r="B292" s="11">
        <f t="shared" si="4"/>
        <v>75027</v>
      </c>
      <c r="C292" s="12">
        <v>750270</v>
      </c>
      <c r="D292" s="13">
        <v>0</v>
      </c>
      <c r="E292" s="13">
        <v>1</v>
      </c>
      <c r="F292" s="13">
        <v>74</v>
      </c>
      <c r="G292" s="13">
        <v>67</v>
      </c>
      <c r="H292" s="13" t="str" cm="1">
        <f t="array" ref="H292">_xlfn.IFS(G292&lt;=20,"0-20",G292&lt;=30,"20-30",G292&lt;=40,"30-40",G292&lt;=50,"50-60",G292&lt;=60,"60-70",G292&lt;=70,"70-80",G292&lt;=80,"80-90")</f>
        <v>70-80</v>
      </c>
      <c r="I292" s="13">
        <v>2695</v>
      </c>
      <c r="J292" s="13" t="str" cm="1">
        <f t="array" ref="J292">_xlfn.IFS(K292=1,"Divorciado",L292=1,"Casado",M292=1,"Solteiro",N292=1,"Juntos",O292=1,"Viuvo")</f>
        <v>Casado</v>
      </c>
      <c r="K292" s="13">
        <v>0</v>
      </c>
      <c r="L292" s="13">
        <v>1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1</v>
      </c>
      <c r="S292" s="13">
        <v>0</v>
      </c>
      <c r="T292" s="13">
        <v>0</v>
      </c>
      <c r="U292" s="13">
        <v>925</v>
      </c>
      <c r="V292" s="13" t="str" cm="1">
        <f t="array" ref="V292">_xlfn.IFS(U292&lt;=250,"0-R$250",U292&lt;=500,"251-R$500",U292&lt;=750,"501-R$750",U292&lt;=1000,"751-R$1000",U292&lt;=1250,"1001-R$1250",U292&lt;=1500,"1251-R$1500")</f>
        <v>751-R$1000</v>
      </c>
      <c r="W292" s="13">
        <v>64</v>
      </c>
      <c r="X292" s="13" t="str" cm="1">
        <f t="array" ref="X292">_xlfn.IFS(W292 = 0, "0", W292&lt;=20, "até R$20",W292&lt;=40, "21 - R$40",W292&lt;=60, "41- R$60",W292&lt;=80, "61 - R$80", W292&lt;=100, "81 - R$100",W292&lt;=120, "101 - R$120",W292&lt;=140, "121 - R$140", W292&lt;=160, "141- R$160", W292&lt;=180, "161 - R$180", W292&lt;=200, "181-R$194")</f>
        <v>61 - R$80</v>
      </c>
      <c r="Y292" s="13">
        <v>179</v>
      </c>
      <c r="Z292" s="13">
        <v>133</v>
      </c>
      <c r="AA292" s="13">
        <v>12</v>
      </c>
      <c r="AB292" s="13">
        <v>77</v>
      </c>
      <c r="AC292" s="13">
        <v>2</v>
      </c>
      <c r="AD292" s="13">
        <v>9</v>
      </c>
      <c r="AE292" s="13">
        <v>4</v>
      </c>
      <c r="AF292" s="13">
        <v>6</v>
      </c>
      <c r="AG292" s="13">
        <v>5</v>
      </c>
      <c r="AH292" s="13">
        <v>0</v>
      </c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3">
        <v>0</v>
      </c>
      <c r="AO292" s="14">
        <v>0</v>
      </c>
      <c r="AP292" s="13">
        <v>3</v>
      </c>
      <c r="AQ292" s="13">
        <v>11</v>
      </c>
      <c r="AR292" s="15">
        <v>1236</v>
      </c>
      <c r="AS292" s="15">
        <v>1313</v>
      </c>
    </row>
    <row r="293" spans="1:45" x14ac:dyDescent="0.25">
      <c r="A293">
        <v>576</v>
      </c>
      <c r="B293" s="11">
        <f t="shared" si="4"/>
        <v>69882</v>
      </c>
      <c r="C293" s="12">
        <v>698820</v>
      </c>
      <c r="D293" s="13">
        <v>0</v>
      </c>
      <c r="E293" s="13">
        <v>0</v>
      </c>
      <c r="F293" s="13">
        <v>94</v>
      </c>
      <c r="G293" s="13">
        <v>55</v>
      </c>
      <c r="H293" s="13" t="str" cm="1">
        <f t="array" ref="H293">_xlfn.IFS(G293&lt;=20,"0-20",G293&lt;=30,"20-30",G293&lt;=40,"30-40",G293&lt;=50,"50-60",G293&lt;=60,"60-70",G293&lt;=70,"70-80",G293&lt;=80,"80-90")</f>
        <v>60-70</v>
      </c>
      <c r="I293" s="13">
        <v>2390</v>
      </c>
      <c r="J293" s="13" t="str" cm="1">
        <f t="array" ref="J293">_xlfn.IFS(K293=1,"Divorciado",L293=1,"Casado",M293=1,"Solteiro",N293=1,"Juntos",O293=1,"Viuvo")</f>
        <v>Solteiro</v>
      </c>
      <c r="K293" s="13">
        <v>0</v>
      </c>
      <c r="L293" s="13">
        <v>0</v>
      </c>
      <c r="M293" s="13">
        <v>1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1</v>
      </c>
      <c r="T293" s="13">
        <v>0</v>
      </c>
      <c r="U293" s="13">
        <v>292</v>
      </c>
      <c r="V293" s="13" t="str" cm="1">
        <f t="array" ref="V293">_xlfn.IFS(U293&lt;=250,"0-R$250",U293&lt;=500,"251-R$500",U293&lt;=750,"501-R$750",U293&lt;=1000,"751-R$1000",U293&lt;=1250,"1001-R$1250",U293&lt;=1500,"1251-R$1500")</f>
        <v>251-R$500</v>
      </c>
      <c r="W293" s="13">
        <v>127</v>
      </c>
      <c r="X293" s="13" t="str" cm="1">
        <f t="array" ref="X293">_xlfn.IFS(W293 = 0, "0", W293&lt;=20, "até R$20",W293&lt;=40, "21 - R$40",W293&lt;=60, "41- R$60",W293&lt;=80, "61 - R$80", W293&lt;=100, "81 - R$100",W293&lt;=120, "101 - R$120",W293&lt;=140, "121 - R$140", W293&lt;=160, "141- R$160", W293&lt;=180, "161 - R$180", W293&lt;=200, "181-R$194")</f>
        <v>121 - R$140</v>
      </c>
      <c r="Y293" s="13">
        <v>635</v>
      </c>
      <c r="Z293" s="13">
        <v>132</v>
      </c>
      <c r="AA293" s="13">
        <v>127</v>
      </c>
      <c r="AB293" s="13">
        <v>165</v>
      </c>
      <c r="AC293" s="13">
        <v>1</v>
      </c>
      <c r="AD293" s="13">
        <v>3</v>
      </c>
      <c r="AE293" s="13">
        <v>7</v>
      </c>
      <c r="AF293" s="13">
        <v>9</v>
      </c>
      <c r="AG293" s="13">
        <v>1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4">
        <v>0</v>
      </c>
      <c r="AP293" s="13">
        <v>3</v>
      </c>
      <c r="AQ293" s="13">
        <v>11</v>
      </c>
      <c r="AR293" s="15">
        <v>1148</v>
      </c>
      <c r="AS293" s="15">
        <v>1313</v>
      </c>
    </row>
    <row r="294" spans="1:45" x14ac:dyDescent="0.25">
      <c r="A294">
        <v>1852</v>
      </c>
      <c r="B294" s="11">
        <f t="shared" si="4"/>
        <v>72905</v>
      </c>
      <c r="C294" s="12">
        <v>729050</v>
      </c>
      <c r="D294" s="13">
        <v>0</v>
      </c>
      <c r="E294" s="13">
        <v>0</v>
      </c>
      <c r="F294" s="13">
        <v>52</v>
      </c>
      <c r="G294" s="13">
        <v>62</v>
      </c>
      <c r="H294" s="13" t="str" cm="1">
        <f t="array" ref="H294">_xlfn.IFS(G294&lt;=20,"0-20",G294&lt;=30,"20-30",G294&lt;=40,"30-40",G294&lt;=50,"50-60",G294&lt;=60,"60-70",G294&lt;=70,"70-80",G294&lt;=80,"80-90")</f>
        <v>70-80</v>
      </c>
      <c r="I294" s="13">
        <v>2318</v>
      </c>
      <c r="J294" s="13" t="str" cm="1">
        <f t="array" ref="J294">_xlfn.IFS(K294=1,"Divorciado",L294=1,"Casado",M294=1,"Solteiro",N294=1,"Juntos",O294=1,"Viuvo")</f>
        <v>Casado</v>
      </c>
      <c r="K294" s="13">
        <v>0</v>
      </c>
      <c r="L294" s="13">
        <v>1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3">
        <v>1</v>
      </c>
      <c r="S294" s="13">
        <v>0</v>
      </c>
      <c r="T294" s="13">
        <v>0</v>
      </c>
      <c r="U294" s="13">
        <v>407</v>
      </c>
      <c r="V294" s="13" t="str" cm="1">
        <f t="array" ref="V294">_xlfn.IFS(U294&lt;=250,"0-R$250",U294&lt;=500,"251-R$500",U294&lt;=750,"501-R$750",U294&lt;=1000,"751-R$1000",U294&lt;=1250,"1001-R$1250",U294&lt;=1500,"1251-R$1500")</f>
        <v>251-R$500</v>
      </c>
      <c r="W294" s="13">
        <v>114</v>
      </c>
      <c r="X294" s="13" t="str" cm="1">
        <f t="array" ref="X294">_xlfn.IFS(W294 = 0, "0", W294&lt;=20, "até R$20",W294&lt;=40, "21 - R$40",W294&lt;=60, "41- R$60",W294&lt;=80, "61 - R$80", W294&lt;=100, "81 - R$100",W294&lt;=120, "101 - R$120",W294&lt;=140, "121 - R$140", W294&lt;=160, "141- R$160", W294&lt;=180, "161 - R$180", W294&lt;=200, "181-R$194")</f>
        <v>101 - R$120</v>
      </c>
      <c r="Y294" s="13">
        <v>445</v>
      </c>
      <c r="Z294" s="13">
        <v>181</v>
      </c>
      <c r="AA294" s="13">
        <v>165</v>
      </c>
      <c r="AB294" s="13">
        <v>203</v>
      </c>
      <c r="AC294" s="13">
        <v>1</v>
      </c>
      <c r="AD294" s="13">
        <v>3</v>
      </c>
      <c r="AE294" s="13">
        <v>7</v>
      </c>
      <c r="AF294" s="13">
        <v>9</v>
      </c>
      <c r="AG294" s="13">
        <v>1</v>
      </c>
      <c r="AH294" s="13">
        <v>0</v>
      </c>
      <c r="AI294" s="13">
        <v>0</v>
      </c>
      <c r="AJ294" s="13">
        <v>0</v>
      </c>
      <c r="AK294" s="13">
        <v>0</v>
      </c>
      <c r="AL294" s="13">
        <v>1</v>
      </c>
      <c r="AM294" s="13">
        <v>0</v>
      </c>
      <c r="AN294" s="13">
        <v>0</v>
      </c>
      <c r="AO294" s="14">
        <v>1</v>
      </c>
      <c r="AP294" s="13">
        <v>3</v>
      </c>
      <c r="AQ294" s="13">
        <v>11</v>
      </c>
      <c r="AR294" s="15">
        <v>1109</v>
      </c>
      <c r="AS294" s="15">
        <v>1312</v>
      </c>
    </row>
    <row r="295" spans="1:45" x14ac:dyDescent="0.25">
      <c r="A295">
        <v>1757</v>
      </c>
      <c r="B295" s="11">
        <f t="shared" si="4"/>
        <v>64590</v>
      </c>
      <c r="C295" s="16">
        <v>645900</v>
      </c>
      <c r="D295" s="17">
        <v>0</v>
      </c>
      <c r="E295" s="17">
        <v>0</v>
      </c>
      <c r="F295" s="17">
        <v>98</v>
      </c>
      <c r="G295" s="17">
        <v>52</v>
      </c>
      <c r="H295" s="13" t="str" cm="1">
        <f t="array" ref="H295">_xlfn.IFS(G295&lt;=20,"0-20",G295&lt;=30,"20-30",G295&lt;=40,"30-40",G295&lt;=50,"50-60",G295&lt;=60,"60-70",G295&lt;=70,"70-80",G295&lt;=80,"80-90")</f>
        <v>60-70</v>
      </c>
      <c r="I295" s="17">
        <v>2782</v>
      </c>
      <c r="J295" s="13" t="str" cm="1">
        <f t="array" ref="J295">_xlfn.IFS(K295=1,"Divorciado",L295=1,"Casado",M295=1,"Solteiro",N295=1,"Juntos",O295=1,"Viuvo")</f>
        <v>Casado</v>
      </c>
      <c r="K295" s="17">
        <v>0</v>
      </c>
      <c r="L295" s="17">
        <v>1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1</v>
      </c>
      <c r="S295" s="17">
        <v>0</v>
      </c>
      <c r="T295" s="17">
        <v>0</v>
      </c>
      <c r="U295" s="17">
        <v>920</v>
      </c>
      <c r="V295" s="13" t="str" cm="1">
        <f t="array" ref="V295">_xlfn.IFS(U295&lt;=250,"0-R$250",U295&lt;=500,"251-R$500",U295&lt;=750,"501-R$750",U295&lt;=1000,"751-R$1000",U295&lt;=1250,"1001-R$1250",U295&lt;=1500,"1251-R$1500")</f>
        <v>751-R$1000</v>
      </c>
      <c r="W295" s="17">
        <v>138</v>
      </c>
      <c r="X295" s="13" t="str" cm="1">
        <f t="array" ref="X295">_xlfn.IFS(W295 = 0, "0", W295&lt;=20, "até R$20",W295&lt;=40, "21 - R$40",W295&lt;=60, "41- R$60",W295&lt;=80, "61 - R$80", W295&lt;=100, "81 - R$100",W295&lt;=120, "101 - R$120",W295&lt;=140, "121 - R$140", W295&lt;=160, "141- R$160", W295&lt;=180, "161 - R$180", W295&lt;=200, "181-R$194")</f>
        <v>121 - R$140</v>
      </c>
      <c r="Y295" s="17">
        <v>168</v>
      </c>
      <c r="Z295" s="17">
        <v>36</v>
      </c>
      <c r="AA295" s="17">
        <v>46</v>
      </c>
      <c r="AB295" s="17">
        <v>30</v>
      </c>
      <c r="AC295" s="17">
        <v>1</v>
      </c>
      <c r="AD295" s="17">
        <v>9</v>
      </c>
      <c r="AE295" s="17">
        <v>4</v>
      </c>
      <c r="AF295" s="17">
        <v>10</v>
      </c>
      <c r="AG295" s="17">
        <v>6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8">
        <v>0</v>
      </c>
      <c r="AP295" s="17">
        <v>3</v>
      </c>
      <c r="AQ295" s="17">
        <v>11</v>
      </c>
      <c r="AR295" s="19">
        <v>1278</v>
      </c>
      <c r="AS295" s="19">
        <v>1308</v>
      </c>
    </row>
    <row r="296" spans="1:45" x14ac:dyDescent="0.25">
      <c r="A296">
        <v>752</v>
      </c>
      <c r="B296" s="11">
        <f t="shared" si="4"/>
        <v>78939</v>
      </c>
      <c r="C296" s="12">
        <v>789390</v>
      </c>
      <c r="D296" s="13">
        <v>0</v>
      </c>
      <c r="E296" s="13">
        <v>0</v>
      </c>
      <c r="F296" s="13">
        <v>57</v>
      </c>
      <c r="G296" s="13">
        <v>69</v>
      </c>
      <c r="H296" s="13" t="str" cm="1">
        <f t="array" ref="H296">_xlfn.IFS(G296&lt;=20,"0-20",G296&lt;=30,"20-30",G296&lt;=40,"30-40",G296&lt;=50,"50-60",G296&lt;=60,"60-70",G296&lt;=70,"70-80",G296&lt;=80,"80-90")</f>
        <v>70-80</v>
      </c>
      <c r="I296" s="13">
        <v>2358</v>
      </c>
      <c r="J296" s="13" t="str" cm="1">
        <f t="array" ref="J296">_xlfn.IFS(K296=1,"Divorciado",L296=1,"Casado",M296=1,"Solteiro",N296=1,"Juntos",O296=1,"Viuvo")</f>
        <v>Casado</v>
      </c>
      <c r="K296" s="13">
        <v>0</v>
      </c>
      <c r="L296" s="13">
        <v>1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v>1</v>
      </c>
      <c r="U296" s="13">
        <v>794</v>
      </c>
      <c r="V296" s="13" t="str" cm="1">
        <f t="array" ref="V296">_xlfn.IFS(U296&lt;=250,"0-R$250",U296&lt;=500,"251-R$500",U296&lt;=750,"501-R$750",U296&lt;=1000,"751-R$1000",U296&lt;=1250,"1001-R$1250",U296&lt;=1500,"1251-R$1500")</f>
        <v>751-R$1000</v>
      </c>
      <c r="W296" s="13">
        <v>115</v>
      </c>
      <c r="X296" s="13" t="str" cm="1">
        <f t="array" ref="X296">_xlfn.IFS(W296 = 0, "0", W296&lt;=20, "até R$20",W296&lt;=40, "21 - R$40",W296&lt;=60, "41- R$60",W296&lt;=80, "61 - R$80", W296&lt;=100, "81 - R$100",W296&lt;=120, "101 - R$120",W296&lt;=140, "121 - R$140", W296&lt;=160, "141- R$160", W296&lt;=180, "161 - R$180", W296&lt;=200, "181-R$194")</f>
        <v>101 - R$120</v>
      </c>
      <c r="Y296" s="13">
        <v>243</v>
      </c>
      <c r="Z296" s="13">
        <v>150</v>
      </c>
      <c r="AA296" s="13">
        <v>0</v>
      </c>
      <c r="AB296" s="13">
        <v>205</v>
      </c>
      <c r="AC296" s="13">
        <v>1</v>
      </c>
      <c r="AD296" s="13">
        <v>8</v>
      </c>
      <c r="AE296" s="13">
        <v>5</v>
      </c>
      <c r="AF296" s="13">
        <v>6</v>
      </c>
      <c r="AG296" s="13">
        <v>3</v>
      </c>
      <c r="AH296" s="13">
        <v>0</v>
      </c>
      <c r="AI296" s="13">
        <v>0</v>
      </c>
      <c r="AJ296" s="13">
        <v>0</v>
      </c>
      <c r="AK296" s="13">
        <v>0</v>
      </c>
      <c r="AL296" s="13">
        <v>0</v>
      </c>
      <c r="AM296" s="13">
        <v>0</v>
      </c>
      <c r="AN296" s="13">
        <v>0</v>
      </c>
      <c r="AO296" s="14">
        <v>0</v>
      </c>
      <c r="AP296" s="13">
        <v>3</v>
      </c>
      <c r="AQ296" s="13">
        <v>11</v>
      </c>
      <c r="AR296" s="15">
        <v>1097</v>
      </c>
      <c r="AS296" s="15">
        <v>1302</v>
      </c>
    </row>
    <row r="297" spans="1:45" x14ac:dyDescent="0.25">
      <c r="A297">
        <v>1063</v>
      </c>
      <c r="B297" s="11">
        <f t="shared" si="4"/>
        <v>79456</v>
      </c>
      <c r="C297" s="16">
        <v>794560</v>
      </c>
      <c r="D297" s="17">
        <v>0</v>
      </c>
      <c r="E297" s="17">
        <v>0</v>
      </c>
      <c r="F297" s="17">
        <v>12</v>
      </c>
      <c r="G297" s="17">
        <v>64</v>
      </c>
      <c r="H297" s="13" t="str" cm="1">
        <f t="array" ref="H297">_xlfn.IFS(G297&lt;=20,"0-20",G297&lt;=30,"20-30",G297&lt;=40,"30-40",G297&lt;=50,"50-60",G297&lt;=60,"60-70",G297&lt;=70,"70-80",G297&lt;=80,"80-90")</f>
        <v>70-80</v>
      </c>
      <c r="I297" s="17">
        <v>2835</v>
      </c>
      <c r="J297" s="13" t="str" cm="1">
        <f t="array" ref="J297">_xlfn.IFS(K297=1,"Divorciado",L297=1,"Casado",M297=1,"Solteiro",N297=1,"Juntos",O297=1,"Viuvo")</f>
        <v>Casado</v>
      </c>
      <c r="K297" s="17">
        <v>0</v>
      </c>
      <c r="L297" s="17">
        <v>1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1</v>
      </c>
      <c r="S297" s="17">
        <v>0</v>
      </c>
      <c r="T297" s="17">
        <v>0</v>
      </c>
      <c r="U297" s="17">
        <v>565</v>
      </c>
      <c r="V297" s="13" t="str" cm="1">
        <f t="array" ref="V297">_xlfn.IFS(U297&lt;=250,"0-R$250",U297&lt;=500,"251-R$500",U297&lt;=750,"501-R$750",U297&lt;=1000,"751-R$1000",U297&lt;=1250,"1001-R$1250",U297&lt;=1500,"1251-R$1500")</f>
        <v>501-R$750</v>
      </c>
      <c r="W297" s="17">
        <v>42</v>
      </c>
      <c r="X297" s="13" t="str" cm="1">
        <f t="array" ref="X297">_xlfn.IFS(W297 = 0, "0", W297&lt;=20, "até R$20",W297&lt;=40, "21 - R$40",W297&lt;=60, "41- R$60",W297&lt;=80, "61 - R$80", W297&lt;=100, "81 - R$100",W297&lt;=120, "101 - R$120",W297&lt;=140, "121 - R$140", W297&lt;=160, "141- R$160", W297&lt;=180, "161 - R$180", W297&lt;=200, "181-R$194")</f>
        <v>41- R$60</v>
      </c>
      <c r="Y297" s="17">
        <v>548</v>
      </c>
      <c r="Z297" s="17">
        <v>64</v>
      </c>
      <c r="AA297" s="17">
        <v>83</v>
      </c>
      <c r="AB297" s="17">
        <v>99</v>
      </c>
      <c r="AC297" s="17">
        <v>1</v>
      </c>
      <c r="AD297" s="17">
        <v>5</v>
      </c>
      <c r="AE297" s="17">
        <v>6</v>
      </c>
      <c r="AF297" s="17">
        <v>4</v>
      </c>
      <c r="AG297" s="17">
        <v>3</v>
      </c>
      <c r="AH297" s="17">
        <v>0</v>
      </c>
      <c r="AI297" s="17">
        <v>0</v>
      </c>
      <c r="AJ297" s="17">
        <v>0</v>
      </c>
      <c r="AK297" s="17">
        <v>0</v>
      </c>
      <c r="AL297" s="17">
        <v>0</v>
      </c>
      <c r="AM297" s="17">
        <v>0</v>
      </c>
      <c r="AN297" s="17">
        <v>1</v>
      </c>
      <c r="AO297" s="18">
        <v>0</v>
      </c>
      <c r="AP297" s="17">
        <v>3</v>
      </c>
      <c r="AQ297" s="17">
        <v>11</v>
      </c>
      <c r="AR297" s="19">
        <v>1203</v>
      </c>
      <c r="AS297" s="19">
        <v>1302</v>
      </c>
    </row>
    <row r="298" spans="1:45" x14ac:dyDescent="0.25">
      <c r="A298">
        <v>1422</v>
      </c>
      <c r="B298" s="11">
        <f t="shared" si="4"/>
        <v>78041</v>
      </c>
      <c r="C298" s="12">
        <v>780410</v>
      </c>
      <c r="D298" s="13">
        <v>0</v>
      </c>
      <c r="E298" s="13">
        <v>0</v>
      </c>
      <c r="F298" s="13">
        <v>93</v>
      </c>
      <c r="G298" s="13">
        <v>49</v>
      </c>
      <c r="H298" s="13" t="str" cm="1">
        <f t="array" ref="H298">_xlfn.IFS(G298&lt;=20,"0-20",G298&lt;=30,"20-30",G298&lt;=40,"30-40",G298&lt;=50,"50-60",G298&lt;=60,"60-70",G298&lt;=70,"70-80",G298&lt;=80,"80-90")</f>
        <v>50-60</v>
      </c>
      <c r="I298" s="13">
        <v>2719</v>
      </c>
      <c r="J298" s="13" t="str" cm="1">
        <f t="array" ref="J298">_xlfn.IFS(K298=1,"Divorciado",L298=1,"Casado",M298=1,"Solteiro",N298=1,"Juntos",O298=1,"Viuvo")</f>
        <v>Casado</v>
      </c>
      <c r="K298" s="13">
        <v>0</v>
      </c>
      <c r="L298" s="13">
        <v>1</v>
      </c>
      <c r="M298" s="13">
        <v>0</v>
      </c>
      <c r="N298" s="13">
        <v>0</v>
      </c>
      <c r="O298" s="13">
        <v>0</v>
      </c>
      <c r="P298" s="13">
        <v>1</v>
      </c>
      <c r="Q298" s="13">
        <v>0</v>
      </c>
      <c r="R298" s="13">
        <v>0</v>
      </c>
      <c r="S298" s="13">
        <v>0</v>
      </c>
      <c r="T298" s="13">
        <v>0</v>
      </c>
      <c r="U298" s="13">
        <v>482</v>
      </c>
      <c r="V298" s="13" t="str" cm="1">
        <f t="array" ref="V298">_xlfn.IFS(U298&lt;=250,"0-R$250",U298&lt;=500,"251-R$500",U298&lt;=750,"501-R$750",U298&lt;=1000,"751-R$1000",U298&lt;=1250,"1001-R$1250",U298&lt;=1500,"1251-R$1500")</f>
        <v>251-R$500</v>
      </c>
      <c r="W298" s="13">
        <v>35</v>
      </c>
      <c r="X298" s="13" t="str" cm="1">
        <f t="array" ref="X298">_xlfn.IFS(W298 = 0, "0", W298&lt;=20, "até R$20",W298&lt;=40, "21 - R$40",W298&lt;=60, "41- R$60",W298&lt;=80, "61 - R$80", W298&lt;=100, "81 - R$100",W298&lt;=120, "101 - R$120",W298&lt;=140, "121 - R$140", W298&lt;=160, "141- R$160", W298&lt;=180, "161 - R$180", W298&lt;=200, "181-R$194")</f>
        <v>21 - R$40</v>
      </c>
      <c r="Y298" s="13">
        <v>553</v>
      </c>
      <c r="Z298" s="13">
        <v>72</v>
      </c>
      <c r="AA298" s="13">
        <v>160</v>
      </c>
      <c r="AB298" s="13">
        <v>17</v>
      </c>
      <c r="AC298" s="13">
        <v>1</v>
      </c>
      <c r="AD298" s="13">
        <v>4</v>
      </c>
      <c r="AE298" s="13">
        <v>4</v>
      </c>
      <c r="AF298" s="13">
        <v>9</v>
      </c>
      <c r="AG298" s="13">
        <v>2</v>
      </c>
      <c r="AH298" s="13">
        <v>0</v>
      </c>
      <c r="AI298" s="13">
        <v>0</v>
      </c>
      <c r="AJ298" s="13">
        <v>0</v>
      </c>
      <c r="AK298" s="13">
        <v>0</v>
      </c>
      <c r="AL298" s="13">
        <v>0</v>
      </c>
      <c r="AM298" s="13">
        <v>0</v>
      </c>
      <c r="AN298" s="13">
        <v>0</v>
      </c>
      <c r="AO298" s="14">
        <v>0</v>
      </c>
      <c r="AP298" s="13">
        <v>3</v>
      </c>
      <c r="AQ298" s="13">
        <v>11</v>
      </c>
      <c r="AR298" s="15">
        <v>1285</v>
      </c>
      <c r="AS298" s="15">
        <v>1302</v>
      </c>
    </row>
    <row r="299" spans="1:45" x14ac:dyDescent="0.25">
      <c r="A299">
        <v>1118</v>
      </c>
      <c r="B299" s="11">
        <f t="shared" si="4"/>
        <v>85696</v>
      </c>
      <c r="C299" s="12">
        <v>856960</v>
      </c>
      <c r="D299" s="13">
        <v>0</v>
      </c>
      <c r="E299" s="13">
        <v>0</v>
      </c>
      <c r="F299" s="13">
        <v>88</v>
      </c>
      <c r="G299" s="13">
        <v>58</v>
      </c>
      <c r="H299" s="13" t="str" cm="1">
        <f t="array" ref="H299">_xlfn.IFS(G299&lt;=20,"0-20",G299&lt;=30,"20-30",G299&lt;=40,"30-40",G299&lt;=50,"50-60",G299&lt;=60,"60-70",G299&lt;=70,"70-80",G299&lt;=80,"80-90")</f>
        <v>60-70</v>
      </c>
      <c r="I299" s="13">
        <v>2581</v>
      </c>
      <c r="J299" s="13" t="str" cm="1">
        <f t="array" ref="J299">_xlfn.IFS(K299=1,"Divorciado",L299=1,"Casado",M299=1,"Solteiro",N299=1,"Juntos",O299=1,"Viuvo")</f>
        <v>Divorciado</v>
      </c>
      <c r="K299" s="13">
        <v>1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  <c r="R299" s="13">
        <v>0</v>
      </c>
      <c r="S299" s="13">
        <v>0</v>
      </c>
      <c r="T299" s="13">
        <v>1</v>
      </c>
      <c r="U299" s="13">
        <v>714</v>
      </c>
      <c r="V299" s="13" t="str" cm="1">
        <f t="array" ref="V299">_xlfn.IFS(U299&lt;=250,"0-R$250",U299&lt;=500,"251-R$500",U299&lt;=750,"501-R$750",U299&lt;=1000,"751-R$1000",U299&lt;=1250,"1001-R$1250",U299&lt;=1500,"1251-R$1500")</f>
        <v>501-R$750</v>
      </c>
      <c r="W299" s="13">
        <v>76</v>
      </c>
      <c r="X299" s="13" t="str" cm="1">
        <f t="array" ref="X299">_xlfn.IFS(W299 = 0, "0", W299&lt;=20, "até R$20",W299&lt;=40, "21 - R$40",W299&lt;=60, "41- R$60",W299&lt;=80, "61 - R$80", W299&lt;=100, "81 - R$100",W299&lt;=120, "101 - R$120",W299&lt;=140, "121 - R$140", W299&lt;=160, "141- R$160", W299&lt;=180, "161 - R$180", W299&lt;=200, "181-R$194")</f>
        <v>61 - R$80</v>
      </c>
      <c r="Y299" s="13">
        <v>395</v>
      </c>
      <c r="Z299" s="13">
        <v>116</v>
      </c>
      <c r="AA299" s="13">
        <v>0</v>
      </c>
      <c r="AB299" s="13">
        <v>12</v>
      </c>
      <c r="AC299" s="13">
        <v>1</v>
      </c>
      <c r="AD299" s="13">
        <v>4</v>
      </c>
      <c r="AE299" s="13">
        <v>6</v>
      </c>
      <c r="AF299" s="13">
        <v>9</v>
      </c>
      <c r="AG299" s="13">
        <v>1</v>
      </c>
      <c r="AH299" s="13">
        <v>0</v>
      </c>
      <c r="AI299" s="13">
        <v>0</v>
      </c>
      <c r="AJ299" s="13">
        <v>0</v>
      </c>
      <c r="AK299" s="13">
        <v>0</v>
      </c>
      <c r="AL299" s="13">
        <v>0</v>
      </c>
      <c r="AM299" s="13">
        <v>0</v>
      </c>
      <c r="AN299" s="13">
        <v>1</v>
      </c>
      <c r="AO299" s="14">
        <v>0</v>
      </c>
      <c r="AP299" s="13">
        <v>3</v>
      </c>
      <c r="AQ299" s="13">
        <v>11</v>
      </c>
      <c r="AR299" s="15">
        <v>1289</v>
      </c>
      <c r="AS299" s="15">
        <v>1301</v>
      </c>
    </row>
    <row r="300" spans="1:45" x14ac:dyDescent="0.25">
      <c r="A300">
        <v>1329</v>
      </c>
      <c r="B300" s="11">
        <f t="shared" si="4"/>
        <v>85696</v>
      </c>
      <c r="C300" s="16">
        <v>856960</v>
      </c>
      <c r="D300" s="17">
        <v>0</v>
      </c>
      <c r="E300" s="17">
        <v>0</v>
      </c>
      <c r="F300" s="17">
        <v>88</v>
      </c>
      <c r="G300" s="17">
        <v>58</v>
      </c>
      <c r="H300" s="13" t="str" cm="1">
        <f t="array" ref="H300">_xlfn.IFS(G300&lt;=20,"0-20",G300&lt;=30,"20-30",G300&lt;=40,"30-40",G300&lt;=50,"50-60",G300&lt;=60,"60-70",G300&lt;=70,"70-80",G300&lt;=80,"80-90")</f>
        <v>60-70</v>
      </c>
      <c r="I300" s="17">
        <v>2581</v>
      </c>
      <c r="J300" s="13" t="str" cm="1">
        <f t="array" ref="J300">_xlfn.IFS(K300=1,"Divorciado",L300=1,"Casado",M300=1,"Solteiro",N300=1,"Juntos",O300=1,"Viuvo")</f>
        <v>Divorciado</v>
      </c>
      <c r="K300" s="17">
        <v>1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1</v>
      </c>
      <c r="U300" s="17">
        <v>714</v>
      </c>
      <c r="V300" s="13" t="str" cm="1">
        <f t="array" ref="V300">_xlfn.IFS(U300&lt;=250,"0-R$250",U300&lt;=500,"251-R$500",U300&lt;=750,"501-R$750",U300&lt;=1000,"751-R$1000",U300&lt;=1250,"1001-R$1250",U300&lt;=1500,"1251-R$1500")</f>
        <v>501-R$750</v>
      </c>
      <c r="W300" s="17">
        <v>76</v>
      </c>
      <c r="X300" s="13" t="str" cm="1">
        <f t="array" ref="X300">_xlfn.IFS(W300 = 0, "0", W300&lt;=20, "até R$20",W300&lt;=40, "21 - R$40",W300&lt;=60, "41- R$60",W300&lt;=80, "61 - R$80", W300&lt;=100, "81 - R$100",W300&lt;=120, "101 - R$120",W300&lt;=140, "121 - R$140", W300&lt;=160, "141- R$160", W300&lt;=180, "161 - R$180", W300&lt;=200, "181-R$194")</f>
        <v>61 - R$80</v>
      </c>
      <c r="Y300" s="17">
        <v>395</v>
      </c>
      <c r="Z300" s="17">
        <v>116</v>
      </c>
      <c r="AA300" s="17">
        <v>0</v>
      </c>
      <c r="AB300" s="17">
        <v>12</v>
      </c>
      <c r="AC300" s="17">
        <v>1</v>
      </c>
      <c r="AD300" s="17">
        <v>4</v>
      </c>
      <c r="AE300" s="17">
        <v>6</v>
      </c>
      <c r="AF300" s="17">
        <v>9</v>
      </c>
      <c r="AG300" s="17">
        <v>1</v>
      </c>
      <c r="AH300" s="17">
        <v>0</v>
      </c>
      <c r="AI300" s="17">
        <v>0</v>
      </c>
      <c r="AJ300" s="17">
        <v>0</v>
      </c>
      <c r="AK300" s="17">
        <v>0</v>
      </c>
      <c r="AL300" s="17">
        <v>0</v>
      </c>
      <c r="AM300" s="17">
        <v>0</v>
      </c>
      <c r="AN300" s="17">
        <v>1</v>
      </c>
      <c r="AO300" s="18">
        <v>0</v>
      </c>
      <c r="AP300" s="17">
        <v>3</v>
      </c>
      <c r="AQ300" s="17">
        <v>11</v>
      </c>
      <c r="AR300" s="19">
        <v>1289</v>
      </c>
      <c r="AS300" s="19">
        <v>1301</v>
      </c>
    </row>
    <row r="301" spans="1:45" x14ac:dyDescent="0.25">
      <c r="A301">
        <v>2068</v>
      </c>
      <c r="B301" s="11">
        <f t="shared" si="4"/>
        <v>76068</v>
      </c>
      <c r="C301" s="12">
        <v>760680</v>
      </c>
      <c r="D301" s="13">
        <v>0</v>
      </c>
      <c r="E301" s="13">
        <v>1</v>
      </c>
      <c r="F301" s="13">
        <v>67</v>
      </c>
      <c r="G301" s="13">
        <v>45</v>
      </c>
      <c r="H301" s="13" t="str" cm="1">
        <f t="array" ref="H301">_xlfn.IFS(G301&lt;=20,"0-20",G301&lt;=30,"20-30",G301&lt;=40,"30-40",G301&lt;=50,"50-60",G301&lt;=60,"60-70",G301&lt;=70,"70-80",G301&lt;=80,"80-90")</f>
        <v>50-60</v>
      </c>
      <c r="I301" s="13">
        <v>2736</v>
      </c>
      <c r="J301" s="13" t="str" cm="1">
        <f t="array" ref="J301">_xlfn.IFS(K301=1,"Divorciado",L301=1,"Casado",M301=1,"Solteiro",N301=1,"Juntos",O301=1,"Viuvo")</f>
        <v>Casado</v>
      </c>
      <c r="K301" s="13">
        <v>0</v>
      </c>
      <c r="L301" s="13">
        <v>1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1</v>
      </c>
      <c r="S301" s="13">
        <v>0</v>
      </c>
      <c r="T301" s="13">
        <v>0</v>
      </c>
      <c r="U301" s="13">
        <v>1115</v>
      </c>
      <c r="V301" s="13" t="str" cm="1">
        <f t="array" ref="V301">_xlfn.IFS(U301&lt;=250,"0-R$250",U301&lt;=500,"251-R$500",U301&lt;=750,"501-R$750",U301&lt;=1000,"751-R$1000",U301&lt;=1250,"1001-R$1250",U301&lt;=1500,"1251-R$1500")</f>
        <v>1001-R$1250</v>
      </c>
      <c r="W301" s="13">
        <v>12</v>
      </c>
      <c r="X301" s="13" t="str" cm="1">
        <f t="array" ref="X301">_xlfn.IFS(W301 = 0, "0", W301&lt;=20, "até R$20",W301&lt;=40, "21 - R$40",W301&lt;=60, "41- R$60",W301&lt;=80, "61 - R$80", W301&lt;=100, "81 - R$100",W301&lt;=120, "101 - R$120",W301&lt;=140, "121 - R$140", W301&lt;=160, "141- R$160", W301&lt;=180, "161 - R$180", W301&lt;=200, "181-R$194")</f>
        <v>até R$20</v>
      </c>
      <c r="Y301" s="13">
        <v>128</v>
      </c>
      <c r="Z301" s="13">
        <v>33</v>
      </c>
      <c r="AA301" s="13">
        <v>12</v>
      </c>
      <c r="AB301" s="13">
        <v>76</v>
      </c>
      <c r="AC301" s="13">
        <v>1</v>
      </c>
      <c r="AD301" s="13">
        <v>2</v>
      </c>
      <c r="AE301" s="13">
        <v>3</v>
      </c>
      <c r="AF301" s="13">
        <v>4</v>
      </c>
      <c r="AG301" s="13">
        <v>6</v>
      </c>
      <c r="AH301" s="13">
        <v>0</v>
      </c>
      <c r="AI301" s="13">
        <v>0</v>
      </c>
      <c r="AJ301" s="13">
        <v>1</v>
      </c>
      <c r="AK301" s="13">
        <v>0</v>
      </c>
      <c r="AL301" s="13">
        <v>0</v>
      </c>
      <c r="AM301" s="13">
        <v>1</v>
      </c>
      <c r="AN301" s="13">
        <v>0</v>
      </c>
      <c r="AO301" s="14">
        <v>2</v>
      </c>
      <c r="AP301" s="13">
        <v>3</v>
      </c>
      <c r="AQ301" s="13">
        <v>11</v>
      </c>
      <c r="AR301" s="15">
        <v>1224</v>
      </c>
      <c r="AS301" s="15">
        <v>1300</v>
      </c>
    </row>
    <row r="302" spans="1:45" x14ac:dyDescent="0.25">
      <c r="A302">
        <v>454</v>
      </c>
      <c r="B302" s="11">
        <f t="shared" si="4"/>
        <v>61456</v>
      </c>
      <c r="C302" s="12">
        <v>614560</v>
      </c>
      <c r="D302" s="13">
        <v>0</v>
      </c>
      <c r="E302" s="13">
        <v>1</v>
      </c>
      <c r="F302" s="13">
        <v>47</v>
      </c>
      <c r="G302" s="13">
        <v>45</v>
      </c>
      <c r="H302" s="13" t="str" cm="1">
        <f t="array" ref="H302">_xlfn.IFS(G302&lt;=20,"0-20",G302&lt;=30,"20-30",G302&lt;=40,"30-40",G302&lt;=50,"50-60",G302&lt;=60,"60-70",G302&lt;=70,"70-80",G302&lt;=80,"80-90")</f>
        <v>50-60</v>
      </c>
      <c r="I302" s="13">
        <v>2618</v>
      </c>
      <c r="J302" s="13" t="str" cm="1">
        <f t="array" ref="J302">_xlfn.IFS(K302=1,"Divorciado",L302=1,"Casado",M302=1,"Solteiro",N302=1,"Juntos",O302=1,"Viuvo")</f>
        <v>Casado</v>
      </c>
      <c r="K302" s="13">
        <v>0</v>
      </c>
      <c r="L302" s="13">
        <v>1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1</v>
      </c>
      <c r="S302" s="13">
        <v>0</v>
      </c>
      <c r="T302" s="13">
        <v>0</v>
      </c>
      <c r="U302" s="13">
        <v>563</v>
      </c>
      <c r="V302" s="13" t="str" cm="1">
        <f t="array" ref="V302">_xlfn.IFS(U302&lt;=250,"0-R$250",U302&lt;=500,"251-R$500",U302&lt;=750,"501-R$750",U302&lt;=1000,"751-R$1000",U302&lt;=1250,"1001-R$1250",U302&lt;=1500,"1251-R$1500")</f>
        <v>501-R$750</v>
      </c>
      <c r="W302" s="13">
        <v>76</v>
      </c>
      <c r="X302" s="13" t="str" cm="1">
        <f t="array" ref="X302">_xlfn.IFS(W302 = 0, "0", W302&lt;=20, "até R$20",W302&lt;=40, "21 - R$40",W302&lt;=60, "41- R$60",W302&lt;=80, "61 - R$80", W302&lt;=100, "81 - R$100",W302&lt;=120, "101 - R$120",W302&lt;=140, "121 - R$140", W302&lt;=160, "141- R$160", W302&lt;=180, "161 - R$180", W302&lt;=200, "181-R$194")</f>
        <v>61 - R$80</v>
      </c>
      <c r="Y302" s="13">
        <v>384</v>
      </c>
      <c r="Z302" s="13">
        <v>84</v>
      </c>
      <c r="AA302" s="13">
        <v>192</v>
      </c>
      <c r="AB302" s="13">
        <v>89</v>
      </c>
      <c r="AC302" s="13">
        <v>4</v>
      </c>
      <c r="AD302" s="13">
        <v>6</v>
      </c>
      <c r="AE302" s="13">
        <v>10</v>
      </c>
      <c r="AF302" s="13">
        <v>13</v>
      </c>
      <c r="AG302" s="13">
        <v>4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4">
        <v>0</v>
      </c>
      <c r="AP302" s="13">
        <v>3</v>
      </c>
      <c r="AQ302" s="13">
        <v>11</v>
      </c>
      <c r="AR302" s="15">
        <v>1210</v>
      </c>
      <c r="AS302" s="15">
        <v>1299</v>
      </c>
    </row>
    <row r="303" spans="1:45" x14ac:dyDescent="0.25">
      <c r="A303">
        <v>1825</v>
      </c>
      <c r="B303" s="11">
        <f t="shared" si="4"/>
        <v>83257</v>
      </c>
      <c r="C303" s="16">
        <v>832570</v>
      </c>
      <c r="D303" s="17">
        <v>0</v>
      </c>
      <c r="E303" s="17">
        <v>0</v>
      </c>
      <c r="F303" s="17">
        <v>56</v>
      </c>
      <c r="G303" s="17">
        <v>25</v>
      </c>
      <c r="H303" s="13" t="str" cm="1">
        <f t="array" ref="H303">_xlfn.IFS(G303&lt;=20,"0-20",G303&lt;=30,"20-30",G303&lt;=40,"30-40",G303&lt;=50,"50-60",G303&lt;=60,"60-70",G303&lt;=70,"70-80",G303&lt;=80,"80-90")</f>
        <v>20-30</v>
      </c>
      <c r="I303" s="17">
        <v>2808</v>
      </c>
      <c r="J303" s="13" t="str" cm="1">
        <f t="array" ref="J303">_xlfn.IFS(K303=1,"Divorciado",L303=1,"Casado",M303=1,"Solteiro",N303=1,"Juntos",O303=1,"Viuvo")</f>
        <v>Solteiro</v>
      </c>
      <c r="K303" s="17">
        <v>0</v>
      </c>
      <c r="L303" s="17">
        <v>0</v>
      </c>
      <c r="M303" s="17">
        <v>1</v>
      </c>
      <c r="N303" s="17">
        <v>0</v>
      </c>
      <c r="O303" s="17">
        <v>0</v>
      </c>
      <c r="P303" s="17">
        <v>1</v>
      </c>
      <c r="Q303" s="17">
        <v>0</v>
      </c>
      <c r="R303" s="17">
        <v>0</v>
      </c>
      <c r="S303" s="17">
        <v>0</v>
      </c>
      <c r="T303" s="17">
        <v>0</v>
      </c>
      <c r="U303" s="17">
        <v>536</v>
      </c>
      <c r="V303" s="13" t="str" cm="1">
        <f t="array" ref="V303">_xlfn.IFS(U303&lt;=250,"0-R$250",U303&lt;=500,"251-R$500",U303&lt;=750,"501-R$750",U303&lt;=1000,"751-R$1000",U303&lt;=1250,"1001-R$1250",U303&lt;=1500,"1251-R$1500")</f>
        <v>501-R$750</v>
      </c>
      <c r="W303" s="17">
        <v>27</v>
      </c>
      <c r="X303" s="13" t="str" cm="1">
        <f t="array" ref="X303">_xlfn.IFS(W303 = 0, "0", W303&lt;=20, "até R$20",W303&lt;=40, "21 - R$40",W303&lt;=60, "41- R$60",W303&lt;=80, "61 - R$80", W303&lt;=100, "81 - R$100",W303&lt;=120, "101 - R$120",W303&lt;=140, "121 - R$140", W303&lt;=160, "141- R$160", W303&lt;=180, "161 - R$180", W303&lt;=200, "181-R$194")</f>
        <v>21 - R$40</v>
      </c>
      <c r="Y303" s="17">
        <v>590</v>
      </c>
      <c r="Z303" s="17">
        <v>38</v>
      </c>
      <c r="AA303" s="17">
        <v>107</v>
      </c>
      <c r="AB303" s="17">
        <v>67</v>
      </c>
      <c r="AC303" s="17">
        <v>1</v>
      </c>
      <c r="AD303" s="17">
        <v>5</v>
      </c>
      <c r="AE303" s="17">
        <v>10</v>
      </c>
      <c r="AF303" s="17">
        <v>12</v>
      </c>
      <c r="AG303" s="17">
        <v>6</v>
      </c>
      <c r="AH303" s="17">
        <v>1</v>
      </c>
      <c r="AI303" s="17">
        <v>1</v>
      </c>
      <c r="AJ303" s="17">
        <v>0</v>
      </c>
      <c r="AK303" s="17">
        <v>1</v>
      </c>
      <c r="AL303" s="17">
        <v>0</v>
      </c>
      <c r="AM303" s="17">
        <v>0</v>
      </c>
      <c r="AN303" s="17">
        <v>1</v>
      </c>
      <c r="AO303" s="18">
        <v>2</v>
      </c>
      <c r="AP303" s="17">
        <v>3</v>
      </c>
      <c r="AQ303" s="17">
        <v>11</v>
      </c>
      <c r="AR303" s="19">
        <v>1231</v>
      </c>
      <c r="AS303" s="19">
        <v>1298</v>
      </c>
    </row>
    <row r="304" spans="1:45" x14ac:dyDescent="0.25">
      <c r="A304">
        <v>1720</v>
      </c>
      <c r="B304" s="11">
        <f t="shared" si="4"/>
        <v>81795</v>
      </c>
      <c r="C304" s="12">
        <v>817950</v>
      </c>
      <c r="D304" s="13">
        <v>0</v>
      </c>
      <c r="E304" s="13">
        <v>0</v>
      </c>
      <c r="F304" s="13">
        <v>74</v>
      </c>
      <c r="G304" s="13">
        <v>68</v>
      </c>
      <c r="H304" s="13" t="str" cm="1">
        <f t="array" ref="H304">_xlfn.IFS(G304&lt;=20,"0-20",G304&lt;=30,"20-30",G304&lt;=40,"30-40",G304&lt;=50,"50-60",G304&lt;=60,"60-70",G304&lt;=70,"70-80",G304&lt;=80,"80-90")</f>
        <v>70-80</v>
      </c>
      <c r="I304" s="13">
        <v>2770</v>
      </c>
      <c r="J304" s="13" t="str" cm="1">
        <f t="array" ref="J304">_xlfn.IFS(K304=1,"Divorciado",L304=1,"Casado",M304=1,"Solteiro",N304=1,"Juntos",O304=1,"Viuvo")</f>
        <v>Casado</v>
      </c>
      <c r="K304" s="13">
        <v>0</v>
      </c>
      <c r="L304" s="13">
        <v>1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1</v>
      </c>
      <c r="S304" s="13">
        <v>0</v>
      </c>
      <c r="T304" s="13">
        <v>0</v>
      </c>
      <c r="U304" s="13">
        <v>324</v>
      </c>
      <c r="V304" s="13" t="str" cm="1">
        <f t="array" ref="V304">_xlfn.IFS(U304&lt;=250,"0-R$250",U304&lt;=500,"251-R$500",U304&lt;=750,"501-R$750",U304&lt;=1000,"751-R$1000",U304&lt;=1250,"1001-R$1250",U304&lt;=1500,"1251-R$1500")</f>
        <v>251-R$500</v>
      </c>
      <c r="W304" s="13">
        <v>132</v>
      </c>
      <c r="X304" s="13" t="str" cm="1">
        <f t="array" ref="X304">_xlfn.IFS(W304 = 0, "0", W304&lt;=20, "até R$20",W304&lt;=40, "21 - R$40",W304&lt;=60, "41- R$60",W304&lt;=80, "61 - R$80", W304&lt;=100, "81 - R$100",W304&lt;=120, "101 - R$120",W304&lt;=140, "121 - R$140", W304&lt;=160, "141- R$160", W304&lt;=180, "161 - R$180", W304&lt;=200, "181-R$194")</f>
        <v>121 - R$140</v>
      </c>
      <c r="Y304" s="13">
        <v>693</v>
      </c>
      <c r="Z304" s="13">
        <v>27</v>
      </c>
      <c r="AA304" s="13">
        <v>118</v>
      </c>
      <c r="AB304" s="13">
        <v>88</v>
      </c>
      <c r="AC304" s="13">
        <v>1</v>
      </c>
      <c r="AD304" s="13">
        <v>4</v>
      </c>
      <c r="AE304" s="13">
        <v>11</v>
      </c>
      <c r="AF304" s="13">
        <v>7</v>
      </c>
      <c r="AG304" s="13">
        <v>2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14">
        <v>0</v>
      </c>
      <c r="AP304" s="13">
        <v>3</v>
      </c>
      <c r="AQ304" s="13">
        <v>11</v>
      </c>
      <c r="AR304" s="15">
        <v>1206</v>
      </c>
      <c r="AS304" s="15">
        <v>1294</v>
      </c>
    </row>
    <row r="305" spans="1:45" x14ac:dyDescent="0.25">
      <c r="A305">
        <v>39</v>
      </c>
      <c r="B305" s="11">
        <f t="shared" si="4"/>
        <v>80011</v>
      </c>
      <c r="C305" s="16">
        <v>800110</v>
      </c>
      <c r="D305" s="17">
        <v>0</v>
      </c>
      <c r="E305" s="17">
        <v>1</v>
      </c>
      <c r="F305" s="17">
        <v>3</v>
      </c>
      <c r="G305" s="17">
        <v>40</v>
      </c>
      <c r="H305" s="13" t="str" cm="1">
        <f t="array" ref="H305">_xlfn.IFS(G305&lt;=20,"0-20",G305&lt;=30,"20-30",G305&lt;=40,"30-40",G305&lt;=50,"50-60",G305&lt;=60,"60-70",G305&lt;=70,"70-80",G305&lt;=80,"80-90")</f>
        <v>30-40</v>
      </c>
      <c r="I305" s="17">
        <v>2585</v>
      </c>
      <c r="J305" s="13" t="str" cm="1">
        <f t="array" ref="J305">_xlfn.IFS(K305=1,"Divorciado",L305=1,"Casado",M305=1,"Solteiro",N305=1,"Juntos",O305=1,"Viuvo")</f>
        <v>Casado</v>
      </c>
      <c r="K305" s="17">
        <v>0</v>
      </c>
      <c r="L305" s="17">
        <v>1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1</v>
      </c>
      <c r="S305" s="17">
        <v>0</v>
      </c>
      <c r="T305" s="17">
        <v>0</v>
      </c>
      <c r="U305" s="17">
        <v>421</v>
      </c>
      <c r="V305" s="13" t="str" cm="1">
        <f t="array" ref="V305">_xlfn.IFS(U305&lt;=250,"0-R$250",U305&lt;=500,"251-R$500",U305&lt;=750,"501-R$750",U305&lt;=1000,"751-R$1000",U305&lt;=1250,"1001-R$1250",U305&lt;=1500,"1251-R$1500")</f>
        <v>251-R$500</v>
      </c>
      <c r="W305" s="17">
        <v>76</v>
      </c>
      <c r="X305" s="13" t="str" cm="1">
        <f t="array" ref="X305">_xlfn.IFS(W305 = 0, "0", W305&lt;=20, "até R$20",W305&lt;=40, "21 - R$40",W305&lt;=60, "41- R$60",W305&lt;=80, "61 - R$80", W305&lt;=100, "81 - R$100",W305&lt;=120, "101 - R$120",W305&lt;=140, "121 - R$140", W305&lt;=160, "141- R$160", W305&lt;=180, "161 - R$180", W305&lt;=200, "181-R$194")</f>
        <v>61 - R$80</v>
      </c>
      <c r="Y305" s="17">
        <v>536</v>
      </c>
      <c r="Z305" s="17">
        <v>82</v>
      </c>
      <c r="AA305" s="17">
        <v>178</v>
      </c>
      <c r="AB305" s="17">
        <v>102</v>
      </c>
      <c r="AC305" s="17">
        <v>2</v>
      </c>
      <c r="AD305" s="17">
        <v>8</v>
      </c>
      <c r="AE305" s="17">
        <v>6</v>
      </c>
      <c r="AF305" s="17">
        <v>5</v>
      </c>
      <c r="AG305" s="17">
        <v>4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8">
        <v>0</v>
      </c>
      <c r="AP305" s="17">
        <v>3</v>
      </c>
      <c r="AQ305" s="17">
        <v>11</v>
      </c>
      <c r="AR305" s="19">
        <v>1191</v>
      </c>
      <c r="AS305" s="19">
        <v>1293</v>
      </c>
    </row>
    <row r="306" spans="1:45" x14ac:dyDescent="0.25">
      <c r="A306">
        <v>487</v>
      </c>
      <c r="B306" s="11">
        <f t="shared" si="4"/>
        <v>64355</v>
      </c>
      <c r="C306" s="16">
        <v>643550</v>
      </c>
      <c r="D306" s="17">
        <v>1</v>
      </c>
      <c r="E306" s="17">
        <v>0</v>
      </c>
      <c r="F306" s="17">
        <v>66</v>
      </c>
      <c r="G306" s="17">
        <v>35</v>
      </c>
      <c r="H306" s="13" t="str" cm="1">
        <f t="array" ref="H306">_xlfn.IFS(G306&lt;=20,"0-20",G306&lt;=30,"20-30",G306&lt;=40,"30-40",G306&lt;=50,"50-60",G306&lt;=60,"60-70",G306&lt;=70,"70-80",G306&lt;=80,"80-90")</f>
        <v>30-40</v>
      </c>
      <c r="I306" s="17">
        <v>2833</v>
      </c>
      <c r="J306" s="13" t="str" cm="1">
        <f t="array" ref="J306">_xlfn.IFS(K306=1,"Divorciado",L306=1,"Casado",M306=1,"Solteiro",N306=1,"Juntos",O306=1,"Viuvo")</f>
        <v>Casado</v>
      </c>
      <c r="K306" s="17">
        <v>0</v>
      </c>
      <c r="L306" s="17">
        <v>1</v>
      </c>
      <c r="M306" s="17">
        <v>0</v>
      </c>
      <c r="N306" s="17">
        <v>0</v>
      </c>
      <c r="O306" s="17">
        <v>0</v>
      </c>
      <c r="P306" s="17">
        <v>0</v>
      </c>
      <c r="Q306" s="17">
        <v>0</v>
      </c>
      <c r="R306" s="17">
        <v>0</v>
      </c>
      <c r="S306" s="17">
        <v>0</v>
      </c>
      <c r="T306" s="17">
        <v>1</v>
      </c>
      <c r="U306" s="17">
        <v>1047</v>
      </c>
      <c r="V306" s="13" t="str" cm="1">
        <f t="array" ref="V306">_xlfn.IFS(U306&lt;=250,"0-R$250",U306&lt;=500,"251-R$500",U306&lt;=750,"501-R$750",U306&lt;=1000,"751-R$1000",U306&lt;=1250,"1001-R$1250",U306&lt;=1500,"1251-R$1500")</f>
        <v>1001-R$1250</v>
      </c>
      <c r="W306" s="17">
        <v>0</v>
      </c>
      <c r="X306" s="13" t="str" cm="1">
        <f t="array" ref="X306">_xlfn.IFS(W306 = 0, "0", W306&lt;=20, "até R$20",W306&lt;=40, "21 - R$40",W306&lt;=60, "41- R$60",W306&lt;=80, "61 - R$80", W306&lt;=100, "81 - R$100",W306&lt;=120, "101 - R$120",W306&lt;=140, "121 - R$140", W306&lt;=160, "141- R$160", W306&lt;=180, "161 - R$180", W306&lt;=200, "181-R$194")</f>
        <v>0</v>
      </c>
      <c r="Y306" s="17">
        <v>140</v>
      </c>
      <c r="Z306" s="17">
        <v>67</v>
      </c>
      <c r="AA306" s="17">
        <v>38</v>
      </c>
      <c r="AB306" s="17">
        <v>153</v>
      </c>
      <c r="AC306" s="17">
        <v>2</v>
      </c>
      <c r="AD306" s="17">
        <v>4</v>
      </c>
      <c r="AE306" s="17">
        <v>3</v>
      </c>
      <c r="AF306" s="17">
        <v>12</v>
      </c>
      <c r="AG306" s="17">
        <v>8</v>
      </c>
      <c r="AH306" s="17">
        <v>0</v>
      </c>
      <c r="AI306" s="17">
        <v>0</v>
      </c>
      <c r="AJ306" s="17">
        <v>0</v>
      </c>
      <c r="AK306" s="17">
        <v>0</v>
      </c>
      <c r="AL306" s="17">
        <v>0</v>
      </c>
      <c r="AM306" s="17">
        <v>0</v>
      </c>
      <c r="AN306" s="17">
        <v>0</v>
      </c>
      <c r="AO306" s="18">
        <v>0</v>
      </c>
      <c r="AP306" s="17">
        <v>3</v>
      </c>
      <c r="AQ306" s="17">
        <v>11</v>
      </c>
      <c r="AR306" s="19">
        <v>1139</v>
      </c>
      <c r="AS306" s="19">
        <v>1292</v>
      </c>
    </row>
    <row r="307" spans="1:45" x14ac:dyDescent="0.25">
      <c r="A307">
        <v>2016</v>
      </c>
      <c r="B307" s="11">
        <f t="shared" si="4"/>
        <v>83273</v>
      </c>
      <c r="C307" s="12">
        <v>832730</v>
      </c>
      <c r="D307" s="13">
        <v>1</v>
      </c>
      <c r="E307" s="13">
        <v>2</v>
      </c>
      <c r="F307" s="13">
        <v>98</v>
      </c>
      <c r="G307" s="13">
        <v>50</v>
      </c>
      <c r="H307" s="13" t="str" cm="1">
        <f t="array" ref="H307">_xlfn.IFS(G307&lt;=20,"0-20",G307&lt;=30,"20-30",G307&lt;=40,"30-40",G307&lt;=50,"50-60",G307&lt;=60,"60-70",G307&lt;=70,"70-80",G307&lt;=80,"80-90")</f>
        <v>50-60</v>
      </c>
      <c r="I307" s="13">
        <v>2801</v>
      </c>
      <c r="J307" s="13" t="str" cm="1">
        <f t="array" ref="J307">_xlfn.IFS(K307=1,"Divorciado",L307=1,"Casado",M307=1,"Solteiro",N307=1,"Juntos",O307=1,"Viuvo")</f>
        <v>Solteiro</v>
      </c>
      <c r="K307" s="13">
        <v>0</v>
      </c>
      <c r="L307" s="13">
        <v>0</v>
      </c>
      <c r="M307" s="13">
        <v>1</v>
      </c>
      <c r="N307" s="13">
        <v>0</v>
      </c>
      <c r="O307" s="13">
        <v>0</v>
      </c>
      <c r="P307" s="13">
        <v>0</v>
      </c>
      <c r="Q307" s="13">
        <v>0</v>
      </c>
      <c r="R307" s="13">
        <v>1</v>
      </c>
      <c r="S307" s="13">
        <v>0</v>
      </c>
      <c r="T307" s="13">
        <v>0</v>
      </c>
      <c r="U307" s="13">
        <v>433</v>
      </c>
      <c r="V307" s="13" t="str" cm="1">
        <f t="array" ref="V307">_xlfn.IFS(U307&lt;=250,"0-R$250",U307&lt;=500,"251-R$500",U307&lt;=750,"501-R$750",U307&lt;=1000,"751-R$1000",U307&lt;=1250,"1001-R$1250",U307&lt;=1500,"1251-R$1500")</f>
        <v>251-R$500</v>
      </c>
      <c r="W307" s="13">
        <v>89</v>
      </c>
      <c r="X307" s="13" t="str" cm="1">
        <f t="array" ref="X307">_xlfn.IFS(W307 = 0, "0", W307&lt;=20, "até R$20",W307&lt;=40, "21 - R$40",W307&lt;=60, "41- R$60",W307&lt;=80, "61 - R$80", W307&lt;=100, "81 - R$100",W307&lt;=120, "101 - R$120",W307&lt;=140, "121 - R$140", W307&lt;=160, "141- R$160", W307&lt;=180, "161 - R$180", W307&lt;=200, "181-R$194")</f>
        <v>81 - R$100</v>
      </c>
      <c r="Y307" s="13">
        <v>650</v>
      </c>
      <c r="Z307" s="13">
        <v>16</v>
      </c>
      <c r="AA307" s="13">
        <v>102</v>
      </c>
      <c r="AB307" s="13">
        <v>102</v>
      </c>
      <c r="AC307" s="13">
        <v>10</v>
      </c>
      <c r="AD307" s="13">
        <v>4</v>
      </c>
      <c r="AE307" s="13">
        <v>6</v>
      </c>
      <c r="AF307" s="13">
        <v>9</v>
      </c>
      <c r="AG307" s="13">
        <v>7</v>
      </c>
      <c r="AH307" s="13">
        <v>0</v>
      </c>
      <c r="AI307" s="13">
        <v>0</v>
      </c>
      <c r="AJ307" s="13">
        <v>0</v>
      </c>
      <c r="AK307" s="13">
        <v>0</v>
      </c>
      <c r="AL307" s="13">
        <v>0</v>
      </c>
      <c r="AM307" s="13">
        <v>0</v>
      </c>
      <c r="AN307" s="13">
        <v>0</v>
      </c>
      <c r="AO307" s="14">
        <v>0</v>
      </c>
      <c r="AP307" s="13">
        <v>3</v>
      </c>
      <c r="AQ307" s="13">
        <v>11</v>
      </c>
      <c r="AR307" s="15">
        <v>1188</v>
      </c>
      <c r="AS307" s="15">
        <v>1290</v>
      </c>
    </row>
    <row r="308" spans="1:45" x14ac:dyDescent="0.25">
      <c r="A308">
        <v>449</v>
      </c>
      <c r="B308" s="11">
        <f t="shared" si="4"/>
        <v>66582</v>
      </c>
      <c r="C308" s="16">
        <v>665820</v>
      </c>
      <c r="D308" s="17">
        <v>0</v>
      </c>
      <c r="E308" s="17">
        <v>0</v>
      </c>
      <c r="F308" s="17">
        <v>83</v>
      </c>
      <c r="G308" s="17">
        <v>51</v>
      </c>
      <c r="H308" s="13" t="str" cm="1">
        <f t="array" ref="H308">_xlfn.IFS(G308&lt;=20,"0-20",G308&lt;=30,"20-30",G308&lt;=40,"30-40",G308&lt;=50,"50-60",G308&lt;=60,"60-70",G308&lt;=70,"70-80",G308&lt;=80,"80-90")</f>
        <v>60-70</v>
      </c>
      <c r="I308" s="17">
        <v>2277</v>
      </c>
      <c r="J308" s="13" t="str" cm="1">
        <f t="array" ref="J308">_xlfn.IFS(K308=1,"Divorciado",L308=1,"Casado",M308=1,"Solteiro",N308=1,"Juntos",O308=1,"Viuvo")</f>
        <v>Solteiro</v>
      </c>
      <c r="K308" s="17">
        <v>0</v>
      </c>
      <c r="L308" s="17">
        <v>0</v>
      </c>
      <c r="M308" s="17">
        <v>1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1</v>
      </c>
      <c r="U308" s="17">
        <v>789</v>
      </c>
      <c r="V308" s="13" t="str" cm="1">
        <f t="array" ref="V308">_xlfn.IFS(U308&lt;=250,"0-R$250",U308&lt;=500,"251-R$500",U308&lt;=750,"501-R$750",U308&lt;=1000,"751-R$1000",U308&lt;=1250,"1001-R$1250",U308&lt;=1500,"1251-R$1500")</f>
        <v>751-R$1000</v>
      </c>
      <c r="W308" s="17">
        <v>25</v>
      </c>
      <c r="X308" s="13" t="str" cm="1">
        <f t="array" ref="X308">_xlfn.IFS(W308 = 0, "0", W308&lt;=20, "até R$20",W308&lt;=40, "21 - R$40",W308&lt;=60, "41- R$60",W308&lt;=80, "61 - R$80", W308&lt;=100, "81 - R$100",W308&lt;=120, "101 - R$120",W308&lt;=140, "121 - R$140", W308&lt;=160, "141- R$160", W308&lt;=180, "161 - R$180", W308&lt;=200, "181-R$194")</f>
        <v>21 - R$40</v>
      </c>
      <c r="Y308" s="17">
        <v>420</v>
      </c>
      <c r="Z308" s="17">
        <v>16</v>
      </c>
      <c r="AA308" s="17">
        <v>38</v>
      </c>
      <c r="AB308" s="17">
        <v>0</v>
      </c>
      <c r="AC308" s="17">
        <v>1</v>
      </c>
      <c r="AD308" s="17">
        <v>2</v>
      </c>
      <c r="AE308" s="17">
        <v>8</v>
      </c>
      <c r="AF308" s="17">
        <v>9</v>
      </c>
      <c r="AG308" s="17">
        <v>1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8">
        <v>0</v>
      </c>
      <c r="AP308" s="17">
        <v>3</v>
      </c>
      <c r="AQ308" s="17">
        <v>11</v>
      </c>
      <c r="AR308" s="19">
        <v>1288</v>
      </c>
      <c r="AS308" s="19">
        <v>1288</v>
      </c>
    </row>
    <row r="309" spans="1:45" x14ac:dyDescent="0.25">
      <c r="A309">
        <v>997</v>
      </c>
      <c r="B309" s="11">
        <f t="shared" si="4"/>
        <v>70924</v>
      </c>
      <c r="C309" s="16">
        <v>709240</v>
      </c>
      <c r="D309" s="17">
        <v>0</v>
      </c>
      <c r="E309" s="17">
        <v>0</v>
      </c>
      <c r="F309" s="17">
        <v>41</v>
      </c>
      <c r="G309" s="17">
        <v>55</v>
      </c>
      <c r="H309" s="13" t="str" cm="1">
        <f t="array" ref="H309">_xlfn.IFS(G309&lt;=20,"0-20",G309&lt;=30,"20-30",G309&lt;=40,"30-40",G309&lt;=50,"50-60",G309&lt;=60,"60-70",G309&lt;=70,"70-80",G309&lt;=80,"80-90")</f>
        <v>60-70</v>
      </c>
      <c r="I309" s="17">
        <v>2242</v>
      </c>
      <c r="J309" s="13" t="str" cm="1">
        <f t="array" ref="J309">_xlfn.IFS(K309=1,"Divorciado",L309=1,"Casado",M309=1,"Solteiro",N309=1,"Juntos",O309=1,"Viuvo")</f>
        <v>Casado</v>
      </c>
      <c r="K309" s="17">
        <v>0</v>
      </c>
      <c r="L309" s="17">
        <v>1</v>
      </c>
      <c r="M309" s="17">
        <v>0</v>
      </c>
      <c r="N309" s="17">
        <v>0</v>
      </c>
      <c r="O309" s="17">
        <v>0</v>
      </c>
      <c r="P309" s="17">
        <v>1</v>
      </c>
      <c r="Q309" s="17">
        <v>0</v>
      </c>
      <c r="R309" s="17">
        <v>0</v>
      </c>
      <c r="S309" s="17">
        <v>0</v>
      </c>
      <c r="T309" s="17">
        <v>0</v>
      </c>
      <c r="U309" s="17">
        <v>635</v>
      </c>
      <c r="V309" s="13" t="str" cm="1">
        <f t="array" ref="V309">_xlfn.IFS(U309&lt;=250,"0-R$250",U309&lt;=500,"251-R$500",U309&lt;=750,"501-R$750",U309&lt;=1000,"751-R$1000",U309&lt;=1250,"1001-R$1250",U309&lt;=1500,"1251-R$1500")</f>
        <v>501-R$750</v>
      </c>
      <c r="W309" s="17">
        <v>114</v>
      </c>
      <c r="X309" s="13" t="str" cm="1">
        <f t="array" ref="X309">_xlfn.IFS(W309 = 0, "0", W309&lt;=20, "até R$20",W309&lt;=40, "21 - R$40",W309&lt;=60, "41- R$60",W309&lt;=80, "61 - R$80", W309&lt;=100, "81 - R$100",W309&lt;=120, "101 - R$120",W309&lt;=140, "121 - R$140", W309&lt;=160, "141- R$160", W309&lt;=180, "161 - R$180", W309&lt;=200, "181-R$194")</f>
        <v>101 - R$120</v>
      </c>
      <c r="Y309" s="17">
        <v>254</v>
      </c>
      <c r="Z309" s="17">
        <v>132</v>
      </c>
      <c r="AA309" s="17">
        <v>152</v>
      </c>
      <c r="AB309" s="17">
        <v>76</v>
      </c>
      <c r="AC309" s="17">
        <v>1</v>
      </c>
      <c r="AD309" s="17">
        <v>6</v>
      </c>
      <c r="AE309" s="17">
        <v>6</v>
      </c>
      <c r="AF309" s="17">
        <v>7</v>
      </c>
      <c r="AG309" s="17">
        <v>3</v>
      </c>
      <c r="AH309" s="17">
        <v>0</v>
      </c>
      <c r="AI309" s="17">
        <v>0</v>
      </c>
      <c r="AJ309" s="17">
        <v>0</v>
      </c>
      <c r="AK309" s="17">
        <v>1</v>
      </c>
      <c r="AL309" s="17">
        <v>0</v>
      </c>
      <c r="AM309" s="17">
        <v>0</v>
      </c>
      <c r="AN309" s="17">
        <v>0</v>
      </c>
      <c r="AO309" s="18">
        <v>1</v>
      </c>
      <c r="AP309" s="17">
        <v>3</v>
      </c>
      <c r="AQ309" s="17">
        <v>11</v>
      </c>
      <c r="AR309" s="19">
        <v>1211</v>
      </c>
      <c r="AS309" s="19">
        <v>1287</v>
      </c>
    </row>
    <row r="310" spans="1:45" x14ac:dyDescent="0.25">
      <c r="A310">
        <v>1031</v>
      </c>
      <c r="B310" s="11">
        <f t="shared" si="4"/>
        <v>70924</v>
      </c>
      <c r="C310" s="16">
        <v>709240</v>
      </c>
      <c r="D310" s="17">
        <v>0</v>
      </c>
      <c r="E310" s="17">
        <v>0</v>
      </c>
      <c r="F310" s="17">
        <v>41</v>
      </c>
      <c r="G310" s="17">
        <v>55</v>
      </c>
      <c r="H310" s="13" t="str" cm="1">
        <f t="array" ref="H310">_xlfn.IFS(G310&lt;=20,"0-20",G310&lt;=30,"20-30",G310&lt;=40,"30-40",G310&lt;=50,"50-60",G310&lt;=60,"60-70",G310&lt;=70,"70-80",G310&lt;=80,"80-90")</f>
        <v>60-70</v>
      </c>
      <c r="I310" s="17">
        <v>2242</v>
      </c>
      <c r="J310" s="13" t="str" cm="1">
        <f t="array" ref="J310">_xlfn.IFS(K310=1,"Divorciado",L310=1,"Casado",M310=1,"Solteiro",N310=1,"Juntos",O310=1,"Viuvo")</f>
        <v>Casado</v>
      </c>
      <c r="K310" s="17">
        <v>0</v>
      </c>
      <c r="L310" s="17">
        <v>1</v>
      </c>
      <c r="M310" s="17">
        <v>0</v>
      </c>
      <c r="N310" s="17">
        <v>0</v>
      </c>
      <c r="O310" s="17">
        <v>0</v>
      </c>
      <c r="P310" s="17">
        <v>1</v>
      </c>
      <c r="Q310" s="17">
        <v>0</v>
      </c>
      <c r="R310" s="17">
        <v>0</v>
      </c>
      <c r="S310" s="17">
        <v>0</v>
      </c>
      <c r="T310" s="17">
        <v>0</v>
      </c>
      <c r="U310" s="17">
        <v>635</v>
      </c>
      <c r="V310" s="13" t="str" cm="1">
        <f t="array" ref="V310">_xlfn.IFS(U310&lt;=250,"0-R$250",U310&lt;=500,"251-R$500",U310&lt;=750,"501-R$750",U310&lt;=1000,"751-R$1000",U310&lt;=1250,"1001-R$1250",U310&lt;=1500,"1251-R$1500")</f>
        <v>501-R$750</v>
      </c>
      <c r="W310" s="17">
        <v>114</v>
      </c>
      <c r="X310" s="13" t="str" cm="1">
        <f t="array" ref="X310">_xlfn.IFS(W310 = 0, "0", W310&lt;=20, "até R$20",W310&lt;=40, "21 - R$40",W310&lt;=60, "41- R$60",W310&lt;=80, "61 - R$80", W310&lt;=100, "81 - R$100",W310&lt;=120, "101 - R$120",W310&lt;=140, "121 - R$140", W310&lt;=160, "141- R$160", W310&lt;=180, "161 - R$180", W310&lt;=200, "181-R$194")</f>
        <v>101 - R$120</v>
      </c>
      <c r="Y310" s="17">
        <v>254</v>
      </c>
      <c r="Z310" s="17">
        <v>132</v>
      </c>
      <c r="AA310" s="17">
        <v>152</v>
      </c>
      <c r="AB310" s="17">
        <v>76</v>
      </c>
      <c r="AC310" s="17">
        <v>1</v>
      </c>
      <c r="AD310" s="17">
        <v>6</v>
      </c>
      <c r="AE310" s="17">
        <v>6</v>
      </c>
      <c r="AF310" s="17">
        <v>7</v>
      </c>
      <c r="AG310" s="17">
        <v>3</v>
      </c>
      <c r="AH310" s="17">
        <v>0</v>
      </c>
      <c r="AI310" s="17">
        <v>0</v>
      </c>
      <c r="AJ310" s="17">
        <v>0</v>
      </c>
      <c r="AK310" s="17">
        <v>1</v>
      </c>
      <c r="AL310" s="17">
        <v>0</v>
      </c>
      <c r="AM310" s="17">
        <v>0</v>
      </c>
      <c r="AN310" s="17">
        <v>0</v>
      </c>
      <c r="AO310" s="18">
        <v>1</v>
      </c>
      <c r="AP310" s="17">
        <v>3</v>
      </c>
      <c r="AQ310" s="17">
        <v>11</v>
      </c>
      <c r="AR310" s="19">
        <v>1211</v>
      </c>
      <c r="AS310" s="19">
        <v>1287</v>
      </c>
    </row>
    <row r="311" spans="1:45" x14ac:dyDescent="0.25">
      <c r="A311">
        <v>1052</v>
      </c>
      <c r="B311" s="11">
        <f t="shared" si="4"/>
        <v>70713</v>
      </c>
      <c r="C311" s="12">
        <v>707130</v>
      </c>
      <c r="D311" s="13">
        <v>0</v>
      </c>
      <c r="E311" s="13">
        <v>1</v>
      </c>
      <c r="F311" s="13">
        <v>23</v>
      </c>
      <c r="G311" s="13">
        <v>54</v>
      </c>
      <c r="H311" s="13" t="str" cm="1">
        <f t="array" ref="H311">_xlfn.IFS(G311&lt;=20,"0-20",G311&lt;=30,"20-30",G311&lt;=40,"30-40",G311&lt;=50,"50-60",G311&lt;=60,"60-70",G311&lt;=70,"70-80",G311&lt;=80,"80-90")</f>
        <v>60-70</v>
      </c>
      <c r="I311" s="13">
        <v>2732</v>
      </c>
      <c r="J311" s="13" t="str" cm="1">
        <f t="array" ref="J311">_xlfn.IFS(K311=1,"Divorciado",L311=1,"Casado",M311=1,"Solteiro",N311=1,"Juntos",O311=1,"Viuvo")</f>
        <v>Juntos</v>
      </c>
      <c r="K311" s="13">
        <v>0</v>
      </c>
      <c r="L311" s="13">
        <v>0</v>
      </c>
      <c r="M311" s="13">
        <v>0</v>
      </c>
      <c r="N311" s="13">
        <v>1</v>
      </c>
      <c r="O311" s="13">
        <v>0</v>
      </c>
      <c r="P311" s="13">
        <v>0</v>
      </c>
      <c r="Q311" s="13">
        <v>0</v>
      </c>
      <c r="R311" s="13">
        <v>1</v>
      </c>
      <c r="S311" s="13">
        <v>0</v>
      </c>
      <c r="T311" s="13">
        <v>0</v>
      </c>
      <c r="U311" s="13">
        <v>736</v>
      </c>
      <c r="V311" s="13" t="str" cm="1">
        <f t="array" ref="V311">_xlfn.IFS(U311&lt;=250,"0-R$250",U311&lt;=500,"251-R$500",U311&lt;=750,"501-R$750",U311&lt;=1000,"751-R$1000",U311&lt;=1250,"1001-R$1250",U311&lt;=1500,"1251-R$1500")</f>
        <v>501-R$750</v>
      </c>
      <c r="W311" s="13">
        <v>114</v>
      </c>
      <c r="X311" s="13" t="str" cm="1">
        <f t="array" ref="X311">_xlfn.IFS(W311 = 0, "0", W311&lt;=20, "até R$20",W311&lt;=40, "21 - R$40",W311&lt;=60, "41- R$60",W311&lt;=80, "61 - R$80", W311&lt;=100, "81 - R$100",W311&lt;=120, "101 - R$120",W311&lt;=140, "121 - R$140", W311&lt;=160, "141- R$160", W311&lt;=180, "161 - R$180", W311&lt;=200, "181-R$194")</f>
        <v>101 - R$120</v>
      </c>
      <c r="Y311" s="13">
        <v>279</v>
      </c>
      <c r="Z311" s="13">
        <v>82</v>
      </c>
      <c r="AA311" s="13">
        <v>76</v>
      </c>
      <c r="AB311" s="13">
        <v>190</v>
      </c>
      <c r="AC311" s="13">
        <v>6</v>
      </c>
      <c r="AD311" s="13">
        <v>5</v>
      </c>
      <c r="AE311" s="13">
        <v>6</v>
      </c>
      <c r="AF311" s="13">
        <v>8</v>
      </c>
      <c r="AG311" s="13">
        <v>3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14">
        <v>0</v>
      </c>
      <c r="AP311" s="13">
        <v>3</v>
      </c>
      <c r="AQ311" s="13">
        <v>11</v>
      </c>
      <c r="AR311" s="15">
        <v>1097</v>
      </c>
      <c r="AS311" s="15">
        <v>1287</v>
      </c>
    </row>
    <row r="312" spans="1:45" x14ac:dyDescent="0.25">
      <c r="A312">
        <v>1829</v>
      </c>
      <c r="B312" s="11">
        <f t="shared" si="4"/>
        <v>82733</v>
      </c>
      <c r="C312" s="16">
        <v>827330</v>
      </c>
      <c r="D312" s="17">
        <v>0</v>
      </c>
      <c r="E312" s="17">
        <v>0</v>
      </c>
      <c r="F312" s="17">
        <v>28</v>
      </c>
      <c r="G312" s="17">
        <v>36</v>
      </c>
      <c r="H312" s="13" t="str" cm="1">
        <f t="array" ref="H312">_xlfn.IFS(G312&lt;=20,"0-20",G312&lt;=30,"20-30",G312&lt;=40,"30-40",G312&lt;=50,"50-60",G312&lt;=60,"60-70",G312&lt;=70,"70-80",G312&lt;=80,"80-90")</f>
        <v>30-40</v>
      </c>
      <c r="I312" s="17">
        <v>2451</v>
      </c>
      <c r="J312" s="13" t="str" cm="1">
        <f t="array" ref="J312">_xlfn.IFS(K312=1,"Divorciado",L312=1,"Casado",M312=1,"Solteiro",N312=1,"Juntos",O312=1,"Viuvo")</f>
        <v>Solteiro</v>
      </c>
      <c r="K312" s="17">
        <v>0</v>
      </c>
      <c r="L312" s="17">
        <v>0</v>
      </c>
      <c r="M312" s="17">
        <v>1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1</v>
      </c>
      <c r="U312" s="17">
        <v>712</v>
      </c>
      <c r="V312" s="13" t="str" cm="1">
        <f t="array" ref="V312">_xlfn.IFS(U312&lt;=250,"0-R$250",U312&lt;=500,"251-R$500",U312&lt;=750,"501-R$750",U312&lt;=1000,"751-R$1000",U312&lt;=1250,"1001-R$1250",U312&lt;=1500,"1251-R$1500")</f>
        <v>501-R$750</v>
      </c>
      <c r="W312" s="17">
        <v>50</v>
      </c>
      <c r="X312" s="13" t="str" cm="1">
        <f t="array" ref="X312">_xlfn.IFS(W312 = 0, "0", W312&lt;=20, "até R$20",W312&lt;=40, "21 - R$40",W312&lt;=60, "41- R$60",W312&lt;=80, "61 - R$80", W312&lt;=100, "81 - R$100",W312&lt;=120, "101 - R$120",W312&lt;=140, "121 - R$140", W312&lt;=160, "141- R$160", W312&lt;=180, "161 - R$180", W312&lt;=200, "181-R$194")</f>
        <v>41- R$60</v>
      </c>
      <c r="Y312" s="17">
        <v>420</v>
      </c>
      <c r="Z312" s="17">
        <v>65</v>
      </c>
      <c r="AA312" s="17">
        <v>38</v>
      </c>
      <c r="AB312" s="17">
        <v>38</v>
      </c>
      <c r="AC312" s="17">
        <v>1</v>
      </c>
      <c r="AD312" s="17">
        <v>8</v>
      </c>
      <c r="AE312" s="17">
        <v>4</v>
      </c>
      <c r="AF312" s="17">
        <v>7</v>
      </c>
      <c r="AG312" s="17">
        <v>4</v>
      </c>
      <c r="AH312" s="17">
        <v>0</v>
      </c>
      <c r="AI312" s="17">
        <v>0</v>
      </c>
      <c r="AJ312" s="17">
        <v>0</v>
      </c>
      <c r="AK312" s="17">
        <v>0</v>
      </c>
      <c r="AL312" s="17">
        <v>0</v>
      </c>
      <c r="AM312" s="17">
        <v>0</v>
      </c>
      <c r="AN312" s="17">
        <v>1</v>
      </c>
      <c r="AO312" s="18">
        <v>0</v>
      </c>
      <c r="AP312" s="17">
        <v>3</v>
      </c>
      <c r="AQ312" s="17">
        <v>11</v>
      </c>
      <c r="AR312" s="19">
        <v>1247</v>
      </c>
      <c r="AS312" s="19">
        <v>1285</v>
      </c>
    </row>
    <row r="313" spans="1:45" x14ac:dyDescent="0.25">
      <c r="A313">
        <v>625</v>
      </c>
      <c r="B313" s="11">
        <f t="shared" si="4"/>
        <v>62859</v>
      </c>
      <c r="C313" s="16">
        <v>628590</v>
      </c>
      <c r="D313" s="17">
        <v>0</v>
      </c>
      <c r="E313" s="17">
        <v>1</v>
      </c>
      <c r="F313" s="17">
        <v>37</v>
      </c>
      <c r="G313" s="17">
        <v>61</v>
      </c>
      <c r="H313" s="13" t="str" cm="1">
        <f t="array" ref="H313">_xlfn.IFS(G313&lt;=20,"0-20",G313&lt;=30,"20-30",G313&lt;=40,"30-40",G313&lt;=50,"50-60",G313&lt;=60,"60-70",G313&lt;=70,"70-80",G313&lt;=80,"80-90")</f>
        <v>70-80</v>
      </c>
      <c r="I313" s="17">
        <v>2705</v>
      </c>
      <c r="J313" s="13" t="str" cm="1">
        <f t="array" ref="J313">_xlfn.IFS(K313=1,"Divorciado",L313=1,"Casado",M313=1,"Solteiro",N313=1,"Juntos",O313=1,"Viuvo")</f>
        <v>Divorciado</v>
      </c>
      <c r="K313" s="17">
        <v>1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1</v>
      </c>
      <c r="U313" s="17">
        <v>1063</v>
      </c>
      <c r="V313" s="13" t="str" cm="1">
        <f t="array" ref="V313">_xlfn.IFS(U313&lt;=250,"0-R$250",U313&lt;=500,"251-R$500",U313&lt;=750,"501-R$750",U313&lt;=1000,"751-R$1000",U313&lt;=1250,"1001-R$1250",U313&lt;=1500,"1251-R$1500")</f>
        <v>1001-R$1250</v>
      </c>
      <c r="W313" s="17">
        <v>89</v>
      </c>
      <c r="X313" s="13" t="str" cm="1">
        <f t="array" ref="X313">_xlfn.IFS(W313 = 0, "0", W313&lt;=20, "até R$20",W313&lt;=40, "21 - R$40",W313&lt;=60, "41- R$60",W313&lt;=80, "61 - R$80", W313&lt;=100, "81 - R$100",W313&lt;=120, "101 - R$120",W313&lt;=140, "121 - R$140", W313&lt;=160, "141- R$160", W313&lt;=180, "161 - R$180", W313&lt;=200, "181-R$194")</f>
        <v>81 - R$100</v>
      </c>
      <c r="Y313" s="17">
        <v>102</v>
      </c>
      <c r="Z313" s="17">
        <v>16</v>
      </c>
      <c r="AA313" s="17">
        <v>12</v>
      </c>
      <c r="AB313" s="17">
        <v>25</v>
      </c>
      <c r="AC313" s="17">
        <v>4</v>
      </c>
      <c r="AD313" s="17">
        <v>9</v>
      </c>
      <c r="AE313" s="17">
        <v>4</v>
      </c>
      <c r="AF313" s="17">
        <v>6</v>
      </c>
      <c r="AG313" s="17">
        <v>6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8">
        <v>0</v>
      </c>
      <c r="AP313" s="17">
        <v>3</v>
      </c>
      <c r="AQ313" s="17">
        <v>11</v>
      </c>
      <c r="AR313" s="19">
        <v>1257</v>
      </c>
      <c r="AS313" s="19">
        <v>1282</v>
      </c>
    </row>
    <row r="314" spans="1:45" x14ac:dyDescent="0.25">
      <c r="A314">
        <v>1767</v>
      </c>
      <c r="B314" s="11">
        <f t="shared" si="4"/>
        <v>82122</v>
      </c>
      <c r="C314" s="16">
        <v>821220</v>
      </c>
      <c r="D314" s="17">
        <v>0</v>
      </c>
      <c r="E314" s="17">
        <v>0</v>
      </c>
      <c r="F314" s="17">
        <v>89</v>
      </c>
      <c r="G314" s="17">
        <v>58</v>
      </c>
      <c r="H314" s="13" t="str" cm="1">
        <f t="array" ref="H314">_xlfn.IFS(G314&lt;=20,"0-20",G314&lt;=30,"20-30",G314&lt;=40,"30-40",G314&lt;=50,"50-60",G314&lt;=60,"60-70",G314&lt;=70,"70-80",G314&lt;=80,"80-90")</f>
        <v>60-70</v>
      </c>
      <c r="I314" s="17">
        <v>2477</v>
      </c>
      <c r="J314" s="13" t="str" cm="1">
        <f t="array" ref="J314">_xlfn.IFS(K314=1,"Divorciado",L314=1,"Casado",M314=1,"Solteiro",N314=1,"Juntos",O314=1,"Viuvo")</f>
        <v>Juntos</v>
      </c>
      <c r="K314" s="17">
        <v>0</v>
      </c>
      <c r="L314" s="17">
        <v>0</v>
      </c>
      <c r="M314" s="17">
        <v>0</v>
      </c>
      <c r="N314" s="17">
        <v>1</v>
      </c>
      <c r="O314" s="17">
        <v>0</v>
      </c>
      <c r="P314" s="17">
        <v>1</v>
      </c>
      <c r="Q314" s="17">
        <v>0</v>
      </c>
      <c r="R314" s="17">
        <v>0</v>
      </c>
      <c r="S314" s="17">
        <v>0</v>
      </c>
      <c r="T314" s="17">
        <v>0</v>
      </c>
      <c r="U314" s="17">
        <v>734</v>
      </c>
      <c r="V314" s="13" t="str" cm="1">
        <f t="array" ref="V314">_xlfn.IFS(U314&lt;=250,"0-R$250",U314&lt;=500,"251-R$500",U314&lt;=750,"501-R$750",U314&lt;=1000,"751-R$1000",U314&lt;=1250,"1001-R$1250",U314&lt;=1500,"1251-R$1500")</f>
        <v>501-R$750</v>
      </c>
      <c r="W314" s="17">
        <v>22</v>
      </c>
      <c r="X314" s="13" t="str" cm="1">
        <f t="array" ref="X314">_xlfn.IFS(W314 = 0, "0", W314&lt;=20, "até R$20",W314&lt;=40, "21 - R$40",W314&lt;=60, "41- R$60",W314&lt;=80, "61 - R$80", W314&lt;=100, "81 - R$100",W314&lt;=120, "101 - R$120",W314&lt;=140, "121 - R$140", W314&lt;=160, "141- R$160", W314&lt;=180, "161 - R$180", W314&lt;=200, "181-R$194")</f>
        <v>21 - R$40</v>
      </c>
      <c r="Y314" s="17">
        <v>350</v>
      </c>
      <c r="Z314" s="17">
        <v>151</v>
      </c>
      <c r="AA314" s="17">
        <v>25</v>
      </c>
      <c r="AB314" s="17">
        <v>100</v>
      </c>
      <c r="AC314" s="17">
        <v>1</v>
      </c>
      <c r="AD314" s="17">
        <v>3</v>
      </c>
      <c r="AE314" s="17">
        <v>9</v>
      </c>
      <c r="AF314" s="17">
        <v>13</v>
      </c>
      <c r="AG314" s="17">
        <v>1</v>
      </c>
      <c r="AH314" s="17">
        <v>0</v>
      </c>
      <c r="AI314" s="17">
        <v>0</v>
      </c>
      <c r="AJ314" s="17">
        <v>0</v>
      </c>
      <c r="AK314" s="17">
        <v>1</v>
      </c>
      <c r="AL314" s="17">
        <v>0</v>
      </c>
      <c r="AM314" s="17">
        <v>0</v>
      </c>
      <c r="AN314" s="17">
        <v>0</v>
      </c>
      <c r="AO314" s="18">
        <v>1</v>
      </c>
      <c r="AP314" s="17">
        <v>3</v>
      </c>
      <c r="AQ314" s="17">
        <v>11</v>
      </c>
      <c r="AR314" s="19">
        <v>1182</v>
      </c>
      <c r="AS314" s="19">
        <v>1282</v>
      </c>
    </row>
    <row r="315" spans="1:45" x14ac:dyDescent="0.25">
      <c r="A315">
        <v>46</v>
      </c>
      <c r="B315" s="11">
        <f t="shared" si="4"/>
        <v>72550</v>
      </c>
      <c r="C315" s="12">
        <v>725500</v>
      </c>
      <c r="D315" s="13">
        <v>1</v>
      </c>
      <c r="E315" s="13">
        <v>1</v>
      </c>
      <c r="F315" s="13">
        <v>39</v>
      </c>
      <c r="G315" s="13">
        <v>66</v>
      </c>
      <c r="H315" s="13" t="str" cm="1">
        <f t="array" ref="H315">_xlfn.IFS(G315&lt;=20,"0-20",G315&lt;=30,"20-30",G315&lt;=40,"30-40",G315&lt;=50,"50-60",G315&lt;=60,"60-70",G315&lt;=70,"70-80",G315&lt;=80,"80-90")</f>
        <v>70-80</v>
      </c>
      <c r="I315" s="13">
        <v>2757</v>
      </c>
      <c r="J315" s="13" t="str" cm="1">
        <f t="array" ref="J315">_xlfn.IFS(K315=1,"Divorciado",L315=1,"Casado",M315=1,"Solteiro",N315=1,"Juntos",O315=1,"Viuvo")</f>
        <v>Casado</v>
      </c>
      <c r="K315" s="13">
        <v>0</v>
      </c>
      <c r="L315" s="13">
        <v>1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1</v>
      </c>
      <c r="U315" s="13">
        <v>826</v>
      </c>
      <c r="V315" s="13" t="str" cm="1">
        <f t="array" ref="V315">_xlfn.IFS(U315&lt;=250,"0-R$250",U315&lt;=500,"251-R$500",U315&lt;=750,"501-R$750",U315&lt;=1000,"751-R$1000",U315&lt;=1250,"1001-R$1250",U315&lt;=1500,"1251-R$1500")</f>
        <v>751-R$1000</v>
      </c>
      <c r="W315" s="13">
        <v>50</v>
      </c>
      <c r="X315" s="13" t="str" cm="1">
        <f t="array" ref="X315">_xlfn.IFS(W315 = 0, "0", W315&lt;=20, "até R$20",W315&lt;=40, "21 - R$40",W315&lt;=60, "41- R$60",W315&lt;=80, "61 - R$80", W315&lt;=100, "81 - R$100",W315&lt;=120, "101 - R$120",W315&lt;=140, "121 - R$140", W315&lt;=160, "141- R$160", W315&lt;=180, "161 - R$180", W315&lt;=200, "181-R$194")</f>
        <v>41- R$60</v>
      </c>
      <c r="Y315" s="13">
        <v>317</v>
      </c>
      <c r="Z315" s="13">
        <v>50</v>
      </c>
      <c r="AA315" s="13">
        <v>38</v>
      </c>
      <c r="AB315" s="13">
        <v>38</v>
      </c>
      <c r="AC315" s="13">
        <v>9</v>
      </c>
      <c r="AD315" s="13">
        <v>5</v>
      </c>
      <c r="AE315" s="13">
        <v>2</v>
      </c>
      <c r="AF315" s="13">
        <v>12</v>
      </c>
      <c r="AG315" s="13">
        <v>8</v>
      </c>
      <c r="AH315" s="13">
        <v>0</v>
      </c>
      <c r="AI315" s="13">
        <v>0</v>
      </c>
      <c r="AJ315" s="13">
        <v>0</v>
      </c>
      <c r="AK315" s="13">
        <v>0</v>
      </c>
      <c r="AL315" s="13">
        <v>0</v>
      </c>
      <c r="AM315" s="13">
        <v>0</v>
      </c>
      <c r="AN315" s="13">
        <v>0</v>
      </c>
      <c r="AO315" s="14">
        <v>0</v>
      </c>
      <c r="AP315" s="13">
        <v>3</v>
      </c>
      <c r="AQ315" s="13">
        <v>11</v>
      </c>
      <c r="AR315" s="15">
        <v>1243</v>
      </c>
      <c r="AS315" s="15">
        <v>1281</v>
      </c>
    </row>
    <row r="316" spans="1:45" x14ac:dyDescent="0.25">
      <c r="A316">
        <v>153</v>
      </c>
      <c r="B316" s="11">
        <f t="shared" si="4"/>
        <v>74165</v>
      </c>
      <c r="C316" s="16">
        <v>741650</v>
      </c>
      <c r="D316" s="17">
        <v>0</v>
      </c>
      <c r="E316" s="17">
        <v>0</v>
      </c>
      <c r="F316" s="17">
        <v>9</v>
      </c>
      <c r="G316" s="17">
        <v>45</v>
      </c>
      <c r="H316" s="13" t="str" cm="1">
        <f t="array" ref="H316">_xlfn.IFS(G316&lt;=20,"0-20",G316&lt;=30,"20-30",G316&lt;=40,"30-40",G316&lt;=50,"50-60",G316&lt;=60,"60-70",G316&lt;=70,"70-80",G316&lt;=80,"80-90")</f>
        <v>50-60</v>
      </c>
      <c r="I316" s="17">
        <v>2583</v>
      </c>
      <c r="J316" s="13" t="str" cm="1">
        <f t="array" ref="J316">_xlfn.IFS(K316=1,"Divorciado",L316=1,"Casado",M316=1,"Solteiro",N316=1,"Juntos",O316=1,"Viuvo")</f>
        <v>Divorciado</v>
      </c>
      <c r="K316" s="17">
        <v>1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1</v>
      </c>
      <c r="U316" s="17">
        <v>1001</v>
      </c>
      <c r="V316" s="13" t="str" cm="1">
        <f t="array" ref="V316">_xlfn.IFS(U316&lt;=250,"0-R$250",U316&lt;=500,"251-R$500",U316&lt;=750,"501-R$750",U316&lt;=1000,"751-R$1000",U316&lt;=1250,"1001-R$1250",U316&lt;=1500,"1251-R$1500")</f>
        <v>1001-R$1250</v>
      </c>
      <c r="W316" s="17">
        <v>12</v>
      </c>
      <c r="X316" s="13" t="str" cm="1">
        <f t="array" ref="X316">_xlfn.IFS(W316 = 0, "0", W316&lt;=20, "até R$20",W316&lt;=40, "21 - R$40",W316&lt;=60, "41- R$60",W316&lt;=80, "61 - R$80", W316&lt;=100, "81 - R$100",W316&lt;=120, "101 - R$120",W316&lt;=140, "121 - R$140", W316&lt;=160, "141- R$160", W316&lt;=180, "161 - R$180", W316&lt;=200, "181-R$194")</f>
        <v>até R$20</v>
      </c>
      <c r="Y316" s="17">
        <v>240</v>
      </c>
      <c r="Z316" s="17">
        <v>16</v>
      </c>
      <c r="AA316" s="17">
        <v>12</v>
      </c>
      <c r="AB316" s="17">
        <v>12</v>
      </c>
      <c r="AC316" s="17">
        <v>1</v>
      </c>
      <c r="AD316" s="17">
        <v>5</v>
      </c>
      <c r="AE316" s="17">
        <v>4</v>
      </c>
      <c r="AF316" s="17">
        <v>10</v>
      </c>
      <c r="AG316" s="17">
        <v>2</v>
      </c>
      <c r="AH316" s="17">
        <v>0</v>
      </c>
      <c r="AI316" s="17">
        <v>0</v>
      </c>
      <c r="AJ316" s="17">
        <v>0</v>
      </c>
      <c r="AK316" s="17">
        <v>0</v>
      </c>
      <c r="AL316" s="17">
        <v>0</v>
      </c>
      <c r="AM316" s="17">
        <v>0</v>
      </c>
      <c r="AN316" s="17">
        <v>0</v>
      </c>
      <c r="AO316" s="18">
        <v>0</v>
      </c>
      <c r="AP316" s="17">
        <v>3</v>
      </c>
      <c r="AQ316" s="17">
        <v>11</v>
      </c>
      <c r="AR316" s="19">
        <v>1269</v>
      </c>
      <c r="AS316" s="19">
        <v>1281</v>
      </c>
    </row>
    <row r="317" spans="1:45" x14ac:dyDescent="0.25">
      <c r="A317">
        <v>510</v>
      </c>
      <c r="B317" s="11">
        <f t="shared" si="4"/>
        <v>77863</v>
      </c>
      <c r="C317" s="12">
        <v>778630</v>
      </c>
      <c r="D317" s="13">
        <v>0</v>
      </c>
      <c r="E317" s="13">
        <v>0</v>
      </c>
      <c r="F317" s="13">
        <v>20</v>
      </c>
      <c r="G317" s="13">
        <v>62</v>
      </c>
      <c r="H317" s="13" t="str" cm="1">
        <f t="array" ref="H317">_xlfn.IFS(G317&lt;=20,"0-20",G317&lt;=30,"20-30",G317&lt;=40,"30-40",G317&lt;=50,"50-60",G317&lt;=60,"60-70",G317&lt;=70,"70-80",G317&lt;=80,"80-90")</f>
        <v>70-80</v>
      </c>
      <c r="I317" s="13">
        <v>2373</v>
      </c>
      <c r="J317" s="13" t="str" cm="1">
        <f t="array" ref="J317">_xlfn.IFS(K317=1,"Divorciado",L317=1,"Casado",M317=1,"Solteiro",N317=1,"Juntos",O317=1,"Viuvo")</f>
        <v>Juntos</v>
      </c>
      <c r="K317" s="13">
        <v>0</v>
      </c>
      <c r="L317" s="13">
        <v>0</v>
      </c>
      <c r="M317" s="13">
        <v>0</v>
      </c>
      <c r="N317" s="13">
        <v>1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1</v>
      </c>
      <c r="U317" s="13">
        <v>881</v>
      </c>
      <c r="V317" s="13" t="str" cm="1">
        <f t="array" ref="V317">_xlfn.IFS(U317&lt;=250,"0-R$250",U317&lt;=500,"251-R$500",U317&lt;=750,"501-R$750",U317&lt;=1000,"751-R$1000",U317&lt;=1250,"1001-R$1250",U317&lt;=1500,"1251-R$1500")</f>
        <v>751-R$1000</v>
      </c>
      <c r="W317" s="13">
        <v>38</v>
      </c>
      <c r="X317" s="13" t="str" cm="1">
        <f t="array" ref="X317">_xlfn.IFS(W317 = 0, "0", W317&lt;=20, "até R$20",W317&lt;=40, "21 - R$40",W317&lt;=60, "41- R$60",W317&lt;=80, "61 - R$80", W317&lt;=100, "81 - R$100",W317&lt;=120, "101 - R$120",W317&lt;=140, "121 - R$140", W317&lt;=160, "141- R$160", W317&lt;=180, "161 - R$180", W317&lt;=200, "181-R$194")</f>
        <v>21 - R$40</v>
      </c>
      <c r="Y317" s="13">
        <v>319</v>
      </c>
      <c r="Z317" s="13">
        <v>16</v>
      </c>
      <c r="AA317" s="13">
        <v>25</v>
      </c>
      <c r="AB317" s="13">
        <v>12</v>
      </c>
      <c r="AC317" s="13">
        <v>1</v>
      </c>
      <c r="AD317" s="13">
        <v>4</v>
      </c>
      <c r="AE317" s="13">
        <v>5</v>
      </c>
      <c r="AF317" s="13">
        <v>10</v>
      </c>
      <c r="AG317" s="13">
        <v>2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4">
        <v>0</v>
      </c>
      <c r="AP317" s="13">
        <v>3</v>
      </c>
      <c r="AQ317" s="13">
        <v>11</v>
      </c>
      <c r="AR317" s="15">
        <v>1267</v>
      </c>
      <c r="AS317" s="15">
        <v>1279</v>
      </c>
    </row>
    <row r="318" spans="1:45" x14ac:dyDescent="0.25">
      <c r="A318">
        <v>1475</v>
      </c>
      <c r="B318" s="11">
        <f t="shared" si="4"/>
        <v>68487</v>
      </c>
      <c r="C318" s="16">
        <v>684870</v>
      </c>
      <c r="D318" s="17">
        <v>0</v>
      </c>
      <c r="E318" s="17">
        <v>0</v>
      </c>
      <c r="F318" s="17">
        <v>48</v>
      </c>
      <c r="G318" s="17">
        <v>32</v>
      </c>
      <c r="H318" s="13" t="str" cm="1">
        <f t="array" ref="H318">_xlfn.IFS(G318&lt;=20,"0-20",G318&lt;=30,"20-30",G318&lt;=40,"30-40",G318&lt;=50,"50-60",G318&lt;=60,"60-70",G318&lt;=70,"70-80",G318&lt;=80,"80-90")</f>
        <v>30-40</v>
      </c>
      <c r="I318" s="17">
        <v>2691</v>
      </c>
      <c r="J318" s="13" t="str" cm="1">
        <f t="array" ref="J318">_xlfn.IFS(K318=1,"Divorciado",L318=1,"Casado",M318=1,"Solteiro",N318=1,"Juntos",O318=1,"Viuvo")</f>
        <v>Casado</v>
      </c>
      <c r="K318" s="17">
        <v>0</v>
      </c>
      <c r="L318" s="17">
        <v>1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1</v>
      </c>
      <c r="S318" s="17">
        <v>0</v>
      </c>
      <c r="T318" s="17">
        <v>0</v>
      </c>
      <c r="U318" s="17">
        <v>758</v>
      </c>
      <c r="V318" s="13" t="str" cm="1">
        <f t="array" ref="V318">_xlfn.IFS(U318&lt;=250,"0-R$250",U318&lt;=500,"251-R$500",U318&lt;=750,"501-R$750",U318&lt;=1000,"751-R$1000",U318&lt;=1250,"1001-R$1250",U318&lt;=1500,"1251-R$1500")</f>
        <v>751-R$1000</v>
      </c>
      <c r="W318" s="17">
        <v>12</v>
      </c>
      <c r="X318" s="13" t="str" cm="1">
        <f t="array" ref="X318">_xlfn.IFS(W318 = 0, "0", W318&lt;=20, "até R$20",W318&lt;=40, "21 - R$40",W318&lt;=60, "41- R$60",W318&lt;=80, "61 - R$80", W318&lt;=100, "81 - R$100",W318&lt;=120, "101 - R$120",W318&lt;=140, "121 - R$140", W318&lt;=160, "141- R$160", W318&lt;=180, "161 - R$180", W318&lt;=200, "181-R$194")</f>
        <v>até R$20</v>
      </c>
      <c r="Y318" s="17">
        <v>385</v>
      </c>
      <c r="Z318" s="17">
        <v>33</v>
      </c>
      <c r="AA318" s="17">
        <v>89</v>
      </c>
      <c r="AB318" s="17">
        <v>89</v>
      </c>
      <c r="AC318" s="17">
        <v>1</v>
      </c>
      <c r="AD318" s="17">
        <v>9</v>
      </c>
      <c r="AE318" s="17">
        <v>7</v>
      </c>
      <c r="AF318" s="17">
        <v>13</v>
      </c>
      <c r="AG318" s="17">
        <v>4</v>
      </c>
      <c r="AH318" s="17">
        <v>0</v>
      </c>
      <c r="AI318" s="17">
        <v>0</v>
      </c>
      <c r="AJ318" s="17">
        <v>0</v>
      </c>
      <c r="AK318" s="17">
        <v>0</v>
      </c>
      <c r="AL318" s="17">
        <v>0</v>
      </c>
      <c r="AM318" s="17">
        <v>0</v>
      </c>
      <c r="AN318" s="17">
        <v>0</v>
      </c>
      <c r="AO318" s="18">
        <v>0</v>
      </c>
      <c r="AP318" s="17">
        <v>3</v>
      </c>
      <c r="AQ318" s="17">
        <v>11</v>
      </c>
      <c r="AR318" s="19">
        <v>1188</v>
      </c>
      <c r="AS318" s="19">
        <v>1277</v>
      </c>
    </row>
    <row r="319" spans="1:45" x14ac:dyDescent="0.25">
      <c r="A319">
        <v>2053</v>
      </c>
      <c r="B319" s="11">
        <f t="shared" si="4"/>
        <v>68487</v>
      </c>
      <c r="C319" s="16">
        <v>684870</v>
      </c>
      <c r="D319" s="17">
        <v>0</v>
      </c>
      <c r="E319" s="17">
        <v>0</v>
      </c>
      <c r="F319" s="17">
        <v>48</v>
      </c>
      <c r="G319" s="17">
        <v>32</v>
      </c>
      <c r="H319" s="13" t="str" cm="1">
        <f t="array" ref="H319">_xlfn.IFS(G319&lt;=20,"0-20",G319&lt;=30,"20-30",G319&lt;=40,"30-40",G319&lt;=50,"50-60",G319&lt;=60,"60-70",G319&lt;=70,"70-80",G319&lt;=80,"80-90")</f>
        <v>30-40</v>
      </c>
      <c r="I319" s="17">
        <v>2691</v>
      </c>
      <c r="J319" s="13" t="str" cm="1">
        <f t="array" ref="J319">_xlfn.IFS(K319=1,"Divorciado",L319=1,"Casado",M319=1,"Solteiro",N319=1,"Juntos",O319=1,"Viuvo")</f>
        <v>Casado</v>
      </c>
      <c r="K319" s="17">
        <v>0</v>
      </c>
      <c r="L319" s="17">
        <v>1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1</v>
      </c>
      <c r="S319" s="17">
        <v>0</v>
      </c>
      <c r="T319" s="17">
        <v>0</v>
      </c>
      <c r="U319" s="17">
        <v>758</v>
      </c>
      <c r="V319" s="13" t="str" cm="1">
        <f t="array" ref="V319">_xlfn.IFS(U319&lt;=250,"0-R$250",U319&lt;=500,"251-R$500",U319&lt;=750,"501-R$750",U319&lt;=1000,"751-R$1000",U319&lt;=1250,"1001-R$1250",U319&lt;=1500,"1251-R$1500")</f>
        <v>751-R$1000</v>
      </c>
      <c r="W319" s="17">
        <v>12</v>
      </c>
      <c r="X319" s="13" t="str" cm="1">
        <f t="array" ref="X319">_xlfn.IFS(W319 = 0, "0", W319&lt;=20, "até R$20",W319&lt;=40, "21 - R$40",W319&lt;=60, "41- R$60",W319&lt;=80, "61 - R$80", W319&lt;=100, "81 - R$100",W319&lt;=120, "101 - R$120",W319&lt;=140, "121 - R$140", W319&lt;=160, "141- R$160", W319&lt;=180, "161 - R$180", W319&lt;=200, "181-R$194")</f>
        <v>até R$20</v>
      </c>
      <c r="Y319" s="17">
        <v>385</v>
      </c>
      <c r="Z319" s="17">
        <v>33</v>
      </c>
      <c r="AA319" s="17">
        <v>89</v>
      </c>
      <c r="AB319" s="17">
        <v>89</v>
      </c>
      <c r="AC319" s="17">
        <v>1</v>
      </c>
      <c r="AD319" s="17">
        <v>9</v>
      </c>
      <c r="AE319" s="17">
        <v>7</v>
      </c>
      <c r="AF319" s="17">
        <v>13</v>
      </c>
      <c r="AG319" s="17">
        <v>4</v>
      </c>
      <c r="AH319" s="17">
        <v>0</v>
      </c>
      <c r="AI319" s="17">
        <v>0</v>
      </c>
      <c r="AJ319" s="17">
        <v>0</v>
      </c>
      <c r="AK319" s="17">
        <v>0</v>
      </c>
      <c r="AL319" s="17">
        <v>0</v>
      </c>
      <c r="AM319" s="17">
        <v>0</v>
      </c>
      <c r="AN319" s="17">
        <v>0</v>
      </c>
      <c r="AO319" s="18">
        <v>0</v>
      </c>
      <c r="AP319" s="17">
        <v>3</v>
      </c>
      <c r="AQ319" s="17">
        <v>11</v>
      </c>
      <c r="AR319" s="19">
        <v>1188</v>
      </c>
      <c r="AS319" s="19">
        <v>1277</v>
      </c>
    </row>
    <row r="320" spans="1:45" x14ac:dyDescent="0.25">
      <c r="A320">
        <v>1578</v>
      </c>
      <c r="B320" s="11">
        <f t="shared" si="4"/>
        <v>70638</v>
      </c>
      <c r="C320" s="12">
        <v>706380</v>
      </c>
      <c r="D320" s="13">
        <v>0</v>
      </c>
      <c r="E320" s="13">
        <v>0</v>
      </c>
      <c r="F320" s="13">
        <v>69</v>
      </c>
      <c r="G320" s="13">
        <v>65</v>
      </c>
      <c r="H320" s="13" t="str" cm="1">
        <f t="array" ref="H320">_xlfn.IFS(G320&lt;=20,"0-20",G320&lt;=30,"20-30",G320&lt;=40,"30-40",G320&lt;=50,"50-60",G320&lt;=60,"60-70",G320&lt;=70,"70-80",G320&lt;=80,"80-90")</f>
        <v>70-80</v>
      </c>
      <c r="I320" s="13">
        <v>2552</v>
      </c>
      <c r="J320" s="13" t="str" cm="1">
        <f t="array" ref="J320">_xlfn.IFS(K320=1,"Divorciado",L320=1,"Casado",M320=1,"Solteiro",N320=1,"Juntos",O320=1,"Viuvo")</f>
        <v>Divorciado</v>
      </c>
      <c r="K320" s="13">
        <v>1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1</v>
      </c>
      <c r="T320" s="13">
        <v>0</v>
      </c>
      <c r="U320" s="13">
        <v>1016</v>
      </c>
      <c r="V320" s="13" t="str" cm="1">
        <f t="array" ref="V320">_xlfn.IFS(U320&lt;=250,"0-R$250",U320&lt;=500,"251-R$500",U320&lt;=750,"501-R$750",U320&lt;=1000,"751-R$1000",U320&lt;=1250,"1001-R$1250",U320&lt;=1500,"1251-R$1500")</f>
        <v>1001-R$1250</v>
      </c>
      <c r="W320" s="13">
        <v>12</v>
      </c>
      <c r="X320" s="13" t="str" cm="1">
        <f t="array" ref="X320">_xlfn.IFS(W320 = 0, "0", W320&lt;=20, "até R$20",W320&lt;=40, "21 - R$40",W320&lt;=60, "41- R$60",W320&lt;=80, "61 - R$80", W320&lt;=100, "81 - R$100",W320&lt;=120, "101 - R$120",W320&lt;=140, "121 - R$140", W320&lt;=160, "141- R$160", W320&lt;=180, "161 - R$180", W320&lt;=200, "181-R$194")</f>
        <v>até R$20</v>
      </c>
      <c r="Y320" s="13">
        <v>215</v>
      </c>
      <c r="Z320" s="13">
        <v>16</v>
      </c>
      <c r="AA320" s="13">
        <v>12</v>
      </c>
      <c r="AB320" s="13">
        <v>63</v>
      </c>
      <c r="AC320" s="13">
        <v>1</v>
      </c>
      <c r="AD320" s="13">
        <v>4</v>
      </c>
      <c r="AE320" s="13">
        <v>5</v>
      </c>
      <c r="AF320" s="13">
        <v>10</v>
      </c>
      <c r="AG320" s="13">
        <v>3</v>
      </c>
      <c r="AH320" s="13">
        <v>0</v>
      </c>
      <c r="AI320" s="13">
        <v>0</v>
      </c>
      <c r="AJ320" s="13">
        <v>1</v>
      </c>
      <c r="AK320" s="13">
        <v>0</v>
      </c>
      <c r="AL320" s="13">
        <v>0</v>
      </c>
      <c r="AM320" s="13">
        <v>0</v>
      </c>
      <c r="AN320" s="13">
        <v>0</v>
      </c>
      <c r="AO320" s="14">
        <v>1</v>
      </c>
      <c r="AP320" s="13">
        <v>3</v>
      </c>
      <c r="AQ320" s="13">
        <v>11</v>
      </c>
      <c r="AR320" s="15">
        <v>1208</v>
      </c>
      <c r="AS320" s="15">
        <v>1271</v>
      </c>
    </row>
    <row r="321" spans="1:45" x14ac:dyDescent="0.25">
      <c r="A321">
        <v>15</v>
      </c>
      <c r="B321" s="11">
        <f t="shared" si="4"/>
        <v>82800</v>
      </c>
      <c r="C321" s="16">
        <v>828000</v>
      </c>
      <c r="D321" s="17">
        <v>0</v>
      </c>
      <c r="E321" s="17">
        <v>0</v>
      </c>
      <c r="F321" s="17">
        <v>23</v>
      </c>
      <c r="G321" s="17">
        <v>74</v>
      </c>
      <c r="H321" s="13" t="str" cm="1">
        <f t="array" ref="H321">_xlfn.IFS(G321&lt;=20,"0-20",G321&lt;=30,"20-30",G321&lt;=40,"30-40",G321&lt;=50,"50-60",G321&lt;=60,"60-70",G321&lt;=70,"70-80",G321&lt;=80,"80-90")</f>
        <v>80-90</v>
      </c>
      <c r="I321" s="17">
        <v>2741</v>
      </c>
      <c r="J321" s="13" t="str" cm="1">
        <f t="array" ref="J321">_xlfn.IFS(K321=1,"Divorciado",L321=1,"Casado",M321=1,"Solteiro",N321=1,"Juntos",O321=1,"Viuvo")</f>
        <v>Solteiro</v>
      </c>
      <c r="K321" s="17">
        <v>0</v>
      </c>
      <c r="L321" s="17">
        <v>0</v>
      </c>
      <c r="M321" s="17">
        <v>1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1</v>
      </c>
      <c r="U321" s="17">
        <v>1006</v>
      </c>
      <c r="V321" s="13" t="str" cm="1">
        <f t="array" ref="V321">_xlfn.IFS(U321&lt;=250,"0-R$250",U321&lt;=500,"251-R$500",U321&lt;=750,"501-R$750",U321&lt;=1000,"751-R$1000",U321&lt;=1250,"1001-R$1250",U321&lt;=1500,"1251-R$1500")</f>
        <v>1001-R$1250</v>
      </c>
      <c r="W321" s="17">
        <v>22</v>
      </c>
      <c r="X321" s="13" t="str" cm="1">
        <f t="array" ref="X321">_xlfn.IFS(W321 = 0, "0", W321&lt;=20, "até R$20",W321&lt;=40, "21 - R$40",W321&lt;=60, "41- R$60",W321&lt;=80, "61 - R$80", W321&lt;=100, "81 - R$100",W321&lt;=120, "101 - R$120",W321&lt;=140, "121 - R$140", W321&lt;=160, "141- R$160", W321&lt;=180, "161 - R$180", W321&lt;=200, "181-R$194")</f>
        <v>21 - R$40</v>
      </c>
      <c r="Y321" s="17">
        <v>115</v>
      </c>
      <c r="Z321" s="17">
        <v>59</v>
      </c>
      <c r="AA321" s="17">
        <v>68</v>
      </c>
      <c r="AB321" s="17">
        <v>45</v>
      </c>
      <c r="AC321" s="17">
        <v>1</v>
      </c>
      <c r="AD321" s="17">
        <v>7</v>
      </c>
      <c r="AE321" s="17">
        <v>6</v>
      </c>
      <c r="AF321" s="17">
        <v>12</v>
      </c>
      <c r="AG321" s="17">
        <v>3</v>
      </c>
      <c r="AH321" s="17">
        <v>0</v>
      </c>
      <c r="AI321" s="17">
        <v>0</v>
      </c>
      <c r="AJ321" s="17">
        <v>0</v>
      </c>
      <c r="AK321" s="17">
        <v>1</v>
      </c>
      <c r="AL321" s="17">
        <v>1</v>
      </c>
      <c r="AM321" s="17">
        <v>0</v>
      </c>
      <c r="AN321" s="17">
        <v>1</v>
      </c>
      <c r="AO321" s="18">
        <v>2</v>
      </c>
      <c r="AP321" s="17">
        <v>3</v>
      </c>
      <c r="AQ321" s="17">
        <v>11</v>
      </c>
      <c r="AR321" s="19">
        <v>1225</v>
      </c>
      <c r="AS321" s="19">
        <v>1270</v>
      </c>
    </row>
    <row r="322" spans="1:45" x14ac:dyDescent="0.25">
      <c r="A322">
        <v>357</v>
      </c>
      <c r="B322" s="11">
        <f t="shared" ref="B322:B385" si="5">C322/10</f>
        <v>63810</v>
      </c>
      <c r="C322" s="16">
        <v>638100</v>
      </c>
      <c r="D322" s="17">
        <v>0</v>
      </c>
      <c r="E322" s="17">
        <v>1</v>
      </c>
      <c r="F322" s="17">
        <v>45</v>
      </c>
      <c r="G322" s="17">
        <v>54</v>
      </c>
      <c r="H322" s="13" t="str" cm="1">
        <f t="array" ref="H322">_xlfn.IFS(G322&lt;=20,"0-20",G322&lt;=30,"20-30",G322&lt;=40,"30-40",G322&lt;=50,"50-60",G322&lt;=60,"60-70",G322&lt;=70,"70-80",G322&lt;=80,"80-90")</f>
        <v>60-70</v>
      </c>
      <c r="I322" s="17">
        <v>2754</v>
      </c>
      <c r="J322" s="13" t="str" cm="1">
        <f t="array" ref="J322">_xlfn.IFS(K322=1,"Divorciado",L322=1,"Casado",M322=1,"Solteiro",N322=1,"Juntos",O322=1,"Viuvo")</f>
        <v>Solteiro</v>
      </c>
      <c r="K322" s="17">
        <v>0</v>
      </c>
      <c r="L322" s="17">
        <v>0</v>
      </c>
      <c r="M322" s="17">
        <v>1</v>
      </c>
      <c r="N322" s="17">
        <v>0</v>
      </c>
      <c r="O322" s="17">
        <v>0</v>
      </c>
      <c r="P322" s="17">
        <v>0</v>
      </c>
      <c r="Q322" s="17">
        <v>0</v>
      </c>
      <c r="R322" s="17">
        <v>1</v>
      </c>
      <c r="S322" s="17">
        <v>0</v>
      </c>
      <c r="T322" s="17">
        <v>0</v>
      </c>
      <c r="U322" s="17">
        <v>977</v>
      </c>
      <c r="V322" s="13" t="str" cm="1">
        <f t="array" ref="V322">_xlfn.IFS(U322&lt;=250,"0-R$250",U322&lt;=500,"251-R$500",U322&lt;=750,"501-R$750",U322&lt;=1000,"751-R$1000",U322&lt;=1250,"1001-R$1250",U322&lt;=1500,"1251-R$1500")</f>
        <v>751-R$1000</v>
      </c>
      <c r="W322" s="17">
        <v>12</v>
      </c>
      <c r="X322" s="13" t="str" cm="1">
        <f t="array" ref="X322">_xlfn.IFS(W322 = 0, "0", W322&lt;=20, "até R$20",W322&lt;=40, "21 - R$40",W322&lt;=60, "41- R$60",W322&lt;=80, "61 - R$80", W322&lt;=100, "81 - R$100",W322&lt;=120, "101 - R$120",W322&lt;=140, "121 - R$140", W322&lt;=160, "141- R$160", W322&lt;=180, "161 - R$180", W322&lt;=200, "181-R$194")</f>
        <v>até R$20</v>
      </c>
      <c r="Y322" s="17">
        <v>253</v>
      </c>
      <c r="Z322" s="17">
        <v>16</v>
      </c>
      <c r="AA322" s="17">
        <v>12</v>
      </c>
      <c r="AB322" s="17">
        <v>101</v>
      </c>
      <c r="AC322" s="17">
        <v>4</v>
      </c>
      <c r="AD322" s="17">
        <v>4</v>
      </c>
      <c r="AE322" s="17">
        <v>3</v>
      </c>
      <c r="AF322" s="17">
        <v>12</v>
      </c>
      <c r="AG322" s="17">
        <v>8</v>
      </c>
      <c r="AH322" s="17">
        <v>0</v>
      </c>
      <c r="AI322" s="17">
        <v>0</v>
      </c>
      <c r="AJ322" s="17">
        <v>1</v>
      </c>
      <c r="AK322" s="17">
        <v>0</v>
      </c>
      <c r="AL322" s="17">
        <v>0</v>
      </c>
      <c r="AM322" s="17">
        <v>0</v>
      </c>
      <c r="AN322" s="17">
        <v>0</v>
      </c>
      <c r="AO322" s="18">
        <v>1</v>
      </c>
      <c r="AP322" s="17">
        <v>3</v>
      </c>
      <c r="AQ322" s="17">
        <v>11</v>
      </c>
      <c r="AR322" s="19">
        <v>1169</v>
      </c>
      <c r="AS322" s="19">
        <v>1270</v>
      </c>
    </row>
    <row r="323" spans="1:45" x14ac:dyDescent="0.25">
      <c r="A323">
        <v>1398</v>
      </c>
      <c r="B323" s="11">
        <f t="shared" si="5"/>
        <v>63810</v>
      </c>
      <c r="C323" s="12">
        <v>638100</v>
      </c>
      <c r="D323" s="13">
        <v>0</v>
      </c>
      <c r="E323" s="13">
        <v>1</v>
      </c>
      <c r="F323" s="13">
        <v>45</v>
      </c>
      <c r="G323" s="13">
        <v>54</v>
      </c>
      <c r="H323" s="13" t="str" cm="1">
        <f t="array" ref="H323">_xlfn.IFS(G323&lt;=20,"0-20",G323&lt;=30,"20-30",G323&lt;=40,"30-40",G323&lt;=50,"50-60",G323&lt;=60,"60-70",G323&lt;=70,"70-80",G323&lt;=80,"80-90")</f>
        <v>60-70</v>
      </c>
      <c r="I323" s="13">
        <v>2754</v>
      </c>
      <c r="J323" s="13" t="str" cm="1">
        <f t="array" ref="J323">_xlfn.IFS(K323=1,"Divorciado",L323=1,"Casado",M323=1,"Solteiro",N323=1,"Juntos",O323=1,"Viuvo")</f>
        <v>Solteiro</v>
      </c>
      <c r="K323" s="13">
        <v>0</v>
      </c>
      <c r="L323" s="13">
        <v>0</v>
      </c>
      <c r="M323" s="13">
        <v>1</v>
      </c>
      <c r="N323" s="13">
        <v>0</v>
      </c>
      <c r="O323" s="13">
        <v>0</v>
      </c>
      <c r="P323" s="13">
        <v>0</v>
      </c>
      <c r="Q323" s="13">
        <v>0</v>
      </c>
      <c r="R323" s="13">
        <v>1</v>
      </c>
      <c r="S323" s="13">
        <v>0</v>
      </c>
      <c r="T323" s="13">
        <v>0</v>
      </c>
      <c r="U323" s="13">
        <v>977</v>
      </c>
      <c r="V323" s="13" t="str" cm="1">
        <f t="array" ref="V323">_xlfn.IFS(U323&lt;=250,"0-R$250",U323&lt;=500,"251-R$500",U323&lt;=750,"501-R$750",U323&lt;=1000,"751-R$1000",U323&lt;=1250,"1001-R$1250",U323&lt;=1500,"1251-R$1500")</f>
        <v>751-R$1000</v>
      </c>
      <c r="W323" s="13">
        <v>12</v>
      </c>
      <c r="X323" s="13" t="str" cm="1">
        <f t="array" ref="X323">_xlfn.IFS(W323 = 0, "0", W323&lt;=20, "até R$20",W323&lt;=40, "21 - R$40",W323&lt;=60, "41- R$60",W323&lt;=80, "61 - R$80", W323&lt;=100, "81 - R$100",W323&lt;=120, "101 - R$120",W323&lt;=140, "121 - R$140", W323&lt;=160, "141- R$160", W323&lt;=180, "161 - R$180", W323&lt;=200, "181-R$194")</f>
        <v>até R$20</v>
      </c>
      <c r="Y323" s="13">
        <v>253</v>
      </c>
      <c r="Z323" s="13">
        <v>16</v>
      </c>
      <c r="AA323" s="13">
        <v>12</v>
      </c>
      <c r="AB323" s="13">
        <v>101</v>
      </c>
      <c r="AC323" s="13">
        <v>4</v>
      </c>
      <c r="AD323" s="13">
        <v>4</v>
      </c>
      <c r="AE323" s="13">
        <v>3</v>
      </c>
      <c r="AF323" s="13">
        <v>12</v>
      </c>
      <c r="AG323" s="13">
        <v>8</v>
      </c>
      <c r="AH323" s="13">
        <v>0</v>
      </c>
      <c r="AI323" s="13">
        <v>0</v>
      </c>
      <c r="AJ323" s="13">
        <v>1</v>
      </c>
      <c r="AK323" s="13">
        <v>0</v>
      </c>
      <c r="AL323" s="13">
        <v>0</v>
      </c>
      <c r="AM323" s="13">
        <v>0</v>
      </c>
      <c r="AN323" s="13">
        <v>0</v>
      </c>
      <c r="AO323" s="14">
        <v>1</v>
      </c>
      <c r="AP323" s="13">
        <v>3</v>
      </c>
      <c r="AQ323" s="13">
        <v>11</v>
      </c>
      <c r="AR323" s="15">
        <v>1169</v>
      </c>
      <c r="AS323" s="15">
        <v>1270</v>
      </c>
    </row>
    <row r="324" spans="1:45" x14ac:dyDescent="0.25">
      <c r="A324">
        <v>1546</v>
      </c>
      <c r="B324" s="11">
        <f t="shared" si="5"/>
        <v>82800</v>
      </c>
      <c r="C324" s="12">
        <v>828000</v>
      </c>
      <c r="D324" s="13">
        <v>0</v>
      </c>
      <c r="E324" s="13">
        <v>0</v>
      </c>
      <c r="F324" s="13">
        <v>23</v>
      </c>
      <c r="G324" s="13">
        <v>74</v>
      </c>
      <c r="H324" s="13" t="str" cm="1">
        <f t="array" ref="H324">_xlfn.IFS(G324&lt;=20,"0-20",G324&lt;=30,"20-30",G324&lt;=40,"30-40",G324&lt;=50,"50-60",G324&lt;=60,"60-70",G324&lt;=70,"70-80",G324&lt;=80,"80-90")</f>
        <v>80-90</v>
      </c>
      <c r="I324" s="13">
        <v>2741</v>
      </c>
      <c r="J324" s="13" t="str" cm="1">
        <f t="array" ref="J324">_xlfn.IFS(K324=1,"Divorciado",L324=1,"Casado",M324=1,"Solteiro",N324=1,"Juntos",O324=1,"Viuvo")</f>
        <v>Solteiro</v>
      </c>
      <c r="K324" s="13">
        <v>0</v>
      </c>
      <c r="L324" s="13">
        <v>0</v>
      </c>
      <c r="M324" s="13">
        <v>1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1</v>
      </c>
      <c r="U324" s="13">
        <v>1006</v>
      </c>
      <c r="V324" s="13" t="str" cm="1">
        <f t="array" ref="V324">_xlfn.IFS(U324&lt;=250,"0-R$250",U324&lt;=500,"251-R$500",U324&lt;=750,"501-R$750",U324&lt;=1000,"751-R$1000",U324&lt;=1250,"1001-R$1250",U324&lt;=1500,"1251-R$1500")</f>
        <v>1001-R$1250</v>
      </c>
      <c r="W324" s="13">
        <v>22</v>
      </c>
      <c r="X324" s="13" t="str" cm="1">
        <f t="array" ref="X324">_xlfn.IFS(W324 = 0, "0", W324&lt;=20, "até R$20",W324&lt;=40, "21 - R$40",W324&lt;=60, "41- R$60",W324&lt;=80, "61 - R$80", W324&lt;=100, "81 - R$100",W324&lt;=120, "101 - R$120",W324&lt;=140, "121 - R$140", W324&lt;=160, "141- R$160", W324&lt;=180, "161 - R$180", W324&lt;=200, "181-R$194")</f>
        <v>21 - R$40</v>
      </c>
      <c r="Y324" s="13">
        <v>115</v>
      </c>
      <c r="Z324" s="13">
        <v>59</v>
      </c>
      <c r="AA324" s="13">
        <v>68</v>
      </c>
      <c r="AB324" s="13">
        <v>45</v>
      </c>
      <c r="AC324" s="13">
        <v>1</v>
      </c>
      <c r="AD324" s="13">
        <v>7</v>
      </c>
      <c r="AE324" s="13">
        <v>6</v>
      </c>
      <c r="AF324" s="13">
        <v>12</v>
      </c>
      <c r="AG324" s="13">
        <v>3</v>
      </c>
      <c r="AH324" s="13">
        <v>0</v>
      </c>
      <c r="AI324" s="13">
        <v>0</v>
      </c>
      <c r="AJ324" s="13">
        <v>0</v>
      </c>
      <c r="AK324" s="13">
        <v>1</v>
      </c>
      <c r="AL324" s="13">
        <v>1</v>
      </c>
      <c r="AM324" s="13">
        <v>0</v>
      </c>
      <c r="AN324" s="13">
        <v>1</v>
      </c>
      <c r="AO324" s="14">
        <v>2</v>
      </c>
      <c r="AP324" s="13">
        <v>3</v>
      </c>
      <c r="AQ324" s="13">
        <v>11</v>
      </c>
      <c r="AR324" s="15">
        <v>1225</v>
      </c>
      <c r="AS324" s="15">
        <v>1270</v>
      </c>
    </row>
    <row r="325" spans="1:45" x14ac:dyDescent="0.25">
      <c r="A325">
        <v>2097</v>
      </c>
      <c r="B325" s="11">
        <f t="shared" si="5"/>
        <v>65220</v>
      </c>
      <c r="C325" s="16">
        <v>652200</v>
      </c>
      <c r="D325" s="17">
        <v>0</v>
      </c>
      <c r="E325" s="17">
        <v>0</v>
      </c>
      <c r="F325" s="17">
        <v>3</v>
      </c>
      <c r="G325" s="17">
        <v>55</v>
      </c>
      <c r="H325" s="13" t="str" cm="1">
        <f t="array" ref="H325">_xlfn.IFS(G325&lt;=20,"0-20",G325&lt;=30,"20-30",G325&lt;=40,"30-40",G325&lt;=50,"50-60",G325&lt;=60,"60-70",G325&lt;=70,"70-80",G325&lt;=80,"80-90")</f>
        <v>60-70</v>
      </c>
      <c r="I325" s="17">
        <v>2823</v>
      </c>
      <c r="J325" s="13" t="str" cm="1">
        <f t="array" ref="J325">_xlfn.IFS(K325=1,"Divorciado",L325=1,"Casado",M325=1,"Solteiro",N325=1,"Juntos",O325=1,"Viuvo")</f>
        <v>Juntos</v>
      </c>
      <c r="K325" s="17">
        <v>0</v>
      </c>
      <c r="L325" s="17">
        <v>0</v>
      </c>
      <c r="M325" s="17">
        <v>0</v>
      </c>
      <c r="N325" s="17">
        <v>1</v>
      </c>
      <c r="O325" s="17">
        <v>0</v>
      </c>
      <c r="P325" s="17">
        <v>0</v>
      </c>
      <c r="Q325" s="17">
        <v>0</v>
      </c>
      <c r="R325" s="17">
        <v>0</v>
      </c>
      <c r="S325" s="17">
        <v>0</v>
      </c>
      <c r="T325" s="17">
        <v>1</v>
      </c>
      <c r="U325" s="17">
        <v>890</v>
      </c>
      <c r="V325" s="13" t="str" cm="1">
        <f t="array" ref="V325">_xlfn.IFS(U325&lt;=250,"0-R$250",U325&lt;=500,"251-R$500",U325&lt;=750,"501-R$750",U325&lt;=1000,"751-R$1000",U325&lt;=1250,"1001-R$1250",U325&lt;=1500,"1251-R$1500")</f>
        <v>751-R$1000</v>
      </c>
      <c r="W325" s="17">
        <v>63</v>
      </c>
      <c r="X325" s="13" t="str" cm="1">
        <f t="array" ref="X325">_xlfn.IFS(W325 = 0, "0", W325&lt;=20, "até R$20",W325&lt;=40, "21 - R$40",W325&lt;=60, "41- R$60",W325&lt;=80, "61 - R$80", W325&lt;=100, "81 - R$100",W325&lt;=120, "101 - R$120",W325&lt;=140, "121 - R$140", W325&lt;=160, "141- R$160", W325&lt;=180, "161 - R$180", W325&lt;=200, "181-R$194")</f>
        <v>61 - R$80</v>
      </c>
      <c r="Y325" s="17">
        <v>292</v>
      </c>
      <c r="Z325" s="17">
        <v>0</v>
      </c>
      <c r="AA325" s="17">
        <v>25</v>
      </c>
      <c r="AB325" s="17">
        <v>12</v>
      </c>
      <c r="AC325" s="17">
        <v>4</v>
      </c>
      <c r="AD325" s="17">
        <v>8</v>
      </c>
      <c r="AE325" s="17">
        <v>4</v>
      </c>
      <c r="AF325" s="17">
        <v>7</v>
      </c>
      <c r="AG325" s="17">
        <v>6</v>
      </c>
      <c r="AH325" s="17">
        <v>0</v>
      </c>
      <c r="AI325" s="17">
        <v>0</v>
      </c>
      <c r="AJ325" s="17">
        <v>0</v>
      </c>
      <c r="AK325" s="17">
        <v>0</v>
      </c>
      <c r="AL325" s="17">
        <v>0</v>
      </c>
      <c r="AM325" s="17">
        <v>0</v>
      </c>
      <c r="AN325" s="17">
        <v>1</v>
      </c>
      <c r="AO325" s="18">
        <v>0</v>
      </c>
      <c r="AP325" s="17">
        <v>3</v>
      </c>
      <c r="AQ325" s="17">
        <v>11</v>
      </c>
      <c r="AR325" s="19">
        <v>1258</v>
      </c>
      <c r="AS325" s="19">
        <v>1270</v>
      </c>
    </row>
    <row r="326" spans="1:45" x14ac:dyDescent="0.25">
      <c r="A326">
        <v>338</v>
      </c>
      <c r="B326" s="11">
        <f t="shared" si="5"/>
        <v>60000</v>
      </c>
      <c r="C326" s="12">
        <v>600000</v>
      </c>
      <c r="D326" s="13">
        <v>0</v>
      </c>
      <c r="E326" s="13">
        <v>1</v>
      </c>
      <c r="F326" s="13">
        <v>57</v>
      </c>
      <c r="G326" s="13">
        <v>44</v>
      </c>
      <c r="H326" s="13" t="str" cm="1">
        <f t="array" ref="H326">_xlfn.IFS(G326&lt;=20,"0-20",G326&lt;=30,"20-30",G326&lt;=40,"30-40",G326&lt;=50,"50-60",G326&lt;=60,"60-70",G326&lt;=70,"70-80",G326&lt;=80,"80-90")</f>
        <v>50-60</v>
      </c>
      <c r="I326" s="13">
        <v>2713</v>
      </c>
      <c r="J326" s="13" t="str" cm="1">
        <f t="array" ref="J326">_xlfn.IFS(K326=1,"Divorciado",L326=1,"Casado",M326=1,"Solteiro",N326=1,"Juntos",O326=1,"Viuvo")</f>
        <v>Solteiro</v>
      </c>
      <c r="K326" s="13">
        <v>0</v>
      </c>
      <c r="L326" s="13">
        <v>0</v>
      </c>
      <c r="M326" s="13">
        <v>1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1</v>
      </c>
      <c r="U326" s="13">
        <v>1048</v>
      </c>
      <c r="V326" s="13" t="str" cm="1">
        <f t="array" ref="V326">_xlfn.IFS(U326&lt;=250,"0-R$250",U326&lt;=500,"251-R$500",U326&lt;=750,"501-R$750",U326&lt;=1000,"751-R$1000",U326&lt;=1250,"1001-R$1250",U326&lt;=1500,"1251-R$1500")</f>
        <v>1001-R$1250</v>
      </c>
      <c r="W326" s="13">
        <v>0</v>
      </c>
      <c r="X326" s="13" t="str" cm="1">
        <f t="array" ref="X326">_xlfn.IFS(W326 = 0, "0", W326&lt;=20, "até R$20",W326&lt;=40, "21 - R$40",W326&lt;=60, "41- R$60",W326&lt;=80, "61 - R$80", W326&lt;=100, "81 - R$100",W326&lt;=120, "101 - R$120",W326&lt;=140, "121 - R$140", W326&lt;=160, "141- R$160", W326&lt;=180, "161 - R$180", W326&lt;=200, "181-R$194")</f>
        <v>0</v>
      </c>
      <c r="Y326" s="13">
        <v>217</v>
      </c>
      <c r="Z326" s="13">
        <v>0</v>
      </c>
      <c r="AA326" s="13">
        <v>0</v>
      </c>
      <c r="AB326" s="13">
        <v>12</v>
      </c>
      <c r="AC326" s="13">
        <v>5</v>
      </c>
      <c r="AD326" s="13">
        <v>11</v>
      </c>
      <c r="AE326" s="13">
        <v>3</v>
      </c>
      <c r="AF326" s="13">
        <v>5</v>
      </c>
      <c r="AG326" s="13">
        <v>6</v>
      </c>
      <c r="AH326" s="13">
        <v>0</v>
      </c>
      <c r="AI326" s="13">
        <v>0</v>
      </c>
      <c r="AJ326" s="13">
        <v>0</v>
      </c>
      <c r="AK326" s="13">
        <v>0</v>
      </c>
      <c r="AL326" s="13">
        <v>0</v>
      </c>
      <c r="AM326" s="13">
        <v>0</v>
      </c>
      <c r="AN326" s="13">
        <v>0</v>
      </c>
      <c r="AO326" s="14">
        <v>0</v>
      </c>
      <c r="AP326" s="13">
        <v>3</v>
      </c>
      <c r="AQ326" s="13">
        <v>11</v>
      </c>
      <c r="AR326" s="15">
        <v>1253</v>
      </c>
      <c r="AS326" s="15">
        <v>1265</v>
      </c>
    </row>
    <row r="327" spans="1:45" x14ac:dyDescent="0.25">
      <c r="A327">
        <v>1802</v>
      </c>
      <c r="B327" s="11">
        <f t="shared" si="5"/>
        <v>78394</v>
      </c>
      <c r="C327" s="12">
        <v>783940</v>
      </c>
      <c r="D327" s="13">
        <v>0</v>
      </c>
      <c r="E327" s="13">
        <v>0</v>
      </c>
      <c r="F327" s="13">
        <v>13</v>
      </c>
      <c r="G327" s="13">
        <v>34</v>
      </c>
      <c r="H327" s="13" t="str" cm="1">
        <f t="array" ref="H327">_xlfn.IFS(G327&lt;=20,"0-20",G327&lt;=30,"20-30",G327&lt;=40,"30-40",G327&lt;=50,"50-60",G327&lt;=60,"60-70",G327&lt;=70,"70-80",G327&lt;=80,"80-90")</f>
        <v>30-40</v>
      </c>
      <c r="I327" s="13">
        <v>2658</v>
      </c>
      <c r="J327" s="13" t="str" cm="1">
        <f t="array" ref="J327">_xlfn.IFS(K327=1,"Divorciado",L327=1,"Casado",M327=1,"Solteiro",N327=1,"Juntos",O327=1,"Viuvo")</f>
        <v>Juntos</v>
      </c>
      <c r="K327" s="13">
        <v>0</v>
      </c>
      <c r="L327" s="13">
        <v>0</v>
      </c>
      <c r="M327" s="13">
        <v>0</v>
      </c>
      <c r="N327" s="13">
        <v>1</v>
      </c>
      <c r="O327" s="13">
        <v>0</v>
      </c>
      <c r="P327" s="13">
        <v>0</v>
      </c>
      <c r="Q327" s="13">
        <v>0</v>
      </c>
      <c r="R327" s="13">
        <v>1</v>
      </c>
      <c r="S327" s="13">
        <v>0</v>
      </c>
      <c r="T327" s="13">
        <v>0</v>
      </c>
      <c r="U327" s="13">
        <v>298</v>
      </c>
      <c r="V327" s="13" t="str" cm="1">
        <f t="array" ref="V327">_xlfn.IFS(U327&lt;=250,"0-R$250",U327&lt;=500,"251-R$500",U327&lt;=750,"501-R$750",U327&lt;=1000,"751-R$1000",U327&lt;=1250,"1001-R$1250",U327&lt;=1500,"1251-R$1500")</f>
        <v>251-R$500</v>
      </c>
      <c r="W327" s="13">
        <v>27</v>
      </c>
      <c r="X327" s="13" t="str" cm="1">
        <f t="array" ref="X327">_xlfn.IFS(W327 = 0, "0", W327&lt;=20, "até R$20",W327&lt;=40, "21 - R$40",W327&lt;=60, "41- R$60",W327&lt;=80, "61 - R$80", W327&lt;=100, "81 - R$100",W327&lt;=120, "101 - R$120",W327&lt;=140, "121 - R$140", W327&lt;=160, "141- R$160", W327&lt;=180, "161 - R$180", W327&lt;=200, "181-R$194")</f>
        <v>21 - R$40</v>
      </c>
      <c r="Y327" s="13">
        <v>697</v>
      </c>
      <c r="Z327" s="13">
        <v>216</v>
      </c>
      <c r="AA327" s="13">
        <v>24</v>
      </c>
      <c r="AB327" s="13">
        <v>166</v>
      </c>
      <c r="AC327" s="13">
        <v>1</v>
      </c>
      <c r="AD327" s="13">
        <v>4</v>
      </c>
      <c r="AE327" s="13">
        <v>6</v>
      </c>
      <c r="AF327" s="13">
        <v>5</v>
      </c>
      <c r="AG327" s="13">
        <v>2</v>
      </c>
      <c r="AH327" s="13">
        <v>0</v>
      </c>
      <c r="AI327" s="13">
        <v>0</v>
      </c>
      <c r="AJ327" s="13">
        <v>0</v>
      </c>
      <c r="AK327" s="13">
        <v>0</v>
      </c>
      <c r="AL327" s="13">
        <v>0</v>
      </c>
      <c r="AM327" s="13">
        <v>0</v>
      </c>
      <c r="AN327" s="13">
        <v>1</v>
      </c>
      <c r="AO327" s="14">
        <v>0</v>
      </c>
      <c r="AP327" s="13">
        <v>3</v>
      </c>
      <c r="AQ327" s="13">
        <v>11</v>
      </c>
      <c r="AR327" s="15">
        <v>1096</v>
      </c>
      <c r="AS327" s="15">
        <v>1262</v>
      </c>
    </row>
    <row r="328" spans="1:45" x14ac:dyDescent="0.25">
      <c r="A328">
        <v>132</v>
      </c>
      <c r="B328" s="11">
        <f t="shared" si="5"/>
        <v>86111</v>
      </c>
      <c r="C328" s="12">
        <v>861110</v>
      </c>
      <c r="D328" s="13">
        <v>0</v>
      </c>
      <c r="E328" s="13">
        <v>0</v>
      </c>
      <c r="F328" s="13">
        <v>73</v>
      </c>
      <c r="G328" s="13">
        <v>58</v>
      </c>
      <c r="H328" s="13" t="str" cm="1">
        <f t="array" ref="H328">_xlfn.IFS(G328&lt;=20,"0-20",G328&lt;=30,"20-30",G328&lt;=40,"30-40",G328&lt;=50,"50-60",G328&lt;=60,"60-70",G328&lt;=70,"70-80",G328&lt;=80,"80-90")</f>
        <v>60-70</v>
      </c>
      <c r="I328" s="13">
        <v>2595</v>
      </c>
      <c r="J328" s="13" t="str" cm="1">
        <f t="array" ref="J328">_xlfn.IFS(K328=1,"Divorciado",L328=1,"Casado",M328=1,"Solteiro",N328=1,"Juntos",O328=1,"Viuvo")</f>
        <v>Casado</v>
      </c>
      <c r="K328" s="13">
        <v>0</v>
      </c>
      <c r="L328" s="13">
        <v>1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13">
        <v>1</v>
      </c>
      <c r="S328" s="13">
        <v>0</v>
      </c>
      <c r="T328" s="13">
        <v>0</v>
      </c>
      <c r="U328" s="13">
        <v>399</v>
      </c>
      <c r="V328" s="13" t="str" cm="1">
        <f t="array" ref="V328">_xlfn.IFS(U328&lt;=250,"0-R$250",U328&lt;=500,"251-R$500",U328&lt;=750,"501-R$750",U328&lt;=1000,"751-R$1000",U328&lt;=1250,"1001-R$1250",U328&lt;=1500,"1251-R$1500")</f>
        <v>251-R$500</v>
      </c>
      <c r="W328" s="13">
        <v>28</v>
      </c>
      <c r="X328" s="13" t="str" cm="1">
        <f t="array" ref="X328">_xlfn.IFS(W328 = 0, "0", W328&lt;=20, "até R$20",W328&lt;=40, "21 - R$40",W328&lt;=60, "41- R$60",W328&lt;=80, "61 - R$80", W328&lt;=100, "81 - R$100",W328&lt;=120, "101 - R$120",W328&lt;=140, "121 - R$140", W328&lt;=160, "141- R$160", W328&lt;=180, "161 - R$180", W328&lt;=200, "181-R$194")</f>
        <v>21 - R$40</v>
      </c>
      <c r="Y328" s="13">
        <v>756</v>
      </c>
      <c r="Z328" s="13">
        <v>36</v>
      </c>
      <c r="AA328" s="13">
        <v>40</v>
      </c>
      <c r="AB328" s="13">
        <v>126</v>
      </c>
      <c r="AC328" s="13">
        <v>1</v>
      </c>
      <c r="AD328" s="13">
        <v>5</v>
      </c>
      <c r="AE328" s="13">
        <v>7</v>
      </c>
      <c r="AF328" s="13">
        <v>10</v>
      </c>
      <c r="AG328" s="13">
        <v>2</v>
      </c>
      <c r="AH328" s="13">
        <v>0</v>
      </c>
      <c r="AI328" s="13">
        <v>0</v>
      </c>
      <c r="AJ328" s="13">
        <v>0</v>
      </c>
      <c r="AK328" s="13">
        <v>0</v>
      </c>
      <c r="AL328" s="13">
        <v>0</v>
      </c>
      <c r="AM328" s="13">
        <v>0</v>
      </c>
      <c r="AN328" s="13">
        <v>0</v>
      </c>
      <c r="AO328" s="14">
        <v>0</v>
      </c>
      <c r="AP328" s="13">
        <v>3</v>
      </c>
      <c r="AQ328" s="13">
        <v>11</v>
      </c>
      <c r="AR328" s="15">
        <v>1133</v>
      </c>
      <c r="AS328" s="15">
        <v>1259</v>
      </c>
    </row>
    <row r="329" spans="1:45" x14ac:dyDescent="0.25">
      <c r="A329">
        <v>2065</v>
      </c>
      <c r="B329" s="11">
        <f t="shared" si="5"/>
        <v>80144</v>
      </c>
      <c r="C329" s="16">
        <v>801440</v>
      </c>
      <c r="D329" s="17">
        <v>0</v>
      </c>
      <c r="E329" s="17">
        <v>0</v>
      </c>
      <c r="F329" s="17">
        <v>47</v>
      </c>
      <c r="G329" s="17">
        <v>45</v>
      </c>
      <c r="H329" s="13" t="str" cm="1">
        <f t="array" ref="H329">_xlfn.IFS(G329&lt;=20,"0-20",G329&lt;=30,"20-30",G329&lt;=40,"30-40",G329&lt;=50,"50-60",G329&lt;=60,"60-70",G329&lt;=70,"70-80",G329&lt;=80,"80-90")</f>
        <v>50-60</v>
      </c>
      <c r="I329" s="17">
        <v>2431</v>
      </c>
      <c r="J329" s="13" t="str" cm="1">
        <f t="array" ref="J329">_xlfn.IFS(K329=1,"Divorciado",L329=1,"Casado",M329=1,"Solteiro",N329=1,"Juntos",O329=1,"Viuvo")</f>
        <v>Juntos</v>
      </c>
      <c r="K329" s="17">
        <v>0</v>
      </c>
      <c r="L329" s="17">
        <v>0</v>
      </c>
      <c r="M329" s="17">
        <v>0</v>
      </c>
      <c r="N329" s="17">
        <v>1</v>
      </c>
      <c r="O329" s="17">
        <v>0</v>
      </c>
      <c r="P329" s="17">
        <v>0</v>
      </c>
      <c r="Q329" s="17">
        <v>0</v>
      </c>
      <c r="R329" s="17">
        <v>1</v>
      </c>
      <c r="S329" s="17">
        <v>0</v>
      </c>
      <c r="T329" s="17">
        <v>0</v>
      </c>
      <c r="U329" s="17">
        <v>240</v>
      </c>
      <c r="V329" s="13" t="str" cm="1">
        <f t="array" ref="V329">_xlfn.IFS(U329&lt;=250,"0-R$250",U329&lt;=500,"251-R$500",U329&lt;=750,"501-R$750",U329&lt;=1000,"751-R$1000",U329&lt;=1250,"1001-R$1250",U329&lt;=1500,"1251-R$1500")</f>
        <v>0-R$250</v>
      </c>
      <c r="W329" s="17">
        <v>132</v>
      </c>
      <c r="X329" s="13" t="str" cm="1">
        <f t="array" ref="X329">_xlfn.IFS(W329 = 0, "0", W329&lt;=20, "até R$20",W329&lt;=40, "21 - R$40",W329&lt;=60, "41- R$60",W329&lt;=80, "61 - R$80", W329&lt;=100, "81 - R$100",W329&lt;=120, "101 - R$120",W329&lt;=140, "121 - R$140", W329&lt;=160, "141- R$160", W329&lt;=180, "161 - R$180", W329&lt;=200, "181-R$194")</f>
        <v>121 - R$140</v>
      </c>
      <c r="Y329" s="17">
        <v>445</v>
      </c>
      <c r="Z329" s="17">
        <v>250</v>
      </c>
      <c r="AA329" s="17">
        <v>192</v>
      </c>
      <c r="AB329" s="17">
        <v>108</v>
      </c>
      <c r="AC329" s="17">
        <v>1</v>
      </c>
      <c r="AD329" s="17">
        <v>3</v>
      </c>
      <c r="AE329" s="17">
        <v>7</v>
      </c>
      <c r="AF329" s="17">
        <v>8</v>
      </c>
      <c r="AG329" s="17">
        <v>1</v>
      </c>
      <c r="AH329" s="17">
        <v>0</v>
      </c>
      <c r="AI329" s="17">
        <v>0</v>
      </c>
      <c r="AJ329" s="17">
        <v>0</v>
      </c>
      <c r="AK329" s="17">
        <v>0</v>
      </c>
      <c r="AL329" s="17">
        <v>0</v>
      </c>
      <c r="AM329" s="17">
        <v>0</v>
      </c>
      <c r="AN329" s="17">
        <v>0</v>
      </c>
      <c r="AO329" s="18">
        <v>0</v>
      </c>
      <c r="AP329" s="17">
        <v>3</v>
      </c>
      <c r="AQ329" s="17">
        <v>11</v>
      </c>
      <c r="AR329" s="19">
        <v>1151</v>
      </c>
      <c r="AS329" s="19">
        <v>1259</v>
      </c>
    </row>
    <row r="330" spans="1:45" x14ac:dyDescent="0.25">
      <c r="A330">
        <v>443</v>
      </c>
      <c r="B330" s="11">
        <f t="shared" si="5"/>
        <v>66664</v>
      </c>
      <c r="C330" s="16">
        <v>666640</v>
      </c>
      <c r="D330" s="17">
        <v>0</v>
      </c>
      <c r="E330" s="17">
        <v>0</v>
      </c>
      <c r="F330" s="17">
        <v>78</v>
      </c>
      <c r="G330" s="17">
        <v>38</v>
      </c>
      <c r="H330" s="13" t="str" cm="1">
        <f t="array" ref="H330">_xlfn.IFS(G330&lt;=20,"0-20",G330&lt;=30,"20-30",G330&lt;=40,"30-40",G330&lt;=50,"50-60",G330&lt;=60,"60-70",G330&lt;=70,"70-80",G330&lt;=80,"80-90")</f>
        <v>30-40</v>
      </c>
      <c r="I330" s="17">
        <v>2801</v>
      </c>
      <c r="J330" s="13" t="str" cm="1">
        <f t="array" ref="J330">_xlfn.IFS(K330=1,"Divorciado",L330=1,"Casado",M330=1,"Solteiro",N330=1,"Juntos",O330=1,"Viuvo")</f>
        <v>Juntos</v>
      </c>
      <c r="K330" s="17">
        <v>0</v>
      </c>
      <c r="L330" s="17">
        <v>0</v>
      </c>
      <c r="M330" s="17">
        <v>0</v>
      </c>
      <c r="N330" s="17">
        <v>1</v>
      </c>
      <c r="O330" s="17">
        <v>0</v>
      </c>
      <c r="P330" s="17">
        <v>1</v>
      </c>
      <c r="Q330" s="17">
        <v>0</v>
      </c>
      <c r="R330" s="17">
        <v>0</v>
      </c>
      <c r="S330" s="17">
        <v>0</v>
      </c>
      <c r="T330" s="17">
        <v>0</v>
      </c>
      <c r="U330" s="17">
        <v>398</v>
      </c>
      <c r="V330" s="13" t="str" cm="1">
        <f t="array" ref="V330">_xlfn.IFS(U330&lt;=250,"0-R$250",U330&lt;=500,"251-R$500",U330&lt;=750,"501-R$750",U330&lt;=1000,"751-R$1000",U330&lt;=1250,"1001-R$1250",U330&lt;=1500,"1251-R$1500")</f>
        <v>251-R$500</v>
      </c>
      <c r="W330" s="17">
        <v>96</v>
      </c>
      <c r="X330" s="13" t="str" cm="1">
        <f t="array" ref="X330">_xlfn.IFS(W330 = 0, "0", W330&lt;=20, "até R$20",W330&lt;=40, "21 - R$40",W330&lt;=60, "41- R$60",W330&lt;=80, "61 - R$80", W330&lt;=100, "81 - R$100",W330&lt;=120, "101 - R$120",W330&lt;=140, "121 - R$140", W330&lt;=160, "141- R$160", W330&lt;=180, "161 - R$180", W330&lt;=200, "181-R$194")</f>
        <v>81 - R$100</v>
      </c>
      <c r="Y330" s="17">
        <v>447</v>
      </c>
      <c r="Z330" s="17">
        <v>220</v>
      </c>
      <c r="AA330" s="17">
        <v>96</v>
      </c>
      <c r="AB330" s="17">
        <v>32</v>
      </c>
      <c r="AC330" s="17">
        <v>1</v>
      </c>
      <c r="AD330" s="17">
        <v>5</v>
      </c>
      <c r="AE330" s="17">
        <v>7</v>
      </c>
      <c r="AF330" s="17">
        <v>6</v>
      </c>
      <c r="AG330" s="17">
        <v>3</v>
      </c>
      <c r="AH330" s="17">
        <v>0</v>
      </c>
      <c r="AI330" s="17">
        <v>0</v>
      </c>
      <c r="AJ330" s="17">
        <v>0</v>
      </c>
      <c r="AK330" s="17">
        <v>0</v>
      </c>
      <c r="AL330" s="17">
        <v>0</v>
      </c>
      <c r="AM330" s="17">
        <v>0</v>
      </c>
      <c r="AN330" s="17">
        <v>0</v>
      </c>
      <c r="AO330" s="18">
        <v>0</v>
      </c>
      <c r="AP330" s="17">
        <v>3</v>
      </c>
      <c r="AQ330" s="17">
        <v>11</v>
      </c>
      <c r="AR330" s="19">
        <v>1225</v>
      </c>
      <c r="AS330" s="19">
        <v>1257</v>
      </c>
    </row>
    <row r="331" spans="1:45" x14ac:dyDescent="0.25">
      <c r="A331">
        <v>1542</v>
      </c>
      <c r="B331" s="11">
        <f t="shared" si="5"/>
        <v>63972</v>
      </c>
      <c r="C331" s="12">
        <v>639720</v>
      </c>
      <c r="D331" s="13">
        <v>0</v>
      </c>
      <c r="E331" s="13">
        <v>1</v>
      </c>
      <c r="F331" s="13">
        <v>93</v>
      </c>
      <c r="G331" s="13">
        <v>56</v>
      </c>
      <c r="H331" s="13" t="str" cm="1">
        <f t="array" ref="H331">_xlfn.IFS(G331&lt;=20,"0-20",G331&lt;=30,"20-30",G331&lt;=40,"30-40",G331&lt;=50,"50-60",G331&lt;=60,"60-70",G331&lt;=70,"70-80",G331&lt;=80,"80-90")</f>
        <v>60-70</v>
      </c>
      <c r="I331" s="13">
        <v>2733</v>
      </c>
      <c r="J331" s="13" t="str" cm="1">
        <f t="array" ref="J331">_xlfn.IFS(K331=1,"Divorciado",L331=1,"Casado",M331=1,"Solteiro",N331=1,"Juntos",O331=1,"Viuvo")</f>
        <v>Solteiro</v>
      </c>
      <c r="K331" s="13">
        <v>0</v>
      </c>
      <c r="L331" s="13">
        <v>0</v>
      </c>
      <c r="M331" s="13">
        <v>1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1</v>
      </c>
      <c r="T331" s="13">
        <v>0</v>
      </c>
      <c r="U331" s="13">
        <v>928</v>
      </c>
      <c r="V331" s="13" t="str" cm="1">
        <f t="array" ref="V331">_xlfn.IFS(U331&lt;=250,"0-R$250",U331&lt;=500,"251-R$500",U331&lt;=750,"501-R$750",U331&lt;=1000,"751-R$1000",U331&lt;=1250,"1001-R$1250",U331&lt;=1500,"1251-R$1500")</f>
        <v>751-R$1000</v>
      </c>
      <c r="W331" s="13">
        <v>63</v>
      </c>
      <c r="X331" s="13" t="str" cm="1">
        <f t="array" ref="X331">_xlfn.IFS(W331 = 0, "0", W331&lt;=20, "até R$20",W331&lt;=40, "21 - R$40",W331&lt;=60, "41- R$60",W331&lt;=80, "61 - R$80", W331&lt;=100, "81 - R$100",W331&lt;=120, "101 - R$120",W331&lt;=140, "121 - R$140", W331&lt;=160, "141- R$160", W331&lt;=180, "161 - R$180", W331&lt;=200, "181-R$194")</f>
        <v>61 - R$80</v>
      </c>
      <c r="Y331" s="13">
        <v>254</v>
      </c>
      <c r="Z331" s="13">
        <v>0</v>
      </c>
      <c r="AA331" s="13">
        <v>12</v>
      </c>
      <c r="AB331" s="13">
        <v>12</v>
      </c>
      <c r="AC331" s="13">
        <v>4</v>
      </c>
      <c r="AD331" s="13">
        <v>5</v>
      </c>
      <c r="AE331" s="13">
        <v>4</v>
      </c>
      <c r="AF331" s="13">
        <v>10</v>
      </c>
      <c r="AG331" s="13">
        <v>4</v>
      </c>
      <c r="AH331" s="13">
        <v>0</v>
      </c>
      <c r="AI331" s="13">
        <v>0</v>
      </c>
      <c r="AJ331" s="13">
        <v>1</v>
      </c>
      <c r="AK331" s="13">
        <v>0</v>
      </c>
      <c r="AL331" s="13">
        <v>0</v>
      </c>
      <c r="AM331" s="13">
        <v>0</v>
      </c>
      <c r="AN331" s="13">
        <v>0</v>
      </c>
      <c r="AO331" s="14">
        <v>1</v>
      </c>
      <c r="AP331" s="13">
        <v>3</v>
      </c>
      <c r="AQ331" s="13">
        <v>11</v>
      </c>
      <c r="AR331" s="15">
        <v>1245</v>
      </c>
      <c r="AS331" s="15">
        <v>1257</v>
      </c>
    </row>
    <row r="332" spans="1:45" x14ac:dyDescent="0.25">
      <c r="A332">
        <v>1598</v>
      </c>
      <c r="B332" s="11">
        <f t="shared" si="5"/>
        <v>66664</v>
      </c>
      <c r="C332" s="12">
        <v>666640</v>
      </c>
      <c r="D332" s="13">
        <v>0</v>
      </c>
      <c r="E332" s="13">
        <v>0</v>
      </c>
      <c r="F332" s="13">
        <v>78</v>
      </c>
      <c r="G332" s="13">
        <v>38</v>
      </c>
      <c r="H332" s="13" t="str" cm="1">
        <f t="array" ref="H332">_xlfn.IFS(G332&lt;=20,"0-20",G332&lt;=30,"20-30",G332&lt;=40,"30-40",G332&lt;=50,"50-60",G332&lt;=60,"60-70",G332&lt;=70,"70-80",G332&lt;=80,"80-90")</f>
        <v>30-40</v>
      </c>
      <c r="I332" s="13">
        <v>2801</v>
      </c>
      <c r="J332" s="13" t="str" cm="1">
        <f t="array" ref="J332">_xlfn.IFS(K332=1,"Divorciado",L332=1,"Casado",M332=1,"Solteiro",N332=1,"Juntos",O332=1,"Viuvo")</f>
        <v>Juntos</v>
      </c>
      <c r="K332" s="13">
        <v>0</v>
      </c>
      <c r="L332" s="13">
        <v>0</v>
      </c>
      <c r="M332" s="13">
        <v>0</v>
      </c>
      <c r="N332" s="13">
        <v>1</v>
      </c>
      <c r="O332" s="13">
        <v>0</v>
      </c>
      <c r="P332" s="13">
        <v>1</v>
      </c>
      <c r="Q332" s="13">
        <v>0</v>
      </c>
      <c r="R332" s="13">
        <v>0</v>
      </c>
      <c r="S332" s="13">
        <v>0</v>
      </c>
      <c r="T332" s="13">
        <v>0</v>
      </c>
      <c r="U332" s="13">
        <v>398</v>
      </c>
      <c r="V332" s="13" t="str" cm="1">
        <f t="array" ref="V332">_xlfn.IFS(U332&lt;=250,"0-R$250",U332&lt;=500,"251-R$500",U332&lt;=750,"501-R$750",U332&lt;=1000,"751-R$1000",U332&lt;=1250,"1001-R$1250",U332&lt;=1500,"1251-R$1500")</f>
        <v>251-R$500</v>
      </c>
      <c r="W332" s="13">
        <v>96</v>
      </c>
      <c r="X332" s="13" t="str" cm="1">
        <f t="array" ref="X332">_xlfn.IFS(W332 = 0, "0", W332&lt;=20, "até R$20",W332&lt;=40, "21 - R$40",W332&lt;=60, "41- R$60",W332&lt;=80, "61 - R$80", W332&lt;=100, "81 - R$100",W332&lt;=120, "101 - R$120",W332&lt;=140, "121 - R$140", W332&lt;=160, "141- R$160", W332&lt;=180, "161 - R$180", W332&lt;=200, "181-R$194")</f>
        <v>81 - R$100</v>
      </c>
      <c r="Y332" s="13">
        <v>447</v>
      </c>
      <c r="Z332" s="13">
        <v>220</v>
      </c>
      <c r="AA332" s="13">
        <v>96</v>
      </c>
      <c r="AB332" s="13">
        <v>32</v>
      </c>
      <c r="AC332" s="13">
        <v>1</v>
      </c>
      <c r="AD332" s="13">
        <v>5</v>
      </c>
      <c r="AE332" s="13">
        <v>7</v>
      </c>
      <c r="AF332" s="13">
        <v>6</v>
      </c>
      <c r="AG332" s="13">
        <v>3</v>
      </c>
      <c r="AH332" s="13">
        <v>0</v>
      </c>
      <c r="AI332" s="13">
        <v>0</v>
      </c>
      <c r="AJ332" s="13">
        <v>0</v>
      </c>
      <c r="AK332" s="13">
        <v>0</v>
      </c>
      <c r="AL332" s="13">
        <v>0</v>
      </c>
      <c r="AM332" s="13">
        <v>0</v>
      </c>
      <c r="AN332" s="13">
        <v>0</v>
      </c>
      <c r="AO332" s="14">
        <v>0</v>
      </c>
      <c r="AP332" s="13">
        <v>3</v>
      </c>
      <c r="AQ332" s="13">
        <v>11</v>
      </c>
      <c r="AR332" s="15">
        <v>1225</v>
      </c>
      <c r="AS332" s="15">
        <v>1257</v>
      </c>
    </row>
    <row r="333" spans="1:45" x14ac:dyDescent="0.25">
      <c r="A333">
        <v>253</v>
      </c>
      <c r="B333" s="11">
        <f t="shared" si="5"/>
        <v>80124</v>
      </c>
      <c r="C333" s="16">
        <v>801240</v>
      </c>
      <c r="D333" s="17">
        <v>0</v>
      </c>
      <c r="E333" s="17">
        <v>0</v>
      </c>
      <c r="F333" s="17">
        <v>47</v>
      </c>
      <c r="G333" s="17">
        <v>57</v>
      </c>
      <c r="H333" s="13" t="str" cm="1">
        <f t="array" ref="H333">_xlfn.IFS(G333&lt;=20,"0-20",G333&lt;=30,"20-30",G333&lt;=40,"30-40",G333&lt;=50,"50-60",G333&lt;=60,"60-70",G333&lt;=70,"70-80",G333&lt;=80,"80-90")</f>
        <v>60-70</v>
      </c>
      <c r="I333" s="17">
        <v>2162</v>
      </c>
      <c r="J333" s="13" t="str" cm="1">
        <f t="array" ref="J333">_xlfn.IFS(K333=1,"Divorciado",L333=1,"Casado",M333=1,"Solteiro",N333=1,"Juntos",O333=1,"Viuvo")</f>
        <v>Casado</v>
      </c>
      <c r="K333" s="17">
        <v>0</v>
      </c>
      <c r="L333" s="17">
        <v>1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1</v>
      </c>
      <c r="S333" s="17">
        <v>0</v>
      </c>
      <c r="T333" s="17">
        <v>0</v>
      </c>
      <c r="U333" s="17">
        <v>483</v>
      </c>
      <c r="V333" s="13" t="str" cm="1">
        <f t="array" ref="V333">_xlfn.IFS(U333&lt;=250,"0-R$250",U333&lt;=500,"251-R$500",U333&lt;=750,"501-R$750",U333&lt;=1000,"751-R$1000",U333&lt;=1250,"1001-R$1250",U333&lt;=1500,"1251-R$1500")</f>
        <v>251-R$500</v>
      </c>
      <c r="W333" s="17">
        <v>84</v>
      </c>
      <c r="X333" s="13" t="str" cm="1">
        <f t="array" ref="X333">_xlfn.IFS(W333 = 0, "0", W333&lt;=20, "até R$20",W333&lt;=40, "21 - R$40",W333&lt;=60, "41- R$60",W333&lt;=80, "61 - R$80", W333&lt;=100, "81 - R$100",W333&lt;=120, "101 - R$120",W333&lt;=140, "121 - R$140", W333&lt;=160, "141- R$160", W333&lt;=180, "161 - R$180", W333&lt;=200, "181-R$194")</f>
        <v>81 - R$100</v>
      </c>
      <c r="Y333" s="17">
        <v>398</v>
      </c>
      <c r="Z333" s="17">
        <v>205</v>
      </c>
      <c r="AA333" s="17">
        <v>84</v>
      </c>
      <c r="AB333" s="17">
        <v>241</v>
      </c>
      <c r="AC333" s="17">
        <v>1</v>
      </c>
      <c r="AD333" s="17">
        <v>3</v>
      </c>
      <c r="AE333" s="17">
        <v>7</v>
      </c>
      <c r="AF333" s="17">
        <v>8</v>
      </c>
      <c r="AG333" s="17">
        <v>1</v>
      </c>
      <c r="AH333" s="17">
        <v>0</v>
      </c>
      <c r="AI333" s="17">
        <v>1</v>
      </c>
      <c r="AJ333" s="17">
        <v>0</v>
      </c>
      <c r="AK333" s="17">
        <v>0</v>
      </c>
      <c r="AL333" s="17">
        <v>0</v>
      </c>
      <c r="AM333" s="17">
        <v>0</v>
      </c>
      <c r="AN333" s="17">
        <v>0</v>
      </c>
      <c r="AO333" s="18">
        <v>1</v>
      </c>
      <c r="AP333" s="17">
        <v>3</v>
      </c>
      <c r="AQ333" s="17">
        <v>11</v>
      </c>
      <c r="AR333" s="19">
        <v>1013</v>
      </c>
      <c r="AS333" s="19">
        <v>1254</v>
      </c>
    </row>
    <row r="334" spans="1:45" x14ac:dyDescent="0.25">
      <c r="A334">
        <v>447</v>
      </c>
      <c r="B334" s="11">
        <f t="shared" si="5"/>
        <v>80124</v>
      </c>
      <c r="C334" s="16">
        <v>801240</v>
      </c>
      <c r="D334" s="17">
        <v>0</v>
      </c>
      <c r="E334" s="17">
        <v>0</v>
      </c>
      <c r="F334" s="17">
        <v>47</v>
      </c>
      <c r="G334" s="17">
        <v>57</v>
      </c>
      <c r="H334" s="13" t="str" cm="1">
        <f t="array" ref="H334">_xlfn.IFS(G334&lt;=20,"0-20",G334&lt;=30,"20-30",G334&lt;=40,"30-40",G334&lt;=50,"50-60",G334&lt;=60,"60-70",G334&lt;=70,"70-80",G334&lt;=80,"80-90")</f>
        <v>60-70</v>
      </c>
      <c r="I334" s="17">
        <v>2162</v>
      </c>
      <c r="J334" s="13" t="str" cm="1">
        <f t="array" ref="J334">_xlfn.IFS(K334=1,"Divorciado",L334=1,"Casado",M334=1,"Solteiro",N334=1,"Juntos",O334=1,"Viuvo")</f>
        <v>Casado</v>
      </c>
      <c r="K334" s="17">
        <v>0</v>
      </c>
      <c r="L334" s="17">
        <v>1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1</v>
      </c>
      <c r="S334" s="17">
        <v>0</v>
      </c>
      <c r="T334" s="17">
        <v>0</v>
      </c>
      <c r="U334" s="17">
        <v>483</v>
      </c>
      <c r="V334" s="13" t="str" cm="1">
        <f t="array" ref="V334">_xlfn.IFS(U334&lt;=250,"0-R$250",U334&lt;=500,"251-R$500",U334&lt;=750,"501-R$750",U334&lt;=1000,"751-R$1000",U334&lt;=1250,"1001-R$1250",U334&lt;=1500,"1251-R$1500")</f>
        <v>251-R$500</v>
      </c>
      <c r="W334" s="17">
        <v>84</v>
      </c>
      <c r="X334" s="13" t="str" cm="1">
        <f t="array" ref="X334">_xlfn.IFS(W334 = 0, "0", W334&lt;=20, "até R$20",W334&lt;=40, "21 - R$40",W334&lt;=60, "41- R$60",W334&lt;=80, "61 - R$80", W334&lt;=100, "81 - R$100",W334&lt;=120, "101 - R$120",W334&lt;=140, "121 - R$140", W334&lt;=160, "141- R$160", W334&lt;=180, "161 - R$180", W334&lt;=200, "181-R$194")</f>
        <v>81 - R$100</v>
      </c>
      <c r="Y334" s="17">
        <v>398</v>
      </c>
      <c r="Z334" s="17">
        <v>205</v>
      </c>
      <c r="AA334" s="17">
        <v>84</v>
      </c>
      <c r="AB334" s="17">
        <v>241</v>
      </c>
      <c r="AC334" s="17">
        <v>1</v>
      </c>
      <c r="AD334" s="17">
        <v>3</v>
      </c>
      <c r="AE334" s="17">
        <v>7</v>
      </c>
      <c r="AF334" s="17">
        <v>8</v>
      </c>
      <c r="AG334" s="17">
        <v>1</v>
      </c>
      <c r="AH334" s="17">
        <v>0</v>
      </c>
      <c r="AI334" s="17">
        <v>1</v>
      </c>
      <c r="AJ334" s="17">
        <v>0</v>
      </c>
      <c r="AK334" s="17">
        <v>0</v>
      </c>
      <c r="AL334" s="17">
        <v>0</v>
      </c>
      <c r="AM334" s="17">
        <v>0</v>
      </c>
      <c r="AN334" s="17">
        <v>0</v>
      </c>
      <c r="AO334" s="18">
        <v>1</v>
      </c>
      <c r="AP334" s="17">
        <v>3</v>
      </c>
      <c r="AQ334" s="17">
        <v>11</v>
      </c>
      <c r="AR334" s="19">
        <v>1013</v>
      </c>
      <c r="AS334" s="19">
        <v>1254</v>
      </c>
    </row>
    <row r="335" spans="1:45" x14ac:dyDescent="0.25">
      <c r="A335">
        <v>1057</v>
      </c>
      <c r="B335" s="11">
        <f t="shared" si="5"/>
        <v>87171</v>
      </c>
      <c r="C335" s="16">
        <v>871710</v>
      </c>
      <c r="D335" s="17">
        <v>0</v>
      </c>
      <c r="E335" s="17">
        <v>0</v>
      </c>
      <c r="F335" s="17">
        <v>27</v>
      </c>
      <c r="G335" s="17">
        <v>39</v>
      </c>
      <c r="H335" s="13" t="str" cm="1">
        <f t="array" ref="H335">_xlfn.IFS(G335&lt;=20,"0-20",G335&lt;=30,"20-30",G335&lt;=40,"30-40",G335&lt;=50,"50-60",G335&lt;=60,"60-70",G335&lt;=70,"70-80",G335&lt;=80,"80-90")</f>
        <v>30-40</v>
      </c>
      <c r="I335" s="17">
        <v>2583</v>
      </c>
      <c r="J335" s="13" t="str" cm="1">
        <f t="array" ref="J335">_xlfn.IFS(K335=1,"Divorciado",L335=1,"Casado",M335=1,"Solteiro",N335=1,"Juntos",O335=1,"Viuvo")</f>
        <v>Casado</v>
      </c>
      <c r="K335" s="17">
        <v>0</v>
      </c>
      <c r="L335" s="17">
        <v>1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1</v>
      </c>
      <c r="U335" s="17">
        <v>1001</v>
      </c>
      <c r="V335" s="13" t="str" cm="1">
        <f t="array" ref="V335">_xlfn.IFS(U335&lt;=250,"0-R$250",U335&lt;=500,"251-R$500",U335&lt;=750,"501-R$750",U335&lt;=1000,"751-R$1000",U335&lt;=1250,"1001-R$1250",U335&lt;=1500,"1251-R$1500")</f>
        <v>1001-R$1250</v>
      </c>
      <c r="W335" s="17">
        <v>44</v>
      </c>
      <c r="X335" s="13" t="str" cm="1">
        <f t="array" ref="X335">_xlfn.IFS(W335 = 0, "0", W335&lt;=20, "até R$20",W335&lt;=40, "21 - R$40",W335&lt;=60, "41- R$60",W335&lt;=80, "61 - R$80", W335&lt;=100, "81 - R$100",W335&lt;=120, "101 - R$120",W335&lt;=140, "121 - R$140", W335&lt;=160, "141- R$160", W335&lt;=180, "161 - R$180", W335&lt;=200, "181-R$194")</f>
        <v>41- R$60</v>
      </c>
      <c r="Y335" s="17">
        <v>107</v>
      </c>
      <c r="Z335" s="17">
        <v>58</v>
      </c>
      <c r="AA335" s="17">
        <v>44</v>
      </c>
      <c r="AB335" s="17">
        <v>44</v>
      </c>
      <c r="AC335" s="17">
        <v>1</v>
      </c>
      <c r="AD335" s="17">
        <v>6</v>
      </c>
      <c r="AE335" s="17">
        <v>7</v>
      </c>
      <c r="AF335" s="17">
        <v>11</v>
      </c>
      <c r="AG335" s="17">
        <v>2</v>
      </c>
      <c r="AH335" s="17">
        <v>0</v>
      </c>
      <c r="AI335" s="17">
        <v>1</v>
      </c>
      <c r="AJ335" s="17">
        <v>0</v>
      </c>
      <c r="AK335" s="17">
        <v>1</v>
      </c>
      <c r="AL335" s="17">
        <v>0</v>
      </c>
      <c r="AM335" s="17">
        <v>0</v>
      </c>
      <c r="AN335" s="17">
        <v>0</v>
      </c>
      <c r="AO335" s="18">
        <v>2</v>
      </c>
      <c r="AP335" s="17">
        <v>3</v>
      </c>
      <c r="AQ335" s="17">
        <v>11</v>
      </c>
      <c r="AR335" s="19">
        <v>1210</v>
      </c>
      <c r="AS335" s="19">
        <v>1254</v>
      </c>
    </row>
    <row r="336" spans="1:45" x14ac:dyDescent="0.25">
      <c r="A336">
        <v>1902</v>
      </c>
      <c r="B336" s="11">
        <f t="shared" si="5"/>
        <v>70617</v>
      </c>
      <c r="C336" s="12">
        <v>706170</v>
      </c>
      <c r="D336" s="13">
        <v>0</v>
      </c>
      <c r="E336" s="13">
        <v>0</v>
      </c>
      <c r="F336" s="13">
        <v>45</v>
      </c>
      <c r="G336" s="13">
        <v>50</v>
      </c>
      <c r="H336" s="13" t="str" cm="1">
        <f t="array" ref="H336">_xlfn.IFS(G336&lt;=20,"0-20",G336&lt;=30,"20-30",G336&lt;=40,"30-40",G336&lt;=50,"50-60",G336&lt;=60,"60-70",G336&lt;=70,"70-80",G336&lt;=80,"80-90")</f>
        <v>50-60</v>
      </c>
      <c r="I336" s="13">
        <v>2530</v>
      </c>
      <c r="J336" s="13" t="str" cm="1">
        <f t="array" ref="J336">_xlfn.IFS(K336=1,"Divorciado",L336=1,"Casado",M336=1,"Solteiro",N336=1,"Juntos",O336=1,"Viuvo")</f>
        <v>Casado</v>
      </c>
      <c r="K336" s="13">
        <v>0</v>
      </c>
      <c r="L336" s="13">
        <v>1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1</v>
      </c>
      <c r="S336" s="13">
        <v>0</v>
      </c>
      <c r="T336" s="13">
        <v>0</v>
      </c>
      <c r="U336" s="13">
        <v>353</v>
      </c>
      <c r="V336" s="13" t="str" cm="1">
        <f t="array" ref="V336">_xlfn.IFS(U336&lt;=250,"0-R$250",U336&lt;=500,"251-R$500",U336&lt;=750,"501-R$750",U336&lt;=1000,"751-R$1000",U336&lt;=1250,"1001-R$1250",U336&lt;=1500,"1251-R$1500")</f>
        <v>251-R$500</v>
      </c>
      <c r="W336" s="13">
        <v>61</v>
      </c>
      <c r="X336" s="13" t="str" cm="1">
        <f t="array" ref="X336">_xlfn.IFS(W336 = 0, "0", W336&lt;=20, "até R$20",W336&lt;=40, "21 - R$40",W336&lt;=60, "41- R$60",W336&lt;=80, "61 - R$80", W336&lt;=100, "81 - R$100",W336&lt;=120, "101 - R$120",W336&lt;=140, "121 - R$140", W336&lt;=160, "141- R$160", W336&lt;=180, "161 - R$180", W336&lt;=200, "181-R$194")</f>
        <v>61 - R$80</v>
      </c>
      <c r="Y336" s="13">
        <v>753</v>
      </c>
      <c r="Z336" s="13">
        <v>40</v>
      </c>
      <c r="AA336" s="13">
        <v>46</v>
      </c>
      <c r="AB336" s="13">
        <v>27</v>
      </c>
      <c r="AC336" s="13">
        <v>1</v>
      </c>
      <c r="AD336" s="13">
        <v>3</v>
      </c>
      <c r="AE336" s="13">
        <v>3</v>
      </c>
      <c r="AF336" s="13">
        <v>7</v>
      </c>
      <c r="AG336" s="13">
        <v>2</v>
      </c>
      <c r="AH336" s="13">
        <v>0</v>
      </c>
      <c r="AI336" s="13">
        <v>0</v>
      </c>
      <c r="AJ336" s="13">
        <v>0</v>
      </c>
      <c r="AK336" s="13">
        <v>0</v>
      </c>
      <c r="AL336" s="13">
        <v>0</v>
      </c>
      <c r="AM336" s="13">
        <v>0</v>
      </c>
      <c r="AN336" s="13">
        <v>0</v>
      </c>
      <c r="AO336" s="14">
        <v>0</v>
      </c>
      <c r="AP336" s="13">
        <v>3</v>
      </c>
      <c r="AQ336" s="13">
        <v>11</v>
      </c>
      <c r="AR336" s="15">
        <v>1226</v>
      </c>
      <c r="AS336" s="15">
        <v>1253</v>
      </c>
    </row>
    <row r="337" spans="1:45" x14ac:dyDescent="0.25">
      <c r="A337">
        <v>748</v>
      </c>
      <c r="B337" s="11">
        <f t="shared" si="5"/>
        <v>67430</v>
      </c>
      <c r="C337" s="12">
        <v>674300</v>
      </c>
      <c r="D337" s="13">
        <v>0</v>
      </c>
      <c r="E337" s="13">
        <v>0</v>
      </c>
      <c r="F337" s="13">
        <v>6</v>
      </c>
      <c r="G337" s="13">
        <v>33</v>
      </c>
      <c r="H337" s="13" t="str" cm="1">
        <f t="array" ref="H337">_xlfn.IFS(G337&lt;=20,"0-20",G337&lt;=30,"20-30",G337&lt;=40,"30-40",G337&lt;=50,"50-60",G337&lt;=60,"60-70",G337&lt;=70,"70-80",G337&lt;=80,"80-90")</f>
        <v>30-40</v>
      </c>
      <c r="I337" s="13">
        <v>2821</v>
      </c>
      <c r="J337" s="13" t="str" cm="1">
        <f t="array" ref="J337">_xlfn.IFS(K337=1,"Divorciado",L337=1,"Casado",M337=1,"Solteiro",N337=1,"Juntos",O337=1,"Viuvo")</f>
        <v>Juntos</v>
      </c>
      <c r="K337" s="13">
        <v>0</v>
      </c>
      <c r="L337" s="13">
        <v>0</v>
      </c>
      <c r="M337" s="13">
        <v>0</v>
      </c>
      <c r="N337" s="13">
        <v>1</v>
      </c>
      <c r="O337" s="13">
        <v>0</v>
      </c>
      <c r="P337" s="13">
        <v>0</v>
      </c>
      <c r="Q337" s="13">
        <v>0</v>
      </c>
      <c r="R337" s="13">
        <v>1</v>
      </c>
      <c r="S337" s="13">
        <v>0</v>
      </c>
      <c r="T337" s="13">
        <v>0</v>
      </c>
      <c r="U337" s="13">
        <v>595</v>
      </c>
      <c r="V337" s="13" t="str" cm="1">
        <f t="array" ref="V337">_xlfn.IFS(U337&lt;=250,"0-R$250",U337&lt;=500,"251-R$500",U337&lt;=750,"501-R$750",U337&lt;=1000,"751-R$1000",U337&lt;=1250,"1001-R$1250",U337&lt;=1500,"1251-R$1500")</f>
        <v>501-R$750</v>
      </c>
      <c r="W337" s="13">
        <v>97</v>
      </c>
      <c r="X337" s="13" t="str" cm="1">
        <f t="array" ref="X337">_xlfn.IFS(W337 = 0, "0", W337&lt;=20, "até R$20",W337&lt;=40, "21 - R$40",W337&lt;=60, "41- R$60",W337&lt;=80, "61 - R$80", W337&lt;=100, "81 - R$100",W337&lt;=120, "101 - R$120",W337&lt;=140, "121 - R$140", W337&lt;=160, "141- R$160", W337&lt;=180, "161 - R$180", W337&lt;=200, "181-R$194")</f>
        <v>81 - R$100</v>
      </c>
      <c r="Y337" s="13">
        <v>291</v>
      </c>
      <c r="Z337" s="13">
        <v>127</v>
      </c>
      <c r="AA337" s="13">
        <v>133</v>
      </c>
      <c r="AB337" s="13">
        <v>121</v>
      </c>
      <c r="AC337" s="13">
        <v>1</v>
      </c>
      <c r="AD337" s="13">
        <v>11</v>
      </c>
      <c r="AE337" s="13">
        <v>5</v>
      </c>
      <c r="AF337" s="13">
        <v>12</v>
      </c>
      <c r="AG337" s="13">
        <v>6</v>
      </c>
      <c r="AH337" s="13">
        <v>0</v>
      </c>
      <c r="AI337" s="13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14">
        <v>0</v>
      </c>
      <c r="AP337" s="13">
        <v>3</v>
      </c>
      <c r="AQ337" s="13">
        <v>11</v>
      </c>
      <c r="AR337" s="15">
        <v>1122</v>
      </c>
      <c r="AS337" s="15">
        <v>1243</v>
      </c>
    </row>
    <row r="338" spans="1:45" x14ac:dyDescent="0.25">
      <c r="A338">
        <v>66</v>
      </c>
      <c r="B338" s="11">
        <f t="shared" si="5"/>
        <v>66991</v>
      </c>
      <c r="C338" s="12">
        <v>669910</v>
      </c>
      <c r="D338" s="13">
        <v>0</v>
      </c>
      <c r="E338" s="13">
        <v>0</v>
      </c>
      <c r="F338" s="13">
        <v>1</v>
      </c>
      <c r="G338" s="13">
        <v>66</v>
      </c>
      <c r="H338" s="13" t="str" cm="1">
        <f t="array" ref="H338">_xlfn.IFS(G338&lt;=20,"0-20",G338&lt;=30,"20-30",G338&lt;=40,"30-40",G338&lt;=50,"50-60",G338&lt;=60,"60-70",G338&lt;=70,"70-80",G338&lt;=80,"80-90")</f>
        <v>70-80</v>
      </c>
      <c r="I338" s="13">
        <v>2815</v>
      </c>
      <c r="J338" s="13" t="str" cm="1">
        <f t="array" ref="J338">_xlfn.IFS(K338=1,"Divorciado",L338=1,"Casado",M338=1,"Solteiro",N338=1,"Juntos",O338=1,"Viuvo")</f>
        <v>Casado</v>
      </c>
      <c r="K338" s="13">
        <v>0</v>
      </c>
      <c r="L338" s="13">
        <v>1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1</v>
      </c>
      <c r="T338" s="13">
        <v>0</v>
      </c>
      <c r="U338" s="13">
        <v>496</v>
      </c>
      <c r="V338" s="13" t="str" cm="1">
        <f t="array" ref="V338">_xlfn.IFS(U338&lt;=250,"0-R$250",U338&lt;=500,"251-R$500",U338&lt;=750,"501-R$750",U338&lt;=1000,"751-R$1000",U338&lt;=1250,"1001-R$1250",U338&lt;=1500,"1251-R$1500")</f>
        <v>251-R$500</v>
      </c>
      <c r="W338" s="13">
        <v>36</v>
      </c>
      <c r="X338" s="13" t="str" cm="1">
        <f t="array" ref="X338">_xlfn.IFS(W338 = 0, "0", W338&lt;=20, "até R$20",W338&lt;=40, "21 - R$40",W338&lt;=60, "41- R$60",W338&lt;=80, "61 - R$80", W338&lt;=100, "81 - R$100",W338&lt;=120, "101 - R$120",W338&lt;=140, "121 - R$140", W338&lt;=160, "141- R$160", W338&lt;=180, "161 - R$180", W338&lt;=200, "181-R$194")</f>
        <v>21 - R$40</v>
      </c>
      <c r="Y338" s="13">
        <v>460</v>
      </c>
      <c r="Z338" s="13">
        <v>189</v>
      </c>
      <c r="AA338" s="13">
        <v>60</v>
      </c>
      <c r="AB338" s="13">
        <v>12</v>
      </c>
      <c r="AC338" s="13">
        <v>3</v>
      </c>
      <c r="AD338" s="13">
        <v>4</v>
      </c>
      <c r="AE338" s="13">
        <v>8</v>
      </c>
      <c r="AF338" s="13">
        <v>6</v>
      </c>
      <c r="AG338" s="13">
        <v>3</v>
      </c>
      <c r="AH338" s="13">
        <v>0</v>
      </c>
      <c r="AI338" s="13">
        <v>0</v>
      </c>
      <c r="AJ338" s="13">
        <v>0</v>
      </c>
      <c r="AK338" s="13">
        <v>0</v>
      </c>
      <c r="AL338" s="13">
        <v>0</v>
      </c>
      <c r="AM338" s="13">
        <v>0</v>
      </c>
      <c r="AN338" s="13">
        <v>0</v>
      </c>
      <c r="AO338" s="14">
        <v>0</v>
      </c>
      <c r="AP338" s="13">
        <v>3</v>
      </c>
      <c r="AQ338" s="13">
        <v>11</v>
      </c>
      <c r="AR338" s="15">
        <v>1229</v>
      </c>
      <c r="AS338" s="15">
        <v>1241</v>
      </c>
    </row>
    <row r="339" spans="1:45" x14ac:dyDescent="0.25">
      <c r="A339">
        <v>720</v>
      </c>
      <c r="B339" s="11">
        <f t="shared" si="5"/>
        <v>62882</v>
      </c>
      <c r="C339" s="12">
        <v>628820</v>
      </c>
      <c r="D339" s="13">
        <v>0</v>
      </c>
      <c r="E339" s="13">
        <v>1</v>
      </c>
      <c r="F339" s="13">
        <v>26</v>
      </c>
      <c r="G339" s="13">
        <v>51</v>
      </c>
      <c r="H339" s="13" t="str" cm="1">
        <f t="array" ref="H339">_xlfn.IFS(G339&lt;=20,"0-20",G339&lt;=30,"20-30",G339&lt;=40,"30-40",G339&lt;=50,"50-60",G339&lt;=60,"60-70",G339&lt;=70,"70-80",G339&lt;=80,"80-90")</f>
        <v>60-70</v>
      </c>
      <c r="I339" s="13">
        <v>2848</v>
      </c>
      <c r="J339" s="13" t="str" cm="1">
        <f t="array" ref="J339">_xlfn.IFS(K339=1,"Divorciado",L339=1,"Casado",M339=1,"Solteiro",N339=1,"Juntos",O339=1,"Viuvo")</f>
        <v>Juntos</v>
      </c>
      <c r="K339" s="13">
        <v>0</v>
      </c>
      <c r="L339" s="13">
        <v>0</v>
      </c>
      <c r="M339" s="13">
        <v>0</v>
      </c>
      <c r="N339" s="13">
        <v>1</v>
      </c>
      <c r="O339" s="13">
        <v>0</v>
      </c>
      <c r="P339" s="13">
        <v>0</v>
      </c>
      <c r="Q339" s="13">
        <v>0</v>
      </c>
      <c r="R339" s="13">
        <v>1</v>
      </c>
      <c r="S339" s="13">
        <v>0</v>
      </c>
      <c r="T339" s="13">
        <v>0</v>
      </c>
      <c r="U339" s="13">
        <v>509</v>
      </c>
      <c r="V339" s="13" t="str" cm="1">
        <f t="array" ref="V339">_xlfn.IFS(U339&lt;=250,"0-R$250",U339&lt;=500,"251-R$500",U339&lt;=750,"501-R$750",U339&lt;=1000,"751-R$1000",U339&lt;=1250,"1001-R$1250",U339&lt;=1500,"1251-R$1500")</f>
        <v>501-R$750</v>
      </c>
      <c r="W339" s="13">
        <v>133</v>
      </c>
      <c r="X339" s="13" t="str" cm="1">
        <f t="array" ref="X339">_xlfn.IFS(W339 = 0, "0", W339&lt;=20, "até R$20",W339&lt;=40, "21 - R$40",W339&lt;=60, "41- R$60",W339&lt;=80, "61 - R$80", W339&lt;=100, "81 - R$100",W339&lt;=120, "101 - R$120",W339&lt;=140, "121 - R$140", W339&lt;=160, "141- R$160", W339&lt;=180, "161 - R$180", W339&lt;=200, "181-R$194")</f>
        <v>121 - R$140</v>
      </c>
      <c r="Y339" s="13">
        <v>497</v>
      </c>
      <c r="Z339" s="13">
        <v>78</v>
      </c>
      <c r="AA339" s="13">
        <v>24</v>
      </c>
      <c r="AB339" s="13">
        <v>97</v>
      </c>
      <c r="AC339" s="13">
        <v>2</v>
      </c>
      <c r="AD339" s="13">
        <v>7</v>
      </c>
      <c r="AE339" s="13">
        <v>5</v>
      </c>
      <c r="AF339" s="13">
        <v>6</v>
      </c>
      <c r="AG339" s="13">
        <v>4</v>
      </c>
      <c r="AH339" s="13">
        <v>0</v>
      </c>
      <c r="AI339" s="13">
        <v>0</v>
      </c>
      <c r="AJ339" s="13">
        <v>0</v>
      </c>
      <c r="AK339" s="13">
        <v>0</v>
      </c>
      <c r="AL339" s="13">
        <v>0</v>
      </c>
      <c r="AM339" s="13">
        <v>0</v>
      </c>
      <c r="AN339" s="13">
        <v>0</v>
      </c>
      <c r="AO339" s="14">
        <v>0</v>
      </c>
      <c r="AP339" s="13">
        <v>3</v>
      </c>
      <c r="AQ339" s="13">
        <v>11</v>
      </c>
      <c r="AR339" s="15">
        <v>1144</v>
      </c>
      <c r="AS339" s="15">
        <v>1241</v>
      </c>
    </row>
    <row r="340" spans="1:45" x14ac:dyDescent="0.25">
      <c r="A340">
        <v>2136</v>
      </c>
      <c r="B340" s="11">
        <f t="shared" si="5"/>
        <v>90000</v>
      </c>
      <c r="C340" s="12">
        <v>900000</v>
      </c>
      <c r="D340" s="13">
        <v>0</v>
      </c>
      <c r="E340" s="13">
        <v>0</v>
      </c>
      <c r="F340" s="13">
        <v>91</v>
      </c>
      <c r="G340" s="13">
        <v>36</v>
      </c>
      <c r="H340" s="13" t="str" cm="1">
        <f t="array" ref="H340">_xlfn.IFS(G340&lt;=20,"0-20",G340&lt;=30,"20-30",G340&lt;=40,"30-40",G340&lt;=50,"50-60",G340&lt;=60,"60-70",G340&lt;=70,"70-80",G340&lt;=80,"80-90")</f>
        <v>30-40</v>
      </c>
      <c r="I340" s="13">
        <v>2347</v>
      </c>
      <c r="J340" s="13" t="str" cm="1">
        <f t="array" ref="J340">_xlfn.IFS(K340=1,"Divorciado",L340=1,"Casado",M340=1,"Solteiro",N340=1,"Juntos",O340=1,"Viuvo")</f>
        <v>Casado</v>
      </c>
      <c r="K340" s="13">
        <v>0</v>
      </c>
      <c r="L340" s="13">
        <v>1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13">
        <v>1</v>
      </c>
      <c r="S340" s="13">
        <v>0</v>
      </c>
      <c r="T340" s="13">
        <v>0</v>
      </c>
      <c r="U340" s="13">
        <v>675</v>
      </c>
      <c r="V340" s="13" t="str" cm="1">
        <f t="array" ref="V340">_xlfn.IFS(U340&lt;=250,"0-R$250",U340&lt;=500,"251-R$500",U340&lt;=750,"501-R$750",U340&lt;=1000,"751-R$1000",U340&lt;=1250,"1001-R$1250",U340&lt;=1500,"1251-R$1500")</f>
        <v>501-R$750</v>
      </c>
      <c r="W340" s="13">
        <v>144</v>
      </c>
      <c r="X340" s="13" t="str" cm="1">
        <f t="array" ref="X340">_xlfn.IFS(W340 = 0, "0", W340&lt;=20, "até R$20",W340&lt;=40, "21 - R$40",W340&lt;=60, "41- R$60",W340&lt;=80, "61 - R$80", W340&lt;=100, "81 - R$100",W340&lt;=120, "101 - R$120",W340&lt;=140, "121 - R$140", W340&lt;=160, "141- R$160", W340&lt;=180, "161 - R$180", W340&lt;=200, "181-R$194")</f>
        <v>141- R$160</v>
      </c>
      <c r="Y340" s="13">
        <v>133</v>
      </c>
      <c r="Z340" s="13">
        <v>94</v>
      </c>
      <c r="AA340" s="13">
        <v>192</v>
      </c>
      <c r="AB340" s="13">
        <v>241</v>
      </c>
      <c r="AC340" s="13">
        <v>1</v>
      </c>
      <c r="AD340" s="13">
        <v>4</v>
      </c>
      <c r="AE340" s="13">
        <v>8</v>
      </c>
      <c r="AF340" s="13">
        <v>5</v>
      </c>
      <c r="AG340" s="13">
        <v>1</v>
      </c>
      <c r="AH340" s="13">
        <v>0</v>
      </c>
      <c r="AI340" s="13">
        <v>1</v>
      </c>
      <c r="AJ340" s="13">
        <v>0</v>
      </c>
      <c r="AK340" s="13">
        <v>1</v>
      </c>
      <c r="AL340" s="13">
        <v>1</v>
      </c>
      <c r="AM340" s="13">
        <v>0</v>
      </c>
      <c r="AN340" s="13">
        <v>0</v>
      </c>
      <c r="AO340" s="14">
        <v>3</v>
      </c>
      <c r="AP340" s="13">
        <v>3</v>
      </c>
      <c r="AQ340" s="13">
        <v>11</v>
      </c>
      <c r="AR340" s="15">
        <v>997</v>
      </c>
      <c r="AS340" s="15">
        <v>1238</v>
      </c>
    </row>
    <row r="341" spans="1:45" x14ac:dyDescent="0.25">
      <c r="A341">
        <v>2113</v>
      </c>
      <c r="B341" s="11">
        <f t="shared" si="5"/>
        <v>78499</v>
      </c>
      <c r="C341" s="16">
        <v>784990</v>
      </c>
      <c r="D341" s="17">
        <v>0</v>
      </c>
      <c r="E341" s="17">
        <v>0</v>
      </c>
      <c r="F341" s="17">
        <v>12</v>
      </c>
      <c r="G341" s="17">
        <v>63</v>
      </c>
      <c r="H341" s="13" t="str" cm="1">
        <f t="array" ref="H341">_xlfn.IFS(G341&lt;=20,"0-20",G341&lt;=30,"20-30",G341&lt;=40,"30-40",G341&lt;=50,"50-60",G341&lt;=60,"60-70",G341&lt;=70,"70-80",G341&lt;=80,"80-90")</f>
        <v>70-80</v>
      </c>
      <c r="I341" s="17">
        <v>2377</v>
      </c>
      <c r="J341" s="13" t="str" cm="1">
        <f t="array" ref="J341">_xlfn.IFS(K341=1,"Divorciado",L341=1,"Casado",M341=1,"Solteiro",N341=1,"Juntos",O341=1,"Viuvo")</f>
        <v>Solteiro</v>
      </c>
      <c r="K341" s="17">
        <v>0</v>
      </c>
      <c r="L341" s="17">
        <v>0</v>
      </c>
      <c r="M341" s="17">
        <v>1</v>
      </c>
      <c r="N341" s="17">
        <v>0</v>
      </c>
      <c r="O341" s="17">
        <v>0</v>
      </c>
      <c r="P341" s="17">
        <v>0</v>
      </c>
      <c r="Q341" s="17">
        <v>0</v>
      </c>
      <c r="R341" s="17">
        <v>1</v>
      </c>
      <c r="S341" s="17">
        <v>0</v>
      </c>
      <c r="T341" s="17">
        <v>0</v>
      </c>
      <c r="U341" s="17">
        <v>912</v>
      </c>
      <c r="V341" s="13" t="str" cm="1">
        <f t="array" ref="V341">_xlfn.IFS(U341&lt;=250,"0-R$250",U341&lt;=500,"251-R$500",U341&lt;=750,"501-R$750",U341&lt;=1000,"751-R$1000",U341&lt;=1250,"1001-R$1250",U341&lt;=1500,"1251-R$1500")</f>
        <v>751-R$1000</v>
      </c>
      <c r="W341" s="17">
        <v>72</v>
      </c>
      <c r="X341" s="13" t="str" cm="1">
        <f t="array" ref="X341">_xlfn.IFS(W341 = 0, "0", W341&lt;=20, "até R$20",W341&lt;=40, "21 - R$40",W341&lt;=60, "41- R$60",W341&lt;=80, "61 - R$80", W341&lt;=100, "81 - R$100",W341&lt;=120, "101 - R$120",W341&lt;=140, "121 - R$140", W341&lt;=160, "141- R$160", W341&lt;=180, "161 - R$180", W341&lt;=200, "181-R$194")</f>
        <v>61 - R$80</v>
      </c>
      <c r="Y341" s="17">
        <v>170</v>
      </c>
      <c r="Z341" s="17">
        <v>47</v>
      </c>
      <c r="AA341" s="17">
        <v>36</v>
      </c>
      <c r="AB341" s="17">
        <v>97</v>
      </c>
      <c r="AC341" s="17">
        <v>1</v>
      </c>
      <c r="AD341" s="17">
        <v>11</v>
      </c>
      <c r="AE341" s="17">
        <v>3</v>
      </c>
      <c r="AF341" s="17">
        <v>4</v>
      </c>
      <c r="AG341" s="17">
        <v>4</v>
      </c>
      <c r="AH341" s="17">
        <v>0</v>
      </c>
      <c r="AI341" s="17">
        <v>0</v>
      </c>
      <c r="AJ341" s="17">
        <v>0</v>
      </c>
      <c r="AK341" s="17">
        <v>1</v>
      </c>
      <c r="AL341" s="17">
        <v>0</v>
      </c>
      <c r="AM341" s="17">
        <v>0</v>
      </c>
      <c r="AN341" s="17">
        <v>1</v>
      </c>
      <c r="AO341" s="18">
        <v>1</v>
      </c>
      <c r="AP341" s="17">
        <v>3</v>
      </c>
      <c r="AQ341" s="17">
        <v>11</v>
      </c>
      <c r="AR341" s="19">
        <v>1140</v>
      </c>
      <c r="AS341" s="19">
        <v>1237</v>
      </c>
    </row>
    <row r="342" spans="1:45" x14ac:dyDescent="0.25">
      <c r="A342">
        <v>63</v>
      </c>
      <c r="B342" s="11">
        <f t="shared" si="5"/>
        <v>88194</v>
      </c>
      <c r="C342" s="16">
        <v>881940</v>
      </c>
      <c r="D342" s="17">
        <v>0</v>
      </c>
      <c r="E342" s="17">
        <v>1</v>
      </c>
      <c r="F342" s="17">
        <v>19</v>
      </c>
      <c r="G342" s="17">
        <v>41</v>
      </c>
      <c r="H342" s="13" t="str" cm="1">
        <f t="array" ref="H342">_xlfn.IFS(G342&lt;=20,"0-20",G342&lt;=30,"20-30",G342&lt;=40,"30-40",G342&lt;=50,"50-60",G342&lt;=60,"60-70",G342&lt;=70,"70-80",G342&lt;=80,"80-90")</f>
        <v>50-60</v>
      </c>
      <c r="I342" s="17">
        <v>2261</v>
      </c>
      <c r="J342" s="13" t="str" cm="1">
        <f t="array" ref="J342">_xlfn.IFS(K342=1,"Divorciado",L342=1,"Casado",M342=1,"Solteiro",N342=1,"Juntos",O342=1,"Viuvo")</f>
        <v>Solteiro</v>
      </c>
      <c r="K342" s="17">
        <v>0</v>
      </c>
      <c r="L342" s="17">
        <v>0</v>
      </c>
      <c r="M342" s="17">
        <v>1</v>
      </c>
      <c r="N342" s="17">
        <v>0</v>
      </c>
      <c r="O342" s="17">
        <v>0</v>
      </c>
      <c r="P342" s="17">
        <v>1</v>
      </c>
      <c r="Q342" s="17">
        <v>0</v>
      </c>
      <c r="R342" s="17">
        <v>0</v>
      </c>
      <c r="S342" s="17">
        <v>0</v>
      </c>
      <c r="T342" s="17">
        <v>0</v>
      </c>
      <c r="U342" s="17">
        <v>688</v>
      </c>
      <c r="V342" s="13" t="str" cm="1">
        <f t="array" ref="V342">_xlfn.IFS(U342&lt;=250,"0-R$250",U342&lt;=500,"251-R$500",U342&lt;=750,"501-R$750",U342&lt;=1000,"751-R$1000",U342&lt;=1250,"1001-R$1250",U342&lt;=1500,"1251-R$1500")</f>
        <v>501-R$750</v>
      </c>
      <c r="W342" s="17">
        <v>14</v>
      </c>
      <c r="X342" s="13" t="str" cm="1">
        <f t="array" ref="X342">_xlfn.IFS(W342 = 0, "0", W342&lt;=20, "até R$20",W342&lt;=40, "21 - R$40",W342&lt;=60, "41- R$60",W342&lt;=80, "61 - R$80", W342&lt;=100, "81 - R$100",W342&lt;=120, "101 - R$120",W342&lt;=140, "121 - R$140", W342&lt;=160, "141- R$160", W342&lt;=180, "161 - R$180", W342&lt;=200, "181-R$194")</f>
        <v>até R$20</v>
      </c>
      <c r="Y342" s="17">
        <v>309</v>
      </c>
      <c r="Z342" s="17">
        <v>201</v>
      </c>
      <c r="AA342" s="17">
        <v>24</v>
      </c>
      <c r="AB342" s="17">
        <v>38</v>
      </c>
      <c r="AC342" s="17">
        <v>1</v>
      </c>
      <c r="AD342" s="17">
        <v>11</v>
      </c>
      <c r="AE342" s="17">
        <v>10</v>
      </c>
      <c r="AF342" s="17">
        <v>10</v>
      </c>
      <c r="AG342" s="17">
        <v>5</v>
      </c>
      <c r="AH342" s="17">
        <v>0</v>
      </c>
      <c r="AI342" s="17">
        <v>1</v>
      </c>
      <c r="AJ342" s="17">
        <v>0</v>
      </c>
      <c r="AK342" s="17">
        <v>0</v>
      </c>
      <c r="AL342" s="17">
        <v>1</v>
      </c>
      <c r="AM342" s="17">
        <v>0</v>
      </c>
      <c r="AN342" s="17">
        <v>1</v>
      </c>
      <c r="AO342" s="18">
        <v>2</v>
      </c>
      <c r="AP342" s="17">
        <v>3</v>
      </c>
      <c r="AQ342" s="17">
        <v>11</v>
      </c>
      <c r="AR342" s="19">
        <v>1198</v>
      </c>
      <c r="AS342" s="19">
        <v>1236</v>
      </c>
    </row>
    <row r="343" spans="1:45" x14ac:dyDescent="0.25">
      <c r="A343">
        <v>1885</v>
      </c>
      <c r="B343" s="11">
        <f t="shared" si="5"/>
        <v>92556</v>
      </c>
      <c r="C343" s="16">
        <v>925560</v>
      </c>
      <c r="D343" s="17">
        <v>0</v>
      </c>
      <c r="E343" s="17">
        <v>0</v>
      </c>
      <c r="F343" s="17">
        <v>32</v>
      </c>
      <c r="G343" s="17">
        <v>60</v>
      </c>
      <c r="H343" s="13" t="str" cm="1">
        <f t="array" ref="H343">_xlfn.IFS(G343&lt;=20,"0-20",G343&lt;=30,"20-30",G343&lt;=40,"30-40",G343&lt;=50,"50-60",G343&lt;=60,"60-70",G343&lt;=70,"70-80",G343&lt;=80,"80-90")</f>
        <v>60-70</v>
      </c>
      <c r="I343" s="17">
        <v>2229</v>
      </c>
      <c r="J343" s="13" t="str" cm="1">
        <f t="array" ref="J343">_xlfn.IFS(K343=1,"Divorciado",L343=1,"Casado",M343=1,"Solteiro",N343=1,"Juntos",O343=1,"Viuvo")</f>
        <v>Juntos</v>
      </c>
      <c r="K343" s="17">
        <v>0</v>
      </c>
      <c r="L343" s="17">
        <v>0</v>
      </c>
      <c r="M343" s="17">
        <v>0</v>
      </c>
      <c r="N343" s="17">
        <v>1</v>
      </c>
      <c r="O343" s="17">
        <v>0</v>
      </c>
      <c r="P343" s="17">
        <v>1</v>
      </c>
      <c r="Q343" s="17">
        <v>0</v>
      </c>
      <c r="R343" s="17">
        <v>0</v>
      </c>
      <c r="S343" s="17">
        <v>0</v>
      </c>
      <c r="T343" s="17">
        <v>0</v>
      </c>
      <c r="U343" s="17">
        <v>493</v>
      </c>
      <c r="V343" s="13" t="str" cm="1">
        <f t="array" ref="V343">_xlfn.IFS(U343&lt;=250,"0-R$250",U343&lt;=500,"251-R$500",U343&lt;=750,"501-R$750",U343&lt;=1000,"751-R$1000",U343&lt;=1250,"1001-R$1250",U343&lt;=1500,"1251-R$1500")</f>
        <v>251-R$500</v>
      </c>
      <c r="W343" s="17">
        <v>183</v>
      </c>
      <c r="X343" s="13" t="str" cm="1">
        <f t="array" ref="X343">_xlfn.IFS(W343 = 0, "0", W343&lt;=20, "até R$20",W343&lt;=40, "21 - R$40",W343&lt;=60, "41- R$60",W343&lt;=80, "61 - R$80", W343&lt;=100, "81 - R$100",W343&lt;=120, "101 - R$120",W343&lt;=140, "121 - R$140", W343&lt;=160, "141- R$160", W343&lt;=180, "161 - R$180", W343&lt;=200, "181-R$194")</f>
        <v>181-R$194</v>
      </c>
      <c r="Y343" s="17">
        <v>352</v>
      </c>
      <c r="Z343" s="17">
        <v>184</v>
      </c>
      <c r="AA343" s="17">
        <v>23</v>
      </c>
      <c r="AB343" s="17">
        <v>28</v>
      </c>
      <c r="AC343" s="17">
        <v>0</v>
      </c>
      <c r="AD343" s="17">
        <v>3</v>
      </c>
      <c r="AE343" s="17">
        <v>5</v>
      </c>
      <c r="AF343" s="17">
        <v>13</v>
      </c>
      <c r="AG343" s="17">
        <v>0</v>
      </c>
      <c r="AH343" s="17">
        <v>0</v>
      </c>
      <c r="AI343" s="17">
        <v>0</v>
      </c>
      <c r="AJ343" s="17">
        <v>0</v>
      </c>
      <c r="AK343" s="17">
        <v>0</v>
      </c>
      <c r="AL343" s="17">
        <v>0</v>
      </c>
      <c r="AM343" s="17">
        <v>0</v>
      </c>
      <c r="AN343" s="17">
        <v>0</v>
      </c>
      <c r="AO343" s="18">
        <v>0</v>
      </c>
      <c r="AP343" s="17">
        <v>3</v>
      </c>
      <c r="AQ343" s="17">
        <v>11</v>
      </c>
      <c r="AR343" s="19">
        <v>1207</v>
      </c>
      <c r="AS343" s="19">
        <v>1235</v>
      </c>
    </row>
    <row r="344" spans="1:45" x14ac:dyDescent="0.25">
      <c r="A344">
        <v>308</v>
      </c>
      <c r="B344" s="11">
        <f t="shared" si="5"/>
        <v>64325</v>
      </c>
      <c r="C344" s="12">
        <v>643250</v>
      </c>
      <c r="D344" s="13">
        <v>0</v>
      </c>
      <c r="E344" s="13">
        <v>1</v>
      </c>
      <c r="F344" s="13">
        <v>41</v>
      </c>
      <c r="G344" s="13">
        <v>59</v>
      </c>
      <c r="H344" s="13" t="str" cm="1">
        <f t="array" ref="H344">_xlfn.IFS(G344&lt;=20,"0-20",G344&lt;=30,"20-30",G344&lt;=40,"30-40",G344&lt;=50,"50-60",G344&lt;=60,"60-70",G344&lt;=70,"70-80",G344&lt;=80,"80-90")</f>
        <v>60-70</v>
      </c>
      <c r="I344" s="13">
        <v>2666</v>
      </c>
      <c r="J344" s="13" t="str" cm="1">
        <f t="array" ref="J344">_xlfn.IFS(K344=1,"Divorciado",L344=1,"Casado",M344=1,"Solteiro",N344=1,"Juntos",O344=1,"Viuvo")</f>
        <v>Divorciado</v>
      </c>
      <c r="K344" s="13">
        <v>1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1</v>
      </c>
      <c r="U344" s="13">
        <v>731</v>
      </c>
      <c r="V344" s="13" t="str" cm="1">
        <f t="array" ref="V344">_xlfn.IFS(U344&lt;=250,"0-R$250",U344&lt;=500,"251-R$500",U344&lt;=750,"501-R$750",U344&lt;=1000,"751-R$1000",U344&lt;=1250,"1001-R$1250",U344&lt;=1500,"1251-R$1500")</f>
        <v>501-R$750</v>
      </c>
      <c r="W344" s="13">
        <v>60</v>
      </c>
      <c r="X344" s="13" t="str" cm="1">
        <f t="array" ref="X344">_xlfn.IFS(W344 = 0, "0", W344&lt;=20, "até R$20",W344&lt;=40, "21 - R$40",W344&lt;=60, "41- R$60",W344&lt;=80, "61 - R$80", W344&lt;=100, "81 - R$100",W344&lt;=120, "101 - R$120",W344&lt;=140, "121 - R$140", W344&lt;=160, "141- R$160", W344&lt;=180, "161 - R$180", W344&lt;=200, "181-R$194")</f>
        <v>41- R$60</v>
      </c>
      <c r="Y344" s="13">
        <v>353</v>
      </c>
      <c r="Z344" s="13">
        <v>78</v>
      </c>
      <c r="AA344" s="13">
        <v>12</v>
      </c>
      <c r="AB344" s="13">
        <v>73</v>
      </c>
      <c r="AC344" s="13">
        <v>5</v>
      </c>
      <c r="AD344" s="13">
        <v>10</v>
      </c>
      <c r="AE344" s="13">
        <v>3</v>
      </c>
      <c r="AF344" s="13">
        <v>5</v>
      </c>
      <c r="AG344" s="13">
        <v>7</v>
      </c>
      <c r="AH344" s="13">
        <v>0</v>
      </c>
      <c r="AI344" s="13">
        <v>0</v>
      </c>
      <c r="AJ344" s="13">
        <v>0</v>
      </c>
      <c r="AK344" s="13">
        <v>0</v>
      </c>
      <c r="AL344" s="13">
        <v>0</v>
      </c>
      <c r="AM344" s="13">
        <v>0</v>
      </c>
      <c r="AN344" s="13">
        <v>0</v>
      </c>
      <c r="AO344" s="14">
        <v>0</v>
      </c>
      <c r="AP344" s="13">
        <v>3</v>
      </c>
      <c r="AQ344" s="13">
        <v>11</v>
      </c>
      <c r="AR344" s="15">
        <v>1161</v>
      </c>
      <c r="AS344" s="15">
        <v>1234</v>
      </c>
    </row>
    <row r="345" spans="1:45" x14ac:dyDescent="0.25">
      <c r="A345">
        <v>1666</v>
      </c>
      <c r="B345" s="11">
        <f t="shared" si="5"/>
        <v>61787</v>
      </c>
      <c r="C345" s="12">
        <v>617870</v>
      </c>
      <c r="D345" s="13">
        <v>0</v>
      </c>
      <c r="E345" s="13">
        <v>0</v>
      </c>
      <c r="F345" s="13">
        <v>71</v>
      </c>
      <c r="G345" s="13">
        <v>33</v>
      </c>
      <c r="H345" s="13" t="str" cm="1">
        <f t="array" ref="H345">_xlfn.IFS(G345&lt;=20,"0-20",G345&lt;=30,"20-30",G345&lt;=40,"30-40",G345&lt;=50,"50-60",G345&lt;=60,"60-70",G345&lt;=70,"70-80",G345&lt;=80,"80-90")</f>
        <v>30-40</v>
      </c>
      <c r="I345" s="13">
        <v>2517</v>
      </c>
      <c r="J345" s="13" t="str" cm="1">
        <f t="array" ref="J345">_xlfn.IFS(K345=1,"Divorciado",L345=1,"Casado",M345=1,"Solteiro",N345=1,"Juntos",O345=1,"Viuvo")</f>
        <v>Divorciado</v>
      </c>
      <c r="K345" s="13">
        <v>1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1</v>
      </c>
      <c r="T345" s="13">
        <v>0</v>
      </c>
      <c r="U345" s="13">
        <v>621</v>
      </c>
      <c r="V345" s="13" t="str" cm="1">
        <f t="array" ref="V345">_xlfn.IFS(U345&lt;=250,"0-R$250",U345&lt;=500,"251-R$500",U345&lt;=750,"501-R$750",U345&lt;=1000,"751-R$1000",U345&lt;=1250,"1001-R$1250",U345&lt;=1500,"1251-R$1500")</f>
        <v>501-R$750</v>
      </c>
      <c r="W345" s="13">
        <v>73</v>
      </c>
      <c r="X345" s="13" t="str" cm="1">
        <f t="array" ref="X345">_xlfn.IFS(W345 = 0, "0", W345&lt;=20, "até R$20",W345&lt;=40, "21 - R$40",W345&lt;=60, "41- R$60",W345&lt;=80, "61 - R$80", W345&lt;=100, "81 - R$100",W345&lt;=120, "101 - R$120",W345&lt;=140, "121 - R$140", W345&lt;=160, "141- R$160", W345&lt;=180, "161 - R$180", W345&lt;=200, "181-R$194")</f>
        <v>61 - R$80</v>
      </c>
      <c r="Y345" s="13">
        <v>414</v>
      </c>
      <c r="Z345" s="13">
        <v>78</v>
      </c>
      <c r="AA345" s="13">
        <v>48</v>
      </c>
      <c r="AB345" s="13">
        <v>85</v>
      </c>
      <c r="AC345" s="13">
        <v>1</v>
      </c>
      <c r="AD345" s="13">
        <v>8</v>
      </c>
      <c r="AE345" s="13">
        <v>4</v>
      </c>
      <c r="AF345" s="13">
        <v>6</v>
      </c>
      <c r="AG345" s="13">
        <v>5</v>
      </c>
      <c r="AH345" s="13">
        <v>0</v>
      </c>
      <c r="AI345" s="13">
        <v>0</v>
      </c>
      <c r="AJ345" s="13">
        <v>0</v>
      </c>
      <c r="AK345" s="13">
        <v>0</v>
      </c>
      <c r="AL345" s="13">
        <v>0</v>
      </c>
      <c r="AM345" s="13">
        <v>0</v>
      </c>
      <c r="AN345" s="13">
        <v>0</v>
      </c>
      <c r="AO345" s="14">
        <v>0</v>
      </c>
      <c r="AP345" s="13">
        <v>3</v>
      </c>
      <c r="AQ345" s="13">
        <v>11</v>
      </c>
      <c r="AR345" s="15">
        <v>1149</v>
      </c>
      <c r="AS345" s="15">
        <v>1234</v>
      </c>
    </row>
    <row r="346" spans="1:45" x14ac:dyDescent="0.25">
      <c r="A346">
        <v>870</v>
      </c>
      <c r="B346" s="11">
        <f t="shared" si="5"/>
        <v>68092</v>
      </c>
      <c r="C346" s="12">
        <v>680920</v>
      </c>
      <c r="D346" s="13">
        <v>0</v>
      </c>
      <c r="E346" s="13">
        <v>0</v>
      </c>
      <c r="F346" s="13">
        <v>7</v>
      </c>
      <c r="G346" s="13">
        <v>42</v>
      </c>
      <c r="H346" s="13" t="str" cm="1">
        <f t="array" ref="H346">_xlfn.IFS(G346&lt;=20,"0-20",G346&lt;=30,"20-30",G346&lt;=40,"30-40",G346&lt;=50,"50-60",G346&lt;=60,"60-70",G346&lt;=70,"70-80",G346&lt;=80,"80-90")</f>
        <v>50-60</v>
      </c>
      <c r="I346" s="13">
        <v>2354</v>
      </c>
      <c r="J346" s="13" t="str" cm="1">
        <f t="array" ref="J346">_xlfn.IFS(K346=1,"Divorciado",L346=1,"Casado",M346=1,"Solteiro",N346=1,"Juntos",O346=1,"Viuvo")</f>
        <v>Solteiro</v>
      </c>
      <c r="K346" s="13">
        <v>0</v>
      </c>
      <c r="L346" s="13">
        <v>0</v>
      </c>
      <c r="M346" s="13">
        <v>1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1</v>
      </c>
      <c r="T346" s="13">
        <v>0</v>
      </c>
      <c r="U346" s="13">
        <v>852</v>
      </c>
      <c r="V346" s="13" t="str" cm="1">
        <f t="array" ref="V346">_xlfn.IFS(U346&lt;=250,"0-R$250",U346&lt;=500,"251-R$500",U346&lt;=750,"501-R$750",U346&lt;=1000,"751-R$1000",U346&lt;=1250,"1001-R$1250",U346&lt;=1500,"1251-R$1500")</f>
        <v>751-R$1000</v>
      </c>
      <c r="W346" s="13">
        <v>60</v>
      </c>
      <c r="X346" s="13" t="str" cm="1">
        <f t="array" ref="X346">_xlfn.IFS(W346 = 0, "0", W346&lt;=20, "até R$20",W346&lt;=40, "21 - R$40",W346&lt;=60, "41- R$60",W346&lt;=80, "61 - R$80", W346&lt;=100, "81 - R$100",W346&lt;=120, "101 - R$120",W346&lt;=140, "121 - R$140", W346&lt;=160, "141- R$160", W346&lt;=180, "161 - R$180", W346&lt;=200, "181-R$194")</f>
        <v>41- R$60</v>
      </c>
      <c r="Y346" s="13">
        <v>207</v>
      </c>
      <c r="Z346" s="13">
        <v>78</v>
      </c>
      <c r="AA346" s="13">
        <v>36</v>
      </c>
      <c r="AB346" s="13">
        <v>48</v>
      </c>
      <c r="AC346" s="13">
        <v>2</v>
      </c>
      <c r="AD346" s="13">
        <v>2</v>
      </c>
      <c r="AE346" s="13">
        <v>6</v>
      </c>
      <c r="AF346" s="13">
        <v>10</v>
      </c>
      <c r="AG346" s="13">
        <v>5</v>
      </c>
      <c r="AH346" s="13">
        <v>0</v>
      </c>
      <c r="AI346" s="13">
        <v>0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14">
        <v>0</v>
      </c>
      <c r="AP346" s="13">
        <v>3</v>
      </c>
      <c r="AQ346" s="13">
        <v>11</v>
      </c>
      <c r="AR346" s="15">
        <v>1185</v>
      </c>
      <c r="AS346" s="15">
        <v>1233</v>
      </c>
    </row>
    <row r="347" spans="1:45" x14ac:dyDescent="0.25">
      <c r="A347">
        <v>1284</v>
      </c>
      <c r="B347" s="11">
        <f t="shared" si="5"/>
        <v>71626</v>
      </c>
      <c r="C347" s="12">
        <v>716260</v>
      </c>
      <c r="D347" s="13">
        <v>0</v>
      </c>
      <c r="E347" s="13">
        <v>0</v>
      </c>
      <c r="F347" s="13">
        <v>94</v>
      </c>
      <c r="G347" s="13">
        <v>41</v>
      </c>
      <c r="H347" s="13" t="str" cm="1">
        <f t="array" ref="H347">_xlfn.IFS(G347&lt;=20,"0-20",G347&lt;=30,"20-30",G347&lt;=40,"30-40",G347&lt;=50,"50-60",G347&lt;=60,"60-70",G347&lt;=70,"70-80",G347&lt;=80,"80-90")</f>
        <v>50-60</v>
      </c>
      <c r="I347" s="13">
        <v>2764</v>
      </c>
      <c r="J347" s="13" t="str" cm="1">
        <f t="array" ref="J347">_xlfn.IFS(K347=1,"Divorciado",L347=1,"Casado",M347=1,"Solteiro",N347=1,"Juntos",O347=1,"Viuvo")</f>
        <v>Casado</v>
      </c>
      <c r="K347" s="13">
        <v>0</v>
      </c>
      <c r="L347" s="13">
        <v>1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1</v>
      </c>
      <c r="S347" s="13">
        <v>0</v>
      </c>
      <c r="T347" s="13">
        <v>0</v>
      </c>
      <c r="U347" s="13">
        <v>546</v>
      </c>
      <c r="V347" s="13" t="str" cm="1">
        <f t="array" ref="V347">_xlfn.IFS(U347&lt;=250,"0-R$250",U347&lt;=500,"251-R$500",U347&lt;=750,"501-R$750",U347&lt;=1000,"751-R$1000",U347&lt;=1250,"1001-R$1250",U347&lt;=1500,"1251-R$1500")</f>
        <v>501-R$750</v>
      </c>
      <c r="W347" s="13">
        <v>72</v>
      </c>
      <c r="X347" s="13" t="str" cm="1">
        <f t="array" ref="X347">_xlfn.IFS(W347 = 0, "0", W347&lt;=20, "até R$20",W347&lt;=40, "21 - R$40",W347&lt;=60, "41- R$60",W347&lt;=80, "61 - R$80", W347&lt;=100, "81 - R$100",W347&lt;=120, "101 - R$120",W347&lt;=140, "121 - R$140", W347&lt;=160, "141- R$160", W347&lt;=180, "161 - R$180", W347&lt;=200, "181-R$194")</f>
        <v>61 - R$80</v>
      </c>
      <c r="Y347" s="13">
        <v>376</v>
      </c>
      <c r="Z347" s="13">
        <v>94</v>
      </c>
      <c r="AA347" s="13">
        <v>145</v>
      </c>
      <c r="AB347" s="13">
        <v>72</v>
      </c>
      <c r="AC347" s="13">
        <v>1</v>
      </c>
      <c r="AD347" s="13">
        <v>5</v>
      </c>
      <c r="AE347" s="13">
        <v>5</v>
      </c>
      <c r="AF347" s="13">
        <v>8</v>
      </c>
      <c r="AG347" s="13">
        <v>3</v>
      </c>
      <c r="AH347" s="13">
        <v>0</v>
      </c>
      <c r="AI347" s="13">
        <v>0</v>
      </c>
      <c r="AJ347" s="13">
        <v>1</v>
      </c>
      <c r="AK347" s="13">
        <v>0</v>
      </c>
      <c r="AL347" s="13">
        <v>0</v>
      </c>
      <c r="AM347" s="13">
        <v>0</v>
      </c>
      <c r="AN347" s="13">
        <v>0</v>
      </c>
      <c r="AO347" s="14">
        <v>1</v>
      </c>
      <c r="AP347" s="13">
        <v>3</v>
      </c>
      <c r="AQ347" s="13">
        <v>11</v>
      </c>
      <c r="AR347" s="15">
        <v>1161</v>
      </c>
      <c r="AS347" s="15">
        <v>1233</v>
      </c>
    </row>
    <row r="348" spans="1:45" x14ac:dyDescent="0.25">
      <c r="A348">
        <v>1312</v>
      </c>
      <c r="B348" s="11">
        <f t="shared" si="5"/>
        <v>71434</v>
      </c>
      <c r="C348" s="12">
        <v>714340</v>
      </c>
      <c r="D348" s="13">
        <v>0</v>
      </c>
      <c r="E348" s="13">
        <v>1</v>
      </c>
      <c r="F348" s="13">
        <v>4</v>
      </c>
      <c r="G348" s="13">
        <v>58</v>
      </c>
      <c r="H348" s="13" t="str" cm="1">
        <f t="array" ref="H348">_xlfn.IFS(G348&lt;=20,"0-20",G348&lt;=30,"20-30",G348&lt;=40,"30-40",G348&lt;=50,"50-60",G348&lt;=60,"60-70",G348&lt;=70,"70-80",G348&lt;=80,"80-90")</f>
        <v>60-70</v>
      </c>
      <c r="I348" s="13">
        <v>2443</v>
      </c>
      <c r="J348" s="13" t="str" cm="1">
        <f t="array" ref="J348">_xlfn.IFS(K348=1,"Divorciado",L348=1,"Casado",M348=1,"Solteiro",N348=1,"Juntos",O348=1,"Viuvo")</f>
        <v>Casado</v>
      </c>
      <c r="K348" s="13">
        <v>0</v>
      </c>
      <c r="L348" s="13">
        <v>1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1</v>
      </c>
      <c r="S348" s="13">
        <v>0</v>
      </c>
      <c r="T348" s="13">
        <v>0</v>
      </c>
      <c r="U348" s="13">
        <v>711</v>
      </c>
      <c r="V348" s="13" t="str" cm="1">
        <f t="array" ref="V348">_xlfn.IFS(U348&lt;=250,"0-R$250",U348&lt;=500,"251-R$500",U348&lt;=750,"501-R$750",U348&lt;=1000,"751-R$1000",U348&lt;=1250,"1001-R$1250",U348&lt;=1500,"1251-R$1500")</f>
        <v>501-R$750</v>
      </c>
      <c r="W348" s="13">
        <v>36</v>
      </c>
      <c r="X348" s="13" t="str" cm="1">
        <f t="array" ref="X348">_xlfn.IFS(W348 = 0, "0", W348&lt;=20, "até R$20",W348&lt;=40, "21 - R$40",W348&lt;=60, "41- R$60",W348&lt;=80, "61 - R$80", W348&lt;=100, "81 - R$100",W348&lt;=120, "101 - R$120",W348&lt;=140, "121 - R$140", W348&lt;=160, "141- R$160", W348&lt;=180, "161 - R$180", W348&lt;=200, "181-R$194")</f>
        <v>21 - R$40</v>
      </c>
      <c r="Y348" s="13">
        <v>217</v>
      </c>
      <c r="Z348" s="13">
        <v>172</v>
      </c>
      <c r="AA348" s="13">
        <v>96</v>
      </c>
      <c r="AB348" s="13">
        <v>168</v>
      </c>
      <c r="AC348" s="13">
        <v>3</v>
      </c>
      <c r="AD348" s="13">
        <v>7</v>
      </c>
      <c r="AE348" s="13">
        <v>4</v>
      </c>
      <c r="AF348" s="13">
        <v>7</v>
      </c>
      <c r="AG348" s="13">
        <v>4</v>
      </c>
      <c r="AH348" s="13">
        <v>0</v>
      </c>
      <c r="AI348" s="13">
        <v>0</v>
      </c>
      <c r="AJ348" s="13">
        <v>1</v>
      </c>
      <c r="AK348" s="13">
        <v>0</v>
      </c>
      <c r="AL348" s="13">
        <v>1</v>
      </c>
      <c r="AM348" s="13">
        <v>0</v>
      </c>
      <c r="AN348" s="13">
        <v>0</v>
      </c>
      <c r="AO348" s="14">
        <v>2</v>
      </c>
      <c r="AP348" s="13">
        <v>3</v>
      </c>
      <c r="AQ348" s="13">
        <v>11</v>
      </c>
      <c r="AR348" s="15">
        <v>1064</v>
      </c>
      <c r="AS348" s="15">
        <v>1232</v>
      </c>
    </row>
    <row r="349" spans="1:45" x14ac:dyDescent="0.25">
      <c r="A349">
        <v>399</v>
      </c>
      <c r="B349" s="11">
        <f t="shared" si="5"/>
        <v>75865</v>
      </c>
      <c r="C349" s="16">
        <v>758650</v>
      </c>
      <c r="D349" s="17">
        <v>0</v>
      </c>
      <c r="E349" s="17">
        <v>0</v>
      </c>
      <c r="F349" s="17">
        <v>73</v>
      </c>
      <c r="G349" s="17">
        <v>77</v>
      </c>
      <c r="H349" s="13" t="str" cm="1">
        <f t="array" ref="H349">_xlfn.IFS(G349&lt;=20,"0-20",G349&lt;=30,"20-30",G349&lt;=40,"30-40",G349&lt;=50,"50-60",G349&lt;=60,"60-70",G349&lt;=70,"70-80",G349&lt;=80,"80-90")</f>
        <v>80-90</v>
      </c>
      <c r="I349" s="17">
        <v>2249</v>
      </c>
      <c r="J349" s="13" t="str" cm="1">
        <f t="array" ref="J349">_xlfn.IFS(K349=1,"Divorciado",L349=1,"Casado",M349=1,"Solteiro",N349=1,"Juntos",O349=1,"Viuvo")</f>
        <v>Casado</v>
      </c>
      <c r="K349" s="17">
        <v>0</v>
      </c>
      <c r="L349" s="17">
        <v>1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1</v>
      </c>
      <c r="U349" s="17">
        <v>483</v>
      </c>
      <c r="V349" s="13" t="str" cm="1">
        <f t="array" ref="V349">_xlfn.IFS(U349&lt;=250,"0-R$250",U349&lt;=500,"251-R$500",U349&lt;=750,"501-R$750",U349&lt;=1000,"751-R$1000",U349&lt;=1250,"1001-R$1250",U349&lt;=1500,"1251-R$1500")</f>
        <v>251-R$500</v>
      </c>
      <c r="W349" s="17">
        <v>0</v>
      </c>
      <c r="X349" s="13" t="str" cm="1">
        <f t="array" ref="X349">_xlfn.IFS(W349 = 0, "0", W349&lt;=20, "até R$20",W349&lt;=40, "21 - R$40",W349&lt;=60, "41- R$60",W349&lt;=80, "61 - R$80", W349&lt;=100, "81 - R$100",W349&lt;=120, "101 - R$120",W349&lt;=140, "121 - R$140", W349&lt;=160, "141- R$160", W349&lt;=180, "161 - R$180", W349&lt;=200, "181-R$194")</f>
        <v>0</v>
      </c>
      <c r="Y349" s="17">
        <v>591</v>
      </c>
      <c r="Z349" s="17">
        <v>156</v>
      </c>
      <c r="AA349" s="17">
        <v>0</v>
      </c>
      <c r="AB349" s="17">
        <v>12</v>
      </c>
      <c r="AC349" s="17">
        <v>1</v>
      </c>
      <c r="AD349" s="17">
        <v>3</v>
      </c>
      <c r="AE349" s="17">
        <v>5</v>
      </c>
      <c r="AF349" s="17">
        <v>10</v>
      </c>
      <c r="AG349" s="17">
        <v>1</v>
      </c>
      <c r="AH349" s="17">
        <v>0</v>
      </c>
      <c r="AI349" s="17">
        <v>0</v>
      </c>
      <c r="AJ349" s="17">
        <v>0</v>
      </c>
      <c r="AK349" s="17">
        <v>0</v>
      </c>
      <c r="AL349" s="17">
        <v>0</v>
      </c>
      <c r="AM349" s="17">
        <v>0</v>
      </c>
      <c r="AN349" s="17">
        <v>0</v>
      </c>
      <c r="AO349" s="18">
        <v>0</v>
      </c>
      <c r="AP349" s="17">
        <v>3</v>
      </c>
      <c r="AQ349" s="17">
        <v>11</v>
      </c>
      <c r="AR349" s="19">
        <v>1218</v>
      </c>
      <c r="AS349" s="19">
        <v>1230</v>
      </c>
    </row>
    <row r="350" spans="1:45" x14ac:dyDescent="0.25">
      <c r="A350">
        <v>761</v>
      </c>
      <c r="B350" s="11">
        <f t="shared" si="5"/>
        <v>71466</v>
      </c>
      <c r="C350" s="16">
        <v>714660</v>
      </c>
      <c r="D350" s="17">
        <v>0</v>
      </c>
      <c r="E350" s="17">
        <v>0</v>
      </c>
      <c r="F350" s="17">
        <v>86</v>
      </c>
      <c r="G350" s="17">
        <v>46</v>
      </c>
      <c r="H350" s="13" t="str" cm="1">
        <f t="array" ref="H350">_xlfn.IFS(G350&lt;=20,"0-20",G350&lt;=30,"20-30",G350&lt;=40,"30-40",G350&lt;=50,"50-60",G350&lt;=60,"60-70",G350&lt;=70,"70-80",G350&lt;=80,"80-90")</f>
        <v>50-60</v>
      </c>
      <c r="I350" s="17">
        <v>2244</v>
      </c>
      <c r="J350" s="13" t="str" cm="1">
        <f t="array" ref="J350">_xlfn.IFS(K350=1,"Divorciado",L350=1,"Casado",M350=1,"Solteiro",N350=1,"Juntos",O350=1,"Viuvo")</f>
        <v>Solteiro</v>
      </c>
      <c r="K350" s="17">
        <v>0</v>
      </c>
      <c r="L350" s="17">
        <v>0</v>
      </c>
      <c r="M350" s="17">
        <v>1</v>
      </c>
      <c r="N350" s="17">
        <v>0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1</v>
      </c>
      <c r="U350" s="17">
        <v>412</v>
      </c>
      <c r="V350" s="13" t="str" cm="1">
        <f t="array" ref="V350">_xlfn.IFS(U350&lt;=250,"0-R$250",U350&lt;=500,"251-R$500",U350&lt;=750,"501-R$750",U350&lt;=1000,"751-R$1000",U350&lt;=1250,"1001-R$1250",U350&lt;=1500,"1251-R$1500")</f>
        <v>251-R$500</v>
      </c>
      <c r="W350" s="17">
        <v>12</v>
      </c>
      <c r="X350" s="13" t="str" cm="1">
        <f t="array" ref="X350">_xlfn.IFS(W350 = 0, "0", W350&lt;=20, "até R$20",W350&lt;=40, "21 - R$40",W350&lt;=60, "41- R$60",W350&lt;=80, "61 - R$80", W350&lt;=100, "81 - R$100",W350&lt;=120, "101 - R$120",W350&lt;=140, "121 - R$140", W350&lt;=160, "141- R$160", W350&lt;=180, "161 - R$180", W350&lt;=200, "181-R$194")</f>
        <v>até R$20</v>
      </c>
      <c r="Y350" s="17">
        <v>546</v>
      </c>
      <c r="Z350" s="17">
        <v>78</v>
      </c>
      <c r="AA350" s="17">
        <v>182</v>
      </c>
      <c r="AB350" s="17">
        <v>0</v>
      </c>
      <c r="AC350" s="17">
        <v>1</v>
      </c>
      <c r="AD350" s="17">
        <v>4</v>
      </c>
      <c r="AE350" s="17">
        <v>4</v>
      </c>
      <c r="AF350" s="17">
        <v>10</v>
      </c>
      <c r="AG350" s="17">
        <v>1</v>
      </c>
      <c r="AH350" s="17">
        <v>0</v>
      </c>
      <c r="AI350" s="17">
        <v>0</v>
      </c>
      <c r="AJ350" s="17">
        <v>0</v>
      </c>
      <c r="AK350" s="17">
        <v>0</v>
      </c>
      <c r="AL350" s="17">
        <v>0</v>
      </c>
      <c r="AM350" s="17">
        <v>0</v>
      </c>
      <c r="AN350" s="17">
        <v>0</v>
      </c>
      <c r="AO350" s="18">
        <v>0</v>
      </c>
      <c r="AP350" s="17">
        <v>3</v>
      </c>
      <c r="AQ350" s="17">
        <v>11</v>
      </c>
      <c r="AR350" s="19">
        <v>1230</v>
      </c>
      <c r="AS350" s="19">
        <v>1230</v>
      </c>
    </row>
    <row r="351" spans="1:45" x14ac:dyDescent="0.25">
      <c r="A351">
        <v>892</v>
      </c>
      <c r="B351" s="11">
        <f t="shared" si="5"/>
        <v>75114</v>
      </c>
      <c r="C351" s="12">
        <v>751140</v>
      </c>
      <c r="D351" s="13">
        <v>0</v>
      </c>
      <c r="E351" s="13">
        <v>0</v>
      </c>
      <c r="F351" s="13">
        <v>40</v>
      </c>
      <c r="G351" s="13">
        <v>28</v>
      </c>
      <c r="H351" s="13" t="str" cm="1">
        <f t="array" ref="H351">_xlfn.IFS(G351&lt;=20,"0-20",G351&lt;=30,"20-30",G351&lt;=40,"30-40",G351&lt;=50,"50-60",G351&lt;=60,"60-70",G351&lt;=70,"70-80",G351&lt;=80,"80-90")</f>
        <v>20-30</v>
      </c>
      <c r="I351" s="13">
        <v>2393</v>
      </c>
      <c r="J351" s="13" t="str" cm="1">
        <f t="array" ref="J351">_xlfn.IFS(K351=1,"Divorciado",L351=1,"Casado",M351=1,"Solteiro",N351=1,"Juntos",O351=1,"Viuvo")</f>
        <v>Juntos</v>
      </c>
      <c r="K351" s="13">
        <v>0</v>
      </c>
      <c r="L351" s="13">
        <v>0</v>
      </c>
      <c r="M351" s="13">
        <v>0</v>
      </c>
      <c r="N351" s="13">
        <v>1</v>
      </c>
      <c r="O351" s="13">
        <v>0</v>
      </c>
      <c r="P351" s="13">
        <v>0</v>
      </c>
      <c r="Q351" s="13">
        <v>0</v>
      </c>
      <c r="R351" s="13">
        <v>1</v>
      </c>
      <c r="S351" s="13">
        <v>0</v>
      </c>
      <c r="T351" s="13">
        <v>0</v>
      </c>
      <c r="U351" s="13">
        <v>571</v>
      </c>
      <c r="V351" s="13" t="str" cm="1">
        <f t="array" ref="V351">_xlfn.IFS(U351&lt;=250,"0-R$250",U351&lt;=500,"251-R$500",U351&lt;=750,"501-R$750",U351&lt;=1000,"751-R$1000",U351&lt;=1250,"1001-R$1250",U351&lt;=1500,"1251-R$1500")</f>
        <v>501-R$750</v>
      </c>
      <c r="W351" s="13">
        <v>12</v>
      </c>
      <c r="X351" s="13" t="str" cm="1">
        <f t="array" ref="X351">_xlfn.IFS(W351 = 0, "0", W351&lt;=20, "até R$20",W351&lt;=40, "21 - R$40",W351&lt;=60, "41- R$60",W351&lt;=80, "61 - R$80", W351&lt;=100, "81 - R$100",W351&lt;=120, "101 - R$120",W351&lt;=140, "121 - R$140", W351&lt;=160, "141- R$160", W351&lt;=180, "161 - R$180", W351&lt;=200, "181-R$194")</f>
        <v>até R$20</v>
      </c>
      <c r="Y351" s="13">
        <v>523</v>
      </c>
      <c r="Z351" s="13">
        <v>63</v>
      </c>
      <c r="AA351" s="13">
        <v>60</v>
      </c>
      <c r="AB351" s="13">
        <v>24</v>
      </c>
      <c r="AC351" s="13">
        <v>1</v>
      </c>
      <c r="AD351" s="13">
        <v>3</v>
      </c>
      <c r="AE351" s="13">
        <v>10</v>
      </c>
      <c r="AF351" s="13">
        <v>5</v>
      </c>
      <c r="AG351" s="13">
        <v>2</v>
      </c>
      <c r="AH351" s="13">
        <v>0</v>
      </c>
      <c r="AI351" s="13">
        <v>0</v>
      </c>
      <c r="AJ351" s="13">
        <v>0</v>
      </c>
      <c r="AK351" s="13">
        <v>0</v>
      </c>
      <c r="AL351" s="13">
        <v>0</v>
      </c>
      <c r="AM351" s="13">
        <v>0</v>
      </c>
      <c r="AN351" s="13">
        <v>0</v>
      </c>
      <c r="AO351" s="14">
        <v>0</v>
      </c>
      <c r="AP351" s="13">
        <v>3</v>
      </c>
      <c r="AQ351" s="13">
        <v>11</v>
      </c>
      <c r="AR351" s="15">
        <v>1205</v>
      </c>
      <c r="AS351" s="15">
        <v>1229</v>
      </c>
    </row>
    <row r="352" spans="1:45" x14ac:dyDescent="0.25">
      <c r="A352">
        <v>1903</v>
      </c>
      <c r="B352" s="11">
        <f t="shared" si="5"/>
        <v>64849</v>
      </c>
      <c r="C352" s="16">
        <v>648490</v>
      </c>
      <c r="D352" s="17">
        <v>0</v>
      </c>
      <c r="E352" s="17">
        <v>0</v>
      </c>
      <c r="F352" s="17">
        <v>42</v>
      </c>
      <c r="G352" s="17">
        <v>63</v>
      </c>
      <c r="H352" s="13" t="str" cm="1">
        <f t="array" ref="H352">_xlfn.IFS(G352&lt;=20,"0-20",G352&lt;=30,"20-30",G352&lt;=40,"30-40",G352&lt;=50,"50-60",G352&lt;=60,"60-70",G352&lt;=70,"70-80",G352&lt;=80,"80-90")</f>
        <v>70-80</v>
      </c>
      <c r="I352" s="17">
        <v>2752</v>
      </c>
      <c r="J352" s="13" t="str" cm="1">
        <f t="array" ref="J352">_xlfn.IFS(K352=1,"Divorciado",L352=1,"Casado",M352=1,"Solteiro",N352=1,"Juntos",O352=1,"Viuvo")</f>
        <v>Solteiro</v>
      </c>
      <c r="K352" s="17">
        <v>0</v>
      </c>
      <c r="L352" s="17">
        <v>0</v>
      </c>
      <c r="M352" s="17">
        <v>1</v>
      </c>
      <c r="N352" s="17">
        <v>0</v>
      </c>
      <c r="O352" s="17">
        <v>0</v>
      </c>
      <c r="P352" s="17">
        <v>0</v>
      </c>
      <c r="Q352" s="17">
        <v>0</v>
      </c>
      <c r="R352" s="17">
        <v>1</v>
      </c>
      <c r="S352" s="17">
        <v>0</v>
      </c>
      <c r="T352" s="17">
        <v>0</v>
      </c>
      <c r="U352" s="17">
        <v>652</v>
      </c>
      <c r="V352" s="13" t="str" cm="1">
        <f t="array" ref="V352">_xlfn.IFS(U352&lt;=250,"0-R$250",U352&lt;=500,"251-R$500",U352&lt;=750,"501-R$750",U352&lt;=1000,"751-R$1000",U352&lt;=1250,"1001-R$1250",U352&lt;=1500,"1251-R$1500")</f>
        <v>501-R$750</v>
      </c>
      <c r="W352" s="17">
        <v>48</v>
      </c>
      <c r="X352" s="13" t="str" cm="1">
        <f t="array" ref="X352">_xlfn.IFS(W352 = 0, "0", W352&lt;=20, "até R$20",W352&lt;=40, "21 - R$40",W352&lt;=60, "41- R$60",W352&lt;=80, "61 - R$80", W352&lt;=100, "81 - R$100",W352&lt;=120, "101 - R$120",W352&lt;=140, "121 - R$140", W352&lt;=160, "141- R$160", W352&lt;=180, "161 - R$180", W352&lt;=200, "181-R$194")</f>
        <v>41- R$60</v>
      </c>
      <c r="Y352" s="17">
        <v>350</v>
      </c>
      <c r="Z352" s="17">
        <v>94</v>
      </c>
      <c r="AA352" s="17">
        <v>84</v>
      </c>
      <c r="AB352" s="17">
        <v>108</v>
      </c>
      <c r="AC352" s="17">
        <v>1</v>
      </c>
      <c r="AD352" s="17">
        <v>9</v>
      </c>
      <c r="AE352" s="17">
        <v>3</v>
      </c>
      <c r="AF352" s="17">
        <v>6</v>
      </c>
      <c r="AG352" s="17">
        <v>5</v>
      </c>
      <c r="AH352" s="17">
        <v>0</v>
      </c>
      <c r="AI352" s="17">
        <v>0</v>
      </c>
      <c r="AJ352" s="17">
        <v>0</v>
      </c>
      <c r="AK352" s="17">
        <v>0</v>
      </c>
      <c r="AL352" s="17">
        <v>0</v>
      </c>
      <c r="AM352" s="17">
        <v>0</v>
      </c>
      <c r="AN352" s="17">
        <v>1</v>
      </c>
      <c r="AO352" s="18">
        <v>0</v>
      </c>
      <c r="AP352" s="17">
        <v>3</v>
      </c>
      <c r="AQ352" s="17">
        <v>11</v>
      </c>
      <c r="AR352" s="19">
        <v>1120</v>
      </c>
      <c r="AS352" s="19">
        <v>1228</v>
      </c>
    </row>
    <row r="353" spans="1:45" x14ac:dyDescent="0.25">
      <c r="A353">
        <v>1927</v>
      </c>
      <c r="B353" s="11">
        <f t="shared" si="5"/>
        <v>80872</v>
      </c>
      <c r="C353" s="16">
        <v>808720</v>
      </c>
      <c r="D353" s="17">
        <v>0</v>
      </c>
      <c r="E353" s="17">
        <v>0</v>
      </c>
      <c r="F353" s="17">
        <v>60</v>
      </c>
      <c r="G353" s="17">
        <v>69</v>
      </c>
      <c r="H353" s="13" t="str" cm="1">
        <f t="array" ref="H353">_xlfn.IFS(G353&lt;=20,"0-20",G353&lt;=30,"20-30",G353&lt;=40,"30-40",G353&lt;=50,"50-60",G353&lt;=60,"60-70",G353&lt;=70,"70-80",G353&lt;=80,"80-90")</f>
        <v>70-80</v>
      </c>
      <c r="I353" s="17">
        <v>2207</v>
      </c>
      <c r="J353" s="13" t="str" cm="1">
        <f t="array" ref="J353">_xlfn.IFS(K353=1,"Divorciado",L353=1,"Casado",M353=1,"Solteiro",N353=1,"Juntos",O353=1,"Viuvo")</f>
        <v>Solteiro</v>
      </c>
      <c r="K353" s="17">
        <v>0</v>
      </c>
      <c r="L353" s="17">
        <v>0</v>
      </c>
      <c r="M353" s="17">
        <v>1</v>
      </c>
      <c r="N353" s="17">
        <v>0</v>
      </c>
      <c r="O353" s="17">
        <v>0</v>
      </c>
      <c r="P353" s="17">
        <v>0</v>
      </c>
      <c r="Q353" s="17">
        <v>0</v>
      </c>
      <c r="R353" s="17">
        <v>1</v>
      </c>
      <c r="S353" s="17">
        <v>0</v>
      </c>
      <c r="T353" s="17">
        <v>0</v>
      </c>
      <c r="U353" s="17">
        <v>483</v>
      </c>
      <c r="V353" s="13" t="str" cm="1">
        <f t="array" ref="V353">_xlfn.IFS(U353&lt;=250,"0-R$250",U353&lt;=500,"251-R$500",U353&lt;=750,"501-R$750",U353&lt;=1000,"751-R$1000",U353&lt;=1250,"1001-R$1250",U353&lt;=1500,"1251-R$1500")</f>
        <v>251-R$500</v>
      </c>
      <c r="W353" s="17">
        <v>72</v>
      </c>
      <c r="X353" s="13" t="str" cm="1">
        <f t="array" ref="X353">_xlfn.IFS(W353 = 0, "0", W353&lt;=20, "até R$20",W353&lt;=40, "21 - R$40",W353&lt;=60, "41- R$60",W353&lt;=80, "61 - R$80", W353&lt;=100, "81 - R$100",W353&lt;=120, "101 - R$120",W353&lt;=140, "121 - R$140", W353&lt;=160, "141- R$160", W353&lt;=180, "161 - R$180", W353&lt;=200, "181-R$194")</f>
        <v>61 - R$80</v>
      </c>
      <c r="Y353" s="17">
        <v>567</v>
      </c>
      <c r="Z353" s="17">
        <v>94</v>
      </c>
      <c r="AA353" s="17">
        <v>12</v>
      </c>
      <c r="AB353" s="17">
        <v>108</v>
      </c>
      <c r="AC353" s="17">
        <v>1</v>
      </c>
      <c r="AD353" s="17">
        <v>4</v>
      </c>
      <c r="AE353" s="17">
        <v>4</v>
      </c>
      <c r="AF353" s="17">
        <v>10</v>
      </c>
      <c r="AG353" s="17">
        <v>1</v>
      </c>
      <c r="AH353" s="17">
        <v>0</v>
      </c>
      <c r="AI353" s="17">
        <v>0</v>
      </c>
      <c r="AJ353" s="17">
        <v>0</v>
      </c>
      <c r="AK353" s="17">
        <v>0</v>
      </c>
      <c r="AL353" s="17">
        <v>0</v>
      </c>
      <c r="AM353" s="17">
        <v>0</v>
      </c>
      <c r="AN353" s="17">
        <v>0</v>
      </c>
      <c r="AO353" s="18">
        <v>0</v>
      </c>
      <c r="AP353" s="17">
        <v>3</v>
      </c>
      <c r="AQ353" s="17">
        <v>11</v>
      </c>
      <c r="AR353" s="19">
        <v>1120</v>
      </c>
      <c r="AS353" s="19">
        <v>1228</v>
      </c>
    </row>
    <row r="354" spans="1:45" x14ac:dyDescent="0.25">
      <c r="A354">
        <v>2072</v>
      </c>
      <c r="B354" s="11">
        <f t="shared" si="5"/>
        <v>78128</v>
      </c>
      <c r="C354" s="12">
        <v>781280</v>
      </c>
      <c r="D354" s="13">
        <v>0</v>
      </c>
      <c r="E354" s="13">
        <v>1</v>
      </c>
      <c r="F354" s="13">
        <v>89</v>
      </c>
      <c r="G354" s="13">
        <v>46</v>
      </c>
      <c r="H354" s="13" t="str" cm="1">
        <f t="array" ref="H354">_xlfn.IFS(G354&lt;=20,"0-20",G354&lt;=30,"20-30",G354&lt;=40,"30-40",G354&lt;=50,"50-60",G354&lt;=60,"60-70",G354&lt;=70,"70-80",G354&lt;=80,"80-90")</f>
        <v>50-60</v>
      </c>
      <c r="I354" s="13">
        <v>2289</v>
      </c>
      <c r="J354" s="13" t="str" cm="1">
        <f t="array" ref="J354">_xlfn.IFS(K354=1,"Divorciado",L354=1,"Casado",M354=1,"Solteiro",N354=1,"Juntos",O354=1,"Viuvo")</f>
        <v>Casado</v>
      </c>
      <c r="K354" s="13">
        <v>0</v>
      </c>
      <c r="L354" s="13">
        <v>1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3">
        <v>1</v>
      </c>
      <c r="U354" s="13">
        <v>934</v>
      </c>
      <c r="V354" s="13" t="str" cm="1">
        <f t="array" ref="V354">_xlfn.IFS(U354&lt;=250,"0-R$250",U354&lt;=500,"251-R$500",U354&lt;=750,"501-R$750",U354&lt;=1000,"751-R$1000",U354&lt;=1250,"1001-R$1250",U354&lt;=1500,"1251-R$1500")</f>
        <v>751-R$1000</v>
      </c>
      <c r="W354" s="13">
        <v>24</v>
      </c>
      <c r="X354" s="13" t="str" cm="1">
        <f t="array" ref="X354">_xlfn.IFS(W354 = 0, "0", W354&lt;=20, "até R$20",W354&lt;=40, "21 - R$40",W354&lt;=60, "41- R$60",W354&lt;=80, "61 - R$80", W354&lt;=100, "81 - R$100",W354&lt;=120, "101 - R$120",W354&lt;=140, "121 - R$140", W354&lt;=160, "141- R$160", W354&lt;=180, "161 - R$180", W354&lt;=200, "181-R$194")</f>
        <v>21 - R$40</v>
      </c>
      <c r="Y354" s="13">
        <v>230</v>
      </c>
      <c r="Z354" s="13">
        <v>16</v>
      </c>
      <c r="AA354" s="13">
        <v>24</v>
      </c>
      <c r="AB354" s="13">
        <v>36</v>
      </c>
      <c r="AC354" s="13">
        <v>2</v>
      </c>
      <c r="AD354" s="13">
        <v>8</v>
      </c>
      <c r="AE354" s="13">
        <v>4</v>
      </c>
      <c r="AF354" s="13">
        <v>6</v>
      </c>
      <c r="AG354" s="13">
        <v>3</v>
      </c>
      <c r="AH354" s="13">
        <v>0</v>
      </c>
      <c r="AI354" s="13">
        <v>0</v>
      </c>
      <c r="AJ354" s="13">
        <v>1</v>
      </c>
      <c r="AK354" s="13">
        <v>1</v>
      </c>
      <c r="AL354" s="13">
        <v>0</v>
      </c>
      <c r="AM354" s="13">
        <v>0</v>
      </c>
      <c r="AN354" s="13">
        <v>0</v>
      </c>
      <c r="AO354" s="14">
        <v>2</v>
      </c>
      <c r="AP354" s="13">
        <v>3</v>
      </c>
      <c r="AQ354" s="13">
        <v>11</v>
      </c>
      <c r="AR354" s="15">
        <v>1192</v>
      </c>
      <c r="AS354" s="15">
        <v>1228</v>
      </c>
    </row>
    <row r="355" spans="1:45" x14ac:dyDescent="0.25">
      <c r="A355">
        <v>1256</v>
      </c>
      <c r="B355" s="11">
        <f t="shared" si="5"/>
        <v>66303</v>
      </c>
      <c r="C355" s="12">
        <v>663030</v>
      </c>
      <c r="D355" s="13">
        <v>0</v>
      </c>
      <c r="E355" s="13">
        <v>1</v>
      </c>
      <c r="F355" s="13">
        <v>56</v>
      </c>
      <c r="G355" s="13">
        <v>49</v>
      </c>
      <c r="H355" s="13" t="str" cm="1">
        <f t="array" ref="H355">_xlfn.IFS(G355&lt;=20,"0-20",G355&lt;=30,"20-30",G355&lt;=40,"30-40",G355&lt;=50,"50-60",G355&lt;=60,"60-70",G355&lt;=70,"70-80",G355&lt;=80,"80-90")</f>
        <v>50-60</v>
      </c>
      <c r="I355" s="13">
        <v>2647</v>
      </c>
      <c r="J355" s="13" t="str" cm="1">
        <f t="array" ref="J355">_xlfn.IFS(K355=1,"Divorciado",L355=1,"Casado",M355=1,"Solteiro",N355=1,"Juntos",O355=1,"Viuvo")</f>
        <v>Casado</v>
      </c>
      <c r="K355" s="13">
        <v>0</v>
      </c>
      <c r="L355" s="13">
        <v>1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13">
        <v>1</v>
      </c>
      <c r="S355" s="13">
        <v>0</v>
      </c>
      <c r="T355" s="13">
        <v>0</v>
      </c>
      <c r="U355" s="13">
        <v>1090</v>
      </c>
      <c r="V355" s="13" t="str" cm="1">
        <f t="array" ref="V355">_xlfn.IFS(U355&lt;=250,"0-R$250",U355&lt;=500,"251-R$500",U355&lt;=750,"501-R$750",U355&lt;=1000,"751-R$1000",U355&lt;=1250,"1001-R$1250",U355&lt;=1500,"1251-R$1500")</f>
        <v>1001-R$1250</v>
      </c>
      <c r="W355" s="13">
        <v>12</v>
      </c>
      <c r="X355" s="13" t="str" cm="1">
        <f t="array" ref="X355">_xlfn.IFS(W355 = 0, "0", W355&lt;=20, "até R$20",W355&lt;=40, "21 - R$40",W355&lt;=60, "41- R$60",W355&lt;=80, "61 - R$80", W355&lt;=100, "81 - R$100",W355&lt;=120, "101 - R$120",W355&lt;=140, "121 - R$140", W355&lt;=160, "141- R$160", W355&lt;=180, "161 - R$180", W355&lt;=200, "181-R$194")</f>
        <v>até R$20</v>
      </c>
      <c r="Y355" s="13">
        <v>96</v>
      </c>
      <c r="Z355" s="13">
        <v>16</v>
      </c>
      <c r="AA355" s="13">
        <v>12</v>
      </c>
      <c r="AB355" s="13">
        <v>60</v>
      </c>
      <c r="AC355" s="13">
        <v>4</v>
      </c>
      <c r="AD355" s="13">
        <v>3</v>
      </c>
      <c r="AE355" s="13">
        <v>4</v>
      </c>
      <c r="AF355" s="13">
        <v>11</v>
      </c>
      <c r="AG355" s="13">
        <v>8</v>
      </c>
      <c r="AH355" s="13">
        <v>0</v>
      </c>
      <c r="AI355" s="13">
        <v>0</v>
      </c>
      <c r="AJ355" s="13">
        <v>1</v>
      </c>
      <c r="AK355" s="13">
        <v>0</v>
      </c>
      <c r="AL355" s="13">
        <v>0</v>
      </c>
      <c r="AM355" s="13">
        <v>0</v>
      </c>
      <c r="AN355" s="13">
        <v>0</v>
      </c>
      <c r="AO355" s="14">
        <v>1</v>
      </c>
      <c r="AP355" s="13">
        <v>3</v>
      </c>
      <c r="AQ355" s="13">
        <v>11</v>
      </c>
      <c r="AR355" s="15">
        <v>1166</v>
      </c>
      <c r="AS355" s="15">
        <v>1226</v>
      </c>
    </row>
    <row r="356" spans="1:45" x14ac:dyDescent="0.25">
      <c r="A356">
        <v>83</v>
      </c>
      <c r="B356" s="11">
        <f t="shared" si="5"/>
        <v>79593</v>
      </c>
      <c r="C356" s="16">
        <v>795930</v>
      </c>
      <c r="D356" s="17">
        <v>0</v>
      </c>
      <c r="E356" s="17">
        <v>0</v>
      </c>
      <c r="F356" s="17">
        <v>70</v>
      </c>
      <c r="G356" s="17">
        <v>47</v>
      </c>
      <c r="H356" s="13" t="str" cm="1">
        <f t="array" ref="H356">_xlfn.IFS(G356&lt;=20,"0-20",G356&lt;=30,"20-30",G356&lt;=40,"30-40",G356&lt;=50,"50-60",G356&lt;=60,"60-70",G356&lt;=70,"70-80",G356&lt;=80,"80-90")</f>
        <v>50-60</v>
      </c>
      <c r="I356" s="17">
        <v>2207</v>
      </c>
      <c r="J356" s="13" t="str" cm="1">
        <f t="array" ref="J356">_xlfn.IFS(K356=1,"Divorciado",L356=1,"Casado",M356=1,"Solteiro",N356=1,"Juntos",O356=1,"Viuvo")</f>
        <v>Casado</v>
      </c>
      <c r="K356" s="17">
        <v>0</v>
      </c>
      <c r="L356" s="17">
        <v>1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1</v>
      </c>
      <c r="S356" s="17">
        <v>0</v>
      </c>
      <c r="T356" s="17">
        <v>0</v>
      </c>
      <c r="U356" s="17">
        <v>350</v>
      </c>
      <c r="V356" s="13" t="str" cm="1">
        <f t="array" ref="V356">_xlfn.IFS(U356&lt;=250,"0-R$250",U356&lt;=500,"251-R$500",U356&lt;=750,"501-R$750",U356&lt;=1000,"751-R$1000",U356&lt;=1250,"1001-R$1250",U356&lt;=1500,"1251-R$1500")</f>
        <v>251-R$500</v>
      </c>
      <c r="W356" s="17">
        <v>60</v>
      </c>
      <c r="X356" s="13" t="str" cm="1">
        <f t="array" ref="X356">_xlfn.IFS(W356 = 0, "0", W356&lt;=20, "até R$20",W356&lt;=40, "21 - R$40",W356&lt;=60, "41- R$60",W356&lt;=80, "61 - R$80", W356&lt;=100, "81 - R$100",W356&lt;=120, "101 - R$120",W356&lt;=140, "121 - R$140", W356&lt;=160, "141- R$160", W356&lt;=180, "161 - R$180", W356&lt;=200, "181-R$194")</f>
        <v>41- R$60</v>
      </c>
      <c r="Y356" s="17">
        <v>568</v>
      </c>
      <c r="Z356" s="17">
        <v>110</v>
      </c>
      <c r="AA356" s="17">
        <v>133</v>
      </c>
      <c r="AB356" s="17">
        <v>145</v>
      </c>
      <c r="AC356" s="17">
        <v>1</v>
      </c>
      <c r="AD356" s="17">
        <v>5</v>
      </c>
      <c r="AE356" s="17">
        <v>6</v>
      </c>
      <c r="AF356" s="17">
        <v>7</v>
      </c>
      <c r="AG356" s="17">
        <v>2</v>
      </c>
      <c r="AH356" s="17">
        <v>0</v>
      </c>
      <c r="AI356" s="17">
        <v>0</v>
      </c>
      <c r="AJ356" s="17">
        <v>0</v>
      </c>
      <c r="AK356" s="17">
        <v>1</v>
      </c>
      <c r="AL356" s="17">
        <v>0</v>
      </c>
      <c r="AM356" s="17">
        <v>0</v>
      </c>
      <c r="AN356" s="17">
        <v>0</v>
      </c>
      <c r="AO356" s="18">
        <v>1</v>
      </c>
      <c r="AP356" s="17">
        <v>3</v>
      </c>
      <c r="AQ356" s="17">
        <v>11</v>
      </c>
      <c r="AR356" s="19">
        <v>1076</v>
      </c>
      <c r="AS356" s="19">
        <v>1221</v>
      </c>
    </row>
    <row r="357" spans="1:45" x14ac:dyDescent="0.25">
      <c r="A357">
        <v>1015</v>
      </c>
      <c r="B357" s="11">
        <f t="shared" si="5"/>
        <v>79593</v>
      </c>
      <c r="C357" s="16">
        <v>795930</v>
      </c>
      <c r="D357" s="17">
        <v>0</v>
      </c>
      <c r="E357" s="17">
        <v>0</v>
      </c>
      <c r="F357" s="17">
        <v>70</v>
      </c>
      <c r="G357" s="17">
        <v>47</v>
      </c>
      <c r="H357" s="13" t="str" cm="1">
        <f t="array" ref="H357">_xlfn.IFS(G357&lt;=20,"0-20",G357&lt;=30,"20-30",G357&lt;=40,"30-40",G357&lt;=50,"50-60",G357&lt;=60,"60-70",G357&lt;=70,"70-80",G357&lt;=80,"80-90")</f>
        <v>50-60</v>
      </c>
      <c r="I357" s="17">
        <v>2207</v>
      </c>
      <c r="J357" s="13" t="str" cm="1">
        <f t="array" ref="J357">_xlfn.IFS(K357=1,"Divorciado",L357=1,"Casado",M357=1,"Solteiro",N357=1,"Juntos",O357=1,"Viuvo")</f>
        <v>Casado</v>
      </c>
      <c r="K357" s="17">
        <v>0</v>
      </c>
      <c r="L357" s="17">
        <v>1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1</v>
      </c>
      <c r="S357" s="17">
        <v>0</v>
      </c>
      <c r="T357" s="17">
        <v>0</v>
      </c>
      <c r="U357" s="17">
        <v>350</v>
      </c>
      <c r="V357" s="13" t="str" cm="1">
        <f t="array" ref="V357">_xlfn.IFS(U357&lt;=250,"0-R$250",U357&lt;=500,"251-R$500",U357&lt;=750,"501-R$750",U357&lt;=1000,"751-R$1000",U357&lt;=1250,"1001-R$1250",U357&lt;=1500,"1251-R$1500")</f>
        <v>251-R$500</v>
      </c>
      <c r="W357" s="17">
        <v>60</v>
      </c>
      <c r="X357" s="13" t="str" cm="1">
        <f t="array" ref="X357">_xlfn.IFS(W357 = 0, "0", W357&lt;=20, "até R$20",W357&lt;=40, "21 - R$40",W357&lt;=60, "41- R$60",W357&lt;=80, "61 - R$80", W357&lt;=100, "81 - R$100",W357&lt;=120, "101 - R$120",W357&lt;=140, "121 - R$140", W357&lt;=160, "141- R$160", W357&lt;=180, "161 - R$180", W357&lt;=200, "181-R$194")</f>
        <v>41- R$60</v>
      </c>
      <c r="Y357" s="17">
        <v>568</v>
      </c>
      <c r="Z357" s="17">
        <v>110</v>
      </c>
      <c r="AA357" s="17">
        <v>133</v>
      </c>
      <c r="AB357" s="17">
        <v>145</v>
      </c>
      <c r="AC357" s="17">
        <v>1</v>
      </c>
      <c r="AD357" s="17">
        <v>5</v>
      </c>
      <c r="AE357" s="17">
        <v>6</v>
      </c>
      <c r="AF357" s="17">
        <v>7</v>
      </c>
      <c r="AG357" s="17">
        <v>2</v>
      </c>
      <c r="AH357" s="17">
        <v>0</v>
      </c>
      <c r="AI357" s="17">
        <v>0</v>
      </c>
      <c r="AJ357" s="17">
        <v>0</v>
      </c>
      <c r="AK357" s="17">
        <v>1</v>
      </c>
      <c r="AL357" s="17">
        <v>0</v>
      </c>
      <c r="AM357" s="17">
        <v>0</v>
      </c>
      <c r="AN357" s="17">
        <v>0</v>
      </c>
      <c r="AO357" s="18">
        <v>1</v>
      </c>
      <c r="AP357" s="17">
        <v>3</v>
      </c>
      <c r="AQ357" s="17">
        <v>11</v>
      </c>
      <c r="AR357" s="19">
        <v>1076</v>
      </c>
      <c r="AS357" s="19">
        <v>1221</v>
      </c>
    </row>
    <row r="358" spans="1:45" x14ac:dyDescent="0.25">
      <c r="A358">
        <v>362</v>
      </c>
      <c r="B358" s="11">
        <f t="shared" si="5"/>
        <v>66426</v>
      </c>
      <c r="C358" s="12">
        <v>664260</v>
      </c>
      <c r="D358" s="13">
        <v>0</v>
      </c>
      <c r="E358" s="13">
        <v>1</v>
      </c>
      <c r="F358" s="13">
        <v>14</v>
      </c>
      <c r="G358" s="13">
        <v>59</v>
      </c>
      <c r="H358" s="13" t="str" cm="1">
        <f t="array" ref="H358">_xlfn.IFS(G358&lt;=20,"0-20",G358&lt;=30,"20-30",G358&lt;=40,"30-40",G358&lt;=50,"50-60",G358&lt;=60,"60-70",G358&lt;=70,"70-80",G358&lt;=80,"80-90")</f>
        <v>60-70</v>
      </c>
      <c r="I358" s="13">
        <v>2429</v>
      </c>
      <c r="J358" s="13" t="str" cm="1">
        <f t="array" ref="J358">_xlfn.IFS(K358=1,"Divorciado",L358=1,"Casado",M358=1,"Solteiro",N358=1,"Juntos",O358=1,"Viuvo")</f>
        <v>Juntos</v>
      </c>
      <c r="K358" s="13">
        <v>0</v>
      </c>
      <c r="L358" s="13">
        <v>0</v>
      </c>
      <c r="M358" s="13">
        <v>0</v>
      </c>
      <c r="N358" s="13">
        <v>1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3">
        <v>1</v>
      </c>
      <c r="U358" s="13">
        <v>1043</v>
      </c>
      <c r="V358" s="13" t="str" cm="1">
        <f t="array" ref="V358">_xlfn.IFS(U358&lt;=250,"0-R$250",U358&lt;=500,"251-R$500",U358&lt;=750,"501-R$750",U358&lt;=1000,"751-R$1000",U358&lt;=1250,"1001-R$1250",U358&lt;=1500,"1251-R$1500")</f>
        <v>1001-R$1250</v>
      </c>
      <c r="W358" s="13">
        <v>24</v>
      </c>
      <c r="X358" s="13" t="str" cm="1">
        <f t="array" ref="X358">_xlfn.IFS(W358 = 0, "0", W358&lt;=20, "até R$20",W358&lt;=40, "21 - R$40",W358&lt;=60, "41- R$60",W358&lt;=80, "61 - R$80", W358&lt;=100, "81 - R$100",W358&lt;=120, "101 - R$120",W358&lt;=140, "121 - R$140", W358&lt;=160, "141- R$160", W358&lt;=180, "161 - R$180", W358&lt;=200, "181-R$194")</f>
        <v>21 - R$40</v>
      </c>
      <c r="Y358" s="13">
        <v>97</v>
      </c>
      <c r="Z358" s="13">
        <v>32</v>
      </c>
      <c r="AA358" s="13">
        <v>24</v>
      </c>
      <c r="AB358" s="13">
        <v>157</v>
      </c>
      <c r="AC358" s="13">
        <v>2</v>
      </c>
      <c r="AD358" s="13">
        <v>3</v>
      </c>
      <c r="AE358" s="13">
        <v>5</v>
      </c>
      <c r="AF358" s="13">
        <v>10</v>
      </c>
      <c r="AG358" s="13">
        <v>6</v>
      </c>
      <c r="AH358" s="13">
        <v>0</v>
      </c>
      <c r="AI358" s="13">
        <v>0</v>
      </c>
      <c r="AJ358" s="13">
        <v>0</v>
      </c>
      <c r="AK358" s="13">
        <v>0</v>
      </c>
      <c r="AL358" s="13">
        <v>0</v>
      </c>
      <c r="AM358" s="13">
        <v>0</v>
      </c>
      <c r="AN358" s="13">
        <v>0</v>
      </c>
      <c r="AO358" s="14">
        <v>0</v>
      </c>
      <c r="AP358" s="13">
        <v>3</v>
      </c>
      <c r="AQ358" s="13">
        <v>11</v>
      </c>
      <c r="AR358" s="15">
        <v>1063</v>
      </c>
      <c r="AS358" s="15">
        <v>1220</v>
      </c>
    </row>
    <row r="359" spans="1:45" x14ac:dyDescent="0.25">
      <c r="A359">
        <v>2203</v>
      </c>
      <c r="B359" s="11">
        <f t="shared" si="5"/>
        <v>56981</v>
      </c>
      <c r="C359" s="16">
        <v>569810</v>
      </c>
      <c r="D359" s="17">
        <v>0</v>
      </c>
      <c r="E359" s="17">
        <v>0</v>
      </c>
      <c r="F359" s="17">
        <v>91</v>
      </c>
      <c r="G359" s="17">
        <v>39</v>
      </c>
      <c r="H359" s="13" t="str" cm="1">
        <f t="array" ref="H359">_xlfn.IFS(G359&lt;=20,"0-20",G359&lt;=30,"20-30",G359&lt;=40,"30-40",G359&lt;=50,"50-60",G359&lt;=60,"60-70",G359&lt;=70,"70-80",G359&lt;=80,"80-90")</f>
        <v>30-40</v>
      </c>
      <c r="I359" s="17">
        <v>2314</v>
      </c>
      <c r="J359" s="13" t="str" cm="1">
        <f t="array" ref="J359">_xlfn.IFS(K359=1,"Divorciado",L359=1,"Casado",M359=1,"Solteiro",N359=1,"Juntos",O359=1,"Viuvo")</f>
        <v>Divorciado</v>
      </c>
      <c r="K359" s="17">
        <v>1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1</v>
      </c>
      <c r="S359" s="17">
        <v>0</v>
      </c>
      <c r="T359" s="17">
        <v>0</v>
      </c>
      <c r="U359" s="17">
        <v>908</v>
      </c>
      <c r="V359" s="13" t="str" cm="1">
        <f t="array" ref="V359">_xlfn.IFS(U359&lt;=250,"0-R$250",U359&lt;=500,"251-R$500",U359&lt;=750,"501-R$750",U359&lt;=1000,"751-R$1000",U359&lt;=1250,"1001-R$1250",U359&lt;=1500,"1251-R$1500")</f>
        <v>751-R$1000</v>
      </c>
      <c r="W359" s="17">
        <v>48</v>
      </c>
      <c r="X359" s="13" t="str" cm="1">
        <f t="array" ref="X359">_xlfn.IFS(W359 = 0, "0", W359&lt;=20, "até R$20",W359&lt;=40, "21 - R$40",W359&lt;=60, "41- R$60",W359&lt;=80, "61 - R$80", W359&lt;=100, "81 - R$100",W359&lt;=120, "101 - R$120",W359&lt;=140, "121 - R$140", W359&lt;=160, "141- R$160", W359&lt;=180, "161 - R$180", W359&lt;=200, "181-R$194")</f>
        <v>41- R$60</v>
      </c>
      <c r="Y359" s="17">
        <v>217</v>
      </c>
      <c r="Z359" s="17">
        <v>32</v>
      </c>
      <c r="AA359" s="17">
        <v>12</v>
      </c>
      <c r="AB359" s="17">
        <v>24</v>
      </c>
      <c r="AC359" s="17">
        <v>1</v>
      </c>
      <c r="AD359" s="17">
        <v>2</v>
      </c>
      <c r="AE359" s="17">
        <v>3</v>
      </c>
      <c r="AF359" s="17">
        <v>13</v>
      </c>
      <c r="AG359" s="17">
        <v>6</v>
      </c>
      <c r="AH359" s="17">
        <v>0</v>
      </c>
      <c r="AI359" s="17">
        <v>0</v>
      </c>
      <c r="AJ359" s="17">
        <v>1</v>
      </c>
      <c r="AK359" s="17">
        <v>0</v>
      </c>
      <c r="AL359" s="17">
        <v>0</v>
      </c>
      <c r="AM359" s="17">
        <v>0</v>
      </c>
      <c r="AN359" s="17">
        <v>0</v>
      </c>
      <c r="AO359" s="18">
        <v>1</v>
      </c>
      <c r="AP359" s="17">
        <v>3</v>
      </c>
      <c r="AQ359" s="17">
        <v>11</v>
      </c>
      <c r="AR359" s="19">
        <v>1193</v>
      </c>
      <c r="AS359" s="19">
        <v>1217</v>
      </c>
    </row>
    <row r="360" spans="1:45" x14ac:dyDescent="0.25">
      <c r="A360">
        <v>737</v>
      </c>
      <c r="B360" s="11">
        <f t="shared" si="5"/>
        <v>62220</v>
      </c>
      <c r="C360" s="16">
        <v>622200</v>
      </c>
      <c r="D360" s="17">
        <v>0</v>
      </c>
      <c r="E360" s="17">
        <v>1</v>
      </c>
      <c r="F360" s="17">
        <v>55</v>
      </c>
      <c r="G360" s="17">
        <v>48</v>
      </c>
      <c r="H360" s="13" t="str" cm="1">
        <f t="array" ref="H360">_xlfn.IFS(G360&lt;=20,"0-20",G360&lt;=30,"20-30",G360&lt;=40,"30-40",G360&lt;=50,"50-60",G360&lt;=60,"60-70",G360&lt;=70,"70-80",G360&lt;=80,"80-90")</f>
        <v>50-60</v>
      </c>
      <c r="I360" s="17">
        <v>2846</v>
      </c>
      <c r="J360" s="13" t="str" cm="1">
        <f t="array" ref="J360">_xlfn.IFS(K360=1,"Divorciado",L360=1,"Casado",M360=1,"Solteiro",N360=1,"Juntos",O360=1,"Viuvo")</f>
        <v>Juntos</v>
      </c>
      <c r="K360" s="17">
        <v>0</v>
      </c>
      <c r="L360" s="17">
        <v>0</v>
      </c>
      <c r="M360" s="17">
        <v>0</v>
      </c>
      <c r="N360" s="17">
        <v>1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1</v>
      </c>
      <c r="U360" s="17">
        <v>799</v>
      </c>
      <c r="V360" s="13" t="str" cm="1">
        <f t="array" ref="V360">_xlfn.IFS(U360&lt;=250,"0-R$250",U360&lt;=500,"251-R$500",U360&lt;=750,"501-R$750",U360&lt;=1000,"751-R$1000",U360&lt;=1250,"1001-R$1250",U360&lt;=1500,"1251-R$1500")</f>
        <v>751-R$1000</v>
      </c>
      <c r="W360" s="17">
        <v>12</v>
      </c>
      <c r="X360" s="13" t="str" cm="1">
        <f t="array" ref="X360">_xlfn.IFS(W360 = 0, "0", W360&lt;=20, "até R$20",W360&lt;=40, "21 - R$40",W360&lt;=60, "41- R$60",W360&lt;=80, "61 - R$80", W360&lt;=100, "81 - R$100",W360&lt;=120, "101 - R$120",W360&lt;=140, "121 - R$140", W360&lt;=160, "141- R$160", W360&lt;=180, "161 - R$180", W360&lt;=200, "181-R$194")</f>
        <v>até R$20</v>
      </c>
      <c r="Y360" s="17">
        <v>375</v>
      </c>
      <c r="Z360" s="17">
        <v>16</v>
      </c>
      <c r="AA360" s="17">
        <v>12</v>
      </c>
      <c r="AB360" s="17">
        <v>12</v>
      </c>
      <c r="AC360" s="17">
        <v>5</v>
      </c>
      <c r="AD360" s="17">
        <v>7</v>
      </c>
      <c r="AE360" s="17">
        <v>6</v>
      </c>
      <c r="AF360" s="17">
        <v>5</v>
      </c>
      <c r="AG360" s="17">
        <v>6</v>
      </c>
      <c r="AH360" s="17">
        <v>0</v>
      </c>
      <c r="AI360" s="17">
        <v>0</v>
      </c>
      <c r="AJ360" s="17">
        <v>0</v>
      </c>
      <c r="AK360" s="17">
        <v>0</v>
      </c>
      <c r="AL360" s="17">
        <v>0</v>
      </c>
      <c r="AM360" s="17">
        <v>0</v>
      </c>
      <c r="AN360" s="17">
        <v>1</v>
      </c>
      <c r="AO360" s="18">
        <v>0</v>
      </c>
      <c r="AP360" s="17">
        <v>3</v>
      </c>
      <c r="AQ360" s="17">
        <v>11</v>
      </c>
      <c r="AR360" s="19">
        <v>1202</v>
      </c>
      <c r="AS360" s="19">
        <v>1214</v>
      </c>
    </row>
    <row r="361" spans="1:45" x14ac:dyDescent="0.25">
      <c r="A361">
        <v>926</v>
      </c>
      <c r="B361" s="11">
        <f t="shared" si="5"/>
        <v>51563</v>
      </c>
      <c r="C361" s="12">
        <v>515630</v>
      </c>
      <c r="D361" s="13">
        <v>0</v>
      </c>
      <c r="E361" s="13">
        <v>0</v>
      </c>
      <c r="F361" s="13">
        <v>60</v>
      </c>
      <c r="G361" s="13">
        <v>33</v>
      </c>
      <c r="H361" s="13" t="str" cm="1">
        <f t="array" ref="H361">_xlfn.IFS(G361&lt;=20,"0-20",G361&lt;=30,"20-30",G361&lt;=40,"30-40",G361&lt;=50,"50-60",G361&lt;=60,"60-70",G361&lt;=70,"70-80",G361&lt;=80,"80-90")</f>
        <v>30-40</v>
      </c>
      <c r="I361" s="13">
        <v>2795</v>
      </c>
      <c r="J361" s="13" t="str" cm="1">
        <f t="array" ref="J361">_xlfn.IFS(K361=1,"Divorciado",L361=1,"Casado",M361=1,"Solteiro",N361=1,"Juntos",O361=1,"Viuvo")</f>
        <v>Casado</v>
      </c>
      <c r="K361" s="13">
        <v>0</v>
      </c>
      <c r="L361" s="13">
        <v>1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1</v>
      </c>
      <c r="U361" s="13">
        <v>1166</v>
      </c>
      <c r="V361" s="13" t="str" cm="1">
        <f t="array" ref="V361">_xlfn.IFS(U361&lt;=250,"0-R$250",U361&lt;=500,"251-R$500",U361&lt;=750,"501-R$750",U361&lt;=1000,"751-R$1000",U361&lt;=1250,"1001-R$1250",U361&lt;=1500,"1251-R$1500")</f>
        <v>1001-R$1250</v>
      </c>
      <c r="W361" s="13">
        <v>0</v>
      </c>
      <c r="X361" s="13" t="str" cm="1">
        <f t="array" ref="X361">_xlfn.IFS(W361 = 0, "0", W361&lt;=20, "até R$20",W361&lt;=40, "21 - R$40",W361&lt;=60, "41- R$60",W361&lt;=80, "61 - R$80", W361&lt;=100, "81 - R$100",W361&lt;=120, "101 - R$120",W361&lt;=140, "121 - R$140", W361&lt;=160, "141- R$160", W361&lt;=180, "161 - R$180", W361&lt;=200, "181-R$194")</f>
        <v>0</v>
      </c>
      <c r="Y361" s="13">
        <v>48</v>
      </c>
      <c r="Z361" s="13">
        <v>0</v>
      </c>
      <c r="AA361" s="13">
        <v>0</v>
      </c>
      <c r="AB361" s="13">
        <v>36</v>
      </c>
      <c r="AC361" s="13">
        <v>1</v>
      </c>
      <c r="AD361" s="13">
        <v>4</v>
      </c>
      <c r="AE361" s="13">
        <v>4</v>
      </c>
      <c r="AF361" s="13">
        <v>10</v>
      </c>
      <c r="AG361" s="13">
        <v>8</v>
      </c>
      <c r="AH361" s="13">
        <v>0</v>
      </c>
      <c r="AI361" s="13">
        <v>0</v>
      </c>
      <c r="AJ361" s="13">
        <v>1</v>
      </c>
      <c r="AK361" s="13">
        <v>1</v>
      </c>
      <c r="AL361" s="13">
        <v>0</v>
      </c>
      <c r="AM361" s="13">
        <v>0</v>
      </c>
      <c r="AN361" s="13">
        <v>0</v>
      </c>
      <c r="AO361" s="14">
        <v>2</v>
      </c>
      <c r="AP361" s="13">
        <v>3</v>
      </c>
      <c r="AQ361" s="13">
        <v>11</v>
      </c>
      <c r="AR361" s="15">
        <v>1178</v>
      </c>
      <c r="AS361" s="15">
        <v>1214</v>
      </c>
    </row>
    <row r="362" spans="1:45" x14ac:dyDescent="0.25">
      <c r="A362">
        <v>619</v>
      </c>
      <c r="B362" s="11">
        <f t="shared" si="5"/>
        <v>84574</v>
      </c>
      <c r="C362" s="16">
        <v>845740</v>
      </c>
      <c r="D362" s="17">
        <v>0</v>
      </c>
      <c r="E362" s="17">
        <v>0</v>
      </c>
      <c r="F362" s="17">
        <v>72</v>
      </c>
      <c r="G362" s="17">
        <v>68</v>
      </c>
      <c r="H362" s="13" t="str" cm="1">
        <f t="array" ref="H362">_xlfn.IFS(G362&lt;=20,"0-20",G362&lt;=30,"20-30",G362&lt;=40,"30-40",G362&lt;=50,"50-60",G362&lt;=60,"60-70",G362&lt;=70,"70-80",G362&lt;=80,"80-90")</f>
        <v>70-80</v>
      </c>
      <c r="I362" s="17">
        <v>2549</v>
      </c>
      <c r="J362" s="13" t="str" cm="1">
        <f t="array" ref="J362">_xlfn.IFS(K362=1,"Divorciado",L362=1,"Casado",M362=1,"Solteiro",N362=1,"Juntos",O362=1,"Viuvo")</f>
        <v>Solteiro</v>
      </c>
      <c r="K362" s="17">
        <v>0</v>
      </c>
      <c r="L362" s="17">
        <v>0</v>
      </c>
      <c r="M362" s="17">
        <v>1</v>
      </c>
      <c r="N362" s="17">
        <v>0</v>
      </c>
      <c r="O362" s="17">
        <v>0</v>
      </c>
      <c r="P362" s="17">
        <v>0</v>
      </c>
      <c r="Q362" s="17">
        <v>0</v>
      </c>
      <c r="R362" s="17">
        <v>1</v>
      </c>
      <c r="S362" s="17">
        <v>0</v>
      </c>
      <c r="T362" s="17">
        <v>0</v>
      </c>
      <c r="U362" s="17">
        <v>387</v>
      </c>
      <c r="V362" s="13" t="str" cm="1">
        <f t="array" ref="V362">_xlfn.IFS(U362&lt;=250,"0-R$250",U362&lt;=500,"251-R$500",U362&lt;=750,"501-R$750",U362&lt;=1000,"751-R$1000",U362&lt;=1250,"1001-R$1250",U362&lt;=1500,"1251-R$1500")</f>
        <v>251-R$500</v>
      </c>
      <c r="W362" s="17">
        <v>20</v>
      </c>
      <c r="X362" s="13" t="str" cm="1">
        <f t="array" ref="X362">_xlfn.IFS(W362 = 0, "0", W362&lt;=20, "até R$20",W362&lt;=40, "21 - R$40",W362&lt;=60, "41- R$60",W362&lt;=80, "61 - R$80", W362&lt;=100, "81 - R$100",W362&lt;=120, "101 - R$120",W362&lt;=140, "121 - R$140", W362&lt;=160, "141- R$160", W362&lt;=180, "161 - R$180", W362&lt;=200, "181-R$194")</f>
        <v>até R$20</v>
      </c>
      <c r="Y362" s="17">
        <v>713</v>
      </c>
      <c r="Z362" s="17">
        <v>38</v>
      </c>
      <c r="AA362" s="17">
        <v>54</v>
      </c>
      <c r="AB362" s="17">
        <v>163</v>
      </c>
      <c r="AC362" s="17">
        <v>1</v>
      </c>
      <c r="AD362" s="17">
        <v>9</v>
      </c>
      <c r="AE362" s="17">
        <v>11</v>
      </c>
      <c r="AF362" s="17">
        <v>11</v>
      </c>
      <c r="AG362" s="17">
        <v>5</v>
      </c>
      <c r="AH362" s="17">
        <v>0</v>
      </c>
      <c r="AI362" s="17">
        <v>0</v>
      </c>
      <c r="AJ362" s="17">
        <v>0</v>
      </c>
      <c r="AK362" s="17">
        <v>0</v>
      </c>
      <c r="AL362" s="17">
        <v>0</v>
      </c>
      <c r="AM362" s="17">
        <v>0</v>
      </c>
      <c r="AN362" s="17">
        <v>0</v>
      </c>
      <c r="AO362" s="18">
        <v>0</v>
      </c>
      <c r="AP362" s="17">
        <v>3</v>
      </c>
      <c r="AQ362" s="17">
        <v>11</v>
      </c>
      <c r="AR362" s="19">
        <v>1049</v>
      </c>
      <c r="AS362" s="19">
        <v>1212</v>
      </c>
    </row>
    <row r="363" spans="1:45" x14ac:dyDescent="0.25">
      <c r="A363">
        <v>683</v>
      </c>
      <c r="B363" s="11">
        <f t="shared" si="5"/>
        <v>71022</v>
      </c>
      <c r="C363" s="16">
        <v>710220</v>
      </c>
      <c r="D363" s="17">
        <v>0</v>
      </c>
      <c r="E363" s="17">
        <v>1</v>
      </c>
      <c r="F363" s="17">
        <v>30</v>
      </c>
      <c r="G363" s="17">
        <v>42</v>
      </c>
      <c r="H363" s="13" t="str" cm="1">
        <f t="array" ref="H363">_xlfn.IFS(G363&lt;=20,"0-20",G363&lt;=30,"20-30",G363&lt;=40,"30-40",G363&lt;=50,"50-60",G363&lt;=60,"60-70",G363&lt;=70,"70-80",G363&lt;=80,"80-90")</f>
        <v>50-60</v>
      </c>
      <c r="I363" s="17">
        <v>2297</v>
      </c>
      <c r="J363" s="13" t="str" cm="1">
        <f t="array" ref="J363">_xlfn.IFS(K363=1,"Divorciado",L363=1,"Casado",M363=1,"Solteiro",N363=1,"Juntos",O363=1,"Viuvo")</f>
        <v>Divorciado</v>
      </c>
      <c r="K363" s="17">
        <v>1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1</v>
      </c>
      <c r="S363" s="17">
        <v>0</v>
      </c>
      <c r="T363" s="17">
        <v>0</v>
      </c>
      <c r="U363" s="17">
        <v>909</v>
      </c>
      <c r="V363" s="13" t="str" cm="1">
        <f t="array" ref="V363">_xlfn.IFS(U363&lt;=250,"0-R$250",U363&lt;=500,"251-R$500",U363&lt;=750,"501-R$750",U363&lt;=1000,"751-R$1000",U363&lt;=1250,"1001-R$1250",U363&lt;=1500,"1251-R$1500")</f>
        <v>751-R$1000</v>
      </c>
      <c r="W363" s="17">
        <v>12</v>
      </c>
      <c r="X363" s="13" t="str" cm="1">
        <f t="array" ref="X363">_xlfn.IFS(W363 = 0, "0", W363&lt;=20, "até R$20",W363&lt;=40, "21 - R$40",W363&lt;=60, "41- R$60",W363&lt;=80, "61 - R$80", W363&lt;=100, "81 - R$100",W363&lt;=120, "101 - R$120",W363&lt;=140, "121 - R$140", W363&lt;=160, "141- R$160", W363&lt;=180, "161 - R$180", W363&lt;=200, "181-R$194")</f>
        <v>até R$20</v>
      </c>
      <c r="Y363" s="17">
        <v>278</v>
      </c>
      <c r="Z363" s="17">
        <v>0</v>
      </c>
      <c r="AA363" s="17">
        <v>12</v>
      </c>
      <c r="AB363" s="17">
        <v>242</v>
      </c>
      <c r="AC363" s="17">
        <v>3</v>
      </c>
      <c r="AD363" s="17">
        <v>5</v>
      </c>
      <c r="AE363" s="17">
        <v>2</v>
      </c>
      <c r="AF363" s="17">
        <v>11</v>
      </c>
      <c r="AG363" s="17">
        <v>8</v>
      </c>
      <c r="AH363" s="17">
        <v>0</v>
      </c>
      <c r="AI363" s="17">
        <v>1</v>
      </c>
      <c r="AJ363" s="17">
        <v>0</v>
      </c>
      <c r="AK363" s="17">
        <v>0</v>
      </c>
      <c r="AL363" s="17">
        <v>0</v>
      </c>
      <c r="AM363" s="17">
        <v>0</v>
      </c>
      <c r="AN363" s="17">
        <v>0</v>
      </c>
      <c r="AO363" s="18">
        <v>1</v>
      </c>
      <c r="AP363" s="17">
        <v>3</v>
      </c>
      <c r="AQ363" s="17">
        <v>11</v>
      </c>
      <c r="AR363" s="19">
        <v>969</v>
      </c>
      <c r="AS363" s="19">
        <v>1211</v>
      </c>
    </row>
    <row r="364" spans="1:45" x14ac:dyDescent="0.25">
      <c r="A364">
        <v>1163</v>
      </c>
      <c r="B364" s="11">
        <f t="shared" si="5"/>
        <v>54959</v>
      </c>
      <c r="C364" s="16">
        <v>549590</v>
      </c>
      <c r="D364" s="17">
        <v>0</v>
      </c>
      <c r="E364" s="17">
        <v>1</v>
      </c>
      <c r="F364" s="17">
        <v>55</v>
      </c>
      <c r="G364" s="17">
        <v>59</v>
      </c>
      <c r="H364" s="13" t="str" cm="1">
        <f t="array" ref="H364">_xlfn.IFS(G364&lt;=20,"0-20",G364&lt;=30,"20-30",G364&lt;=40,"30-40",G364&lt;=50,"50-60",G364&lt;=60,"60-70",G364&lt;=70,"70-80",G364&lt;=80,"80-90")</f>
        <v>60-70</v>
      </c>
      <c r="I364" s="17">
        <v>2685</v>
      </c>
      <c r="J364" s="13" t="str" cm="1">
        <f t="array" ref="J364">_xlfn.IFS(K364=1,"Divorciado",L364=1,"Casado",M364=1,"Solteiro",N364=1,"Juntos",O364=1,"Viuvo")</f>
        <v>Divorciado</v>
      </c>
      <c r="K364" s="17">
        <v>1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1</v>
      </c>
      <c r="U364" s="17">
        <v>1148</v>
      </c>
      <c r="V364" s="13" t="str" cm="1">
        <f t="array" ref="V364">_xlfn.IFS(U364&lt;=250,"0-R$250",U364&lt;=500,"251-R$500",U364&lt;=750,"501-R$750",U364&lt;=1000,"751-R$1000",U364&lt;=1250,"1001-R$1250",U364&lt;=1500,"1251-R$1500")</f>
        <v>1001-R$1250</v>
      </c>
      <c r="W364" s="17">
        <v>0</v>
      </c>
      <c r="X364" s="13" t="str" cm="1">
        <f t="array" ref="X364">_xlfn.IFS(W364 = 0, "0", W364&lt;=20, "até R$20",W364&lt;=40, "21 - R$40",W364&lt;=60, "41- R$60",W364&lt;=80, "61 - R$80", W364&lt;=100, "81 - R$100",W364&lt;=120, "101 - R$120",W364&lt;=140, "121 - R$140", W364&lt;=160, "141- R$160", W364&lt;=180, "161 - R$180", W364&lt;=200, "181-R$194")</f>
        <v>0</v>
      </c>
      <c r="Y364" s="17">
        <v>60</v>
      </c>
      <c r="Z364" s="17">
        <v>0</v>
      </c>
      <c r="AA364" s="17">
        <v>0</v>
      </c>
      <c r="AB364" s="17">
        <v>24</v>
      </c>
      <c r="AC364" s="17">
        <v>3</v>
      </c>
      <c r="AD364" s="17">
        <v>9</v>
      </c>
      <c r="AE364" s="17">
        <v>5</v>
      </c>
      <c r="AF364" s="17">
        <v>4</v>
      </c>
      <c r="AG364" s="17">
        <v>7</v>
      </c>
      <c r="AH364" s="17">
        <v>0</v>
      </c>
      <c r="AI364" s="17">
        <v>0</v>
      </c>
      <c r="AJ364" s="17">
        <v>1</v>
      </c>
      <c r="AK364" s="17">
        <v>0</v>
      </c>
      <c r="AL364" s="17">
        <v>0</v>
      </c>
      <c r="AM364" s="17">
        <v>0</v>
      </c>
      <c r="AN364" s="17">
        <v>1</v>
      </c>
      <c r="AO364" s="18">
        <v>1</v>
      </c>
      <c r="AP364" s="17">
        <v>3</v>
      </c>
      <c r="AQ364" s="17">
        <v>11</v>
      </c>
      <c r="AR364" s="19">
        <v>1184</v>
      </c>
      <c r="AS364" s="19">
        <v>1208</v>
      </c>
    </row>
    <row r="365" spans="1:45" x14ac:dyDescent="0.25">
      <c r="A365">
        <v>1681</v>
      </c>
      <c r="B365" s="11">
        <f t="shared" si="5"/>
        <v>58656</v>
      </c>
      <c r="C365" s="16">
        <v>586560</v>
      </c>
      <c r="D365" s="17">
        <v>0</v>
      </c>
      <c r="E365" s="17">
        <v>1</v>
      </c>
      <c r="F365" s="17">
        <v>25</v>
      </c>
      <c r="G365" s="17">
        <v>64</v>
      </c>
      <c r="H365" s="13" t="str" cm="1">
        <f t="array" ref="H365">_xlfn.IFS(G365&lt;=20,"0-20",G365&lt;=30,"20-30",G365&lt;=40,"30-40",G365&lt;=50,"50-60",G365&lt;=60,"60-70",G365&lt;=70,"70-80",G365&lt;=80,"80-90")</f>
        <v>70-80</v>
      </c>
      <c r="I365" s="17">
        <v>2806</v>
      </c>
      <c r="J365" s="13" t="str" cm="1">
        <f t="array" ref="J365">_xlfn.IFS(K365=1,"Divorciado",L365=1,"Casado",M365=1,"Solteiro",N365=1,"Juntos",O365=1,"Viuvo")</f>
        <v>Juntos</v>
      </c>
      <c r="K365" s="17">
        <v>0</v>
      </c>
      <c r="L365" s="17">
        <v>0</v>
      </c>
      <c r="M365" s="17">
        <v>0</v>
      </c>
      <c r="N365" s="17">
        <v>1</v>
      </c>
      <c r="O365" s="17">
        <v>0</v>
      </c>
      <c r="P365" s="17">
        <v>0</v>
      </c>
      <c r="Q365" s="17">
        <v>0</v>
      </c>
      <c r="R365" s="17">
        <v>0</v>
      </c>
      <c r="S365" s="17">
        <v>1</v>
      </c>
      <c r="T365" s="17">
        <v>0</v>
      </c>
      <c r="U365" s="17">
        <v>962</v>
      </c>
      <c r="V365" s="13" t="str" cm="1">
        <f t="array" ref="V365">_xlfn.IFS(U365&lt;=250,"0-R$250",U365&lt;=500,"251-R$500",U365&lt;=750,"501-R$750",U365&lt;=1000,"751-R$1000",U365&lt;=1250,"1001-R$1250",U365&lt;=1500,"1251-R$1500")</f>
        <v>751-R$1000</v>
      </c>
      <c r="W365" s="17">
        <v>12</v>
      </c>
      <c r="X365" s="13" t="str" cm="1">
        <f t="array" ref="X365">_xlfn.IFS(W365 = 0, "0", W365&lt;=20, "até R$20",W365&lt;=40, "21 - R$40",W365&lt;=60, "41- R$60",W365&lt;=80, "61 - R$80", W365&lt;=100, "81 - R$100",W365&lt;=120, "101 - R$120",W365&lt;=140, "121 - R$140", W365&lt;=160, "141- R$160", W365&lt;=180, "161 - R$180", W365&lt;=200, "181-R$194")</f>
        <v>até R$20</v>
      </c>
      <c r="Y365" s="17">
        <v>194</v>
      </c>
      <c r="Z365" s="17">
        <v>16</v>
      </c>
      <c r="AA365" s="17">
        <v>24</v>
      </c>
      <c r="AB365" s="17">
        <v>12</v>
      </c>
      <c r="AC365" s="17">
        <v>4</v>
      </c>
      <c r="AD365" s="17">
        <v>7</v>
      </c>
      <c r="AE365" s="17">
        <v>8</v>
      </c>
      <c r="AF365" s="17">
        <v>13</v>
      </c>
      <c r="AG365" s="17">
        <v>6</v>
      </c>
      <c r="AH365" s="17">
        <v>0</v>
      </c>
      <c r="AI365" s="17">
        <v>0</v>
      </c>
      <c r="AJ365" s="17">
        <v>0</v>
      </c>
      <c r="AK365" s="17">
        <v>1</v>
      </c>
      <c r="AL365" s="17">
        <v>0</v>
      </c>
      <c r="AM365" s="17">
        <v>0</v>
      </c>
      <c r="AN365" s="17">
        <v>0</v>
      </c>
      <c r="AO365" s="18">
        <v>1</v>
      </c>
      <c r="AP365" s="17">
        <v>3</v>
      </c>
      <c r="AQ365" s="17">
        <v>11</v>
      </c>
      <c r="AR365" s="19">
        <v>1196</v>
      </c>
      <c r="AS365" s="19">
        <v>1208</v>
      </c>
    </row>
    <row r="366" spans="1:45" x14ac:dyDescent="0.25">
      <c r="A366">
        <v>165</v>
      </c>
      <c r="B366" s="11">
        <f t="shared" si="5"/>
        <v>83837</v>
      </c>
      <c r="C366" s="16">
        <v>838370</v>
      </c>
      <c r="D366" s="17">
        <v>0</v>
      </c>
      <c r="E366" s="17">
        <v>0</v>
      </c>
      <c r="F366" s="17">
        <v>79</v>
      </c>
      <c r="G366" s="17">
        <v>72</v>
      </c>
      <c r="H366" s="13" t="str" cm="1">
        <f t="array" ref="H366">_xlfn.IFS(G366&lt;=20,"0-20",G366&lt;=30,"20-30",G366&lt;=40,"30-40",G366&lt;=50,"50-60",G366&lt;=60,"60-70",G366&lt;=70,"70-80",G366&lt;=80,"80-90")</f>
        <v>80-90</v>
      </c>
      <c r="I366" s="17">
        <v>2719</v>
      </c>
      <c r="J366" s="13" t="str" cm="1">
        <f t="array" ref="J366">_xlfn.IFS(K366=1,"Divorciado",L366=1,"Casado",M366=1,"Solteiro",N366=1,"Juntos",O366=1,"Viuvo")</f>
        <v>Casado</v>
      </c>
      <c r="K366" s="17">
        <v>0</v>
      </c>
      <c r="L366" s="17">
        <v>1</v>
      </c>
      <c r="M366" s="17">
        <v>0</v>
      </c>
      <c r="N366" s="17">
        <v>0</v>
      </c>
      <c r="O366" s="17">
        <v>0</v>
      </c>
      <c r="P366" s="17">
        <v>0</v>
      </c>
      <c r="Q366" s="17">
        <v>0</v>
      </c>
      <c r="R366" s="17">
        <v>0</v>
      </c>
      <c r="S366" s="17">
        <v>0</v>
      </c>
      <c r="T366" s="17">
        <v>1</v>
      </c>
      <c r="U366" s="17">
        <v>847</v>
      </c>
      <c r="V366" s="13" t="str" cm="1">
        <f t="array" ref="V366">_xlfn.IFS(U366&lt;=250,"0-R$250",U366&lt;=500,"251-R$500",U366&lt;=750,"501-R$750",U366&lt;=1000,"751-R$1000",U366&lt;=1250,"1001-R$1250",U366&lt;=1500,"1251-R$1500")</f>
        <v>751-R$1000</v>
      </c>
      <c r="W366" s="17">
        <v>66</v>
      </c>
      <c r="X366" s="13" t="str" cm="1">
        <f t="array" ref="X366">_xlfn.IFS(W366 = 0, "0", W366&lt;=20, "até R$20",W366&lt;=40, "21 - R$40",W366&lt;=60, "41- R$60",W366&lt;=80, "61 - R$80", W366&lt;=100, "81 - R$100",W366&lt;=120, "101 - R$120",W366&lt;=140, "121 - R$140", W366&lt;=160, "141- R$160", W366&lt;=180, "161 - R$180", W366&lt;=200, "181-R$194")</f>
        <v>61 - R$80</v>
      </c>
      <c r="Y366" s="17">
        <v>119</v>
      </c>
      <c r="Z366" s="17">
        <v>86</v>
      </c>
      <c r="AA366" s="17">
        <v>89</v>
      </c>
      <c r="AB366" s="17">
        <v>111</v>
      </c>
      <c r="AC366" s="17">
        <v>1</v>
      </c>
      <c r="AD366" s="17">
        <v>9</v>
      </c>
      <c r="AE366" s="17">
        <v>10</v>
      </c>
      <c r="AF366" s="17">
        <v>5</v>
      </c>
      <c r="AG366" s="17">
        <v>4</v>
      </c>
      <c r="AH366" s="17">
        <v>0</v>
      </c>
      <c r="AI366" s="17">
        <v>0</v>
      </c>
      <c r="AJ366" s="17">
        <v>1</v>
      </c>
      <c r="AK366" s="17">
        <v>0</v>
      </c>
      <c r="AL366" s="17">
        <v>1</v>
      </c>
      <c r="AM366" s="17">
        <v>0</v>
      </c>
      <c r="AN366" s="17">
        <v>1</v>
      </c>
      <c r="AO366" s="18">
        <v>2</v>
      </c>
      <c r="AP366" s="17">
        <v>3</v>
      </c>
      <c r="AQ366" s="17">
        <v>11</v>
      </c>
      <c r="AR366" s="19">
        <v>1096</v>
      </c>
      <c r="AS366" s="19">
        <v>1207</v>
      </c>
    </row>
    <row r="367" spans="1:45" x14ac:dyDescent="0.25">
      <c r="A367">
        <v>559</v>
      </c>
      <c r="B367" s="11">
        <f t="shared" si="5"/>
        <v>61996</v>
      </c>
      <c r="C367" s="16">
        <v>619960</v>
      </c>
      <c r="D367" s="17">
        <v>0</v>
      </c>
      <c r="E367" s="17">
        <v>1</v>
      </c>
      <c r="F367" s="17">
        <v>27</v>
      </c>
      <c r="G367" s="17">
        <v>43</v>
      </c>
      <c r="H367" s="13" t="str" cm="1">
        <f t="array" ref="H367">_xlfn.IFS(G367&lt;=20,"0-20",G367&lt;=30,"20-30",G367&lt;=40,"30-40",G367&lt;=50,"50-60",G367&lt;=60,"60-70",G367&lt;=70,"70-80",G367&lt;=80,"80-90")</f>
        <v>50-60</v>
      </c>
      <c r="I367" s="17">
        <v>2673</v>
      </c>
      <c r="J367" s="13" t="str" cm="1">
        <f t="array" ref="J367">_xlfn.IFS(K367=1,"Divorciado",L367=1,"Casado",M367=1,"Solteiro",N367=1,"Juntos",O367=1,"Viuvo")</f>
        <v>Casado</v>
      </c>
      <c r="K367" s="17">
        <v>0</v>
      </c>
      <c r="L367" s="17">
        <v>1</v>
      </c>
      <c r="M367" s="17">
        <v>0</v>
      </c>
      <c r="N367" s="17">
        <v>0</v>
      </c>
      <c r="O367" s="17">
        <v>0</v>
      </c>
      <c r="P367" s="17">
        <v>0</v>
      </c>
      <c r="Q367" s="17">
        <v>0</v>
      </c>
      <c r="R367" s="17">
        <v>0</v>
      </c>
      <c r="S367" s="17">
        <v>0</v>
      </c>
      <c r="T367" s="17">
        <v>1</v>
      </c>
      <c r="U367" s="17">
        <v>1050</v>
      </c>
      <c r="V367" s="13" t="str" cm="1">
        <f t="array" ref="V367">_xlfn.IFS(U367&lt;=250,"0-R$250",U367&lt;=500,"251-R$500",U367&lt;=750,"501-R$750",U367&lt;=1000,"751-R$1000",U367&lt;=1250,"1001-R$1250",U367&lt;=1500,"1251-R$1500")</f>
        <v>1001-R$1250</v>
      </c>
      <c r="W367" s="17">
        <v>12</v>
      </c>
      <c r="X367" s="13" t="str" cm="1">
        <f t="array" ref="X367">_xlfn.IFS(W367 = 0, "0", W367&lt;=20, "até R$20",W367&lt;=40, "21 - R$40",W367&lt;=60, "41- R$60",W367&lt;=80, "61 - R$80", W367&lt;=100, "81 - R$100",W367&lt;=120, "101 - R$120",W367&lt;=140, "121 - R$140", W367&lt;=160, "141- R$160", W367&lt;=180, "161 - R$180", W367&lt;=200, "181-R$194")</f>
        <v>até R$20</v>
      </c>
      <c r="Y367" s="17">
        <v>144</v>
      </c>
      <c r="Z367" s="17">
        <v>0</v>
      </c>
      <c r="AA367" s="17">
        <v>0</v>
      </c>
      <c r="AB367" s="17">
        <v>24</v>
      </c>
      <c r="AC367" s="17">
        <v>3</v>
      </c>
      <c r="AD367" s="17">
        <v>6</v>
      </c>
      <c r="AE367" s="17">
        <v>4</v>
      </c>
      <c r="AF367" s="17">
        <v>8</v>
      </c>
      <c r="AG367" s="17">
        <v>5</v>
      </c>
      <c r="AH367" s="17">
        <v>0</v>
      </c>
      <c r="AI367" s="17">
        <v>0</v>
      </c>
      <c r="AJ367" s="17">
        <v>1</v>
      </c>
      <c r="AK367" s="17">
        <v>0</v>
      </c>
      <c r="AL367" s="17">
        <v>1</v>
      </c>
      <c r="AM367" s="17">
        <v>1</v>
      </c>
      <c r="AN367" s="17">
        <v>1</v>
      </c>
      <c r="AO367" s="18">
        <v>3</v>
      </c>
      <c r="AP367" s="17">
        <v>3</v>
      </c>
      <c r="AQ367" s="17">
        <v>11</v>
      </c>
      <c r="AR367" s="19">
        <v>1182</v>
      </c>
      <c r="AS367" s="19">
        <v>1206</v>
      </c>
    </row>
    <row r="368" spans="1:45" x14ac:dyDescent="0.25">
      <c r="A368">
        <v>1003</v>
      </c>
      <c r="B368" s="11">
        <f t="shared" si="5"/>
        <v>64504</v>
      </c>
      <c r="C368" s="16">
        <v>645040</v>
      </c>
      <c r="D368" s="17">
        <v>1</v>
      </c>
      <c r="E368" s="17">
        <v>2</v>
      </c>
      <c r="F368" s="17">
        <v>81</v>
      </c>
      <c r="G368" s="17">
        <v>67</v>
      </c>
      <c r="H368" s="13" t="str" cm="1">
        <f t="array" ref="H368">_xlfn.IFS(G368&lt;=20,"0-20",G368&lt;=30,"20-30",G368&lt;=40,"30-40",G368&lt;=50,"50-60",G368&lt;=60,"60-70",G368&lt;=70,"70-80",G368&lt;=80,"80-90")</f>
        <v>70-80</v>
      </c>
      <c r="I368" s="17">
        <v>2641</v>
      </c>
      <c r="J368" s="13" t="str" cm="1">
        <f t="array" ref="J368">_xlfn.IFS(K368=1,"Divorciado",L368=1,"Casado",M368=1,"Solteiro",N368=1,"Juntos",O368=1,"Viuvo")</f>
        <v>Juntos</v>
      </c>
      <c r="K368" s="17">
        <v>0</v>
      </c>
      <c r="L368" s="17">
        <v>0</v>
      </c>
      <c r="M368" s="17">
        <v>0</v>
      </c>
      <c r="N368" s="17">
        <v>1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1</v>
      </c>
      <c r="U368" s="17">
        <v>986</v>
      </c>
      <c r="V368" s="13" t="str" cm="1">
        <f t="array" ref="V368">_xlfn.IFS(U368&lt;=250,"0-R$250",U368&lt;=500,"251-R$500",U368&lt;=750,"501-R$750",U368&lt;=1000,"751-R$1000",U368&lt;=1250,"1001-R$1250",U368&lt;=1500,"1251-R$1500")</f>
        <v>751-R$1000</v>
      </c>
      <c r="W368" s="17">
        <v>36</v>
      </c>
      <c r="X368" s="13" t="str" cm="1">
        <f t="array" ref="X368">_xlfn.IFS(W368 = 0, "0", W368&lt;=20, "até R$20",W368&lt;=40, "21 - R$40",W368&lt;=60, "41- R$60",W368&lt;=80, "61 - R$80", W368&lt;=100, "81 - R$100",W368&lt;=120, "101 - R$120",W368&lt;=140, "121 - R$140", W368&lt;=160, "141- R$160", W368&lt;=180, "161 - R$180", W368&lt;=200, "181-R$194")</f>
        <v>21 - R$40</v>
      </c>
      <c r="Y368" s="17">
        <v>168</v>
      </c>
      <c r="Z368" s="17">
        <v>16</v>
      </c>
      <c r="AA368" s="17">
        <v>0</v>
      </c>
      <c r="AB368" s="17">
        <v>108</v>
      </c>
      <c r="AC368" s="17">
        <v>7</v>
      </c>
      <c r="AD368" s="17">
        <v>11</v>
      </c>
      <c r="AE368" s="17">
        <v>3</v>
      </c>
      <c r="AF368" s="17">
        <v>4</v>
      </c>
      <c r="AG368" s="17">
        <v>7</v>
      </c>
      <c r="AH368" s="17">
        <v>0</v>
      </c>
      <c r="AI368" s="17">
        <v>0</v>
      </c>
      <c r="AJ368" s="17">
        <v>0</v>
      </c>
      <c r="AK368" s="17">
        <v>0</v>
      </c>
      <c r="AL368" s="17">
        <v>0</v>
      </c>
      <c r="AM368" s="17">
        <v>0</v>
      </c>
      <c r="AN368" s="17">
        <v>1</v>
      </c>
      <c r="AO368" s="18">
        <v>0</v>
      </c>
      <c r="AP368" s="17">
        <v>3</v>
      </c>
      <c r="AQ368" s="17">
        <v>11</v>
      </c>
      <c r="AR368" s="19">
        <v>1098</v>
      </c>
      <c r="AS368" s="19">
        <v>1206</v>
      </c>
    </row>
    <row r="369" spans="1:45" x14ac:dyDescent="0.25">
      <c r="A369">
        <v>658</v>
      </c>
      <c r="B369" s="11">
        <f t="shared" si="5"/>
        <v>81300</v>
      </c>
      <c r="C369" s="12">
        <v>813000</v>
      </c>
      <c r="D369" s="13">
        <v>0</v>
      </c>
      <c r="E369" s="13">
        <v>1</v>
      </c>
      <c r="F369" s="13">
        <v>17</v>
      </c>
      <c r="G369" s="13">
        <v>57</v>
      </c>
      <c r="H369" s="13" t="str" cm="1">
        <f t="array" ref="H369">_xlfn.IFS(G369&lt;=20,"0-20",G369&lt;=30,"20-30",G369&lt;=40,"30-40",G369&lt;=50,"50-60",G369&lt;=60,"60-70",G369&lt;=70,"70-80",G369&lt;=80,"80-90")</f>
        <v>60-70</v>
      </c>
      <c r="I369" s="13">
        <v>2766</v>
      </c>
      <c r="J369" s="13" t="str" cm="1">
        <f t="array" ref="J369">_xlfn.IFS(K369=1,"Divorciado",L369=1,"Casado",M369=1,"Solteiro",N369=1,"Juntos",O369=1,"Viuvo")</f>
        <v>Casado</v>
      </c>
      <c r="K369" s="13">
        <v>0</v>
      </c>
      <c r="L369" s="13">
        <v>1</v>
      </c>
      <c r="M369" s="13">
        <v>0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  <c r="S369" s="13">
        <v>0</v>
      </c>
      <c r="T369" s="13">
        <v>1</v>
      </c>
      <c r="U369" s="13">
        <v>1004</v>
      </c>
      <c r="V369" s="13" t="str" cm="1">
        <f t="array" ref="V369">_xlfn.IFS(U369&lt;=250,"0-R$250",U369&lt;=500,"251-R$500",U369&lt;=750,"501-R$750",U369&lt;=1000,"751-R$1000",U369&lt;=1250,"1001-R$1250",U369&lt;=1500,"1251-R$1500")</f>
        <v>1001-R$1250</v>
      </c>
      <c r="W369" s="13">
        <v>12</v>
      </c>
      <c r="X369" s="13" t="str" cm="1">
        <f t="array" ref="X369">_xlfn.IFS(W369 = 0, "0", W369&lt;=20, "até R$20",W369&lt;=40, "21 - R$40",W369&lt;=60, "41- R$60",W369&lt;=80, "61 - R$80", W369&lt;=100, "81 - R$100",W369&lt;=120, "101 - R$120",W369&lt;=140, "121 - R$140", W369&lt;=160, "141- R$160", W369&lt;=180, "161 - R$180", W369&lt;=200, "181-R$194")</f>
        <v>até R$20</v>
      </c>
      <c r="Y369" s="13">
        <v>145</v>
      </c>
      <c r="Z369" s="13">
        <v>32</v>
      </c>
      <c r="AA369" s="13">
        <v>12</v>
      </c>
      <c r="AB369" s="13">
        <v>36</v>
      </c>
      <c r="AC369" s="13">
        <v>3</v>
      </c>
      <c r="AD369" s="13">
        <v>10</v>
      </c>
      <c r="AE369" s="13">
        <v>3</v>
      </c>
      <c r="AF369" s="13">
        <v>5</v>
      </c>
      <c r="AG369" s="13">
        <v>5</v>
      </c>
      <c r="AH369" s="13">
        <v>0</v>
      </c>
      <c r="AI369" s="13">
        <v>0</v>
      </c>
      <c r="AJ369" s="13">
        <v>0</v>
      </c>
      <c r="AK369" s="13">
        <v>0</v>
      </c>
      <c r="AL369" s="13">
        <v>1</v>
      </c>
      <c r="AM369" s="13">
        <v>0</v>
      </c>
      <c r="AN369" s="13">
        <v>1</v>
      </c>
      <c r="AO369" s="14">
        <v>1</v>
      </c>
      <c r="AP369" s="13">
        <v>3</v>
      </c>
      <c r="AQ369" s="13">
        <v>11</v>
      </c>
      <c r="AR369" s="15">
        <v>1169</v>
      </c>
      <c r="AS369" s="15">
        <v>1205</v>
      </c>
    </row>
    <row r="370" spans="1:45" x14ac:dyDescent="0.25">
      <c r="A370">
        <v>1830</v>
      </c>
      <c r="B370" s="11">
        <f t="shared" si="5"/>
        <v>74290</v>
      </c>
      <c r="C370" s="12">
        <v>742900</v>
      </c>
      <c r="D370" s="13">
        <v>0</v>
      </c>
      <c r="E370" s="13">
        <v>1</v>
      </c>
      <c r="F370" s="13">
        <v>70</v>
      </c>
      <c r="G370" s="13">
        <v>49</v>
      </c>
      <c r="H370" s="13" t="str" cm="1">
        <f t="array" ref="H370">_xlfn.IFS(G370&lt;=20,"0-20",G370&lt;=30,"20-30",G370&lt;=40,"30-40",G370&lt;=50,"50-60",G370&lt;=60,"60-70",G370&lt;=70,"70-80",G370&lt;=80,"80-90")</f>
        <v>50-60</v>
      </c>
      <c r="I370" s="13">
        <v>2480</v>
      </c>
      <c r="J370" s="13" t="str" cm="1">
        <f t="array" ref="J370">_xlfn.IFS(K370=1,"Divorciado",L370=1,"Casado",M370=1,"Solteiro",N370=1,"Juntos",O370=1,"Viuvo")</f>
        <v>Divorciado</v>
      </c>
      <c r="K370" s="13">
        <v>1</v>
      </c>
      <c r="L370" s="13">
        <v>0</v>
      </c>
      <c r="M370" s="13">
        <v>0</v>
      </c>
      <c r="N370" s="13">
        <v>0</v>
      </c>
      <c r="O370" s="13">
        <v>0</v>
      </c>
      <c r="P370" s="13">
        <v>0</v>
      </c>
      <c r="Q370" s="13">
        <v>0</v>
      </c>
      <c r="R370" s="13">
        <v>0</v>
      </c>
      <c r="S370" s="13">
        <v>1</v>
      </c>
      <c r="T370" s="13">
        <v>0</v>
      </c>
      <c r="U370" s="13">
        <v>1121</v>
      </c>
      <c r="V370" s="13" t="str" cm="1">
        <f t="array" ref="V370">_xlfn.IFS(U370&lt;=250,"0-R$250",U370&lt;=500,"251-R$500",U370&lt;=750,"501-R$750",U370&lt;=1000,"751-R$1000",U370&lt;=1250,"1001-R$1250",U370&lt;=1500,"1251-R$1500")</f>
        <v>1001-R$1250</v>
      </c>
      <c r="W370" s="13">
        <v>0</v>
      </c>
      <c r="X370" s="13" t="str" cm="1">
        <f t="array" ref="X370">_xlfn.IFS(W370 = 0, "0", W370&lt;=20, "até R$20",W370&lt;=40, "21 - R$40",W370&lt;=60, "41- R$60",W370&lt;=80, "61 - R$80", W370&lt;=100, "81 - R$100",W370&lt;=120, "101 - R$120",W370&lt;=140, "121 - R$140", W370&lt;=160, "141- R$160", W370&lt;=180, "161 - R$180", W370&lt;=200, "181-R$194")</f>
        <v>0</v>
      </c>
      <c r="Y370" s="13">
        <v>72</v>
      </c>
      <c r="Z370" s="13">
        <v>0</v>
      </c>
      <c r="AA370" s="13">
        <v>12</v>
      </c>
      <c r="AB370" s="13">
        <v>12</v>
      </c>
      <c r="AC370" s="13">
        <v>4</v>
      </c>
      <c r="AD370" s="13">
        <v>10</v>
      </c>
      <c r="AE370" s="13">
        <v>8</v>
      </c>
      <c r="AF370" s="13">
        <v>10</v>
      </c>
      <c r="AG370" s="13">
        <v>6</v>
      </c>
      <c r="AH370" s="13">
        <v>0</v>
      </c>
      <c r="AI370" s="13">
        <v>0</v>
      </c>
      <c r="AJ370" s="13">
        <v>1</v>
      </c>
      <c r="AK370" s="13">
        <v>0</v>
      </c>
      <c r="AL370" s="13">
        <v>1</v>
      </c>
      <c r="AM370" s="13">
        <v>0</v>
      </c>
      <c r="AN370" s="13">
        <v>0</v>
      </c>
      <c r="AO370" s="14">
        <v>2</v>
      </c>
      <c r="AP370" s="13">
        <v>3</v>
      </c>
      <c r="AQ370" s="13">
        <v>11</v>
      </c>
      <c r="AR370" s="15">
        <v>1193</v>
      </c>
      <c r="AS370" s="15">
        <v>1205</v>
      </c>
    </row>
    <row r="371" spans="1:45" x14ac:dyDescent="0.25">
      <c r="A371">
        <v>189</v>
      </c>
      <c r="B371" s="11">
        <f t="shared" si="5"/>
        <v>75922</v>
      </c>
      <c r="C371" s="16">
        <v>759220</v>
      </c>
      <c r="D371" s="17">
        <v>0</v>
      </c>
      <c r="E371" s="17">
        <v>0</v>
      </c>
      <c r="F371" s="17">
        <v>60</v>
      </c>
      <c r="G371" s="17">
        <v>52</v>
      </c>
      <c r="H371" s="13" t="str" cm="1">
        <f t="array" ref="H371">_xlfn.IFS(G371&lt;=20,"0-20",G371&lt;=30,"20-30",G371&lt;=40,"30-40",G371&lt;=50,"50-60",G371&lt;=60,"60-70",G371&lt;=70,"70-80",G371&lt;=80,"80-90")</f>
        <v>60-70</v>
      </c>
      <c r="I371" s="17">
        <v>2361</v>
      </c>
      <c r="J371" s="13" t="str" cm="1">
        <f t="array" ref="J371">_xlfn.IFS(K371=1,"Divorciado",L371=1,"Casado",M371=1,"Solteiro",N371=1,"Juntos",O371=1,"Viuvo")</f>
        <v>Solteiro</v>
      </c>
      <c r="K371" s="17">
        <v>0</v>
      </c>
      <c r="L371" s="17">
        <v>0</v>
      </c>
      <c r="M371" s="17">
        <v>1</v>
      </c>
      <c r="N371" s="17">
        <v>0</v>
      </c>
      <c r="O371" s="17">
        <v>0</v>
      </c>
      <c r="P371" s="17">
        <v>0</v>
      </c>
      <c r="Q371" s="17">
        <v>0</v>
      </c>
      <c r="R371" s="17">
        <v>1</v>
      </c>
      <c r="S371" s="17">
        <v>0</v>
      </c>
      <c r="T371" s="17">
        <v>0</v>
      </c>
      <c r="U371" s="17">
        <v>265</v>
      </c>
      <c r="V371" s="13" t="str" cm="1">
        <f t="array" ref="V371">_xlfn.IFS(U371&lt;=250,"0-R$250",U371&lt;=500,"251-R$500",U371&lt;=750,"501-R$750",U371&lt;=1000,"751-R$1000",U371&lt;=1250,"1001-R$1250",U371&lt;=1500,"1251-R$1500")</f>
        <v>251-R$500</v>
      </c>
      <c r="W371" s="17">
        <v>138</v>
      </c>
      <c r="X371" s="13" t="str" cm="1">
        <f t="array" ref="X371">_xlfn.IFS(W371 = 0, "0", W371&lt;=20, "até R$20",W371&lt;=40, "21 - R$40",W371&lt;=60, "41- R$60",W371&lt;=80, "61 - R$80", W371&lt;=100, "81 - R$100",W371&lt;=120, "101 - R$120",W371&lt;=140, "121 - R$140", W371&lt;=160, "141- R$160", W371&lt;=180, "161 - R$180", W371&lt;=200, "181-R$194")</f>
        <v>121 - R$140</v>
      </c>
      <c r="Y371" s="17">
        <v>553</v>
      </c>
      <c r="Z371" s="17">
        <v>224</v>
      </c>
      <c r="AA371" s="17">
        <v>23</v>
      </c>
      <c r="AB371" s="17">
        <v>92</v>
      </c>
      <c r="AC371" s="17">
        <v>1</v>
      </c>
      <c r="AD371" s="17">
        <v>4</v>
      </c>
      <c r="AE371" s="17">
        <v>4</v>
      </c>
      <c r="AF371" s="17">
        <v>9</v>
      </c>
      <c r="AG371" s="17">
        <v>1</v>
      </c>
      <c r="AH371" s="17">
        <v>0</v>
      </c>
      <c r="AI371" s="17">
        <v>0</v>
      </c>
      <c r="AJ371" s="17">
        <v>0</v>
      </c>
      <c r="AK371" s="17">
        <v>0</v>
      </c>
      <c r="AL371" s="17">
        <v>0</v>
      </c>
      <c r="AM371" s="17">
        <v>0</v>
      </c>
      <c r="AN371" s="17">
        <v>0</v>
      </c>
      <c r="AO371" s="18">
        <v>0</v>
      </c>
      <c r="AP371" s="17">
        <v>3</v>
      </c>
      <c r="AQ371" s="17">
        <v>11</v>
      </c>
      <c r="AR371" s="19">
        <v>1111</v>
      </c>
      <c r="AS371" s="19">
        <v>1203</v>
      </c>
    </row>
    <row r="372" spans="1:45" x14ac:dyDescent="0.25">
      <c r="A372">
        <v>1206</v>
      </c>
      <c r="B372" s="11">
        <f t="shared" si="5"/>
        <v>75032</v>
      </c>
      <c r="C372" s="12">
        <v>750320</v>
      </c>
      <c r="D372" s="13">
        <v>0</v>
      </c>
      <c r="E372" s="13">
        <v>1</v>
      </c>
      <c r="F372" s="13">
        <v>74</v>
      </c>
      <c r="G372" s="13">
        <v>61</v>
      </c>
      <c r="H372" s="13" t="str" cm="1">
        <f t="array" ref="H372">_xlfn.IFS(G372&lt;=20,"0-20",G372&lt;=30,"20-30",G372&lt;=40,"30-40",G372&lt;=50,"50-60",G372&lt;=60,"60-70",G372&lt;=70,"70-80",G372&lt;=80,"80-90")</f>
        <v>70-80</v>
      </c>
      <c r="I372" s="13">
        <v>2586</v>
      </c>
      <c r="J372" s="13" t="str" cm="1">
        <f t="array" ref="J372">_xlfn.IFS(K372=1,"Divorciado",L372=1,"Casado",M372=1,"Solteiro",N372=1,"Juntos",O372=1,"Viuvo")</f>
        <v>Casado</v>
      </c>
      <c r="K372" s="13">
        <v>0</v>
      </c>
      <c r="L372" s="13">
        <v>1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1</v>
      </c>
      <c r="U372" s="13">
        <v>952</v>
      </c>
      <c r="V372" s="13" t="str" cm="1">
        <f t="array" ref="V372">_xlfn.IFS(U372&lt;=250,"0-R$250",U372&lt;=500,"251-R$500",U372&lt;=750,"501-R$750",U372&lt;=1000,"751-R$1000",U372&lt;=1250,"1001-R$1250",U372&lt;=1500,"1251-R$1500")</f>
        <v>751-R$1000</v>
      </c>
      <c r="W372" s="13">
        <v>12</v>
      </c>
      <c r="X372" s="13" t="str" cm="1">
        <f t="array" ref="X372">_xlfn.IFS(W372 = 0, "0", W372&lt;=20, "até R$20",W372&lt;=40, "21 - R$40",W372&lt;=60, "41- R$60",W372&lt;=80, "61 - R$80", W372&lt;=100, "81 - R$100",W372&lt;=120, "101 - R$120",W372&lt;=140, "121 - R$140", W372&lt;=160, "141- R$160", W372&lt;=180, "161 - R$180", W372&lt;=200, "181-R$194")</f>
        <v>até R$20</v>
      </c>
      <c r="Y372" s="13">
        <v>180</v>
      </c>
      <c r="Z372" s="13">
        <v>47</v>
      </c>
      <c r="AA372" s="13">
        <v>12</v>
      </c>
      <c r="AB372" s="13">
        <v>12</v>
      </c>
      <c r="AC372" s="13">
        <v>2</v>
      </c>
      <c r="AD372" s="13">
        <v>5</v>
      </c>
      <c r="AE372" s="13">
        <v>4</v>
      </c>
      <c r="AF372" s="13">
        <v>9</v>
      </c>
      <c r="AG372" s="13">
        <v>3</v>
      </c>
      <c r="AH372" s="13">
        <v>0</v>
      </c>
      <c r="AI372" s="13">
        <v>0</v>
      </c>
      <c r="AJ372" s="13">
        <v>0</v>
      </c>
      <c r="AK372" s="13">
        <v>0</v>
      </c>
      <c r="AL372" s="13">
        <v>0</v>
      </c>
      <c r="AM372" s="13">
        <v>0</v>
      </c>
      <c r="AN372" s="13">
        <v>0</v>
      </c>
      <c r="AO372" s="14">
        <v>0</v>
      </c>
      <c r="AP372" s="13">
        <v>3</v>
      </c>
      <c r="AQ372" s="13">
        <v>11</v>
      </c>
      <c r="AR372" s="15">
        <v>1191</v>
      </c>
      <c r="AS372" s="15">
        <v>1203</v>
      </c>
    </row>
    <row r="373" spans="1:45" x14ac:dyDescent="0.25">
      <c r="A373">
        <v>969</v>
      </c>
      <c r="B373" s="11">
        <f t="shared" si="5"/>
        <v>79689</v>
      </c>
      <c r="C373" s="16">
        <v>796890</v>
      </c>
      <c r="D373" s="17">
        <v>0</v>
      </c>
      <c r="E373" s="17">
        <v>0</v>
      </c>
      <c r="F373" s="17">
        <v>65</v>
      </c>
      <c r="G373" s="17">
        <v>44</v>
      </c>
      <c r="H373" s="13" t="str" cm="1">
        <f t="array" ref="H373">_xlfn.IFS(G373&lt;=20,"0-20",G373&lt;=30,"20-30",G373&lt;=40,"30-40",G373&lt;=50,"50-60",G373&lt;=60,"60-70",G373&lt;=70,"70-80",G373&lt;=80,"80-90")</f>
        <v>50-60</v>
      </c>
      <c r="I373" s="17">
        <v>2572</v>
      </c>
      <c r="J373" s="13" t="str" cm="1">
        <f t="array" ref="J373">_xlfn.IFS(K373=1,"Divorciado",L373=1,"Casado",M373=1,"Solteiro",N373=1,"Juntos",O373=1,"Viuvo")</f>
        <v>Solteiro</v>
      </c>
      <c r="K373" s="17">
        <v>0</v>
      </c>
      <c r="L373" s="17">
        <v>0</v>
      </c>
      <c r="M373" s="17">
        <v>1</v>
      </c>
      <c r="N373" s="17">
        <v>0</v>
      </c>
      <c r="O373" s="17">
        <v>0</v>
      </c>
      <c r="P373" s="17">
        <v>1</v>
      </c>
      <c r="Q373" s="17">
        <v>0</v>
      </c>
      <c r="R373" s="17">
        <v>0</v>
      </c>
      <c r="S373" s="17">
        <v>0</v>
      </c>
      <c r="T373" s="17">
        <v>0</v>
      </c>
      <c r="U373" s="17">
        <v>311</v>
      </c>
      <c r="V373" s="13" t="str" cm="1">
        <f t="array" ref="V373">_xlfn.IFS(U373&lt;=250,"0-R$250",U373&lt;=500,"251-R$500",U373&lt;=750,"501-R$750",U373&lt;=1000,"751-R$1000",U373&lt;=1250,"1001-R$1250",U373&lt;=1500,"1251-R$1500")</f>
        <v>251-R$500</v>
      </c>
      <c r="W373" s="17">
        <v>26</v>
      </c>
      <c r="X373" s="13" t="str" cm="1">
        <f t="array" ref="X373">_xlfn.IFS(W373 = 0, "0", W373&lt;=20, "até R$20",W373&lt;=40, "21 - R$40",W373&lt;=60, "41- R$60",W373&lt;=80, "61 - R$80", W373&lt;=100, "81 - R$100",W373&lt;=120, "101 - R$120",W373&lt;=140, "121 - R$140", W373&lt;=160, "141- R$160", W373&lt;=180, "161 - R$180", W373&lt;=200, "181-R$194")</f>
        <v>21 - R$40</v>
      </c>
      <c r="Y373" s="17">
        <v>640</v>
      </c>
      <c r="Z373" s="17">
        <v>180</v>
      </c>
      <c r="AA373" s="17">
        <v>37</v>
      </c>
      <c r="AB373" s="17">
        <v>121</v>
      </c>
      <c r="AC373" s="17">
        <v>1</v>
      </c>
      <c r="AD373" s="17">
        <v>4</v>
      </c>
      <c r="AE373" s="17">
        <v>9</v>
      </c>
      <c r="AF373" s="17">
        <v>13</v>
      </c>
      <c r="AG373" s="17">
        <v>2</v>
      </c>
      <c r="AH373" s="17">
        <v>0</v>
      </c>
      <c r="AI373" s="17">
        <v>0</v>
      </c>
      <c r="AJ373" s="17">
        <v>0</v>
      </c>
      <c r="AK373" s="17">
        <v>0</v>
      </c>
      <c r="AL373" s="17">
        <v>0</v>
      </c>
      <c r="AM373" s="17">
        <v>0</v>
      </c>
      <c r="AN373" s="17">
        <v>0</v>
      </c>
      <c r="AO373" s="18">
        <v>0</v>
      </c>
      <c r="AP373" s="17">
        <v>3</v>
      </c>
      <c r="AQ373" s="17">
        <v>11</v>
      </c>
      <c r="AR373" s="19">
        <v>1073</v>
      </c>
      <c r="AS373" s="19">
        <v>1194</v>
      </c>
    </row>
    <row r="374" spans="1:45" x14ac:dyDescent="0.25">
      <c r="A374">
        <v>1039</v>
      </c>
      <c r="B374" s="11">
        <f t="shared" si="5"/>
        <v>72228</v>
      </c>
      <c r="C374" s="16">
        <v>722280</v>
      </c>
      <c r="D374" s="17">
        <v>0</v>
      </c>
      <c r="E374" s="17">
        <v>0</v>
      </c>
      <c r="F374" s="17">
        <v>87</v>
      </c>
      <c r="G374" s="17">
        <v>68</v>
      </c>
      <c r="H374" s="13" t="str" cm="1">
        <f t="array" ref="H374">_xlfn.IFS(G374&lt;=20,"0-20",G374&lt;=30,"20-30",G374&lt;=40,"30-40",G374&lt;=50,"50-60",G374&lt;=60,"60-70",G374&lt;=70,"70-80",G374&lt;=80,"80-90")</f>
        <v>70-80</v>
      </c>
      <c r="I374" s="17">
        <v>2738</v>
      </c>
      <c r="J374" s="13" t="str" cm="1">
        <f t="array" ref="J374">_xlfn.IFS(K374=1,"Divorciado",L374=1,"Casado",M374=1,"Solteiro",N374=1,"Juntos",O374=1,"Viuvo")</f>
        <v>Solteiro</v>
      </c>
      <c r="K374" s="17">
        <v>0</v>
      </c>
      <c r="L374" s="17">
        <v>0</v>
      </c>
      <c r="M374" s="17">
        <v>1</v>
      </c>
      <c r="N374" s="17">
        <v>0</v>
      </c>
      <c r="O374" s="17">
        <v>0</v>
      </c>
      <c r="P374" s="17">
        <v>0</v>
      </c>
      <c r="Q374" s="17">
        <v>0</v>
      </c>
      <c r="R374" s="17">
        <v>1</v>
      </c>
      <c r="S374" s="17">
        <v>0</v>
      </c>
      <c r="T374" s="17">
        <v>0</v>
      </c>
      <c r="U374" s="17">
        <v>631</v>
      </c>
      <c r="V374" s="13" t="str" cm="1">
        <f t="array" ref="V374">_xlfn.IFS(U374&lt;=250,"0-R$250",U374&lt;=500,"251-R$500",U374&lt;=750,"501-R$750",U374&lt;=1000,"751-R$1000",U374&lt;=1250,"1001-R$1250",U374&lt;=1500,"1251-R$1500")</f>
        <v>501-R$750</v>
      </c>
      <c r="W374" s="17">
        <v>28</v>
      </c>
      <c r="X374" s="13" t="str" cm="1">
        <f t="array" ref="X374">_xlfn.IFS(W374 = 0, "0", W374&lt;=20, "até R$20",W374&lt;=40, "21 - R$40",W374&lt;=60, "41- R$60",W374&lt;=80, "61 - R$80", W374&lt;=100, "81 - R$100",W374&lt;=120, "101 - R$120",W374&lt;=140, "121 - R$140", W374&lt;=160, "141- R$160", W374&lt;=180, "161 - R$180", W374&lt;=200, "181-R$194")</f>
        <v>21 - R$40</v>
      </c>
      <c r="Y374" s="17">
        <v>491</v>
      </c>
      <c r="Z374" s="17">
        <v>30</v>
      </c>
      <c r="AA374" s="17">
        <v>14</v>
      </c>
      <c r="AB374" s="17">
        <v>56</v>
      </c>
      <c r="AC374" s="17">
        <v>1</v>
      </c>
      <c r="AD374" s="17">
        <v>6</v>
      </c>
      <c r="AE374" s="17">
        <v>7</v>
      </c>
      <c r="AF374" s="17">
        <v>8</v>
      </c>
      <c r="AG374" s="17">
        <v>3</v>
      </c>
      <c r="AH374" s="17">
        <v>0</v>
      </c>
      <c r="AI374" s="17">
        <v>0</v>
      </c>
      <c r="AJ374" s="17">
        <v>0</v>
      </c>
      <c r="AK374" s="17">
        <v>0</v>
      </c>
      <c r="AL374" s="17">
        <v>0</v>
      </c>
      <c r="AM374" s="17">
        <v>0</v>
      </c>
      <c r="AN374" s="17">
        <v>0</v>
      </c>
      <c r="AO374" s="18">
        <v>0</v>
      </c>
      <c r="AP374" s="17">
        <v>3</v>
      </c>
      <c r="AQ374" s="17">
        <v>11</v>
      </c>
      <c r="AR374" s="19">
        <v>1138</v>
      </c>
      <c r="AS374" s="19">
        <v>1194</v>
      </c>
    </row>
    <row r="375" spans="1:45" x14ac:dyDescent="0.25">
      <c r="A375">
        <v>1789</v>
      </c>
      <c r="B375" s="11">
        <f t="shared" si="5"/>
        <v>72071</v>
      </c>
      <c r="C375" s="16">
        <v>720710</v>
      </c>
      <c r="D375" s="17">
        <v>0</v>
      </c>
      <c r="E375" s="17">
        <v>1</v>
      </c>
      <c r="F375" s="17">
        <v>4</v>
      </c>
      <c r="G375" s="17">
        <v>66</v>
      </c>
      <c r="H375" s="13" t="str" cm="1">
        <f t="array" ref="H375">_xlfn.IFS(G375&lt;=20,"0-20",G375&lt;=30,"20-30",G375&lt;=40,"30-40",G375&lt;=50,"50-60",G375&lt;=60,"60-70",G375&lt;=70,"70-80",G375&lt;=80,"80-90")</f>
        <v>70-80</v>
      </c>
      <c r="I375" s="17">
        <v>2659</v>
      </c>
      <c r="J375" s="13" t="str" cm="1">
        <f t="array" ref="J375">_xlfn.IFS(K375=1,"Divorciado",L375=1,"Casado",M375=1,"Solteiro",N375=1,"Juntos",O375=1,"Viuvo")</f>
        <v>Divorciado</v>
      </c>
      <c r="K375" s="17">
        <v>1</v>
      </c>
      <c r="L375" s="17">
        <v>0</v>
      </c>
      <c r="M375" s="17">
        <v>0</v>
      </c>
      <c r="N375" s="17">
        <v>0</v>
      </c>
      <c r="O375" s="17">
        <v>0</v>
      </c>
      <c r="P375" s="17">
        <v>0</v>
      </c>
      <c r="Q375" s="17">
        <v>0</v>
      </c>
      <c r="R375" s="17">
        <v>1</v>
      </c>
      <c r="S375" s="17">
        <v>0</v>
      </c>
      <c r="T375" s="17">
        <v>0</v>
      </c>
      <c r="U375" s="17">
        <v>531</v>
      </c>
      <c r="V375" s="13" t="str" cm="1">
        <f t="array" ref="V375">_xlfn.IFS(U375&lt;=250,"0-R$250",U375&lt;=500,"251-R$500",U375&lt;=750,"501-R$750",U375&lt;=1000,"751-R$1000",U375&lt;=1250,"1001-R$1250",U375&lt;=1500,"1251-R$1500")</f>
        <v>501-R$750</v>
      </c>
      <c r="W375" s="17">
        <v>69</v>
      </c>
      <c r="X375" s="13" t="str" cm="1">
        <f t="array" ref="X375">_xlfn.IFS(W375 = 0, "0", W375&lt;=20, "até R$20",W375&lt;=40, "21 - R$40",W375&lt;=60, "41- R$60",W375&lt;=80, "61 - R$80", W375&lt;=100, "81 - R$100",W375&lt;=120, "101 - R$120",W375&lt;=140, "121 - R$140", W375&lt;=160, "141- R$160", W375&lt;=180, "161 - R$180", W375&lt;=200, "181-R$194")</f>
        <v>61 - R$80</v>
      </c>
      <c r="Y375" s="17">
        <v>300</v>
      </c>
      <c r="Z375" s="17">
        <v>150</v>
      </c>
      <c r="AA375" s="17">
        <v>138</v>
      </c>
      <c r="AB375" s="17">
        <v>150</v>
      </c>
      <c r="AC375" s="17">
        <v>3</v>
      </c>
      <c r="AD375" s="17">
        <v>5</v>
      </c>
      <c r="AE375" s="17">
        <v>4</v>
      </c>
      <c r="AF375" s="17">
        <v>8</v>
      </c>
      <c r="AG375" s="17">
        <v>2</v>
      </c>
      <c r="AH375" s="17">
        <v>0</v>
      </c>
      <c r="AI375" s="17">
        <v>0</v>
      </c>
      <c r="AJ375" s="17">
        <v>0</v>
      </c>
      <c r="AK375" s="17">
        <v>0</v>
      </c>
      <c r="AL375" s="17">
        <v>0</v>
      </c>
      <c r="AM375" s="17">
        <v>0</v>
      </c>
      <c r="AN375" s="17">
        <v>0</v>
      </c>
      <c r="AO375" s="18">
        <v>0</v>
      </c>
      <c r="AP375" s="17">
        <v>3</v>
      </c>
      <c r="AQ375" s="17">
        <v>11</v>
      </c>
      <c r="AR375" s="19">
        <v>1038</v>
      </c>
      <c r="AS375" s="19">
        <v>1188</v>
      </c>
    </row>
    <row r="376" spans="1:45" x14ac:dyDescent="0.25">
      <c r="A376">
        <v>2134</v>
      </c>
      <c r="B376" s="11">
        <f t="shared" si="5"/>
        <v>72071</v>
      </c>
      <c r="C376" s="12">
        <v>720710</v>
      </c>
      <c r="D376" s="13">
        <v>0</v>
      </c>
      <c r="E376" s="13">
        <v>1</v>
      </c>
      <c r="F376" s="13">
        <v>4</v>
      </c>
      <c r="G376" s="13">
        <v>66</v>
      </c>
      <c r="H376" s="13" t="str" cm="1">
        <f t="array" ref="H376">_xlfn.IFS(G376&lt;=20,"0-20",G376&lt;=30,"20-30",G376&lt;=40,"30-40",G376&lt;=50,"50-60",G376&lt;=60,"60-70",G376&lt;=70,"70-80",G376&lt;=80,"80-90")</f>
        <v>70-80</v>
      </c>
      <c r="I376" s="13">
        <v>2659</v>
      </c>
      <c r="J376" s="13" t="str" cm="1">
        <f t="array" ref="J376">_xlfn.IFS(K376=1,"Divorciado",L376=1,"Casado",M376=1,"Solteiro",N376=1,"Juntos",O376=1,"Viuvo")</f>
        <v>Divorciado</v>
      </c>
      <c r="K376" s="13">
        <v>1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1</v>
      </c>
      <c r="S376" s="13">
        <v>0</v>
      </c>
      <c r="T376" s="13">
        <v>0</v>
      </c>
      <c r="U376" s="13">
        <v>531</v>
      </c>
      <c r="V376" s="13" t="str" cm="1">
        <f t="array" ref="V376">_xlfn.IFS(U376&lt;=250,"0-R$250",U376&lt;=500,"251-R$500",U376&lt;=750,"501-R$750",U376&lt;=1000,"751-R$1000",U376&lt;=1250,"1001-R$1250",U376&lt;=1500,"1251-R$1500")</f>
        <v>501-R$750</v>
      </c>
      <c r="W376" s="13">
        <v>69</v>
      </c>
      <c r="X376" s="13" t="str" cm="1">
        <f t="array" ref="X376">_xlfn.IFS(W376 = 0, "0", W376&lt;=20, "até R$20",W376&lt;=40, "21 - R$40",W376&lt;=60, "41- R$60",W376&lt;=80, "61 - R$80", W376&lt;=100, "81 - R$100",W376&lt;=120, "101 - R$120",W376&lt;=140, "121 - R$140", W376&lt;=160, "141- R$160", W376&lt;=180, "161 - R$180", W376&lt;=200, "181-R$194")</f>
        <v>61 - R$80</v>
      </c>
      <c r="Y376" s="13">
        <v>300</v>
      </c>
      <c r="Z376" s="13">
        <v>150</v>
      </c>
      <c r="AA376" s="13">
        <v>138</v>
      </c>
      <c r="AB376" s="13">
        <v>150</v>
      </c>
      <c r="AC376" s="13">
        <v>3</v>
      </c>
      <c r="AD376" s="13">
        <v>5</v>
      </c>
      <c r="AE376" s="13">
        <v>4</v>
      </c>
      <c r="AF376" s="13">
        <v>8</v>
      </c>
      <c r="AG376" s="13">
        <v>2</v>
      </c>
      <c r="AH376" s="13">
        <v>0</v>
      </c>
      <c r="AI376" s="13">
        <v>0</v>
      </c>
      <c r="AJ376" s="13">
        <v>0</v>
      </c>
      <c r="AK376" s="13">
        <v>0</v>
      </c>
      <c r="AL376" s="13">
        <v>0</v>
      </c>
      <c r="AM376" s="13">
        <v>0</v>
      </c>
      <c r="AN376" s="13">
        <v>0</v>
      </c>
      <c r="AO376" s="14">
        <v>0</v>
      </c>
      <c r="AP376" s="13">
        <v>3</v>
      </c>
      <c r="AQ376" s="13">
        <v>11</v>
      </c>
      <c r="AR376" s="15">
        <v>1038</v>
      </c>
      <c r="AS376" s="15">
        <v>1188</v>
      </c>
    </row>
    <row r="377" spans="1:45" x14ac:dyDescent="0.25">
      <c r="A377">
        <v>1718</v>
      </c>
      <c r="B377" s="11">
        <f t="shared" si="5"/>
        <v>70321</v>
      </c>
      <c r="C377" s="12">
        <v>703210</v>
      </c>
      <c r="D377" s="13">
        <v>0</v>
      </c>
      <c r="E377" s="13">
        <v>0</v>
      </c>
      <c r="F377" s="13">
        <v>6</v>
      </c>
      <c r="G377" s="13">
        <v>73</v>
      </c>
      <c r="H377" s="13" t="str" cm="1">
        <f t="array" ref="H377">_xlfn.IFS(G377&lt;=20,"0-20",G377&lt;=30,"20-30",G377&lt;=40,"30-40",G377&lt;=50,"50-60",G377&lt;=60,"60-70",G377&lt;=70,"70-80",G377&lt;=80,"80-90")</f>
        <v>80-90</v>
      </c>
      <c r="I377" s="13">
        <v>2688</v>
      </c>
      <c r="J377" s="13" t="str" cm="1">
        <f t="array" ref="J377">_xlfn.IFS(K377=1,"Divorciado",L377=1,"Casado",M377=1,"Solteiro",N377=1,"Juntos",O377=1,"Viuvo")</f>
        <v>Juntos</v>
      </c>
      <c r="K377" s="13">
        <v>0</v>
      </c>
      <c r="L377" s="13">
        <v>0</v>
      </c>
      <c r="M377" s="13">
        <v>0</v>
      </c>
      <c r="N377" s="13">
        <v>1</v>
      </c>
      <c r="O377" s="13">
        <v>0</v>
      </c>
      <c r="P377" s="13">
        <v>0</v>
      </c>
      <c r="Q377" s="13">
        <v>0</v>
      </c>
      <c r="R377" s="13">
        <v>1</v>
      </c>
      <c r="S377" s="13">
        <v>0</v>
      </c>
      <c r="T377" s="13">
        <v>0</v>
      </c>
      <c r="U377" s="13">
        <v>303</v>
      </c>
      <c r="V377" s="13" t="str" cm="1">
        <f t="array" ref="V377">_xlfn.IFS(U377&lt;=250,"0-R$250",U377&lt;=500,"251-R$500",U377&lt;=750,"501-R$750",U377&lt;=1000,"751-R$1000",U377&lt;=1250,"1001-R$1250",U377&lt;=1500,"1251-R$1500")</f>
        <v>251-R$500</v>
      </c>
      <c r="W377" s="13">
        <v>23</v>
      </c>
      <c r="X377" s="13" t="str" cm="1">
        <f t="array" ref="X377">_xlfn.IFS(W377 = 0, "0", W377&lt;=20, "até R$20",W377&lt;=40, "21 - R$40",W377&lt;=60, "41- R$60",W377&lt;=80, "61 - R$80", W377&lt;=100, "81 - R$100",W377&lt;=120, "101 - R$120",W377&lt;=140, "121 - R$140", W377&lt;=160, "141- R$160", W377&lt;=180, "161 - R$180", W377&lt;=200, "181-R$194")</f>
        <v>21 - R$40</v>
      </c>
      <c r="Y377" s="13">
        <v>751</v>
      </c>
      <c r="Z377" s="13">
        <v>82</v>
      </c>
      <c r="AA377" s="13">
        <v>26</v>
      </c>
      <c r="AB377" s="13">
        <v>191</v>
      </c>
      <c r="AC377" s="13">
        <v>1</v>
      </c>
      <c r="AD377" s="13">
        <v>6</v>
      </c>
      <c r="AE377" s="13">
        <v>5</v>
      </c>
      <c r="AF377" s="13">
        <v>13</v>
      </c>
      <c r="AG377" s="13">
        <v>4</v>
      </c>
      <c r="AH377" s="13">
        <v>0</v>
      </c>
      <c r="AI377" s="13">
        <v>0</v>
      </c>
      <c r="AJ377" s="13">
        <v>0</v>
      </c>
      <c r="AK377" s="13">
        <v>0</v>
      </c>
      <c r="AL377" s="13">
        <v>0</v>
      </c>
      <c r="AM377" s="13">
        <v>0</v>
      </c>
      <c r="AN377" s="13">
        <v>1</v>
      </c>
      <c r="AO377" s="14">
        <v>0</v>
      </c>
      <c r="AP377" s="13">
        <v>3</v>
      </c>
      <c r="AQ377" s="13">
        <v>11</v>
      </c>
      <c r="AR377" s="15">
        <v>994</v>
      </c>
      <c r="AS377" s="15">
        <v>1185</v>
      </c>
    </row>
    <row r="378" spans="1:45" x14ac:dyDescent="0.25">
      <c r="A378">
        <v>965</v>
      </c>
      <c r="B378" s="11">
        <f t="shared" si="5"/>
        <v>80763</v>
      </c>
      <c r="C378" s="16">
        <v>807630</v>
      </c>
      <c r="D378" s="17">
        <v>0</v>
      </c>
      <c r="E378" s="17">
        <v>0</v>
      </c>
      <c r="F378" s="17">
        <v>17</v>
      </c>
      <c r="G378" s="17">
        <v>70</v>
      </c>
      <c r="H378" s="13" t="str" cm="1">
        <f t="array" ref="H378">_xlfn.IFS(G378&lt;=20,"0-20",G378&lt;=30,"20-30",G378&lt;=40,"30-40",G378&lt;=50,"50-60",G378&lt;=60,"60-70",G378&lt;=70,"70-80",G378&lt;=80,"80-90")</f>
        <v>70-80</v>
      </c>
      <c r="I378" s="17">
        <v>2477</v>
      </c>
      <c r="J378" s="13" t="str" cm="1">
        <f t="array" ref="J378">_xlfn.IFS(K378=1,"Divorciado",L378=1,"Casado",M378=1,"Solteiro",N378=1,"Juntos",O378=1,"Viuvo")</f>
        <v>Casado</v>
      </c>
      <c r="K378" s="17">
        <v>0</v>
      </c>
      <c r="L378" s="17">
        <v>1</v>
      </c>
      <c r="M378" s="17">
        <v>0</v>
      </c>
      <c r="N378" s="17">
        <v>0</v>
      </c>
      <c r="O378" s="17">
        <v>0</v>
      </c>
      <c r="P378" s="17">
        <v>0</v>
      </c>
      <c r="Q378" s="17">
        <v>0</v>
      </c>
      <c r="R378" s="17">
        <v>1</v>
      </c>
      <c r="S378" s="17">
        <v>0</v>
      </c>
      <c r="T378" s="17">
        <v>0</v>
      </c>
      <c r="U378" s="17">
        <v>674</v>
      </c>
      <c r="V378" s="13" t="str" cm="1">
        <f t="array" ref="V378">_xlfn.IFS(U378&lt;=250,"0-R$250",U378&lt;=500,"251-R$500",U378&lt;=750,"501-R$750",U378&lt;=1000,"751-R$1000",U378&lt;=1250,"1001-R$1250",U378&lt;=1500,"1251-R$1500")</f>
        <v>501-R$750</v>
      </c>
      <c r="W378" s="17">
        <v>168</v>
      </c>
      <c r="X378" s="13" t="str" cm="1">
        <f t="array" ref="X378">_xlfn.IFS(W378 = 0, "0", W378&lt;=20, "até R$20",W378&lt;=40, "21 - R$40",W378&lt;=60, "41- R$60",W378&lt;=80, "61 - R$80", W378&lt;=100, "81 - R$100",W378&lt;=120, "101 - R$120",W378&lt;=140, "121 - R$140", W378&lt;=160, "141- R$160", W378&lt;=180, "161 - R$180", W378&lt;=200, "181-R$194")</f>
        <v>161 - R$180</v>
      </c>
      <c r="Y378" s="17">
        <v>108</v>
      </c>
      <c r="Z378" s="17">
        <v>192</v>
      </c>
      <c r="AA378" s="17">
        <v>42</v>
      </c>
      <c r="AB378" s="17">
        <v>231</v>
      </c>
      <c r="AC378" s="17">
        <v>1</v>
      </c>
      <c r="AD378" s="17">
        <v>5</v>
      </c>
      <c r="AE378" s="17">
        <v>11</v>
      </c>
      <c r="AF378" s="17">
        <v>6</v>
      </c>
      <c r="AG378" s="17">
        <v>3</v>
      </c>
      <c r="AH378" s="17">
        <v>0</v>
      </c>
      <c r="AI378" s="17">
        <v>0</v>
      </c>
      <c r="AJ378" s="17">
        <v>0</v>
      </c>
      <c r="AK378" s="17">
        <v>1</v>
      </c>
      <c r="AL378" s="17">
        <v>1</v>
      </c>
      <c r="AM378" s="17">
        <v>0</v>
      </c>
      <c r="AN378" s="17">
        <v>1</v>
      </c>
      <c r="AO378" s="18">
        <v>2</v>
      </c>
      <c r="AP378" s="17">
        <v>3</v>
      </c>
      <c r="AQ378" s="17">
        <v>11</v>
      </c>
      <c r="AR378" s="19">
        <v>953</v>
      </c>
      <c r="AS378" s="19">
        <v>1184</v>
      </c>
    </row>
    <row r="379" spans="1:45" x14ac:dyDescent="0.25">
      <c r="A379">
        <v>191</v>
      </c>
      <c r="B379" s="11">
        <f t="shared" si="5"/>
        <v>102160</v>
      </c>
      <c r="C379" s="16">
        <v>1021600</v>
      </c>
      <c r="D379" s="17">
        <v>0</v>
      </c>
      <c r="E379" s="17">
        <v>0</v>
      </c>
      <c r="F379" s="17">
        <v>54</v>
      </c>
      <c r="G379" s="17">
        <v>43</v>
      </c>
      <c r="H379" s="13" t="str" cm="1">
        <f t="array" ref="H379">_xlfn.IFS(G379&lt;=20,"0-20",G379&lt;=30,"20-30",G379&lt;=40,"30-40",G379&lt;=50,"50-60",G379&lt;=60,"60-70",G379&lt;=70,"70-80",G379&lt;=80,"80-90")</f>
        <v>50-60</v>
      </c>
      <c r="I379" s="17">
        <v>2763</v>
      </c>
      <c r="J379" s="13" t="str" cm="1">
        <f t="array" ref="J379">_xlfn.IFS(K379=1,"Divorciado",L379=1,"Casado",M379=1,"Solteiro",N379=1,"Juntos",O379=1,"Viuvo")</f>
        <v>Juntos</v>
      </c>
      <c r="K379" s="17">
        <v>0</v>
      </c>
      <c r="L379" s="17">
        <v>0</v>
      </c>
      <c r="M379" s="17">
        <v>0</v>
      </c>
      <c r="N379" s="17">
        <v>1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1</v>
      </c>
      <c r="U379" s="17">
        <v>763</v>
      </c>
      <c r="V379" s="13" t="str" cm="1">
        <f t="array" ref="V379">_xlfn.IFS(U379&lt;=250,"0-R$250",U379&lt;=500,"251-R$500",U379&lt;=750,"501-R$750",U379&lt;=1000,"751-R$1000",U379&lt;=1250,"1001-R$1250",U379&lt;=1500,"1251-R$1500")</f>
        <v>751-R$1000</v>
      </c>
      <c r="W379" s="17">
        <v>29</v>
      </c>
      <c r="X379" s="13" t="str" cm="1">
        <f t="array" ref="X379">_xlfn.IFS(W379 = 0, "0", W379&lt;=20, "até R$20",W379&lt;=40, "21 - R$40",W379&lt;=60, "41- R$60",W379&lt;=80, "61 - R$80", W379&lt;=100, "81 - R$100",W379&lt;=120, "101 - R$120",W379&lt;=140, "121 - R$140", W379&lt;=160, "141- R$160", W379&lt;=180, "161 - R$180", W379&lt;=200, "181-R$194")</f>
        <v>21 - R$40</v>
      </c>
      <c r="Y379" s="17">
        <v>138</v>
      </c>
      <c r="Z379" s="17">
        <v>76</v>
      </c>
      <c r="AA379" s="17">
        <v>176</v>
      </c>
      <c r="AB379" s="17">
        <v>58</v>
      </c>
      <c r="AC379" s="17">
        <v>0</v>
      </c>
      <c r="AD379" s="17">
        <v>7</v>
      </c>
      <c r="AE379" s="17">
        <v>9</v>
      </c>
      <c r="AF379" s="17">
        <v>10</v>
      </c>
      <c r="AG379" s="17">
        <v>4</v>
      </c>
      <c r="AH379" s="17">
        <v>0</v>
      </c>
      <c r="AI379" s="17">
        <v>0</v>
      </c>
      <c r="AJ379" s="17">
        <v>1</v>
      </c>
      <c r="AK379" s="17">
        <v>1</v>
      </c>
      <c r="AL379" s="17">
        <v>1</v>
      </c>
      <c r="AM379" s="17">
        <v>0</v>
      </c>
      <c r="AN379" s="17">
        <v>1</v>
      </c>
      <c r="AO379" s="18">
        <v>3</v>
      </c>
      <c r="AP379" s="17">
        <v>3</v>
      </c>
      <c r="AQ379" s="17">
        <v>11</v>
      </c>
      <c r="AR379" s="19">
        <v>1124</v>
      </c>
      <c r="AS379" s="19">
        <v>1182</v>
      </c>
    </row>
    <row r="380" spans="1:45" x14ac:dyDescent="0.25">
      <c r="A380">
        <v>886</v>
      </c>
      <c r="B380" s="11">
        <f t="shared" si="5"/>
        <v>85072</v>
      </c>
      <c r="C380" s="12">
        <v>850720</v>
      </c>
      <c r="D380" s="13">
        <v>0</v>
      </c>
      <c r="E380" s="13">
        <v>0</v>
      </c>
      <c r="F380" s="13">
        <v>94</v>
      </c>
      <c r="G380" s="13">
        <v>43</v>
      </c>
      <c r="H380" s="13" t="str" cm="1">
        <f t="array" ref="H380">_xlfn.IFS(G380&lt;=20,"0-20",G380&lt;=30,"20-30",G380&lt;=40,"30-40",G380&lt;=50,"50-60",G380&lt;=60,"60-70",G380&lt;=70,"70-80",G380&lt;=80,"80-90")</f>
        <v>50-60</v>
      </c>
      <c r="I380" s="13">
        <v>2240</v>
      </c>
      <c r="J380" s="13" t="str" cm="1">
        <f t="array" ref="J380">_xlfn.IFS(K380=1,"Divorciado",L380=1,"Casado",M380=1,"Solteiro",N380=1,"Juntos",O380=1,"Viuvo")</f>
        <v>Solteiro</v>
      </c>
      <c r="K380" s="13">
        <v>0</v>
      </c>
      <c r="L380" s="13">
        <v>0</v>
      </c>
      <c r="M380" s="13">
        <v>1</v>
      </c>
      <c r="N380" s="13">
        <v>0</v>
      </c>
      <c r="O380" s="13">
        <v>0</v>
      </c>
      <c r="P380" s="13">
        <v>0</v>
      </c>
      <c r="Q380" s="13">
        <v>0</v>
      </c>
      <c r="R380" s="13">
        <v>1</v>
      </c>
      <c r="S380" s="13">
        <v>0</v>
      </c>
      <c r="T380" s="13">
        <v>0</v>
      </c>
      <c r="U380" s="13">
        <v>494</v>
      </c>
      <c r="V380" s="13" t="str" cm="1">
        <f t="array" ref="V380">_xlfn.IFS(U380&lt;=250,"0-R$250",U380&lt;=500,"251-R$500",U380&lt;=750,"501-R$750",U380&lt;=1000,"751-R$1000",U380&lt;=1250,"1001-R$1250",U380&lt;=1500,"1251-R$1500")</f>
        <v>251-R$500</v>
      </c>
      <c r="W380" s="13">
        <v>92</v>
      </c>
      <c r="X380" s="13" t="str" cm="1">
        <f t="array" ref="X380">_xlfn.IFS(W380 = 0, "0", W380&lt;=20, "até R$20",W380&lt;=40, "21 - R$40",W380&lt;=60, "41- R$60",W380&lt;=80, "61 - R$80", W380&lt;=100, "81 - R$100",W380&lt;=120, "101 - R$120",W380&lt;=140, "121 - R$140", W380&lt;=160, "141- R$160", W380&lt;=180, "161 - R$180", W380&lt;=200, "181-R$194")</f>
        <v>81 - R$100</v>
      </c>
      <c r="Y380" s="13">
        <v>391</v>
      </c>
      <c r="Z380" s="13">
        <v>194</v>
      </c>
      <c r="AA380" s="13">
        <v>11</v>
      </c>
      <c r="AB380" s="13">
        <v>241</v>
      </c>
      <c r="AC380" s="13">
        <v>1</v>
      </c>
      <c r="AD380" s="13">
        <v>3</v>
      </c>
      <c r="AE380" s="13">
        <v>4</v>
      </c>
      <c r="AF380" s="13">
        <v>10</v>
      </c>
      <c r="AG380" s="13">
        <v>0</v>
      </c>
      <c r="AH380" s="13">
        <v>0</v>
      </c>
      <c r="AI380" s="13">
        <v>0</v>
      </c>
      <c r="AJ380" s="13">
        <v>0</v>
      </c>
      <c r="AK380" s="13">
        <v>0</v>
      </c>
      <c r="AL380" s="13">
        <v>0</v>
      </c>
      <c r="AM380" s="13">
        <v>0</v>
      </c>
      <c r="AN380" s="13">
        <v>0</v>
      </c>
      <c r="AO380" s="14">
        <v>0</v>
      </c>
      <c r="AP380" s="13">
        <v>3</v>
      </c>
      <c r="AQ380" s="13">
        <v>11</v>
      </c>
      <c r="AR380" s="15">
        <v>941</v>
      </c>
      <c r="AS380" s="15">
        <v>1182</v>
      </c>
    </row>
    <row r="381" spans="1:45" x14ac:dyDescent="0.25">
      <c r="A381">
        <v>2024</v>
      </c>
      <c r="B381" s="11">
        <f t="shared" si="5"/>
        <v>81044</v>
      </c>
      <c r="C381" s="12">
        <v>810440</v>
      </c>
      <c r="D381" s="13">
        <v>0</v>
      </c>
      <c r="E381" s="13">
        <v>0</v>
      </c>
      <c r="F381" s="13">
        <v>0</v>
      </c>
      <c r="G381" s="13">
        <v>73</v>
      </c>
      <c r="H381" s="13" t="str" cm="1">
        <f t="array" ref="H381">_xlfn.IFS(G381&lt;=20,"0-20",G381&lt;=30,"20-30",G381&lt;=40,"30-40",G381&lt;=50,"50-60",G381&lt;=60,"60-70",G381&lt;=70,"70-80",G381&lt;=80,"80-90")</f>
        <v>80-90</v>
      </c>
      <c r="I381" s="13">
        <v>2343</v>
      </c>
      <c r="J381" s="13" t="str" cm="1">
        <f t="array" ref="J381">_xlfn.IFS(K381=1,"Divorciado",L381=1,"Casado",M381=1,"Solteiro",N381=1,"Juntos",O381=1,"Viuvo")</f>
        <v>Casado</v>
      </c>
      <c r="K381" s="13">
        <v>0</v>
      </c>
      <c r="L381" s="13">
        <v>1</v>
      </c>
      <c r="M381" s="13">
        <v>0</v>
      </c>
      <c r="N381" s="13">
        <v>0</v>
      </c>
      <c r="O381" s="13">
        <v>0</v>
      </c>
      <c r="P381" s="13">
        <v>1</v>
      </c>
      <c r="Q381" s="13">
        <v>0</v>
      </c>
      <c r="R381" s="13">
        <v>0</v>
      </c>
      <c r="S381" s="13">
        <v>0</v>
      </c>
      <c r="T381" s="13">
        <v>0</v>
      </c>
      <c r="U381" s="13">
        <v>450</v>
      </c>
      <c r="V381" s="13" t="str" cm="1">
        <f t="array" ref="V381">_xlfn.IFS(U381&lt;=250,"0-R$250",U381&lt;=500,"251-R$500",U381&lt;=750,"501-R$750",U381&lt;=1000,"751-R$1000",U381&lt;=1250,"1001-R$1250",U381&lt;=1500,"1251-R$1500")</f>
        <v>251-R$500</v>
      </c>
      <c r="W381" s="13">
        <v>26</v>
      </c>
      <c r="X381" s="13" t="str" cm="1">
        <f t="array" ref="X381">_xlfn.IFS(W381 = 0, "0", W381&lt;=20, "até R$20",W381&lt;=40, "21 - R$40",W381&lt;=60, "41- R$60",W381&lt;=80, "61 - R$80", W381&lt;=100, "81 - R$100",W381&lt;=120, "101 - R$120",W381&lt;=140, "121 - R$140", W381&lt;=160, "141- R$160", W381&lt;=180, "161 - R$180", W381&lt;=200, "181-R$194")</f>
        <v>21 - R$40</v>
      </c>
      <c r="Y381" s="13">
        <v>535</v>
      </c>
      <c r="Z381" s="13">
        <v>73</v>
      </c>
      <c r="AA381" s="13">
        <v>98</v>
      </c>
      <c r="AB381" s="13">
        <v>26</v>
      </c>
      <c r="AC381" s="13">
        <v>1</v>
      </c>
      <c r="AD381" s="13">
        <v>5</v>
      </c>
      <c r="AE381" s="13">
        <v>6</v>
      </c>
      <c r="AF381" s="13">
        <v>10</v>
      </c>
      <c r="AG381" s="13">
        <v>1</v>
      </c>
      <c r="AH381" s="13">
        <v>0</v>
      </c>
      <c r="AI381" s="13">
        <v>0</v>
      </c>
      <c r="AJ381" s="13">
        <v>0</v>
      </c>
      <c r="AK381" s="13">
        <v>0</v>
      </c>
      <c r="AL381" s="13">
        <v>0</v>
      </c>
      <c r="AM381" s="13">
        <v>0</v>
      </c>
      <c r="AN381" s="13">
        <v>0</v>
      </c>
      <c r="AO381" s="14">
        <v>0</v>
      </c>
      <c r="AP381" s="13">
        <v>3</v>
      </c>
      <c r="AQ381" s="13">
        <v>11</v>
      </c>
      <c r="AR381" s="15">
        <v>1156</v>
      </c>
      <c r="AS381" s="15">
        <v>1182</v>
      </c>
    </row>
    <row r="382" spans="1:45" x14ac:dyDescent="0.25">
      <c r="A382">
        <v>180</v>
      </c>
      <c r="B382" s="11">
        <f t="shared" si="5"/>
        <v>66973</v>
      </c>
      <c r="C382" s="12">
        <v>669730</v>
      </c>
      <c r="D382" s="13">
        <v>0</v>
      </c>
      <c r="E382" s="13">
        <v>0</v>
      </c>
      <c r="F382" s="13">
        <v>98</v>
      </c>
      <c r="G382" s="13">
        <v>31</v>
      </c>
      <c r="H382" s="13" t="str" cm="1">
        <f t="array" ref="H382">_xlfn.IFS(G382&lt;=20,"0-20",G382&lt;=30,"20-30",G382&lt;=40,"30-40",G382&lt;=50,"50-60",G382&lt;=60,"60-70",G382&lt;=70,"70-80",G382&lt;=80,"80-90")</f>
        <v>30-40</v>
      </c>
      <c r="I382" s="13">
        <v>2567</v>
      </c>
      <c r="J382" s="13" t="str" cm="1">
        <f t="array" ref="J382">_xlfn.IFS(K382=1,"Divorciado",L382=1,"Casado",M382=1,"Solteiro",N382=1,"Juntos",O382=1,"Viuvo")</f>
        <v>Juntos</v>
      </c>
      <c r="K382" s="13">
        <v>0</v>
      </c>
      <c r="L382" s="13">
        <v>0</v>
      </c>
      <c r="M382" s="13">
        <v>0</v>
      </c>
      <c r="N382" s="13">
        <v>1</v>
      </c>
      <c r="O382" s="13">
        <v>0</v>
      </c>
      <c r="P382" s="13">
        <v>0</v>
      </c>
      <c r="Q382" s="13">
        <v>0</v>
      </c>
      <c r="R382" s="13">
        <v>0</v>
      </c>
      <c r="S382" s="13">
        <v>0</v>
      </c>
      <c r="T382" s="13">
        <v>1</v>
      </c>
      <c r="U382" s="13">
        <v>466</v>
      </c>
      <c r="V382" s="13" t="str" cm="1">
        <f t="array" ref="V382">_xlfn.IFS(U382&lt;=250,"0-R$250",U382&lt;=500,"251-R$500",U382&lt;=750,"501-R$750",U382&lt;=1000,"751-R$1000",U382&lt;=1250,"1001-R$1250",U382&lt;=1500,"1251-R$1500")</f>
        <v>251-R$500</v>
      </c>
      <c r="W382" s="13">
        <v>22</v>
      </c>
      <c r="X382" s="13" t="str" cm="1">
        <f t="array" ref="X382">_xlfn.IFS(W382 = 0, "0", W382&lt;=20, "até R$20",W382&lt;=40, "21 - R$40",W382&lt;=60, "41- R$60",W382&lt;=80, "61 - R$80", W382&lt;=100, "81 - R$100",W382&lt;=120, "101 - R$120",W382&lt;=140, "121 - R$140", W382&lt;=160, "141- R$160", W382&lt;=180, "161 - R$180", W382&lt;=200, "181-R$194")</f>
        <v>21 - R$40</v>
      </c>
      <c r="Y382" s="13">
        <v>432</v>
      </c>
      <c r="Z382" s="13">
        <v>147</v>
      </c>
      <c r="AA382" s="13">
        <v>113</v>
      </c>
      <c r="AB382" s="13">
        <v>102</v>
      </c>
      <c r="AC382" s="13">
        <v>1</v>
      </c>
      <c r="AD382" s="13">
        <v>8</v>
      </c>
      <c r="AE382" s="13">
        <v>7</v>
      </c>
      <c r="AF382" s="13">
        <v>12</v>
      </c>
      <c r="AG382" s="13">
        <v>3</v>
      </c>
      <c r="AH382" s="13">
        <v>0</v>
      </c>
      <c r="AI382" s="13">
        <v>0</v>
      </c>
      <c r="AJ382" s="13">
        <v>0</v>
      </c>
      <c r="AK382" s="13">
        <v>0</v>
      </c>
      <c r="AL382" s="13">
        <v>0</v>
      </c>
      <c r="AM382" s="13">
        <v>0</v>
      </c>
      <c r="AN382" s="13">
        <v>0</v>
      </c>
      <c r="AO382" s="14">
        <v>0</v>
      </c>
      <c r="AP382" s="13">
        <v>3</v>
      </c>
      <c r="AQ382" s="13">
        <v>11</v>
      </c>
      <c r="AR382" s="15">
        <v>1078</v>
      </c>
      <c r="AS382" s="15">
        <v>1180</v>
      </c>
    </row>
    <row r="383" spans="1:45" x14ac:dyDescent="0.25">
      <c r="A383">
        <v>1010</v>
      </c>
      <c r="B383" s="11">
        <f t="shared" si="5"/>
        <v>68316</v>
      </c>
      <c r="C383" s="12">
        <v>683160</v>
      </c>
      <c r="D383" s="13">
        <v>0</v>
      </c>
      <c r="E383" s="13">
        <v>1</v>
      </c>
      <c r="F383" s="13">
        <v>54</v>
      </c>
      <c r="G383" s="13">
        <v>56</v>
      </c>
      <c r="H383" s="13" t="str" cm="1">
        <f t="array" ref="H383">_xlfn.IFS(G383&lt;=20,"0-20",G383&lt;=30,"20-30",G383&lt;=40,"30-40",G383&lt;=50,"50-60",G383&lt;=60,"60-70",G383&lt;=70,"70-80",G383&lt;=80,"80-90")</f>
        <v>60-70</v>
      </c>
      <c r="I383" s="13">
        <v>2761</v>
      </c>
      <c r="J383" s="13" t="str" cm="1">
        <f t="array" ref="J383">_xlfn.IFS(K383=1,"Divorciado",L383=1,"Casado",M383=1,"Solteiro",N383=1,"Juntos",O383=1,"Viuvo")</f>
        <v>Juntos</v>
      </c>
      <c r="K383" s="13">
        <v>0</v>
      </c>
      <c r="L383" s="13">
        <v>0</v>
      </c>
      <c r="M383" s="13">
        <v>0</v>
      </c>
      <c r="N383" s="13">
        <v>1</v>
      </c>
      <c r="O383" s="13">
        <v>0</v>
      </c>
      <c r="P383" s="13">
        <v>1</v>
      </c>
      <c r="Q383" s="13">
        <v>0</v>
      </c>
      <c r="R383" s="13">
        <v>0</v>
      </c>
      <c r="S383" s="13">
        <v>0</v>
      </c>
      <c r="T383" s="13">
        <v>0</v>
      </c>
      <c r="U383" s="13">
        <v>806</v>
      </c>
      <c r="V383" s="13" t="str" cm="1">
        <f t="array" ref="V383">_xlfn.IFS(U383&lt;=250,"0-R$250",U383&lt;=500,"251-R$500",U383&lt;=750,"501-R$750",U383&lt;=1000,"751-R$1000",U383&lt;=1250,"1001-R$1250",U383&lt;=1500,"1251-R$1500")</f>
        <v>751-R$1000</v>
      </c>
      <c r="W383" s="13">
        <v>80</v>
      </c>
      <c r="X383" s="13" t="str" cm="1">
        <f t="array" ref="X383">_xlfn.IFS(W383 = 0, "0", W383&lt;=20, "até R$20",W383&lt;=40, "21 - R$40",W383&lt;=60, "41- R$60",W383&lt;=80, "61 - R$80", W383&lt;=100, "81 - R$100",W383&lt;=120, "101 - R$120",W383&lt;=140, "121 - R$140", W383&lt;=160, "141- R$160", W383&lt;=180, "161 - R$180", W383&lt;=200, "181-R$194")</f>
        <v>61 - R$80</v>
      </c>
      <c r="Y383" s="13">
        <v>161</v>
      </c>
      <c r="Z383" s="13">
        <v>120</v>
      </c>
      <c r="AA383" s="13">
        <v>11</v>
      </c>
      <c r="AB383" s="13">
        <v>33</v>
      </c>
      <c r="AC383" s="13">
        <v>5</v>
      </c>
      <c r="AD383" s="13">
        <v>10</v>
      </c>
      <c r="AE383" s="13">
        <v>7</v>
      </c>
      <c r="AF383" s="13">
        <v>10</v>
      </c>
      <c r="AG383" s="13">
        <v>6</v>
      </c>
      <c r="AH383" s="13">
        <v>0</v>
      </c>
      <c r="AI383" s="13">
        <v>0</v>
      </c>
      <c r="AJ383" s="13">
        <v>0</v>
      </c>
      <c r="AK383" s="13">
        <v>0</v>
      </c>
      <c r="AL383" s="13">
        <v>0</v>
      </c>
      <c r="AM383" s="13">
        <v>0</v>
      </c>
      <c r="AN383" s="13">
        <v>0</v>
      </c>
      <c r="AO383" s="14">
        <v>0</v>
      </c>
      <c r="AP383" s="13">
        <v>3</v>
      </c>
      <c r="AQ383" s="13">
        <v>11</v>
      </c>
      <c r="AR383" s="15">
        <v>1145</v>
      </c>
      <c r="AS383" s="15">
        <v>1178</v>
      </c>
    </row>
    <row r="384" spans="1:45" x14ac:dyDescent="0.25">
      <c r="A384">
        <v>1792</v>
      </c>
      <c r="B384" s="11">
        <f t="shared" si="5"/>
        <v>72282</v>
      </c>
      <c r="C384" s="12">
        <v>722820</v>
      </c>
      <c r="D384" s="13">
        <v>0</v>
      </c>
      <c r="E384" s="13">
        <v>0</v>
      </c>
      <c r="F384" s="13">
        <v>70</v>
      </c>
      <c r="G384" s="13">
        <v>69</v>
      </c>
      <c r="H384" s="13" t="str" cm="1">
        <f t="array" ref="H384">_xlfn.IFS(G384&lt;=20,"0-20",G384&lt;=30,"20-30",G384&lt;=40,"30-40",G384&lt;=50,"50-60",G384&lt;=60,"60-70",G384&lt;=70,"70-80",G384&lt;=80,"80-90")</f>
        <v>70-80</v>
      </c>
      <c r="I384" s="13">
        <v>2504</v>
      </c>
      <c r="J384" s="13" t="str" cm="1">
        <f t="array" ref="J384">_xlfn.IFS(K384=1,"Divorciado",L384=1,"Casado",M384=1,"Solteiro",N384=1,"Juntos",O384=1,"Viuvo")</f>
        <v>Solteiro</v>
      </c>
      <c r="K384" s="13">
        <v>0</v>
      </c>
      <c r="L384" s="13">
        <v>0</v>
      </c>
      <c r="M384" s="13">
        <v>1</v>
      </c>
      <c r="N384" s="13">
        <v>0</v>
      </c>
      <c r="O384" s="13">
        <v>0</v>
      </c>
      <c r="P384" s="13">
        <v>0</v>
      </c>
      <c r="Q384" s="13">
        <v>0</v>
      </c>
      <c r="R384" s="13">
        <v>1</v>
      </c>
      <c r="S384" s="13">
        <v>0</v>
      </c>
      <c r="T384" s="13">
        <v>0</v>
      </c>
      <c r="U384" s="13">
        <v>503</v>
      </c>
      <c r="V384" s="13" t="str" cm="1">
        <f t="array" ref="V384">_xlfn.IFS(U384&lt;=250,"0-R$250",U384&lt;=500,"251-R$500",U384&lt;=750,"501-R$750",U384&lt;=1000,"751-R$1000",U384&lt;=1250,"1001-R$1250",U384&lt;=1500,"1251-R$1500")</f>
        <v>501-R$750</v>
      </c>
      <c r="W384" s="13">
        <v>27</v>
      </c>
      <c r="X384" s="13" t="str" cm="1">
        <f t="array" ref="X384">_xlfn.IFS(W384 = 0, "0", W384&lt;=20, "até R$20",W384&lt;=40, "21 - R$40",W384&lt;=60, "41- R$60",W384&lt;=80, "61 - R$80", W384&lt;=100, "81 - R$100",W384&lt;=120, "101 - R$120",W384&lt;=140, "121 - R$140", W384&lt;=160, "141- R$160", W384&lt;=180, "161 - R$180", W384&lt;=200, "181-R$194")</f>
        <v>21 - R$40</v>
      </c>
      <c r="Y384" s="13">
        <v>419</v>
      </c>
      <c r="Z384" s="13">
        <v>90</v>
      </c>
      <c r="AA384" s="13">
        <v>139</v>
      </c>
      <c r="AB384" s="13">
        <v>153</v>
      </c>
      <c r="AC384" s="13">
        <v>1</v>
      </c>
      <c r="AD384" s="13">
        <v>5</v>
      </c>
      <c r="AE384" s="13">
        <v>7</v>
      </c>
      <c r="AF384" s="13">
        <v>9</v>
      </c>
      <c r="AG384" s="13">
        <v>7</v>
      </c>
      <c r="AH384" s="13">
        <v>0</v>
      </c>
      <c r="AI384" s="13">
        <v>0</v>
      </c>
      <c r="AJ384" s="13">
        <v>0</v>
      </c>
      <c r="AK384" s="13">
        <v>0</v>
      </c>
      <c r="AL384" s="13">
        <v>0</v>
      </c>
      <c r="AM384" s="13">
        <v>0</v>
      </c>
      <c r="AN384" s="13">
        <v>1</v>
      </c>
      <c r="AO384" s="14">
        <v>0</v>
      </c>
      <c r="AP384" s="13">
        <v>3</v>
      </c>
      <c r="AQ384" s="13">
        <v>11</v>
      </c>
      <c r="AR384" s="15">
        <v>1025</v>
      </c>
      <c r="AS384" s="15">
        <v>1178</v>
      </c>
    </row>
    <row r="385" spans="1:45" x14ac:dyDescent="0.25">
      <c r="A385">
        <v>1502</v>
      </c>
      <c r="B385" s="11">
        <f t="shared" si="5"/>
        <v>82032</v>
      </c>
      <c r="C385" s="12">
        <v>820320</v>
      </c>
      <c r="D385" s="13">
        <v>0</v>
      </c>
      <c r="E385" s="13">
        <v>0</v>
      </c>
      <c r="F385" s="13">
        <v>54</v>
      </c>
      <c r="G385" s="13">
        <v>72</v>
      </c>
      <c r="H385" s="13" t="str" cm="1">
        <f t="array" ref="H385">_xlfn.IFS(G385&lt;=20,"0-20",G385&lt;=30,"20-30",G385&lt;=40,"30-40",G385&lt;=50,"50-60",G385&lt;=60,"60-70",G385&lt;=70,"70-80",G385&lt;=80,"80-90")</f>
        <v>80-90</v>
      </c>
      <c r="I385" s="13">
        <v>2244</v>
      </c>
      <c r="J385" s="13" t="str" cm="1">
        <f t="array" ref="J385">_xlfn.IFS(K385=1,"Divorciado",L385=1,"Casado",M385=1,"Solteiro",N385=1,"Juntos",O385=1,"Viuvo")</f>
        <v>Viuvo</v>
      </c>
      <c r="K385" s="13">
        <v>0</v>
      </c>
      <c r="L385" s="13">
        <v>0</v>
      </c>
      <c r="M385" s="13">
        <v>0</v>
      </c>
      <c r="N385" s="13">
        <v>0</v>
      </c>
      <c r="O385" s="13">
        <v>1</v>
      </c>
      <c r="P385" s="13">
        <v>0</v>
      </c>
      <c r="Q385" s="13">
        <v>0</v>
      </c>
      <c r="R385" s="13">
        <v>0</v>
      </c>
      <c r="S385" s="13">
        <v>0</v>
      </c>
      <c r="T385" s="13">
        <v>1</v>
      </c>
      <c r="U385" s="13">
        <v>332</v>
      </c>
      <c r="V385" s="13" t="str" cm="1">
        <f t="array" ref="V385">_xlfn.IFS(U385&lt;=250,"0-R$250",U385&lt;=500,"251-R$500",U385&lt;=750,"501-R$750",U385&lt;=1000,"751-R$1000",U385&lt;=1250,"1001-R$1250",U385&lt;=1500,"1251-R$1500")</f>
        <v>251-R$500</v>
      </c>
      <c r="W385" s="13">
        <v>194</v>
      </c>
      <c r="X385" s="13" t="str" cm="1">
        <f t="array" ref="X385">_xlfn.IFS(W385 = 0, "0", W385&lt;=20, "até R$20",W385&lt;=40, "21 - R$40",W385&lt;=60, "41- R$60",W385&lt;=80, "61 - R$80", W385&lt;=100, "81 - R$100",W385&lt;=120, "101 - R$120",W385&lt;=140, "121 - R$140", W385&lt;=160, "141- R$160", W385&lt;=180, "161 - R$180", W385&lt;=200, "181-R$194")</f>
        <v>181-R$194</v>
      </c>
      <c r="Y385" s="13">
        <v>377</v>
      </c>
      <c r="Z385" s="13">
        <v>149</v>
      </c>
      <c r="AA385" s="13">
        <v>125</v>
      </c>
      <c r="AB385" s="13">
        <v>57</v>
      </c>
      <c r="AC385" s="13">
        <v>0</v>
      </c>
      <c r="AD385" s="13">
        <v>4</v>
      </c>
      <c r="AE385" s="13">
        <v>6</v>
      </c>
      <c r="AF385" s="13">
        <v>7</v>
      </c>
      <c r="AG385" s="13">
        <v>1</v>
      </c>
      <c r="AH385" s="13">
        <v>0</v>
      </c>
      <c r="AI385" s="13">
        <v>0</v>
      </c>
      <c r="AJ385" s="13">
        <v>0</v>
      </c>
      <c r="AK385" s="13">
        <v>0</v>
      </c>
      <c r="AL385" s="13">
        <v>0</v>
      </c>
      <c r="AM385" s="13">
        <v>0</v>
      </c>
      <c r="AN385" s="13">
        <v>0</v>
      </c>
      <c r="AO385" s="14">
        <v>0</v>
      </c>
      <c r="AP385" s="13">
        <v>3</v>
      </c>
      <c r="AQ385" s="13">
        <v>11</v>
      </c>
      <c r="AR385" s="15">
        <v>1120</v>
      </c>
      <c r="AS385" s="15">
        <v>1177</v>
      </c>
    </row>
    <row r="386" spans="1:45" x14ac:dyDescent="0.25">
      <c r="A386">
        <v>2022</v>
      </c>
      <c r="B386" s="11">
        <f t="shared" ref="B386:B449" si="6">C386/10</f>
        <v>65308</v>
      </c>
      <c r="C386" s="12">
        <v>653080</v>
      </c>
      <c r="D386" s="13">
        <v>0</v>
      </c>
      <c r="E386" s="13">
        <v>0</v>
      </c>
      <c r="F386" s="13">
        <v>60</v>
      </c>
      <c r="G386" s="13">
        <v>47</v>
      </c>
      <c r="H386" s="13" t="str" cm="1">
        <f t="array" ref="H386">_xlfn.IFS(G386&lt;=20,"0-20",G386&lt;=30,"20-30",G386&lt;=40,"30-40",G386&lt;=50,"50-60",G386&lt;=60,"60-70",G386&lt;=70,"70-80",G386&lt;=80,"80-90")</f>
        <v>50-60</v>
      </c>
      <c r="I386" s="13">
        <v>2450</v>
      </c>
      <c r="J386" s="13" t="str" cm="1">
        <f t="array" ref="J386">_xlfn.IFS(K386=1,"Divorciado",L386=1,"Casado",M386=1,"Solteiro",N386=1,"Juntos",O386=1,"Viuvo")</f>
        <v>Casado</v>
      </c>
      <c r="K386" s="13">
        <v>0</v>
      </c>
      <c r="L386" s="13">
        <v>1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1</v>
      </c>
      <c r="S386" s="13">
        <v>0</v>
      </c>
      <c r="T386" s="13">
        <v>0</v>
      </c>
      <c r="U386" s="13">
        <v>713</v>
      </c>
      <c r="V386" s="13" t="str" cm="1">
        <f t="array" ref="V386">_xlfn.IFS(U386&lt;=250,"0-R$250",U386&lt;=500,"251-R$500",U386&lt;=750,"501-R$750",U386&lt;=1000,"751-R$1000",U386&lt;=1250,"1001-R$1250",U386&lt;=1500,"1251-R$1500")</f>
        <v>501-R$750</v>
      </c>
      <c r="W386" s="13">
        <v>0</v>
      </c>
      <c r="X386" s="13" t="str" cm="1">
        <f t="array" ref="X386">_xlfn.IFS(W386 = 0, "0", W386&lt;=20, "até R$20",W386&lt;=40, "21 - R$40",W386&lt;=60, "41- R$60",W386&lt;=80, "61 - R$80", W386&lt;=100, "81 - R$100",W386&lt;=120, "101 - R$120",W386&lt;=140, "121 - R$140", W386&lt;=160, "141- R$160", W386&lt;=180, "161 - R$180", W386&lt;=200, "181-R$194")</f>
        <v>0</v>
      </c>
      <c r="Y386" s="13">
        <v>264</v>
      </c>
      <c r="Z386" s="13">
        <v>120</v>
      </c>
      <c r="AA386" s="13">
        <v>80</v>
      </c>
      <c r="AB386" s="13">
        <v>34</v>
      </c>
      <c r="AC386" s="13">
        <v>1</v>
      </c>
      <c r="AD386" s="13">
        <v>7</v>
      </c>
      <c r="AE386" s="13">
        <v>8</v>
      </c>
      <c r="AF386" s="13">
        <v>12</v>
      </c>
      <c r="AG386" s="13">
        <v>4</v>
      </c>
      <c r="AH386" s="13">
        <v>0</v>
      </c>
      <c r="AI386" s="13">
        <v>0</v>
      </c>
      <c r="AJ386" s="13">
        <v>0</v>
      </c>
      <c r="AK386" s="13">
        <v>1</v>
      </c>
      <c r="AL386" s="13">
        <v>1</v>
      </c>
      <c r="AM386" s="13">
        <v>0</v>
      </c>
      <c r="AN386" s="13">
        <v>0</v>
      </c>
      <c r="AO386" s="14">
        <v>2</v>
      </c>
      <c r="AP386" s="13">
        <v>3</v>
      </c>
      <c r="AQ386" s="13">
        <v>11</v>
      </c>
      <c r="AR386" s="15">
        <v>1143</v>
      </c>
      <c r="AS386" s="15">
        <v>1177</v>
      </c>
    </row>
    <row r="387" spans="1:45" x14ac:dyDescent="0.25">
      <c r="A387">
        <v>2185</v>
      </c>
      <c r="B387" s="11">
        <f t="shared" si="6"/>
        <v>82032</v>
      </c>
      <c r="C387" s="16">
        <v>820320</v>
      </c>
      <c r="D387" s="17">
        <v>0</v>
      </c>
      <c r="E387" s="17">
        <v>0</v>
      </c>
      <c r="F387" s="17">
        <v>54</v>
      </c>
      <c r="G387" s="17">
        <v>72</v>
      </c>
      <c r="H387" s="13" t="str" cm="1">
        <f t="array" ref="H387">_xlfn.IFS(G387&lt;=20,"0-20",G387&lt;=30,"20-30",G387&lt;=40,"30-40",G387&lt;=50,"50-60",G387&lt;=60,"60-70",G387&lt;=70,"70-80",G387&lt;=80,"80-90")</f>
        <v>80-90</v>
      </c>
      <c r="I387" s="17">
        <v>2244</v>
      </c>
      <c r="J387" s="13" t="str" cm="1">
        <f t="array" ref="J387">_xlfn.IFS(K387=1,"Divorciado",L387=1,"Casado",M387=1,"Solteiro",N387=1,"Juntos",O387=1,"Viuvo")</f>
        <v>Viuvo</v>
      </c>
      <c r="K387" s="17">
        <v>0</v>
      </c>
      <c r="L387" s="17">
        <v>0</v>
      </c>
      <c r="M387" s="17">
        <v>0</v>
      </c>
      <c r="N387" s="17">
        <v>0</v>
      </c>
      <c r="O387" s="17">
        <v>1</v>
      </c>
      <c r="P387" s="17">
        <v>0</v>
      </c>
      <c r="Q387" s="17">
        <v>0</v>
      </c>
      <c r="R387" s="17">
        <v>0</v>
      </c>
      <c r="S387" s="17">
        <v>0</v>
      </c>
      <c r="T387" s="17">
        <v>1</v>
      </c>
      <c r="U387" s="17">
        <v>332</v>
      </c>
      <c r="V387" s="13" t="str" cm="1">
        <f t="array" ref="V387">_xlfn.IFS(U387&lt;=250,"0-R$250",U387&lt;=500,"251-R$500",U387&lt;=750,"501-R$750",U387&lt;=1000,"751-R$1000",U387&lt;=1250,"1001-R$1250",U387&lt;=1500,"1251-R$1500")</f>
        <v>251-R$500</v>
      </c>
      <c r="W387" s="17">
        <v>194</v>
      </c>
      <c r="X387" s="13" t="str" cm="1">
        <f t="array" ref="X387">_xlfn.IFS(W387 = 0, "0", W387&lt;=20, "até R$20",W387&lt;=40, "21 - R$40",W387&lt;=60, "41- R$60",W387&lt;=80, "61 - R$80", W387&lt;=100, "81 - R$100",W387&lt;=120, "101 - R$120",W387&lt;=140, "121 - R$140", W387&lt;=160, "141- R$160", W387&lt;=180, "161 - R$180", W387&lt;=200, "181-R$194")</f>
        <v>181-R$194</v>
      </c>
      <c r="Y387" s="17">
        <v>377</v>
      </c>
      <c r="Z387" s="17">
        <v>149</v>
      </c>
      <c r="AA387" s="17">
        <v>125</v>
      </c>
      <c r="AB387" s="17">
        <v>57</v>
      </c>
      <c r="AC387" s="17">
        <v>0</v>
      </c>
      <c r="AD387" s="17">
        <v>4</v>
      </c>
      <c r="AE387" s="17">
        <v>6</v>
      </c>
      <c r="AF387" s="17">
        <v>7</v>
      </c>
      <c r="AG387" s="17">
        <v>1</v>
      </c>
      <c r="AH387" s="17">
        <v>0</v>
      </c>
      <c r="AI387" s="17">
        <v>0</v>
      </c>
      <c r="AJ387" s="17">
        <v>0</v>
      </c>
      <c r="AK387" s="17">
        <v>0</v>
      </c>
      <c r="AL387" s="17">
        <v>0</v>
      </c>
      <c r="AM387" s="17">
        <v>0</v>
      </c>
      <c r="AN387" s="17">
        <v>0</v>
      </c>
      <c r="AO387" s="18">
        <v>0</v>
      </c>
      <c r="AP387" s="17">
        <v>3</v>
      </c>
      <c r="AQ387" s="17">
        <v>11</v>
      </c>
      <c r="AR387" s="19">
        <v>1120</v>
      </c>
      <c r="AS387" s="19">
        <v>1177</v>
      </c>
    </row>
    <row r="388" spans="1:45" x14ac:dyDescent="0.25">
      <c r="A388">
        <v>33</v>
      </c>
      <c r="B388" s="11">
        <f t="shared" si="6"/>
        <v>68657</v>
      </c>
      <c r="C388" s="16">
        <v>686570</v>
      </c>
      <c r="D388" s="17">
        <v>0</v>
      </c>
      <c r="E388" s="17">
        <v>0</v>
      </c>
      <c r="F388" s="17">
        <v>4</v>
      </c>
      <c r="G388" s="17">
        <v>74</v>
      </c>
      <c r="H388" s="13" t="str" cm="1">
        <f t="array" ref="H388">_xlfn.IFS(G388&lt;=20,"0-20",G388&lt;=30,"20-30",G388&lt;=40,"30-40",G388&lt;=50,"50-60",G388&lt;=60,"60-70",G388&lt;=70,"70-80",G388&lt;=80,"80-90")</f>
        <v>80-90</v>
      </c>
      <c r="I388" s="17">
        <v>2653</v>
      </c>
      <c r="J388" s="13" t="str" cm="1">
        <f t="array" ref="J388">_xlfn.IFS(K388=1,"Divorciado",L388=1,"Casado",M388=1,"Solteiro",N388=1,"Juntos",O388=1,"Viuvo")</f>
        <v>Casado</v>
      </c>
      <c r="K388" s="17">
        <v>0</v>
      </c>
      <c r="L388" s="17">
        <v>1</v>
      </c>
      <c r="M388" s="17">
        <v>0</v>
      </c>
      <c r="N388" s="17">
        <v>0</v>
      </c>
      <c r="O388" s="17">
        <v>0</v>
      </c>
      <c r="P388" s="17">
        <v>0</v>
      </c>
      <c r="Q388" s="17">
        <v>0</v>
      </c>
      <c r="R388" s="17">
        <v>0</v>
      </c>
      <c r="S388" s="17">
        <v>1</v>
      </c>
      <c r="T388" s="17">
        <v>0</v>
      </c>
      <c r="U388" s="17">
        <v>482</v>
      </c>
      <c r="V388" s="13" t="str" cm="1">
        <f t="array" ref="V388">_xlfn.IFS(U388&lt;=250,"0-R$250",U388&lt;=500,"251-R$500",U388&lt;=750,"501-R$750",U388&lt;=1000,"751-R$1000",U388&lt;=1250,"1001-R$1250",U388&lt;=1500,"1251-R$1500")</f>
        <v>251-R$500</v>
      </c>
      <c r="W388" s="17">
        <v>34</v>
      </c>
      <c r="X388" s="13" t="str" cm="1">
        <f t="array" ref="X388">_xlfn.IFS(W388 = 0, "0", W388&lt;=20, "até R$20",W388&lt;=40, "21 - R$40",W388&lt;=60, "41- R$60",W388&lt;=80, "61 - R$80", W388&lt;=100, "81 - R$100",W388&lt;=120, "101 - R$120",W388&lt;=140, "121 - R$140", W388&lt;=160, "141- R$160", W388&lt;=180, "161 - R$180", W388&lt;=200, "181-R$194")</f>
        <v>21 - R$40</v>
      </c>
      <c r="Y388" s="17">
        <v>471</v>
      </c>
      <c r="Z388" s="17">
        <v>119</v>
      </c>
      <c r="AA388" s="17">
        <v>68</v>
      </c>
      <c r="AB388" s="17">
        <v>22</v>
      </c>
      <c r="AC388" s="17">
        <v>1</v>
      </c>
      <c r="AD388" s="17">
        <v>3</v>
      </c>
      <c r="AE388" s="17">
        <v>5</v>
      </c>
      <c r="AF388" s="17">
        <v>9</v>
      </c>
      <c r="AG388" s="17">
        <v>7</v>
      </c>
      <c r="AH388" s="17">
        <v>0</v>
      </c>
      <c r="AI388" s="17">
        <v>0</v>
      </c>
      <c r="AJ388" s="17">
        <v>0</v>
      </c>
      <c r="AK388" s="17">
        <v>0</v>
      </c>
      <c r="AL388" s="17">
        <v>0</v>
      </c>
      <c r="AM388" s="17">
        <v>0</v>
      </c>
      <c r="AN388" s="17">
        <v>0</v>
      </c>
      <c r="AO388" s="18">
        <v>0</v>
      </c>
      <c r="AP388" s="17">
        <v>3</v>
      </c>
      <c r="AQ388" s="17">
        <v>11</v>
      </c>
      <c r="AR388" s="19">
        <v>1152</v>
      </c>
      <c r="AS388" s="19">
        <v>1174</v>
      </c>
    </row>
    <row r="389" spans="1:45" x14ac:dyDescent="0.25">
      <c r="A389">
        <v>149</v>
      </c>
      <c r="B389" s="11">
        <f t="shared" si="6"/>
        <v>80317</v>
      </c>
      <c r="C389" s="16">
        <v>803170</v>
      </c>
      <c r="D389" s="17">
        <v>0</v>
      </c>
      <c r="E389" s="17">
        <v>0</v>
      </c>
      <c r="F389" s="17">
        <v>64</v>
      </c>
      <c r="G389" s="17">
        <v>65</v>
      </c>
      <c r="H389" s="13" t="str" cm="1">
        <f t="array" ref="H389">_xlfn.IFS(G389&lt;=20,"0-20",G389&lt;=30,"20-30",G389&lt;=40,"30-40",G389&lt;=50,"50-60",G389&lt;=60,"60-70",G389&lt;=70,"70-80",G389&lt;=80,"80-90")</f>
        <v>70-80</v>
      </c>
      <c r="I389" s="17">
        <v>2472</v>
      </c>
      <c r="J389" s="13" t="str" cm="1">
        <f t="array" ref="J389">_xlfn.IFS(K389=1,"Divorciado",L389=1,"Casado",M389=1,"Solteiro",N389=1,"Juntos",O389=1,"Viuvo")</f>
        <v>Solteiro</v>
      </c>
      <c r="K389" s="17">
        <v>0</v>
      </c>
      <c r="L389" s="17">
        <v>0</v>
      </c>
      <c r="M389" s="17">
        <v>1</v>
      </c>
      <c r="N389" s="17">
        <v>0</v>
      </c>
      <c r="O389" s="17">
        <v>0</v>
      </c>
      <c r="P389" s="17">
        <v>0</v>
      </c>
      <c r="Q389" s="17">
        <v>0</v>
      </c>
      <c r="R389" s="17">
        <v>1</v>
      </c>
      <c r="S389" s="17">
        <v>0</v>
      </c>
      <c r="T389" s="17">
        <v>0</v>
      </c>
      <c r="U389" s="17">
        <v>536</v>
      </c>
      <c r="V389" s="13" t="str" cm="1">
        <f t="array" ref="V389">_xlfn.IFS(U389&lt;=250,"0-R$250",U389&lt;=500,"251-R$500",U389&lt;=750,"501-R$750",U389&lt;=1000,"751-R$1000",U389&lt;=1250,"1001-R$1250",U389&lt;=1500,"1251-R$1500")</f>
        <v>501-R$750</v>
      </c>
      <c r="W389" s="17">
        <v>11</v>
      </c>
      <c r="X389" s="13" t="str" cm="1">
        <f t="array" ref="X389">_xlfn.IFS(W389 = 0, "0", W389&lt;=20, "até R$20",W389&lt;=40, "21 - R$40",W389&lt;=60, "41- R$60",W389&lt;=80, "61 - R$80", W389&lt;=100, "81 - R$100",W389&lt;=120, "101 - R$120",W389&lt;=140, "121 - R$140", W389&lt;=160, "141- R$160", W389&lt;=180, "161 - R$180", W389&lt;=200, "181-R$194")</f>
        <v>até R$20</v>
      </c>
      <c r="Y389" s="17">
        <v>387</v>
      </c>
      <c r="Z389" s="17">
        <v>149</v>
      </c>
      <c r="AA389" s="17">
        <v>91</v>
      </c>
      <c r="AB389" s="17">
        <v>57</v>
      </c>
      <c r="AC389" s="17">
        <v>1</v>
      </c>
      <c r="AD389" s="17">
        <v>3</v>
      </c>
      <c r="AE389" s="17">
        <v>4</v>
      </c>
      <c r="AF389" s="17">
        <v>10</v>
      </c>
      <c r="AG389" s="17">
        <v>1</v>
      </c>
      <c r="AH389" s="17">
        <v>0</v>
      </c>
      <c r="AI389" s="17">
        <v>0</v>
      </c>
      <c r="AJ389" s="17">
        <v>0</v>
      </c>
      <c r="AK389" s="17">
        <v>0</v>
      </c>
      <c r="AL389" s="17">
        <v>0</v>
      </c>
      <c r="AM389" s="17">
        <v>0</v>
      </c>
      <c r="AN389" s="17">
        <v>0</v>
      </c>
      <c r="AO389" s="18">
        <v>0</v>
      </c>
      <c r="AP389" s="17">
        <v>3</v>
      </c>
      <c r="AQ389" s="17">
        <v>11</v>
      </c>
      <c r="AR389" s="19">
        <v>1117</v>
      </c>
      <c r="AS389" s="19">
        <v>1174</v>
      </c>
    </row>
    <row r="390" spans="1:45" x14ac:dyDescent="0.25">
      <c r="A390">
        <v>593</v>
      </c>
      <c r="B390" s="11">
        <f t="shared" si="6"/>
        <v>81168</v>
      </c>
      <c r="C390" s="16">
        <v>811680</v>
      </c>
      <c r="D390" s="17">
        <v>0</v>
      </c>
      <c r="E390" s="17">
        <v>0</v>
      </c>
      <c r="F390" s="17">
        <v>84</v>
      </c>
      <c r="G390" s="17">
        <v>55</v>
      </c>
      <c r="H390" s="13" t="str" cm="1">
        <f t="array" ref="H390">_xlfn.IFS(G390&lt;=20,"0-20",G390&lt;=30,"20-30",G390&lt;=40,"30-40",G390&lt;=50,"50-60",G390&lt;=60,"60-70",G390&lt;=70,"70-80",G390&lt;=80,"80-90")</f>
        <v>60-70</v>
      </c>
      <c r="I390" s="17">
        <v>2212</v>
      </c>
      <c r="J390" s="13" t="str" cm="1">
        <f t="array" ref="J390">_xlfn.IFS(K390=1,"Divorciado",L390=1,"Casado",M390=1,"Solteiro",N390=1,"Juntos",O390=1,"Viuvo")</f>
        <v>Casado</v>
      </c>
      <c r="K390" s="17">
        <v>0</v>
      </c>
      <c r="L390" s="17">
        <v>1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1</v>
      </c>
      <c r="S390" s="17">
        <v>0</v>
      </c>
      <c r="T390" s="17">
        <v>0</v>
      </c>
      <c r="U390" s="17">
        <v>410</v>
      </c>
      <c r="V390" s="13" t="str" cm="1">
        <f t="array" ref="V390">_xlfn.IFS(U390&lt;=250,"0-R$250",U390&lt;=500,"251-R$500",U390&lt;=750,"501-R$750",U390&lt;=1000,"751-R$1000",U390&lt;=1250,"1001-R$1250",U390&lt;=1500,"1251-R$1500")</f>
        <v>251-R$500</v>
      </c>
      <c r="W390" s="17">
        <v>0</v>
      </c>
      <c r="X390" s="13" t="str" cm="1">
        <f t="array" ref="X390">_xlfn.IFS(W390 = 0, "0", W390&lt;=20, "até R$20",W390&lt;=40, "21 - R$40",W390&lt;=60, "41- R$60",W390&lt;=80, "61 - R$80", W390&lt;=100, "81 - R$100",W390&lt;=120, "101 - R$120",W390&lt;=140, "121 - R$140", W390&lt;=160, "141- R$160", W390&lt;=180, "161 - R$180", W390&lt;=200, "181-R$194")</f>
        <v>0</v>
      </c>
      <c r="Y390" s="17">
        <v>592</v>
      </c>
      <c r="Z390" s="17">
        <v>147</v>
      </c>
      <c r="AA390" s="17">
        <v>22</v>
      </c>
      <c r="AB390" s="17">
        <v>22</v>
      </c>
      <c r="AC390" s="17">
        <v>1</v>
      </c>
      <c r="AD390" s="17">
        <v>6</v>
      </c>
      <c r="AE390" s="17">
        <v>4</v>
      </c>
      <c r="AF390" s="17">
        <v>7</v>
      </c>
      <c r="AG390" s="17">
        <v>3</v>
      </c>
      <c r="AH390" s="17">
        <v>0</v>
      </c>
      <c r="AI390" s="17">
        <v>0</v>
      </c>
      <c r="AJ390" s="17">
        <v>0</v>
      </c>
      <c r="AK390" s="17">
        <v>0</v>
      </c>
      <c r="AL390" s="17">
        <v>1</v>
      </c>
      <c r="AM390" s="17">
        <v>0</v>
      </c>
      <c r="AN390" s="17">
        <v>0</v>
      </c>
      <c r="AO390" s="18">
        <v>1</v>
      </c>
      <c r="AP390" s="17">
        <v>3</v>
      </c>
      <c r="AQ390" s="17">
        <v>11</v>
      </c>
      <c r="AR390" s="19">
        <v>1149</v>
      </c>
      <c r="AS390" s="19">
        <v>1171</v>
      </c>
    </row>
    <row r="391" spans="1:45" x14ac:dyDescent="0.25">
      <c r="A391">
        <v>1899</v>
      </c>
      <c r="B391" s="11">
        <f t="shared" si="6"/>
        <v>80982</v>
      </c>
      <c r="C391" s="16">
        <v>809820</v>
      </c>
      <c r="D391" s="17">
        <v>1</v>
      </c>
      <c r="E391" s="17">
        <v>1</v>
      </c>
      <c r="F391" s="17">
        <v>48</v>
      </c>
      <c r="G391" s="17">
        <v>61</v>
      </c>
      <c r="H391" s="13" t="str" cm="1">
        <f t="array" ref="H391">_xlfn.IFS(G391&lt;=20,"0-20",G391&lt;=30,"20-30",G391&lt;=40,"30-40",G391&lt;=50,"50-60",G391&lt;=60,"60-70",G391&lt;=70,"70-80",G391&lt;=80,"80-90")</f>
        <v>70-80</v>
      </c>
      <c r="I391" s="17">
        <v>2696</v>
      </c>
      <c r="J391" s="13" t="str" cm="1">
        <f t="array" ref="J391">_xlfn.IFS(K391=1,"Divorciado",L391=1,"Casado",M391=1,"Solteiro",N391=1,"Juntos",O391=1,"Viuvo")</f>
        <v>Solteiro</v>
      </c>
      <c r="K391" s="17">
        <v>0</v>
      </c>
      <c r="L391" s="17">
        <v>0</v>
      </c>
      <c r="M391" s="17">
        <v>1</v>
      </c>
      <c r="N391" s="17">
        <v>0</v>
      </c>
      <c r="O391" s="17">
        <v>0</v>
      </c>
      <c r="P391" s="17">
        <v>0</v>
      </c>
      <c r="Q391" s="17">
        <v>0</v>
      </c>
      <c r="R391" s="17">
        <v>1</v>
      </c>
      <c r="S391" s="17">
        <v>0</v>
      </c>
      <c r="T391" s="17">
        <v>0</v>
      </c>
      <c r="U391" s="17">
        <v>505</v>
      </c>
      <c r="V391" s="13" t="str" cm="1">
        <f t="array" ref="V391">_xlfn.IFS(U391&lt;=250,"0-R$250",U391&lt;=500,"251-R$500",U391&lt;=750,"501-R$750",U391&lt;=1000,"751-R$1000",U391&lt;=1250,"1001-R$1250",U391&lt;=1500,"1251-R$1500")</f>
        <v>501-R$750</v>
      </c>
      <c r="W391" s="17">
        <v>137</v>
      </c>
      <c r="X391" s="13" t="str" cm="1">
        <f t="array" ref="X391">_xlfn.IFS(W391 = 0, "0", W391&lt;=20, "até R$20",W391&lt;=40, "21 - R$40",W391&lt;=60, "41- R$60",W391&lt;=80, "61 - R$80", W391&lt;=100, "81 - R$100",W391&lt;=120, "101 - R$120",W391&lt;=140, "121 - R$140", W391&lt;=160, "141- R$160", W391&lt;=180, "161 - R$180", W391&lt;=200, "181-R$194")</f>
        <v>121 - R$140</v>
      </c>
      <c r="Y391" s="17">
        <v>401</v>
      </c>
      <c r="Z391" s="17">
        <v>104</v>
      </c>
      <c r="AA391" s="17">
        <v>22</v>
      </c>
      <c r="AB391" s="17">
        <v>22</v>
      </c>
      <c r="AC391" s="17">
        <v>3</v>
      </c>
      <c r="AD391" s="17">
        <v>11</v>
      </c>
      <c r="AE391" s="17">
        <v>5</v>
      </c>
      <c r="AF391" s="17">
        <v>11</v>
      </c>
      <c r="AG391" s="17">
        <v>5</v>
      </c>
      <c r="AH391" s="17">
        <v>1</v>
      </c>
      <c r="AI391" s="17">
        <v>0</v>
      </c>
      <c r="AJ391" s="17">
        <v>0</v>
      </c>
      <c r="AK391" s="17">
        <v>0</v>
      </c>
      <c r="AL391" s="17">
        <v>0</v>
      </c>
      <c r="AM391" s="17">
        <v>0</v>
      </c>
      <c r="AN391" s="17">
        <v>0</v>
      </c>
      <c r="AO391" s="18">
        <v>0</v>
      </c>
      <c r="AP391" s="17">
        <v>3</v>
      </c>
      <c r="AQ391" s="17">
        <v>11</v>
      </c>
      <c r="AR391" s="19">
        <v>1147</v>
      </c>
      <c r="AS391" s="19">
        <v>1169</v>
      </c>
    </row>
    <row r="392" spans="1:45" x14ac:dyDescent="0.25">
      <c r="A392">
        <v>337</v>
      </c>
      <c r="B392" s="11">
        <f t="shared" si="6"/>
        <v>72099</v>
      </c>
      <c r="C392" s="16">
        <v>720990</v>
      </c>
      <c r="D392" s="17">
        <v>0</v>
      </c>
      <c r="E392" s="17">
        <v>0</v>
      </c>
      <c r="F392" s="17">
        <v>18</v>
      </c>
      <c r="G392" s="17">
        <v>46</v>
      </c>
      <c r="H392" s="13" t="str" cm="1">
        <f t="array" ref="H392">_xlfn.IFS(G392&lt;=20,"0-20",G392&lt;=30,"20-30",G392&lt;=40,"30-40",G392&lt;=50,"50-60",G392&lt;=60,"60-70",G392&lt;=70,"70-80",G392&lt;=80,"80-90")</f>
        <v>50-60</v>
      </c>
      <c r="I392" s="17">
        <v>2769</v>
      </c>
      <c r="J392" s="13" t="str" cm="1">
        <f t="array" ref="J392">_xlfn.IFS(K392=1,"Divorciado",L392=1,"Casado",M392=1,"Solteiro",N392=1,"Juntos",O392=1,"Viuvo")</f>
        <v>Casado</v>
      </c>
      <c r="K392" s="17">
        <v>0</v>
      </c>
      <c r="L392" s="17">
        <v>1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1</v>
      </c>
      <c r="S392" s="17">
        <v>0</v>
      </c>
      <c r="T392" s="17">
        <v>0</v>
      </c>
      <c r="U392" s="17">
        <v>546</v>
      </c>
      <c r="V392" s="13" t="str" cm="1">
        <f t="array" ref="V392">_xlfn.IFS(U392&lt;=250,"0-R$250",U392&lt;=500,"251-R$500",U392&lt;=750,"501-R$750",U392&lt;=1000,"751-R$1000",U392&lt;=1250,"1001-R$1250",U392&lt;=1500,"1251-R$1500")</f>
        <v>501-R$750</v>
      </c>
      <c r="W392" s="17">
        <v>91</v>
      </c>
      <c r="X392" s="13" t="str" cm="1">
        <f t="array" ref="X392">_xlfn.IFS(W392 = 0, "0", W392&lt;=20, "até R$20",W392&lt;=40, "21 - R$40",W392&lt;=60, "41- R$60",W392&lt;=80, "61 - R$80", W392&lt;=100, "81 - R$100",W392&lt;=120, "101 - R$120",W392&lt;=140, "121 - R$140", W392&lt;=160, "141- R$160", W392&lt;=180, "161 - R$180", W392&lt;=200, "181-R$194")</f>
        <v>81 - R$100</v>
      </c>
      <c r="Y392" s="17">
        <v>410</v>
      </c>
      <c r="Z392" s="17">
        <v>119</v>
      </c>
      <c r="AA392" s="17">
        <v>0</v>
      </c>
      <c r="AB392" s="17">
        <v>22</v>
      </c>
      <c r="AC392" s="17">
        <v>1</v>
      </c>
      <c r="AD392" s="17">
        <v>3</v>
      </c>
      <c r="AE392" s="17">
        <v>4</v>
      </c>
      <c r="AF392" s="17">
        <v>10</v>
      </c>
      <c r="AG392" s="17">
        <v>1</v>
      </c>
      <c r="AH392" s="17">
        <v>0</v>
      </c>
      <c r="AI392" s="17">
        <v>0</v>
      </c>
      <c r="AJ392" s="17">
        <v>0</v>
      </c>
      <c r="AK392" s="17">
        <v>0</v>
      </c>
      <c r="AL392" s="17">
        <v>0</v>
      </c>
      <c r="AM392" s="17">
        <v>0</v>
      </c>
      <c r="AN392" s="17">
        <v>0</v>
      </c>
      <c r="AO392" s="18">
        <v>0</v>
      </c>
      <c r="AP392" s="17">
        <v>3</v>
      </c>
      <c r="AQ392" s="17">
        <v>11</v>
      </c>
      <c r="AR392" s="19">
        <v>1144</v>
      </c>
      <c r="AS392" s="19">
        <v>1166</v>
      </c>
    </row>
    <row r="393" spans="1:45" x14ac:dyDescent="0.25">
      <c r="A393">
        <v>717</v>
      </c>
      <c r="B393" s="11">
        <f t="shared" si="6"/>
        <v>67432</v>
      </c>
      <c r="C393" s="16">
        <v>674320</v>
      </c>
      <c r="D393" s="17">
        <v>0</v>
      </c>
      <c r="E393" s="17">
        <v>1</v>
      </c>
      <c r="F393" s="17">
        <v>69</v>
      </c>
      <c r="G393" s="17">
        <v>47</v>
      </c>
      <c r="H393" s="13" t="str" cm="1">
        <f t="array" ref="H393">_xlfn.IFS(G393&lt;=20,"0-20",G393&lt;=30,"20-30",G393&lt;=40,"30-40",G393&lt;=50,"50-60",G393&lt;=60,"60-70",G393&lt;=70,"70-80",G393&lt;=80,"80-90")</f>
        <v>50-60</v>
      </c>
      <c r="I393" s="17">
        <v>2616</v>
      </c>
      <c r="J393" s="13" t="str" cm="1">
        <f t="array" ref="J393">_xlfn.IFS(K393=1,"Divorciado",L393=1,"Casado",M393=1,"Solteiro",N393=1,"Juntos",O393=1,"Viuvo")</f>
        <v>Casado</v>
      </c>
      <c r="K393" s="17">
        <v>0</v>
      </c>
      <c r="L393" s="17">
        <v>1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1</v>
      </c>
      <c r="S393" s="17">
        <v>0</v>
      </c>
      <c r="T393" s="17">
        <v>0</v>
      </c>
      <c r="U393" s="17">
        <v>432</v>
      </c>
      <c r="V393" s="13" t="str" cm="1">
        <f t="array" ref="V393">_xlfn.IFS(U393&lt;=250,"0-R$250",U393&lt;=500,"251-R$500",U393&lt;=750,"501-R$750",U393&lt;=1000,"751-R$1000",U393&lt;=1250,"1001-R$1250",U393&lt;=1500,"1251-R$1500")</f>
        <v>251-R$500</v>
      </c>
      <c r="W393" s="17">
        <v>79</v>
      </c>
      <c r="X393" s="13" t="str" cm="1">
        <f t="array" ref="X393">_xlfn.IFS(W393 = 0, "0", W393&lt;=20, "até R$20",W393&lt;=40, "21 - R$40",W393&lt;=60, "41- R$60",W393&lt;=80, "61 - R$80", W393&lt;=100, "81 - R$100",W393&lt;=120, "101 - R$120",W393&lt;=140, "121 - R$140", W393&lt;=160, "141- R$160", W393&lt;=180, "161 - R$180", W393&lt;=200, "181-R$194")</f>
        <v>61 - R$80</v>
      </c>
      <c r="Y393" s="17">
        <v>341</v>
      </c>
      <c r="Z393" s="17">
        <v>177</v>
      </c>
      <c r="AA393" s="17">
        <v>136</v>
      </c>
      <c r="AB393" s="17">
        <v>170</v>
      </c>
      <c r="AC393" s="17">
        <v>2</v>
      </c>
      <c r="AD393" s="17">
        <v>8</v>
      </c>
      <c r="AE393" s="17">
        <v>5</v>
      </c>
      <c r="AF393" s="17">
        <v>4</v>
      </c>
      <c r="AG393" s="17">
        <v>4</v>
      </c>
      <c r="AH393" s="17">
        <v>0</v>
      </c>
      <c r="AI393" s="17">
        <v>0</v>
      </c>
      <c r="AJ393" s="17">
        <v>0</v>
      </c>
      <c r="AK393" s="17">
        <v>0</v>
      </c>
      <c r="AL393" s="17">
        <v>0</v>
      </c>
      <c r="AM393" s="17">
        <v>0</v>
      </c>
      <c r="AN393" s="17">
        <v>0</v>
      </c>
      <c r="AO393" s="18">
        <v>0</v>
      </c>
      <c r="AP393" s="17">
        <v>3</v>
      </c>
      <c r="AQ393" s="17">
        <v>11</v>
      </c>
      <c r="AR393" s="19">
        <v>995</v>
      </c>
      <c r="AS393" s="19">
        <v>1165</v>
      </c>
    </row>
    <row r="394" spans="1:45" x14ac:dyDescent="0.25">
      <c r="A394">
        <v>1998</v>
      </c>
      <c r="B394" s="11">
        <f t="shared" si="6"/>
        <v>77027</v>
      </c>
      <c r="C394" s="12">
        <v>770270</v>
      </c>
      <c r="D394" s="13">
        <v>0</v>
      </c>
      <c r="E394" s="13">
        <v>1</v>
      </c>
      <c r="F394" s="13">
        <v>23</v>
      </c>
      <c r="G394" s="13">
        <v>68</v>
      </c>
      <c r="H394" s="13" t="str" cm="1">
        <f t="array" ref="H394">_xlfn.IFS(G394&lt;=20,"0-20",G394&lt;=30,"20-30",G394&lt;=40,"30-40",G394&lt;=50,"50-60",G394&lt;=60,"60-70",G394&lt;=70,"70-80",G394&lt;=80,"80-90")</f>
        <v>70-80</v>
      </c>
      <c r="I394" s="13">
        <v>2303</v>
      </c>
      <c r="J394" s="13" t="str" cm="1">
        <f t="array" ref="J394">_xlfn.IFS(K394=1,"Divorciado",L394=1,"Casado",M394=1,"Solteiro",N394=1,"Juntos",O394=1,"Viuvo")</f>
        <v>Casado</v>
      </c>
      <c r="K394" s="13">
        <v>0</v>
      </c>
      <c r="L394" s="13">
        <v>1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1</v>
      </c>
      <c r="T394" s="13">
        <v>0</v>
      </c>
      <c r="U394" s="13">
        <v>820</v>
      </c>
      <c r="V394" s="13" t="str" cm="1">
        <f t="array" ref="V394">_xlfn.IFS(U394&lt;=250,"0-R$250",U394&lt;=500,"251-R$500",U394&lt;=750,"501-R$750",U394&lt;=1000,"751-R$1000",U394&lt;=1250,"1001-R$1250",U394&lt;=1500,"1251-R$1500")</f>
        <v>751-R$1000</v>
      </c>
      <c r="W394" s="13">
        <v>57</v>
      </c>
      <c r="X394" s="13" t="str" cm="1">
        <f t="array" ref="X394">_xlfn.IFS(W394 = 0, "0", W394&lt;=20, "até R$20",W394&lt;=40, "21 - R$40",W394&lt;=60, "41- R$60",W394&lt;=80, "61 - R$80", W394&lt;=100, "81 - R$100",W394&lt;=120, "101 - R$120",W394&lt;=140, "121 - R$140", W394&lt;=160, "141- R$160", W394&lt;=180, "161 - R$180", W394&lt;=200, "181-R$194")</f>
        <v>41- R$60</v>
      </c>
      <c r="Y394" s="13">
        <v>242</v>
      </c>
      <c r="Z394" s="13">
        <v>45</v>
      </c>
      <c r="AA394" s="13">
        <v>0</v>
      </c>
      <c r="AB394" s="13">
        <v>11</v>
      </c>
      <c r="AC394" s="13">
        <v>2</v>
      </c>
      <c r="AD394" s="13">
        <v>8</v>
      </c>
      <c r="AE394" s="13">
        <v>3</v>
      </c>
      <c r="AF394" s="13">
        <v>6</v>
      </c>
      <c r="AG394" s="13">
        <v>4</v>
      </c>
      <c r="AH394" s="13">
        <v>0</v>
      </c>
      <c r="AI394" s="13">
        <v>0</v>
      </c>
      <c r="AJ394" s="13">
        <v>0</v>
      </c>
      <c r="AK394" s="13">
        <v>0</v>
      </c>
      <c r="AL394" s="13">
        <v>0</v>
      </c>
      <c r="AM394" s="13">
        <v>0</v>
      </c>
      <c r="AN394" s="13">
        <v>0</v>
      </c>
      <c r="AO394" s="14">
        <v>0</v>
      </c>
      <c r="AP394" s="13">
        <v>3</v>
      </c>
      <c r="AQ394" s="13">
        <v>11</v>
      </c>
      <c r="AR394" s="15">
        <v>1153</v>
      </c>
      <c r="AS394" s="15">
        <v>1164</v>
      </c>
    </row>
    <row r="395" spans="1:45" x14ac:dyDescent="0.25">
      <c r="A395">
        <v>635</v>
      </c>
      <c r="B395" s="11">
        <f t="shared" si="6"/>
        <v>67445</v>
      </c>
      <c r="C395" s="16">
        <v>674450</v>
      </c>
      <c r="D395" s="17">
        <v>0</v>
      </c>
      <c r="E395" s="17">
        <v>1</v>
      </c>
      <c r="F395" s="17">
        <v>63</v>
      </c>
      <c r="G395" s="17">
        <v>46</v>
      </c>
      <c r="H395" s="13" t="str" cm="1">
        <f t="array" ref="H395">_xlfn.IFS(G395&lt;=20,"0-20",G395&lt;=30,"20-30",G395&lt;=40,"30-40",G395&lt;=50,"50-60",G395&lt;=60,"60-70",G395&lt;=70,"70-80",G395&lt;=80,"80-90")</f>
        <v>50-60</v>
      </c>
      <c r="I395" s="17">
        <v>2845</v>
      </c>
      <c r="J395" s="13" t="str" cm="1">
        <f t="array" ref="J395">_xlfn.IFS(K395=1,"Divorciado",L395=1,"Casado",M395=1,"Solteiro",N395=1,"Juntos",O395=1,"Viuvo")</f>
        <v>Casado</v>
      </c>
      <c r="K395" s="17">
        <v>0</v>
      </c>
      <c r="L395" s="17">
        <v>1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1</v>
      </c>
      <c r="S395" s="17">
        <v>0</v>
      </c>
      <c r="T395" s="17">
        <v>0</v>
      </c>
      <c r="U395" s="17">
        <v>757</v>
      </c>
      <c r="V395" s="13" t="str" cm="1">
        <f t="array" ref="V395">_xlfn.IFS(U395&lt;=250,"0-R$250",U395&lt;=500,"251-R$500",U395&lt;=750,"501-R$750",U395&lt;=1000,"751-R$1000",U395&lt;=1250,"1001-R$1250",U395&lt;=1500,"1251-R$1500")</f>
        <v>751-R$1000</v>
      </c>
      <c r="W395" s="17">
        <v>80</v>
      </c>
      <c r="X395" s="13" t="str" cm="1">
        <f t="array" ref="X395">_xlfn.IFS(W395 = 0, "0", W395&lt;=20, "até R$20",W395&lt;=40, "21 - R$40",W395&lt;=60, "41- R$60",W395&lt;=80, "61 - R$80", W395&lt;=100, "81 - R$100",W395&lt;=120, "101 - R$120",W395&lt;=140, "121 - R$140", W395&lt;=160, "141- R$160", W395&lt;=180, "161 - R$180", W395&lt;=200, "181-R$194")</f>
        <v>61 - R$80</v>
      </c>
      <c r="Y395" s="17">
        <v>217</v>
      </c>
      <c r="Z395" s="17">
        <v>29</v>
      </c>
      <c r="AA395" s="17">
        <v>80</v>
      </c>
      <c r="AB395" s="17">
        <v>11</v>
      </c>
      <c r="AC395" s="17">
        <v>5</v>
      </c>
      <c r="AD395" s="17">
        <v>9</v>
      </c>
      <c r="AE395" s="17">
        <v>6</v>
      </c>
      <c r="AF395" s="17">
        <v>12</v>
      </c>
      <c r="AG395" s="17">
        <v>6</v>
      </c>
      <c r="AH395" s="17">
        <v>0</v>
      </c>
      <c r="AI395" s="17">
        <v>0</v>
      </c>
      <c r="AJ395" s="17">
        <v>0</v>
      </c>
      <c r="AK395" s="17">
        <v>0</v>
      </c>
      <c r="AL395" s="17">
        <v>0</v>
      </c>
      <c r="AM395" s="17">
        <v>0</v>
      </c>
      <c r="AN395" s="17">
        <v>0</v>
      </c>
      <c r="AO395" s="18">
        <v>0</v>
      </c>
      <c r="AP395" s="17">
        <v>3</v>
      </c>
      <c r="AQ395" s="17">
        <v>11</v>
      </c>
      <c r="AR395" s="19">
        <v>1152</v>
      </c>
      <c r="AS395" s="19">
        <v>1163</v>
      </c>
    </row>
    <row r="396" spans="1:45" x14ac:dyDescent="0.25">
      <c r="A396">
        <v>1530</v>
      </c>
      <c r="B396" s="11">
        <f t="shared" si="6"/>
        <v>67445</v>
      </c>
      <c r="C396" s="12">
        <v>674450</v>
      </c>
      <c r="D396" s="13">
        <v>0</v>
      </c>
      <c r="E396" s="13">
        <v>1</v>
      </c>
      <c r="F396" s="13">
        <v>63</v>
      </c>
      <c r="G396" s="13">
        <v>46</v>
      </c>
      <c r="H396" s="13" t="str" cm="1">
        <f t="array" ref="H396">_xlfn.IFS(G396&lt;=20,"0-20",G396&lt;=30,"20-30",G396&lt;=40,"30-40",G396&lt;=50,"50-60",G396&lt;=60,"60-70",G396&lt;=70,"70-80",G396&lt;=80,"80-90")</f>
        <v>50-60</v>
      </c>
      <c r="I396" s="13">
        <v>2845</v>
      </c>
      <c r="J396" s="13" t="str" cm="1">
        <f t="array" ref="J396">_xlfn.IFS(K396=1,"Divorciado",L396=1,"Casado",M396=1,"Solteiro",N396=1,"Juntos",O396=1,"Viuvo")</f>
        <v>Casado</v>
      </c>
      <c r="K396" s="13">
        <v>0</v>
      </c>
      <c r="L396" s="13">
        <v>1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1</v>
      </c>
      <c r="S396" s="13">
        <v>0</v>
      </c>
      <c r="T396" s="13">
        <v>0</v>
      </c>
      <c r="U396" s="13">
        <v>757</v>
      </c>
      <c r="V396" s="13" t="str" cm="1">
        <f t="array" ref="V396">_xlfn.IFS(U396&lt;=250,"0-R$250",U396&lt;=500,"251-R$500",U396&lt;=750,"501-R$750",U396&lt;=1000,"751-R$1000",U396&lt;=1250,"1001-R$1250",U396&lt;=1500,"1251-R$1500")</f>
        <v>751-R$1000</v>
      </c>
      <c r="W396" s="13">
        <v>80</v>
      </c>
      <c r="X396" s="13" t="str" cm="1">
        <f t="array" ref="X396">_xlfn.IFS(W396 = 0, "0", W396&lt;=20, "até R$20",W396&lt;=40, "21 - R$40",W396&lt;=60, "41- R$60",W396&lt;=80, "61 - R$80", W396&lt;=100, "81 - R$100",W396&lt;=120, "101 - R$120",W396&lt;=140, "121 - R$140", W396&lt;=160, "141- R$160", W396&lt;=180, "161 - R$180", W396&lt;=200, "181-R$194")</f>
        <v>61 - R$80</v>
      </c>
      <c r="Y396" s="13">
        <v>217</v>
      </c>
      <c r="Z396" s="13">
        <v>29</v>
      </c>
      <c r="AA396" s="13">
        <v>80</v>
      </c>
      <c r="AB396" s="13">
        <v>11</v>
      </c>
      <c r="AC396" s="13">
        <v>5</v>
      </c>
      <c r="AD396" s="13">
        <v>9</v>
      </c>
      <c r="AE396" s="13">
        <v>6</v>
      </c>
      <c r="AF396" s="13">
        <v>12</v>
      </c>
      <c r="AG396" s="13">
        <v>6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  <c r="AN396" s="13">
        <v>0</v>
      </c>
      <c r="AO396" s="14">
        <v>0</v>
      </c>
      <c r="AP396" s="13">
        <v>3</v>
      </c>
      <c r="AQ396" s="13">
        <v>11</v>
      </c>
      <c r="AR396" s="15">
        <v>1152</v>
      </c>
      <c r="AS396" s="15">
        <v>1163</v>
      </c>
    </row>
    <row r="397" spans="1:45" x14ac:dyDescent="0.25">
      <c r="A397">
        <v>2037</v>
      </c>
      <c r="B397" s="11">
        <f t="shared" si="6"/>
        <v>67445</v>
      </c>
      <c r="C397" s="16">
        <v>674450</v>
      </c>
      <c r="D397" s="17">
        <v>0</v>
      </c>
      <c r="E397" s="17">
        <v>1</v>
      </c>
      <c r="F397" s="17">
        <v>63</v>
      </c>
      <c r="G397" s="17">
        <v>46</v>
      </c>
      <c r="H397" s="13" t="str" cm="1">
        <f t="array" ref="H397">_xlfn.IFS(G397&lt;=20,"0-20",G397&lt;=30,"20-30",G397&lt;=40,"30-40",G397&lt;=50,"50-60",G397&lt;=60,"60-70",G397&lt;=70,"70-80",G397&lt;=80,"80-90")</f>
        <v>50-60</v>
      </c>
      <c r="I397" s="17">
        <v>2845</v>
      </c>
      <c r="J397" s="13" t="str" cm="1">
        <f t="array" ref="J397">_xlfn.IFS(K397=1,"Divorciado",L397=1,"Casado",M397=1,"Solteiro",N397=1,"Juntos",O397=1,"Viuvo")</f>
        <v>Casado</v>
      </c>
      <c r="K397" s="17">
        <v>0</v>
      </c>
      <c r="L397" s="17">
        <v>1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1</v>
      </c>
      <c r="S397" s="17">
        <v>0</v>
      </c>
      <c r="T397" s="17">
        <v>0</v>
      </c>
      <c r="U397" s="17">
        <v>757</v>
      </c>
      <c r="V397" s="13" t="str" cm="1">
        <f t="array" ref="V397">_xlfn.IFS(U397&lt;=250,"0-R$250",U397&lt;=500,"251-R$500",U397&lt;=750,"501-R$750",U397&lt;=1000,"751-R$1000",U397&lt;=1250,"1001-R$1250",U397&lt;=1500,"1251-R$1500")</f>
        <v>751-R$1000</v>
      </c>
      <c r="W397" s="17">
        <v>80</v>
      </c>
      <c r="X397" s="13" t="str" cm="1">
        <f t="array" ref="X397">_xlfn.IFS(W397 = 0, "0", W397&lt;=20, "até R$20",W397&lt;=40, "21 - R$40",W397&lt;=60, "41- R$60",W397&lt;=80, "61 - R$80", W397&lt;=100, "81 - R$100",W397&lt;=120, "101 - R$120",W397&lt;=140, "121 - R$140", W397&lt;=160, "141- R$160", W397&lt;=180, "161 - R$180", W397&lt;=200, "181-R$194")</f>
        <v>61 - R$80</v>
      </c>
      <c r="Y397" s="17">
        <v>217</v>
      </c>
      <c r="Z397" s="17">
        <v>29</v>
      </c>
      <c r="AA397" s="17">
        <v>80</v>
      </c>
      <c r="AB397" s="17">
        <v>11</v>
      </c>
      <c r="AC397" s="17">
        <v>5</v>
      </c>
      <c r="AD397" s="17">
        <v>9</v>
      </c>
      <c r="AE397" s="17">
        <v>6</v>
      </c>
      <c r="AF397" s="17">
        <v>12</v>
      </c>
      <c r="AG397" s="17">
        <v>6</v>
      </c>
      <c r="AH397" s="17">
        <v>0</v>
      </c>
      <c r="AI397" s="17">
        <v>0</v>
      </c>
      <c r="AJ397" s="17">
        <v>0</v>
      </c>
      <c r="AK397" s="17">
        <v>0</v>
      </c>
      <c r="AL397" s="17">
        <v>0</v>
      </c>
      <c r="AM397" s="17">
        <v>0</v>
      </c>
      <c r="AN397" s="17">
        <v>0</v>
      </c>
      <c r="AO397" s="18">
        <v>0</v>
      </c>
      <c r="AP397" s="17">
        <v>3</v>
      </c>
      <c r="AQ397" s="17">
        <v>11</v>
      </c>
      <c r="AR397" s="19">
        <v>1152</v>
      </c>
      <c r="AS397" s="19">
        <v>1163</v>
      </c>
    </row>
    <row r="398" spans="1:45" x14ac:dyDescent="0.25">
      <c r="A398">
        <v>758</v>
      </c>
      <c r="B398" s="11">
        <f t="shared" si="6"/>
        <v>74250</v>
      </c>
      <c r="C398" s="12">
        <v>742500</v>
      </c>
      <c r="D398" s="13">
        <v>0</v>
      </c>
      <c r="E398" s="13">
        <v>0</v>
      </c>
      <c r="F398" s="13">
        <v>90</v>
      </c>
      <c r="G398" s="13">
        <v>62</v>
      </c>
      <c r="H398" s="13" t="str" cm="1">
        <f t="array" ref="H398">_xlfn.IFS(G398&lt;=20,"0-20",G398&lt;=30,"20-30",G398&lt;=40,"30-40",G398&lt;=50,"50-60",G398&lt;=60,"60-70",G398&lt;=70,"70-80",G398&lt;=80,"80-90")</f>
        <v>70-80</v>
      </c>
      <c r="I398" s="13">
        <v>2313</v>
      </c>
      <c r="J398" s="13" t="str" cm="1">
        <f t="array" ref="J398">_xlfn.IFS(K398=1,"Divorciado",L398=1,"Casado",M398=1,"Solteiro",N398=1,"Juntos",O398=1,"Viuvo")</f>
        <v>Juntos</v>
      </c>
      <c r="K398" s="13">
        <v>0</v>
      </c>
      <c r="L398" s="13">
        <v>0</v>
      </c>
      <c r="M398" s="13">
        <v>0</v>
      </c>
      <c r="N398" s="13">
        <v>1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1</v>
      </c>
      <c r="U398" s="13">
        <v>680</v>
      </c>
      <c r="V398" s="13" t="str" cm="1">
        <f t="array" ref="V398">_xlfn.IFS(U398&lt;=250,"0-R$250",U398&lt;=500,"251-R$500",U398&lt;=750,"501-R$750",U398&lt;=1000,"751-R$1000",U398&lt;=1250,"1001-R$1250",U398&lt;=1500,"1251-R$1500")</f>
        <v>501-R$750</v>
      </c>
      <c r="W398" s="13">
        <v>11</v>
      </c>
      <c r="X398" s="13" t="str" cm="1">
        <f t="array" ref="X398">_xlfn.IFS(W398 = 0, "0", W398&lt;=20, "até R$20",W398&lt;=40, "21 - R$40",W398&lt;=60, "41- R$60",W398&lt;=80, "61 - R$80", W398&lt;=100, "81 - R$100",W398&lt;=120, "101 - R$120",W398&lt;=140, "121 - R$140", W398&lt;=160, "141- R$160", W398&lt;=180, "161 - R$180", W398&lt;=200, "181-R$194")</f>
        <v>até R$20</v>
      </c>
      <c r="Y398" s="13">
        <v>392</v>
      </c>
      <c r="Z398" s="13">
        <v>75</v>
      </c>
      <c r="AA398" s="13">
        <v>0</v>
      </c>
      <c r="AB398" s="13">
        <v>0</v>
      </c>
      <c r="AC398" s="13">
        <v>1</v>
      </c>
      <c r="AD398" s="13">
        <v>2</v>
      </c>
      <c r="AE398" s="13">
        <v>11</v>
      </c>
      <c r="AF398" s="13">
        <v>4</v>
      </c>
      <c r="AG398" s="13">
        <v>1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3">
        <v>0</v>
      </c>
      <c r="AO398" s="14">
        <v>0</v>
      </c>
      <c r="AP398" s="13">
        <v>3</v>
      </c>
      <c r="AQ398" s="13">
        <v>11</v>
      </c>
      <c r="AR398" s="15">
        <v>1158</v>
      </c>
      <c r="AS398" s="15">
        <v>1158</v>
      </c>
    </row>
    <row r="399" spans="1:45" x14ac:dyDescent="0.25">
      <c r="A399">
        <v>859</v>
      </c>
      <c r="B399" s="11">
        <f t="shared" si="6"/>
        <v>86424</v>
      </c>
      <c r="C399" s="16">
        <v>864240</v>
      </c>
      <c r="D399" s="17">
        <v>0</v>
      </c>
      <c r="E399" s="17">
        <v>0</v>
      </c>
      <c r="F399" s="17">
        <v>12</v>
      </c>
      <c r="G399" s="17">
        <v>64</v>
      </c>
      <c r="H399" s="13" t="str" cm="1">
        <f t="array" ref="H399">_xlfn.IFS(G399&lt;=20,"0-20",G399&lt;=30,"20-30",G399&lt;=40,"30-40",G399&lt;=50,"50-60",G399&lt;=60,"60-70",G399&lt;=70,"70-80",G399&lt;=80,"80-90")</f>
        <v>70-80</v>
      </c>
      <c r="I399" s="17">
        <v>2244</v>
      </c>
      <c r="J399" s="13" t="str" cm="1">
        <f t="array" ref="J399">_xlfn.IFS(K399=1,"Divorciado",L399=1,"Casado",M399=1,"Solteiro",N399=1,"Juntos",O399=1,"Viuvo")</f>
        <v>Solteiro</v>
      </c>
      <c r="K399" s="17">
        <v>0</v>
      </c>
      <c r="L399" s="17">
        <v>0</v>
      </c>
      <c r="M399" s="17">
        <v>1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1</v>
      </c>
      <c r="T399" s="17">
        <v>0</v>
      </c>
      <c r="U399" s="17">
        <v>387</v>
      </c>
      <c r="V399" s="13" t="str" cm="1">
        <f t="array" ref="V399">_xlfn.IFS(U399&lt;=250,"0-R$250",U399&lt;=500,"251-R$500",U399&lt;=750,"501-R$750",U399&lt;=1000,"751-R$1000",U399&lt;=1250,"1001-R$1250",U399&lt;=1500,"1251-R$1500")</f>
        <v>251-R$500</v>
      </c>
      <c r="W399" s="17">
        <v>68</v>
      </c>
      <c r="X399" s="13" t="str" cm="1">
        <f t="array" ref="X399">_xlfn.IFS(W399 = 0, "0", W399&lt;=20, "até R$20",W399&lt;=40, "21 - R$40",W399&lt;=60, "41- R$60",W399&lt;=80, "61 - R$80", W399&lt;=100, "81 - R$100",W399&lt;=120, "101 - R$120",W399&lt;=140, "121 - R$140", W399&lt;=160, "141- R$160", W399&lt;=180, "161 - R$180", W399&lt;=200, "181-R$194")</f>
        <v>61 - R$80</v>
      </c>
      <c r="Y399" s="17">
        <v>569</v>
      </c>
      <c r="Z399" s="17">
        <v>89</v>
      </c>
      <c r="AA399" s="17">
        <v>45</v>
      </c>
      <c r="AB399" s="17">
        <v>68</v>
      </c>
      <c r="AC399" s="17">
        <v>1</v>
      </c>
      <c r="AD399" s="17">
        <v>6</v>
      </c>
      <c r="AE399" s="17">
        <v>9</v>
      </c>
      <c r="AF399" s="17">
        <v>12</v>
      </c>
      <c r="AG399" s="17">
        <v>1</v>
      </c>
      <c r="AH399" s="17">
        <v>0</v>
      </c>
      <c r="AI399" s="17">
        <v>0</v>
      </c>
      <c r="AJ399" s="17">
        <v>0</v>
      </c>
      <c r="AK399" s="17">
        <v>0</v>
      </c>
      <c r="AL399" s="17">
        <v>0</v>
      </c>
      <c r="AM399" s="17">
        <v>0</v>
      </c>
      <c r="AN399" s="17">
        <v>0</v>
      </c>
      <c r="AO399" s="18">
        <v>0</v>
      </c>
      <c r="AP399" s="17">
        <v>3</v>
      </c>
      <c r="AQ399" s="17">
        <v>11</v>
      </c>
      <c r="AR399" s="19">
        <v>1090</v>
      </c>
      <c r="AS399" s="19">
        <v>1158</v>
      </c>
    </row>
    <row r="400" spans="1:45" x14ac:dyDescent="0.25">
      <c r="A400">
        <v>1920</v>
      </c>
      <c r="B400" s="11">
        <f t="shared" si="6"/>
        <v>70792</v>
      </c>
      <c r="C400" s="12">
        <v>707920</v>
      </c>
      <c r="D400" s="13">
        <v>0</v>
      </c>
      <c r="E400" s="13">
        <v>0</v>
      </c>
      <c r="F400" s="13">
        <v>82</v>
      </c>
      <c r="G400" s="13">
        <v>69</v>
      </c>
      <c r="H400" s="13" t="str" cm="1">
        <f t="array" ref="H400">_xlfn.IFS(G400&lt;=20,"0-20",G400&lt;=30,"20-30",G400&lt;=40,"30-40",G400&lt;=50,"50-60",G400&lt;=60,"60-70",G400&lt;=70,"70-80",G400&lt;=80,"80-90")</f>
        <v>70-80</v>
      </c>
      <c r="I400" s="13">
        <v>2667</v>
      </c>
      <c r="J400" s="13" t="str" cm="1">
        <f t="array" ref="J400">_xlfn.IFS(K400=1,"Divorciado",L400=1,"Casado",M400=1,"Solteiro",N400=1,"Juntos",O400=1,"Viuvo")</f>
        <v>Viuvo</v>
      </c>
      <c r="K400" s="13">
        <v>0</v>
      </c>
      <c r="L400" s="13">
        <v>0</v>
      </c>
      <c r="M400" s="13">
        <v>0</v>
      </c>
      <c r="N400" s="13">
        <v>0</v>
      </c>
      <c r="O400" s="13">
        <v>1</v>
      </c>
      <c r="P400" s="13">
        <v>0</v>
      </c>
      <c r="Q400" s="13">
        <v>0</v>
      </c>
      <c r="R400" s="13">
        <v>1</v>
      </c>
      <c r="S400" s="13">
        <v>0</v>
      </c>
      <c r="T400" s="13">
        <v>0</v>
      </c>
      <c r="U400" s="13">
        <v>344</v>
      </c>
      <c r="V400" s="13" t="str" cm="1">
        <f t="array" ref="V400">_xlfn.IFS(U400&lt;=250,"0-R$250",U400&lt;=500,"251-R$500",U400&lt;=750,"501-R$750",U400&lt;=1000,"751-R$1000",U400&lt;=1250,"1001-R$1250",U400&lt;=1500,"1251-R$1500")</f>
        <v>251-R$500</v>
      </c>
      <c r="W400" s="13">
        <v>45</v>
      </c>
      <c r="X400" s="13" t="str" cm="1">
        <f t="array" ref="X400">_xlfn.IFS(W400 = 0, "0", W400&lt;=20, "até R$20",W400&lt;=40, "21 - R$40",W400&lt;=60, "41- R$60",W400&lt;=80, "61 - R$80", W400&lt;=100, "81 - R$100",W400&lt;=120, "101 - R$120",W400&lt;=140, "121 - R$140", W400&lt;=160, "141- R$160", W400&lt;=180, "161 - R$180", W400&lt;=200, "181-R$194")</f>
        <v>41- R$60</v>
      </c>
      <c r="Y400" s="13">
        <v>654</v>
      </c>
      <c r="Z400" s="13">
        <v>104</v>
      </c>
      <c r="AA400" s="13">
        <v>11</v>
      </c>
      <c r="AB400" s="13">
        <v>114</v>
      </c>
      <c r="AC400" s="13">
        <v>2</v>
      </c>
      <c r="AD400" s="13">
        <v>3</v>
      </c>
      <c r="AE400" s="13">
        <v>4</v>
      </c>
      <c r="AF400" s="13">
        <v>10</v>
      </c>
      <c r="AG400" s="13">
        <v>3</v>
      </c>
      <c r="AH400" s="13">
        <v>0</v>
      </c>
      <c r="AI400" s="13">
        <v>0</v>
      </c>
      <c r="AJ400" s="13">
        <v>0</v>
      </c>
      <c r="AK400" s="13">
        <v>0</v>
      </c>
      <c r="AL400" s="13">
        <v>0</v>
      </c>
      <c r="AM400" s="13">
        <v>0</v>
      </c>
      <c r="AN400" s="13">
        <v>0</v>
      </c>
      <c r="AO400" s="14">
        <v>0</v>
      </c>
      <c r="AP400" s="13">
        <v>3</v>
      </c>
      <c r="AQ400" s="13">
        <v>11</v>
      </c>
      <c r="AR400" s="15">
        <v>1044</v>
      </c>
      <c r="AS400" s="15">
        <v>1158</v>
      </c>
    </row>
    <row r="401" spans="1:45" x14ac:dyDescent="0.25">
      <c r="A401">
        <v>310</v>
      </c>
      <c r="B401" s="11">
        <f t="shared" si="6"/>
        <v>62187</v>
      </c>
      <c r="C401" s="12">
        <v>621870</v>
      </c>
      <c r="D401" s="13">
        <v>0</v>
      </c>
      <c r="E401" s="13">
        <v>0</v>
      </c>
      <c r="F401" s="13">
        <v>49</v>
      </c>
      <c r="G401" s="13">
        <v>63</v>
      </c>
      <c r="H401" s="13" t="str" cm="1">
        <f t="array" ref="H401">_xlfn.IFS(G401&lt;=20,"0-20",G401&lt;=30,"20-30",G401&lt;=40,"30-40",G401&lt;=50,"50-60",G401&lt;=60,"60-70",G401&lt;=70,"70-80",G401&lt;=80,"80-90")</f>
        <v>70-80</v>
      </c>
      <c r="I401" s="13">
        <v>2518</v>
      </c>
      <c r="J401" s="13" t="str" cm="1">
        <f t="array" ref="J401">_xlfn.IFS(K401=1,"Divorciado",L401=1,"Casado",M401=1,"Solteiro",N401=1,"Juntos",O401=1,"Viuvo")</f>
        <v>Casado</v>
      </c>
      <c r="K401" s="13">
        <v>0</v>
      </c>
      <c r="L401" s="13">
        <v>1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1</v>
      </c>
      <c r="S401" s="13">
        <v>0</v>
      </c>
      <c r="T401" s="13">
        <v>0</v>
      </c>
      <c r="U401" s="13">
        <v>792</v>
      </c>
      <c r="V401" s="13" t="str" cm="1">
        <f t="array" ref="V401">_xlfn.IFS(U401&lt;=250,"0-R$250",U401&lt;=500,"251-R$500",U401&lt;=750,"501-R$750",U401&lt;=1000,"751-R$1000",U401&lt;=1250,"1001-R$1250",U401&lt;=1500,"1251-R$1500")</f>
        <v>751-R$1000</v>
      </c>
      <c r="W401" s="13">
        <v>0</v>
      </c>
      <c r="X401" s="13" t="str" cm="1">
        <f t="array" ref="X401">_xlfn.IFS(W401 = 0, "0", W401&lt;=20, "até R$20",W401&lt;=40, "21 - R$40",W401&lt;=60, "41- R$60",W401&lt;=80, "61 - R$80", W401&lt;=100, "81 - R$100",W401&lt;=120, "101 - R$120",W401&lt;=140, "121 - R$140", W401&lt;=160, "141- R$160", W401&lt;=180, "161 - R$180", W401&lt;=200, "181-R$194")</f>
        <v>0</v>
      </c>
      <c r="Y401" s="13">
        <v>275</v>
      </c>
      <c r="Z401" s="13">
        <v>45</v>
      </c>
      <c r="AA401" s="13">
        <v>45</v>
      </c>
      <c r="AB401" s="13">
        <v>126</v>
      </c>
      <c r="AC401" s="13">
        <v>1</v>
      </c>
      <c r="AD401" s="13">
        <v>4</v>
      </c>
      <c r="AE401" s="13">
        <v>8</v>
      </c>
      <c r="AF401" s="13">
        <v>5</v>
      </c>
      <c r="AG401" s="13">
        <v>3</v>
      </c>
      <c r="AH401" s="13">
        <v>0</v>
      </c>
      <c r="AI401" s="13">
        <v>0</v>
      </c>
      <c r="AJ401" s="13">
        <v>0</v>
      </c>
      <c r="AK401" s="13">
        <v>0</v>
      </c>
      <c r="AL401" s="13">
        <v>0</v>
      </c>
      <c r="AM401" s="13">
        <v>0</v>
      </c>
      <c r="AN401" s="13">
        <v>0</v>
      </c>
      <c r="AO401" s="14">
        <v>0</v>
      </c>
      <c r="AP401" s="13">
        <v>3</v>
      </c>
      <c r="AQ401" s="13">
        <v>11</v>
      </c>
      <c r="AR401" s="15">
        <v>1031</v>
      </c>
      <c r="AS401" s="15">
        <v>1157</v>
      </c>
    </row>
    <row r="402" spans="1:45" x14ac:dyDescent="0.25">
      <c r="A402">
        <v>212</v>
      </c>
      <c r="B402" s="11">
        <f t="shared" si="6"/>
        <v>63887</v>
      </c>
      <c r="C402" s="12">
        <v>638870</v>
      </c>
      <c r="D402" s="13">
        <v>0</v>
      </c>
      <c r="E402" s="13">
        <v>1</v>
      </c>
      <c r="F402" s="13">
        <v>38</v>
      </c>
      <c r="G402" s="13">
        <v>58</v>
      </c>
      <c r="H402" s="13" t="str" cm="1">
        <f t="array" ref="H402">_xlfn.IFS(G402&lt;=20,"0-20",G402&lt;=30,"20-30",G402&lt;=40,"30-40",G402&lt;=50,"50-60",G402&lt;=60,"60-70",G402&lt;=70,"70-80",G402&lt;=80,"80-90")</f>
        <v>60-70</v>
      </c>
      <c r="I402" s="13">
        <v>2818</v>
      </c>
      <c r="J402" s="13" t="str" cm="1">
        <f t="array" ref="J402">_xlfn.IFS(K402=1,"Divorciado",L402=1,"Casado",M402=1,"Solteiro",N402=1,"Juntos",O402=1,"Viuvo")</f>
        <v>Divorciado</v>
      </c>
      <c r="K402" s="13">
        <v>1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1</v>
      </c>
      <c r="S402" s="13">
        <v>0</v>
      </c>
      <c r="T402" s="13">
        <v>0</v>
      </c>
      <c r="U402" s="13">
        <v>897</v>
      </c>
      <c r="V402" s="13" t="str" cm="1">
        <f t="array" ref="V402">_xlfn.IFS(U402&lt;=250,"0-R$250",U402&lt;=500,"251-R$500",U402&lt;=750,"501-R$750",U402&lt;=1000,"751-R$1000",U402&lt;=1250,"1001-R$1250",U402&lt;=1500,"1251-R$1500")</f>
        <v>751-R$1000</v>
      </c>
      <c r="W402" s="13">
        <v>23</v>
      </c>
      <c r="X402" s="13" t="str" cm="1">
        <f t="array" ref="X402">_xlfn.IFS(W402 = 0, "0", W402&lt;=20, "até R$20",W402&lt;=40, "21 - R$40",W402&lt;=60, "41- R$60",W402&lt;=80, "61 - R$80", W402&lt;=100, "81 - R$100",W402&lt;=120, "101 - R$120",W402&lt;=140, "121 - R$140", W402&lt;=160, "141- R$160", W402&lt;=180, "161 - R$180", W402&lt;=200, "181-R$194")</f>
        <v>21 - R$40</v>
      </c>
      <c r="Y402" s="13">
        <v>207</v>
      </c>
      <c r="Z402" s="13">
        <v>15</v>
      </c>
      <c r="AA402" s="13">
        <v>11</v>
      </c>
      <c r="AB402" s="13">
        <v>92</v>
      </c>
      <c r="AC402" s="13">
        <v>5</v>
      </c>
      <c r="AD402" s="13">
        <v>9</v>
      </c>
      <c r="AE402" s="13">
        <v>6</v>
      </c>
      <c r="AF402" s="13">
        <v>12</v>
      </c>
      <c r="AG402" s="13">
        <v>6</v>
      </c>
      <c r="AH402" s="13">
        <v>0</v>
      </c>
      <c r="AI402" s="13">
        <v>0</v>
      </c>
      <c r="AJ402" s="13">
        <v>0</v>
      </c>
      <c r="AK402" s="13">
        <v>0</v>
      </c>
      <c r="AL402" s="13">
        <v>0</v>
      </c>
      <c r="AM402" s="13">
        <v>0</v>
      </c>
      <c r="AN402" s="13">
        <v>0</v>
      </c>
      <c r="AO402" s="14">
        <v>0</v>
      </c>
      <c r="AP402" s="13">
        <v>3</v>
      </c>
      <c r="AQ402" s="13">
        <v>11</v>
      </c>
      <c r="AR402" s="15">
        <v>1061</v>
      </c>
      <c r="AS402" s="15">
        <v>1153</v>
      </c>
    </row>
    <row r="403" spans="1:45" x14ac:dyDescent="0.25">
      <c r="A403">
        <v>951</v>
      </c>
      <c r="B403" s="11">
        <f t="shared" si="6"/>
        <v>84219</v>
      </c>
      <c r="C403" s="16">
        <v>842190</v>
      </c>
      <c r="D403" s="17">
        <v>0</v>
      </c>
      <c r="E403" s="17">
        <v>0</v>
      </c>
      <c r="F403" s="17">
        <v>27</v>
      </c>
      <c r="G403" s="17">
        <v>32</v>
      </c>
      <c r="H403" s="13" t="str" cm="1">
        <f t="array" ref="H403">_xlfn.IFS(G403&lt;=20,"0-20",G403&lt;=30,"20-30",G403&lt;=40,"30-40",G403&lt;=50,"50-60",G403&lt;=60,"60-70",G403&lt;=70,"70-80",G403&lt;=80,"80-90")</f>
        <v>30-40</v>
      </c>
      <c r="I403" s="17">
        <v>2306</v>
      </c>
      <c r="J403" s="13" t="str" cm="1">
        <f t="array" ref="J403">_xlfn.IFS(K403=1,"Divorciado",L403=1,"Casado",M403=1,"Solteiro",N403=1,"Juntos",O403=1,"Viuvo")</f>
        <v>Casado</v>
      </c>
      <c r="K403" s="17">
        <v>0</v>
      </c>
      <c r="L403" s="17">
        <v>1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1</v>
      </c>
      <c r="S403" s="17">
        <v>0</v>
      </c>
      <c r="T403" s="17">
        <v>0</v>
      </c>
      <c r="U403" s="17">
        <v>434</v>
      </c>
      <c r="V403" s="13" t="str" cm="1">
        <f t="array" ref="V403">_xlfn.IFS(U403&lt;=250,"0-R$250",U403&lt;=500,"251-R$500",U403&lt;=750,"501-R$750",U403&lt;=1000,"751-R$1000",U403&lt;=1250,"1001-R$1250",U403&lt;=1500,"1251-R$1500")</f>
        <v>251-R$500</v>
      </c>
      <c r="W403" s="17">
        <v>137</v>
      </c>
      <c r="X403" s="13" t="str" cm="1">
        <f t="array" ref="X403">_xlfn.IFS(W403 = 0, "0", W403&lt;=20, "até R$20",W403&lt;=40, "21 - R$40",W403&lt;=60, "41- R$60",W403&lt;=80, "61 - R$80", W403&lt;=100, "81 - R$100",W403&lt;=120, "101 - R$120",W403&lt;=140, "121 - R$140", W403&lt;=160, "141- R$160", W403&lt;=180, "161 - R$180", W403&lt;=200, "181-R$194")</f>
        <v>121 - R$140</v>
      </c>
      <c r="Y403" s="17">
        <v>400</v>
      </c>
      <c r="Z403" s="17">
        <v>45</v>
      </c>
      <c r="AA403" s="17">
        <v>137</v>
      </c>
      <c r="AB403" s="17">
        <v>45</v>
      </c>
      <c r="AC403" s="17">
        <v>1</v>
      </c>
      <c r="AD403" s="17">
        <v>3</v>
      </c>
      <c r="AE403" s="17">
        <v>4</v>
      </c>
      <c r="AF403" s="17">
        <v>10</v>
      </c>
      <c r="AG403" s="17">
        <v>1</v>
      </c>
      <c r="AH403" s="17">
        <v>0</v>
      </c>
      <c r="AI403" s="17">
        <v>0</v>
      </c>
      <c r="AJ403" s="17">
        <v>0</v>
      </c>
      <c r="AK403" s="17">
        <v>0</v>
      </c>
      <c r="AL403" s="17">
        <v>0</v>
      </c>
      <c r="AM403" s="17">
        <v>0</v>
      </c>
      <c r="AN403" s="17">
        <v>0</v>
      </c>
      <c r="AO403" s="18">
        <v>0</v>
      </c>
      <c r="AP403" s="17">
        <v>3</v>
      </c>
      <c r="AQ403" s="17">
        <v>11</v>
      </c>
      <c r="AR403" s="19">
        <v>1108</v>
      </c>
      <c r="AS403" s="19">
        <v>1153</v>
      </c>
    </row>
    <row r="404" spans="1:45" x14ac:dyDescent="0.25">
      <c r="A404">
        <v>1486</v>
      </c>
      <c r="B404" s="11">
        <f t="shared" si="6"/>
        <v>84219</v>
      </c>
      <c r="C404" s="12">
        <v>842190</v>
      </c>
      <c r="D404" s="13">
        <v>0</v>
      </c>
      <c r="E404" s="13">
        <v>0</v>
      </c>
      <c r="F404" s="13">
        <v>27</v>
      </c>
      <c r="G404" s="13">
        <v>32</v>
      </c>
      <c r="H404" s="13" t="str" cm="1">
        <f t="array" ref="H404">_xlfn.IFS(G404&lt;=20,"0-20",G404&lt;=30,"20-30",G404&lt;=40,"30-40",G404&lt;=50,"50-60",G404&lt;=60,"60-70",G404&lt;=70,"70-80",G404&lt;=80,"80-90")</f>
        <v>30-40</v>
      </c>
      <c r="I404" s="13">
        <v>2306</v>
      </c>
      <c r="J404" s="13" t="str" cm="1">
        <f t="array" ref="J404">_xlfn.IFS(K404=1,"Divorciado",L404=1,"Casado",M404=1,"Solteiro",N404=1,"Juntos",O404=1,"Viuvo")</f>
        <v>Casado</v>
      </c>
      <c r="K404" s="13">
        <v>0</v>
      </c>
      <c r="L404" s="13">
        <v>1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13">
        <v>1</v>
      </c>
      <c r="S404" s="13">
        <v>0</v>
      </c>
      <c r="T404" s="13">
        <v>0</v>
      </c>
      <c r="U404" s="13">
        <v>434</v>
      </c>
      <c r="V404" s="13" t="str" cm="1">
        <f t="array" ref="V404">_xlfn.IFS(U404&lt;=250,"0-R$250",U404&lt;=500,"251-R$500",U404&lt;=750,"501-R$750",U404&lt;=1000,"751-R$1000",U404&lt;=1250,"1001-R$1250",U404&lt;=1500,"1251-R$1500")</f>
        <v>251-R$500</v>
      </c>
      <c r="W404" s="13">
        <v>137</v>
      </c>
      <c r="X404" s="13" t="str" cm="1">
        <f t="array" ref="X404">_xlfn.IFS(W404 = 0, "0", W404&lt;=20, "até R$20",W404&lt;=40, "21 - R$40",W404&lt;=60, "41- R$60",W404&lt;=80, "61 - R$80", W404&lt;=100, "81 - R$100",W404&lt;=120, "101 - R$120",W404&lt;=140, "121 - R$140", W404&lt;=160, "141- R$160", W404&lt;=180, "161 - R$180", W404&lt;=200, "181-R$194")</f>
        <v>121 - R$140</v>
      </c>
      <c r="Y404" s="13">
        <v>400</v>
      </c>
      <c r="Z404" s="13">
        <v>45</v>
      </c>
      <c r="AA404" s="13">
        <v>137</v>
      </c>
      <c r="AB404" s="13">
        <v>45</v>
      </c>
      <c r="AC404" s="13">
        <v>1</v>
      </c>
      <c r="AD404" s="13">
        <v>3</v>
      </c>
      <c r="AE404" s="13">
        <v>4</v>
      </c>
      <c r="AF404" s="13">
        <v>10</v>
      </c>
      <c r="AG404" s="13">
        <v>1</v>
      </c>
      <c r="AH404" s="13">
        <v>0</v>
      </c>
      <c r="AI404" s="13">
        <v>0</v>
      </c>
      <c r="AJ404" s="13">
        <v>0</v>
      </c>
      <c r="AK404" s="13">
        <v>0</v>
      </c>
      <c r="AL404" s="13">
        <v>0</v>
      </c>
      <c r="AM404" s="13">
        <v>0</v>
      </c>
      <c r="AN404" s="13">
        <v>0</v>
      </c>
      <c r="AO404" s="14">
        <v>0</v>
      </c>
      <c r="AP404" s="13">
        <v>3</v>
      </c>
      <c r="AQ404" s="13">
        <v>11</v>
      </c>
      <c r="AR404" s="15">
        <v>1108</v>
      </c>
      <c r="AS404" s="15">
        <v>1153</v>
      </c>
    </row>
    <row r="405" spans="1:45" x14ac:dyDescent="0.25">
      <c r="A405">
        <v>292</v>
      </c>
      <c r="B405" s="11">
        <f t="shared" si="6"/>
        <v>80950</v>
      </c>
      <c r="C405" s="12">
        <v>809500</v>
      </c>
      <c r="D405" s="13">
        <v>0</v>
      </c>
      <c r="E405" s="13">
        <v>0</v>
      </c>
      <c r="F405" s="13">
        <v>44</v>
      </c>
      <c r="G405" s="13">
        <v>59</v>
      </c>
      <c r="H405" s="13" t="str" cm="1">
        <f t="array" ref="H405">_xlfn.IFS(G405&lt;=20,"0-20",G405&lt;=30,"20-30",G405&lt;=40,"30-40",G405&lt;=50,"50-60",G405&lt;=60,"60-70",G405&lt;=70,"70-80",G405&lt;=80,"80-90")</f>
        <v>60-70</v>
      </c>
      <c r="I405" s="13">
        <v>2617</v>
      </c>
      <c r="J405" s="13" t="str" cm="1">
        <f t="array" ref="J405">_xlfn.IFS(K405=1,"Divorciado",L405=1,"Casado",M405=1,"Solteiro",N405=1,"Juntos",O405=1,"Viuvo")</f>
        <v>Casado</v>
      </c>
      <c r="K405" s="13">
        <v>0</v>
      </c>
      <c r="L405" s="13">
        <v>1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1</v>
      </c>
      <c r="T405" s="13">
        <v>0</v>
      </c>
      <c r="U405" s="13">
        <v>525</v>
      </c>
      <c r="V405" s="13" t="str" cm="1">
        <f t="array" ref="V405">_xlfn.IFS(U405&lt;=250,"0-R$250",U405&lt;=500,"251-R$500",U405&lt;=750,"501-R$750",U405&lt;=1000,"751-R$1000",U405&lt;=1250,"1001-R$1250",U405&lt;=1500,"1251-R$1500")</f>
        <v>501-R$750</v>
      </c>
      <c r="W405" s="13">
        <v>147</v>
      </c>
      <c r="X405" s="13" t="str" cm="1">
        <f t="array" ref="X405">_xlfn.IFS(W405 = 0, "0", W405&lt;=20, "até R$20",W405&lt;=40, "21 - R$40",W405&lt;=60, "41- R$60",W405&lt;=80, "61 - R$80", W405&lt;=100, "81 - R$100",W405&lt;=120, "101 - R$120",W405&lt;=140, "121 - R$140", W405&lt;=160, "141- R$160", W405&lt;=180, "161 - R$180", W405&lt;=200, "181-R$194")</f>
        <v>141- R$160</v>
      </c>
      <c r="Y405" s="13">
        <v>112</v>
      </c>
      <c r="Z405" s="13">
        <v>219</v>
      </c>
      <c r="AA405" s="13">
        <v>147</v>
      </c>
      <c r="AB405" s="13">
        <v>63</v>
      </c>
      <c r="AC405" s="13">
        <v>1</v>
      </c>
      <c r="AD405" s="13">
        <v>6</v>
      </c>
      <c r="AE405" s="13">
        <v>7</v>
      </c>
      <c r="AF405" s="13">
        <v>9</v>
      </c>
      <c r="AG405" s="13">
        <v>2</v>
      </c>
      <c r="AH405" s="13">
        <v>0</v>
      </c>
      <c r="AI405" s="13">
        <v>0</v>
      </c>
      <c r="AJ405" s="13">
        <v>0</v>
      </c>
      <c r="AK405" s="13">
        <v>0</v>
      </c>
      <c r="AL405" s="13">
        <v>1</v>
      </c>
      <c r="AM405" s="13">
        <v>0</v>
      </c>
      <c r="AN405" s="13">
        <v>0</v>
      </c>
      <c r="AO405" s="14">
        <v>1</v>
      </c>
      <c r="AP405" s="13">
        <v>3</v>
      </c>
      <c r="AQ405" s="13">
        <v>11</v>
      </c>
      <c r="AR405" s="15">
        <v>1087</v>
      </c>
      <c r="AS405" s="15">
        <v>1150</v>
      </c>
    </row>
    <row r="406" spans="1:45" x14ac:dyDescent="0.25">
      <c r="A406">
        <v>730</v>
      </c>
      <c r="B406" s="11">
        <f t="shared" si="6"/>
        <v>63564</v>
      </c>
      <c r="C406" s="12">
        <v>635640</v>
      </c>
      <c r="D406" s="13">
        <v>0</v>
      </c>
      <c r="E406" s="13">
        <v>0</v>
      </c>
      <c r="F406" s="13">
        <v>0</v>
      </c>
      <c r="G406" s="13">
        <v>66</v>
      </c>
      <c r="H406" s="13" t="str" cm="1">
        <f t="array" ref="H406">_xlfn.IFS(G406&lt;=20,"0-20",G406&lt;=30,"20-30",G406&lt;=40,"30-40",G406&lt;=50,"50-60",G406&lt;=60,"60-70",G406&lt;=70,"70-80",G406&lt;=80,"80-90")</f>
        <v>70-80</v>
      </c>
      <c r="I406" s="13">
        <v>2310</v>
      </c>
      <c r="J406" s="13" t="str" cm="1">
        <f t="array" ref="J406">_xlfn.IFS(K406=1,"Divorciado",L406=1,"Casado",M406=1,"Solteiro",N406=1,"Juntos",O406=1,"Viuvo")</f>
        <v>Casado</v>
      </c>
      <c r="K406" s="13">
        <v>0</v>
      </c>
      <c r="L406" s="13">
        <v>1</v>
      </c>
      <c r="M406" s="13">
        <v>0</v>
      </c>
      <c r="N406" s="13">
        <v>0</v>
      </c>
      <c r="O406" s="13">
        <v>0</v>
      </c>
      <c r="P406" s="13">
        <v>1</v>
      </c>
      <c r="Q406" s="13">
        <v>0</v>
      </c>
      <c r="R406" s="13">
        <v>0</v>
      </c>
      <c r="S406" s="13">
        <v>0</v>
      </c>
      <c r="T406" s="13">
        <v>0</v>
      </c>
      <c r="U406" s="13">
        <v>769</v>
      </c>
      <c r="V406" s="13" t="str" cm="1">
        <f t="array" ref="V406">_xlfn.IFS(U406&lt;=250,"0-R$250",U406&lt;=500,"251-R$500",U406&lt;=750,"501-R$750",U406&lt;=1000,"751-R$1000",U406&lt;=1250,"1001-R$1250",U406&lt;=1500,"1251-R$1500")</f>
        <v>751-R$1000</v>
      </c>
      <c r="W406" s="13">
        <v>80</v>
      </c>
      <c r="X406" s="13" t="str" cm="1">
        <f t="array" ref="X406">_xlfn.IFS(W406 = 0, "0", W406&lt;=20, "até R$20",W406&lt;=40, "21 - R$40",W406&lt;=60, "41- R$60",W406&lt;=80, "61 - R$80", W406&lt;=100, "81 - R$100",W406&lt;=120, "101 - R$120",W406&lt;=140, "121 - R$140", W406&lt;=160, "141- R$160", W406&lt;=180, "161 - R$180", W406&lt;=200, "181-R$194")</f>
        <v>61 - R$80</v>
      </c>
      <c r="Y406" s="13">
        <v>252</v>
      </c>
      <c r="Z406" s="13">
        <v>15</v>
      </c>
      <c r="AA406" s="13">
        <v>34</v>
      </c>
      <c r="AB406" s="13">
        <v>65</v>
      </c>
      <c r="AC406" s="13">
        <v>1</v>
      </c>
      <c r="AD406" s="13">
        <v>10</v>
      </c>
      <c r="AE406" s="13">
        <v>10</v>
      </c>
      <c r="AF406" s="13">
        <v>7</v>
      </c>
      <c r="AG406" s="13">
        <v>6</v>
      </c>
      <c r="AH406" s="13">
        <v>0</v>
      </c>
      <c r="AI406" s="13">
        <v>1</v>
      </c>
      <c r="AJ406" s="13">
        <v>0</v>
      </c>
      <c r="AK406" s="13">
        <v>0</v>
      </c>
      <c r="AL406" s="13">
        <v>0</v>
      </c>
      <c r="AM406" s="13">
        <v>0</v>
      </c>
      <c r="AN406" s="13">
        <v>1</v>
      </c>
      <c r="AO406" s="14">
        <v>1</v>
      </c>
      <c r="AP406" s="13">
        <v>3</v>
      </c>
      <c r="AQ406" s="13">
        <v>11</v>
      </c>
      <c r="AR406" s="15">
        <v>1085</v>
      </c>
      <c r="AS406" s="15">
        <v>1150</v>
      </c>
    </row>
    <row r="407" spans="1:45" x14ac:dyDescent="0.25">
      <c r="A407">
        <v>1178</v>
      </c>
      <c r="B407" s="11">
        <f t="shared" si="6"/>
        <v>70091</v>
      </c>
      <c r="C407" s="12">
        <v>700910</v>
      </c>
      <c r="D407" s="13">
        <v>1</v>
      </c>
      <c r="E407" s="13">
        <v>0</v>
      </c>
      <c r="F407" s="13">
        <v>11</v>
      </c>
      <c r="G407" s="13">
        <v>51</v>
      </c>
      <c r="H407" s="13" t="str" cm="1">
        <f t="array" ref="H407">_xlfn.IFS(G407&lt;=20,"0-20",G407&lt;=30,"20-30",G407&lt;=40,"30-40",G407&lt;=50,"50-60",G407&lt;=60,"60-70",G407&lt;=70,"70-80",G407&lt;=80,"80-90")</f>
        <v>60-70</v>
      </c>
      <c r="I407" s="13">
        <v>2614</v>
      </c>
      <c r="J407" s="13" t="str" cm="1">
        <f t="array" ref="J407">_xlfn.IFS(K407=1,"Divorciado",L407=1,"Casado",M407=1,"Solteiro",N407=1,"Juntos",O407=1,"Viuvo")</f>
        <v>Casado</v>
      </c>
      <c r="K407" s="13">
        <v>0</v>
      </c>
      <c r="L407" s="13">
        <v>1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1</v>
      </c>
      <c r="T407" s="13">
        <v>0</v>
      </c>
      <c r="U407" s="13">
        <v>964</v>
      </c>
      <c r="V407" s="13" t="str" cm="1">
        <f t="array" ref="V407">_xlfn.IFS(U407&lt;=250,"0-R$250",U407&lt;=500,"251-R$500",U407&lt;=750,"501-R$750",U407&lt;=1000,"751-R$1000",U407&lt;=1250,"1001-R$1250",U407&lt;=1500,"1251-R$1500")</f>
        <v>751-R$1000</v>
      </c>
      <c r="W407" s="13">
        <v>34</v>
      </c>
      <c r="X407" s="13" t="str" cm="1">
        <f t="array" ref="X407">_xlfn.IFS(W407 = 0, "0", W407&lt;=20, "até R$20",W407&lt;=40, "21 - R$40",W407&lt;=60, "41- R$60",W407&lt;=80, "61 - R$80", W407&lt;=100, "81 - R$100",W407&lt;=120, "101 - R$120",W407&lt;=140, "121 - R$140", W407&lt;=160, "141- R$160", W407&lt;=180, "161 - R$180", W407&lt;=200, "181-R$194")</f>
        <v>21 - R$40</v>
      </c>
      <c r="Y407" s="13">
        <v>137</v>
      </c>
      <c r="Z407" s="13">
        <v>15</v>
      </c>
      <c r="AA407" s="13">
        <v>0</v>
      </c>
      <c r="AB407" s="13">
        <v>11</v>
      </c>
      <c r="AC407" s="13">
        <v>2</v>
      </c>
      <c r="AD407" s="13">
        <v>5</v>
      </c>
      <c r="AE407" s="13">
        <v>2</v>
      </c>
      <c r="AF407" s="13">
        <v>10</v>
      </c>
      <c r="AG407" s="13">
        <v>8</v>
      </c>
      <c r="AH407" s="13">
        <v>0</v>
      </c>
      <c r="AI407" s="13">
        <v>0</v>
      </c>
      <c r="AJ407" s="13">
        <v>1</v>
      </c>
      <c r="AK407" s="13">
        <v>0</v>
      </c>
      <c r="AL407" s="13">
        <v>0</v>
      </c>
      <c r="AM407" s="13">
        <v>0</v>
      </c>
      <c r="AN407" s="13">
        <v>0</v>
      </c>
      <c r="AO407" s="14">
        <v>1</v>
      </c>
      <c r="AP407" s="13">
        <v>3</v>
      </c>
      <c r="AQ407" s="13">
        <v>11</v>
      </c>
      <c r="AR407" s="15">
        <v>1139</v>
      </c>
      <c r="AS407" s="15">
        <v>1150</v>
      </c>
    </row>
    <row r="408" spans="1:45" x14ac:dyDescent="0.25">
      <c r="A408">
        <v>1070</v>
      </c>
      <c r="B408" s="11">
        <f t="shared" si="6"/>
        <v>71691</v>
      </c>
      <c r="C408" s="12">
        <v>716910</v>
      </c>
      <c r="D408" s="13">
        <v>0</v>
      </c>
      <c r="E408" s="13">
        <v>0</v>
      </c>
      <c r="F408" s="13">
        <v>0</v>
      </c>
      <c r="G408" s="13">
        <v>62</v>
      </c>
      <c r="H408" s="13" t="str" cm="1">
        <f t="array" ref="H408">_xlfn.IFS(G408&lt;=20,"0-20",G408&lt;=30,"20-30",G408&lt;=40,"30-40",G408&lt;=50,"50-60",G408&lt;=60,"60-70",G408&lt;=70,"70-80",G408&lt;=80,"80-90")</f>
        <v>70-80</v>
      </c>
      <c r="I408" s="13">
        <v>2263</v>
      </c>
      <c r="J408" s="13" t="str" cm="1">
        <f t="array" ref="J408">_xlfn.IFS(K408=1,"Divorciado",L408=1,"Casado",M408=1,"Solteiro",N408=1,"Juntos",O408=1,"Viuvo")</f>
        <v>Solteiro</v>
      </c>
      <c r="K408" s="13">
        <v>0</v>
      </c>
      <c r="L408" s="13">
        <v>0</v>
      </c>
      <c r="M408" s="13">
        <v>1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1</v>
      </c>
      <c r="U408" s="13">
        <v>336</v>
      </c>
      <c r="V408" s="13" t="str" cm="1">
        <f t="array" ref="V408">_xlfn.IFS(U408&lt;=250,"0-R$250",U408&lt;=500,"251-R$500",U408&lt;=750,"501-R$750",U408&lt;=1000,"751-R$1000",U408&lt;=1250,"1001-R$1250",U408&lt;=1500,"1251-R$1500")</f>
        <v>251-R$500</v>
      </c>
      <c r="W408" s="13">
        <v>130</v>
      </c>
      <c r="X408" s="13" t="str" cm="1">
        <f t="array" ref="X408">_xlfn.IFS(W408 = 0, "0", W408&lt;=20, "até R$20",W408&lt;=40, "21 - R$40",W408&lt;=60, "41- R$60",W408&lt;=80, "61 - R$80", W408&lt;=100, "81 - R$100",W408&lt;=120, "101 - R$120",W408&lt;=140, "121 - R$140", W408&lt;=160, "141- R$160", W408&lt;=180, "161 - R$180", W408&lt;=200, "181-R$194")</f>
        <v>121 - R$140</v>
      </c>
      <c r="Y408" s="13">
        <v>411</v>
      </c>
      <c r="Z408" s="13">
        <v>240</v>
      </c>
      <c r="AA408" s="13">
        <v>32</v>
      </c>
      <c r="AB408" s="13">
        <v>43</v>
      </c>
      <c r="AC408" s="13">
        <v>1</v>
      </c>
      <c r="AD408" s="13">
        <v>4</v>
      </c>
      <c r="AE408" s="13">
        <v>7</v>
      </c>
      <c r="AF408" s="13">
        <v>5</v>
      </c>
      <c r="AG408" s="13">
        <v>2</v>
      </c>
      <c r="AH408" s="13">
        <v>0</v>
      </c>
      <c r="AI408" s="13">
        <v>0</v>
      </c>
      <c r="AJ408" s="13">
        <v>0</v>
      </c>
      <c r="AK408" s="13">
        <v>0</v>
      </c>
      <c r="AL408" s="13">
        <v>0</v>
      </c>
      <c r="AM408" s="13">
        <v>0</v>
      </c>
      <c r="AN408" s="13">
        <v>1</v>
      </c>
      <c r="AO408" s="14">
        <v>0</v>
      </c>
      <c r="AP408" s="13">
        <v>3</v>
      </c>
      <c r="AQ408" s="13">
        <v>11</v>
      </c>
      <c r="AR408" s="15">
        <v>1106</v>
      </c>
      <c r="AS408" s="15">
        <v>1149</v>
      </c>
    </row>
    <row r="409" spans="1:45" x14ac:dyDescent="0.25">
      <c r="A409">
        <v>326</v>
      </c>
      <c r="B409" s="11">
        <f t="shared" si="6"/>
        <v>55212</v>
      </c>
      <c r="C409" s="12">
        <v>552120</v>
      </c>
      <c r="D409" s="13">
        <v>0</v>
      </c>
      <c r="E409" s="13">
        <v>1</v>
      </c>
      <c r="F409" s="13">
        <v>65</v>
      </c>
      <c r="G409" s="13">
        <v>51</v>
      </c>
      <c r="H409" s="13" t="str" cm="1">
        <f t="array" ref="H409">_xlfn.IFS(G409&lt;=20,"0-20",G409&lt;=30,"20-30",G409&lt;=40,"30-40",G409&lt;=50,"50-60",G409&lt;=60,"60-70",G409&lt;=70,"70-80",G409&lt;=80,"80-90")</f>
        <v>60-70</v>
      </c>
      <c r="I409" s="13">
        <v>2742</v>
      </c>
      <c r="J409" s="13" t="str" cm="1">
        <f t="array" ref="J409">_xlfn.IFS(K409=1,"Divorciado",L409=1,"Casado",M409=1,"Solteiro",N409=1,"Juntos",O409=1,"Viuvo")</f>
        <v>Casado</v>
      </c>
      <c r="K409" s="13">
        <v>0</v>
      </c>
      <c r="L409" s="13">
        <v>1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0</v>
      </c>
      <c r="T409" s="13">
        <v>1</v>
      </c>
      <c r="U409" s="13">
        <v>1103</v>
      </c>
      <c r="V409" s="13" t="str" cm="1">
        <f t="array" ref="V409">_xlfn.IFS(U409&lt;=250,"0-R$250",U409&lt;=500,"251-R$500",U409&lt;=750,"501-R$750",U409&lt;=1000,"751-R$1000",U409&lt;=1250,"1001-R$1250",U409&lt;=1500,"1251-R$1500")</f>
        <v>1001-R$1250</v>
      </c>
      <c r="W409" s="13">
        <v>0</v>
      </c>
      <c r="X409" s="13" t="str" cm="1">
        <f t="array" ref="X409">_xlfn.IFS(W409 = 0, "0", W409&lt;=20, "até R$20",W409&lt;=40, "21 - R$40",W409&lt;=60, "41- R$60",W409&lt;=80, "61 - R$80", W409&lt;=100, "81 - R$100",W409&lt;=120, "101 - R$120",W409&lt;=140, "121 - R$140", W409&lt;=160, "141- R$160", W409&lt;=180, "161 - R$180", W409&lt;=200, "181-R$194")</f>
        <v>0</v>
      </c>
      <c r="Y409" s="13">
        <v>45</v>
      </c>
      <c r="Z409" s="13">
        <v>0</v>
      </c>
      <c r="AA409" s="13">
        <v>0</v>
      </c>
      <c r="AB409" s="13">
        <v>34</v>
      </c>
      <c r="AC409" s="13">
        <v>3</v>
      </c>
      <c r="AD409" s="13">
        <v>4</v>
      </c>
      <c r="AE409" s="13">
        <v>2</v>
      </c>
      <c r="AF409" s="13">
        <v>11</v>
      </c>
      <c r="AG409" s="13">
        <v>8</v>
      </c>
      <c r="AH409" s="13">
        <v>0</v>
      </c>
      <c r="AI409" s="13">
        <v>0</v>
      </c>
      <c r="AJ409" s="13">
        <v>1</v>
      </c>
      <c r="AK409" s="13">
        <v>0</v>
      </c>
      <c r="AL409" s="13">
        <v>0</v>
      </c>
      <c r="AM409" s="13">
        <v>1</v>
      </c>
      <c r="AN409" s="13">
        <v>0</v>
      </c>
      <c r="AO409" s="14">
        <v>2</v>
      </c>
      <c r="AP409" s="13">
        <v>3</v>
      </c>
      <c r="AQ409" s="13">
        <v>11</v>
      </c>
      <c r="AR409" s="15">
        <v>1114</v>
      </c>
      <c r="AS409" s="15">
        <v>1148</v>
      </c>
    </row>
    <row r="410" spans="1:45" x14ac:dyDescent="0.25">
      <c r="A410">
        <v>1901</v>
      </c>
      <c r="B410" s="11">
        <f t="shared" si="6"/>
        <v>55212</v>
      </c>
      <c r="C410" s="16">
        <v>552120</v>
      </c>
      <c r="D410" s="17">
        <v>0</v>
      </c>
      <c r="E410" s="17">
        <v>1</v>
      </c>
      <c r="F410" s="17">
        <v>65</v>
      </c>
      <c r="G410" s="17">
        <v>51</v>
      </c>
      <c r="H410" s="13" t="str" cm="1">
        <f t="array" ref="H410">_xlfn.IFS(G410&lt;=20,"0-20",G410&lt;=30,"20-30",G410&lt;=40,"30-40",G410&lt;=50,"50-60",G410&lt;=60,"60-70",G410&lt;=70,"70-80",G410&lt;=80,"80-90")</f>
        <v>60-70</v>
      </c>
      <c r="I410" s="17">
        <v>2742</v>
      </c>
      <c r="J410" s="13" t="str" cm="1">
        <f t="array" ref="J410">_xlfn.IFS(K410=1,"Divorciado",L410=1,"Casado",M410=1,"Solteiro",N410=1,"Juntos",O410=1,"Viuvo")</f>
        <v>Casado</v>
      </c>
      <c r="K410" s="17">
        <v>0</v>
      </c>
      <c r="L410" s="17">
        <v>1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1</v>
      </c>
      <c r="U410" s="17">
        <v>1103</v>
      </c>
      <c r="V410" s="13" t="str" cm="1">
        <f t="array" ref="V410">_xlfn.IFS(U410&lt;=250,"0-R$250",U410&lt;=500,"251-R$500",U410&lt;=750,"501-R$750",U410&lt;=1000,"751-R$1000",U410&lt;=1250,"1001-R$1250",U410&lt;=1500,"1251-R$1500")</f>
        <v>1001-R$1250</v>
      </c>
      <c r="W410" s="17">
        <v>0</v>
      </c>
      <c r="X410" s="13" t="str" cm="1">
        <f t="array" ref="X410">_xlfn.IFS(W410 = 0, "0", W410&lt;=20, "até R$20",W410&lt;=40, "21 - R$40",W410&lt;=60, "41- R$60",W410&lt;=80, "61 - R$80", W410&lt;=100, "81 - R$100",W410&lt;=120, "101 - R$120",W410&lt;=140, "121 - R$140", W410&lt;=160, "141- R$160", W410&lt;=180, "161 - R$180", W410&lt;=200, "181-R$194")</f>
        <v>0</v>
      </c>
      <c r="Y410" s="17">
        <v>45</v>
      </c>
      <c r="Z410" s="17">
        <v>0</v>
      </c>
      <c r="AA410" s="17">
        <v>0</v>
      </c>
      <c r="AB410" s="17">
        <v>34</v>
      </c>
      <c r="AC410" s="17">
        <v>3</v>
      </c>
      <c r="AD410" s="17">
        <v>4</v>
      </c>
      <c r="AE410" s="17">
        <v>2</v>
      </c>
      <c r="AF410" s="17">
        <v>11</v>
      </c>
      <c r="AG410" s="17">
        <v>8</v>
      </c>
      <c r="AH410" s="17">
        <v>0</v>
      </c>
      <c r="AI410" s="17">
        <v>0</v>
      </c>
      <c r="AJ410" s="17">
        <v>1</v>
      </c>
      <c r="AK410" s="17">
        <v>0</v>
      </c>
      <c r="AL410" s="17">
        <v>0</v>
      </c>
      <c r="AM410" s="17">
        <v>1</v>
      </c>
      <c r="AN410" s="17">
        <v>0</v>
      </c>
      <c r="AO410" s="18">
        <v>2</v>
      </c>
      <c r="AP410" s="17">
        <v>3</v>
      </c>
      <c r="AQ410" s="17">
        <v>11</v>
      </c>
      <c r="AR410" s="19">
        <v>1114</v>
      </c>
      <c r="AS410" s="19">
        <v>1148</v>
      </c>
    </row>
    <row r="411" spans="1:45" x14ac:dyDescent="0.25">
      <c r="A411">
        <v>294</v>
      </c>
      <c r="B411" s="11">
        <f t="shared" si="6"/>
        <v>77457</v>
      </c>
      <c r="C411" s="12">
        <v>774570</v>
      </c>
      <c r="D411" s="13">
        <v>0</v>
      </c>
      <c r="E411" s="13">
        <v>0</v>
      </c>
      <c r="F411" s="13">
        <v>85</v>
      </c>
      <c r="G411" s="13">
        <v>73</v>
      </c>
      <c r="H411" s="13" t="str" cm="1">
        <f t="array" ref="H411">_xlfn.IFS(G411&lt;=20,"0-20",G411&lt;=30,"20-30",G411&lt;=40,"30-40",G411&lt;=50,"50-60",G411&lt;=60,"60-70",G411&lt;=70,"70-80",G411&lt;=80,"80-90")</f>
        <v>80-90</v>
      </c>
      <c r="I411" s="13">
        <v>2275</v>
      </c>
      <c r="J411" s="13" t="str" cm="1">
        <f t="array" ref="J411">_xlfn.IFS(K411=1,"Divorciado",L411=1,"Casado",M411=1,"Solteiro",N411=1,"Juntos",O411=1,"Viuvo")</f>
        <v>Solteiro</v>
      </c>
      <c r="K411" s="13">
        <v>0</v>
      </c>
      <c r="L411" s="13">
        <v>0</v>
      </c>
      <c r="M411" s="13">
        <v>1</v>
      </c>
      <c r="N411" s="13">
        <v>0</v>
      </c>
      <c r="O411" s="13">
        <v>0</v>
      </c>
      <c r="P411" s="13">
        <v>0</v>
      </c>
      <c r="Q411" s="13">
        <v>0</v>
      </c>
      <c r="R411" s="13">
        <v>1</v>
      </c>
      <c r="S411" s="13">
        <v>0</v>
      </c>
      <c r="T411" s="13">
        <v>0</v>
      </c>
      <c r="U411" s="13">
        <v>675</v>
      </c>
      <c r="V411" s="13" t="str" cm="1">
        <f t="array" ref="V411">_xlfn.IFS(U411&lt;=250,"0-R$250",U411&lt;=500,"251-R$500",U411&lt;=750,"501-R$750",U411&lt;=1000,"751-R$1000",U411&lt;=1250,"1001-R$1250",U411&lt;=1500,"1251-R$1500")</f>
        <v>501-R$750</v>
      </c>
      <c r="W411" s="13">
        <v>11</v>
      </c>
      <c r="X411" s="13" t="str" cm="1">
        <f t="array" ref="X411">_xlfn.IFS(W411 = 0, "0", W411&lt;=20, "até R$20",W411&lt;=40, "21 - R$40",W411&lt;=60, "41- R$60",W411&lt;=80, "61 - R$80", W411&lt;=100, "81 - R$100",W411&lt;=120, "101 - R$120",W411&lt;=140, "121 - R$140", W411&lt;=160, "141- R$160", W411&lt;=180, "161 - R$180", W411&lt;=200, "181-R$194")</f>
        <v>até R$20</v>
      </c>
      <c r="Y411" s="13">
        <v>400</v>
      </c>
      <c r="Z411" s="13">
        <v>15</v>
      </c>
      <c r="AA411" s="13">
        <v>45</v>
      </c>
      <c r="AB411" s="13">
        <v>11</v>
      </c>
      <c r="AC411" s="13">
        <v>1</v>
      </c>
      <c r="AD411" s="13">
        <v>2</v>
      </c>
      <c r="AE411" s="13">
        <v>5</v>
      </c>
      <c r="AF411" s="13">
        <v>10</v>
      </c>
      <c r="AG411" s="13">
        <v>1</v>
      </c>
      <c r="AH411" s="13">
        <v>0</v>
      </c>
      <c r="AI411" s="13">
        <v>0</v>
      </c>
      <c r="AJ411" s="13">
        <v>0</v>
      </c>
      <c r="AK411" s="13">
        <v>1</v>
      </c>
      <c r="AL411" s="13">
        <v>0</v>
      </c>
      <c r="AM411" s="13">
        <v>0</v>
      </c>
      <c r="AN411" s="13">
        <v>0</v>
      </c>
      <c r="AO411" s="14">
        <v>1</v>
      </c>
      <c r="AP411" s="13">
        <v>3</v>
      </c>
      <c r="AQ411" s="13">
        <v>11</v>
      </c>
      <c r="AR411" s="15">
        <v>1135</v>
      </c>
      <c r="AS411" s="15">
        <v>1146</v>
      </c>
    </row>
    <row r="412" spans="1:45" x14ac:dyDescent="0.25">
      <c r="A412">
        <v>784</v>
      </c>
      <c r="B412" s="11">
        <f t="shared" si="6"/>
        <v>82716</v>
      </c>
      <c r="C412" s="12">
        <v>827160</v>
      </c>
      <c r="D412" s="13">
        <v>0</v>
      </c>
      <c r="E412" s="13">
        <v>0</v>
      </c>
      <c r="F412" s="13">
        <v>8</v>
      </c>
      <c r="G412" s="13">
        <v>76</v>
      </c>
      <c r="H412" s="13" t="str" cm="1">
        <f t="array" ref="H412">_xlfn.IFS(G412&lt;=20,"0-20",G412&lt;=30,"20-30",G412&lt;=40,"30-40",G412&lt;=50,"50-60",G412&lt;=60,"60-70",G412&lt;=70,"70-80",G412&lt;=80,"80-90")</f>
        <v>80-90</v>
      </c>
      <c r="I412" s="13">
        <v>2395</v>
      </c>
      <c r="J412" s="13" t="str" cm="1">
        <f t="array" ref="J412">_xlfn.IFS(K412=1,"Divorciado",L412=1,"Casado",M412=1,"Solteiro",N412=1,"Juntos",O412=1,"Viuvo")</f>
        <v>Solteiro</v>
      </c>
      <c r="K412" s="13">
        <v>0</v>
      </c>
      <c r="L412" s="13">
        <v>0</v>
      </c>
      <c r="M412" s="13">
        <v>1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1</v>
      </c>
      <c r="U412" s="13">
        <v>606</v>
      </c>
      <c r="V412" s="13" t="str" cm="1">
        <f t="array" ref="V412">_xlfn.IFS(U412&lt;=250,"0-R$250",U412&lt;=500,"251-R$500",U412&lt;=750,"501-R$750",U412&lt;=1000,"751-R$1000",U412&lt;=1250,"1001-R$1250",U412&lt;=1500,"1251-R$1500")</f>
        <v>501-R$750</v>
      </c>
      <c r="W412" s="13">
        <v>148</v>
      </c>
      <c r="X412" s="13" t="str" cm="1">
        <f t="array" ref="X412">_xlfn.IFS(W412 = 0, "0", W412&lt;=20, "até R$20",W412&lt;=40, "21 - R$40",W412&lt;=60, "41- R$60",W412&lt;=80, "61 - R$80", W412&lt;=100, "81 - R$100",W412&lt;=120, "101 - R$120",W412&lt;=140, "121 - R$140", W412&lt;=160, "141- R$160", W412&lt;=180, "161 - R$180", W412&lt;=200, "181-R$194")</f>
        <v>141- R$160</v>
      </c>
      <c r="Y412" s="13">
        <v>228</v>
      </c>
      <c r="Z412" s="13">
        <v>15</v>
      </c>
      <c r="AA412" s="13">
        <v>148</v>
      </c>
      <c r="AB412" s="13">
        <v>22</v>
      </c>
      <c r="AC412" s="13">
        <v>1</v>
      </c>
      <c r="AD412" s="13">
        <v>6</v>
      </c>
      <c r="AE412" s="13">
        <v>8</v>
      </c>
      <c r="AF412" s="13">
        <v>13</v>
      </c>
      <c r="AG412" s="13">
        <v>2</v>
      </c>
      <c r="AH412" s="13">
        <v>0</v>
      </c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3">
        <v>0</v>
      </c>
      <c r="AO412" s="14">
        <v>0</v>
      </c>
      <c r="AP412" s="13">
        <v>3</v>
      </c>
      <c r="AQ412" s="13">
        <v>11</v>
      </c>
      <c r="AR412" s="15">
        <v>1123</v>
      </c>
      <c r="AS412" s="15">
        <v>1145</v>
      </c>
    </row>
    <row r="413" spans="1:45" x14ac:dyDescent="0.25">
      <c r="A413">
        <v>202</v>
      </c>
      <c r="B413" s="11">
        <f t="shared" si="6"/>
        <v>70951</v>
      </c>
      <c r="C413" s="12">
        <v>709510</v>
      </c>
      <c r="D413" s="13">
        <v>0</v>
      </c>
      <c r="E413" s="13">
        <v>0</v>
      </c>
      <c r="F413" s="13">
        <v>66</v>
      </c>
      <c r="G413" s="13">
        <v>35</v>
      </c>
      <c r="H413" s="13" t="str" cm="1">
        <f t="array" ref="H413">_xlfn.IFS(G413&lt;=20,"0-20",G413&lt;=30,"20-30",G413&lt;=40,"30-40",G413&lt;=50,"50-60",G413&lt;=60,"60-70",G413&lt;=70,"70-80",G413&lt;=80,"80-90")</f>
        <v>30-40</v>
      </c>
      <c r="I413" s="13">
        <v>2580</v>
      </c>
      <c r="J413" s="13" t="str" cm="1">
        <f t="array" ref="J413">_xlfn.IFS(K413=1,"Divorciado",L413=1,"Casado",M413=1,"Solteiro",N413=1,"Juntos",O413=1,"Viuvo")</f>
        <v>Casado</v>
      </c>
      <c r="K413" s="13">
        <v>0</v>
      </c>
      <c r="L413" s="13">
        <v>1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1</v>
      </c>
      <c r="S413" s="13">
        <v>0</v>
      </c>
      <c r="T413" s="13">
        <v>0</v>
      </c>
      <c r="U413" s="13">
        <v>239</v>
      </c>
      <c r="V413" s="13" t="str" cm="1">
        <f t="array" ref="V413">_xlfn.IFS(U413&lt;=250,"0-R$250",U413&lt;=500,"251-R$500",U413&lt;=750,"501-R$750",U413&lt;=1000,"751-R$1000",U413&lt;=1250,"1001-R$1250",U413&lt;=1500,"1251-R$1500")</f>
        <v>0-R$250</v>
      </c>
      <c r="W413" s="13">
        <v>10</v>
      </c>
      <c r="X413" s="13" t="str" cm="1">
        <f t="array" ref="X413">_xlfn.IFS(W413 = 0, "0", W413&lt;=20, "até R$20",W413&lt;=40, "21 - R$40",W413&lt;=60, "41- R$60",W413&lt;=80, "61 - R$80", W413&lt;=100, "81 - R$100",W413&lt;=120, "101 - R$120",W413&lt;=140, "121 - R$140", W413&lt;=160, "141- R$160", W413&lt;=180, "161 - R$180", W413&lt;=200, "181-R$194")</f>
        <v>até R$20</v>
      </c>
      <c r="Y413" s="13">
        <v>554</v>
      </c>
      <c r="Z413" s="13">
        <v>254</v>
      </c>
      <c r="AA413" s="13">
        <v>87</v>
      </c>
      <c r="AB413" s="13">
        <v>54</v>
      </c>
      <c r="AC413" s="13">
        <v>1</v>
      </c>
      <c r="AD413" s="13">
        <v>3</v>
      </c>
      <c r="AE413" s="13">
        <v>4</v>
      </c>
      <c r="AF413" s="13">
        <v>9</v>
      </c>
      <c r="AG413" s="13">
        <v>1</v>
      </c>
      <c r="AH413" s="13">
        <v>0</v>
      </c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14">
        <v>0</v>
      </c>
      <c r="AP413" s="13">
        <v>3</v>
      </c>
      <c r="AQ413" s="13">
        <v>11</v>
      </c>
      <c r="AR413" s="15">
        <v>1090</v>
      </c>
      <c r="AS413" s="15">
        <v>1144</v>
      </c>
    </row>
    <row r="414" spans="1:45" x14ac:dyDescent="0.25">
      <c r="A414">
        <v>1041</v>
      </c>
      <c r="B414" s="11">
        <f t="shared" si="6"/>
        <v>62845</v>
      </c>
      <c r="C414" s="16">
        <v>628450</v>
      </c>
      <c r="D414" s="17">
        <v>1</v>
      </c>
      <c r="E414" s="17">
        <v>1</v>
      </c>
      <c r="F414" s="17">
        <v>3</v>
      </c>
      <c r="G414" s="17">
        <v>71</v>
      </c>
      <c r="H414" s="13" t="str" cm="1">
        <f t="array" ref="H414">_xlfn.IFS(G414&lt;=20,"0-20",G414&lt;=30,"20-30",G414&lt;=40,"30-40",G414&lt;=50,"50-60",G414&lt;=60,"60-70",G414&lt;=70,"70-80",G414&lt;=80,"80-90")</f>
        <v>80-90</v>
      </c>
      <c r="I414" s="17">
        <v>2795</v>
      </c>
      <c r="J414" s="13" t="str" cm="1">
        <f t="array" ref="J414">_xlfn.IFS(K414=1,"Divorciado",L414=1,"Casado",M414=1,"Solteiro",N414=1,"Juntos",O414=1,"Viuvo")</f>
        <v>Casado</v>
      </c>
      <c r="K414" s="17">
        <v>0</v>
      </c>
      <c r="L414" s="17">
        <v>1</v>
      </c>
      <c r="M414" s="17">
        <v>0</v>
      </c>
      <c r="N414" s="17">
        <v>0</v>
      </c>
      <c r="O414" s="17">
        <v>0</v>
      </c>
      <c r="P414" s="17">
        <v>0</v>
      </c>
      <c r="Q414" s="17">
        <v>0</v>
      </c>
      <c r="R414" s="17">
        <v>0</v>
      </c>
      <c r="S414" s="17">
        <v>1</v>
      </c>
      <c r="T414" s="17">
        <v>0</v>
      </c>
      <c r="U414" s="17">
        <v>1099</v>
      </c>
      <c r="V414" s="13" t="str" cm="1">
        <f t="array" ref="V414">_xlfn.IFS(U414&lt;=250,"0-R$250",U414&lt;=500,"251-R$500",U414&lt;=750,"501-R$750",U414&lt;=1000,"751-R$1000",U414&lt;=1250,"1001-R$1250",U414&lt;=1500,"1251-R$1500")</f>
        <v>1001-R$1250</v>
      </c>
      <c r="W414" s="17">
        <v>0</v>
      </c>
      <c r="X414" s="13" t="str" cm="1">
        <f t="array" ref="X414">_xlfn.IFS(W414 = 0, "0", W414&lt;=20, "até R$20",W414&lt;=40, "21 - R$40",W414&lt;=60, "41- R$60",W414&lt;=80, "61 - R$80", W414&lt;=100, "81 - R$100",W414&lt;=120, "101 - R$120",W414&lt;=140, "121 - R$140", W414&lt;=160, "141- R$160", W414&lt;=180, "161 - R$180", W414&lt;=200, "181-R$194")</f>
        <v>0</v>
      </c>
      <c r="Y414" s="17">
        <v>45</v>
      </c>
      <c r="Z414" s="17">
        <v>0</v>
      </c>
      <c r="AA414" s="17">
        <v>0</v>
      </c>
      <c r="AB414" s="17">
        <v>34</v>
      </c>
      <c r="AC414" s="17">
        <v>11</v>
      </c>
      <c r="AD414" s="17">
        <v>3</v>
      </c>
      <c r="AE414" s="17">
        <v>4</v>
      </c>
      <c r="AF414" s="17">
        <v>10</v>
      </c>
      <c r="AG414" s="17">
        <v>8</v>
      </c>
      <c r="AH414" s="17">
        <v>0</v>
      </c>
      <c r="AI414" s="17">
        <v>0</v>
      </c>
      <c r="AJ414" s="17">
        <v>1</v>
      </c>
      <c r="AK414" s="17">
        <v>0</v>
      </c>
      <c r="AL414" s="17">
        <v>0</v>
      </c>
      <c r="AM414" s="17">
        <v>0</v>
      </c>
      <c r="AN414" s="17">
        <v>0</v>
      </c>
      <c r="AO414" s="18">
        <v>1</v>
      </c>
      <c r="AP414" s="17">
        <v>3</v>
      </c>
      <c r="AQ414" s="17">
        <v>11</v>
      </c>
      <c r="AR414" s="19">
        <v>1110</v>
      </c>
      <c r="AS414" s="19">
        <v>1144</v>
      </c>
    </row>
    <row r="415" spans="1:45" x14ac:dyDescent="0.25">
      <c r="A415">
        <v>1322</v>
      </c>
      <c r="B415" s="11">
        <f t="shared" si="6"/>
        <v>62845</v>
      </c>
      <c r="C415" s="12">
        <v>628450</v>
      </c>
      <c r="D415" s="13">
        <v>1</v>
      </c>
      <c r="E415" s="13">
        <v>1</v>
      </c>
      <c r="F415" s="13">
        <v>3</v>
      </c>
      <c r="G415" s="13">
        <v>71</v>
      </c>
      <c r="H415" s="13" t="str" cm="1">
        <f t="array" ref="H415">_xlfn.IFS(G415&lt;=20,"0-20",G415&lt;=30,"20-30",G415&lt;=40,"30-40",G415&lt;=50,"50-60",G415&lt;=60,"60-70",G415&lt;=70,"70-80",G415&lt;=80,"80-90")</f>
        <v>80-90</v>
      </c>
      <c r="I415" s="13">
        <v>2795</v>
      </c>
      <c r="J415" s="13" t="str" cm="1">
        <f t="array" ref="J415">_xlfn.IFS(K415=1,"Divorciado",L415=1,"Casado",M415=1,"Solteiro",N415=1,"Juntos",O415=1,"Viuvo")</f>
        <v>Casado</v>
      </c>
      <c r="K415" s="13">
        <v>0</v>
      </c>
      <c r="L415" s="13">
        <v>1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1</v>
      </c>
      <c r="T415" s="13">
        <v>0</v>
      </c>
      <c r="U415" s="13">
        <v>1099</v>
      </c>
      <c r="V415" s="13" t="str" cm="1">
        <f t="array" ref="V415">_xlfn.IFS(U415&lt;=250,"0-R$250",U415&lt;=500,"251-R$500",U415&lt;=750,"501-R$750",U415&lt;=1000,"751-R$1000",U415&lt;=1250,"1001-R$1250",U415&lt;=1500,"1251-R$1500")</f>
        <v>1001-R$1250</v>
      </c>
      <c r="W415" s="13">
        <v>0</v>
      </c>
      <c r="X415" s="13" t="str" cm="1">
        <f t="array" ref="X415">_xlfn.IFS(W415 = 0, "0", W415&lt;=20, "até R$20",W415&lt;=40, "21 - R$40",W415&lt;=60, "41- R$60",W415&lt;=80, "61 - R$80", W415&lt;=100, "81 - R$100",W415&lt;=120, "101 - R$120",W415&lt;=140, "121 - R$140", W415&lt;=160, "141- R$160", W415&lt;=180, "161 - R$180", W415&lt;=200, "181-R$194")</f>
        <v>0</v>
      </c>
      <c r="Y415" s="13">
        <v>45</v>
      </c>
      <c r="Z415" s="13">
        <v>0</v>
      </c>
      <c r="AA415" s="13">
        <v>0</v>
      </c>
      <c r="AB415" s="13">
        <v>34</v>
      </c>
      <c r="AC415" s="13">
        <v>11</v>
      </c>
      <c r="AD415" s="13">
        <v>3</v>
      </c>
      <c r="AE415" s="13">
        <v>4</v>
      </c>
      <c r="AF415" s="13">
        <v>10</v>
      </c>
      <c r="AG415" s="13">
        <v>8</v>
      </c>
      <c r="AH415" s="13">
        <v>0</v>
      </c>
      <c r="AI415" s="13">
        <v>0</v>
      </c>
      <c r="AJ415" s="13">
        <v>1</v>
      </c>
      <c r="AK415" s="13">
        <v>0</v>
      </c>
      <c r="AL415" s="13">
        <v>0</v>
      </c>
      <c r="AM415" s="13">
        <v>0</v>
      </c>
      <c r="AN415" s="13">
        <v>1</v>
      </c>
      <c r="AO415" s="14">
        <v>1</v>
      </c>
      <c r="AP415" s="13">
        <v>3</v>
      </c>
      <c r="AQ415" s="13">
        <v>11</v>
      </c>
      <c r="AR415" s="15">
        <v>1110</v>
      </c>
      <c r="AS415" s="15">
        <v>1144</v>
      </c>
    </row>
    <row r="416" spans="1:45" x14ac:dyDescent="0.25">
      <c r="A416">
        <v>1288</v>
      </c>
      <c r="B416" s="11">
        <f t="shared" si="6"/>
        <v>65169</v>
      </c>
      <c r="C416" s="12">
        <v>651690</v>
      </c>
      <c r="D416" s="13">
        <v>0</v>
      </c>
      <c r="E416" s="13">
        <v>0</v>
      </c>
      <c r="F416" s="13">
        <v>23</v>
      </c>
      <c r="G416" s="13">
        <v>38</v>
      </c>
      <c r="H416" s="13" t="str" cm="1">
        <f t="array" ref="H416">_xlfn.IFS(G416&lt;=20,"0-20",G416&lt;=30,"20-30",G416&lt;=40,"30-40",G416&lt;=50,"50-60",G416&lt;=60,"60-70",G416&lt;=70,"70-80",G416&lt;=80,"80-90")</f>
        <v>30-40</v>
      </c>
      <c r="I416" s="13">
        <v>2325</v>
      </c>
      <c r="J416" s="13" t="str" cm="1">
        <f t="array" ref="J416">_xlfn.IFS(K416=1,"Divorciado",L416=1,"Casado",M416=1,"Solteiro",N416=1,"Juntos",O416=1,"Viuvo")</f>
        <v>Casado</v>
      </c>
      <c r="K416" s="13">
        <v>0</v>
      </c>
      <c r="L416" s="13">
        <v>1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1</v>
      </c>
      <c r="S416" s="13">
        <v>0</v>
      </c>
      <c r="T416" s="13">
        <v>0</v>
      </c>
      <c r="U416" s="13">
        <v>1074</v>
      </c>
      <c r="V416" s="13" t="str" cm="1">
        <f t="array" ref="V416">_xlfn.IFS(U416&lt;=250,"0-R$250",U416&lt;=500,"251-R$500",U416&lt;=750,"501-R$750",U416&lt;=1000,"751-R$1000",U416&lt;=1250,"1001-R$1250",U416&lt;=1500,"1251-R$1500")</f>
        <v>1001-R$1250</v>
      </c>
      <c r="W416" s="13">
        <v>0</v>
      </c>
      <c r="X416" s="13" t="str" cm="1">
        <f t="array" ref="X416">_xlfn.IFS(W416 = 0, "0", W416&lt;=20, "até R$20",W416&lt;=40, "21 - R$40",W416&lt;=60, "41- R$60",W416&lt;=80, "61 - R$80", W416&lt;=100, "81 - R$100",W416&lt;=120, "101 - R$120",W416&lt;=140, "121 - R$140", W416&lt;=160, "141- R$160", W416&lt;=180, "161 - R$180", W416&lt;=200, "181-R$194")</f>
        <v>0</v>
      </c>
      <c r="Y416" s="13">
        <v>69</v>
      </c>
      <c r="Z416" s="13">
        <v>0</v>
      </c>
      <c r="AA416" s="13">
        <v>0</v>
      </c>
      <c r="AB416" s="13">
        <v>46</v>
      </c>
      <c r="AC416" s="13">
        <v>1</v>
      </c>
      <c r="AD416" s="13">
        <v>10</v>
      </c>
      <c r="AE416" s="13">
        <v>4</v>
      </c>
      <c r="AF416" s="13">
        <v>13</v>
      </c>
      <c r="AG416" s="13">
        <v>6</v>
      </c>
      <c r="AH416" s="13">
        <v>0</v>
      </c>
      <c r="AI416" s="13">
        <v>1</v>
      </c>
      <c r="AJ416" s="13">
        <v>0</v>
      </c>
      <c r="AK416" s="13">
        <v>1</v>
      </c>
      <c r="AL416" s="13">
        <v>1</v>
      </c>
      <c r="AM416" s="13">
        <v>1</v>
      </c>
      <c r="AN416" s="13">
        <v>1</v>
      </c>
      <c r="AO416" s="14">
        <v>4</v>
      </c>
      <c r="AP416" s="13">
        <v>3</v>
      </c>
      <c r="AQ416" s="13">
        <v>11</v>
      </c>
      <c r="AR416" s="15">
        <v>1097</v>
      </c>
      <c r="AS416" s="15">
        <v>1143</v>
      </c>
    </row>
    <row r="417" spans="1:45" x14ac:dyDescent="0.25">
      <c r="A417">
        <v>827</v>
      </c>
      <c r="B417" s="11">
        <f t="shared" si="6"/>
        <v>61618</v>
      </c>
      <c r="C417" s="16">
        <v>616180</v>
      </c>
      <c r="D417" s="17">
        <v>0</v>
      </c>
      <c r="E417" s="17">
        <v>0</v>
      </c>
      <c r="F417" s="17">
        <v>27</v>
      </c>
      <c r="G417" s="17">
        <v>29</v>
      </c>
      <c r="H417" s="13" t="str" cm="1">
        <f t="array" ref="H417">_xlfn.IFS(G417&lt;=20,"0-20",G417&lt;=30,"20-30",G417&lt;=40,"30-40",G417&lt;=50,"50-60",G417&lt;=60,"60-70",G417&lt;=70,"70-80",G417&lt;=80,"80-90")</f>
        <v>20-30</v>
      </c>
      <c r="I417" s="17">
        <v>2797</v>
      </c>
      <c r="J417" s="13" t="str" cm="1">
        <f t="array" ref="J417">_xlfn.IFS(K417=1,"Divorciado",L417=1,"Casado",M417=1,"Solteiro",N417=1,"Juntos",O417=1,"Viuvo")</f>
        <v>Solteiro</v>
      </c>
      <c r="K417" s="17">
        <v>0</v>
      </c>
      <c r="L417" s="17">
        <v>0</v>
      </c>
      <c r="M417" s="17">
        <v>1</v>
      </c>
      <c r="N417" s="17">
        <v>0</v>
      </c>
      <c r="O417" s="17">
        <v>0</v>
      </c>
      <c r="P417" s="17">
        <v>1</v>
      </c>
      <c r="Q417" s="17">
        <v>0</v>
      </c>
      <c r="R417" s="17">
        <v>0</v>
      </c>
      <c r="S417" s="17">
        <v>0</v>
      </c>
      <c r="T417" s="17">
        <v>0</v>
      </c>
      <c r="U417" s="17">
        <v>605</v>
      </c>
      <c r="V417" s="13" t="str" cm="1">
        <f t="array" ref="V417">_xlfn.IFS(U417&lt;=250,"0-R$250",U417&lt;=500,"251-R$500",U417&lt;=750,"501-R$750",U417&lt;=1000,"751-R$1000",U417&lt;=1250,"1001-R$1250",U417&lt;=1500,"1251-R$1500")</f>
        <v>501-R$750</v>
      </c>
      <c r="W417" s="17">
        <v>91</v>
      </c>
      <c r="X417" s="13" t="str" cm="1">
        <f t="array" ref="X417">_xlfn.IFS(W417 = 0, "0", W417&lt;=20, "até R$20",W417&lt;=40, "21 - R$40",W417&lt;=60, "41- R$60",W417&lt;=80, "61 - R$80", W417&lt;=100, "81 - R$100",W417&lt;=120, "101 - R$120",W417&lt;=140, "121 - R$140", W417&lt;=160, "141- R$160", W417&lt;=180, "161 - R$180", W417&lt;=200, "181-R$194")</f>
        <v>81 - R$100</v>
      </c>
      <c r="Y417" s="17">
        <v>399</v>
      </c>
      <c r="Z417" s="17">
        <v>0</v>
      </c>
      <c r="AA417" s="17">
        <v>45</v>
      </c>
      <c r="AB417" s="17">
        <v>205</v>
      </c>
      <c r="AC417" s="17">
        <v>2</v>
      </c>
      <c r="AD417" s="17">
        <v>3</v>
      </c>
      <c r="AE417" s="17">
        <v>6</v>
      </c>
      <c r="AF417" s="17">
        <v>8</v>
      </c>
      <c r="AG417" s="17">
        <v>3</v>
      </c>
      <c r="AH417" s="17">
        <v>0</v>
      </c>
      <c r="AI417" s="17">
        <v>0</v>
      </c>
      <c r="AJ417" s="17">
        <v>0</v>
      </c>
      <c r="AK417" s="17">
        <v>0</v>
      </c>
      <c r="AL417" s="17">
        <v>0</v>
      </c>
      <c r="AM417" s="17">
        <v>0</v>
      </c>
      <c r="AN417" s="17">
        <v>0</v>
      </c>
      <c r="AO417" s="18">
        <v>0</v>
      </c>
      <c r="AP417" s="17">
        <v>3</v>
      </c>
      <c r="AQ417" s="17">
        <v>11</v>
      </c>
      <c r="AR417" s="19">
        <v>935</v>
      </c>
      <c r="AS417" s="19">
        <v>1140</v>
      </c>
    </row>
    <row r="418" spans="1:45" x14ac:dyDescent="0.25">
      <c r="A418">
        <v>1091</v>
      </c>
      <c r="B418" s="11">
        <f t="shared" si="6"/>
        <v>76773</v>
      </c>
      <c r="C418" s="16">
        <v>767730</v>
      </c>
      <c r="D418" s="17">
        <v>0</v>
      </c>
      <c r="E418" s="17">
        <v>0</v>
      </c>
      <c r="F418" s="17">
        <v>79</v>
      </c>
      <c r="G418" s="17">
        <v>66</v>
      </c>
      <c r="H418" s="13" t="str" cm="1">
        <f t="array" ref="H418">_xlfn.IFS(G418&lt;=20,"0-20",G418&lt;=30,"20-30",G418&lt;=40,"30-40",G418&lt;=50,"50-60",G418&lt;=60,"60-70",G418&lt;=70,"70-80",G418&lt;=80,"80-90")</f>
        <v>70-80</v>
      </c>
      <c r="I418" s="17">
        <v>2648</v>
      </c>
      <c r="J418" s="13" t="str" cm="1">
        <f t="array" ref="J418">_xlfn.IFS(K418=1,"Divorciado",L418=1,"Casado",M418=1,"Solteiro",N418=1,"Juntos",O418=1,"Viuvo")</f>
        <v>Divorciado</v>
      </c>
      <c r="K418" s="17">
        <v>1</v>
      </c>
      <c r="L418" s="17">
        <v>0</v>
      </c>
      <c r="M418" s="17">
        <v>0</v>
      </c>
      <c r="N418" s="17">
        <v>0</v>
      </c>
      <c r="O418" s="17">
        <v>0</v>
      </c>
      <c r="P418" s="17">
        <v>0</v>
      </c>
      <c r="Q418" s="17">
        <v>0</v>
      </c>
      <c r="R418" s="17">
        <v>1</v>
      </c>
      <c r="S418" s="17">
        <v>0</v>
      </c>
      <c r="T418" s="17">
        <v>0</v>
      </c>
      <c r="U418" s="17">
        <v>516</v>
      </c>
      <c r="V418" s="13" t="str" cm="1">
        <f t="array" ref="V418">_xlfn.IFS(U418&lt;=250,"0-R$250",U418&lt;=500,"251-R$500",U418&lt;=750,"501-R$750",U418&lt;=1000,"751-R$1000",U418&lt;=1250,"1001-R$1250",U418&lt;=1500,"1251-R$1500")</f>
        <v>501-R$750</v>
      </c>
      <c r="W418" s="17">
        <v>56</v>
      </c>
      <c r="X418" s="13" t="str" cm="1">
        <f t="array" ref="X418">_xlfn.IFS(W418 = 0, "0", W418&lt;=20, "até R$20",W418&lt;=40, "21 - R$40",W418&lt;=60, "41- R$60",W418&lt;=80, "61 - R$80", W418&lt;=100, "81 - R$100",W418&lt;=120, "101 - R$120",W418&lt;=140, "121 - R$140", W418&lt;=160, "141- R$160", W418&lt;=180, "161 - R$180", W418&lt;=200, "181-R$194")</f>
        <v>41- R$60</v>
      </c>
      <c r="Y418" s="17">
        <v>449</v>
      </c>
      <c r="Z418" s="17">
        <v>86</v>
      </c>
      <c r="AA418" s="17">
        <v>33</v>
      </c>
      <c r="AB418" s="17">
        <v>16</v>
      </c>
      <c r="AC418" s="17">
        <v>1</v>
      </c>
      <c r="AD418" s="17">
        <v>2</v>
      </c>
      <c r="AE418" s="17">
        <v>2</v>
      </c>
      <c r="AF418" s="17">
        <v>11</v>
      </c>
      <c r="AG418" s="17">
        <v>1</v>
      </c>
      <c r="AH418" s="17">
        <v>0</v>
      </c>
      <c r="AI418" s="17">
        <v>0</v>
      </c>
      <c r="AJ418" s="17">
        <v>0</v>
      </c>
      <c r="AK418" s="17">
        <v>0</v>
      </c>
      <c r="AL418" s="17">
        <v>0</v>
      </c>
      <c r="AM418" s="17">
        <v>0</v>
      </c>
      <c r="AN418" s="17">
        <v>0</v>
      </c>
      <c r="AO418" s="18">
        <v>0</v>
      </c>
      <c r="AP418" s="17">
        <v>3</v>
      </c>
      <c r="AQ418" s="17">
        <v>11</v>
      </c>
      <c r="AR418" s="19">
        <v>1124</v>
      </c>
      <c r="AS418" s="19">
        <v>1140</v>
      </c>
    </row>
    <row r="419" spans="1:45" x14ac:dyDescent="0.25">
      <c r="A419">
        <v>317</v>
      </c>
      <c r="B419" s="11">
        <f t="shared" si="6"/>
        <v>66334</v>
      </c>
      <c r="C419" s="16">
        <v>663340</v>
      </c>
      <c r="D419" s="17">
        <v>0</v>
      </c>
      <c r="E419" s="17">
        <v>1</v>
      </c>
      <c r="F419" s="17">
        <v>82</v>
      </c>
      <c r="G419" s="17">
        <v>64</v>
      </c>
      <c r="H419" s="13" t="str" cm="1">
        <f t="array" ref="H419">_xlfn.IFS(G419&lt;=20,"0-20",G419&lt;=30,"20-30",G419&lt;=40,"30-40",G419&lt;=50,"50-60",G419&lt;=60,"60-70",G419&lt;=70,"70-80",G419&lt;=80,"80-90")</f>
        <v>70-80</v>
      </c>
      <c r="I419" s="17">
        <v>2611</v>
      </c>
      <c r="J419" s="13" t="str" cm="1">
        <f t="array" ref="J419">_xlfn.IFS(K419=1,"Divorciado",L419=1,"Casado",M419=1,"Solteiro",N419=1,"Juntos",O419=1,"Viuvo")</f>
        <v>Casado</v>
      </c>
      <c r="K419" s="17">
        <v>0</v>
      </c>
      <c r="L419" s="17">
        <v>1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1</v>
      </c>
      <c r="U419" s="17">
        <v>909</v>
      </c>
      <c r="V419" s="13" t="str" cm="1">
        <f t="array" ref="V419">_xlfn.IFS(U419&lt;=250,"0-R$250",U419&lt;=500,"251-R$500",U419&lt;=750,"501-R$750",U419&lt;=1000,"751-R$1000",U419&lt;=1250,"1001-R$1250",U419&lt;=1500,"1251-R$1500")</f>
        <v>751-R$1000</v>
      </c>
      <c r="W419" s="17">
        <v>11</v>
      </c>
      <c r="X419" s="13" t="str" cm="1">
        <f t="array" ref="X419">_xlfn.IFS(W419 = 0, "0", W419&lt;=20, "até R$20",W419&lt;=40, "21 - R$40",W419&lt;=60, "41- R$60",W419&lt;=80, "61 - R$80", W419&lt;=100, "81 - R$100",W419&lt;=120, "101 - R$120",W419&lt;=140, "121 - R$140", W419&lt;=160, "141- R$160", W419&lt;=180, "161 - R$180", W419&lt;=200, "181-R$194")</f>
        <v>até R$20</v>
      </c>
      <c r="Y419" s="17">
        <v>218</v>
      </c>
      <c r="Z419" s="17">
        <v>0</v>
      </c>
      <c r="AA419" s="17">
        <v>0</v>
      </c>
      <c r="AB419" s="17">
        <v>23</v>
      </c>
      <c r="AC419" s="17">
        <v>2</v>
      </c>
      <c r="AD419" s="17">
        <v>9</v>
      </c>
      <c r="AE419" s="17">
        <v>3</v>
      </c>
      <c r="AF419" s="17">
        <v>5</v>
      </c>
      <c r="AG419" s="17">
        <v>5</v>
      </c>
      <c r="AH419" s="17">
        <v>0</v>
      </c>
      <c r="AI419" s="17">
        <v>0</v>
      </c>
      <c r="AJ419" s="17">
        <v>0</v>
      </c>
      <c r="AK419" s="17">
        <v>0</v>
      </c>
      <c r="AL419" s="17">
        <v>0</v>
      </c>
      <c r="AM419" s="17">
        <v>0</v>
      </c>
      <c r="AN419" s="17">
        <v>1</v>
      </c>
      <c r="AO419" s="18">
        <v>0</v>
      </c>
      <c r="AP419" s="17">
        <v>3</v>
      </c>
      <c r="AQ419" s="17">
        <v>11</v>
      </c>
      <c r="AR419" s="19">
        <v>1115</v>
      </c>
      <c r="AS419" s="19">
        <v>1138</v>
      </c>
    </row>
    <row r="420" spans="1:45" x14ac:dyDescent="0.25">
      <c r="A420">
        <v>1704</v>
      </c>
      <c r="B420" s="11">
        <f t="shared" si="6"/>
        <v>71107</v>
      </c>
      <c r="C420" s="12">
        <v>711070</v>
      </c>
      <c r="D420" s="13">
        <v>0</v>
      </c>
      <c r="E420" s="13">
        <v>1</v>
      </c>
      <c r="F420" s="13">
        <v>61</v>
      </c>
      <c r="G420" s="13">
        <v>69</v>
      </c>
      <c r="H420" s="13" t="str" cm="1">
        <f t="array" ref="H420">_xlfn.IFS(G420&lt;=20,"0-20",G420&lt;=30,"20-30",G420&lt;=40,"30-40",G420&lt;=50,"50-60",G420&lt;=60,"60-70",G420&lt;=70,"70-80",G420&lt;=80,"80-90")</f>
        <v>70-80</v>
      </c>
      <c r="I420" s="13">
        <v>2656</v>
      </c>
      <c r="J420" s="13" t="str" cm="1">
        <f t="array" ref="J420">_xlfn.IFS(K420=1,"Divorciado",L420=1,"Casado",M420=1,"Solteiro",N420=1,"Juntos",O420=1,"Viuvo")</f>
        <v>Casado</v>
      </c>
      <c r="K420" s="13">
        <v>0</v>
      </c>
      <c r="L420" s="13">
        <v>1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1</v>
      </c>
      <c r="S420" s="13">
        <v>0</v>
      </c>
      <c r="T420" s="13">
        <v>0</v>
      </c>
      <c r="U420" s="13">
        <v>533</v>
      </c>
      <c r="V420" s="13" t="str" cm="1">
        <f t="array" ref="V420">_xlfn.IFS(U420&lt;=250,"0-R$250",U420&lt;=500,"251-R$500",U420&lt;=750,"501-R$750",U420&lt;=1000,"751-R$1000",U420&lt;=1250,"1001-R$1250",U420&lt;=1500,"1251-R$1500")</f>
        <v>501-R$750</v>
      </c>
      <c r="W420" s="13">
        <v>10</v>
      </c>
      <c r="X420" s="13" t="str" cm="1">
        <f t="array" ref="X420">_xlfn.IFS(W420 = 0, "0", W420&lt;=20, "até R$20",W420&lt;=40, "21 - R$40",W420&lt;=60, "41- R$60",W420&lt;=80, "61 - R$80", W420&lt;=100, "81 - R$100",W420&lt;=120, "101 - R$120",W420&lt;=140, "121 - R$140", W420&lt;=160, "141- R$160", W420&lt;=180, "161 - R$180", W420&lt;=200, "181-R$194")</f>
        <v>até R$20</v>
      </c>
      <c r="Y420" s="13">
        <v>217</v>
      </c>
      <c r="Z420" s="13">
        <v>198</v>
      </c>
      <c r="AA420" s="13">
        <v>174</v>
      </c>
      <c r="AB420" s="13">
        <v>195</v>
      </c>
      <c r="AC420" s="13">
        <v>2</v>
      </c>
      <c r="AD420" s="13">
        <v>7</v>
      </c>
      <c r="AE420" s="13">
        <v>6</v>
      </c>
      <c r="AF420" s="13">
        <v>13</v>
      </c>
      <c r="AG420" s="13">
        <v>4</v>
      </c>
      <c r="AH420" s="13">
        <v>0</v>
      </c>
      <c r="AI420" s="13">
        <v>0</v>
      </c>
      <c r="AJ420" s="13">
        <v>0</v>
      </c>
      <c r="AK420" s="13">
        <v>0</v>
      </c>
      <c r="AL420" s="13">
        <v>0</v>
      </c>
      <c r="AM420" s="13">
        <v>0</v>
      </c>
      <c r="AN420" s="13">
        <v>0</v>
      </c>
      <c r="AO420" s="14">
        <v>0</v>
      </c>
      <c r="AP420" s="13">
        <v>3</v>
      </c>
      <c r="AQ420" s="13">
        <v>11</v>
      </c>
      <c r="AR420" s="15">
        <v>937</v>
      </c>
      <c r="AS420" s="15">
        <v>1132</v>
      </c>
    </row>
    <row r="421" spans="1:45" x14ac:dyDescent="0.25">
      <c r="A421">
        <v>411</v>
      </c>
      <c r="B421" s="11">
        <f t="shared" si="6"/>
        <v>75433</v>
      </c>
      <c r="C421" s="16">
        <v>754330</v>
      </c>
      <c r="D421" s="17">
        <v>1</v>
      </c>
      <c r="E421" s="17">
        <v>0</v>
      </c>
      <c r="F421" s="17">
        <v>28</v>
      </c>
      <c r="G421" s="17">
        <v>31</v>
      </c>
      <c r="H421" s="13" t="str" cm="1">
        <f t="array" ref="H421">_xlfn.IFS(G421&lt;=20,"0-20",G421&lt;=30,"20-30",G421&lt;=40,"30-40",G421&lt;=50,"50-60",G421&lt;=60,"60-70",G421&lt;=70,"70-80",G421&lt;=80,"80-90")</f>
        <v>30-40</v>
      </c>
      <c r="I421" s="17">
        <v>2244</v>
      </c>
      <c r="J421" s="13" t="str" cm="1">
        <f t="array" ref="J421">_xlfn.IFS(K421=1,"Divorciado",L421=1,"Casado",M421=1,"Solteiro",N421=1,"Juntos",O421=1,"Viuvo")</f>
        <v>Casado</v>
      </c>
      <c r="K421" s="17">
        <v>0</v>
      </c>
      <c r="L421" s="17">
        <v>1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1</v>
      </c>
      <c r="S421" s="17">
        <v>0</v>
      </c>
      <c r="T421" s="17">
        <v>0</v>
      </c>
      <c r="U421" s="17">
        <v>800</v>
      </c>
      <c r="V421" s="13" t="str" cm="1">
        <f t="array" ref="V421">_xlfn.IFS(U421&lt;=250,"0-R$250",U421&lt;=500,"251-R$500",U421&lt;=750,"501-R$750",U421&lt;=1000,"751-R$1000",U421&lt;=1250,"1001-R$1250",U421&lt;=1500,"1251-R$1500")</f>
        <v>751-R$1000</v>
      </c>
      <c r="W421" s="17">
        <v>0</v>
      </c>
      <c r="X421" s="13" t="str" cm="1">
        <f t="array" ref="X421">_xlfn.IFS(W421 = 0, "0", W421&lt;=20, "até R$20",W421&lt;=40, "21 - R$40",W421&lt;=60, "41- R$60",W421&lt;=80, "61 - R$80", W421&lt;=100, "81 - R$100",W421&lt;=120, "101 - R$120",W421&lt;=140, "121 - R$140", W421&lt;=160, "141- R$160", W421&lt;=180, "161 - R$180", W421&lt;=200, "181-R$194")</f>
        <v>0</v>
      </c>
      <c r="Y421" s="17">
        <v>297</v>
      </c>
      <c r="Z421" s="17">
        <v>0</v>
      </c>
      <c r="AA421" s="17">
        <v>34</v>
      </c>
      <c r="AB421" s="17">
        <v>57</v>
      </c>
      <c r="AC421" s="17">
        <v>2</v>
      </c>
      <c r="AD421" s="17">
        <v>2</v>
      </c>
      <c r="AE421" s="17">
        <v>5</v>
      </c>
      <c r="AF421" s="17">
        <v>10</v>
      </c>
      <c r="AG421" s="17">
        <v>6</v>
      </c>
      <c r="AH421" s="17">
        <v>0</v>
      </c>
      <c r="AI421" s="17">
        <v>0</v>
      </c>
      <c r="AJ421" s="17">
        <v>1</v>
      </c>
      <c r="AK421" s="17">
        <v>0</v>
      </c>
      <c r="AL421" s="17">
        <v>1</v>
      </c>
      <c r="AM421" s="17">
        <v>0</v>
      </c>
      <c r="AN421" s="17">
        <v>0</v>
      </c>
      <c r="AO421" s="18">
        <v>2</v>
      </c>
      <c r="AP421" s="17">
        <v>3</v>
      </c>
      <c r="AQ421" s="17">
        <v>11</v>
      </c>
      <c r="AR421" s="19">
        <v>1074</v>
      </c>
      <c r="AS421" s="19">
        <v>1131</v>
      </c>
    </row>
    <row r="422" spans="1:45" x14ac:dyDescent="0.25">
      <c r="A422">
        <v>1460</v>
      </c>
      <c r="B422" s="11">
        <f t="shared" si="6"/>
        <v>75484</v>
      </c>
      <c r="C422" s="12">
        <v>754840</v>
      </c>
      <c r="D422" s="13">
        <v>0</v>
      </c>
      <c r="E422" s="13">
        <v>1</v>
      </c>
      <c r="F422" s="13">
        <v>50</v>
      </c>
      <c r="G422" s="13">
        <v>44</v>
      </c>
      <c r="H422" s="13" t="str" cm="1">
        <f t="array" ref="H422">_xlfn.IFS(G422&lt;=20,"0-20",G422&lt;=30,"20-30",G422&lt;=40,"30-40",G422&lt;=50,"50-60",G422&lt;=60,"60-70",G422&lt;=70,"70-80",G422&lt;=80,"80-90")</f>
        <v>50-60</v>
      </c>
      <c r="I422" s="13">
        <v>2855</v>
      </c>
      <c r="J422" s="13" t="str" cm="1">
        <f t="array" ref="J422">_xlfn.IFS(K422=1,"Divorciado",L422=1,"Casado",M422=1,"Solteiro",N422=1,"Juntos",O422=1,"Viuvo")</f>
        <v>Juntos</v>
      </c>
      <c r="K422" s="13">
        <v>0</v>
      </c>
      <c r="L422" s="13">
        <v>0</v>
      </c>
      <c r="M422" s="13">
        <v>0</v>
      </c>
      <c r="N422" s="13">
        <v>1</v>
      </c>
      <c r="O422" s="13">
        <v>0</v>
      </c>
      <c r="P422" s="13">
        <v>1</v>
      </c>
      <c r="Q422" s="13">
        <v>0</v>
      </c>
      <c r="R422" s="13">
        <v>0</v>
      </c>
      <c r="S422" s="13">
        <v>0</v>
      </c>
      <c r="T422" s="13">
        <v>0</v>
      </c>
      <c r="U422" s="13">
        <v>378</v>
      </c>
      <c r="V422" s="13" t="str" cm="1">
        <f t="array" ref="V422">_xlfn.IFS(U422&lt;=250,"0-R$250",U422&lt;=500,"251-R$500",U422&lt;=750,"501-R$750",U422&lt;=1000,"751-R$1000",U422&lt;=1250,"1001-R$1250",U422&lt;=1500,"1251-R$1500")</f>
        <v>251-R$500</v>
      </c>
      <c r="W422" s="13">
        <v>97</v>
      </c>
      <c r="X422" s="13" t="str" cm="1">
        <f t="array" ref="X422">_xlfn.IFS(W422 = 0, "0", W422&lt;=20, "até R$20",W422&lt;=40, "21 - R$40",W422&lt;=60, "41- R$60",W422&lt;=80, "61 - R$80", W422&lt;=100, "81 - R$100",W422&lt;=120, "101 - R$120",W422&lt;=140, "121 - R$140", W422&lt;=160, "141- R$160", W422&lt;=180, "161 - R$180", W422&lt;=200, "181-R$194")</f>
        <v>81 - R$100</v>
      </c>
      <c r="Y422" s="13">
        <v>259</v>
      </c>
      <c r="Z422" s="13">
        <v>197</v>
      </c>
      <c r="AA422" s="13">
        <v>194</v>
      </c>
      <c r="AB422" s="13">
        <v>34</v>
      </c>
      <c r="AC422" s="13">
        <v>2</v>
      </c>
      <c r="AD422" s="13">
        <v>7</v>
      </c>
      <c r="AE422" s="13">
        <v>3</v>
      </c>
      <c r="AF422" s="13">
        <v>6</v>
      </c>
      <c r="AG422" s="13">
        <v>4</v>
      </c>
      <c r="AH422" s="13">
        <v>0</v>
      </c>
      <c r="AI422" s="13">
        <v>0</v>
      </c>
      <c r="AJ422" s="13">
        <v>0</v>
      </c>
      <c r="AK422" s="13">
        <v>0</v>
      </c>
      <c r="AL422" s="13">
        <v>0</v>
      </c>
      <c r="AM422" s="13">
        <v>0</v>
      </c>
      <c r="AN422" s="13">
        <v>0</v>
      </c>
      <c r="AO422" s="14">
        <v>0</v>
      </c>
      <c r="AP422" s="13">
        <v>3</v>
      </c>
      <c r="AQ422" s="13">
        <v>11</v>
      </c>
      <c r="AR422" s="15">
        <v>1091</v>
      </c>
      <c r="AS422" s="15">
        <v>1125</v>
      </c>
    </row>
    <row r="423" spans="1:45" x14ac:dyDescent="0.25">
      <c r="A423">
        <v>1763</v>
      </c>
      <c r="B423" s="11">
        <f t="shared" si="6"/>
        <v>60839</v>
      </c>
      <c r="C423" s="16">
        <v>608390</v>
      </c>
      <c r="D423" s="17">
        <v>1</v>
      </c>
      <c r="E423" s="17">
        <v>1</v>
      </c>
      <c r="F423" s="17">
        <v>72</v>
      </c>
      <c r="G423" s="17">
        <v>41</v>
      </c>
      <c r="H423" s="13" t="str" cm="1">
        <f t="array" ref="H423">_xlfn.IFS(G423&lt;=20,"0-20",G423&lt;=30,"20-30",G423&lt;=40,"30-40",G423&lt;=50,"50-60",G423&lt;=60,"60-70",G423&lt;=70,"70-80",G423&lt;=80,"80-90")</f>
        <v>50-60</v>
      </c>
      <c r="I423" s="17">
        <v>2829</v>
      </c>
      <c r="J423" s="13" t="str" cm="1">
        <f t="array" ref="J423">_xlfn.IFS(K423=1,"Divorciado",L423=1,"Casado",M423=1,"Solteiro",N423=1,"Juntos",O423=1,"Viuvo")</f>
        <v>Juntos</v>
      </c>
      <c r="K423" s="17">
        <v>0</v>
      </c>
      <c r="L423" s="17">
        <v>0</v>
      </c>
      <c r="M423" s="17">
        <v>0</v>
      </c>
      <c r="N423" s="17">
        <v>1</v>
      </c>
      <c r="O423" s="17">
        <v>0</v>
      </c>
      <c r="P423" s="17">
        <v>1</v>
      </c>
      <c r="Q423" s="17">
        <v>0</v>
      </c>
      <c r="R423" s="17">
        <v>0</v>
      </c>
      <c r="S423" s="17">
        <v>0</v>
      </c>
      <c r="T423" s="17">
        <v>0</v>
      </c>
      <c r="U423" s="17">
        <v>600</v>
      </c>
      <c r="V423" s="13" t="str" cm="1">
        <f t="array" ref="V423">_xlfn.IFS(U423&lt;=250,"0-R$250",U423&lt;=500,"251-R$500",U423&lt;=750,"501-R$750",U423&lt;=1000,"751-R$1000",U423&lt;=1250,"1001-R$1250",U423&lt;=1500,"1251-R$1500")</f>
        <v>501-R$750</v>
      </c>
      <c r="W423" s="17">
        <v>21</v>
      </c>
      <c r="X423" s="13" t="str" cm="1">
        <f t="array" ref="X423">_xlfn.IFS(W423 = 0, "0", W423&lt;=20, "até R$20",W423&lt;=40, "21 - R$40",W423&lt;=60, "41- R$60",W423&lt;=80, "61 - R$80", W423&lt;=100, "81 - R$100",W423&lt;=120, "101 - R$120",W423&lt;=140, "121 - R$140", W423&lt;=160, "141- R$160", W423&lt;=180, "161 - R$180", W423&lt;=200, "181-R$194")</f>
        <v>21 - R$40</v>
      </c>
      <c r="Y423" s="17">
        <v>128</v>
      </c>
      <c r="Z423" s="17">
        <v>223</v>
      </c>
      <c r="AA423" s="17">
        <v>150</v>
      </c>
      <c r="AB423" s="17">
        <v>128</v>
      </c>
      <c r="AC423" s="17">
        <v>13</v>
      </c>
      <c r="AD423" s="17">
        <v>2</v>
      </c>
      <c r="AE423" s="17">
        <v>2</v>
      </c>
      <c r="AF423" s="17">
        <v>12</v>
      </c>
      <c r="AG423" s="17">
        <v>8</v>
      </c>
      <c r="AH423" s="17">
        <v>0</v>
      </c>
      <c r="AI423" s="17">
        <v>0</v>
      </c>
      <c r="AJ423" s="17">
        <v>0</v>
      </c>
      <c r="AK423" s="17">
        <v>0</v>
      </c>
      <c r="AL423" s="17">
        <v>0</v>
      </c>
      <c r="AM423" s="17">
        <v>0</v>
      </c>
      <c r="AN423" s="17">
        <v>0</v>
      </c>
      <c r="AO423" s="18">
        <v>0</v>
      </c>
      <c r="AP423" s="17">
        <v>3</v>
      </c>
      <c r="AQ423" s="17">
        <v>11</v>
      </c>
      <c r="AR423" s="19">
        <v>994</v>
      </c>
      <c r="AS423" s="19">
        <v>1122</v>
      </c>
    </row>
    <row r="424" spans="1:45" x14ac:dyDescent="0.25">
      <c r="A424">
        <v>241</v>
      </c>
      <c r="B424" s="11">
        <f t="shared" si="6"/>
        <v>75702</v>
      </c>
      <c r="C424" s="16">
        <v>757020</v>
      </c>
      <c r="D424" s="17">
        <v>1</v>
      </c>
      <c r="E424" s="17">
        <v>1</v>
      </c>
      <c r="F424" s="17">
        <v>77</v>
      </c>
      <c r="G424" s="17">
        <v>53</v>
      </c>
      <c r="H424" s="13" t="str" cm="1">
        <f t="array" ref="H424">_xlfn.IFS(G424&lt;=20,"0-20",G424&lt;=30,"20-30",G424&lt;=40,"30-40",G424&lt;=50,"50-60",G424&lt;=60,"60-70",G424&lt;=70,"70-80",G424&lt;=80,"80-90")</f>
        <v>60-70</v>
      </c>
      <c r="I424" s="17">
        <v>2828</v>
      </c>
      <c r="J424" s="13" t="str" cm="1">
        <f t="array" ref="J424">_xlfn.IFS(K424=1,"Divorciado",L424=1,"Casado",M424=1,"Solteiro",N424=1,"Juntos",O424=1,"Viuvo")</f>
        <v>Juntos</v>
      </c>
      <c r="K424" s="17">
        <v>0</v>
      </c>
      <c r="L424" s="17">
        <v>0</v>
      </c>
      <c r="M424" s="17">
        <v>0</v>
      </c>
      <c r="N424" s="17">
        <v>1</v>
      </c>
      <c r="O424" s="17">
        <v>0</v>
      </c>
      <c r="P424" s="17">
        <v>0</v>
      </c>
      <c r="Q424" s="17">
        <v>0</v>
      </c>
      <c r="R424" s="17">
        <v>1</v>
      </c>
      <c r="S424" s="17">
        <v>0</v>
      </c>
      <c r="T424" s="17">
        <v>0</v>
      </c>
      <c r="U424" s="17">
        <v>650</v>
      </c>
      <c r="V424" s="13" t="str" cm="1">
        <f t="array" ref="V424">_xlfn.IFS(U424&lt;=250,"0-R$250",U424&lt;=500,"251-R$500",U424&lt;=750,"501-R$750",U424&lt;=1000,"751-R$1000",U424&lt;=1250,"1001-R$1250",U424&lt;=1500,"1251-R$1500")</f>
        <v>501-R$750</v>
      </c>
      <c r="W424" s="17">
        <v>28</v>
      </c>
      <c r="X424" s="13" t="str" cm="1">
        <f t="array" ref="X424">_xlfn.IFS(W424 = 0, "0", W424&lt;=20, "até R$20",W424&lt;=40, "21 - R$40",W424&lt;=60, "41- R$60",W424&lt;=80, "61 - R$80", W424&lt;=100, "81 - R$100",W424&lt;=120, "101 - R$120",W424&lt;=140, "121 - R$140", W424&lt;=160, "141- R$160", W424&lt;=180, "161 - R$180", W424&lt;=200, "181-R$194")</f>
        <v>21 - R$40</v>
      </c>
      <c r="Y424" s="17">
        <v>353</v>
      </c>
      <c r="Z424" s="17">
        <v>45</v>
      </c>
      <c r="AA424" s="17">
        <v>42</v>
      </c>
      <c r="AB424" s="17">
        <v>30</v>
      </c>
      <c r="AC424" s="17">
        <v>5</v>
      </c>
      <c r="AD424" s="17">
        <v>4</v>
      </c>
      <c r="AE424" s="17">
        <v>6</v>
      </c>
      <c r="AF424" s="17">
        <v>11</v>
      </c>
      <c r="AG424" s="17">
        <v>8</v>
      </c>
      <c r="AH424" s="17">
        <v>0</v>
      </c>
      <c r="AI424" s="17">
        <v>0</v>
      </c>
      <c r="AJ424" s="17">
        <v>0</v>
      </c>
      <c r="AK424" s="17">
        <v>0</v>
      </c>
      <c r="AL424" s="17">
        <v>0</v>
      </c>
      <c r="AM424" s="17">
        <v>0</v>
      </c>
      <c r="AN424" s="17">
        <v>0</v>
      </c>
      <c r="AO424" s="18">
        <v>0</v>
      </c>
      <c r="AP424" s="17">
        <v>3</v>
      </c>
      <c r="AQ424" s="17">
        <v>11</v>
      </c>
      <c r="AR424" s="19">
        <v>1088</v>
      </c>
      <c r="AS424" s="19">
        <v>1118</v>
      </c>
    </row>
    <row r="425" spans="1:45" x14ac:dyDescent="0.25">
      <c r="A425">
        <v>1331</v>
      </c>
      <c r="B425" s="11">
        <f t="shared" si="6"/>
        <v>70515</v>
      </c>
      <c r="C425" s="16">
        <v>705150</v>
      </c>
      <c r="D425" s="17">
        <v>0</v>
      </c>
      <c r="E425" s="17">
        <v>0</v>
      </c>
      <c r="F425" s="17">
        <v>12</v>
      </c>
      <c r="G425" s="17">
        <v>27</v>
      </c>
      <c r="H425" s="13" t="str" cm="1">
        <f t="array" ref="H425">_xlfn.IFS(G425&lt;=20,"0-20",G425&lt;=30,"20-30",G425&lt;=40,"30-40",G425&lt;=50,"50-60",G425&lt;=60,"60-70",G425&lt;=70,"70-80",G425&lt;=80,"80-90")</f>
        <v>20-30</v>
      </c>
      <c r="I425" s="17">
        <v>2410</v>
      </c>
      <c r="J425" s="13" t="str" cm="1">
        <f t="array" ref="J425">_xlfn.IFS(K425=1,"Divorciado",L425=1,"Casado",M425=1,"Solteiro",N425=1,"Juntos",O425=1,"Viuvo")</f>
        <v>Solteiro</v>
      </c>
      <c r="K425" s="17">
        <v>0</v>
      </c>
      <c r="L425" s="17">
        <v>0</v>
      </c>
      <c r="M425" s="17">
        <v>1</v>
      </c>
      <c r="N425" s="17">
        <v>0</v>
      </c>
      <c r="O425" s="17">
        <v>0</v>
      </c>
      <c r="P425" s="17">
        <v>0</v>
      </c>
      <c r="Q425" s="17">
        <v>0</v>
      </c>
      <c r="R425" s="17">
        <v>1</v>
      </c>
      <c r="S425" s="17">
        <v>0</v>
      </c>
      <c r="T425" s="17">
        <v>0</v>
      </c>
      <c r="U425" s="17">
        <v>420</v>
      </c>
      <c r="V425" s="13" t="str" cm="1">
        <f t="array" ref="V425">_xlfn.IFS(U425&lt;=250,"0-R$250",U425&lt;=500,"251-R$500",U425&lt;=750,"501-R$750",U425&lt;=1000,"751-R$1000",U425&lt;=1250,"1001-R$1250",U425&lt;=1500,"1251-R$1500")</f>
        <v>251-R$500</v>
      </c>
      <c r="W425" s="17">
        <v>0</v>
      </c>
      <c r="X425" s="13" t="str" cm="1">
        <f t="array" ref="X425">_xlfn.IFS(W425 = 0, "0", W425&lt;=20, "até R$20",W425&lt;=40, "21 - R$40",W425&lt;=60, "41- R$60",W425&lt;=80, "61 - R$80", W425&lt;=100, "81 - R$100",W425&lt;=120, "101 - R$120",W425&lt;=140, "121 - R$140", W425&lt;=160, "141- R$160", W425&lt;=180, "161 - R$180", W425&lt;=200, "181-R$194")</f>
        <v>0</v>
      </c>
      <c r="Y425" s="17">
        <v>452</v>
      </c>
      <c r="Z425" s="17">
        <v>182</v>
      </c>
      <c r="AA425" s="17">
        <v>64</v>
      </c>
      <c r="AB425" s="17">
        <v>140</v>
      </c>
      <c r="AC425" s="17">
        <v>1</v>
      </c>
      <c r="AD425" s="17">
        <v>6</v>
      </c>
      <c r="AE425" s="17">
        <v>6</v>
      </c>
      <c r="AF425" s="17">
        <v>4</v>
      </c>
      <c r="AG425" s="17">
        <v>2</v>
      </c>
      <c r="AH425" s="17">
        <v>0</v>
      </c>
      <c r="AI425" s="17">
        <v>0</v>
      </c>
      <c r="AJ425" s="17">
        <v>0</v>
      </c>
      <c r="AK425" s="17">
        <v>0</v>
      </c>
      <c r="AL425" s="17">
        <v>0</v>
      </c>
      <c r="AM425" s="17">
        <v>0</v>
      </c>
      <c r="AN425" s="17">
        <v>1</v>
      </c>
      <c r="AO425" s="18">
        <v>0</v>
      </c>
      <c r="AP425" s="17">
        <v>3</v>
      </c>
      <c r="AQ425" s="17">
        <v>11</v>
      </c>
      <c r="AR425" s="19">
        <v>978</v>
      </c>
      <c r="AS425" s="19">
        <v>1118</v>
      </c>
    </row>
    <row r="426" spans="1:45" x14ac:dyDescent="0.25">
      <c r="A426">
        <v>2174</v>
      </c>
      <c r="B426" s="11">
        <f t="shared" si="6"/>
        <v>61014</v>
      </c>
      <c r="C426" s="12">
        <v>610140</v>
      </c>
      <c r="D426" s="13">
        <v>0</v>
      </c>
      <c r="E426" s="13">
        <v>1</v>
      </c>
      <c r="F426" s="13">
        <v>17</v>
      </c>
      <c r="G426" s="13">
        <v>40</v>
      </c>
      <c r="H426" s="13" t="str" cm="1">
        <f t="array" ref="H426">_xlfn.IFS(G426&lt;=20,"0-20",G426&lt;=30,"20-30",G426&lt;=40,"30-40",G426&lt;=50,"50-60",G426&lt;=60,"60-70",G426&lt;=70,"70-80",G426&lt;=80,"80-90")</f>
        <v>30-40</v>
      </c>
      <c r="I426" s="13">
        <v>2846</v>
      </c>
      <c r="J426" s="13" t="str" cm="1">
        <f t="array" ref="J426">_xlfn.IFS(K426=1,"Divorciado",L426=1,"Casado",M426=1,"Solteiro",N426=1,"Juntos",O426=1,"Viuvo")</f>
        <v>Casado</v>
      </c>
      <c r="K426" s="13">
        <v>0</v>
      </c>
      <c r="L426" s="13">
        <v>1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1</v>
      </c>
      <c r="S426" s="13">
        <v>0</v>
      </c>
      <c r="T426" s="13">
        <v>0</v>
      </c>
      <c r="U426" s="13">
        <v>269</v>
      </c>
      <c r="V426" s="13" t="str" cm="1">
        <f t="array" ref="V426">_xlfn.IFS(U426&lt;=250,"0-R$250",U426&lt;=500,"251-R$500",U426&lt;=750,"501-R$750",U426&lt;=1000,"751-R$1000",U426&lt;=1250,"1001-R$1250",U426&lt;=1500,"1251-R$1500")</f>
        <v>251-R$500</v>
      </c>
      <c r="W426" s="13">
        <v>129</v>
      </c>
      <c r="X426" s="13" t="str" cm="1">
        <f t="array" ref="X426">_xlfn.IFS(W426 = 0, "0", W426&lt;=20, "até R$20",W426&lt;=40, "21 - R$40",W426&lt;=60, "41- R$60",W426&lt;=80, "61 - R$80", W426&lt;=100, "81 - R$100",W426&lt;=120, "101 - R$120",W426&lt;=140, "121 - R$140", W426&lt;=160, "141- R$160", W426&lt;=180, "161 - R$180", W426&lt;=200, "181-R$194")</f>
        <v>121 - R$140</v>
      </c>
      <c r="Y426" s="13">
        <v>495</v>
      </c>
      <c r="Z426" s="13">
        <v>182</v>
      </c>
      <c r="AA426" s="13">
        <v>43</v>
      </c>
      <c r="AB426" s="13">
        <v>29</v>
      </c>
      <c r="AC426" s="13">
        <v>4</v>
      </c>
      <c r="AD426" s="13">
        <v>9</v>
      </c>
      <c r="AE426" s="13">
        <v>3</v>
      </c>
      <c r="AF426" s="13">
        <v>4</v>
      </c>
      <c r="AG426" s="13">
        <v>7</v>
      </c>
      <c r="AH426" s="13">
        <v>0</v>
      </c>
      <c r="AI426" s="13">
        <v>0</v>
      </c>
      <c r="AJ426" s="13">
        <v>0</v>
      </c>
      <c r="AK426" s="13">
        <v>0</v>
      </c>
      <c r="AL426" s="13">
        <v>0</v>
      </c>
      <c r="AM426" s="13">
        <v>0</v>
      </c>
      <c r="AN426" s="13">
        <v>0</v>
      </c>
      <c r="AO426" s="14">
        <v>0</v>
      </c>
      <c r="AP426" s="13">
        <v>3</v>
      </c>
      <c r="AQ426" s="13">
        <v>11</v>
      </c>
      <c r="AR426" s="15">
        <v>1089</v>
      </c>
      <c r="AS426" s="15">
        <v>1118</v>
      </c>
    </row>
    <row r="427" spans="1:45" x14ac:dyDescent="0.25">
      <c r="A427">
        <v>1316</v>
      </c>
      <c r="B427" s="11">
        <f t="shared" si="6"/>
        <v>71853</v>
      </c>
      <c r="C427" s="12">
        <v>718530</v>
      </c>
      <c r="D427" s="13">
        <v>0</v>
      </c>
      <c r="E427" s="13">
        <v>0</v>
      </c>
      <c r="F427" s="13">
        <v>29</v>
      </c>
      <c r="G427" s="13">
        <v>38</v>
      </c>
      <c r="H427" s="13" t="str" cm="1">
        <f t="array" ref="H427">_xlfn.IFS(G427&lt;=20,"0-20",G427&lt;=30,"20-30",G427&lt;=40,"30-40",G427&lt;=50,"50-60",G427&lt;=60,"60-70",G427&lt;=70,"70-80",G427&lt;=80,"80-90")</f>
        <v>30-40</v>
      </c>
      <c r="I427" s="13">
        <v>2576</v>
      </c>
      <c r="J427" s="13" t="str" cm="1">
        <f t="array" ref="J427">_xlfn.IFS(K427=1,"Divorciado",L427=1,"Casado",M427=1,"Solteiro",N427=1,"Juntos",O427=1,"Viuvo")</f>
        <v>Juntos</v>
      </c>
      <c r="K427" s="13">
        <v>0</v>
      </c>
      <c r="L427" s="13">
        <v>0</v>
      </c>
      <c r="M427" s="13">
        <v>0</v>
      </c>
      <c r="N427" s="13">
        <v>1</v>
      </c>
      <c r="O427" s="13">
        <v>0</v>
      </c>
      <c r="P427" s="13">
        <v>0</v>
      </c>
      <c r="Q427" s="13">
        <v>0</v>
      </c>
      <c r="R427" s="13">
        <v>1</v>
      </c>
      <c r="S427" s="13">
        <v>0</v>
      </c>
      <c r="T427" s="13">
        <v>0</v>
      </c>
      <c r="U427" s="13">
        <v>358</v>
      </c>
      <c r="V427" s="13" t="str" cm="1">
        <f t="array" ref="V427">_xlfn.IFS(U427&lt;=250,"0-R$250",U427&lt;=500,"251-R$500",U427&lt;=750,"501-R$750",U427&lt;=1000,"751-R$1000",U427&lt;=1250,"1001-R$1250",U427&lt;=1500,"1251-R$1500")</f>
        <v>251-R$500</v>
      </c>
      <c r="W427" s="13">
        <v>108</v>
      </c>
      <c r="X427" s="13" t="str" cm="1">
        <f t="array" ref="X427">_xlfn.IFS(W427 = 0, "0", W427&lt;=20, "até R$20",W427&lt;=40, "21 - R$40",W427&lt;=60, "41- R$60",W427&lt;=80, "61 - R$80", W427&lt;=100, "81 - R$100",W427&lt;=120, "101 - R$120",W427&lt;=140, "121 - R$140", W427&lt;=160, "141- R$160", W427&lt;=180, "161 - R$180", W427&lt;=200, "181-R$194")</f>
        <v>101 - R$120</v>
      </c>
      <c r="Y427" s="13">
        <v>413</v>
      </c>
      <c r="Z427" s="13">
        <v>141</v>
      </c>
      <c r="AA427" s="13">
        <v>97</v>
      </c>
      <c r="AB427" s="13">
        <v>32</v>
      </c>
      <c r="AC427" s="13">
        <v>1</v>
      </c>
      <c r="AD427" s="13">
        <v>2</v>
      </c>
      <c r="AE427" s="13">
        <v>8</v>
      </c>
      <c r="AF427" s="13">
        <v>6</v>
      </c>
      <c r="AG427" s="13">
        <v>1</v>
      </c>
      <c r="AH427" s="13">
        <v>0</v>
      </c>
      <c r="AI427" s="13">
        <v>0</v>
      </c>
      <c r="AJ427" s="13">
        <v>0</v>
      </c>
      <c r="AK427" s="13">
        <v>0</v>
      </c>
      <c r="AL427" s="13">
        <v>0</v>
      </c>
      <c r="AM427" s="13">
        <v>0</v>
      </c>
      <c r="AN427" s="13">
        <v>0</v>
      </c>
      <c r="AO427" s="14">
        <v>0</v>
      </c>
      <c r="AP427" s="13">
        <v>3</v>
      </c>
      <c r="AQ427" s="13">
        <v>11</v>
      </c>
      <c r="AR427" s="15">
        <v>1085</v>
      </c>
      <c r="AS427" s="15">
        <v>1117</v>
      </c>
    </row>
    <row r="428" spans="1:45" x14ac:dyDescent="0.25">
      <c r="A428">
        <v>1742</v>
      </c>
      <c r="B428" s="11">
        <f t="shared" si="6"/>
        <v>71853</v>
      </c>
      <c r="C428" s="12">
        <v>718530</v>
      </c>
      <c r="D428" s="13">
        <v>0</v>
      </c>
      <c r="E428" s="13">
        <v>0</v>
      </c>
      <c r="F428" s="13">
        <v>29</v>
      </c>
      <c r="G428" s="13">
        <v>38</v>
      </c>
      <c r="H428" s="13" t="str" cm="1">
        <f t="array" ref="H428">_xlfn.IFS(G428&lt;=20,"0-20",G428&lt;=30,"20-30",G428&lt;=40,"30-40",G428&lt;=50,"50-60",G428&lt;=60,"60-70",G428&lt;=70,"70-80",G428&lt;=80,"80-90")</f>
        <v>30-40</v>
      </c>
      <c r="I428" s="13">
        <v>2576</v>
      </c>
      <c r="J428" s="13" t="str" cm="1">
        <f t="array" ref="J428">_xlfn.IFS(K428=1,"Divorciado",L428=1,"Casado",M428=1,"Solteiro",N428=1,"Juntos",O428=1,"Viuvo")</f>
        <v>Juntos</v>
      </c>
      <c r="K428" s="13">
        <v>0</v>
      </c>
      <c r="L428" s="13">
        <v>0</v>
      </c>
      <c r="M428" s="13">
        <v>0</v>
      </c>
      <c r="N428" s="13">
        <v>1</v>
      </c>
      <c r="O428" s="13">
        <v>0</v>
      </c>
      <c r="P428" s="13">
        <v>0</v>
      </c>
      <c r="Q428" s="13">
        <v>0</v>
      </c>
      <c r="R428" s="13">
        <v>1</v>
      </c>
      <c r="S428" s="13">
        <v>0</v>
      </c>
      <c r="T428" s="13">
        <v>0</v>
      </c>
      <c r="U428" s="13">
        <v>358</v>
      </c>
      <c r="V428" s="13" t="str" cm="1">
        <f t="array" ref="V428">_xlfn.IFS(U428&lt;=250,"0-R$250",U428&lt;=500,"251-R$500",U428&lt;=750,"501-R$750",U428&lt;=1000,"751-R$1000",U428&lt;=1250,"1001-R$1250",U428&lt;=1500,"1251-R$1500")</f>
        <v>251-R$500</v>
      </c>
      <c r="W428" s="13">
        <v>108</v>
      </c>
      <c r="X428" s="13" t="str" cm="1">
        <f t="array" ref="X428">_xlfn.IFS(W428 = 0, "0", W428&lt;=20, "até R$20",W428&lt;=40, "21 - R$40",W428&lt;=60, "41- R$60",W428&lt;=80, "61 - R$80", W428&lt;=100, "81 - R$100",W428&lt;=120, "101 - R$120",W428&lt;=140, "121 - R$140", W428&lt;=160, "141- R$160", W428&lt;=180, "161 - R$180", W428&lt;=200, "181-R$194")</f>
        <v>101 - R$120</v>
      </c>
      <c r="Y428" s="13">
        <v>413</v>
      </c>
      <c r="Z428" s="13">
        <v>141</v>
      </c>
      <c r="AA428" s="13">
        <v>97</v>
      </c>
      <c r="AB428" s="13">
        <v>32</v>
      </c>
      <c r="AC428" s="13">
        <v>1</v>
      </c>
      <c r="AD428" s="13">
        <v>2</v>
      </c>
      <c r="AE428" s="13">
        <v>8</v>
      </c>
      <c r="AF428" s="13">
        <v>6</v>
      </c>
      <c r="AG428" s="13">
        <v>1</v>
      </c>
      <c r="AH428" s="13">
        <v>0</v>
      </c>
      <c r="AI428" s="13">
        <v>0</v>
      </c>
      <c r="AJ428" s="13">
        <v>0</v>
      </c>
      <c r="AK428" s="13">
        <v>0</v>
      </c>
      <c r="AL428" s="13">
        <v>0</v>
      </c>
      <c r="AM428" s="13">
        <v>0</v>
      </c>
      <c r="AN428" s="13">
        <v>0</v>
      </c>
      <c r="AO428" s="14">
        <v>0</v>
      </c>
      <c r="AP428" s="13">
        <v>3</v>
      </c>
      <c r="AQ428" s="13">
        <v>11</v>
      </c>
      <c r="AR428" s="15">
        <v>1085</v>
      </c>
      <c r="AS428" s="15">
        <v>1117</v>
      </c>
    </row>
    <row r="429" spans="1:45" x14ac:dyDescent="0.25">
      <c r="A429">
        <v>1942</v>
      </c>
      <c r="B429" s="11">
        <f t="shared" si="6"/>
        <v>77226</v>
      </c>
      <c r="C429" s="12">
        <v>772260</v>
      </c>
      <c r="D429" s="13">
        <v>0</v>
      </c>
      <c r="E429" s="13">
        <v>1</v>
      </c>
      <c r="F429" s="13">
        <v>29</v>
      </c>
      <c r="G429" s="13">
        <v>57</v>
      </c>
      <c r="H429" s="13" t="str" cm="1">
        <f t="array" ref="H429">_xlfn.IFS(G429&lt;=20,"0-20",G429&lt;=30,"20-30",G429&lt;=40,"30-40",G429&lt;=50,"50-60",G429&lt;=60,"60-70",G429&lt;=70,"70-80",G429&lt;=80,"80-90")</f>
        <v>60-70</v>
      </c>
      <c r="I429" s="13">
        <v>2280</v>
      </c>
      <c r="J429" s="13" t="str" cm="1">
        <f t="array" ref="J429">_xlfn.IFS(K429=1,"Divorciado",L429=1,"Casado",M429=1,"Solteiro",N429=1,"Juntos",O429=1,"Viuvo")</f>
        <v>Juntos</v>
      </c>
      <c r="K429" s="13">
        <v>0</v>
      </c>
      <c r="L429" s="13">
        <v>0</v>
      </c>
      <c r="M429" s="13">
        <v>0</v>
      </c>
      <c r="N429" s="13">
        <v>1</v>
      </c>
      <c r="O429" s="13">
        <v>0</v>
      </c>
      <c r="P429" s="13">
        <v>0</v>
      </c>
      <c r="Q429" s="13">
        <v>0</v>
      </c>
      <c r="R429" s="13">
        <v>1</v>
      </c>
      <c r="S429" s="13">
        <v>0</v>
      </c>
      <c r="T429" s="13">
        <v>0</v>
      </c>
      <c r="U429" s="13">
        <v>631</v>
      </c>
      <c r="V429" s="13" t="str" cm="1">
        <f t="array" ref="V429">_xlfn.IFS(U429&lt;=250,"0-R$250",U429&lt;=500,"251-R$500",U429&lt;=750,"501-R$750",U429&lt;=1000,"751-R$1000",U429&lt;=1250,"1001-R$1250",U429&lt;=1500,"1251-R$1500")</f>
        <v>501-R$750</v>
      </c>
      <c r="W429" s="13">
        <v>43</v>
      </c>
      <c r="X429" s="13" t="str" cm="1">
        <f t="array" ref="X429">_xlfn.IFS(W429 = 0, "0", W429&lt;=20, "até R$20",W429&lt;=40, "21 - R$40",W429&lt;=60, "41- R$60",W429&lt;=80, "61 - R$80", W429&lt;=100, "81 - R$100",W429&lt;=120, "101 - R$120",W429&lt;=140, "121 - R$140", W429&lt;=160, "141- R$160", W429&lt;=180, "161 - R$180", W429&lt;=200, "181-R$194")</f>
        <v>41- R$60</v>
      </c>
      <c r="Y429" s="13">
        <v>239</v>
      </c>
      <c r="Z429" s="13">
        <v>128</v>
      </c>
      <c r="AA429" s="13">
        <v>76</v>
      </c>
      <c r="AB429" s="13">
        <v>21</v>
      </c>
      <c r="AC429" s="13">
        <v>2</v>
      </c>
      <c r="AD429" s="13">
        <v>6</v>
      </c>
      <c r="AE429" s="13">
        <v>8</v>
      </c>
      <c r="AF429" s="13">
        <v>12</v>
      </c>
      <c r="AG429" s="13">
        <v>3</v>
      </c>
      <c r="AH429" s="13">
        <v>0</v>
      </c>
      <c r="AI429" s="13">
        <v>0</v>
      </c>
      <c r="AJ429" s="13">
        <v>0</v>
      </c>
      <c r="AK429" s="13">
        <v>0</v>
      </c>
      <c r="AL429" s="13">
        <v>0</v>
      </c>
      <c r="AM429" s="13">
        <v>0</v>
      </c>
      <c r="AN429" s="13">
        <v>0</v>
      </c>
      <c r="AO429" s="14">
        <v>0</v>
      </c>
      <c r="AP429" s="13">
        <v>3</v>
      </c>
      <c r="AQ429" s="13">
        <v>11</v>
      </c>
      <c r="AR429" s="15">
        <v>1096</v>
      </c>
      <c r="AS429" s="15">
        <v>1117</v>
      </c>
    </row>
    <row r="430" spans="1:45" x14ac:dyDescent="0.25">
      <c r="A430">
        <v>515</v>
      </c>
      <c r="B430" s="11">
        <f t="shared" si="6"/>
        <v>72679</v>
      </c>
      <c r="C430" s="16">
        <v>726790</v>
      </c>
      <c r="D430" s="17">
        <v>0</v>
      </c>
      <c r="E430" s="17">
        <v>1</v>
      </c>
      <c r="F430" s="17">
        <v>65</v>
      </c>
      <c r="G430" s="17">
        <v>51</v>
      </c>
      <c r="H430" s="13" t="str" cm="1">
        <f t="array" ref="H430">_xlfn.IFS(G430&lt;=20,"0-20",G430&lt;=30,"20-30",G430&lt;=40,"30-40",G430&lt;=50,"50-60",G430&lt;=60,"60-70",G430&lt;=70,"70-80",G430&lt;=80,"80-90")</f>
        <v>60-70</v>
      </c>
      <c r="I430" s="17">
        <v>2443</v>
      </c>
      <c r="J430" s="13" t="str" cm="1">
        <f t="array" ref="J430">_xlfn.IFS(K430=1,"Divorciado",L430=1,"Casado",M430=1,"Solteiro",N430=1,"Juntos",O430=1,"Viuvo")</f>
        <v>Solteiro</v>
      </c>
      <c r="K430" s="17">
        <v>0</v>
      </c>
      <c r="L430" s="17">
        <v>0</v>
      </c>
      <c r="M430" s="17">
        <v>1</v>
      </c>
      <c r="N430" s="17">
        <v>0</v>
      </c>
      <c r="O430" s="17">
        <v>0</v>
      </c>
      <c r="P430" s="17">
        <v>0</v>
      </c>
      <c r="Q430" s="17">
        <v>0</v>
      </c>
      <c r="R430" s="17">
        <v>1</v>
      </c>
      <c r="S430" s="17">
        <v>0</v>
      </c>
      <c r="T430" s="17">
        <v>0</v>
      </c>
      <c r="U430" s="17">
        <v>619</v>
      </c>
      <c r="V430" s="13" t="str" cm="1">
        <f t="array" ref="V430">_xlfn.IFS(U430&lt;=250,"0-R$250",U430&lt;=500,"251-R$500",U430&lt;=750,"501-R$750",U430&lt;=1000,"751-R$1000",U430&lt;=1250,"1001-R$1250",U430&lt;=1500,"1251-R$1500")</f>
        <v>501-R$750</v>
      </c>
      <c r="W430" s="17">
        <v>54</v>
      </c>
      <c r="X430" s="13" t="str" cm="1">
        <f t="array" ref="X430">_xlfn.IFS(W430 = 0, "0", W430&lt;=20, "até R$20",W430&lt;=40, "21 - R$40",W430&lt;=60, "41- R$60",W430&lt;=80, "61 - R$80", W430&lt;=100, "81 - R$100",W430&lt;=120, "101 - R$120",W430&lt;=140, "121 - R$140", W430&lt;=160, "141- R$160", W430&lt;=180, "161 - R$180", W430&lt;=200, "181-R$194")</f>
        <v>41- R$60</v>
      </c>
      <c r="Y430" s="17">
        <v>260</v>
      </c>
      <c r="Z430" s="17">
        <v>127</v>
      </c>
      <c r="AA430" s="17">
        <v>54</v>
      </c>
      <c r="AB430" s="17">
        <v>54</v>
      </c>
      <c r="AC430" s="17">
        <v>1</v>
      </c>
      <c r="AD430" s="17">
        <v>4</v>
      </c>
      <c r="AE430" s="17">
        <v>7</v>
      </c>
      <c r="AF430" s="17">
        <v>5</v>
      </c>
      <c r="AG430" s="17">
        <v>1</v>
      </c>
      <c r="AH430" s="17">
        <v>0</v>
      </c>
      <c r="AI430" s="17">
        <v>0</v>
      </c>
      <c r="AJ430" s="17">
        <v>0</v>
      </c>
      <c r="AK430" s="17">
        <v>0</v>
      </c>
      <c r="AL430" s="17">
        <v>0</v>
      </c>
      <c r="AM430" s="17">
        <v>0</v>
      </c>
      <c r="AN430" s="17">
        <v>0</v>
      </c>
      <c r="AO430" s="18">
        <v>0</v>
      </c>
      <c r="AP430" s="17">
        <v>3</v>
      </c>
      <c r="AQ430" s="17">
        <v>11</v>
      </c>
      <c r="AR430" s="19">
        <v>1060</v>
      </c>
      <c r="AS430" s="19">
        <v>1114</v>
      </c>
    </row>
    <row r="431" spans="1:45" x14ac:dyDescent="0.25">
      <c r="A431">
        <v>1424</v>
      </c>
      <c r="B431" s="11">
        <f t="shared" si="6"/>
        <v>70038</v>
      </c>
      <c r="C431" s="12">
        <v>700380</v>
      </c>
      <c r="D431" s="13">
        <v>0</v>
      </c>
      <c r="E431" s="13">
        <v>0</v>
      </c>
      <c r="F431" s="13">
        <v>54</v>
      </c>
      <c r="G431" s="13">
        <v>38</v>
      </c>
      <c r="H431" s="13" t="str" cm="1">
        <f t="array" ref="H431">_xlfn.IFS(G431&lt;=20,"0-20",G431&lt;=30,"20-30",G431&lt;=40,"30-40",G431&lt;=50,"50-60",G431&lt;=60,"60-70",G431&lt;=70,"70-80",G431&lt;=80,"80-90")</f>
        <v>30-40</v>
      </c>
      <c r="I431" s="13">
        <v>2406</v>
      </c>
      <c r="J431" s="13" t="str" cm="1">
        <f t="array" ref="J431">_xlfn.IFS(K431=1,"Divorciado",L431=1,"Casado",M431=1,"Solteiro",N431=1,"Juntos",O431=1,"Viuvo")</f>
        <v>Juntos</v>
      </c>
      <c r="K431" s="13">
        <v>0</v>
      </c>
      <c r="L431" s="13">
        <v>0</v>
      </c>
      <c r="M431" s="13">
        <v>0</v>
      </c>
      <c r="N431" s="13">
        <v>1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1</v>
      </c>
      <c r="U431" s="13">
        <v>587</v>
      </c>
      <c r="V431" s="13" t="str" cm="1">
        <f t="array" ref="V431">_xlfn.IFS(U431&lt;=250,"0-R$250",U431&lt;=500,"251-R$500",U431&lt;=750,"501-R$750",U431&lt;=1000,"751-R$1000",U431&lt;=1250,"1001-R$1250",U431&lt;=1500,"1251-R$1500")</f>
        <v>501-R$750</v>
      </c>
      <c r="W431" s="13">
        <v>54</v>
      </c>
      <c r="X431" s="13" t="str" cm="1">
        <f t="array" ref="X431">_xlfn.IFS(W431 = 0, "0", W431&lt;=20, "até R$20",W431&lt;=40, "21 - R$40",W431&lt;=60, "41- R$60",W431&lt;=80, "61 - R$80", W431&lt;=100, "81 - R$100",W431&lt;=120, "101 - R$120",W431&lt;=140, "121 - R$140", W431&lt;=160, "141- R$160", W431&lt;=180, "161 - R$180", W431&lt;=200, "181-R$194")</f>
        <v>41- R$60</v>
      </c>
      <c r="Y431" s="13">
        <v>348</v>
      </c>
      <c r="Z431" s="13">
        <v>71</v>
      </c>
      <c r="AA431" s="13">
        <v>54</v>
      </c>
      <c r="AB431" s="13">
        <v>130</v>
      </c>
      <c r="AC431" s="13">
        <v>1</v>
      </c>
      <c r="AD431" s="13">
        <v>4</v>
      </c>
      <c r="AE431" s="13">
        <v>4</v>
      </c>
      <c r="AF431" s="13">
        <v>8</v>
      </c>
      <c r="AG431" s="13">
        <v>2</v>
      </c>
      <c r="AH431" s="13">
        <v>0</v>
      </c>
      <c r="AI431" s="13">
        <v>0</v>
      </c>
      <c r="AJ431" s="13">
        <v>0</v>
      </c>
      <c r="AK431" s="13">
        <v>0</v>
      </c>
      <c r="AL431" s="13">
        <v>0</v>
      </c>
      <c r="AM431" s="13">
        <v>0</v>
      </c>
      <c r="AN431" s="13">
        <v>0</v>
      </c>
      <c r="AO431" s="14">
        <v>0</v>
      </c>
      <c r="AP431" s="13">
        <v>3</v>
      </c>
      <c r="AQ431" s="13">
        <v>11</v>
      </c>
      <c r="AR431" s="15">
        <v>984</v>
      </c>
      <c r="AS431" s="15">
        <v>1114</v>
      </c>
    </row>
    <row r="432" spans="1:45" x14ac:dyDescent="0.25">
      <c r="A432">
        <v>2035</v>
      </c>
      <c r="B432" s="11">
        <f t="shared" si="6"/>
        <v>70038</v>
      </c>
      <c r="C432" s="16">
        <v>700380</v>
      </c>
      <c r="D432" s="17">
        <v>0</v>
      </c>
      <c r="E432" s="17">
        <v>0</v>
      </c>
      <c r="F432" s="17">
        <v>54</v>
      </c>
      <c r="G432" s="17">
        <v>38</v>
      </c>
      <c r="H432" s="13" t="str" cm="1">
        <f t="array" ref="H432">_xlfn.IFS(G432&lt;=20,"0-20",G432&lt;=30,"20-30",G432&lt;=40,"30-40",G432&lt;=50,"50-60",G432&lt;=60,"60-70",G432&lt;=70,"70-80",G432&lt;=80,"80-90")</f>
        <v>30-40</v>
      </c>
      <c r="I432" s="17">
        <v>2406</v>
      </c>
      <c r="J432" s="13" t="str" cm="1">
        <f t="array" ref="J432">_xlfn.IFS(K432=1,"Divorciado",L432=1,"Casado",M432=1,"Solteiro",N432=1,"Juntos",O432=1,"Viuvo")</f>
        <v>Juntos</v>
      </c>
      <c r="K432" s="17">
        <v>0</v>
      </c>
      <c r="L432" s="17">
        <v>0</v>
      </c>
      <c r="M432" s="17">
        <v>0</v>
      </c>
      <c r="N432" s="17">
        <v>1</v>
      </c>
      <c r="O432" s="17">
        <v>0</v>
      </c>
      <c r="P432" s="17">
        <v>0</v>
      </c>
      <c r="Q432" s="17">
        <v>0</v>
      </c>
      <c r="R432" s="17">
        <v>0</v>
      </c>
      <c r="S432" s="17">
        <v>0</v>
      </c>
      <c r="T432" s="17">
        <v>1</v>
      </c>
      <c r="U432" s="17">
        <v>587</v>
      </c>
      <c r="V432" s="13" t="str" cm="1">
        <f t="array" ref="V432">_xlfn.IFS(U432&lt;=250,"0-R$250",U432&lt;=500,"251-R$500",U432&lt;=750,"501-R$750",U432&lt;=1000,"751-R$1000",U432&lt;=1250,"1001-R$1250",U432&lt;=1500,"1251-R$1500")</f>
        <v>501-R$750</v>
      </c>
      <c r="W432" s="17">
        <v>54</v>
      </c>
      <c r="X432" s="13" t="str" cm="1">
        <f t="array" ref="X432">_xlfn.IFS(W432 = 0, "0", W432&lt;=20, "até R$20",W432&lt;=40, "21 - R$40",W432&lt;=60, "41- R$60",W432&lt;=80, "61 - R$80", W432&lt;=100, "81 - R$100",W432&lt;=120, "101 - R$120",W432&lt;=140, "121 - R$140", W432&lt;=160, "141- R$160", W432&lt;=180, "161 - R$180", W432&lt;=200, "181-R$194")</f>
        <v>41- R$60</v>
      </c>
      <c r="Y432" s="17">
        <v>348</v>
      </c>
      <c r="Z432" s="17">
        <v>71</v>
      </c>
      <c r="AA432" s="17">
        <v>54</v>
      </c>
      <c r="AB432" s="17">
        <v>130</v>
      </c>
      <c r="AC432" s="17">
        <v>1</v>
      </c>
      <c r="AD432" s="17">
        <v>4</v>
      </c>
      <c r="AE432" s="17">
        <v>4</v>
      </c>
      <c r="AF432" s="17">
        <v>8</v>
      </c>
      <c r="AG432" s="17">
        <v>2</v>
      </c>
      <c r="AH432" s="17">
        <v>0</v>
      </c>
      <c r="AI432" s="17">
        <v>0</v>
      </c>
      <c r="AJ432" s="17">
        <v>0</v>
      </c>
      <c r="AK432" s="17">
        <v>0</v>
      </c>
      <c r="AL432" s="17">
        <v>0</v>
      </c>
      <c r="AM432" s="17">
        <v>0</v>
      </c>
      <c r="AN432" s="17">
        <v>0</v>
      </c>
      <c r="AO432" s="18">
        <v>0</v>
      </c>
      <c r="AP432" s="17">
        <v>3</v>
      </c>
      <c r="AQ432" s="17">
        <v>11</v>
      </c>
      <c r="AR432" s="19">
        <v>984</v>
      </c>
      <c r="AS432" s="19">
        <v>1114</v>
      </c>
    </row>
    <row r="433" spans="1:45" x14ac:dyDescent="0.25">
      <c r="A433">
        <v>1028</v>
      </c>
      <c r="B433" s="11">
        <f t="shared" si="6"/>
        <v>77037</v>
      </c>
      <c r="C433" s="12">
        <v>770370</v>
      </c>
      <c r="D433" s="13">
        <v>0</v>
      </c>
      <c r="E433" s="13">
        <v>1</v>
      </c>
      <c r="F433" s="13">
        <v>3</v>
      </c>
      <c r="G433" s="13">
        <v>60</v>
      </c>
      <c r="H433" s="13" t="str" cm="1">
        <f t="array" ref="H433">_xlfn.IFS(G433&lt;=20,"0-20",G433&lt;=30,"20-30",G433&lt;=40,"30-40",G433&lt;=50,"50-60",G433&lt;=60,"60-70",G433&lt;=70,"70-80",G433&lt;=80,"80-90")</f>
        <v>60-70</v>
      </c>
      <c r="I433" s="13">
        <v>2418</v>
      </c>
      <c r="J433" s="13" t="str" cm="1">
        <f t="array" ref="J433">_xlfn.IFS(K433=1,"Divorciado",L433=1,"Casado",M433=1,"Solteiro",N433=1,"Juntos",O433=1,"Viuvo")</f>
        <v>Casado</v>
      </c>
      <c r="K433" s="13">
        <v>0</v>
      </c>
      <c r="L433" s="13">
        <v>1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1</v>
      </c>
      <c r="U433" s="13">
        <v>463</v>
      </c>
      <c r="V433" s="13" t="str" cm="1">
        <f t="array" ref="V433">_xlfn.IFS(U433&lt;=250,"0-R$250",U433&lt;=500,"251-R$500",U433&lt;=750,"501-R$750",U433&lt;=1000,"751-R$1000",U433&lt;=1250,"1001-R$1250",U433&lt;=1500,"1251-R$1500")</f>
        <v>251-R$500</v>
      </c>
      <c r="W433" s="13">
        <v>96</v>
      </c>
      <c r="X433" s="13" t="str" cm="1">
        <f t="array" ref="X433">_xlfn.IFS(W433 = 0, "0", W433&lt;=20, "até R$20",W433&lt;=40, "21 - R$40",W433&lt;=60, "41- R$60",W433&lt;=80, "61 - R$80", W433&lt;=100, "81 - R$100",W433&lt;=120, "101 - R$120",W433&lt;=140, "121 - R$140", W433&lt;=160, "141- R$160", W433&lt;=180, "161 - R$180", W433&lt;=200, "181-R$194")</f>
        <v>81 - R$100</v>
      </c>
      <c r="Y433" s="13">
        <v>333</v>
      </c>
      <c r="Z433" s="13">
        <v>168</v>
      </c>
      <c r="AA433" s="13">
        <v>53</v>
      </c>
      <c r="AB433" s="13">
        <v>10</v>
      </c>
      <c r="AC433" s="13">
        <v>1</v>
      </c>
      <c r="AD433" s="13">
        <v>7</v>
      </c>
      <c r="AE433" s="13">
        <v>7</v>
      </c>
      <c r="AF433" s="13">
        <v>12</v>
      </c>
      <c r="AG433" s="13">
        <v>3</v>
      </c>
      <c r="AH433" s="13">
        <v>0</v>
      </c>
      <c r="AI433" s="13">
        <v>0</v>
      </c>
      <c r="AJ433" s="13">
        <v>0</v>
      </c>
      <c r="AK433" s="13">
        <v>0</v>
      </c>
      <c r="AL433" s="13">
        <v>0</v>
      </c>
      <c r="AM433" s="13">
        <v>0</v>
      </c>
      <c r="AN433" s="13">
        <v>0</v>
      </c>
      <c r="AO433" s="14">
        <v>0</v>
      </c>
      <c r="AP433" s="13">
        <v>3</v>
      </c>
      <c r="AQ433" s="13">
        <v>11</v>
      </c>
      <c r="AR433" s="15">
        <v>1103</v>
      </c>
      <c r="AS433" s="15">
        <v>1113</v>
      </c>
    </row>
    <row r="434" spans="1:45" x14ac:dyDescent="0.25">
      <c r="A434">
        <v>1582</v>
      </c>
      <c r="B434" s="11">
        <f t="shared" si="6"/>
        <v>71855</v>
      </c>
      <c r="C434" s="12">
        <v>718550</v>
      </c>
      <c r="D434" s="13">
        <v>0</v>
      </c>
      <c r="E434" s="13">
        <v>1</v>
      </c>
      <c r="F434" s="13">
        <v>59</v>
      </c>
      <c r="G434" s="13">
        <v>43</v>
      </c>
      <c r="H434" s="13" t="str" cm="1">
        <f t="array" ref="H434">_xlfn.IFS(G434&lt;=20,"0-20",G434&lt;=30,"20-30",G434&lt;=40,"30-40",G434&lt;=50,"50-60",G434&lt;=60,"60-70",G434&lt;=70,"70-80",G434&lt;=80,"80-90")</f>
        <v>50-60</v>
      </c>
      <c r="I434" s="13">
        <v>2688</v>
      </c>
      <c r="J434" s="13" t="str" cm="1">
        <f t="array" ref="J434">_xlfn.IFS(K434=1,"Divorciado",L434=1,"Casado",M434=1,"Solteiro",N434=1,"Juntos",O434=1,"Viuvo")</f>
        <v>Casado</v>
      </c>
      <c r="K434" s="13">
        <v>0</v>
      </c>
      <c r="L434" s="13">
        <v>1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1</v>
      </c>
      <c r="S434" s="13">
        <v>0</v>
      </c>
      <c r="T434" s="13">
        <v>0</v>
      </c>
      <c r="U434" s="13">
        <v>548</v>
      </c>
      <c r="V434" s="13" t="str" cm="1">
        <f t="array" ref="V434">_xlfn.IFS(U434&lt;=250,"0-R$250",U434&lt;=500,"251-R$500",U434&lt;=750,"501-R$750",U434&lt;=1000,"751-R$1000",U434&lt;=1250,"1001-R$1250",U434&lt;=1500,"1251-R$1500")</f>
        <v>501-R$750</v>
      </c>
      <c r="W434" s="13">
        <v>31</v>
      </c>
      <c r="X434" s="13" t="str" cm="1">
        <f t="array" ref="X434">_xlfn.IFS(W434 = 0, "0", W434&lt;=20, "até R$20",W434&lt;=40, "21 - R$40",W434&lt;=60, "41- R$60",W434&lt;=80, "61 - R$80", W434&lt;=100, "81 - R$100",W434&lt;=120, "101 - R$120",W434&lt;=140, "121 - R$140", W434&lt;=160, "141- R$160", W434&lt;=180, "161 - R$180", W434&lt;=200, "181-R$194")</f>
        <v>21 - R$40</v>
      </c>
      <c r="Y434" s="13">
        <v>422</v>
      </c>
      <c r="Z434" s="13">
        <v>0</v>
      </c>
      <c r="AA434" s="13">
        <v>112</v>
      </c>
      <c r="AB434" s="13">
        <v>28</v>
      </c>
      <c r="AC434" s="13">
        <v>4</v>
      </c>
      <c r="AD434" s="13">
        <v>5</v>
      </c>
      <c r="AE434" s="13">
        <v>5</v>
      </c>
      <c r="AF434" s="13">
        <v>11</v>
      </c>
      <c r="AG434" s="13">
        <v>3</v>
      </c>
      <c r="AH434" s="13">
        <v>0</v>
      </c>
      <c r="AI434" s="13">
        <v>0</v>
      </c>
      <c r="AJ434" s="13">
        <v>0</v>
      </c>
      <c r="AK434" s="13">
        <v>0</v>
      </c>
      <c r="AL434" s="13">
        <v>0</v>
      </c>
      <c r="AM434" s="13">
        <v>0</v>
      </c>
      <c r="AN434" s="13">
        <v>0</v>
      </c>
      <c r="AO434" s="14">
        <v>0</v>
      </c>
      <c r="AP434" s="13">
        <v>3</v>
      </c>
      <c r="AQ434" s="13">
        <v>11</v>
      </c>
      <c r="AR434" s="15">
        <v>1085</v>
      </c>
      <c r="AS434" s="15">
        <v>1113</v>
      </c>
    </row>
    <row r="435" spans="1:45" x14ac:dyDescent="0.25">
      <c r="A435">
        <v>1748</v>
      </c>
      <c r="B435" s="11">
        <f t="shared" si="6"/>
        <v>85431</v>
      </c>
      <c r="C435" s="12">
        <v>854310</v>
      </c>
      <c r="D435" s="13">
        <v>0</v>
      </c>
      <c r="E435" s="13">
        <v>0</v>
      </c>
      <c r="F435" s="13">
        <v>54</v>
      </c>
      <c r="G435" s="13">
        <v>68</v>
      </c>
      <c r="H435" s="13" t="str" cm="1">
        <f t="array" ref="H435">_xlfn.IFS(G435&lt;=20,"0-20",G435&lt;=30,"20-30",G435&lt;=40,"30-40",G435&lt;=50,"50-60",G435&lt;=60,"60-70",G435&lt;=70,"70-80",G435&lt;=80,"80-90")</f>
        <v>70-80</v>
      </c>
      <c r="I435" s="13">
        <v>2545</v>
      </c>
      <c r="J435" s="13" t="str" cm="1">
        <f t="array" ref="J435">_xlfn.IFS(K435=1,"Divorciado",L435=1,"Casado",M435=1,"Solteiro",N435=1,"Juntos",O435=1,"Viuvo")</f>
        <v>Juntos</v>
      </c>
      <c r="K435" s="13">
        <v>0</v>
      </c>
      <c r="L435" s="13">
        <v>0</v>
      </c>
      <c r="M435" s="13">
        <v>0</v>
      </c>
      <c r="N435" s="13">
        <v>1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1</v>
      </c>
      <c r="U435" s="13">
        <v>376</v>
      </c>
      <c r="V435" s="13" t="str" cm="1">
        <f t="array" ref="V435">_xlfn.IFS(U435&lt;=250,"0-R$250",U435&lt;=500,"251-R$500",U435&lt;=750,"501-R$750",U435&lt;=1000,"751-R$1000",U435&lt;=1250,"1001-R$1250",U435&lt;=1500,"1251-R$1500")</f>
        <v>251-R$500</v>
      </c>
      <c r="W435" s="13">
        <v>53</v>
      </c>
      <c r="X435" s="13" t="str" cm="1">
        <f t="array" ref="X435">_xlfn.IFS(W435 = 0, "0", W435&lt;=20, "até R$20",W435&lt;=40, "21 - R$40",W435&lt;=60, "41- R$60",W435&lt;=80, "61 - R$80", W435&lt;=100, "81 - R$100",W435&lt;=120, "101 - R$120",W435&lt;=140, "121 - R$140", W435&lt;=160, "141- R$160", W435&lt;=180, "161 - R$180", W435&lt;=200, "181-R$194")</f>
        <v>41- R$60</v>
      </c>
      <c r="Y435" s="13">
        <v>462</v>
      </c>
      <c r="Z435" s="13">
        <v>168</v>
      </c>
      <c r="AA435" s="13">
        <v>53</v>
      </c>
      <c r="AB435" s="13">
        <v>53</v>
      </c>
      <c r="AC435" s="13">
        <v>1</v>
      </c>
      <c r="AD435" s="13">
        <v>2</v>
      </c>
      <c r="AE435" s="13">
        <v>7</v>
      </c>
      <c r="AF435" s="13">
        <v>7</v>
      </c>
      <c r="AG435" s="13">
        <v>0</v>
      </c>
      <c r="AH435" s="13">
        <v>0</v>
      </c>
      <c r="AI435" s="13">
        <v>0</v>
      </c>
      <c r="AJ435" s="13">
        <v>0</v>
      </c>
      <c r="AK435" s="13">
        <v>0</v>
      </c>
      <c r="AL435" s="13">
        <v>0</v>
      </c>
      <c r="AM435" s="13">
        <v>0</v>
      </c>
      <c r="AN435" s="13">
        <v>0</v>
      </c>
      <c r="AO435" s="14">
        <v>0</v>
      </c>
      <c r="AP435" s="13">
        <v>3</v>
      </c>
      <c r="AQ435" s="13">
        <v>11</v>
      </c>
      <c r="AR435" s="15">
        <v>1059</v>
      </c>
      <c r="AS435" s="15">
        <v>1112</v>
      </c>
    </row>
    <row r="436" spans="1:45" x14ac:dyDescent="0.25">
      <c r="A436">
        <v>1262</v>
      </c>
      <c r="B436" s="11">
        <f t="shared" si="6"/>
        <v>49118</v>
      </c>
      <c r="C436" s="12">
        <v>491180</v>
      </c>
      <c r="D436" s="13">
        <v>0</v>
      </c>
      <c r="E436" s="13">
        <v>0</v>
      </c>
      <c r="F436" s="13">
        <v>90</v>
      </c>
      <c r="G436" s="13">
        <v>49</v>
      </c>
      <c r="H436" s="13" t="str" cm="1">
        <f t="array" ref="H436">_xlfn.IFS(G436&lt;=20,"0-20",G436&lt;=30,"20-30",G436&lt;=40,"30-40",G436&lt;=50,"50-60",G436&lt;=60,"60-70",G436&lt;=70,"70-80",G436&lt;=80,"80-90")</f>
        <v>50-60</v>
      </c>
      <c r="I436" s="13">
        <v>2839</v>
      </c>
      <c r="J436" s="13" t="str" cm="1">
        <f t="array" ref="J436">_xlfn.IFS(K436=1,"Divorciado",L436=1,"Casado",M436=1,"Solteiro",N436=1,"Juntos",O436=1,"Viuvo")</f>
        <v>Divorciado</v>
      </c>
      <c r="K436" s="13">
        <v>1</v>
      </c>
      <c r="L436" s="13">
        <v>0</v>
      </c>
      <c r="M436" s="13">
        <v>0</v>
      </c>
      <c r="N436" s="13">
        <v>0</v>
      </c>
      <c r="O436" s="13">
        <v>0</v>
      </c>
      <c r="P436" s="13">
        <v>1</v>
      </c>
      <c r="Q436" s="13">
        <v>0</v>
      </c>
      <c r="R436" s="13">
        <v>0</v>
      </c>
      <c r="S436" s="13">
        <v>0</v>
      </c>
      <c r="T436" s="13">
        <v>0</v>
      </c>
      <c r="U436" s="13">
        <v>620</v>
      </c>
      <c r="V436" s="13" t="str" cm="1">
        <f t="array" ref="V436">_xlfn.IFS(U436&lt;=250,"0-R$250",U436&lt;=500,"251-R$500",U436&lt;=750,"501-R$750",U436&lt;=1000,"751-R$1000",U436&lt;=1250,"1001-R$1250",U436&lt;=1500,"1251-R$1500")</f>
        <v>501-R$750</v>
      </c>
      <c r="W436" s="13">
        <v>54</v>
      </c>
      <c r="X436" s="13" t="str" cm="1">
        <f t="array" ref="X436">_xlfn.IFS(W436 = 0, "0", W436&lt;=20, "até R$20",W436&lt;=40, "21 - R$40",W436&lt;=60, "41- R$60",W436&lt;=80, "61 - R$80", W436&lt;=100, "81 - R$100",W436&lt;=120, "101 - R$120",W436&lt;=140, "121 - R$140", W436&lt;=160, "141- R$160", W436&lt;=180, "161 - R$180", W436&lt;=200, "181-R$194")</f>
        <v>41- R$60</v>
      </c>
      <c r="Y436" s="13">
        <v>239</v>
      </c>
      <c r="Z436" s="13">
        <v>99</v>
      </c>
      <c r="AA436" s="13">
        <v>98</v>
      </c>
      <c r="AB436" s="13">
        <v>119</v>
      </c>
      <c r="AC436" s="13">
        <v>2</v>
      </c>
      <c r="AD436" s="13">
        <v>9</v>
      </c>
      <c r="AE436" s="13">
        <v>7</v>
      </c>
      <c r="AF436" s="13">
        <v>10</v>
      </c>
      <c r="AG436" s="13">
        <v>7</v>
      </c>
      <c r="AH436" s="13">
        <v>0</v>
      </c>
      <c r="AI436" s="13">
        <v>0</v>
      </c>
      <c r="AJ436" s="13">
        <v>1</v>
      </c>
      <c r="AK436" s="13">
        <v>0</v>
      </c>
      <c r="AL436" s="13">
        <v>0</v>
      </c>
      <c r="AM436" s="13">
        <v>1</v>
      </c>
      <c r="AN436" s="13">
        <v>1</v>
      </c>
      <c r="AO436" s="14">
        <v>2</v>
      </c>
      <c r="AP436" s="13">
        <v>3</v>
      </c>
      <c r="AQ436" s="13">
        <v>11</v>
      </c>
      <c r="AR436" s="15">
        <v>991</v>
      </c>
      <c r="AS436" s="15">
        <v>1110</v>
      </c>
    </row>
    <row r="437" spans="1:45" x14ac:dyDescent="0.25">
      <c r="A437">
        <v>622</v>
      </c>
      <c r="B437" s="11">
        <f t="shared" si="6"/>
        <v>73691</v>
      </c>
      <c r="C437" s="12">
        <v>736910</v>
      </c>
      <c r="D437" s="13">
        <v>0</v>
      </c>
      <c r="E437" s="13">
        <v>1</v>
      </c>
      <c r="F437" s="13">
        <v>58</v>
      </c>
      <c r="G437" s="13">
        <v>49</v>
      </c>
      <c r="H437" s="13" t="str" cm="1">
        <f t="array" ref="H437">_xlfn.IFS(G437&lt;=20,"0-20",G437&lt;=30,"20-30",G437&lt;=40,"30-40",G437&lt;=50,"50-60",G437&lt;=60,"60-70",G437&lt;=70,"70-80",G437&lt;=80,"80-90")</f>
        <v>50-60</v>
      </c>
      <c r="I437" s="13">
        <v>2394</v>
      </c>
      <c r="J437" s="13" t="str" cm="1">
        <f t="array" ref="J437">_xlfn.IFS(K437=1,"Divorciado",L437=1,"Casado",M437=1,"Solteiro",N437=1,"Juntos",O437=1,"Viuvo")</f>
        <v>Casado</v>
      </c>
      <c r="K437" s="13">
        <v>0</v>
      </c>
      <c r="L437" s="13">
        <v>1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1</v>
      </c>
      <c r="S437" s="13">
        <v>0</v>
      </c>
      <c r="T437" s="13">
        <v>0</v>
      </c>
      <c r="U437" s="13">
        <v>707</v>
      </c>
      <c r="V437" s="13" t="str" cm="1">
        <f t="array" ref="V437">_xlfn.IFS(U437&lt;=250,"0-R$250",U437&lt;=500,"251-R$500",U437&lt;=750,"501-R$750",U437&lt;=1000,"751-R$1000",U437&lt;=1250,"1001-R$1250",U437&lt;=1500,"1251-R$1500")</f>
        <v>501-R$750</v>
      </c>
      <c r="W437" s="13">
        <v>21</v>
      </c>
      <c r="X437" s="13" t="str" cm="1">
        <f t="array" ref="X437">_xlfn.IFS(W437 = 0, "0", W437&lt;=20, "até R$20",W437&lt;=40, "21 - R$40",W437&lt;=60, "41- R$60",W437&lt;=80, "61 - R$80", W437&lt;=100, "81 - R$100",W437&lt;=120, "101 - R$120",W437&lt;=140, "121 - R$140", W437&lt;=160, "141- R$160", W437&lt;=180, "161 - R$180", W437&lt;=200, "181-R$194")</f>
        <v>21 - R$40</v>
      </c>
      <c r="Y437" s="13">
        <v>250</v>
      </c>
      <c r="Z437" s="13">
        <v>85</v>
      </c>
      <c r="AA437" s="13">
        <v>43</v>
      </c>
      <c r="AB437" s="13">
        <v>73</v>
      </c>
      <c r="AC437" s="13">
        <v>2</v>
      </c>
      <c r="AD437" s="13">
        <v>6</v>
      </c>
      <c r="AE437" s="13">
        <v>2</v>
      </c>
      <c r="AF437" s="13">
        <v>8</v>
      </c>
      <c r="AG437" s="13">
        <v>2</v>
      </c>
      <c r="AH437" s="13">
        <v>0</v>
      </c>
      <c r="AI437" s="13">
        <v>1</v>
      </c>
      <c r="AJ437" s="13">
        <v>0</v>
      </c>
      <c r="AK437" s="13">
        <v>0</v>
      </c>
      <c r="AL437" s="13">
        <v>0</v>
      </c>
      <c r="AM437" s="13">
        <v>0</v>
      </c>
      <c r="AN437" s="13">
        <v>0</v>
      </c>
      <c r="AO437" s="14">
        <v>1</v>
      </c>
      <c r="AP437" s="13">
        <v>3</v>
      </c>
      <c r="AQ437" s="13">
        <v>11</v>
      </c>
      <c r="AR437" s="15">
        <v>1033</v>
      </c>
      <c r="AS437" s="15">
        <v>1106</v>
      </c>
    </row>
    <row r="438" spans="1:45" x14ac:dyDescent="0.25">
      <c r="A438">
        <v>1427</v>
      </c>
      <c r="B438" s="11">
        <f t="shared" si="6"/>
        <v>77343</v>
      </c>
      <c r="C438" s="16">
        <v>773430</v>
      </c>
      <c r="D438" s="17">
        <v>0</v>
      </c>
      <c r="E438" s="17">
        <v>0</v>
      </c>
      <c r="F438" s="17">
        <v>28</v>
      </c>
      <c r="G438" s="17">
        <v>55</v>
      </c>
      <c r="H438" s="13" t="str" cm="1">
        <f t="array" ref="H438">_xlfn.IFS(G438&lt;=20,"0-20",G438&lt;=30,"20-30",G438&lt;=40,"30-40",G438&lt;=50,"50-60",G438&lt;=60,"60-70",G438&lt;=70,"70-80",G438&lt;=80,"80-90")</f>
        <v>60-70</v>
      </c>
      <c r="I438" s="17">
        <v>2179</v>
      </c>
      <c r="J438" s="13" t="str" cm="1">
        <f t="array" ref="J438">_xlfn.IFS(K438=1,"Divorciado",L438=1,"Casado",M438=1,"Solteiro",N438=1,"Juntos",O438=1,"Viuvo")</f>
        <v>Casado</v>
      </c>
      <c r="K438" s="17">
        <v>0</v>
      </c>
      <c r="L438" s="17">
        <v>1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1</v>
      </c>
      <c r="S438" s="17">
        <v>0</v>
      </c>
      <c r="T438" s="17">
        <v>0</v>
      </c>
      <c r="U438" s="17">
        <v>227</v>
      </c>
      <c r="V438" s="13" t="str" cm="1">
        <f t="array" ref="V438">_xlfn.IFS(U438&lt;=250,"0-R$250",U438&lt;=500,"251-R$500",U438&lt;=750,"501-R$750",U438&lt;=1000,"751-R$1000",U438&lt;=1250,"1001-R$1250",U438&lt;=1500,"1251-R$1500")</f>
        <v>0-R$250</v>
      </c>
      <c r="W438" s="17">
        <v>151</v>
      </c>
      <c r="X438" s="13" t="str" cm="1">
        <f t="array" ref="X438">_xlfn.IFS(W438 = 0, "0", W438&lt;=20, "até R$20",W438&lt;=40, "21 - R$40",W438&lt;=60, "41- R$60",W438&lt;=80, "61 - R$80", W438&lt;=100, "81 - R$100",W438&lt;=120, "101 - R$120",W438&lt;=140, "121 - R$140", W438&lt;=160, "141- R$160", W438&lt;=180, "161 - R$180", W438&lt;=200, "181-R$194")</f>
        <v>141- R$160</v>
      </c>
      <c r="Y438" s="17">
        <v>573</v>
      </c>
      <c r="Z438" s="17">
        <v>98</v>
      </c>
      <c r="AA438" s="17">
        <v>54</v>
      </c>
      <c r="AB438" s="17">
        <v>31</v>
      </c>
      <c r="AC438" s="17">
        <v>1</v>
      </c>
      <c r="AD438" s="17">
        <v>3</v>
      </c>
      <c r="AE438" s="17">
        <v>4</v>
      </c>
      <c r="AF438" s="17">
        <v>9</v>
      </c>
      <c r="AG438" s="17">
        <v>1</v>
      </c>
      <c r="AH438" s="17">
        <v>0</v>
      </c>
      <c r="AI438" s="17">
        <v>0</v>
      </c>
      <c r="AJ438" s="17">
        <v>0</v>
      </c>
      <c r="AK438" s="17">
        <v>0</v>
      </c>
      <c r="AL438" s="17">
        <v>0</v>
      </c>
      <c r="AM438" s="17">
        <v>0</v>
      </c>
      <c r="AN438" s="17">
        <v>0</v>
      </c>
      <c r="AO438" s="18">
        <v>0</v>
      </c>
      <c r="AP438" s="17">
        <v>3</v>
      </c>
      <c r="AQ438" s="17">
        <v>11</v>
      </c>
      <c r="AR438" s="19">
        <v>1072</v>
      </c>
      <c r="AS438" s="19">
        <v>1103</v>
      </c>
    </row>
    <row r="439" spans="1:45" x14ac:dyDescent="0.25">
      <c r="A439">
        <v>489</v>
      </c>
      <c r="B439" s="11">
        <f t="shared" si="6"/>
        <v>53653</v>
      </c>
      <c r="C439" s="16">
        <v>536530</v>
      </c>
      <c r="D439" s="17">
        <v>0</v>
      </c>
      <c r="E439" s="17">
        <v>0</v>
      </c>
      <c r="F439" s="17">
        <v>29</v>
      </c>
      <c r="G439" s="17">
        <v>67</v>
      </c>
      <c r="H439" s="13" t="str" cm="1">
        <f t="array" ref="H439">_xlfn.IFS(G439&lt;=20,"0-20",G439&lt;=30,"20-30",G439&lt;=40,"30-40",G439&lt;=50,"50-60",G439&lt;=60,"60-70",G439&lt;=70,"70-80",G439&lt;=80,"80-90")</f>
        <v>70-80</v>
      </c>
      <c r="I439" s="17">
        <v>2758</v>
      </c>
      <c r="J439" s="13" t="str" cm="1">
        <f t="array" ref="J439">_xlfn.IFS(K439=1,"Divorciado",L439=1,"Casado",M439=1,"Solteiro",N439=1,"Juntos",O439=1,"Viuvo")</f>
        <v>Viuvo</v>
      </c>
      <c r="K439" s="17">
        <v>0</v>
      </c>
      <c r="L439" s="17">
        <v>0</v>
      </c>
      <c r="M439" s="17">
        <v>0</v>
      </c>
      <c r="N439" s="17">
        <v>0</v>
      </c>
      <c r="O439" s="17">
        <v>1</v>
      </c>
      <c r="P439" s="17">
        <v>0</v>
      </c>
      <c r="Q439" s="17">
        <v>0</v>
      </c>
      <c r="R439" s="17">
        <v>1</v>
      </c>
      <c r="S439" s="17">
        <v>0</v>
      </c>
      <c r="T439" s="17">
        <v>0</v>
      </c>
      <c r="U439" s="17">
        <v>815</v>
      </c>
      <c r="V439" s="13" t="str" cm="1">
        <f t="array" ref="V439">_xlfn.IFS(U439&lt;=250,"0-R$250",U439&lt;=500,"251-R$500",U439&lt;=750,"501-R$750",U439&lt;=1000,"751-R$1000",U439&lt;=1250,"1001-R$1250",U439&lt;=1500,"1251-R$1500")</f>
        <v>751-R$1000</v>
      </c>
      <c r="W439" s="17">
        <v>10</v>
      </c>
      <c r="X439" s="13" t="str" cm="1">
        <f t="array" ref="X439">_xlfn.IFS(W439 = 0, "0", W439&lt;=20, "até R$20",W439&lt;=40, "21 - R$40",W439&lt;=60, "41- R$60",W439&lt;=80, "61 - R$80", W439&lt;=100, "81 - R$100",W439&lt;=120, "101 - R$120",W439&lt;=140, "121 - R$140", W439&lt;=160, "141- R$160", W439&lt;=180, "161 - R$180", W439&lt;=200, "181-R$194")</f>
        <v>até R$20</v>
      </c>
      <c r="Y439" s="17">
        <v>239</v>
      </c>
      <c r="Z439" s="17">
        <v>28</v>
      </c>
      <c r="AA439" s="17">
        <v>10</v>
      </c>
      <c r="AB439" s="17">
        <v>108</v>
      </c>
      <c r="AC439" s="17">
        <v>2</v>
      </c>
      <c r="AD439" s="17">
        <v>10</v>
      </c>
      <c r="AE439" s="17">
        <v>4</v>
      </c>
      <c r="AF439" s="17">
        <v>12</v>
      </c>
      <c r="AG439" s="17">
        <v>6</v>
      </c>
      <c r="AH439" s="17">
        <v>0</v>
      </c>
      <c r="AI439" s="17">
        <v>0</v>
      </c>
      <c r="AJ439" s="17">
        <v>0</v>
      </c>
      <c r="AK439" s="17">
        <v>0</v>
      </c>
      <c r="AL439" s="17">
        <v>0</v>
      </c>
      <c r="AM439" s="17">
        <v>0</v>
      </c>
      <c r="AN439" s="17">
        <v>0</v>
      </c>
      <c r="AO439" s="18">
        <v>0</v>
      </c>
      <c r="AP439" s="17">
        <v>3</v>
      </c>
      <c r="AQ439" s="17">
        <v>11</v>
      </c>
      <c r="AR439" s="19">
        <v>994</v>
      </c>
      <c r="AS439" s="19">
        <v>1102</v>
      </c>
    </row>
    <row r="440" spans="1:45" x14ac:dyDescent="0.25">
      <c r="A440">
        <v>911</v>
      </c>
      <c r="B440" s="11">
        <f t="shared" si="6"/>
        <v>79632</v>
      </c>
      <c r="C440" s="16">
        <v>796320</v>
      </c>
      <c r="D440" s="17">
        <v>0</v>
      </c>
      <c r="E440" s="17">
        <v>0</v>
      </c>
      <c r="F440" s="17">
        <v>42</v>
      </c>
      <c r="G440" s="17">
        <v>46</v>
      </c>
      <c r="H440" s="13" t="str" cm="1">
        <f t="array" ref="H440">_xlfn.IFS(G440&lt;=20,"0-20",G440&lt;=30,"20-30",G440&lt;=40,"30-40",G440&lt;=50,"50-60",G440&lt;=60,"60-70",G440&lt;=70,"70-80",G440&lt;=80,"80-90")</f>
        <v>50-60</v>
      </c>
      <c r="I440" s="17">
        <v>2241</v>
      </c>
      <c r="J440" s="13" t="str" cm="1">
        <f t="array" ref="J440">_xlfn.IFS(K440=1,"Divorciado",L440=1,"Casado",M440=1,"Solteiro",N440=1,"Juntos",O440=1,"Viuvo")</f>
        <v>Juntos</v>
      </c>
      <c r="K440" s="17">
        <v>0</v>
      </c>
      <c r="L440" s="17">
        <v>0</v>
      </c>
      <c r="M440" s="17">
        <v>0</v>
      </c>
      <c r="N440" s="17">
        <v>1</v>
      </c>
      <c r="O440" s="17">
        <v>0</v>
      </c>
      <c r="P440" s="17">
        <v>0</v>
      </c>
      <c r="Q440" s="17">
        <v>0</v>
      </c>
      <c r="R440" s="17">
        <v>0</v>
      </c>
      <c r="S440" s="17">
        <v>0</v>
      </c>
      <c r="T440" s="17">
        <v>1</v>
      </c>
      <c r="U440" s="17">
        <v>471</v>
      </c>
      <c r="V440" s="13" t="str" cm="1">
        <f t="array" ref="V440">_xlfn.IFS(U440&lt;=250,"0-R$250",U440&lt;=500,"251-R$500",U440&lt;=750,"501-R$750",U440&lt;=1000,"751-R$1000",U440&lt;=1250,"1001-R$1250",U440&lt;=1500,"1251-R$1500")</f>
        <v>251-R$500</v>
      </c>
      <c r="W440" s="17">
        <v>0</v>
      </c>
      <c r="X440" s="13" t="str" cm="1">
        <f t="array" ref="X440">_xlfn.IFS(W440 = 0, "0", W440&lt;=20, "até R$20",W440&lt;=40, "21 - R$40",W440&lt;=60, "41- R$60",W440&lt;=80, "61 - R$80", W440&lt;=100, "81 - R$100",W440&lt;=120, "101 - R$120",W440&lt;=140, "121 - R$140", W440&lt;=160, "141- R$160", W440&lt;=180, "161 - R$180", W440&lt;=200, "181-R$194")</f>
        <v>0</v>
      </c>
      <c r="Y440" s="17">
        <v>510</v>
      </c>
      <c r="Z440" s="17">
        <v>99</v>
      </c>
      <c r="AA440" s="17">
        <v>21</v>
      </c>
      <c r="AB440" s="17">
        <v>12</v>
      </c>
      <c r="AC440" s="17">
        <v>1</v>
      </c>
      <c r="AD440" s="17">
        <v>6</v>
      </c>
      <c r="AE440" s="17">
        <v>4</v>
      </c>
      <c r="AF440" s="17">
        <v>9</v>
      </c>
      <c r="AG440" s="17">
        <v>2</v>
      </c>
      <c r="AH440" s="17">
        <v>0</v>
      </c>
      <c r="AI440" s="17">
        <v>0</v>
      </c>
      <c r="AJ440" s="17">
        <v>0</v>
      </c>
      <c r="AK440" s="17">
        <v>0</v>
      </c>
      <c r="AL440" s="17">
        <v>0</v>
      </c>
      <c r="AM440" s="17">
        <v>0</v>
      </c>
      <c r="AN440" s="17">
        <v>0</v>
      </c>
      <c r="AO440" s="18">
        <v>0</v>
      </c>
      <c r="AP440" s="17">
        <v>3</v>
      </c>
      <c r="AQ440" s="17">
        <v>11</v>
      </c>
      <c r="AR440" s="19">
        <v>1089</v>
      </c>
      <c r="AS440" s="19">
        <v>1101</v>
      </c>
    </row>
    <row r="441" spans="1:45" x14ac:dyDescent="0.25">
      <c r="A441">
        <v>1999</v>
      </c>
      <c r="B441" s="11">
        <f t="shared" si="6"/>
        <v>71322</v>
      </c>
      <c r="C441" s="16">
        <v>713220</v>
      </c>
      <c r="D441" s="17">
        <v>0</v>
      </c>
      <c r="E441" s="17">
        <v>1</v>
      </c>
      <c r="F441" s="17">
        <v>57</v>
      </c>
      <c r="G441" s="17">
        <v>55</v>
      </c>
      <c r="H441" s="13" t="str" cm="1">
        <f t="array" ref="H441">_xlfn.IFS(G441&lt;=20,"0-20",G441&lt;=30,"20-30",G441&lt;=40,"30-40",G441&lt;=50,"50-60",G441&lt;=60,"60-70",G441&lt;=70,"70-80",G441&lt;=80,"80-90")</f>
        <v>60-70</v>
      </c>
      <c r="I441" s="17">
        <v>2657</v>
      </c>
      <c r="J441" s="13" t="str" cm="1">
        <f t="array" ref="J441">_xlfn.IFS(K441=1,"Divorciado",L441=1,"Casado",M441=1,"Solteiro",N441=1,"Juntos",O441=1,"Viuvo")</f>
        <v>Casado</v>
      </c>
      <c r="K441" s="17">
        <v>0</v>
      </c>
      <c r="L441" s="17">
        <v>1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1</v>
      </c>
      <c r="U441" s="17">
        <v>753</v>
      </c>
      <c r="V441" s="13" t="str" cm="1">
        <f t="array" ref="V441">_xlfn.IFS(U441&lt;=250,"0-R$250",U441&lt;=500,"251-R$500",U441&lt;=750,"501-R$750",U441&lt;=1000,"751-R$1000",U441&lt;=1250,"1001-R$1250",U441&lt;=1500,"1251-R$1500")</f>
        <v>751-R$1000</v>
      </c>
      <c r="W441" s="17">
        <v>43</v>
      </c>
      <c r="X441" s="13" t="str" cm="1">
        <f t="array" ref="X441">_xlfn.IFS(W441 = 0, "0", W441&lt;=20, "até R$20",W441&lt;=40, "21 - R$40",W441&lt;=60, "41- R$60",W441&lt;=80, "61 - R$80", W441&lt;=100, "81 - R$100",W441&lt;=120, "101 - R$120",W441&lt;=140, "121 - R$140", W441&lt;=160, "141- R$160", W441&lt;=180, "161 - R$180", W441&lt;=200, "181-R$194")</f>
        <v>41- R$60</v>
      </c>
      <c r="Y441" s="17">
        <v>226</v>
      </c>
      <c r="Z441" s="17">
        <v>69</v>
      </c>
      <c r="AA441" s="17">
        <v>10</v>
      </c>
      <c r="AB441" s="17">
        <v>204</v>
      </c>
      <c r="AC441" s="17">
        <v>2</v>
      </c>
      <c r="AD441" s="17">
        <v>8</v>
      </c>
      <c r="AE441" s="17">
        <v>5</v>
      </c>
      <c r="AF441" s="17">
        <v>13</v>
      </c>
      <c r="AG441" s="17">
        <v>4</v>
      </c>
      <c r="AH441" s="17">
        <v>0</v>
      </c>
      <c r="AI441" s="17">
        <v>0</v>
      </c>
      <c r="AJ441" s="17">
        <v>0</v>
      </c>
      <c r="AK441" s="17">
        <v>0</v>
      </c>
      <c r="AL441" s="17">
        <v>0</v>
      </c>
      <c r="AM441" s="17">
        <v>0</v>
      </c>
      <c r="AN441" s="17">
        <v>0</v>
      </c>
      <c r="AO441" s="18">
        <v>0</v>
      </c>
      <c r="AP441" s="17">
        <v>3</v>
      </c>
      <c r="AQ441" s="17">
        <v>11</v>
      </c>
      <c r="AR441" s="19">
        <v>897</v>
      </c>
      <c r="AS441" s="19">
        <v>1101</v>
      </c>
    </row>
    <row r="442" spans="1:45" x14ac:dyDescent="0.25">
      <c r="A442">
        <v>1309</v>
      </c>
      <c r="B442" s="11">
        <f t="shared" si="6"/>
        <v>71604</v>
      </c>
      <c r="C442" s="16">
        <v>716040</v>
      </c>
      <c r="D442" s="17">
        <v>0</v>
      </c>
      <c r="E442" s="17">
        <v>0</v>
      </c>
      <c r="F442" s="17">
        <v>3</v>
      </c>
      <c r="G442" s="17">
        <v>75</v>
      </c>
      <c r="H442" s="13" t="str" cm="1">
        <f t="array" ref="H442">_xlfn.IFS(G442&lt;=20,"0-20",G442&lt;=30,"20-30",G442&lt;=40,"30-40",G442&lt;=50,"50-60",G442&lt;=60,"60-70",G442&lt;=70,"70-80",G442&lt;=80,"80-90")</f>
        <v>80-90</v>
      </c>
      <c r="I442" s="17">
        <v>2383</v>
      </c>
      <c r="J442" s="13" t="str" cm="1">
        <f t="array" ref="J442">_xlfn.IFS(K442=1,"Divorciado",L442=1,"Casado",M442=1,"Solteiro",N442=1,"Juntos",O442=1,"Viuvo")</f>
        <v>Juntos</v>
      </c>
      <c r="K442" s="17">
        <v>0</v>
      </c>
      <c r="L442" s="17">
        <v>0</v>
      </c>
      <c r="M442" s="17">
        <v>0</v>
      </c>
      <c r="N442" s="17">
        <v>1</v>
      </c>
      <c r="O442" s="17">
        <v>0</v>
      </c>
      <c r="P442" s="17">
        <v>0</v>
      </c>
      <c r="Q442" s="17">
        <v>0</v>
      </c>
      <c r="R442" s="17">
        <v>0</v>
      </c>
      <c r="S442" s="17">
        <v>0</v>
      </c>
      <c r="T442" s="17">
        <v>1</v>
      </c>
      <c r="U442" s="17">
        <v>345</v>
      </c>
      <c r="V442" s="13" t="str" cm="1">
        <f t="array" ref="V442">_xlfn.IFS(U442&lt;=250,"0-R$250",U442&lt;=500,"251-R$500",U442&lt;=750,"501-R$750",U442&lt;=1000,"751-R$1000",U442&lt;=1250,"1001-R$1250",U442&lt;=1500,"1251-R$1500")</f>
        <v>251-R$500</v>
      </c>
      <c r="W442" s="17">
        <v>53</v>
      </c>
      <c r="X442" s="13" t="str" cm="1">
        <f t="array" ref="X442">_xlfn.IFS(W442 = 0, "0", W442&lt;=20, "até R$20",W442&lt;=40, "21 - R$40",W442&lt;=60, "41- R$60",W442&lt;=80, "61 - R$80", W442&lt;=100, "81 - R$100",W442&lt;=120, "101 - R$120",W442&lt;=140, "121 - R$140", W442&lt;=160, "141- R$160", W442&lt;=180, "161 - R$180", W442&lt;=200, "181-R$194")</f>
        <v>41- R$60</v>
      </c>
      <c r="Y442" s="17">
        <v>528</v>
      </c>
      <c r="Z442" s="17">
        <v>98</v>
      </c>
      <c r="AA442" s="17">
        <v>75</v>
      </c>
      <c r="AB442" s="17">
        <v>97</v>
      </c>
      <c r="AC442" s="17">
        <v>1</v>
      </c>
      <c r="AD442" s="17">
        <v>8</v>
      </c>
      <c r="AE442" s="17">
        <v>3</v>
      </c>
      <c r="AF442" s="17">
        <v>5</v>
      </c>
      <c r="AG442" s="17">
        <v>4</v>
      </c>
      <c r="AH442" s="17">
        <v>0</v>
      </c>
      <c r="AI442" s="17">
        <v>1</v>
      </c>
      <c r="AJ442" s="17">
        <v>0</v>
      </c>
      <c r="AK442" s="17">
        <v>0</v>
      </c>
      <c r="AL442" s="17">
        <v>0</v>
      </c>
      <c r="AM442" s="17">
        <v>0</v>
      </c>
      <c r="AN442" s="17">
        <v>1</v>
      </c>
      <c r="AO442" s="18">
        <v>1</v>
      </c>
      <c r="AP442" s="17">
        <v>3</v>
      </c>
      <c r="AQ442" s="17">
        <v>11</v>
      </c>
      <c r="AR442" s="19">
        <v>1002</v>
      </c>
      <c r="AS442" s="19">
        <v>1099</v>
      </c>
    </row>
    <row r="443" spans="1:45" x14ac:dyDescent="0.25">
      <c r="A443">
        <v>186</v>
      </c>
      <c r="B443" s="11">
        <f t="shared" si="6"/>
        <v>86718</v>
      </c>
      <c r="C443" s="12">
        <v>867180</v>
      </c>
      <c r="D443" s="13">
        <v>0</v>
      </c>
      <c r="E443" s="13">
        <v>0</v>
      </c>
      <c r="F443" s="13">
        <v>20</v>
      </c>
      <c r="G443" s="13">
        <v>66</v>
      </c>
      <c r="H443" s="13" t="str" cm="1">
        <f t="array" ref="H443">_xlfn.IFS(G443&lt;=20,"0-20",G443&lt;=30,"20-30",G443&lt;=40,"30-40",G443&lt;=50,"50-60",G443&lt;=60,"60-70",G443&lt;=70,"70-80",G443&lt;=80,"80-90")</f>
        <v>70-80</v>
      </c>
      <c r="I443" s="13">
        <v>2687</v>
      </c>
      <c r="J443" s="13" t="str" cm="1">
        <f t="array" ref="J443">_xlfn.IFS(K443=1,"Divorciado",L443=1,"Casado",M443=1,"Solteiro",N443=1,"Juntos",O443=1,"Viuvo")</f>
        <v>Casado</v>
      </c>
      <c r="K443" s="13">
        <v>0</v>
      </c>
      <c r="L443" s="13">
        <v>1</v>
      </c>
      <c r="M443" s="13">
        <v>0</v>
      </c>
      <c r="N443" s="13">
        <v>0</v>
      </c>
      <c r="O443" s="13">
        <v>0</v>
      </c>
      <c r="P443" s="13">
        <v>0</v>
      </c>
      <c r="Q443" s="13">
        <v>0</v>
      </c>
      <c r="R443" s="13">
        <v>1</v>
      </c>
      <c r="S443" s="13">
        <v>0</v>
      </c>
      <c r="T443" s="13">
        <v>0</v>
      </c>
      <c r="U443" s="13">
        <v>344</v>
      </c>
      <c r="V443" s="13" t="str" cm="1">
        <f t="array" ref="V443">_xlfn.IFS(U443&lt;=250,"0-R$250",U443&lt;=500,"251-R$500",U443&lt;=750,"501-R$750",U443&lt;=1000,"751-R$1000",U443&lt;=1250,"1001-R$1250",U443&lt;=1500,"1251-R$1500")</f>
        <v>251-R$500</v>
      </c>
      <c r="W443" s="13">
        <v>189</v>
      </c>
      <c r="X443" s="13" t="str" cm="1">
        <f t="array" ref="X443">_xlfn.IFS(W443 = 0, "0", W443&lt;=20, "até R$20",W443&lt;=40, "21 - R$40",W443&lt;=60, "41- R$60",W443&lt;=80, "61 - R$80", W443&lt;=100, "81 - R$100",W443&lt;=120, "101 - R$120",W443&lt;=140, "121 - R$140", W443&lt;=160, "141- R$160", W443&lt;=180, "161 - R$180", W443&lt;=200, "181-R$194")</f>
        <v>181-R$194</v>
      </c>
      <c r="Y443" s="13">
        <v>482</v>
      </c>
      <c r="Z443" s="13">
        <v>50</v>
      </c>
      <c r="AA443" s="13">
        <v>33</v>
      </c>
      <c r="AB443" s="13">
        <v>172</v>
      </c>
      <c r="AC443" s="13">
        <v>1</v>
      </c>
      <c r="AD443" s="13">
        <v>5</v>
      </c>
      <c r="AE443" s="13">
        <v>6</v>
      </c>
      <c r="AF443" s="13">
        <v>5</v>
      </c>
      <c r="AG443" s="13">
        <v>2</v>
      </c>
      <c r="AH443" s="13">
        <v>0</v>
      </c>
      <c r="AI443" s="13">
        <v>0</v>
      </c>
      <c r="AJ443" s="13">
        <v>0</v>
      </c>
      <c r="AK443" s="13">
        <v>0</v>
      </c>
      <c r="AL443" s="13">
        <v>0</v>
      </c>
      <c r="AM443" s="13">
        <v>0</v>
      </c>
      <c r="AN443" s="13">
        <v>0</v>
      </c>
      <c r="AO443" s="14">
        <v>0</v>
      </c>
      <c r="AP443" s="13">
        <v>3</v>
      </c>
      <c r="AQ443" s="13">
        <v>11</v>
      </c>
      <c r="AR443" s="15">
        <v>926</v>
      </c>
      <c r="AS443" s="15">
        <v>1098</v>
      </c>
    </row>
    <row r="444" spans="1:45" x14ac:dyDescent="0.25">
      <c r="A444">
        <v>1930</v>
      </c>
      <c r="B444" s="11">
        <f t="shared" si="6"/>
        <v>76842</v>
      </c>
      <c r="C444" s="12">
        <v>768420</v>
      </c>
      <c r="D444" s="13">
        <v>0</v>
      </c>
      <c r="E444" s="13">
        <v>0</v>
      </c>
      <c r="F444" s="13">
        <v>37</v>
      </c>
      <c r="G444" s="13">
        <v>70</v>
      </c>
      <c r="H444" s="13" t="str" cm="1">
        <f t="array" ref="H444">_xlfn.IFS(G444&lt;=20,"0-20",G444&lt;=30,"20-30",G444&lt;=40,"30-40",G444&lt;=50,"50-60",G444&lt;=60,"60-70",G444&lt;=70,"70-80",G444&lt;=80,"80-90")</f>
        <v>70-80</v>
      </c>
      <c r="I444" s="13">
        <v>2216</v>
      </c>
      <c r="J444" s="13" t="str" cm="1">
        <f t="array" ref="J444">_xlfn.IFS(K444=1,"Divorciado",L444=1,"Casado",M444=1,"Solteiro",N444=1,"Juntos",O444=1,"Viuvo")</f>
        <v>Viuvo</v>
      </c>
      <c r="K444" s="13">
        <v>0</v>
      </c>
      <c r="L444" s="13">
        <v>0</v>
      </c>
      <c r="M444" s="13">
        <v>0</v>
      </c>
      <c r="N444" s="13">
        <v>0</v>
      </c>
      <c r="O444" s="13">
        <v>1</v>
      </c>
      <c r="P444" s="13">
        <v>0</v>
      </c>
      <c r="Q444" s="13">
        <v>0</v>
      </c>
      <c r="R444" s="13">
        <v>0</v>
      </c>
      <c r="S444" s="13">
        <v>0</v>
      </c>
      <c r="T444" s="13">
        <v>1</v>
      </c>
      <c r="U444" s="13">
        <v>605</v>
      </c>
      <c r="V444" s="13" t="str" cm="1">
        <f t="array" ref="V444">_xlfn.IFS(U444&lt;=250,"0-R$250",U444&lt;=500,"251-R$500",U444&lt;=750,"501-R$750",U444&lt;=1000,"751-R$1000",U444&lt;=1250,"1001-R$1250",U444&lt;=1500,"1251-R$1500")</f>
        <v>501-R$750</v>
      </c>
      <c r="W444" s="13">
        <v>10</v>
      </c>
      <c r="X444" s="13" t="str" cm="1">
        <f t="array" ref="X444">_xlfn.IFS(W444 = 0, "0", W444&lt;=20, "até R$20",W444&lt;=40, "21 - R$40",W444&lt;=60, "41- R$60",W444&lt;=80, "61 - R$80", W444&lt;=100, "81 - R$100",W444&lt;=120, "101 - R$120",W444&lt;=140, "121 - R$140", W444&lt;=160, "141- R$160", W444&lt;=180, "161 - R$180", W444&lt;=200, "181-R$194")</f>
        <v>até R$20</v>
      </c>
      <c r="Y444" s="13">
        <v>345</v>
      </c>
      <c r="Z444" s="13">
        <v>84</v>
      </c>
      <c r="AA444" s="13">
        <v>54</v>
      </c>
      <c r="AB444" s="13">
        <v>32</v>
      </c>
      <c r="AC444" s="13">
        <v>1</v>
      </c>
      <c r="AD444" s="13">
        <v>1</v>
      </c>
      <c r="AE444" s="13">
        <v>8</v>
      </c>
      <c r="AF444" s="13">
        <v>7</v>
      </c>
      <c r="AG444" s="13">
        <v>0</v>
      </c>
      <c r="AH444" s="13">
        <v>0</v>
      </c>
      <c r="AI444" s="13">
        <v>0</v>
      </c>
      <c r="AJ444" s="13">
        <v>0</v>
      </c>
      <c r="AK444" s="13">
        <v>0</v>
      </c>
      <c r="AL444" s="13">
        <v>0</v>
      </c>
      <c r="AM444" s="13">
        <v>0</v>
      </c>
      <c r="AN444" s="13">
        <v>0</v>
      </c>
      <c r="AO444" s="14">
        <v>0</v>
      </c>
      <c r="AP444" s="13">
        <v>3</v>
      </c>
      <c r="AQ444" s="13">
        <v>11</v>
      </c>
      <c r="AR444" s="15">
        <v>1066</v>
      </c>
      <c r="AS444" s="15">
        <v>1098</v>
      </c>
    </row>
    <row r="445" spans="1:45" x14ac:dyDescent="0.25">
      <c r="A445">
        <v>586</v>
      </c>
      <c r="B445" s="11">
        <f t="shared" si="6"/>
        <v>72906</v>
      </c>
      <c r="C445" s="12">
        <v>729060</v>
      </c>
      <c r="D445" s="13">
        <v>0</v>
      </c>
      <c r="E445" s="13">
        <v>0</v>
      </c>
      <c r="F445" s="13">
        <v>79</v>
      </c>
      <c r="G445" s="13">
        <v>65</v>
      </c>
      <c r="H445" s="13" t="str" cm="1">
        <f t="array" ref="H445">_xlfn.IFS(G445&lt;=20,"0-20",G445&lt;=30,"20-30",G445&lt;=40,"30-40",G445&lt;=50,"50-60",G445&lt;=60,"60-70",G445&lt;=70,"70-80",G445&lt;=80,"80-90")</f>
        <v>70-80</v>
      </c>
      <c r="I445" s="13">
        <v>2444</v>
      </c>
      <c r="J445" s="13" t="str" cm="1">
        <f t="array" ref="J445">_xlfn.IFS(K445=1,"Divorciado",L445=1,"Casado",M445=1,"Solteiro",N445=1,"Juntos",O445=1,"Viuvo")</f>
        <v>Solteiro</v>
      </c>
      <c r="K445" s="13">
        <v>0</v>
      </c>
      <c r="L445" s="13">
        <v>0</v>
      </c>
      <c r="M445" s="13">
        <v>1</v>
      </c>
      <c r="N445" s="13">
        <v>0</v>
      </c>
      <c r="O445" s="13">
        <v>0</v>
      </c>
      <c r="P445" s="13">
        <v>0</v>
      </c>
      <c r="Q445" s="13">
        <v>0</v>
      </c>
      <c r="R445" s="13">
        <v>1</v>
      </c>
      <c r="S445" s="13">
        <v>0</v>
      </c>
      <c r="T445" s="13">
        <v>0</v>
      </c>
      <c r="U445" s="13">
        <v>400</v>
      </c>
      <c r="V445" s="13" t="str" cm="1">
        <f t="array" ref="V445">_xlfn.IFS(U445&lt;=250,"0-R$250",U445&lt;=500,"251-R$500",U445&lt;=750,"501-R$750",U445&lt;=1000,"751-R$1000",U445&lt;=1250,"1001-R$1250",U445&lt;=1500,"1251-R$1500")</f>
        <v>251-R$500</v>
      </c>
      <c r="W445" s="13">
        <v>32</v>
      </c>
      <c r="X445" s="13" t="str" cm="1">
        <f t="array" ref="X445">_xlfn.IFS(W445 = 0, "0", W445&lt;=20, "até R$20",W445&lt;=40, "21 - R$40",W445&lt;=60, "41- R$60",W445&lt;=80, "61 - R$80", W445&lt;=100, "81 - R$100",W445&lt;=120, "101 - R$120",W445&lt;=140, "121 - R$140", W445&lt;=160, "141- R$160", W445&lt;=180, "161 - R$180", W445&lt;=200, "181-R$194")</f>
        <v>21 - R$40</v>
      </c>
      <c r="Y445" s="13">
        <v>519</v>
      </c>
      <c r="Z445" s="13">
        <v>71</v>
      </c>
      <c r="AA445" s="13">
        <v>75</v>
      </c>
      <c r="AB445" s="13">
        <v>54</v>
      </c>
      <c r="AC445" s="13">
        <v>1</v>
      </c>
      <c r="AD445" s="13">
        <v>3</v>
      </c>
      <c r="AE445" s="13">
        <v>4</v>
      </c>
      <c r="AF445" s="13">
        <v>9</v>
      </c>
      <c r="AG445" s="13">
        <v>1</v>
      </c>
      <c r="AH445" s="13">
        <v>0</v>
      </c>
      <c r="AI445" s="13">
        <v>0</v>
      </c>
      <c r="AJ445" s="13">
        <v>0</v>
      </c>
      <c r="AK445" s="13">
        <v>0</v>
      </c>
      <c r="AL445" s="13">
        <v>0</v>
      </c>
      <c r="AM445" s="13">
        <v>0</v>
      </c>
      <c r="AN445" s="13">
        <v>0</v>
      </c>
      <c r="AO445" s="14">
        <v>0</v>
      </c>
      <c r="AP445" s="13">
        <v>3</v>
      </c>
      <c r="AQ445" s="13">
        <v>11</v>
      </c>
      <c r="AR445" s="15">
        <v>1043</v>
      </c>
      <c r="AS445" s="15">
        <v>1097</v>
      </c>
    </row>
    <row r="446" spans="1:45" x14ac:dyDescent="0.25">
      <c r="A446">
        <v>190</v>
      </c>
      <c r="B446" s="11">
        <f t="shared" si="6"/>
        <v>63693</v>
      </c>
      <c r="C446" s="12">
        <v>636930</v>
      </c>
      <c r="D446" s="13">
        <v>0</v>
      </c>
      <c r="E446" s="13">
        <v>1</v>
      </c>
      <c r="F446" s="13">
        <v>63</v>
      </c>
      <c r="G446" s="13">
        <v>42</v>
      </c>
      <c r="H446" s="13" t="str" cm="1">
        <f t="array" ref="H446">_xlfn.IFS(G446&lt;=20,"0-20",G446&lt;=30,"20-30",G446&lt;=40,"30-40",G446&lt;=50,"50-60",G446&lt;=60,"60-70",G446&lt;=70,"70-80",G446&lt;=80,"80-90")</f>
        <v>50-60</v>
      </c>
      <c r="I446" s="13">
        <v>2417</v>
      </c>
      <c r="J446" s="13" t="str" cm="1">
        <f t="array" ref="J446">_xlfn.IFS(K446=1,"Divorciado",L446=1,"Casado",M446=1,"Solteiro",N446=1,"Juntos",O446=1,"Viuvo")</f>
        <v>Divorciado</v>
      </c>
      <c r="K446" s="13">
        <v>1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1</v>
      </c>
      <c r="S446" s="13">
        <v>0</v>
      </c>
      <c r="T446" s="13">
        <v>0</v>
      </c>
      <c r="U446" s="13">
        <v>587</v>
      </c>
      <c r="V446" s="13" t="str" cm="1">
        <f t="array" ref="V446">_xlfn.IFS(U446&lt;=250,"0-R$250",U446&lt;=500,"251-R$500",U446&lt;=750,"501-R$750",U446&lt;=1000,"751-R$1000",U446&lt;=1250,"1001-R$1250",U446&lt;=1500,"1251-R$1500")</f>
        <v>501-R$750</v>
      </c>
      <c r="W446" s="13">
        <v>43</v>
      </c>
      <c r="X446" s="13" t="str" cm="1">
        <f t="array" ref="X446">_xlfn.IFS(W446 = 0, "0", W446&lt;=20, "até R$20",W446&lt;=40, "21 - R$40",W446&lt;=60, "41- R$60",W446&lt;=80, "61 - R$80", W446&lt;=100, "81 - R$100",W446&lt;=120, "101 - R$120",W446&lt;=140, "121 - R$140", W446&lt;=160, "141- R$160", W446&lt;=180, "161 - R$180", W446&lt;=200, "181-R$194")</f>
        <v>41- R$60</v>
      </c>
      <c r="Y446" s="13">
        <v>337</v>
      </c>
      <c r="Z446" s="13">
        <v>42</v>
      </c>
      <c r="AA446" s="13">
        <v>87</v>
      </c>
      <c r="AB446" s="13">
        <v>54</v>
      </c>
      <c r="AC446" s="13">
        <v>3</v>
      </c>
      <c r="AD446" s="13">
        <v>11</v>
      </c>
      <c r="AE446" s="13">
        <v>6</v>
      </c>
      <c r="AF446" s="13">
        <v>9</v>
      </c>
      <c r="AG446" s="13">
        <v>6</v>
      </c>
      <c r="AH446" s="13">
        <v>0</v>
      </c>
      <c r="AI446" s="13">
        <v>0</v>
      </c>
      <c r="AJ446" s="13">
        <v>0</v>
      </c>
      <c r="AK446" s="13">
        <v>0</v>
      </c>
      <c r="AL446" s="13">
        <v>0</v>
      </c>
      <c r="AM446" s="13">
        <v>0</v>
      </c>
      <c r="AN446" s="13">
        <v>0</v>
      </c>
      <c r="AO446" s="14">
        <v>0</v>
      </c>
      <c r="AP446" s="13">
        <v>3</v>
      </c>
      <c r="AQ446" s="13">
        <v>11</v>
      </c>
      <c r="AR446" s="15">
        <v>1042</v>
      </c>
      <c r="AS446" s="15">
        <v>1096</v>
      </c>
    </row>
    <row r="447" spans="1:45" x14ac:dyDescent="0.25">
      <c r="A447">
        <v>964</v>
      </c>
      <c r="B447" s="11">
        <f t="shared" si="6"/>
        <v>63693</v>
      </c>
      <c r="C447" s="12">
        <v>636930</v>
      </c>
      <c r="D447" s="13">
        <v>0</v>
      </c>
      <c r="E447" s="13">
        <v>1</v>
      </c>
      <c r="F447" s="13">
        <v>63</v>
      </c>
      <c r="G447" s="13">
        <v>42</v>
      </c>
      <c r="H447" s="13" t="str" cm="1">
        <f t="array" ref="H447">_xlfn.IFS(G447&lt;=20,"0-20",G447&lt;=30,"20-30",G447&lt;=40,"30-40",G447&lt;=50,"50-60",G447&lt;=60,"60-70",G447&lt;=70,"70-80",G447&lt;=80,"80-90")</f>
        <v>50-60</v>
      </c>
      <c r="I447" s="13">
        <v>2417</v>
      </c>
      <c r="J447" s="13" t="str" cm="1">
        <f t="array" ref="J447">_xlfn.IFS(K447=1,"Divorciado",L447=1,"Casado",M447=1,"Solteiro",N447=1,"Juntos",O447=1,"Viuvo")</f>
        <v>Divorciado</v>
      </c>
      <c r="K447" s="13">
        <v>1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1</v>
      </c>
      <c r="S447" s="13">
        <v>0</v>
      </c>
      <c r="T447" s="13">
        <v>0</v>
      </c>
      <c r="U447" s="13">
        <v>587</v>
      </c>
      <c r="V447" s="13" t="str" cm="1">
        <f t="array" ref="V447">_xlfn.IFS(U447&lt;=250,"0-R$250",U447&lt;=500,"251-R$500",U447&lt;=750,"501-R$750",U447&lt;=1000,"751-R$1000",U447&lt;=1250,"1001-R$1250",U447&lt;=1500,"1251-R$1500")</f>
        <v>501-R$750</v>
      </c>
      <c r="W447" s="13">
        <v>43</v>
      </c>
      <c r="X447" s="13" t="str" cm="1">
        <f t="array" ref="X447">_xlfn.IFS(W447 = 0, "0", W447&lt;=20, "até R$20",W447&lt;=40, "21 - R$40",W447&lt;=60, "41- R$60",W447&lt;=80, "61 - R$80", W447&lt;=100, "81 - R$100",W447&lt;=120, "101 - R$120",W447&lt;=140, "121 - R$140", W447&lt;=160, "141- R$160", W447&lt;=180, "161 - R$180", W447&lt;=200, "181-R$194")</f>
        <v>41- R$60</v>
      </c>
      <c r="Y447" s="13">
        <v>337</v>
      </c>
      <c r="Z447" s="13">
        <v>42</v>
      </c>
      <c r="AA447" s="13">
        <v>87</v>
      </c>
      <c r="AB447" s="13">
        <v>54</v>
      </c>
      <c r="AC447" s="13">
        <v>3</v>
      </c>
      <c r="AD447" s="13">
        <v>11</v>
      </c>
      <c r="AE447" s="13">
        <v>6</v>
      </c>
      <c r="AF447" s="13">
        <v>9</v>
      </c>
      <c r="AG447" s="13">
        <v>6</v>
      </c>
      <c r="AH447" s="13">
        <v>0</v>
      </c>
      <c r="AI447" s="13">
        <v>0</v>
      </c>
      <c r="AJ447" s="13">
        <v>0</v>
      </c>
      <c r="AK447" s="13">
        <v>0</v>
      </c>
      <c r="AL447" s="13">
        <v>0</v>
      </c>
      <c r="AM447" s="13">
        <v>0</v>
      </c>
      <c r="AN447" s="13">
        <v>0</v>
      </c>
      <c r="AO447" s="14">
        <v>0</v>
      </c>
      <c r="AP447" s="13">
        <v>3</v>
      </c>
      <c r="AQ447" s="13">
        <v>11</v>
      </c>
      <c r="AR447" s="15">
        <v>1042</v>
      </c>
      <c r="AS447" s="15">
        <v>1096</v>
      </c>
    </row>
    <row r="448" spans="1:45" x14ac:dyDescent="0.25">
      <c r="A448">
        <v>1712</v>
      </c>
      <c r="B448" s="11">
        <f t="shared" si="6"/>
        <v>77437</v>
      </c>
      <c r="C448" s="12">
        <v>774370</v>
      </c>
      <c r="D448" s="13">
        <v>0</v>
      </c>
      <c r="E448" s="13">
        <v>0</v>
      </c>
      <c r="F448" s="13">
        <v>70</v>
      </c>
      <c r="G448" s="13">
        <v>57</v>
      </c>
      <c r="H448" s="13" t="str" cm="1">
        <f t="array" ref="H448">_xlfn.IFS(G448&lt;=20,"0-20",G448&lt;=30,"20-30",G448&lt;=40,"30-40",G448&lt;=50,"50-60",G448&lt;=60,"60-70",G448&lt;=70,"70-80",G448&lt;=80,"80-90")</f>
        <v>60-70</v>
      </c>
      <c r="I448" s="13">
        <v>2374</v>
      </c>
      <c r="J448" s="13" t="str" cm="1">
        <f t="array" ref="J448">_xlfn.IFS(K448=1,"Divorciado",L448=1,"Casado",M448=1,"Solteiro",N448=1,"Juntos",O448=1,"Viuvo")</f>
        <v>Casado</v>
      </c>
      <c r="K448" s="13">
        <v>0</v>
      </c>
      <c r="L448" s="13">
        <v>1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1</v>
      </c>
      <c r="S448" s="13">
        <v>0</v>
      </c>
      <c r="T448" s="13">
        <v>0</v>
      </c>
      <c r="U448" s="13">
        <v>560</v>
      </c>
      <c r="V448" s="13" t="str" cm="1">
        <f t="array" ref="V448">_xlfn.IFS(U448&lt;=250,"0-R$250",U448&lt;=500,"251-R$500",U448&lt;=750,"501-R$750",U448&lt;=1000,"751-R$1000",U448&lt;=1250,"1001-R$1250",U448&lt;=1500,"1251-R$1500")</f>
        <v>501-R$750</v>
      </c>
      <c r="W448" s="13">
        <v>21</v>
      </c>
      <c r="X448" s="13" t="str" cm="1">
        <f t="array" ref="X448">_xlfn.IFS(W448 = 0, "0", W448&lt;=20, "até R$20",W448&lt;=40, "21 - R$40",W448&lt;=60, "41- R$60",W448&lt;=80, "61 - R$80", W448&lt;=100, "81 - R$100",W448&lt;=120, "101 - R$120",W448&lt;=140, "121 - R$140", W448&lt;=160, "141- R$160", W448&lt;=180, "161 - R$180", W448&lt;=200, "181-R$194")</f>
        <v>21 - R$40</v>
      </c>
      <c r="Y448" s="13">
        <v>442</v>
      </c>
      <c r="Z448" s="13">
        <v>29</v>
      </c>
      <c r="AA448" s="13">
        <v>44</v>
      </c>
      <c r="AB448" s="13">
        <v>29</v>
      </c>
      <c r="AC448" s="13">
        <v>1</v>
      </c>
      <c r="AD448" s="13">
        <v>4</v>
      </c>
      <c r="AE448" s="13">
        <v>5</v>
      </c>
      <c r="AF448" s="13">
        <v>13</v>
      </c>
      <c r="AG448" s="13">
        <v>1</v>
      </c>
      <c r="AH448" s="13">
        <v>0</v>
      </c>
      <c r="AI448" s="13">
        <v>0</v>
      </c>
      <c r="AJ448" s="13">
        <v>0</v>
      </c>
      <c r="AK448" s="13">
        <v>1</v>
      </c>
      <c r="AL448" s="13">
        <v>0</v>
      </c>
      <c r="AM448" s="13">
        <v>0</v>
      </c>
      <c r="AN448" s="13">
        <v>0</v>
      </c>
      <c r="AO448" s="14">
        <v>1</v>
      </c>
      <c r="AP448" s="13">
        <v>3</v>
      </c>
      <c r="AQ448" s="13">
        <v>11</v>
      </c>
      <c r="AR448" s="15">
        <v>1067</v>
      </c>
      <c r="AS448" s="15">
        <v>1096</v>
      </c>
    </row>
    <row r="449" spans="1:45" x14ac:dyDescent="0.25">
      <c r="A449">
        <v>1557</v>
      </c>
      <c r="B449" s="11">
        <f t="shared" si="6"/>
        <v>78093</v>
      </c>
      <c r="C449" s="16">
        <v>780930</v>
      </c>
      <c r="D449" s="17">
        <v>0</v>
      </c>
      <c r="E449" s="17">
        <v>0</v>
      </c>
      <c r="F449" s="17">
        <v>53</v>
      </c>
      <c r="G449" s="17">
        <v>73</v>
      </c>
      <c r="H449" s="13" t="str" cm="1">
        <f t="array" ref="H449">_xlfn.IFS(G449&lt;=20,"0-20",G449&lt;=30,"20-30",G449&lt;=40,"30-40",G449&lt;=50,"50-60",G449&lt;=60,"60-70",G449&lt;=70,"70-80",G449&lt;=80,"80-90")</f>
        <v>80-90</v>
      </c>
      <c r="I449" s="17">
        <v>2359</v>
      </c>
      <c r="J449" s="13" t="str" cm="1">
        <f t="array" ref="J449">_xlfn.IFS(K449=1,"Divorciado",L449=1,"Casado",M449=1,"Solteiro",N449=1,"Juntos",O449=1,"Viuvo")</f>
        <v>Juntos</v>
      </c>
      <c r="K449" s="17">
        <v>0</v>
      </c>
      <c r="L449" s="17">
        <v>0</v>
      </c>
      <c r="M449" s="17">
        <v>0</v>
      </c>
      <c r="N449" s="17">
        <v>1</v>
      </c>
      <c r="O449" s="17">
        <v>0</v>
      </c>
      <c r="P449" s="17">
        <v>0</v>
      </c>
      <c r="Q449" s="17">
        <v>0</v>
      </c>
      <c r="R449" s="17">
        <v>0</v>
      </c>
      <c r="S449" s="17">
        <v>1</v>
      </c>
      <c r="T449" s="17">
        <v>0</v>
      </c>
      <c r="U449" s="17">
        <v>368</v>
      </c>
      <c r="V449" s="13" t="str" cm="1">
        <f t="array" ref="V449">_xlfn.IFS(U449&lt;=250,"0-R$250",U449&lt;=500,"251-R$500",U449&lt;=750,"501-R$750",U449&lt;=1000,"751-R$1000",U449&lt;=1250,"1001-R$1250",U449&lt;=1500,"1251-R$1500")</f>
        <v>251-R$500</v>
      </c>
      <c r="W449" s="17">
        <v>32</v>
      </c>
      <c r="X449" s="13" t="str" cm="1">
        <f t="array" ref="X449">_xlfn.IFS(W449 = 0, "0", W449&lt;=20, "até R$20",W449&lt;=40, "21 - R$40",W449&lt;=60, "41- R$60",W449&lt;=80, "61 - R$80", W449&lt;=100, "81 - R$100",W449&lt;=120, "101 - R$120",W449&lt;=140, "121 - R$140", W449&lt;=160, "141- R$160", W449&lt;=180, "161 - R$180", W449&lt;=200, "181-R$194")</f>
        <v>21 - R$40</v>
      </c>
      <c r="Y449" s="17">
        <v>639</v>
      </c>
      <c r="Z449" s="17">
        <v>13</v>
      </c>
      <c r="AA449" s="17">
        <v>43</v>
      </c>
      <c r="AB449" s="17">
        <v>10</v>
      </c>
      <c r="AC449" s="17">
        <v>1</v>
      </c>
      <c r="AD449" s="17">
        <v>4</v>
      </c>
      <c r="AE449" s="17">
        <v>7</v>
      </c>
      <c r="AF449" s="17">
        <v>5</v>
      </c>
      <c r="AG449" s="17">
        <v>1</v>
      </c>
      <c r="AH449" s="17">
        <v>0</v>
      </c>
      <c r="AI449" s="17">
        <v>0</v>
      </c>
      <c r="AJ449" s="17">
        <v>0</v>
      </c>
      <c r="AK449" s="17">
        <v>0</v>
      </c>
      <c r="AL449" s="17">
        <v>0</v>
      </c>
      <c r="AM449" s="17">
        <v>0</v>
      </c>
      <c r="AN449" s="17">
        <v>0</v>
      </c>
      <c r="AO449" s="18">
        <v>0</v>
      </c>
      <c r="AP449" s="17">
        <v>3</v>
      </c>
      <c r="AQ449" s="17">
        <v>11</v>
      </c>
      <c r="AR449" s="19">
        <v>1085</v>
      </c>
      <c r="AS449" s="19">
        <v>1095</v>
      </c>
    </row>
    <row r="450" spans="1:45" x14ac:dyDescent="0.25">
      <c r="A450">
        <v>2201</v>
      </c>
      <c r="B450" s="11">
        <f t="shared" ref="B450:B513" si="7">C450/10</f>
        <v>61223</v>
      </c>
      <c r="C450" s="16">
        <v>612230</v>
      </c>
      <c r="D450" s="17">
        <v>0</v>
      </c>
      <c r="E450" s="17">
        <v>1</v>
      </c>
      <c r="F450" s="17">
        <v>46</v>
      </c>
      <c r="G450" s="17">
        <v>53</v>
      </c>
      <c r="H450" s="13" t="str" cm="1">
        <f t="array" ref="H450">_xlfn.IFS(G450&lt;=20,"0-20",G450&lt;=30,"20-30",G450&lt;=40,"30-40",G450&lt;=50,"50-60",G450&lt;=60,"60-70",G450&lt;=70,"70-80",G450&lt;=80,"80-90")</f>
        <v>60-70</v>
      </c>
      <c r="I450" s="17">
        <v>2540</v>
      </c>
      <c r="J450" s="13" t="str" cm="1">
        <f t="array" ref="J450">_xlfn.IFS(K450=1,"Divorciado",L450=1,"Casado",M450=1,"Solteiro",N450=1,"Juntos",O450=1,"Viuvo")</f>
        <v>Casado</v>
      </c>
      <c r="K450" s="17">
        <v>0</v>
      </c>
      <c r="L450" s="17">
        <v>1</v>
      </c>
      <c r="M450" s="17">
        <v>0</v>
      </c>
      <c r="N450" s="17">
        <v>0</v>
      </c>
      <c r="O450" s="17">
        <v>0</v>
      </c>
      <c r="P450" s="17">
        <v>0</v>
      </c>
      <c r="Q450" s="17">
        <v>0</v>
      </c>
      <c r="R450" s="17">
        <v>1</v>
      </c>
      <c r="S450" s="17">
        <v>0</v>
      </c>
      <c r="T450" s="17">
        <v>0</v>
      </c>
      <c r="U450" s="17">
        <v>709</v>
      </c>
      <c r="V450" s="13" t="str" cm="1">
        <f t="array" ref="V450">_xlfn.IFS(U450&lt;=250,"0-R$250",U450&lt;=500,"251-R$500",U450&lt;=750,"501-R$750",U450&lt;=1000,"751-R$1000",U450&lt;=1250,"1001-R$1250",U450&lt;=1500,"1251-R$1500")</f>
        <v>501-R$750</v>
      </c>
      <c r="W450" s="17">
        <v>43</v>
      </c>
      <c r="X450" s="13" t="str" cm="1">
        <f t="array" ref="X450">_xlfn.IFS(W450 = 0, "0", W450&lt;=20, "até R$20",W450&lt;=40, "21 - R$40",W450&lt;=60, "41- R$60",W450&lt;=80, "61 - R$80", W450&lt;=100, "81 - R$100",W450&lt;=120, "101 - R$120",W450&lt;=140, "121 - R$140", W450&lt;=160, "141- R$160", W450&lt;=180, "161 - R$180", W450&lt;=200, "181-R$194")</f>
        <v>41- R$60</v>
      </c>
      <c r="Y450" s="17">
        <v>182</v>
      </c>
      <c r="Z450" s="17">
        <v>42</v>
      </c>
      <c r="AA450" s="17">
        <v>118</v>
      </c>
      <c r="AB450" s="17">
        <v>247</v>
      </c>
      <c r="AC450" s="17">
        <v>2</v>
      </c>
      <c r="AD450" s="17">
        <v>9</v>
      </c>
      <c r="AE450" s="17">
        <v>3</v>
      </c>
      <c r="AF450" s="17">
        <v>4</v>
      </c>
      <c r="AG450" s="17">
        <v>5</v>
      </c>
      <c r="AH450" s="17">
        <v>0</v>
      </c>
      <c r="AI450" s="17">
        <v>0</v>
      </c>
      <c r="AJ450" s="17">
        <v>0</v>
      </c>
      <c r="AK450" s="17">
        <v>0</v>
      </c>
      <c r="AL450" s="17">
        <v>0</v>
      </c>
      <c r="AM450" s="17">
        <v>0</v>
      </c>
      <c r="AN450" s="17">
        <v>0</v>
      </c>
      <c r="AO450" s="18">
        <v>0</v>
      </c>
      <c r="AP450" s="17">
        <v>3</v>
      </c>
      <c r="AQ450" s="17">
        <v>11</v>
      </c>
      <c r="AR450" s="19">
        <v>847</v>
      </c>
      <c r="AS450" s="19">
        <v>1094</v>
      </c>
    </row>
    <row r="451" spans="1:45" x14ac:dyDescent="0.25">
      <c r="A451">
        <v>207</v>
      </c>
      <c r="B451" s="11">
        <f t="shared" si="7"/>
        <v>69508</v>
      </c>
      <c r="C451" s="16">
        <v>695080</v>
      </c>
      <c r="D451" s="17">
        <v>1</v>
      </c>
      <c r="E451" s="17">
        <v>0</v>
      </c>
      <c r="F451" s="17">
        <v>48</v>
      </c>
      <c r="G451" s="17">
        <v>40</v>
      </c>
      <c r="H451" s="13" t="str" cm="1">
        <f t="array" ref="H451">_xlfn.IFS(G451&lt;=20,"0-20",G451&lt;=30,"20-30",G451&lt;=40,"30-40",G451&lt;=50,"50-60",G451&lt;=60,"60-70",G451&lt;=70,"70-80",G451&lt;=80,"80-90")</f>
        <v>30-40</v>
      </c>
      <c r="I451" s="17">
        <v>2751</v>
      </c>
      <c r="J451" s="13" t="str" cm="1">
        <f t="array" ref="J451">_xlfn.IFS(K451=1,"Divorciado",L451=1,"Casado",M451=1,"Solteiro",N451=1,"Juntos",O451=1,"Viuvo")</f>
        <v>Juntos</v>
      </c>
      <c r="K451" s="17">
        <v>0</v>
      </c>
      <c r="L451" s="17">
        <v>0</v>
      </c>
      <c r="M451" s="17">
        <v>0</v>
      </c>
      <c r="N451" s="17">
        <v>1</v>
      </c>
      <c r="O451" s="17">
        <v>0</v>
      </c>
      <c r="P451" s="17">
        <v>0</v>
      </c>
      <c r="Q451" s="17">
        <v>0</v>
      </c>
      <c r="R451" s="17">
        <v>1</v>
      </c>
      <c r="S451" s="17">
        <v>0</v>
      </c>
      <c r="T451" s="17">
        <v>0</v>
      </c>
      <c r="U451" s="17">
        <v>824</v>
      </c>
      <c r="V451" s="13" t="str" cm="1">
        <f t="array" ref="V451">_xlfn.IFS(U451&lt;=250,"0-R$250",U451&lt;=500,"251-R$500",U451&lt;=750,"501-R$750",U451&lt;=1000,"751-R$1000",U451&lt;=1250,"1001-R$1250",U451&lt;=1500,"1251-R$1500")</f>
        <v>751-R$1000</v>
      </c>
      <c r="W451" s="17">
        <v>32</v>
      </c>
      <c r="X451" s="13" t="str" cm="1">
        <f t="array" ref="X451">_xlfn.IFS(W451 = 0, "0", W451&lt;=20, "até R$20",W451&lt;=40, "21 - R$40",W451&lt;=60, "41- R$60",W451&lt;=80, "61 - R$80", W451&lt;=100, "81 - R$100",W451&lt;=120, "101 - R$120",W451&lt;=140, "121 - R$140", W451&lt;=160, "141- R$160", W451&lt;=180, "161 - R$180", W451&lt;=200, "181-R$194")</f>
        <v>21 - R$40</v>
      </c>
      <c r="Y451" s="17">
        <v>162</v>
      </c>
      <c r="Z451" s="17">
        <v>42</v>
      </c>
      <c r="AA451" s="17">
        <v>32</v>
      </c>
      <c r="AB451" s="17">
        <v>43</v>
      </c>
      <c r="AC451" s="17">
        <v>2</v>
      </c>
      <c r="AD451" s="17">
        <v>11</v>
      </c>
      <c r="AE451" s="17">
        <v>4</v>
      </c>
      <c r="AF451" s="17">
        <v>11</v>
      </c>
      <c r="AG451" s="17">
        <v>6</v>
      </c>
      <c r="AH451" s="17">
        <v>0</v>
      </c>
      <c r="AI451" s="17">
        <v>0</v>
      </c>
      <c r="AJ451" s="17">
        <v>0</v>
      </c>
      <c r="AK451" s="17">
        <v>0</v>
      </c>
      <c r="AL451" s="17">
        <v>0</v>
      </c>
      <c r="AM451" s="17">
        <v>0</v>
      </c>
      <c r="AN451" s="17">
        <v>0</v>
      </c>
      <c r="AO451" s="18">
        <v>0</v>
      </c>
      <c r="AP451" s="17">
        <v>3</v>
      </c>
      <c r="AQ451" s="17">
        <v>11</v>
      </c>
      <c r="AR451" s="19">
        <v>1049</v>
      </c>
      <c r="AS451" s="19">
        <v>1092</v>
      </c>
    </row>
    <row r="452" spans="1:45" x14ac:dyDescent="0.25">
      <c r="A452">
        <v>666</v>
      </c>
      <c r="B452" s="11">
        <f t="shared" si="7"/>
        <v>65777</v>
      </c>
      <c r="C452" s="12">
        <v>657770</v>
      </c>
      <c r="D452" s="13">
        <v>0</v>
      </c>
      <c r="E452" s="13">
        <v>0</v>
      </c>
      <c r="F452" s="13">
        <v>87</v>
      </c>
      <c r="G452" s="13">
        <v>53</v>
      </c>
      <c r="H452" s="13" t="str" cm="1">
        <f t="array" ref="H452">_xlfn.IFS(G452&lt;=20,"0-20",G452&lt;=30,"20-30",G452&lt;=40,"30-40",G452&lt;=50,"50-60",G452&lt;=60,"60-70",G452&lt;=70,"70-80",G452&lt;=80,"80-90")</f>
        <v>60-70</v>
      </c>
      <c r="I452" s="13">
        <v>2351</v>
      </c>
      <c r="J452" s="13" t="str" cm="1">
        <f t="array" ref="J452">_xlfn.IFS(K452=1,"Divorciado",L452=1,"Casado",M452=1,"Solteiro",N452=1,"Juntos",O452=1,"Viuvo")</f>
        <v>Juntos</v>
      </c>
      <c r="K452" s="13">
        <v>0</v>
      </c>
      <c r="L452" s="13">
        <v>0</v>
      </c>
      <c r="M452" s="13">
        <v>0</v>
      </c>
      <c r="N452" s="13">
        <v>1</v>
      </c>
      <c r="O452" s="13">
        <v>0</v>
      </c>
      <c r="P452" s="13">
        <v>0</v>
      </c>
      <c r="Q452" s="13">
        <v>0</v>
      </c>
      <c r="R452" s="13">
        <v>1</v>
      </c>
      <c r="S452" s="13">
        <v>0</v>
      </c>
      <c r="T452" s="13">
        <v>0</v>
      </c>
      <c r="U452" s="13">
        <v>565</v>
      </c>
      <c r="V452" s="13" t="str" cm="1">
        <f t="array" ref="V452">_xlfn.IFS(U452&lt;=250,"0-R$250",U452&lt;=500,"251-R$500",U452&lt;=750,"501-R$750",U452&lt;=1000,"751-R$1000",U452&lt;=1250,"1001-R$1250",U452&lt;=1500,"1251-R$1500")</f>
        <v>501-R$750</v>
      </c>
      <c r="W452" s="13">
        <v>32</v>
      </c>
      <c r="X452" s="13" t="str" cm="1">
        <f t="array" ref="X452">_xlfn.IFS(W452 = 0, "0", W452&lt;=20, "até R$20",W452&lt;=40, "21 - R$40",W452&lt;=60, "41- R$60",W452&lt;=80, "61 - R$80", W452&lt;=100, "81 - R$100",W452&lt;=120, "101 - R$120",W452&lt;=140, "121 - R$140", W452&lt;=160, "141- R$160", W452&lt;=180, "161 - R$180", W452&lt;=200, "181-R$194")</f>
        <v>21 - R$40</v>
      </c>
      <c r="Y452" s="13">
        <v>435</v>
      </c>
      <c r="Z452" s="13">
        <v>28</v>
      </c>
      <c r="AA452" s="13">
        <v>32</v>
      </c>
      <c r="AB452" s="13">
        <v>54</v>
      </c>
      <c r="AC452" s="13">
        <v>1</v>
      </c>
      <c r="AD452" s="13">
        <v>2</v>
      </c>
      <c r="AE452" s="13">
        <v>8</v>
      </c>
      <c r="AF452" s="13">
        <v>6</v>
      </c>
      <c r="AG452" s="13">
        <v>1</v>
      </c>
      <c r="AH452" s="13">
        <v>0</v>
      </c>
      <c r="AI452" s="13">
        <v>0</v>
      </c>
      <c r="AJ452" s="13">
        <v>0</v>
      </c>
      <c r="AK452" s="13">
        <v>0</v>
      </c>
      <c r="AL452" s="13">
        <v>0</v>
      </c>
      <c r="AM452" s="13">
        <v>0</v>
      </c>
      <c r="AN452" s="13">
        <v>0</v>
      </c>
      <c r="AO452" s="14">
        <v>0</v>
      </c>
      <c r="AP452" s="13">
        <v>3</v>
      </c>
      <c r="AQ452" s="13">
        <v>11</v>
      </c>
      <c r="AR452" s="15">
        <v>1038</v>
      </c>
      <c r="AS452" s="15">
        <v>1092</v>
      </c>
    </row>
    <row r="453" spans="1:45" x14ac:dyDescent="0.25">
      <c r="A453">
        <v>199</v>
      </c>
      <c r="B453" s="11">
        <f t="shared" si="7"/>
        <v>77972</v>
      </c>
      <c r="C453" s="16">
        <v>779720</v>
      </c>
      <c r="D453" s="17">
        <v>0</v>
      </c>
      <c r="E453" s="17">
        <v>0</v>
      </c>
      <c r="F453" s="17">
        <v>18</v>
      </c>
      <c r="G453" s="17">
        <v>66</v>
      </c>
      <c r="H453" s="13" t="str" cm="1">
        <f t="array" ref="H453">_xlfn.IFS(G453&lt;=20,"0-20",G453&lt;=30,"20-30",G453&lt;=40,"30-40",G453&lt;=50,"50-60",G453&lt;=60,"60-70",G453&lt;=70,"70-80",G453&lt;=80,"80-90")</f>
        <v>70-80</v>
      </c>
      <c r="I453" s="17">
        <v>2262</v>
      </c>
      <c r="J453" s="13" t="str" cm="1">
        <f t="array" ref="J453">_xlfn.IFS(K453=1,"Divorciado",L453=1,"Casado",M453=1,"Solteiro",N453=1,"Juntos",O453=1,"Viuvo")</f>
        <v>Juntos</v>
      </c>
      <c r="K453" s="17">
        <v>0</v>
      </c>
      <c r="L453" s="17">
        <v>0</v>
      </c>
      <c r="M453" s="17">
        <v>0</v>
      </c>
      <c r="N453" s="17">
        <v>1</v>
      </c>
      <c r="O453" s="17">
        <v>0</v>
      </c>
      <c r="P453" s="17">
        <v>0</v>
      </c>
      <c r="Q453" s="17">
        <v>0</v>
      </c>
      <c r="R453" s="17">
        <v>1</v>
      </c>
      <c r="S453" s="17">
        <v>0</v>
      </c>
      <c r="T453" s="17">
        <v>0</v>
      </c>
      <c r="U453" s="17">
        <v>613</v>
      </c>
      <c r="V453" s="13" t="str" cm="1">
        <f t="array" ref="V453">_xlfn.IFS(U453&lt;=250,"0-R$250",U453&lt;=500,"251-R$500",U453&lt;=750,"501-R$750",U453&lt;=1000,"751-R$1000",U453&lt;=1250,"1001-R$1250",U453&lt;=1500,"1251-R$1500")</f>
        <v>501-R$750</v>
      </c>
      <c r="W453" s="17">
        <v>22</v>
      </c>
      <c r="X453" s="13" t="str" cm="1">
        <f t="array" ref="X453">_xlfn.IFS(W453 = 0, "0", W453&lt;=20, "até R$20",W453&lt;=40, "21 - R$40",W453&lt;=60, "41- R$60",W453&lt;=80, "61 - R$80", W453&lt;=100, "81 - R$100",W453&lt;=120, "101 - R$120",W453&lt;=140, "121 - R$140", W453&lt;=160, "141- R$160", W453&lt;=180, "161 - R$180", W453&lt;=200, "181-R$194")</f>
        <v>21 - R$40</v>
      </c>
      <c r="Y453" s="17">
        <v>319</v>
      </c>
      <c r="Z453" s="17">
        <v>33</v>
      </c>
      <c r="AA453" s="17">
        <v>102</v>
      </c>
      <c r="AB453" s="17">
        <v>12</v>
      </c>
      <c r="AC453" s="17">
        <v>1</v>
      </c>
      <c r="AD453" s="17">
        <v>4</v>
      </c>
      <c r="AE453" s="17">
        <v>6</v>
      </c>
      <c r="AF453" s="17">
        <v>9</v>
      </c>
      <c r="AG453" s="17">
        <v>1</v>
      </c>
      <c r="AH453" s="17">
        <v>0</v>
      </c>
      <c r="AI453" s="17">
        <v>0</v>
      </c>
      <c r="AJ453" s="17">
        <v>0</v>
      </c>
      <c r="AK453" s="17">
        <v>0</v>
      </c>
      <c r="AL453" s="17">
        <v>0</v>
      </c>
      <c r="AM453" s="17">
        <v>0</v>
      </c>
      <c r="AN453" s="17">
        <v>0</v>
      </c>
      <c r="AO453" s="18">
        <v>0</v>
      </c>
      <c r="AP453" s="17">
        <v>3</v>
      </c>
      <c r="AQ453" s="17">
        <v>11</v>
      </c>
      <c r="AR453" s="19">
        <v>1077</v>
      </c>
      <c r="AS453" s="19">
        <v>1089</v>
      </c>
    </row>
    <row r="454" spans="1:45" x14ac:dyDescent="0.25">
      <c r="A454">
        <v>923</v>
      </c>
      <c r="B454" s="11">
        <f t="shared" si="7"/>
        <v>82025</v>
      </c>
      <c r="C454" s="16">
        <v>820250</v>
      </c>
      <c r="D454" s="17">
        <v>0</v>
      </c>
      <c r="E454" s="17">
        <v>0</v>
      </c>
      <c r="F454" s="17">
        <v>76</v>
      </c>
      <c r="G454" s="17">
        <v>37</v>
      </c>
      <c r="H454" s="13" t="str" cm="1">
        <f t="array" ref="H454">_xlfn.IFS(G454&lt;=20,"0-20",G454&lt;=30,"20-30",G454&lt;=40,"30-40",G454&lt;=50,"50-60",G454&lt;=60,"60-70",G454&lt;=70,"70-80",G454&lt;=80,"80-90")</f>
        <v>30-40</v>
      </c>
      <c r="I454" s="17">
        <v>2556</v>
      </c>
      <c r="J454" s="13" t="str" cm="1">
        <f t="array" ref="J454">_xlfn.IFS(K454=1,"Divorciado",L454=1,"Casado",M454=1,"Solteiro",N454=1,"Juntos",O454=1,"Viuvo")</f>
        <v>Divorciado</v>
      </c>
      <c r="K454" s="17">
        <v>1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1</v>
      </c>
      <c r="S454" s="17">
        <v>0</v>
      </c>
      <c r="T454" s="17">
        <v>0</v>
      </c>
      <c r="U454" s="17">
        <v>267</v>
      </c>
      <c r="V454" s="13" t="str" cm="1">
        <f t="array" ref="V454">_xlfn.IFS(U454&lt;=250,"0-R$250",U454&lt;=500,"251-R$500",U454&lt;=750,"501-R$750",U454&lt;=1000,"751-R$1000",U454&lt;=1250,"1001-R$1250",U454&lt;=1500,"1251-R$1500")</f>
        <v>251-R$500</v>
      </c>
      <c r="W454" s="17">
        <v>98</v>
      </c>
      <c r="X454" s="13" t="str" cm="1">
        <f t="array" ref="X454">_xlfn.IFS(W454 = 0, "0", W454&lt;=20, "até R$20",W454&lt;=40, "21 - R$40",W454&lt;=60, "41- R$60",W454&lt;=80, "61 - R$80", W454&lt;=100, "81 - R$100",W454&lt;=120, "101 - R$120",W454&lt;=140, "121 - R$140", W454&lt;=160, "141- R$160", W454&lt;=180, "161 - R$180", W454&lt;=200, "181-R$194")</f>
        <v>81 - R$100</v>
      </c>
      <c r="Y454" s="17">
        <v>606</v>
      </c>
      <c r="Z454" s="17">
        <v>48</v>
      </c>
      <c r="AA454" s="17">
        <v>70</v>
      </c>
      <c r="AB454" s="17">
        <v>98</v>
      </c>
      <c r="AC454" s="17">
        <v>1</v>
      </c>
      <c r="AD454" s="17">
        <v>3</v>
      </c>
      <c r="AE454" s="17">
        <v>2</v>
      </c>
      <c r="AF454" s="17">
        <v>6</v>
      </c>
      <c r="AG454" s="17">
        <v>1</v>
      </c>
      <c r="AH454" s="17">
        <v>0</v>
      </c>
      <c r="AI454" s="17">
        <v>0</v>
      </c>
      <c r="AJ454" s="17">
        <v>0</v>
      </c>
      <c r="AK454" s="17">
        <v>1</v>
      </c>
      <c r="AL454" s="17">
        <v>0</v>
      </c>
      <c r="AM454" s="17">
        <v>0</v>
      </c>
      <c r="AN454" s="17">
        <v>1</v>
      </c>
      <c r="AO454" s="18">
        <v>1</v>
      </c>
      <c r="AP454" s="17">
        <v>3</v>
      </c>
      <c r="AQ454" s="17">
        <v>11</v>
      </c>
      <c r="AR454" s="19">
        <v>991</v>
      </c>
      <c r="AS454" s="19">
        <v>1089</v>
      </c>
    </row>
    <row r="455" spans="1:45" x14ac:dyDescent="0.25">
      <c r="A455">
        <v>1408</v>
      </c>
      <c r="B455" s="11">
        <f t="shared" si="7"/>
        <v>92533</v>
      </c>
      <c r="C455" s="12">
        <v>925330</v>
      </c>
      <c r="D455" s="13">
        <v>0</v>
      </c>
      <c r="E455" s="13">
        <v>0</v>
      </c>
      <c r="F455" s="13">
        <v>84</v>
      </c>
      <c r="G455" s="13">
        <v>35</v>
      </c>
      <c r="H455" s="13" t="str" cm="1">
        <f t="array" ref="H455">_xlfn.IFS(G455&lt;=20,"0-20",G455&lt;=30,"20-30",G455&lt;=40,"30-40",G455&lt;=50,"50-60",G455&lt;=60,"60-70",G455&lt;=70,"70-80",G455&lt;=80,"80-90")</f>
        <v>30-40</v>
      </c>
      <c r="I455" s="13">
        <v>2351</v>
      </c>
      <c r="J455" s="13" t="str" cm="1">
        <f t="array" ref="J455">_xlfn.IFS(K455=1,"Divorciado",L455=1,"Casado",M455=1,"Solteiro",N455=1,"Juntos",O455=1,"Viuvo")</f>
        <v>Casado</v>
      </c>
      <c r="K455" s="13">
        <v>0</v>
      </c>
      <c r="L455" s="13">
        <v>1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1</v>
      </c>
      <c r="S455" s="13">
        <v>0</v>
      </c>
      <c r="T455" s="13">
        <v>0</v>
      </c>
      <c r="U455" s="13">
        <v>693</v>
      </c>
      <c r="V455" s="13" t="str" cm="1">
        <f t="array" ref="V455">_xlfn.IFS(U455&lt;=250,"0-R$250",U455&lt;=500,"251-R$500",U455&lt;=750,"501-R$750",U455&lt;=1000,"751-R$1000",U455&lt;=1250,"1001-R$1250",U455&lt;=1500,"1251-R$1500")</f>
        <v>501-R$750</v>
      </c>
      <c r="W455" s="13">
        <v>21</v>
      </c>
      <c r="X455" s="13" t="str" cm="1">
        <f t="array" ref="X455">_xlfn.IFS(W455 = 0, "0", W455&lt;=20, "até R$20",W455&lt;=40, "21 - R$40",W455&lt;=60, "41- R$60",W455&lt;=80, "61 - R$80", W455&lt;=100, "81 - R$100",W455&lt;=120, "101 - R$120",W455&lt;=140, "121 - R$140", W455&lt;=160, "141- R$160", W455&lt;=180, "161 - R$180", W455&lt;=200, "181-R$194")</f>
        <v>21 - R$40</v>
      </c>
      <c r="Y455" s="13">
        <v>118</v>
      </c>
      <c r="Z455" s="13">
        <v>110</v>
      </c>
      <c r="AA455" s="13">
        <v>147</v>
      </c>
      <c r="AB455" s="13">
        <v>42</v>
      </c>
      <c r="AC455" s="13">
        <v>1</v>
      </c>
      <c r="AD455" s="13">
        <v>6</v>
      </c>
      <c r="AE455" s="13">
        <v>5</v>
      </c>
      <c r="AF455" s="13">
        <v>11</v>
      </c>
      <c r="AG455" s="13">
        <v>2</v>
      </c>
      <c r="AH455" s="13">
        <v>0</v>
      </c>
      <c r="AI455" s="13">
        <v>0</v>
      </c>
      <c r="AJ455" s="13">
        <v>0</v>
      </c>
      <c r="AK455" s="13">
        <v>1</v>
      </c>
      <c r="AL455" s="13">
        <v>1</v>
      </c>
      <c r="AM455" s="13">
        <v>0</v>
      </c>
      <c r="AN455" s="13">
        <v>0</v>
      </c>
      <c r="AO455" s="14">
        <v>2</v>
      </c>
      <c r="AP455" s="13">
        <v>3</v>
      </c>
      <c r="AQ455" s="13">
        <v>11</v>
      </c>
      <c r="AR455" s="15">
        <v>1047</v>
      </c>
      <c r="AS455" s="15">
        <v>1089</v>
      </c>
    </row>
    <row r="456" spans="1:45" x14ac:dyDescent="0.25">
      <c r="A456">
        <v>373</v>
      </c>
      <c r="B456" s="11">
        <f t="shared" si="7"/>
        <v>83664</v>
      </c>
      <c r="C456" s="16">
        <v>836640</v>
      </c>
      <c r="D456" s="17">
        <v>1</v>
      </c>
      <c r="E456" s="17">
        <v>1</v>
      </c>
      <c r="F456" s="17">
        <v>57</v>
      </c>
      <c r="G456" s="17">
        <v>52</v>
      </c>
      <c r="H456" s="13" t="str" cm="1">
        <f t="array" ref="H456">_xlfn.IFS(G456&lt;=20,"0-20",G456&lt;=30,"20-30",G456&lt;=40,"30-40",G456&lt;=50,"50-60",G456&lt;=60,"60-70",G456&lt;=70,"70-80",G456&lt;=80,"80-90")</f>
        <v>60-70</v>
      </c>
      <c r="I456" s="17">
        <v>2576</v>
      </c>
      <c r="J456" s="13" t="str" cm="1">
        <f t="array" ref="J456">_xlfn.IFS(K456=1,"Divorciado",L456=1,"Casado",M456=1,"Solteiro",N456=1,"Juntos",O456=1,"Viuvo")</f>
        <v>Divorciado</v>
      </c>
      <c r="K456" s="17">
        <v>1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1</v>
      </c>
      <c r="U456" s="17">
        <v>866</v>
      </c>
      <c r="V456" s="13" t="str" cm="1">
        <f t="array" ref="V456">_xlfn.IFS(U456&lt;=250,"0-R$250",U456&lt;=500,"251-R$500",U456&lt;=750,"501-R$750",U456&lt;=1000,"751-R$1000",U456&lt;=1250,"1001-R$1250",U456&lt;=1500,"1251-R$1500")</f>
        <v>751-R$1000</v>
      </c>
      <c r="W456" s="17">
        <v>21</v>
      </c>
      <c r="X456" s="13" t="str" cm="1">
        <f t="array" ref="X456">_xlfn.IFS(W456 = 0, "0", W456&lt;=20, "até R$20",W456&lt;=40, "21 - R$40",W456&lt;=60, "41- R$60",W456&lt;=80, "61 - R$80", W456&lt;=100, "81 - R$100",W456&lt;=120, "101 - R$120",W456&lt;=140, "121 - R$140", W456&lt;=160, "141- R$160", W456&lt;=180, "161 - R$180", W456&lt;=200, "181-R$194")</f>
        <v>21 - R$40</v>
      </c>
      <c r="Y456" s="17">
        <v>151</v>
      </c>
      <c r="Z456" s="17">
        <v>28</v>
      </c>
      <c r="AA456" s="17">
        <v>21</v>
      </c>
      <c r="AB456" s="17">
        <v>86</v>
      </c>
      <c r="AC456" s="17">
        <v>3</v>
      </c>
      <c r="AD456" s="17">
        <v>2</v>
      </c>
      <c r="AE456" s="17">
        <v>2</v>
      </c>
      <c r="AF456" s="17">
        <v>12</v>
      </c>
      <c r="AG456" s="17">
        <v>5</v>
      </c>
      <c r="AH456" s="17">
        <v>0</v>
      </c>
      <c r="AI456" s="17">
        <v>0</v>
      </c>
      <c r="AJ456" s="17">
        <v>0</v>
      </c>
      <c r="AK456" s="17">
        <v>0</v>
      </c>
      <c r="AL456" s="17">
        <v>0</v>
      </c>
      <c r="AM456" s="17">
        <v>0</v>
      </c>
      <c r="AN456" s="17">
        <v>0</v>
      </c>
      <c r="AO456" s="18">
        <v>0</v>
      </c>
      <c r="AP456" s="17">
        <v>3</v>
      </c>
      <c r="AQ456" s="17">
        <v>11</v>
      </c>
      <c r="AR456" s="19">
        <v>1001</v>
      </c>
      <c r="AS456" s="19">
        <v>1087</v>
      </c>
    </row>
    <row r="457" spans="1:45" x14ac:dyDescent="0.25">
      <c r="A457">
        <v>222</v>
      </c>
      <c r="B457" s="11">
        <f t="shared" si="7"/>
        <v>62745</v>
      </c>
      <c r="C457" s="12">
        <v>627450</v>
      </c>
      <c r="D457" s="13">
        <v>0</v>
      </c>
      <c r="E457" s="13">
        <v>1</v>
      </c>
      <c r="F457" s="13">
        <v>89</v>
      </c>
      <c r="G457" s="13">
        <v>55</v>
      </c>
      <c r="H457" s="13" t="str" cm="1">
        <f t="array" ref="H457">_xlfn.IFS(G457&lt;=20,"0-20",G457&lt;=30,"20-30",G457&lt;=40,"30-40",G457&lt;=50,"50-60",G457&lt;=60,"60-70",G457&lt;=70,"70-80",G457&lt;=80,"80-90")</f>
        <v>60-70</v>
      </c>
      <c r="I457" s="13">
        <v>2622</v>
      </c>
      <c r="J457" s="13" t="str" cm="1">
        <f t="array" ref="J457">_xlfn.IFS(K457=1,"Divorciado",L457=1,"Casado",M457=1,"Solteiro",N457=1,"Juntos",O457=1,"Viuvo")</f>
        <v>Casado</v>
      </c>
      <c r="K457" s="13">
        <v>0</v>
      </c>
      <c r="L457" s="13">
        <v>1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1</v>
      </c>
      <c r="U457" s="13">
        <v>562</v>
      </c>
      <c r="V457" s="13" t="str" cm="1">
        <f t="array" ref="V457">_xlfn.IFS(U457&lt;=250,"0-R$250",U457&lt;=500,"251-R$500",U457&lt;=750,"501-R$750",U457&lt;=1000,"751-R$1000",U457&lt;=1250,"1001-R$1250",U457&lt;=1500,"1251-R$1500")</f>
        <v>501-R$750</v>
      </c>
      <c r="W457" s="13">
        <v>21</v>
      </c>
      <c r="X457" s="13" t="str" cm="1">
        <f t="array" ref="X457">_xlfn.IFS(W457 = 0, "0", W457&lt;=20, "até R$20",W457&lt;=40, "21 - R$40",W457&lt;=60, "41- R$60",W457&lt;=80, "61 - R$80", W457&lt;=100, "81 - R$100",W457&lt;=120, "101 - R$120",W457&lt;=140, "121 - R$140", W457&lt;=160, "141- R$160", W457&lt;=180, "161 - R$180", W457&lt;=200, "181-R$194")</f>
        <v>21 - R$40</v>
      </c>
      <c r="Y457" s="13">
        <v>464</v>
      </c>
      <c r="Z457" s="13">
        <v>28</v>
      </c>
      <c r="AA457" s="13">
        <v>10</v>
      </c>
      <c r="AB457" s="13">
        <v>32</v>
      </c>
      <c r="AC457" s="13">
        <v>3</v>
      </c>
      <c r="AD457" s="13">
        <v>7</v>
      </c>
      <c r="AE457" s="13">
        <v>8</v>
      </c>
      <c r="AF457" s="13">
        <v>11</v>
      </c>
      <c r="AG457" s="13">
        <v>5</v>
      </c>
      <c r="AH457" s="13">
        <v>0</v>
      </c>
      <c r="AI457" s="13">
        <v>0</v>
      </c>
      <c r="AJ457" s="13">
        <v>0</v>
      </c>
      <c r="AK457" s="13">
        <v>0</v>
      </c>
      <c r="AL457" s="13">
        <v>0</v>
      </c>
      <c r="AM457" s="13">
        <v>0</v>
      </c>
      <c r="AN457" s="13">
        <v>0</v>
      </c>
      <c r="AO457" s="14">
        <v>0</v>
      </c>
      <c r="AP457" s="13">
        <v>3</v>
      </c>
      <c r="AQ457" s="13">
        <v>11</v>
      </c>
      <c r="AR457" s="15">
        <v>1053</v>
      </c>
      <c r="AS457" s="15">
        <v>1085</v>
      </c>
    </row>
    <row r="458" spans="1:45" x14ac:dyDescent="0.25">
      <c r="A458">
        <v>1528</v>
      </c>
      <c r="B458" s="11">
        <f t="shared" si="7"/>
        <v>63943</v>
      </c>
      <c r="C458" s="12">
        <v>639430</v>
      </c>
      <c r="D458" s="13">
        <v>0</v>
      </c>
      <c r="E458" s="13">
        <v>1</v>
      </c>
      <c r="F458" s="13">
        <v>50</v>
      </c>
      <c r="G458" s="13">
        <v>64</v>
      </c>
      <c r="H458" s="13" t="str" cm="1">
        <f t="array" ref="H458">_xlfn.IFS(G458&lt;=20,"0-20",G458&lt;=30,"20-30",G458&lt;=40,"30-40",G458&lt;=50,"50-60",G458&lt;=60,"60-70",G458&lt;=70,"70-80",G458&lt;=80,"80-90")</f>
        <v>70-80</v>
      </c>
      <c r="I458" s="13">
        <v>2824</v>
      </c>
      <c r="J458" s="13" t="str" cm="1">
        <f t="array" ref="J458">_xlfn.IFS(K458=1,"Divorciado",L458=1,"Casado",M458=1,"Solteiro",N458=1,"Juntos",O458=1,"Viuvo")</f>
        <v>Casado</v>
      </c>
      <c r="K458" s="13">
        <v>0</v>
      </c>
      <c r="L458" s="13">
        <v>1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1</v>
      </c>
      <c r="S458" s="13">
        <v>0</v>
      </c>
      <c r="T458" s="13">
        <v>0</v>
      </c>
      <c r="U458" s="13">
        <v>423</v>
      </c>
      <c r="V458" s="13" t="str" cm="1">
        <f t="array" ref="V458">_xlfn.IFS(U458&lt;=250,"0-R$250",U458&lt;=500,"251-R$500",U458&lt;=750,"501-R$750",U458&lt;=1000,"751-R$1000",U458&lt;=1250,"1001-R$1250",U458&lt;=1500,"1251-R$1500")</f>
        <v>251-R$500</v>
      </c>
      <c r="W458" s="13">
        <v>184</v>
      </c>
      <c r="X458" s="13" t="str" cm="1">
        <f t="array" ref="X458">_xlfn.IFS(W458 = 0, "0", W458&lt;=20, "até R$20",W458&lt;=40, "21 - R$40",W458&lt;=60, "41- R$60",W458&lt;=80, "61 - R$80", W458&lt;=100, "81 - R$100",W458&lt;=120, "101 - R$120",W458&lt;=140, "121 - R$140", W458&lt;=160, "141- R$160", W458&lt;=180, "161 - R$180", W458&lt;=200, "181-R$194")</f>
        <v>181-R$194</v>
      </c>
      <c r="Y458" s="13">
        <v>368</v>
      </c>
      <c r="Z458" s="13">
        <v>13</v>
      </c>
      <c r="AA458" s="13">
        <v>97</v>
      </c>
      <c r="AB458" s="13">
        <v>21</v>
      </c>
      <c r="AC458" s="13">
        <v>1</v>
      </c>
      <c r="AD458" s="13">
        <v>6</v>
      </c>
      <c r="AE458" s="13">
        <v>4</v>
      </c>
      <c r="AF458" s="13">
        <v>6</v>
      </c>
      <c r="AG458" s="13">
        <v>5</v>
      </c>
      <c r="AH458" s="13">
        <v>0</v>
      </c>
      <c r="AI458" s="13">
        <v>0</v>
      </c>
      <c r="AJ458" s="13">
        <v>0</v>
      </c>
      <c r="AK458" s="13">
        <v>0</v>
      </c>
      <c r="AL458" s="13">
        <v>0</v>
      </c>
      <c r="AM458" s="13">
        <v>0</v>
      </c>
      <c r="AN458" s="13">
        <v>0</v>
      </c>
      <c r="AO458" s="14">
        <v>0</v>
      </c>
      <c r="AP458" s="13">
        <v>3</v>
      </c>
      <c r="AQ458" s="13">
        <v>11</v>
      </c>
      <c r="AR458" s="15">
        <v>1064</v>
      </c>
      <c r="AS458" s="15">
        <v>1085</v>
      </c>
    </row>
    <row r="459" spans="1:45" x14ac:dyDescent="0.25">
      <c r="A459">
        <v>1185</v>
      </c>
      <c r="B459" s="11">
        <f t="shared" si="7"/>
        <v>66636</v>
      </c>
      <c r="C459" s="16">
        <v>666360</v>
      </c>
      <c r="D459" s="17">
        <v>0</v>
      </c>
      <c r="E459" s="17">
        <v>0</v>
      </c>
      <c r="F459" s="17">
        <v>64</v>
      </c>
      <c r="G459" s="17">
        <v>63</v>
      </c>
      <c r="H459" s="13" t="str" cm="1">
        <f t="array" ref="H459">_xlfn.IFS(G459&lt;=20,"0-20",G459&lt;=30,"20-30",G459&lt;=40,"30-40",G459&lt;=50,"50-60",G459&lt;=60,"60-70",G459&lt;=70,"70-80",G459&lt;=80,"80-90")</f>
        <v>70-80</v>
      </c>
      <c r="I459" s="17">
        <v>2475</v>
      </c>
      <c r="J459" s="13" t="str" cm="1">
        <f t="array" ref="J459">_xlfn.IFS(K459=1,"Divorciado",L459=1,"Casado",M459=1,"Solteiro",N459=1,"Juntos",O459=1,"Viuvo")</f>
        <v>Juntos</v>
      </c>
      <c r="K459" s="17">
        <v>0</v>
      </c>
      <c r="L459" s="17">
        <v>0</v>
      </c>
      <c r="M459" s="17">
        <v>0</v>
      </c>
      <c r="N459" s="17">
        <v>1</v>
      </c>
      <c r="O459" s="17">
        <v>0</v>
      </c>
      <c r="P459" s="17">
        <v>0</v>
      </c>
      <c r="Q459" s="17">
        <v>0</v>
      </c>
      <c r="R459" s="17">
        <v>0</v>
      </c>
      <c r="S459" s="17">
        <v>1</v>
      </c>
      <c r="T459" s="17">
        <v>0</v>
      </c>
      <c r="U459" s="17">
        <v>291</v>
      </c>
      <c r="V459" s="13" t="str" cm="1">
        <f t="array" ref="V459">_xlfn.IFS(U459&lt;=250,"0-R$250",U459&lt;=500,"251-R$500",U459&lt;=750,"501-R$750",U459&lt;=1000,"751-R$1000",U459&lt;=1250,"1001-R$1250",U459&lt;=1500,"1251-R$1500")</f>
        <v>251-R$500</v>
      </c>
      <c r="W459" s="17">
        <v>10</v>
      </c>
      <c r="X459" s="13" t="str" cm="1">
        <f t="array" ref="X459">_xlfn.IFS(W459 = 0, "0", W459&lt;=20, "até R$20",W459&lt;=40, "21 - R$40",W459&lt;=60, "41- R$60",W459&lt;=80, "61 - R$80", W459&lt;=100, "81 - R$100",W459&lt;=120, "101 - R$120",W459&lt;=140, "121 - R$140", W459&lt;=160, "141- R$160", W459&lt;=180, "161 - R$180", W459&lt;=200, "181-R$194")</f>
        <v>até R$20</v>
      </c>
      <c r="Y459" s="17">
        <v>689</v>
      </c>
      <c r="Z459" s="17">
        <v>84</v>
      </c>
      <c r="AA459" s="17">
        <v>10</v>
      </c>
      <c r="AB459" s="17">
        <v>0</v>
      </c>
      <c r="AC459" s="17">
        <v>1</v>
      </c>
      <c r="AD459" s="17">
        <v>3</v>
      </c>
      <c r="AE459" s="17">
        <v>4</v>
      </c>
      <c r="AF459" s="17">
        <v>9</v>
      </c>
      <c r="AG459" s="17">
        <v>1</v>
      </c>
      <c r="AH459" s="17">
        <v>0</v>
      </c>
      <c r="AI459" s="17">
        <v>0</v>
      </c>
      <c r="AJ459" s="17">
        <v>0</v>
      </c>
      <c r="AK459" s="17">
        <v>0</v>
      </c>
      <c r="AL459" s="17">
        <v>0</v>
      </c>
      <c r="AM459" s="17">
        <v>0</v>
      </c>
      <c r="AN459" s="17">
        <v>0</v>
      </c>
      <c r="AO459" s="18">
        <v>0</v>
      </c>
      <c r="AP459" s="17">
        <v>3</v>
      </c>
      <c r="AQ459" s="17">
        <v>11</v>
      </c>
      <c r="AR459" s="19">
        <v>1084</v>
      </c>
      <c r="AS459" s="19">
        <v>1084</v>
      </c>
    </row>
    <row r="460" spans="1:45" x14ac:dyDescent="0.25">
      <c r="A460">
        <v>243</v>
      </c>
      <c r="B460" s="11">
        <f t="shared" si="7"/>
        <v>63342</v>
      </c>
      <c r="C460" s="16">
        <v>633420</v>
      </c>
      <c r="D460" s="17">
        <v>0</v>
      </c>
      <c r="E460" s="17">
        <v>1</v>
      </c>
      <c r="F460" s="17">
        <v>48</v>
      </c>
      <c r="G460" s="17">
        <v>59</v>
      </c>
      <c r="H460" s="13" t="str" cm="1">
        <f t="array" ref="H460">_xlfn.IFS(G460&lt;=20,"0-20",G460&lt;=30,"20-30",G460&lt;=40,"30-40",G460&lt;=50,"50-60",G460&lt;=60,"60-70",G460&lt;=70,"70-80",G460&lt;=80,"80-90")</f>
        <v>60-70</v>
      </c>
      <c r="I460" s="17">
        <v>2780</v>
      </c>
      <c r="J460" s="13" t="str" cm="1">
        <f t="array" ref="J460">_xlfn.IFS(K460=1,"Divorciado",L460=1,"Casado",M460=1,"Solteiro",N460=1,"Juntos",O460=1,"Viuvo")</f>
        <v>Juntos</v>
      </c>
      <c r="K460" s="17">
        <v>0</v>
      </c>
      <c r="L460" s="17">
        <v>0</v>
      </c>
      <c r="M460" s="17">
        <v>0</v>
      </c>
      <c r="N460" s="17">
        <v>1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1</v>
      </c>
      <c r="U460" s="17">
        <v>918</v>
      </c>
      <c r="V460" s="13" t="str" cm="1">
        <f t="array" ref="V460">_xlfn.IFS(U460&lt;=250,"0-R$250",U460&lt;=500,"251-R$500",U460&lt;=750,"501-R$750",U460&lt;=1000,"751-R$1000",U460&lt;=1250,"1001-R$1250",U460&lt;=1500,"1251-R$1500")</f>
        <v>751-R$1000</v>
      </c>
      <c r="W460" s="17">
        <v>21</v>
      </c>
      <c r="X460" s="13" t="str" cm="1">
        <f t="array" ref="X460">_xlfn.IFS(W460 = 0, "0", W460&lt;=20, "até R$20",W460&lt;=40, "21 - R$40",W460&lt;=60, "41- R$60",W460&lt;=80, "61 - R$80", W460&lt;=100, "81 - R$100",W460&lt;=120, "101 - R$120",W460&lt;=140, "121 - R$140", W460&lt;=160, "141- R$160", W460&lt;=180, "161 - R$180", W460&lt;=200, "181-R$194")</f>
        <v>21 - R$40</v>
      </c>
      <c r="Y460" s="17">
        <v>118</v>
      </c>
      <c r="Z460" s="17">
        <v>13</v>
      </c>
      <c r="AA460" s="17">
        <v>10</v>
      </c>
      <c r="AB460" s="17">
        <v>21</v>
      </c>
      <c r="AC460" s="17">
        <v>3</v>
      </c>
      <c r="AD460" s="17">
        <v>8</v>
      </c>
      <c r="AE460" s="17">
        <v>3</v>
      </c>
      <c r="AF460" s="17">
        <v>5</v>
      </c>
      <c r="AG460" s="17">
        <v>6</v>
      </c>
      <c r="AH460" s="17">
        <v>0</v>
      </c>
      <c r="AI460" s="17">
        <v>0</v>
      </c>
      <c r="AJ460" s="17">
        <v>1</v>
      </c>
      <c r="AK460" s="17">
        <v>0</v>
      </c>
      <c r="AL460" s="17">
        <v>0</v>
      </c>
      <c r="AM460" s="17">
        <v>0</v>
      </c>
      <c r="AN460" s="17">
        <v>0</v>
      </c>
      <c r="AO460" s="18">
        <v>1</v>
      </c>
      <c r="AP460" s="17">
        <v>3</v>
      </c>
      <c r="AQ460" s="17">
        <v>11</v>
      </c>
      <c r="AR460" s="19">
        <v>1059</v>
      </c>
      <c r="AS460" s="19">
        <v>1080</v>
      </c>
    </row>
    <row r="461" spans="1:45" x14ac:dyDescent="0.25">
      <c r="A461">
        <v>1725</v>
      </c>
      <c r="B461" s="11">
        <f t="shared" si="7"/>
        <v>63342</v>
      </c>
      <c r="C461" s="16">
        <v>633420</v>
      </c>
      <c r="D461" s="17">
        <v>0</v>
      </c>
      <c r="E461" s="17">
        <v>1</v>
      </c>
      <c r="F461" s="17">
        <v>48</v>
      </c>
      <c r="G461" s="17">
        <v>59</v>
      </c>
      <c r="H461" s="13" t="str" cm="1">
        <f t="array" ref="H461">_xlfn.IFS(G461&lt;=20,"0-20",G461&lt;=30,"20-30",G461&lt;=40,"30-40",G461&lt;=50,"50-60",G461&lt;=60,"60-70",G461&lt;=70,"70-80",G461&lt;=80,"80-90")</f>
        <v>60-70</v>
      </c>
      <c r="I461" s="17">
        <v>2780</v>
      </c>
      <c r="J461" s="13" t="str" cm="1">
        <f t="array" ref="J461">_xlfn.IFS(K461=1,"Divorciado",L461=1,"Casado",M461=1,"Solteiro",N461=1,"Juntos",O461=1,"Viuvo")</f>
        <v>Juntos</v>
      </c>
      <c r="K461" s="17">
        <v>0</v>
      </c>
      <c r="L461" s="17">
        <v>0</v>
      </c>
      <c r="M461" s="17">
        <v>0</v>
      </c>
      <c r="N461" s="17">
        <v>1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1</v>
      </c>
      <c r="U461" s="17">
        <v>918</v>
      </c>
      <c r="V461" s="13" t="str" cm="1">
        <f t="array" ref="V461">_xlfn.IFS(U461&lt;=250,"0-R$250",U461&lt;=500,"251-R$500",U461&lt;=750,"501-R$750",U461&lt;=1000,"751-R$1000",U461&lt;=1250,"1001-R$1250",U461&lt;=1500,"1251-R$1500")</f>
        <v>751-R$1000</v>
      </c>
      <c r="W461" s="17">
        <v>21</v>
      </c>
      <c r="X461" s="13" t="str" cm="1">
        <f t="array" ref="X461">_xlfn.IFS(W461 = 0, "0", W461&lt;=20, "até R$20",W461&lt;=40, "21 - R$40",W461&lt;=60, "41- R$60",W461&lt;=80, "61 - R$80", W461&lt;=100, "81 - R$100",W461&lt;=120, "101 - R$120",W461&lt;=140, "121 - R$140", W461&lt;=160, "141- R$160", W461&lt;=180, "161 - R$180", W461&lt;=200, "181-R$194")</f>
        <v>21 - R$40</v>
      </c>
      <c r="Y461" s="17">
        <v>118</v>
      </c>
      <c r="Z461" s="17">
        <v>13</v>
      </c>
      <c r="AA461" s="17">
        <v>10</v>
      </c>
      <c r="AB461" s="17">
        <v>21</v>
      </c>
      <c r="AC461" s="17">
        <v>3</v>
      </c>
      <c r="AD461" s="17">
        <v>8</v>
      </c>
      <c r="AE461" s="17">
        <v>3</v>
      </c>
      <c r="AF461" s="17">
        <v>5</v>
      </c>
      <c r="AG461" s="17">
        <v>6</v>
      </c>
      <c r="AH461" s="17">
        <v>0</v>
      </c>
      <c r="AI461" s="17">
        <v>0</v>
      </c>
      <c r="AJ461" s="17">
        <v>1</v>
      </c>
      <c r="AK461" s="17">
        <v>0</v>
      </c>
      <c r="AL461" s="17">
        <v>0</v>
      </c>
      <c r="AM461" s="17">
        <v>0</v>
      </c>
      <c r="AN461" s="17">
        <v>1</v>
      </c>
      <c r="AO461" s="18">
        <v>1</v>
      </c>
      <c r="AP461" s="17">
        <v>3</v>
      </c>
      <c r="AQ461" s="17">
        <v>11</v>
      </c>
      <c r="AR461" s="19">
        <v>1059</v>
      </c>
      <c r="AS461" s="19">
        <v>1080</v>
      </c>
    </row>
    <row r="462" spans="1:45" x14ac:dyDescent="0.25">
      <c r="A462">
        <v>721</v>
      </c>
      <c r="B462" s="11">
        <f t="shared" si="7"/>
        <v>64108</v>
      </c>
      <c r="C462" s="16">
        <v>641080</v>
      </c>
      <c r="D462" s="17">
        <v>0</v>
      </c>
      <c r="E462" s="17">
        <v>1</v>
      </c>
      <c r="F462" s="17">
        <v>8</v>
      </c>
      <c r="G462" s="17">
        <v>67</v>
      </c>
      <c r="H462" s="13" t="str" cm="1">
        <f t="array" ref="H462">_xlfn.IFS(G462&lt;=20,"0-20",G462&lt;=30,"20-30",G462&lt;=40,"30-40",G462&lt;=50,"50-60",G462&lt;=60,"60-70",G462&lt;=70,"70-80",G462&lt;=80,"80-90")</f>
        <v>70-80</v>
      </c>
      <c r="I462" s="17">
        <v>2622</v>
      </c>
      <c r="J462" s="13" t="str" cm="1">
        <f t="array" ref="J462">_xlfn.IFS(K462=1,"Divorciado",L462=1,"Casado",M462=1,"Solteiro",N462=1,"Juntos",O462=1,"Viuvo")</f>
        <v>Solteiro</v>
      </c>
      <c r="K462" s="17">
        <v>0</v>
      </c>
      <c r="L462" s="17">
        <v>0</v>
      </c>
      <c r="M462" s="17">
        <v>1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1</v>
      </c>
      <c r="U462" s="17">
        <v>948</v>
      </c>
      <c r="V462" s="13" t="str" cm="1">
        <f t="array" ref="V462">_xlfn.IFS(U462&lt;=250,"0-R$250",U462&lt;=500,"251-R$500",U462&lt;=750,"501-R$750",U462&lt;=1000,"751-R$1000",U462&lt;=1250,"1001-R$1250",U462&lt;=1500,"1251-R$1500")</f>
        <v>751-R$1000</v>
      </c>
      <c r="W462" s="17">
        <v>10</v>
      </c>
      <c r="X462" s="13" t="str" cm="1">
        <f t="array" ref="X462">_xlfn.IFS(W462 = 0, "0", W462&lt;=20, "até R$20",W462&lt;=40, "21 - R$40",W462&lt;=60, "41- R$60",W462&lt;=80, "61 - R$80", W462&lt;=100, "81 - R$100",W462&lt;=120, "101 - R$120",W462&lt;=140, "121 - R$140", W462&lt;=160, "141- R$160", W462&lt;=180, "161 - R$180", W462&lt;=200, "181-R$194")</f>
        <v>até R$20</v>
      </c>
      <c r="Y462" s="17">
        <v>86</v>
      </c>
      <c r="Z462" s="17">
        <v>13</v>
      </c>
      <c r="AA462" s="17">
        <v>21</v>
      </c>
      <c r="AB462" s="17">
        <v>21</v>
      </c>
      <c r="AC462" s="17">
        <v>4</v>
      </c>
      <c r="AD462" s="17">
        <v>6</v>
      </c>
      <c r="AE462" s="17">
        <v>9</v>
      </c>
      <c r="AF462" s="17">
        <v>11</v>
      </c>
      <c r="AG462" s="17">
        <v>5</v>
      </c>
      <c r="AH462" s="17">
        <v>0</v>
      </c>
      <c r="AI462" s="17">
        <v>0</v>
      </c>
      <c r="AJ462" s="17">
        <v>0</v>
      </c>
      <c r="AK462" s="17">
        <v>0</v>
      </c>
      <c r="AL462" s="17">
        <v>0</v>
      </c>
      <c r="AM462" s="17">
        <v>0</v>
      </c>
      <c r="AN462" s="17">
        <v>0</v>
      </c>
      <c r="AO462" s="18">
        <v>0</v>
      </c>
      <c r="AP462" s="17">
        <v>3</v>
      </c>
      <c r="AQ462" s="17">
        <v>11</v>
      </c>
      <c r="AR462" s="19">
        <v>1057</v>
      </c>
      <c r="AS462" s="19">
        <v>1078</v>
      </c>
    </row>
    <row r="463" spans="1:45" x14ac:dyDescent="0.25">
      <c r="A463">
        <v>1514</v>
      </c>
      <c r="B463" s="11">
        <f t="shared" si="7"/>
        <v>71969</v>
      </c>
      <c r="C463" s="12">
        <v>719690</v>
      </c>
      <c r="D463" s="13">
        <v>0</v>
      </c>
      <c r="E463" s="13">
        <v>1</v>
      </c>
      <c r="F463" s="13">
        <v>59</v>
      </c>
      <c r="G463" s="13">
        <v>49</v>
      </c>
      <c r="H463" s="13" t="str" cm="1">
        <f t="array" ref="H463">_xlfn.IFS(G463&lt;=20,"0-20",G463&lt;=30,"20-30",G463&lt;=40,"30-40",G463&lt;=50,"50-60",G463&lt;=60,"60-70",G463&lt;=70,"70-80",G463&lt;=80,"80-90")</f>
        <v>50-60</v>
      </c>
      <c r="I463" s="13">
        <v>2780</v>
      </c>
      <c r="J463" s="13" t="str" cm="1">
        <f t="array" ref="J463">_xlfn.IFS(K463=1,"Divorciado",L463=1,"Casado",M463=1,"Solteiro",N463=1,"Juntos",O463=1,"Viuvo")</f>
        <v>Casado</v>
      </c>
      <c r="K463" s="13">
        <v>0</v>
      </c>
      <c r="L463" s="13">
        <v>1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1</v>
      </c>
      <c r="U463" s="13">
        <v>1000</v>
      </c>
      <c r="V463" s="13" t="str" cm="1">
        <f t="array" ref="V463">_xlfn.IFS(U463&lt;=250,"0-R$250",U463&lt;=500,"251-R$500",U463&lt;=750,"501-R$750",U463&lt;=1000,"751-R$1000",U463&lt;=1250,"1001-R$1250",U463&lt;=1500,"1251-R$1500")</f>
        <v>751-R$1000</v>
      </c>
      <c r="W463" s="13">
        <v>0</v>
      </c>
      <c r="X463" s="13" t="str" cm="1">
        <f t="array" ref="X463">_xlfn.IFS(W463 = 0, "0", W463&lt;=20, "até R$20",W463&lt;=40, "21 - R$40",W463&lt;=60, "41- R$60",W463&lt;=80, "61 - R$80", W463&lt;=100, "81 - R$100",W463&lt;=120, "101 - R$120",W463&lt;=140, "121 - R$140", W463&lt;=160, "141- R$160", W463&lt;=180, "161 - R$180", W463&lt;=200, "181-R$194")</f>
        <v>0</v>
      </c>
      <c r="Y463" s="13">
        <v>76</v>
      </c>
      <c r="Z463" s="13">
        <v>0</v>
      </c>
      <c r="AA463" s="13">
        <v>0</v>
      </c>
      <c r="AB463" s="13">
        <v>10</v>
      </c>
      <c r="AC463" s="13">
        <v>3</v>
      </c>
      <c r="AD463" s="13">
        <v>3</v>
      </c>
      <c r="AE463" s="13">
        <v>4</v>
      </c>
      <c r="AF463" s="13">
        <v>9</v>
      </c>
      <c r="AG463" s="13">
        <v>8</v>
      </c>
      <c r="AH463" s="13">
        <v>0</v>
      </c>
      <c r="AI463" s="13">
        <v>0</v>
      </c>
      <c r="AJ463" s="13">
        <v>1</v>
      </c>
      <c r="AK463" s="13">
        <v>0</v>
      </c>
      <c r="AL463" s="13">
        <v>0</v>
      </c>
      <c r="AM463" s="13">
        <v>0</v>
      </c>
      <c r="AN463" s="13">
        <v>0</v>
      </c>
      <c r="AO463" s="14">
        <v>1</v>
      </c>
      <c r="AP463" s="13">
        <v>3</v>
      </c>
      <c r="AQ463" s="13">
        <v>11</v>
      </c>
      <c r="AR463" s="15">
        <v>1066</v>
      </c>
      <c r="AS463" s="15">
        <v>1076</v>
      </c>
    </row>
    <row r="464" spans="1:45" x14ac:dyDescent="0.25">
      <c r="A464">
        <v>491</v>
      </c>
      <c r="B464" s="11">
        <f t="shared" si="7"/>
        <v>81217</v>
      </c>
      <c r="C464" s="16">
        <v>812170</v>
      </c>
      <c r="D464" s="17">
        <v>0</v>
      </c>
      <c r="E464" s="17">
        <v>0</v>
      </c>
      <c r="F464" s="17">
        <v>77</v>
      </c>
      <c r="G464" s="17">
        <v>31</v>
      </c>
      <c r="H464" s="13" t="str" cm="1">
        <f t="array" ref="H464">_xlfn.IFS(G464&lt;=20,"0-20",G464&lt;=30,"20-30",G464&lt;=40,"30-40",G464&lt;=50,"50-60",G464&lt;=60,"60-70",G464&lt;=70,"70-80",G464&lt;=80,"80-90")</f>
        <v>30-40</v>
      </c>
      <c r="I464" s="17">
        <v>2504</v>
      </c>
      <c r="J464" s="13" t="str" cm="1">
        <f t="array" ref="J464">_xlfn.IFS(K464=1,"Divorciado",L464=1,"Casado",M464=1,"Solteiro",N464=1,"Juntos",O464=1,"Viuvo")</f>
        <v>Solteiro</v>
      </c>
      <c r="K464" s="17">
        <v>0</v>
      </c>
      <c r="L464" s="17">
        <v>0</v>
      </c>
      <c r="M464" s="17">
        <v>1</v>
      </c>
      <c r="N464" s="17">
        <v>0</v>
      </c>
      <c r="O464" s="17">
        <v>0</v>
      </c>
      <c r="P464" s="17">
        <v>0</v>
      </c>
      <c r="Q464" s="17">
        <v>0</v>
      </c>
      <c r="R464" s="17">
        <v>1</v>
      </c>
      <c r="S464" s="17">
        <v>0</v>
      </c>
      <c r="T464" s="17">
        <v>0</v>
      </c>
      <c r="U464" s="17">
        <v>493</v>
      </c>
      <c r="V464" s="13" t="str" cm="1">
        <f t="array" ref="V464">_xlfn.IFS(U464&lt;=250,"0-R$250",U464&lt;=500,"251-R$500",U464&lt;=750,"501-R$750",U464&lt;=1000,"751-R$1000",U464&lt;=1250,"1001-R$1250",U464&lt;=1500,"1251-R$1500")</f>
        <v>251-R$500</v>
      </c>
      <c r="W464" s="17">
        <v>70</v>
      </c>
      <c r="X464" s="13" t="str" cm="1">
        <f t="array" ref="X464">_xlfn.IFS(W464 = 0, "0", W464&lt;=20, "até R$20",W464&lt;=40, "21 - R$40",W464&lt;=60, "41- R$60",W464&lt;=80, "61 - R$80", W464&lt;=100, "81 - R$100",W464&lt;=120, "101 - R$120",W464&lt;=140, "121 - R$140", W464&lt;=160, "141- R$160", W464&lt;=180, "161 - R$180", W464&lt;=200, "181-R$194")</f>
        <v>61 - R$80</v>
      </c>
      <c r="Y464" s="17">
        <v>324</v>
      </c>
      <c r="Z464" s="17">
        <v>146</v>
      </c>
      <c r="AA464" s="17">
        <v>40</v>
      </c>
      <c r="AB464" s="17">
        <v>84</v>
      </c>
      <c r="AC464" s="17">
        <v>1</v>
      </c>
      <c r="AD464" s="17">
        <v>3</v>
      </c>
      <c r="AE464" s="17">
        <v>7</v>
      </c>
      <c r="AF464" s="17">
        <v>11</v>
      </c>
      <c r="AG464" s="17">
        <v>1</v>
      </c>
      <c r="AH464" s="17">
        <v>0</v>
      </c>
      <c r="AI464" s="17">
        <v>0</v>
      </c>
      <c r="AJ464" s="17">
        <v>0</v>
      </c>
      <c r="AK464" s="17">
        <v>0</v>
      </c>
      <c r="AL464" s="17">
        <v>0</v>
      </c>
      <c r="AM464" s="17">
        <v>0</v>
      </c>
      <c r="AN464" s="17">
        <v>0</v>
      </c>
      <c r="AO464" s="18">
        <v>0</v>
      </c>
      <c r="AP464" s="17">
        <v>3</v>
      </c>
      <c r="AQ464" s="17">
        <v>11</v>
      </c>
      <c r="AR464" s="19">
        <v>989</v>
      </c>
      <c r="AS464" s="19">
        <v>1073</v>
      </c>
    </row>
    <row r="465" spans="1:45" x14ac:dyDescent="0.25">
      <c r="A465">
        <v>1664</v>
      </c>
      <c r="B465" s="11">
        <f t="shared" si="7"/>
        <v>81217</v>
      </c>
      <c r="C465" s="12">
        <v>812170</v>
      </c>
      <c r="D465" s="13">
        <v>0</v>
      </c>
      <c r="E465" s="13">
        <v>0</v>
      </c>
      <c r="F465" s="13">
        <v>77</v>
      </c>
      <c r="G465" s="13">
        <v>31</v>
      </c>
      <c r="H465" s="13" t="str" cm="1">
        <f t="array" ref="H465">_xlfn.IFS(G465&lt;=20,"0-20",G465&lt;=30,"20-30",G465&lt;=40,"30-40",G465&lt;=50,"50-60",G465&lt;=60,"60-70",G465&lt;=70,"70-80",G465&lt;=80,"80-90")</f>
        <v>30-40</v>
      </c>
      <c r="I465" s="13">
        <v>2504</v>
      </c>
      <c r="J465" s="13" t="str" cm="1">
        <f t="array" ref="J465">_xlfn.IFS(K465=1,"Divorciado",L465=1,"Casado",M465=1,"Solteiro",N465=1,"Juntos",O465=1,"Viuvo")</f>
        <v>Solteiro</v>
      </c>
      <c r="K465" s="13">
        <v>0</v>
      </c>
      <c r="L465" s="13">
        <v>0</v>
      </c>
      <c r="M465" s="13">
        <v>1</v>
      </c>
      <c r="N465" s="13">
        <v>0</v>
      </c>
      <c r="O465" s="13">
        <v>0</v>
      </c>
      <c r="P465" s="13">
        <v>0</v>
      </c>
      <c r="Q465" s="13">
        <v>0</v>
      </c>
      <c r="R465" s="13">
        <v>1</v>
      </c>
      <c r="S465" s="13">
        <v>0</v>
      </c>
      <c r="T465" s="13">
        <v>0</v>
      </c>
      <c r="U465" s="13">
        <v>493</v>
      </c>
      <c r="V465" s="13" t="str" cm="1">
        <f t="array" ref="V465">_xlfn.IFS(U465&lt;=250,"0-R$250",U465&lt;=500,"251-R$500",U465&lt;=750,"501-R$750",U465&lt;=1000,"751-R$1000",U465&lt;=1250,"1001-R$1250",U465&lt;=1500,"1251-R$1500")</f>
        <v>251-R$500</v>
      </c>
      <c r="W465" s="13">
        <v>70</v>
      </c>
      <c r="X465" s="13" t="str" cm="1">
        <f t="array" ref="X465">_xlfn.IFS(W465 = 0, "0", W465&lt;=20, "até R$20",W465&lt;=40, "21 - R$40",W465&lt;=60, "41- R$60",W465&lt;=80, "61 - R$80", W465&lt;=100, "81 - R$100",W465&lt;=120, "101 - R$120",W465&lt;=140, "121 - R$140", W465&lt;=160, "141- R$160", W465&lt;=180, "161 - R$180", W465&lt;=200, "181-R$194")</f>
        <v>61 - R$80</v>
      </c>
      <c r="Y465" s="13">
        <v>324</v>
      </c>
      <c r="Z465" s="13">
        <v>146</v>
      </c>
      <c r="AA465" s="13">
        <v>40</v>
      </c>
      <c r="AB465" s="13">
        <v>84</v>
      </c>
      <c r="AC465" s="13">
        <v>1</v>
      </c>
      <c r="AD465" s="13">
        <v>3</v>
      </c>
      <c r="AE465" s="13">
        <v>7</v>
      </c>
      <c r="AF465" s="13">
        <v>11</v>
      </c>
      <c r="AG465" s="13">
        <v>1</v>
      </c>
      <c r="AH465" s="13">
        <v>0</v>
      </c>
      <c r="AI465" s="13">
        <v>0</v>
      </c>
      <c r="AJ465" s="13">
        <v>0</v>
      </c>
      <c r="AK465" s="13">
        <v>0</v>
      </c>
      <c r="AL465" s="13">
        <v>0</v>
      </c>
      <c r="AM465" s="13">
        <v>0</v>
      </c>
      <c r="AN465" s="13">
        <v>0</v>
      </c>
      <c r="AO465" s="14">
        <v>0</v>
      </c>
      <c r="AP465" s="13">
        <v>3</v>
      </c>
      <c r="AQ465" s="13">
        <v>11</v>
      </c>
      <c r="AR465" s="15">
        <v>989</v>
      </c>
      <c r="AS465" s="15">
        <v>1073</v>
      </c>
    </row>
    <row r="466" spans="1:45" x14ac:dyDescent="0.25">
      <c r="A466">
        <v>12</v>
      </c>
      <c r="B466" s="11">
        <f t="shared" si="7"/>
        <v>63033</v>
      </c>
      <c r="C466" s="12">
        <v>630330</v>
      </c>
      <c r="D466" s="13">
        <v>0</v>
      </c>
      <c r="E466" s="13">
        <v>0</v>
      </c>
      <c r="F466" s="13">
        <v>82</v>
      </c>
      <c r="G466" s="13">
        <v>61</v>
      </c>
      <c r="H466" s="13" t="str" cm="1">
        <f t="array" ref="H466">_xlfn.IFS(G466&lt;=20,"0-20",G466&lt;=30,"20-30",G466&lt;=40,"30-40",G466&lt;=50,"50-60",G466&lt;=60,"60-70",G466&lt;=70,"70-80",G466&lt;=80,"80-90")</f>
        <v>70-80</v>
      </c>
      <c r="I466" s="13">
        <v>2385</v>
      </c>
      <c r="J466" s="13" t="str" cm="1">
        <f t="array" ref="J466">_xlfn.IFS(K466=1,"Divorciado",L466=1,"Casado",M466=1,"Solteiro",N466=1,"Juntos",O466=1,"Viuvo")</f>
        <v>Divorciado</v>
      </c>
      <c r="K466" s="13">
        <v>1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1</v>
      </c>
      <c r="S466" s="13">
        <v>0</v>
      </c>
      <c r="T466" s="13">
        <v>0</v>
      </c>
      <c r="U466" s="13">
        <v>194</v>
      </c>
      <c r="V466" s="13" t="str" cm="1">
        <f t="array" ref="V466">_xlfn.IFS(U466&lt;=250,"0-R$250",U466&lt;=500,"251-R$500",U466&lt;=750,"501-R$750",U466&lt;=1000,"751-R$1000",U466&lt;=1250,"1001-R$1250",U466&lt;=1500,"1251-R$1500")</f>
        <v>0-R$250</v>
      </c>
      <c r="W466" s="13">
        <v>61</v>
      </c>
      <c r="X466" s="13" t="str" cm="1">
        <f t="array" ref="X466">_xlfn.IFS(W466 = 0, "0", W466&lt;=20, "até R$20",W466&lt;=40, "21 - R$40",W466&lt;=60, "41- R$60",W466&lt;=80, "61 - R$80", W466&lt;=100, "81 - R$100",W466&lt;=120, "101 - R$120",W466&lt;=140, "121 - R$140", W466&lt;=160, "141- R$160", W466&lt;=180, "161 - R$180", W466&lt;=200, "181-R$194")</f>
        <v>61 - R$80</v>
      </c>
      <c r="Y466" s="13">
        <v>480</v>
      </c>
      <c r="Z466" s="13">
        <v>225</v>
      </c>
      <c r="AA466" s="13">
        <v>112</v>
      </c>
      <c r="AB466" s="13">
        <v>30</v>
      </c>
      <c r="AC466" s="13">
        <v>1</v>
      </c>
      <c r="AD466" s="13">
        <v>3</v>
      </c>
      <c r="AE466" s="13">
        <v>4</v>
      </c>
      <c r="AF466" s="13">
        <v>8</v>
      </c>
      <c r="AG466" s="13">
        <v>2</v>
      </c>
      <c r="AH466" s="13">
        <v>0</v>
      </c>
      <c r="AI466" s="13">
        <v>0</v>
      </c>
      <c r="AJ466" s="13">
        <v>0</v>
      </c>
      <c r="AK466" s="13">
        <v>0</v>
      </c>
      <c r="AL466" s="13">
        <v>0</v>
      </c>
      <c r="AM466" s="13">
        <v>0</v>
      </c>
      <c r="AN466" s="13">
        <v>0</v>
      </c>
      <c r="AO466" s="14">
        <v>0</v>
      </c>
      <c r="AP466" s="13">
        <v>3</v>
      </c>
      <c r="AQ466" s="13">
        <v>11</v>
      </c>
      <c r="AR466" s="15">
        <v>1042</v>
      </c>
      <c r="AS466" s="15">
        <v>1072</v>
      </c>
    </row>
    <row r="467" spans="1:45" x14ac:dyDescent="0.25">
      <c r="A467">
        <v>697</v>
      </c>
      <c r="B467" s="11">
        <f t="shared" si="7"/>
        <v>87305</v>
      </c>
      <c r="C467" s="16">
        <v>873050</v>
      </c>
      <c r="D467" s="17">
        <v>0</v>
      </c>
      <c r="E467" s="17">
        <v>0</v>
      </c>
      <c r="F467" s="17">
        <v>19</v>
      </c>
      <c r="G467" s="17">
        <v>60</v>
      </c>
      <c r="H467" s="13" t="str" cm="1">
        <f t="array" ref="H467">_xlfn.IFS(G467&lt;=20,"0-20",G467&lt;=30,"20-30",G467&lt;=40,"30-40",G467&lt;=50,"50-60",G467&lt;=60,"60-70",G467&lt;=70,"70-80",G467&lt;=80,"80-90")</f>
        <v>60-70</v>
      </c>
      <c r="I467" s="17">
        <v>2803</v>
      </c>
      <c r="J467" s="13" t="str" cm="1">
        <f t="array" ref="J467">_xlfn.IFS(K467=1,"Divorciado",L467=1,"Casado",M467=1,"Solteiro",N467=1,"Juntos",O467=1,"Viuvo")</f>
        <v>Divorciado</v>
      </c>
      <c r="K467" s="17">
        <v>1</v>
      </c>
      <c r="L467" s="17">
        <v>0</v>
      </c>
      <c r="M467" s="17">
        <v>0</v>
      </c>
      <c r="N467" s="17">
        <v>0</v>
      </c>
      <c r="O467" s="17">
        <v>0</v>
      </c>
      <c r="P467" s="17">
        <v>1</v>
      </c>
      <c r="Q467" s="17">
        <v>0</v>
      </c>
      <c r="R467" s="17">
        <v>0</v>
      </c>
      <c r="S467" s="17">
        <v>0</v>
      </c>
      <c r="T467" s="17">
        <v>0</v>
      </c>
      <c r="U467" s="17">
        <v>345</v>
      </c>
      <c r="V467" s="13" t="str" cm="1">
        <f t="array" ref="V467">_xlfn.IFS(U467&lt;=250,"0-R$250",U467&lt;=500,"251-R$500",U467&lt;=750,"501-R$750",U467&lt;=1000,"751-R$1000",U467&lt;=1250,"1001-R$1250",U467&lt;=1500,"1251-R$1500")</f>
        <v>251-R$500</v>
      </c>
      <c r="W467" s="17">
        <v>25</v>
      </c>
      <c r="X467" s="13" t="str" cm="1">
        <f t="array" ref="X467">_xlfn.IFS(W467 = 0, "0", W467&lt;=20, "até R$20",W467&lt;=40, "21 - R$40",W467&lt;=60, "41- R$60",W467&lt;=80, "61 - R$80", W467&lt;=100, "81 - R$100",W467&lt;=120, "101 - R$120",W467&lt;=140, "121 - R$140", W467&lt;=160, "141- R$160", W467&lt;=180, "161 - R$180", W467&lt;=200, "181-R$194")</f>
        <v>21 - R$40</v>
      </c>
      <c r="Y467" s="17">
        <v>501</v>
      </c>
      <c r="Z467" s="17">
        <v>63</v>
      </c>
      <c r="AA467" s="17">
        <v>138</v>
      </c>
      <c r="AB467" s="17">
        <v>80</v>
      </c>
      <c r="AC467" s="17">
        <v>1</v>
      </c>
      <c r="AD467" s="17">
        <v>5</v>
      </c>
      <c r="AE467" s="17">
        <v>3</v>
      </c>
      <c r="AF467" s="17">
        <v>8</v>
      </c>
      <c r="AG467" s="17">
        <v>2</v>
      </c>
      <c r="AH467" s="17">
        <v>0</v>
      </c>
      <c r="AI467" s="17">
        <v>0</v>
      </c>
      <c r="AJ467" s="17">
        <v>0</v>
      </c>
      <c r="AK467" s="17">
        <v>1</v>
      </c>
      <c r="AL467" s="17">
        <v>0</v>
      </c>
      <c r="AM467" s="17">
        <v>0</v>
      </c>
      <c r="AN467" s="17">
        <v>1</v>
      </c>
      <c r="AO467" s="18">
        <v>1</v>
      </c>
      <c r="AP467" s="17">
        <v>3</v>
      </c>
      <c r="AQ467" s="17">
        <v>11</v>
      </c>
      <c r="AR467" s="19">
        <v>992</v>
      </c>
      <c r="AS467" s="19">
        <v>1072</v>
      </c>
    </row>
    <row r="468" spans="1:45" x14ac:dyDescent="0.25">
      <c r="A468">
        <v>2139</v>
      </c>
      <c r="B468" s="11">
        <f t="shared" si="7"/>
        <v>65706</v>
      </c>
      <c r="C468" s="16">
        <v>657060</v>
      </c>
      <c r="D468" s="17">
        <v>0</v>
      </c>
      <c r="E468" s="17">
        <v>0</v>
      </c>
      <c r="F468" s="17">
        <v>77</v>
      </c>
      <c r="G468" s="17">
        <v>50</v>
      </c>
      <c r="H468" s="13" t="str" cm="1">
        <f t="array" ref="H468">_xlfn.IFS(G468&lt;=20,"0-20",G468&lt;=30,"20-30",G468&lt;=40,"30-40",G468&lt;=50,"50-60",G468&lt;=60,"60-70",G468&lt;=70,"70-80",G468&lt;=80,"80-90")</f>
        <v>50-60</v>
      </c>
      <c r="I468" s="17">
        <v>2525</v>
      </c>
      <c r="J468" s="13" t="str" cm="1">
        <f t="array" ref="J468">_xlfn.IFS(K468=1,"Divorciado",L468=1,"Casado",M468=1,"Solteiro",N468=1,"Juntos",O468=1,"Viuvo")</f>
        <v>Divorciado</v>
      </c>
      <c r="K468" s="17">
        <v>1</v>
      </c>
      <c r="L468" s="17">
        <v>0</v>
      </c>
      <c r="M468" s="17">
        <v>0</v>
      </c>
      <c r="N468" s="17">
        <v>0</v>
      </c>
      <c r="O468" s="17">
        <v>0</v>
      </c>
      <c r="P468" s="17">
        <v>1</v>
      </c>
      <c r="Q468" s="17">
        <v>0</v>
      </c>
      <c r="R468" s="17">
        <v>0</v>
      </c>
      <c r="S468" s="17">
        <v>0</v>
      </c>
      <c r="T468" s="17">
        <v>0</v>
      </c>
      <c r="U468" s="17">
        <v>918</v>
      </c>
      <c r="V468" s="13" t="str" cm="1">
        <f t="array" ref="V468">_xlfn.IFS(U468&lt;=250,"0-R$250",U468&lt;=500,"251-R$500",U468&lt;=750,"501-R$750",U468&lt;=1000,"751-R$1000",U468&lt;=1250,"1001-R$1250",U468&lt;=1500,"1251-R$1500")</f>
        <v>751-R$1000</v>
      </c>
      <c r="W468" s="17">
        <v>10</v>
      </c>
      <c r="X468" s="13" t="str" cm="1">
        <f t="array" ref="X468">_xlfn.IFS(W468 = 0, "0", W468&lt;=20, "até R$20",W468&lt;=40, "21 - R$40",W468&lt;=60, "41- R$60",W468&lt;=80, "61 - R$80", W468&lt;=100, "81 - R$100",W468&lt;=120, "101 - R$120",W468&lt;=140, "121 - R$140", W468&lt;=160, "141- R$160", W468&lt;=180, "161 - R$180", W468&lt;=200, "181-R$194")</f>
        <v>até R$20</v>
      </c>
      <c r="Y468" s="17">
        <v>129</v>
      </c>
      <c r="Z468" s="17">
        <v>13</v>
      </c>
      <c r="AA468" s="17">
        <v>0</v>
      </c>
      <c r="AB468" s="17">
        <v>129</v>
      </c>
      <c r="AC468" s="17">
        <v>1</v>
      </c>
      <c r="AD468" s="17">
        <v>11</v>
      </c>
      <c r="AE468" s="17">
        <v>3</v>
      </c>
      <c r="AF468" s="17">
        <v>12</v>
      </c>
      <c r="AG468" s="17">
        <v>7</v>
      </c>
      <c r="AH468" s="17">
        <v>0</v>
      </c>
      <c r="AI468" s="17">
        <v>0</v>
      </c>
      <c r="AJ468" s="17">
        <v>1</v>
      </c>
      <c r="AK468" s="17">
        <v>1</v>
      </c>
      <c r="AL468" s="17">
        <v>0</v>
      </c>
      <c r="AM468" s="17">
        <v>1</v>
      </c>
      <c r="AN468" s="17">
        <v>1</v>
      </c>
      <c r="AO468" s="18">
        <v>3</v>
      </c>
      <c r="AP468" s="17">
        <v>3</v>
      </c>
      <c r="AQ468" s="17">
        <v>11</v>
      </c>
      <c r="AR468" s="19">
        <v>941</v>
      </c>
      <c r="AS468" s="19">
        <v>1070</v>
      </c>
    </row>
    <row r="469" spans="1:45" x14ac:dyDescent="0.25">
      <c r="A469">
        <v>1345</v>
      </c>
      <c r="B469" s="11">
        <f t="shared" si="7"/>
        <v>75154</v>
      </c>
      <c r="C469" s="16">
        <v>751540</v>
      </c>
      <c r="D469" s="17">
        <v>0</v>
      </c>
      <c r="E469" s="17">
        <v>1</v>
      </c>
      <c r="F469" s="17">
        <v>79</v>
      </c>
      <c r="G469" s="17">
        <v>62</v>
      </c>
      <c r="H469" s="13" t="str" cm="1">
        <f t="array" ref="H469">_xlfn.IFS(G469&lt;=20,"0-20",G469&lt;=30,"20-30",G469&lt;=40,"30-40",G469&lt;=50,"50-60",G469&lt;=60,"60-70",G469&lt;=70,"70-80",G469&lt;=80,"80-90")</f>
        <v>70-80</v>
      </c>
      <c r="I469" s="17">
        <v>2822</v>
      </c>
      <c r="J469" s="13" t="str" cm="1">
        <f t="array" ref="J469">_xlfn.IFS(K469=1,"Divorciado",L469=1,"Casado",M469=1,"Solteiro",N469=1,"Juntos",O469=1,"Viuvo")</f>
        <v>Solteiro</v>
      </c>
      <c r="K469" s="17">
        <v>0</v>
      </c>
      <c r="L469" s="17">
        <v>0</v>
      </c>
      <c r="M469" s="17">
        <v>1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1</v>
      </c>
      <c r="T469" s="17">
        <v>0</v>
      </c>
      <c r="U469" s="17">
        <v>543</v>
      </c>
      <c r="V469" s="13" t="str" cm="1">
        <f t="array" ref="V469">_xlfn.IFS(U469&lt;=250,"0-R$250",U469&lt;=500,"251-R$500",U469&lt;=750,"501-R$750",U469&lt;=1000,"751-R$1000",U469&lt;=1250,"1001-R$1250",U469&lt;=1500,"1251-R$1500")</f>
        <v>501-R$750</v>
      </c>
      <c r="W469" s="17">
        <v>10</v>
      </c>
      <c r="X469" s="13" t="str" cm="1">
        <f t="array" ref="X469">_xlfn.IFS(W469 = 0, "0", W469&lt;=20, "até R$20",W469&lt;=40, "21 - R$40",W469&lt;=60, "41- R$60",W469&lt;=80, "61 - R$80", W469&lt;=100, "81 - R$100",W469&lt;=120, "101 - R$120",W469&lt;=140, "121 - R$140", W469&lt;=160, "141- R$160", W469&lt;=180, "161 - R$180", W469&lt;=200, "181-R$194")</f>
        <v>até R$20</v>
      </c>
      <c r="Y469" s="17">
        <v>205</v>
      </c>
      <c r="Z469" s="17">
        <v>160</v>
      </c>
      <c r="AA469" s="17">
        <v>143</v>
      </c>
      <c r="AB469" s="17">
        <v>82</v>
      </c>
      <c r="AC469" s="17">
        <v>1</v>
      </c>
      <c r="AD469" s="17">
        <v>6</v>
      </c>
      <c r="AE469" s="17">
        <v>3</v>
      </c>
      <c r="AF469" s="17">
        <v>6</v>
      </c>
      <c r="AG469" s="17">
        <v>3</v>
      </c>
      <c r="AH469" s="17">
        <v>0</v>
      </c>
      <c r="AI469" s="17">
        <v>0</v>
      </c>
      <c r="AJ469" s="17">
        <v>0</v>
      </c>
      <c r="AK469" s="17">
        <v>0</v>
      </c>
      <c r="AL469" s="17">
        <v>0</v>
      </c>
      <c r="AM469" s="17">
        <v>0</v>
      </c>
      <c r="AN469" s="17">
        <v>1</v>
      </c>
      <c r="AO469" s="18">
        <v>0</v>
      </c>
      <c r="AP469" s="17">
        <v>3</v>
      </c>
      <c r="AQ469" s="17">
        <v>11</v>
      </c>
      <c r="AR469" s="19">
        <v>979</v>
      </c>
      <c r="AS469" s="19">
        <v>1061</v>
      </c>
    </row>
    <row r="470" spans="1:45" x14ac:dyDescent="0.25">
      <c r="A470">
        <v>96</v>
      </c>
      <c r="B470" s="11">
        <f t="shared" si="7"/>
        <v>87195</v>
      </c>
      <c r="C470" s="12">
        <v>871950</v>
      </c>
      <c r="D470" s="13">
        <v>0</v>
      </c>
      <c r="E470" s="13">
        <v>0</v>
      </c>
      <c r="F470" s="13">
        <v>35</v>
      </c>
      <c r="G470" s="13">
        <v>61</v>
      </c>
      <c r="H470" s="13" t="str" cm="1">
        <f t="array" ref="H470">_xlfn.IFS(G470&lt;=20,"0-20",G470&lt;=30,"20-30",G470&lt;=40,"30-40",G470&lt;=50,"50-60",G470&lt;=60,"60-70",G470&lt;=70,"70-80",G470&lt;=80,"80-90")</f>
        <v>70-80</v>
      </c>
      <c r="I470" s="13">
        <v>2211</v>
      </c>
      <c r="J470" s="13" t="str" cm="1">
        <f t="array" ref="J470">_xlfn.IFS(K470=1,"Divorciado",L470=1,"Casado",M470=1,"Solteiro",N470=1,"Juntos",O470=1,"Viuvo")</f>
        <v>Casado</v>
      </c>
      <c r="K470" s="13">
        <v>0</v>
      </c>
      <c r="L470" s="13">
        <v>1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1</v>
      </c>
      <c r="S470" s="13">
        <v>0</v>
      </c>
      <c r="T470" s="13">
        <v>0</v>
      </c>
      <c r="U470" s="13">
        <v>217</v>
      </c>
      <c r="V470" s="13" t="str" cm="1">
        <f t="array" ref="V470">_xlfn.IFS(U470&lt;=250,"0-R$250",U470&lt;=500,"251-R$500",U470&lt;=750,"501-R$750",U470&lt;=1000,"751-R$1000",U470&lt;=1250,"1001-R$1250",U470&lt;=1500,"1251-R$1500")</f>
        <v>0-R$250</v>
      </c>
      <c r="W470" s="13">
        <v>76</v>
      </c>
      <c r="X470" s="13" t="str" cm="1">
        <f t="array" ref="X470">_xlfn.IFS(W470 = 0, "0", W470&lt;=20, "até R$20",W470&lt;=40, "21 - R$40",W470&lt;=60, "41- R$60",W470&lt;=80, "61 - R$80", W470&lt;=100, "81 - R$100",W470&lt;=120, "101 - R$120",W470&lt;=140, "121 - R$140", W470&lt;=160, "141- R$160", W470&lt;=180, "161 - R$180", W470&lt;=200, "181-R$194")</f>
        <v>61 - R$80</v>
      </c>
      <c r="Y470" s="13">
        <v>690</v>
      </c>
      <c r="Z470" s="13">
        <v>50</v>
      </c>
      <c r="AA470" s="13">
        <v>26</v>
      </c>
      <c r="AB470" s="13">
        <v>38</v>
      </c>
      <c r="AC470" s="13">
        <v>1</v>
      </c>
      <c r="AD470" s="13">
        <v>3</v>
      </c>
      <c r="AE470" s="13">
        <v>11</v>
      </c>
      <c r="AF470" s="13">
        <v>5</v>
      </c>
      <c r="AG470" s="13">
        <v>1</v>
      </c>
      <c r="AH470" s="13">
        <v>0</v>
      </c>
      <c r="AI470" s="13">
        <v>0</v>
      </c>
      <c r="AJ470" s="13">
        <v>0</v>
      </c>
      <c r="AK470" s="13">
        <v>0</v>
      </c>
      <c r="AL470" s="13">
        <v>0</v>
      </c>
      <c r="AM470" s="13">
        <v>0</v>
      </c>
      <c r="AN470" s="13">
        <v>1</v>
      </c>
      <c r="AO470" s="14">
        <v>0</v>
      </c>
      <c r="AP470" s="13">
        <v>3</v>
      </c>
      <c r="AQ470" s="13">
        <v>11</v>
      </c>
      <c r="AR470" s="15">
        <v>1021</v>
      </c>
      <c r="AS470" s="15">
        <v>1059</v>
      </c>
    </row>
    <row r="471" spans="1:45" x14ac:dyDescent="0.25">
      <c r="A471">
        <v>1092</v>
      </c>
      <c r="B471" s="11">
        <f t="shared" si="7"/>
        <v>81698</v>
      </c>
      <c r="C471" s="12">
        <v>816980</v>
      </c>
      <c r="D471" s="13">
        <v>0</v>
      </c>
      <c r="E471" s="13">
        <v>0</v>
      </c>
      <c r="F471" s="13">
        <v>1</v>
      </c>
      <c r="G471" s="13">
        <v>37</v>
      </c>
      <c r="H471" s="13" t="str" cm="1">
        <f t="array" ref="H471">_xlfn.IFS(G471&lt;=20,"0-20",G471&lt;=30,"20-30",G471&lt;=40,"30-40",G471&lt;=50,"50-60",G471&lt;=60,"60-70",G471&lt;=70,"70-80",G471&lt;=80,"80-90")</f>
        <v>30-40</v>
      </c>
      <c r="I471" s="13">
        <v>2644</v>
      </c>
      <c r="J471" s="13" t="str" cm="1">
        <f t="array" ref="J471">_xlfn.IFS(K471=1,"Divorciado",L471=1,"Casado",M471=1,"Solteiro",N471=1,"Juntos",O471=1,"Viuvo")</f>
        <v>Solteiro</v>
      </c>
      <c r="K471" s="13">
        <v>0</v>
      </c>
      <c r="L471" s="13">
        <v>0</v>
      </c>
      <c r="M471" s="13">
        <v>1</v>
      </c>
      <c r="N471" s="13">
        <v>0</v>
      </c>
      <c r="O471" s="13">
        <v>0</v>
      </c>
      <c r="P471" s="13">
        <v>1</v>
      </c>
      <c r="Q471" s="13">
        <v>0</v>
      </c>
      <c r="R471" s="13">
        <v>0</v>
      </c>
      <c r="S471" s="13">
        <v>0</v>
      </c>
      <c r="T471" s="13">
        <v>0</v>
      </c>
      <c r="U471" s="13">
        <v>709</v>
      </c>
      <c r="V471" s="13" t="str" cm="1">
        <f t="array" ref="V471">_xlfn.IFS(U471&lt;=250,"0-R$250",U471&lt;=500,"251-R$500",U471&lt;=750,"501-R$750",U471&lt;=1000,"751-R$1000",U471&lt;=1250,"1001-R$1250",U471&lt;=1500,"1251-R$1500")</f>
        <v>501-R$750</v>
      </c>
      <c r="W471" s="13">
        <v>45</v>
      </c>
      <c r="X471" s="13" t="str" cm="1">
        <f t="array" ref="X471">_xlfn.IFS(W471 = 0, "0", W471&lt;=20, "até R$20",W471&lt;=40, "21 - R$40",W471&lt;=60, "41- R$60",W471&lt;=80, "61 - R$80", W471&lt;=100, "81 - R$100",W471&lt;=120, "101 - R$120",W471&lt;=140, "121 - R$140", W471&lt;=160, "141- R$160", W471&lt;=180, "161 - R$180", W471&lt;=200, "181-R$194")</f>
        <v>41- R$60</v>
      </c>
      <c r="Y471" s="13">
        <v>115</v>
      </c>
      <c r="Z471" s="13">
        <v>30</v>
      </c>
      <c r="AA471" s="13">
        <v>160</v>
      </c>
      <c r="AB471" s="13">
        <v>45</v>
      </c>
      <c r="AC471" s="13">
        <v>1</v>
      </c>
      <c r="AD471" s="13">
        <v>8</v>
      </c>
      <c r="AE471" s="13">
        <v>2</v>
      </c>
      <c r="AF471" s="13">
        <v>5</v>
      </c>
      <c r="AG471" s="13">
        <v>5</v>
      </c>
      <c r="AH471" s="13">
        <v>0</v>
      </c>
      <c r="AI471" s="13">
        <v>0</v>
      </c>
      <c r="AJ471" s="13">
        <v>0</v>
      </c>
      <c r="AK471" s="13">
        <v>0</v>
      </c>
      <c r="AL471" s="13">
        <v>1</v>
      </c>
      <c r="AM471" s="13">
        <v>0</v>
      </c>
      <c r="AN471" s="13">
        <v>1</v>
      </c>
      <c r="AO471" s="14">
        <v>1</v>
      </c>
      <c r="AP471" s="13">
        <v>3</v>
      </c>
      <c r="AQ471" s="13">
        <v>11</v>
      </c>
      <c r="AR471" s="15">
        <v>1014</v>
      </c>
      <c r="AS471" s="15">
        <v>1059</v>
      </c>
    </row>
    <row r="472" spans="1:45" x14ac:dyDescent="0.25">
      <c r="A472">
        <v>94</v>
      </c>
      <c r="B472" s="11">
        <f t="shared" si="7"/>
        <v>85693</v>
      </c>
      <c r="C472" s="12">
        <v>856930</v>
      </c>
      <c r="D472" s="13">
        <v>0</v>
      </c>
      <c r="E472" s="13">
        <v>1</v>
      </c>
      <c r="F472" s="13">
        <v>59</v>
      </c>
      <c r="G472" s="13">
        <v>41</v>
      </c>
      <c r="H472" s="13" t="str" cm="1">
        <f t="array" ref="H472">_xlfn.IFS(G472&lt;=20,"0-20",G472&lt;=30,"20-30",G472&lt;=40,"30-40",G472&lt;=50,"50-60",G472&lt;=60,"60-70",G472&lt;=70,"70-80",G472&lt;=80,"80-90")</f>
        <v>50-60</v>
      </c>
      <c r="I472" s="13">
        <v>2594</v>
      </c>
      <c r="J472" s="13" t="str" cm="1">
        <f t="array" ref="J472">_xlfn.IFS(K472=1,"Divorciado",L472=1,"Casado",M472=1,"Solteiro",N472=1,"Juntos",O472=1,"Viuvo")</f>
        <v>Juntos</v>
      </c>
      <c r="K472" s="13">
        <v>0</v>
      </c>
      <c r="L472" s="13">
        <v>0</v>
      </c>
      <c r="M472" s="13">
        <v>0</v>
      </c>
      <c r="N472" s="13">
        <v>1</v>
      </c>
      <c r="O472" s="13">
        <v>0</v>
      </c>
      <c r="P472" s="13">
        <v>0</v>
      </c>
      <c r="Q472" s="13">
        <v>0</v>
      </c>
      <c r="R472" s="13">
        <v>1</v>
      </c>
      <c r="S472" s="13">
        <v>0</v>
      </c>
      <c r="T472" s="13">
        <v>0</v>
      </c>
      <c r="U472" s="13">
        <v>386</v>
      </c>
      <c r="V472" s="13" t="str" cm="1">
        <f t="array" ref="V472">_xlfn.IFS(U472&lt;=250,"0-R$250",U472&lt;=500,"251-R$500",U472&lt;=750,"501-R$750",U472&lt;=1000,"751-R$1000",U472&lt;=1250,"1001-R$1250",U472&lt;=1500,"1251-R$1500")</f>
        <v>251-R$500</v>
      </c>
      <c r="W472" s="13">
        <v>172</v>
      </c>
      <c r="X472" s="13" t="str" cm="1">
        <f t="array" ref="X472">_xlfn.IFS(W472 = 0, "0", W472&lt;=20, "até R$20",W472&lt;=40, "21 - R$40",W472&lt;=60, "41- R$60",W472&lt;=80, "61 - R$80", W472&lt;=100, "81 - R$100",W472&lt;=120, "101 - R$120",W472&lt;=140, "121 - R$140", W472&lt;=160, "141- R$160", W472&lt;=180, "161 - R$180", W472&lt;=200, "181-R$194")</f>
        <v>161 - R$180</v>
      </c>
      <c r="Y472" s="13">
        <v>183</v>
      </c>
      <c r="Z472" s="13">
        <v>185</v>
      </c>
      <c r="AA472" s="13">
        <v>132</v>
      </c>
      <c r="AB472" s="13">
        <v>111</v>
      </c>
      <c r="AC472" s="13">
        <v>2</v>
      </c>
      <c r="AD472" s="13">
        <v>9</v>
      </c>
      <c r="AE472" s="13">
        <v>5</v>
      </c>
      <c r="AF472" s="13">
        <v>11</v>
      </c>
      <c r="AG472" s="13">
        <v>5</v>
      </c>
      <c r="AH472" s="13">
        <v>0</v>
      </c>
      <c r="AI472" s="13">
        <v>0</v>
      </c>
      <c r="AJ472" s="13">
        <v>0</v>
      </c>
      <c r="AK472" s="13">
        <v>0</v>
      </c>
      <c r="AL472" s="13">
        <v>0</v>
      </c>
      <c r="AM472" s="13">
        <v>0</v>
      </c>
      <c r="AN472" s="13">
        <v>0</v>
      </c>
      <c r="AO472" s="14">
        <v>0</v>
      </c>
      <c r="AP472" s="13">
        <v>3</v>
      </c>
      <c r="AQ472" s="13">
        <v>11</v>
      </c>
      <c r="AR472" s="15">
        <v>947</v>
      </c>
      <c r="AS472" s="15">
        <v>1058</v>
      </c>
    </row>
    <row r="473" spans="1:45" x14ac:dyDescent="0.25">
      <c r="A473">
        <v>1110</v>
      </c>
      <c r="B473" s="11">
        <f t="shared" si="7"/>
        <v>63998</v>
      </c>
      <c r="C473" s="12">
        <v>639980</v>
      </c>
      <c r="D473" s="13">
        <v>0</v>
      </c>
      <c r="E473" s="13">
        <v>0</v>
      </c>
      <c r="F473" s="13">
        <v>42</v>
      </c>
      <c r="G473" s="13">
        <v>68</v>
      </c>
      <c r="H473" s="13" t="str" cm="1">
        <f t="array" ref="H473">_xlfn.IFS(G473&lt;=20,"0-20",G473&lt;=30,"20-30",G473&lt;=40,"30-40",G473&lt;=50,"50-60",G473&lt;=60,"60-70",G473&lt;=70,"70-80",G473&lt;=80,"80-90")</f>
        <v>70-80</v>
      </c>
      <c r="I473" s="13">
        <v>2350</v>
      </c>
      <c r="J473" s="13" t="str" cm="1">
        <f t="array" ref="J473">_xlfn.IFS(K473=1,"Divorciado",L473=1,"Casado",M473=1,"Solteiro",N473=1,"Juntos",O473=1,"Viuvo")</f>
        <v>Divorciado</v>
      </c>
      <c r="K473" s="13">
        <v>1</v>
      </c>
      <c r="L473" s="13">
        <v>0</v>
      </c>
      <c r="M473" s="13">
        <v>0</v>
      </c>
      <c r="N473" s="13">
        <v>0</v>
      </c>
      <c r="O473" s="13">
        <v>0</v>
      </c>
      <c r="P473" s="13">
        <v>1</v>
      </c>
      <c r="Q473" s="13">
        <v>0</v>
      </c>
      <c r="R473" s="13">
        <v>0</v>
      </c>
      <c r="S473" s="13">
        <v>0</v>
      </c>
      <c r="T473" s="13">
        <v>0</v>
      </c>
      <c r="U473" s="13">
        <v>176</v>
      </c>
      <c r="V473" s="13" t="str" cm="1">
        <f t="array" ref="V473">_xlfn.IFS(U473&lt;=250,"0-R$250",U473&lt;=500,"251-R$500",U473&lt;=750,"501-R$750",U473&lt;=1000,"751-R$1000",U473&lt;=1250,"1001-R$1250",U473&lt;=1500,"1251-R$1500")</f>
        <v>0-R$250</v>
      </c>
      <c r="W473" s="13">
        <v>29</v>
      </c>
      <c r="X473" s="13" t="str" cm="1">
        <f t="array" ref="X473">_xlfn.IFS(W473 = 0, "0", W473&lt;=20, "até R$20",W473&lt;=40, "21 - R$40",W473&lt;=60, "41- R$60",W473&lt;=80, "61 - R$80", W473&lt;=100, "81 - R$100",W473&lt;=120, "101 - R$120",W473&lt;=140, "121 - R$140", W473&lt;=160, "141- R$160", W473&lt;=180, "161 - R$180", W473&lt;=200, "181-R$194")</f>
        <v>21 - R$40</v>
      </c>
      <c r="Y473" s="13">
        <v>818</v>
      </c>
      <c r="Z473" s="13">
        <v>0</v>
      </c>
      <c r="AA473" s="13">
        <v>33</v>
      </c>
      <c r="AB473" s="13">
        <v>112</v>
      </c>
      <c r="AC473" s="13">
        <v>1</v>
      </c>
      <c r="AD473" s="13">
        <v>7</v>
      </c>
      <c r="AE473" s="13">
        <v>6</v>
      </c>
      <c r="AF473" s="13">
        <v>11</v>
      </c>
      <c r="AG473" s="13">
        <v>4</v>
      </c>
      <c r="AH473" s="13">
        <v>0</v>
      </c>
      <c r="AI473" s="13">
        <v>0</v>
      </c>
      <c r="AJ473" s="13">
        <v>0</v>
      </c>
      <c r="AK473" s="13">
        <v>0</v>
      </c>
      <c r="AL473" s="13">
        <v>0</v>
      </c>
      <c r="AM473" s="13">
        <v>0</v>
      </c>
      <c r="AN473" s="13">
        <v>1</v>
      </c>
      <c r="AO473" s="14">
        <v>0</v>
      </c>
      <c r="AP473" s="13">
        <v>3</v>
      </c>
      <c r="AQ473" s="13">
        <v>11</v>
      </c>
      <c r="AR473" s="15">
        <v>944</v>
      </c>
      <c r="AS473" s="15">
        <v>1056</v>
      </c>
    </row>
    <row r="474" spans="1:45" x14ac:dyDescent="0.25">
      <c r="A474">
        <v>1513</v>
      </c>
      <c r="B474" s="11">
        <f t="shared" si="7"/>
        <v>67786</v>
      </c>
      <c r="C474" s="16">
        <v>677860</v>
      </c>
      <c r="D474" s="17">
        <v>0</v>
      </c>
      <c r="E474" s="17">
        <v>0</v>
      </c>
      <c r="F474" s="17">
        <v>0</v>
      </c>
      <c r="G474" s="17">
        <v>61</v>
      </c>
      <c r="H474" s="13" t="str" cm="1">
        <f t="array" ref="H474">_xlfn.IFS(G474&lt;=20,"0-20",G474&lt;=30,"20-30",G474&lt;=40,"30-40",G474&lt;=50,"50-60",G474&lt;=60,"60-70",G474&lt;=70,"70-80",G474&lt;=80,"80-90")</f>
        <v>70-80</v>
      </c>
      <c r="I474" s="17">
        <v>2363</v>
      </c>
      <c r="J474" s="13" t="str" cm="1">
        <f t="array" ref="J474">_xlfn.IFS(K474=1,"Divorciado",L474=1,"Casado",M474=1,"Solteiro",N474=1,"Juntos",O474=1,"Viuvo")</f>
        <v>Viuvo</v>
      </c>
      <c r="K474" s="17">
        <v>0</v>
      </c>
      <c r="L474" s="17">
        <v>0</v>
      </c>
      <c r="M474" s="17">
        <v>0</v>
      </c>
      <c r="N474" s="17">
        <v>0</v>
      </c>
      <c r="O474" s="17">
        <v>1</v>
      </c>
      <c r="P474" s="17">
        <v>0</v>
      </c>
      <c r="Q474" s="17">
        <v>0</v>
      </c>
      <c r="R474" s="17">
        <v>0</v>
      </c>
      <c r="S474" s="17">
        <v>0</v>
      </c>
      <c r="T474" s="17">
        <v>1</v>
      </c>
      <c r="U474" s="17">
        <v>431</v>
      </c>
      <c r="V474" s="13" t="str" cm="1">
        <f t="array" ref="V474">_xlfn.IFS(U474&lt;=250,"0-R$250",U474&lt;=500,"251-R$500",U474&lt;=750,"501-R$750",U474&lt;=1000,"751-R$1000",U474&lt;=1250,"1001-R$1250",U474&lt;=1500,"1251-R$1500")</f>
        <v>251-R$500</v>
      </c>
      <c r="W474" s="17">
        <v>82</v>
      </c>
      <c r="X474" s="13" t="str" cm="1">
        <f t="array" ref="X474">_xlfn.IFS(W474 = 0, "0", W474&lt;=20, "até R$20",W474&lt;=40, "21 - R$40",W474&lt;=60, "41- R$60",W474&lt;=80, "61 - R$80", W474&lt;=100, "81 - R$100",W474&lt;=120, "101 - R$120",W474&lt;=140, "121 - R$140", W474&lt;=160, "141- R$160", W474&lt;=180, "161 - R$180", W474&lt;=200, "181-R$194")</f>
        <v>81 - R$100</v>
      </c>
      <c r="Y474" s="17">
        <v>441</v>
      </c>
      <c r="Z474" s="17">
        <v>80</v>
      </c>
      <c r="AA474" s="17">
        <v>20</v>
      </c>
      <c r="AB474" s="17">
        <v>102</v>
      </c>
      <c r="AC474" s="17">
        <v>1</v>
      </c>
      <c r="AD474" s="17">
        <v>3</v>
      </c>
      <c r="AE474" s="17">
        <v>6</v>
      </c>
      <c r="AF474" s="17">
        <v>6</v>
      </c>
      <c r="AG474" s="17">
        <v>1</v>
      </c>
      <c r="AH474" s="17">
        <v>0</v>
      </c>
      <c r="AI474" s="17">
        <v>0</v>
      </c>
      <c r="AJ474" s="17">
        <v>0</v>
      </c>
      <c r="AK474" s="17">
        <v>0</v>
      </c>
      <c r="AL474" s="17">
        <v>0</v>
      </c>
      <c r="AM474" s="17">
        <v>0</v>
      </c>
      <c r="AN474" s="17">
        <v>1</v>
      </c>
      <c r="AO474" s="18">
        <v>0</v>
      </c>
      <c r="AP474" s="17">
        <v>3</v>
      </c>
      <c r="AQ474" s="17">
        <v>11</v>
      </c>
      <c r="AR474" s="19">
        <v>952</v>
      </c>
      <c r="AS474" s="19">
        <v>1054</v>
      </c>
    </row>
    <row r="475" spans="1:45" x14ac:dyDescent="0.25">
      <c r="A475">
        <v>53</v>
      </c>
      <c r="B475" s="11">
        <f t="shared" si="7"/>
        <v>70287</v>
      </c>
      <c r="C475" s="16">
        <v>702870</v>
      </c>
      <c r="D475" s="17">
        <v>0</v>
      </c>
      <c r="E475" s="17">
        <v>0</v>
      </c>
      <c r="F475" s="17">
        <v>30</v>
      </c>
      <c r="G475" s="17">
        <v>54</v>
      </c>
      <c r="H475" s="13" t="str" cm="1">
        <f t="array" ref="H475">_xlfn.IFS(G475&lt;=20,"0-20",G475&lt;=30,"20-30",G475&lt;=40,"30-40",G475&lt;=50,"50-60",G475&lt;=60,"60-70",G475&lt;=70,"70-80",G475&lt;=80,"80-90")</f>
        <v>60-70</v>
      </c>
      <c r="I475" s="17">
        <v>2612</v>
      </c>
      <c r="J475" s="13" t="str" cm="1">
        <f t="array" ref="J475">_xlfn.IFS(K475=1,"Divorciado",L475=1,"Casado",M475=1,"Solteiro",N475=1,"Juntos",O475=1,"Viuvo")</f>
        <v>Divorciado</v>
      </c>
      <c r="K475" s="17">
        <v>1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1</v>
      </c>
      <c r="S475" s="17">
        <v>0</v>
      </c>
      <c r="T475" s="17">
        <v>0</v>
      </c>
      <c r="U475" s="17">
        <v>295</v>
      </c>
      <c r="V475" s="13" t="str" cm="1">
        <f t="array" ref="V475">_xlfn.IFS(U475&lt;=250,"0-R$250",U475&lt;=500,"251-R$500",U475&lt;=750,"501-R$750",U475&lt;=1000,"751-R$1000",U475&lt;=1250,"1001-R$1250",U475&lt;=1500,"1251-R$1500")</f>
        <v>251-R$500</v>
      </c>
      <c r="W475" s="17">
        <v>35</v>
      </c>
      <c r="X475" s="13" t="str" cm="1">
        <f t="array" ref="X475">_xlfn.IFS(W475 = 0, "0", W475&lt;=20, "até R$20",W475&lt;=40, "21 - R$40",W475&lt;=60, "41- R$60",W475&lt;=80, "61 - R$80", W475&lt;=100, "81 - R$100",W475&lt;=120, "101 - R$120",W475&lt;=140, "121 - R$140", W475&lt;=160, "141- R$160", W475&lt;=180, "161 - R$180", W475&lt;=200, "181-R$194")</f>
        <v>21 - R$40</v>
      </c>
      <c r="Y475" s="17">
        <v>482</v>
      </c>
      <c r="Z475" s="17">
        <v>121</v>
      </c>
      <c r="AA475" s="17">
        <v>120</v>
      </c>
      <c r="AB475" s="17">
        <v>40</v>
      </c>
      <c r="AC475" s="17">
        <v>1</v>
      </c>
      <c r="AD475" s="17">
        <v>5</v>
      </c>
      <c r="AE475" s="17">
        <v>5</v>
      </c>
      <c r="AF475" s="17">
        <v>10</v>
      </c>
      <c r="AG475" s="17">
        <v>3</v>
      </c>
      <c r="AH475" s="17">
        <v>0</v>
      </c>
      <c r="AI475" s="17">
        <v>0</v>
      </c>
      <c r="AJ475" s="17">
        <v>0</v>
      </c>
      <c r="AK475" s="17">
        <v>0</v>
      </c>
      <c r="AL475" s="17">
        <v>0</v>
      </c>
      <c r="AM475" s="17">
        <v>0</v>
      </c>
      <c r="AN475" s="17">
        <v>1</v>
      </c>
      <c r="AO475" s="18">
        <v>0</v>
      </c>
      <c r="AP475" s="17">
        <v>3</v>
      </c>
      <c r="AQ475" s="17">
        <v>11</v>
      </c>
      <c r="AR475" s="19">
        <v>1013</v>
      </c>
      <c r="AS475" s="19">
        <v>1053</v>
      </c>
    </row>
    <row r="476" spans="1:45" x14ac:dyDescent="0.25">
      <c r="A476">
        <v>1624</v>
      </c>
      <c r="B476" s="11">
        <f t="shared" si="7"/>
        <v>57136</v>
      </c>
      <c r="C476" s="12">
        <v>571360</v>
      </c>
      <c r="D476" s="13">
        <v>0</v>
      </c>
      <c r="E476" s="13">
        <v>0</v>
      </c>
      <c r="F476" s="13">
        <v>18</v>
      </c>
      <c r="G476" s="13">
        <v>53</v>
      </c>
      <c r="H476" s="13" t="str" cm="1">
        <f t="array" ref="H476">_xlfn.IFS(G476&lt;=20,"0-20",G476&lt;=30,"20-30",G476&lt;=40,"30-40",G476&lt;=50,"50-60",G476&lt;=60,"60-70",G476&lt;=70,"70-80",G476&lt;=80,"80-90")</f>
        <v>60-70</v>
      </c>
      <c r="I476" s="13">
        <v>2566</v>
      </c>
      <c r="J476" s="13" t="str" cm="1">
        <f t="array" ref="J476">_xlfn.IFS(K476=1,"Divorciado",L476=1,"Casado",M476=1,"Solteiro",N476=1,"Juntos",O476=1,"Viuvo")</f>
        <v>Divorciado</v>
      </c>
      <c r="K476" s="13">
        <v>1</v>
      </c>
      <c r="L476" s="13">
        <v>0</v>
      </c>
      <c r="M476" s="13">
        <v>0</v>
      </c>
      <c r="N476" s="13">
        <v>0</v>
      </c>
      <c r="O476" s="13">
        <v>0</v>
      </c>
      <c r="P476" s="13">
        <v>0</v>
      </c>
      <c r="Q476" s="13">
        <v>0</v>
      </c>
      <c r="R476" s="13">
        <v>1</v>
      </c>
      <c r="S476" s="13">
        <v>0</v>
      </c>
      <c r="T476" s="13">
        <v>0</v>
      </c>
      <c r="U476" s="13">
        <v>267</v>
      </c>
      <c r="V476" s="13" t="str" cm="1">
        <f t="array" ref="V476">_xlfn.IFS(U476&lt;=250,"0-R$250",U476&lt;=500,"251-R$500",U476&lt;=750,"501-R$750",U476&lt;=1000,"751-R$1000",U476&lt;=1250,"1001-R$1250",U476&lt;=1500,"1251-R$1500")</f>
        <v>251-R$500</v>
      </c>
      <c r="W476" s="13">
        <v>140</v>
      </c>
      <c r="X476" s="13" t="str" cm="1">
        <f t="array" ref="X476">_xlfn.IFS(W476 = 0, "0", W476&lt;=20, "até R$20",W476&lt;=40, "21 - R$40",W476&lt;=60, "41- R$60",W476&lt;=80, "61 - R$80", W476&lt;=100, "81 - R$100",W476&lt;=120, "101 - R$120",W476&lt;=140, "121 - R$140", W476&lt;=160, "141- R$160", W476&lt;=180, "161 - R$180", W476&lt;=200, "181-R$194")</f>
        <v>121 - R$140</v>
      </c>
      <c r="Y476" s="13">
        <v>599</v>
      </c>
      <c r="Z476" s="13">
        <v>34</v>
      </c>
      <c r="AA476" s="13">
        <v>12</v>
      </c>
      <c r="AB476" s="13">
        <v>127</v>
      </c>
      <c r="AC476" s="13">
        <v>1</v>
      </c>
      <c r="AD476" s="13">
        <v>7</v>
      </c>
      <c r="AE476" s="13">
        <v>5</v>
      </c>
      <c r="AF476" s="13">
        <v>7</v>
      </c>
      <c r="AG476" s="13">
        <v>6</v>
      </c>
      <c r="AH476" s="13">
        <v>0</v>
      </c>
      <c r="AI476" s="13">
        <v>0</v>
      </c>
      <c r="AJ476" s="13">
        <v>0</v>
      </c>
      <c r="AK476" s="13">
        <v>0</v>
      </c>
      <c r="AL476" s="13">
        <v>0</v>
      </c>
      <c r="AM476" s="13">
        <v>0</v>
      </c>
      <c r="AN476" s="13">
        <v>1</v>
      </c>
      <c r="AO476" s="14">
        <v>0</v>
      </c>
      <c r="AP476" s="13">
        <v>3</v>
      </c>
      <c r="AQ476" s="13">
        <v>11</v>
      </c>
      <c r="AR476" s="15">
        <v>925</v>
      </c>
      <c r="AS476" s="15">
        <v>1052</v>
      </c>
    </row>
    <row r="477" spans="1:45" x14ac:dyDescent="0.25">
      <c r="A477">
        <v>1013</v>
      </c>
      <c r="B477" s="11">
        <f t="shared" si="7"/>
        <v>68695</v>
      </c>
      <c r="C477" s="16">
        <v>686950</v>
      </c>
      <c r="D477" s="17">
        <v>0</v>
      </c>
      <c r="E477" s="17">
        <v>0</v>
      </c>
      <c r="F477" s="17">
        <v>3</v>
      </c>
      <c r="G477" s="17">
        <v>51</v>
      </c>
      <c r="H477" s="13" t="str" cm="1">
        <f t="array" ref="H477">_xlfn.IFS(G477&lt;=20,"0-20",G477&lt;=30,"20-30",G477&lt;=40,"30-40",G477&lt;=50,"50-60",G477&lt;=60,"60-70",G477&lt;=70,"70-80",G477&lt;=80,"80-90")</f>
        <v>60-70</v>
      </c>
      <c r="I477" s="17">
        <v>2163</v>
      </c>
      <c r="J477" s="13" t="str" cm="1">
        <f t="array" ref="J477">_xlfn.IFS(K477=1,"Divorciado",L477=1,"Casado",M477=1,"Solteiro",N477=1,"Juntos",O477=1,"Viuvo")</f>
        <v>Juntos</v>
      </c>
      <c r="K477" s="17">
        <v>0</v>
      </c>
      <c r="L477" s="17">
        <v>0</v>
      </c>
      <c r="M477" s="17">
        <v>0</v>
      </c>
      <c r="N477" s="17">
        <v>1</v>
      </c>
      <c r="O477" s="17">
        <v>0</v>
      </c>
      <c r="P477" s="17">
        <v>0</v>
      </c>
      <c r="Q477" s="17">
        <v>0</v>
      </c>
      <c r="R477" s="17">
        <v>1</v>
      </c>
      <c r="S477" s="17">
        <v>0</v>
      </c>
      <c r="T477" s="17">
        <v>0</v>
      </c>
      <c r="U477" s="17">
        <v>458</v>
      </c>
      <c r="V477" s="13" t="str" cm="1">
        <f t="array" ref="V477">_xlfn.IFS(U477&lt;=250,"0-R$250",U477&lt;=500,"251-R$500",U477&lt;=750,"501-R$750",U477&lt;=1000,"751-R$1000",U477&lt;=1250,"1001-R$1250",U477&lt;=1500,"1251-R$1500")</f>
        <v>251-R$500</v>
      </c>
      <c r="W477" s="17">
        <v>81</v>
      </c>
      <c r="X477" s="13" t="str" cm="1">
        <f t="array" ref="X477">_xlfn.IFS(W477 = 0, "0", W477&lt;=20, "até R$20",W477&lt;=40, "21 - R$40",W477&lt;=60, "41- R$60",W477&lt;=80, "61 - R$80", W477&lt;=100, "81 - R$100",W477&lt;=120, "101 - R$120",W477&lt;=140, "121 - R$140", W477&lt;=160, "141- R$160", W477&lt;=180, "161 - R$180", W477&lt;=200, "181-R$194")</f>
        <v>81 - R$100</v>
      </c>
      <c r="Y477" s="17">
        <v>356</v>
      </c>
      <c r="Z477" s="17">
        <v>106</v>
      </c>
      <c r="AA477" s="17">
        <v>50</v>
      </c>
      <c r="AB477" s="17">
        <v>40</v>
      </c>
      <c r="AC477" s="17">
        <v>1</v>
      </c>
      <c r="AD477" s="17">
        <v>4</v>
      </c>
      <c r="AE477" s="17">
        <v>4</v>
      </c>
      <c r="AF477" s="17">
        <v>7</v>
      </c>
      <c r="AG477" s="17">
        <v>2</v>
      </c>
      <c r="AH477" s="17">
        <v>0</v>
      </c>
      <c r="AI477" s="17">
        <v>0</v>
      </c>
      <c r="AJ477" s="17">
        <v>0</v>
      </c>
      <c r="AK477" s="17">
        <v>0</v>
      </c>
      <c r="AL477" s="17">
        <v>0</v>
      </c>
      <c r="AM477" s="17">
        <v>0</v>
      </c>
      <c r="AN477" s="17">
        <v>0</v>
      </c>
      <c r="AO477" s="18">
        <v>0</v>
      </c>
      <c r="AP477" s="17">
        <v>3</v>
      </c>
      <c r="AQ477" s="17">
        <v>11</v>
      </c>
      <c r="AR477" s="19">
        <v>1011</v>
      </c>
      <c r="AS477" s="19">
        <v>1051</v>
      </c>
    </row>
    <row r="478" spans="1:45" x14ac:dyDescent="0.25">
      <c r="A478">
        <v>1431</v>
      </c>
      <c r="B478" s="11">
        <f t="shared" si="7"/>
        <v>68695</v>
      </c>
      <c r="C478" s="16">
        <v>686950</v>
      </c>
      <c r="D478" s="17">
        <v>0</v>
      </c>
      <c r="E478" s="17">
        <v>0</v>
      </c>
      <c r="F478" s="17">
        <v>3</v>
      </c>
      <c r="G478" s="17">
        <v>51</v>
      </c>
      <c r="H478" s="13" t="str" cm="1">
        <f t="array" ref="H478">_xlfn.IFS(G478&lt;=20,"0-20",G478&lt;=30,"20-30",G478&lt;=40,"30-40",G478&lt;=50,"50-60",G478&lt;=60,"60-70",G478&lt;=70,"70-80",G478&lt;=80,"80-90")</f>
        <v>60-70</v>
      </c>
      <c r="I478" s="17">
        <v>2163</v>
      </c>
      <c r="J478" s="13" t="str" cm="1">
        <f t="array" ref="J478">_xlfn.IFS(K478=1,"Divorciado",L478=1,"Casado",M478=1,"Solteiro",N478=1,"Juntos",O478=1,"Viuvo")</f>
        <v>Juntos</v>
      </c>
      <c r="K478" s="17">
        <v>0</v>
      </c>
      <c r="L478" s="17">
        <v>0</v>
      </c>
      <c r="M478" s="17">
        <v>0</v>
      </c>
      <c r="N478" s="17">
        <v>1</v>
      </c>
      <c r="O478" s="17">
        <v>0</v>
      </c>
      <c r="P478" s="17">
        <v>0</v>
      </c>
      <c r="Q478" s="17">
        <v>0</v>
      </c>
      <c r="R478" s="17">
        <v>1</v>
      </c>
      <c r="S478" s="17">
        <v>0</v>
      </c>
      <c r="T478" s="17">
        <v>0</v>
      </c>
      <c r="U478" s="17">
        <v>458</v>
      </c>
      <c r="V478" s="13" t="str" cm="1">
        <f t="array" ref="V478">_xlfn.IFS(U478&lt;=250,"0-R$250",U478&lt;=500,"251-R$500",U478&lt;=750,"501-R$750",U478&lt;=1000,"751-R$1000",U478&lt;=1250,"1001-R$1250",U478&lt;=1500,"1251-R$1500")</f>
        <v>251-R$500</v>
      </c>
      <c r="W478" s="17">
        <v>81</v>
      </c>
      <c r="X478" s="13" t="str" cm="1">
        <f t="array" ref="X478">_xlfn.IFS(W478 = 0, "0", W478&lt;=20, "até R$20",W478&lt;=40, "21 - R$40",W478&lt;=60, "41- R$60",W478&lt;=80, "61 - R$80", W478&lt;=100, "81 - R$100",W478&lt;=120, "101 - R$120",W478&lt;=140, "121 - R$140", W478&lt;=160, "141- R$160", W478&lt;=180, "161 - R$180", W478&lt;=200, "181-R$194")</f>
        <v>81 - R$100</v>
      </c>
      <c r="Y478" s="17">
        <v>356</v>
      </c>
      <c r="Z478" s="17">
        <v>106</v>
      </c>
      <c r="AA478" s="17">
        <v>50</v>
      </c>
      <c r="AB478" s="17">
        <v>40</v>
      </c>
      <c r="AC478" s="17">
        <v>1</v>
      </c>
      <c r="AD478" s="17">
        <v>4</v>
      </c>
      <c r="AE478" s="17">
        <v>4</v>
      </c>
      <c r="AF478" s="17">
        <v>7</v>
      </c>
      <c r="AG478" s="17">
        <v>2</v>
      </c>
      <c r="AH478" s="17">
        <v>0</v>
      </c>
      <c r="AI478" s="17">
        <v>0</v>
      </c>
      <c r="AJ478" s="17">
        <v>0</v>
      </c>
      <c r="AK478" s="17">
        <v>0</v>
      </c>
      <c r="AL478" s="17">
        <v>0</v>
      </c>
      <c r="AM478" s="17">
        <v>0</v>
      </c>
      <c r="AN478" s="17">
        <v>0</v>
      </c>
      <c r="AO478" s="18">
        <v>0</v>
      </c>
      <c r="AP478" s="17">
        <v>3</v>
      </c>
      <c r="AQ478" s="17">
        <v>11</v>
      </c>
      <c r="AR478" s="19">
        <v>1011</v>
      </c>
      <c r="AS478" s="19">
        <v>1051</v>
      </c>
    </row>
    <row r="479" spans="1:45" x14ac:dyDescent="0.25">
      <c r="A479">
        <v>1602</v>
      </c>
      <c r="B479" s="11">
        <f t="shared" si="7"/>
        <v>47111</v>
      </c>
      <c r="C479" s="12">
        <v>471110</v>
      </c>
      <c r="D479" s="13">
        <v>0</v>
      </c>
      <c r="E479" s="13">
        <v>1</v>
      </c>
      <c r="F479" s="13">
        <v>35</v>
      </c>
      <c r="G479" s="13">
        <v>49</v>
      </c>
      <c r="H479" s="13" t="str" cm="1">
        <f t="array" ref="H479">_xlfn.IFS(G479&lt;=20,"0-20",G479&lt;=30,"20-30",G479&lt;=40,"30-40",G479&lt;=50,"50-60",G479&lt;=60,"60-70",G479&lt;=70,"70-80",G479&lt;=80,"80-90")</f>
        <v>50-60</v>
      </c>
      <c r="I479" s="13">
        <v>2818</v>
      </c>
      <c r="J479" s="13" t="str" cm="1">
        <f t="array" ref="J479">_xlfn.IFS(K479=1,"Divorciado",L479=1,"Casado",M479=1,"Solteiro",N479=1,"Juntos",O479=1,"Viuvo")</f>
        <v>Viuvo</v>
      </c>
      <c r="K479" s="13">
        <v>0</v>
      </c>
      <c r="L479" s="13">
        <v>0</v>
      </c>
      <c r="M479" s="13">
        <v>0</v>
      </c>
      <c r="N479" s="13">
        <v>0</v>
      </c>
      <c r="O479" s="13">
        <v>1</v>
      </c>
      <c r="P479" s="13">
        <v>0</v>
      </c>
      <c r="Q479" s="13">
        <v>0</v>
      </c>
      <c r="R479" s="13">
        <v>0</v>
      </c>
      <c r="S479" s="13">
        <v>0</v>
      </c>
      <c r="T479" s="13">
        <v>1</v>
      </c>
      <c r="U479" s="13">
        <v>595</v>
      </c>
      <c r="V479" s="13" t="str" cm="1">
        <f t="array" ref="V479">_xlfn.IFS(U479&lt;=250,"0-R$250",U479&lt;=500,"251-R$500",U479&lt;=750,"501-R$750",U479&lt;=1000,"751-R$1000",U479&lt;=1250,"1001-R$1250",U479&lt;=1500,"1251-R$1500")</f>
        <v>501-R$750</v>
      </c>
      <c r="W479" s="13">
        <v>71</v>
      </c>
      <c r="X479" s="13" t="str" cm="1">
        <f t="array" ref="X479">_xlfn.IFS(W479 = 0, "0", W479&lt;=20, "até R$20",W479&lt;=40, "21 - R$40",W479&lt;=60, "41- R$60",W479&lt;=80, "61 - R$80", W479&lt;=100, "81 - R$100",W479&lt;=120, "101 - R$120",W479&lt;=140, "121 - R$140", W479&lt;=160, "141- R$160", W479&lt;=180, "161 - R$180", W479&lt;=200, "181-R$194")</f>
        <v>61 - R$80</v>
      </c>
      <c r="Y479" s="13">
        <v>153</v>
      </c>
      <c r="Z479" s="13">
        <v>120</v>
      </c>
      <c r="AA479" s="13">
        <v>112</v>
      </c>
      <c r="AB479" s="13">
        <v>41</v>
      </c>
      <c r="AC479" s="13">
        <v>6</v>
      </c>
      <c r="AD479" s="13">
        <v>3</v>
      </c>
      <c r="AE479" s="13">
        <v>2</v>
      </c>
      <c r="AF479" s="13">
        <v>10</v>
      </c>
      <c r="AG479" s="13">
        <v>9</v>
      </c>
      <c r="AH479" s="13">
        <v>0</v>
      </c>
      <c r="AI479" s="13">
        <v>0</v>
      </c>
      <c r="AJ479" s="13">
        <v>0</v>
      </c>
      <c r="AK479" s="13">
        <v>0</v>
      </c>
      <c r="AL479" s="13">
        <v>0</v>
      </c>
      <c r="AM479" s="13">
        <v>0</v>
      </c>
      <c r="AN479" s="13">
        <v>0</v>
      </c>
      <c r="AO479" s="14">
        <v>0</v>
      </c>
      <c r="AP479" s="13">
        <v>3</v>
      </c>
      <c r="AQ479" s="13">
        <v>11</v>
      </c>
      <c r="AR479" s="15">
        <v>1010</v>
      </c>
      <c r="AS479" s="15">
        <v>1051</v>
      </c>
    </row>
    <row r="480" spans="1:45" x14ac:dyDescent="0.25">
      <c r="A480">
        <v>2011</v>
      </c>
      <c r="B480" s="11">
        <f t="shared" si="7"/>
        <v>75330</v>
      </c>
      <c r="C480" s="16">
        <v>753300</v>
      </c>
      <c r="D480" s="17">
        <v>1</v>
      </c>
      <c r="E480" s="17">
        <v>1</v>
      </c>
      <c r="F480" s="17">
        <v>94</v>
      </c>
      <c r="G480" s="17">
        <v>43</v>
      </c>
      <c r="H480" s="13" t="str" cm="1">
        <f t="array" ref="H480">_xlfn.IFS(G480&lt;=20,"0-20",G480&lt;=30,"20-30",G480&lt;=40,"30-40",G480&lt;=50,"50-60",G480&lt;=60,"60-70",G480&lt;=70,"70-80",G480&lt;=80,"80-90")</f>
        <v>50-60</v>
      </c>
      <c r="I480" s="17">
        <v>2792</v>
      </c>
      <c r="J480" s="13" t="str" cm="1">
        <f t="array" ref="J480">_xlfn.IFS(K480=1,"Divorciado",L480=1,"Casado",M480=1,"Solteiro",N480=1,"Juntos",O480=1,"Viuvo")</f>
        <v>Casado</v>
      </c>
      <c r="K480" s="17">
        <v>0</v>
      </c>
      <c r="L480" s="17">
        <v>1</v>
      </c>
      <c r="M480" s="17">
        <v>0</v>
      </c>
      <c r="N480" s="17">
        <v>0</v>
      </c>
      <c r="O480" s="17">
        <v>0</v>
      </c>
      <c r="P480" s="17">
        <v>0</v>
      </c>
      <c r="Q480" s="17">
        <v>0</v>
      </c>
      <c r="R480" s="17">
        <v>1</v>
      </c>
      <c r="S480" s="17">
        <v>0</v>
      </c>
      <c r="T480" s="17">
        <v>0</v>
      </c>
      <c r="U480" s="17">
        <v>555</v>
      </c>
      <c r="V480" s="13" t="str" cm="1">
        <f t="array" ref="V480">_xlfn.IFS(U480&lt;=250,"0-R$250",U480&lt;=500,"251-R$500",U480&lt;=750,"501-R$750",U480&lt;=1000,"751-R$1000",U480&lt;=1250,"1001-R$1250",U480&lt;=1500,"1251-R$1500")</f>
        <v>501-R$750</v>
      </c>
      <c r="W480" s="17">
        <v>82</v>
      </c>
      <c r="X480" s="13" t="str" cm="1">
        <f t="array" ref="X480">_xlfn.IFS(W480 = 0, "0", W480&lt;=20, "até R$20",W480&lt;=40, "21 - R$40",W480&lt;=60, "41- R$60",W480&lt;=80, "61 - R$80", W480&lt;=100, "81 - R$100",W480&lt;=120, "101 - R$120",W480&lt;=140, "121 - R$140", W480&lt;=160, "141- R$160", W480&lt;=180, "161 - R$180", W480&lt;=200, "181-R$194")</f>
        <v>81 - R$100</v>
      </c>
      <c r="Y480" s="17">
        <v>257</v>
      </c>
      <c r="Z480" s="17">
        <v>93</v>
      </c>
      <c r="AA480" s="17">
        <v>61</v>
      </c>
      <c r="AB480" s="17">
        <v>61</v>
      </c>
      <c r="AC480" s="17">
        <v>4</v>
      </c>
      <c r="AD480" s="17">
        <v>10</v>
      </c>
      <c r="AE480" s="17">
        <v>3</v>
      </c>
      <c r="AF480" s="17">
        <v>12</v>
      </c>
      <c r="AG480" s="17">
        <v>6</v>
      </c>
      <c r="AH480" s="17">
        <v>0</v>
      </c>
      <c r="AI480" s="17">
        <v>0</v>
      </c>
      <c r="AJ480" s="17">
        <v>0</v>
      </c>
      <c r="AK480" s="17">
        <v>0</v>
      </c>
      <c r="AL480" s="17">
        <v>0</v>
      </c>
      <c r="AM480" s="17">
        <v>0</v>
      </c>
      <c r="AN480" s="17">
        <v>0</v>
      </c>
      <c r="AO480" s="18">
        <v>0</v>
      </c>
      <c r="AP480" s="17">
        <v>3</v>
      </c>
      <c r="AQ480" s="17">
        <v>11</v>
      </c>
      <c r="AR480" s="19">
        <v>987</v>
      </c>
      <c r="AS480" s="19">
        <v>1048</v>
      </c>
    </row>
    <row r="481" spans="1:45" x14ac:dyDescent="0.25">
      <c r="A481">
        <v>609</v>
      </c>
      <c r="B481" s="11">
        <f t="shared" si="7"/>
        <v>84196</v>
      </c>
      <c r="C481" s="16">
        <v>841960</v>
      </c>
      <c r="D481" s="17">
        <v>0</v>
      </c>
      <c r="E481" s="17">
        <v>1</v>
      </c>
      <c r="F481" s="17">
        <v>56</v>
      </c>
      <c r="G481" s="17">
        <v>45</v>
      </c>
      <c r="H481" s="13" t="str" cm="1">
        <f t="array" ref="H481">_xlfn.IFS(G481&lt;=20,"0-20",G481&lt;=30,"20-30",G481&lt;=40,"30-40",G481&lt;=50,"50-60",G481&lt;=60,"60-70",G481&lt;=70,"70-80",G481&lt;=80,"80-90")</f>
        <v>50-60</v>
      </c>
      <c r="I481" s="17">
        <v>2550</v>
      </c>
      <c r="J481" s="13" t="str" cm="1">
        <f t="array" ref="J481">_xlfn.IFS(K481=1,"Divorciado",L481=1,"Casado",M481=1,"Solteiro",N481=1,"Juntos",O481=1,"Viuvo")</f>
        <v>Solteiro</v>
      </c>
      <c r="K481" s="17">
        <v>0</v>
      </c>
      <c r="L481" s="17">
        <v>0</v>
      </c>
      <c r="M481" s="17">
        <v>1</v>
      </c>
      <c r="N481" s="17">
        <v>0</v>
      </c>
      <c r="O481" s="17">
        <v>0</v>
      </c>
      <c r="P481" s="17">
        <v>0</v>
      </c>
      <c r="Q481" s="17">
        <v>0</v>
      </c>
      <c r="R481" s="17">
        <v>1</v>
      </c>
      <c r="S481" s="17">
        <v>0</v>
      </c>
      <c r="T481" s="17">
        <v>0</v>
      </c>
      <c r="U481" s="17">
        <v>215</v>
      </c>
      <c r="V481" s="13" t="str" cm="1">
        <f t="array" ref="V481">_xlfn.IFS(U481&lt;=250,"0-R$250",U481&lt;=500,"251-R$500",U481&lt;=750,"501-R$750",U481&lt;=1000,"751-R$1000",U481&lt;=1250,"1001-R$1250",U481&lt;=1500,"1251-R$1500")</f>
        <v>0-R$250</v>
      </c>
      <c r="W481" s="17">
        <v>63</v>
      </c>
      <c r="X481" s="13" t="str" cm="1">
        <f t="array" ref="X481">_xlfn.IFS(W481 = 0, "0", W481&lt;=20, "até R$20",W481&lt;=40, "21 - R$40",W481&lt;=60, "41- R$60",W481&lt;=80, "61 - R$80", W481&lt;=100, "81 - R$100",W481&lt;=120, "101 - R$120",W481&lt;=140, "121 - R$140", W481&lt;=160, "141- R$160", W481&lt;=180, "161 - R$180", W481&lt;=200, "181-R$194")</f>
        <v>61 - R$80</v>
      </c>
      <c r="Y481" s="17">
        <v>507</v>
      </c>
      <c r="Z481" s="17">
        <v>231</v>
      </c>
      <c r="AA481" s="17">
        <v>31</v>
      </c>
      <c r="AB481" s="17">
        <v>190</v>
      </c>
      <c r="AC481" s="17">
        <v>1</v>
      </c>
      <c r="AD481" s="17">
        <v>8</v>
      </c>
      <c r="AE481" s="17">
        <v>4</v>
      </c>
      <c r="AF481" s="17">
        <v>7</v>
      </c>
      <c r="AG481" s="17">
        <v>3</v>
      </c>
      <c r="AH481" s="17">
        <v>0</v>
      </c>
      <c r="AI481" s="17">
        <v>0</v>
      </c>
      <c r="AJ481" s="17">
        <v>0</v>
      </c>
      <c r="AK481" s="17">
        <v>0</v>
      </c>
      <c r="AL481" s="17">
        <v>0</v>
      </c>
      <c r="AM481" s="17">
        <v>0</v>
      </c>
      <c r="AN481" s="17">
        <v>0</v>
      </c>
      <c r="AO481" s="18">
        <v>0</v>
      </c>
      <c r="AP481" s="17">
        <v>3</v>
      </c>
      <c r="AQ481" s="17">
        <v>11</v>
      </c>
      <c r="AR481" s="19">
        <v>857</v>
      </c>
      <c r="AS481" s="19">
        <v>1047</v>
      </c>
    </row>
    <row r="482" spans="1:45" x14ac:dyDescent="0.25">
      <c r="A482">
        <v>1150</v>
      </c>
      <c r="B482" s="11">
        <f t="shared" si="7"/>
        <v>81657</v>
      </c>
      <c r="C482" s="12">
        <v>816570</v>
      </c>
      <c r="D482" s="13">
        <v>0</v>
      </c>
      <c r="E482" s="13">
        <v>0</v>
      </c>
      <c r="F482" s="13">
        <v>69</v>
      </c>
      <c r="G482" s="13">
        <v>51</v>
      </c>
      <c r="H482" s="13" t="str" cm="1">
        <f t="array" ref="H482">_xlfn.IFS(G482&lt;=20,"0-20",G482&lt;=30,"20-30",G482&lt;=40,"30-40",G482&lt;=50,"50-60",G482&lt;=60,"60-70",G482&lt;=70,"70-80",G482&lt;=80,"80-90")</f>
        <v>60-70</v>
      </c>
      <c r="I482" s="13">
        <v>2317</v>
      </c>
      <c r="J482" s="13" t="str" cm="1">
        <f t="array" ref="J482">_xlfn.IFS(K482=1,"Divorciado",L482=1,"Casado",M482=1,"Solteiro",N482=1,"Juntos",O482=1,"Viuvo")</f>
        <v>Solteiro</v>
      </c>
      <c r="K482" s="13">
        <v>0</v>
      </c>
      <c r="L482" s="13">
        <v>0</v>
      </c>
      <c r="M482" s="13">
        <v>1</v>
      </c>
      <c r="N482" s="13">
        <v>0</v>
      </c>
      <c r="O482" s="13">
        <v>0</v>
      </c>
      <c r="P482" s="13">
        <v>0</v>
      </c>
      <c r="Q482" s="13">
        <v>0</v>
      </c>
      <c r="R482" s="13">
        <v>1</v>
      </c>
      <c r="S482" s="13">
        <v>0</v>
      </c>
      <c r="T482" s="13">
        <v>0</v>
      </c>
      <c r="U482" s="13">
        <v>364</v>
      </c>
      <c r="V482" s="13" t="str" cm="1">
        <f t="array" ref="V482">_xlfn.IFS(U482&lt;=250,"0-R$250",U482&lt;=500,"251-R$500",U482&lt;=750,"501-R$750",U482&lt;=1000,"751-R$1000",U482&lt;=1250,"1001-R$1250",U482&lt;=1500,"1251-R$1500")</f>
        <v>251-R$500</v>
      </c>
      <c r="W482" s="13">
        <v>40</v>
      </c>
      <c r="X482" s="13" t="str" cm="1">
        <f t="array" ref="X482">_xlfn.IFS(W482 = 0, "0", W482&lt;=20, "até R$20",W482&lt;=40, "21 - R$40",W482&lt;=60, "41- R$60",W482&lt;=80, "61 - R$80", W482&lt;=100, "81 - R$100",W482&lt;=120, "101 - R$120",W482&lt;=140, "121 - R$140", W482&lt;=160, "141- R$160", W482&lt;=180, "161 - R$180", W482&lt;=200, "181-R$194")</f>
        <v>21 - R$40</v>
      </c>
      <c r="Y482" s="13">
        <v>425</v>
      </c>
      <c r="Z482" s="13">
        <v>158</v>
      </c>
      <c r="AA482" s="13">
        <v>60</v>
      </c>
      <c r="AB482" s="13">
        <v>50</v>
      </c>
      <c r="AC482" s="13">
        <v>1</v>
      </c>
      <c r="AD482" s="13">
        <v>3</v>
      </c>
      <c r="AE482" s="13">
        <v>4</v>
      </c>
      <c r="AF482" s="13">
        <v>8</v>
      </c>
      <c r="AG482" s="13">
        <v>1</v>
      </c>
      <c r="AH482" s="13">
        <v>0</v>
      </c>
      <c r="AI482" s="13">
        <v>0</v>
      </c>
      <c r="AJ482" s="13">
        <v>0</v>
      </c>
      <c r="AK482" s="13">
        <v>0</v>
      </c>
      <c r="AL482" s="13">
        <v>0</v>
      </c>
      <c r="AM482" s="13">
        <v>0</v>
      </c>
      <c r="AN482" s="13">
        <v>0</v>
      </c>
      <c r="AO482" s="14">
        <v>0</v>
      </c>
      <c r="AP482" s="13">
        <v>3</v>
      </c>
      <c r="AQ482" s="13">
        <v>11</v>
      </c>
      <c r="AR482" s="15">
        <v>997</v>
      </c>
      <c r="AS482" s="15">
        <v>1047</v>
      </c>
    </row>
    <row r="483" spans="1:45" x14ac:dyDescent="0.25">
      <c r="A483">
        <v>60</v>
      </c>
      <c r="B483" s="11">
        <f t="shared" si="7"/>
        <v>70666</v>
      </c>
      <c r="C483" s="12">
        <v>706660</v>
      </c>
      <c r="D483" s="13">
        <v>0</v>
      </c>
      <c r="E483" s="13">
        <v>0</v>
      </c>
      <c r="F483" s="13">
        <v>29</v>
      </c>
      <c r="G483" s="13">
        <v>72</v>
      </c>
      <c r="H483" s="13" t="str" cm="1">
        <f t="array" ref="H483">_xlfn.IFS(G483&lt;=20,"0-20",G483&lt;=30,"20-30",G483&lt;=40,"30-40",G483&lt;=50,"50-60",G483&lt;=60,"60-70",G483&lt;=70,"70-80",G483&lt;=80,"80-90")</f>
        <v>80-90</v>
      </c>
      <c r="I483" s="13">
        <v>2364</v>
      </c>
      <c r="J483" s="13" t="str" cm="1">
        <f t="array" ref="J483">_xlfn.IFS(K483=1,"Divorciado",L483=1,"Casado",M483=1,"Solteiro",N483=1,"Juntos",O483=1,"Viuvo")</f>
        <v>Juntos</v>
      </c>
      <c r="K483" s="13">
        <v>0</v>
      </c>
      <c r="L483" s="13">
        <v>0</v>
      </c>
      <c r="M483" s="13">
        <v>0</v>
      </c>
      <c r="N483" s="13">
        <v>1</v>
      </c>
      <c r="O483" s="13">
        <v>0</v>
      </c>
      <c r="P483" s="13">
        <v>0</v>
      </c>
      <c r="Q483" s="13">
        <v>0</v>
      </c>
      <c r="R483" s="13">
        <v>1</v>
      </c>
      <c r="S483" s="13">
        <v>0</v>
      </c>
      <c r="T483" s="13">
        <v>0</v>
      </c>
      <c r="U483" s="13">
        <v>398</v>
      </c>
      <c r="V483" s="13" t="str" cm="1">
        <f t="array" ref="V483">_xlfn.IFS(U483&lt;=250,"0-R$250",U483&lt;=500,"251-R$500",U483&lt;=750,"501-R$750",U483&lt;=1000,"751-R$1000",U483&lt;=1250,"1001-R$1250",U483&lt;=1500,"1251-R$1500")</f>
        <v>251-R$500</v>
      </c>
      <c r="W483" s="13">
        <v>40</v>
      </c>
      <c r="X483" s="13" t="str" cm="1">
        <f t="array" ref="X483">_xlfn.IFS(W483 = 0, "0", W483&lt;=20, "até R$20",W483&lt;=40, "21 - R$40",W483&lt;=60, "41- R$60",W483&lt;=80, "61 - R$80", W483&lt;=100, "81 - R$100",W483&lt;=120, "101 - R$120",W483&lt;=140, "121 - R$140", W483&lt;=160, "141- R$160", W483&lt;=180, "161 - R$180", W483&lt;=200, "181-R$194")</f>
        <v>21 - R$40</v>
      </c>
      <c r="Y483" s="13">
        <v>367</v>
      </c>
      <c r="Z483" s="13">
        <v>119</v>
      </c>
      <c r="AA483" s="13">
        <v>122</v>
      </c>
      <c r="AB483" s="13">
        <v>30</v>
      </c>
      <c r="AC483" s="13">
        <v>1</v>
      </c>
      <c r="AD483" s="13">
        <v>7</v>
      </c>
      <c r="AE483" s="13">
        <v>4</v>
      </c>
      <c r="AF483" s="13">
        <v>4</v>
      </c>
      <c r="AG483" s="13">
        <v>4</v>
      </c>
      <c r="AH483" s="13">
        <v>0</v>
      </c>
      <c r="AI483" s="13">
        <v>0</v>
      </c>
      <c r="AJ483" s="13">
        <v>0</v>
      </c>
      <c r="AK483" s="13">
        <v>0</v>
      </c>
      <c r="AL483" s="13">
        <v>0</v>
      </c>
      <c r="AM483" s="13">
        <v>0</v>
      </c>
      <c r="AN483" s="13">
        <v>0</v>
      </c>
      <c r="AO483" s="14">
        <v>0</v>
      </c>
      <c r="AP483" s="13">
        <v>3</v>
      </c>
      <c r="AQ483" s="13">
        <v>11</v>
      </c>
      <c r="AR483" s="15">
        <v>1016</v>
      </c>
      <c r="AS483" s="15">
        <v>1046</v>
      </c>
    </row>
    <row r="484" spans="1:45" x14ac:dyDescent="0.25">
      <c r="A484">
        <v>376</v>
      </c>
      <c r="B484" s="11">
        <f t="shared" si="7"/>
        <v>74293</v>
      </c>
      <c r="C484" s="12">
        <v>742930</v>
      </c>
      <c r="D484" s="13">
        <v>0</v>
      </c>
      <c r="E484" s="13">
        <v>0</v>
      </c>
      <c r="F484" s="13">
        <v>66</v>
      </c>
      <c r="G484" s="13">
        <v>27</v>
      </c>
      <c r="H484" s="13" t="str" cm="1">
        <f t="array" ref="H484">_xlfn.IFS(G484&lt;=20,"0-20",G484&lt;=30,"20-30",G484&lt;=40,"30-40",G484&lt;=50,"50-60",G484&lt;=60,"60-70",G484&lt;=70,"70-80",G484&lt;=80,"80-90")</f>
        <v>20-30</v>
      </c>
      <c r="I484" s="13">
        <v>2215</v>
      </c>
      <c r="J484" s="13" t="str" cm="1">
        <f t="array" ref="J484">_xlfn.IFS(K484=1,"Divorciado",L484=1,"Casado",M484=1,"Solteiro",N484=1,"Juntos",O484=1,"Viuvo")</f>
        <v>Solteiro</v>
      </c>
      <c r="K484" s="13">
        <v>0</v>
      </c>
      <c r="L484" s="13">
        <v>0</v>
      </c>
      <c r="M484" s="13">
        <v>1</v>
      </c>
      <c r="N484" s="13">
        <v>0</v>
      </c>
      <c r="O484" s="13">
        <v>0</v>
      </c>
      <c r="P484" s="13">
        <v>0</v>
      </c>
      <c r="Q484" s="13">
        <v>0</v>
      </c>
      <c r="R484" s="13">
        <v>1</v>
      </c>
      <c r="S484" s="13">
        <v>0</v>
      </c>
      <c r="T484" s="13">
        <v>0</v>
      </c>
      <c r="U484" s="13">
        <v>375</v>
      </c>
      <c r="V484" s="13" t="str" cm="1">
        <f t="array" ref="V484">_xlfn.IFS(U484&lt;=250,"0-R$250",U484&lt;=500,"251-R$500",U484&lt;=750,"501-R$750",U484&lt;=1000,"751-R$1000",U484&lt;=1250,"1001-R$1250",U484&lt;=1500,"1251-R$1500")</f>
        <v>251-R$500</v>
      </c>
      <c r="W484" s="13">
        <v>152</v>
      </c>
      <c r="X484" s="13" t="str" cm="1">
        <f t="array" ref="X484">_xlfn.IFS(W484 = 0, "0", W484&lt;=20, "até R$20",W484&lt;=40, "21 - R$40",W484&lt;=60, "41- R$60",W484&lt;=80, "61 - R$80", W484&lt;=100, "81 - R$100",W484&lt;=120, "101 - R$120",W484&lt;=140, "121 - R$140", W484&lt;=160, "141- R$160", W484&lt;=180, "161 - R$180", W484&lt;=200, "181-R$194")</f>
        <v>141- R$160</v>
      </c>
      <c r="Y484" s="13">
        <v>335</v>
      </c>
      <c r="Z484" s="13">
        <v>93</v>
      </c>
      <c r="AA484" s="13">
        <v>91</v>
      </c>
      <c r="AB484" s="13">
        <v>81</v>
      </c>
      <c r="AC484" s="13">
        <v>1</v>
      </c>
      <c r="AD484" s="13">
        <v>5</v>
      </c>
      <c r="AE484" s="13">
        <v>4</v>
      </c>
      <c r="AF484" s="13">
        <v>6</v>
      </c>
      <c r="AG484" s="13">
        <v>2</v>
      </c>
      <c r="AH484" s="13">
        <v>0</v>
      </c>
      <c r="AI484" s="13">
        <v>0</v>
      </c>
      <c r="AJ484" s="13">
        <v>0</v>
      </c>
      <c r="AK484" s="13">
        <v>0</v>
      </c>
      <c r="AL484" s="13">
        <v>0</v>
      </c>
      <c r="AM484" s="13">
        <v>0</v>
      </c>
      <c r="AN484" s="13">
        <v>0</v>
      </c>
      <c r="AO484" s="14">
        <v>0</v>
      </c>
      <c r="AP484" s="13">
        <v>3</v>
      </c>
      <c r="AQ484" s="13">
        <v>11</v>
      </c>
      <c r="AR484" s="15">
        <v>965</v>
      </c>
      <c r="AS484" s="15">
        <v>1046</v>
      </c>
    </row>
    <row r="485" spans="1:45" x14ac:dyDescent="0.25">
      <c r="A485">
        <v>902</v>
      </c>
      <c r="B485" s="11">
        <f t="shared" si="7"/>
        <v>72354</v>
      </c>
      <c r="C485" s="12">
        <v>723540</v>
      </c>
      <c r="D485" s="13">
        <v>0</v>
      </c>
      <c r="E485" s="13">
        <v>0</v>
      </c>
      <c r="F485" s="13">
        <v>67</v>
      </c>
      <c r="G485" s="13">
        <v>27</v>
      </c>
      <c r="H485" s="13" t="str" cm="1">
        <f t="array" ref="H485">_xlfn.IFS(G485&lt;=20,"0-20",G485&lt;=30,"20-30",G485&lt;=40,"30-40",G485&lt;=50,"50-60",G485&lt;=60,"60-70",G485&lt;=70,"70-80",G485&lt;=80,"80-90")</f>
        <v>20-30</v>
      </c>
      <c r="I485" s="13">
        <v>2597</v>
      </c>
      <c r="J485" s="13" t="str" cm="1">
        <f t="array" ref="J485">_xlfn.IFS(K485=1,"Divorciado",L485=1,"Casado",M485=1,"Solteiro",N485=1,"Juntos",O485=1,"Viuvo")</f>
        <v>Solteiro</v>
      </c>
      <c r="K485" s="13">
        <v>0</v>
      </c>
      <c r="L485" s="13">
        <v>0</v>
      </c>
      <c r="M485" s="13">
        <v>1</v>
      </c>
      <c r="N485" s="13">
        <v>0</v>
      </c>
      <c r="O485" s="13">
        <v>0</v>
      </c>
      <c r="P485" s="13">
        <v>0</v>
      </c>
      <c r="Q485" s="13">
        <v>0</v>
      </c>
      <c r="R485" s="13">
        <v>1</v>
      </c>
      <c r="S485" s="13">
        <v>0</v>
      </c>
      <c r="T485" s="13">
        <v>0</v>
      </c>
      <c r="U485" s="13">
        <v>315</v>
      </c>
      <c r="V485" s="13" t="str" cm="1">
        <f t="array" ref="V485">_xlfn.IFS(U485&lt;=250,"0-R$250",U485&lt;=500,"251-R$500",U485&lt;=750,"501-R$750",U485&lt;=1000,"751-R$1000",U485&lt;=1250,"1001-R$1250",U485&lt;=1500,"1251-R$1500")</f>
        <v>251-R$500</v>
      </c>
      <c r="W485" s="13">
        <v>26</v>
      </c>
      <c r="X485" s="13" t="str" cm="1">
        <f t="array" ref="X485">_xlfn.IFS(W485 = 0, "0", W485&lt;=20, "até R$20",W485&lt;=40, "21 - R$40",W485&lt;=60, "41- R$60",W485&lt;=80, "61 - R$80", W485&lt;=100, "81 - R$100",W485&lt;=120, "101 - R$120",W485&lt;=140, "121 - R$140", W485&lt;=160, "141- R$160", W485&lt;=180, "161 - R$180", W485&lt;=200, "181-R$194")</f>
        <v>21 - R$40</v>
      </c>
      <c r="Y485" s="13">
        <v>473</v>
      </c>
      <c r="Z485" s="13">
        <v>220</v>
      </c>
      <c r="AA485" s="13">
        <v>12</v>
      </c>
      <c r="AB485" s="13">
        <v>182</v>
      </c>
      <c r="AC485" s="13">
        <v>1</v>
      </c>
      <c r="AD485" s="13">
        <v>2</v>
      </c>
      <c r="AE485" s="13">
        <v>10</v>
      </c>
      <c r="AF485" s="13">
        <v>6</v>
      </c>
      <c r="AG485" s="13">
        <v>1</v>
      </c>
      <c r="AH485" s="13">
        <v>0</v>
      </c>
      <c r="AI485" s="13">
        <v>0</v>
      </c>
      <c r="AJ485" s="13">
        <v>0</v>
      </c>
      <c r="AK485" s="13">
        <v>0</v>
      </c>
      <c r="AL485" s="13">
        <v>0</v>
      </c>
      <c r="AM485" s="13">
        <v>0</v>
      </c>
      <c r="AN485" s="13">
        <v>0</v>
      </c>
      <c r="AO485" s="14">
        <v>0</v>
      </c>
      <c r="AP485" s="13">
        <v>3</v>
      </c>
      <c r="AQ485" s="13">
        <v>11</v>
      </c>
      <c r="AR485" s="15">
        <v>864</v>
      </c>
      <c r="AS485" s="15">
        <v>1046</v>
      </c>
    </row>
    <row r="486" spans="1:45" x14ac:dyDescent="0.25">
      <c r="A486">
        <v>909</v>
      </c>
      <c r="B486" s="11">
        <f t="shared" si="7"/>
        <v>74293</v>
      </c>
      <c r="C486" s="16">
        <v>742930</v>
      </c>
      <c r="D486" s="17">
        <v>0</v>
      </c>
      <c r="E486" s="17">
        <v>0</v>
      </c>
      <c r="F486" s="17">
        <v>66</v>
      </c>
      <c r="G486" s="17">
        <v>27</v>
      </c>
      <c r="H486" s="13" t="str" cm="1">
        <f t="array" ref="H486">_xlfn.IFS(G486&lt;=20,"0-20",G486&lt;=30,"20-30",G486&lt;=40,"30-40",G486&lt;=50,"50-60",G486&lt;=60,"60-70",G486&lt;=70,"70-80",G486&lt;=80,"80-90")</f>
        <v>20-30</v>
      </c>
      <c r="I486" s="17">
        <v>2215</v>
      </c>
      <c r="J486" s="13" t="str" cm="1">
        <f t="array" ref="J486">_xlfn.IFS(K486=1,"Divorciado",L486=1,"Casado",M486=1,"Solteiro",N486=1,"Juntos",O486=1,"Viuvo")</f>
        <v>Solteiro</v>
      </c>
      <c r="K486" s="17">
        <v>0</v>
      </c>
      <c r="L486" s="17">
        <v>0</v>
      </c>
      <c r="M486" s="17">
        <v>1</v>
      </c>
      <c r="N486" s="17">
        <v>0</v>
      </c>
      <c r="O486" s="17">
        <v>0</v>
      </c>
      <c r="P486" s="17">
        <v>0</v>
      </c>
      <c r="Q486" s="17">
        <v>0</v>
      </c>
      <c r="R486" s="17">
        <v>1</v>
      </c>
      <c r="S486" s="17">
        <v>0</v>
      </c>
      <c r="T486" s="17">
        <v>0</v>
      </c>
      <c r="U486" s="17">
        <v>375</v>
      </c>
      <c r="V486" s="13" t="str" cm="1">
        <f t="array" ref="V486">_xlfn.IFS(U486&lt;=250,"0-R$250",U486&lt;=500,"251-R$500",U486&lt;=750,"501-R$750",U486&lt;=1000,"751-R$1000",U486&lt;=1250,"1001-R$1250",U486&lt;=1500,"1251-R$1500")</f>
        <v>251-R$500</v>
      </c>
      <c r="W486" s="17">
        <v>152</v>
      </c>
      <c r="X486" s="13" t="str" cm="1">
        <f t="array" ref="X486">_xlfn.IFS(W486 = 0, "0", W486&lt;=20, "até R$20",W486&lt;=40, "21 - R$40",W486&lt;=60, "41- R$60",W486&lt;=80, "61 - R$80", W486&lt;=100, "81 - R$100",W486&lt;=120, "101 - R$120",W486&lt;=140, "121 - R$140", W486&lt;=160, "141- R$160", W486&lt;=180, "161 - R$180", W486&lt;=200, "181-R$194")</f>
        <v>141- R$160</v>
      </c>
      <c r="Y486" s="17">
        <v>335</v>
      </c>
      <c r="Z486" s="17">
        <v>93</v>
      </c>
      <c r="AA486" s="17">
        <v>91</v>
      </c>
      <c r="AB486" s="17">
        <v>81</v>
      </c>
      <c r="AC486" s="17">
        <v>1</v>
      </c>
      <c r="AD486" s="17">
        <v>5</v>
      </c>
      <c r="AE486" s="17">
        <v>4</v>
      </c>
      <c r="AF486" s="17">
        <v>6</v>
      </c>
      <c r="AG486" s="17">
        <v>2</v>
      </c>
      <c r="AH486" s="17">
        <v>0</v>
      </c>
      <c r="AI486" s="17">
        <v>0</v>
      </c>
      <c r="AJ486" s="17">
        <v>0</v>
      </c>
      <c r="AK486" s="17">
        <v>0</v>
      </c>
      <c r="AL486" s="17">
        <v>0</v>
      </c>
      <c r="AM486" s="17">
        <v>0</v>
      </c>
      <c r="AN486" s="17">
        <v>0</v>
      </c>
      <c r="AO486" s="18">
        <v>0</v>
      </c>
      <c r="AP486" s="17">
        <v>3</v>
      </c>
      <c r="AQ486" s="17">
        <v>11</v>
      </c>
      <c r="AR486" s="19">
        <v>965</v>
      </c>
      <c r="AS486" s="19">
        <v>1046</v>
      </c>
    </row>
    <row r="487" spans="1:45" x14ac:dyDescent="0.25">
      <c r="A487">
        <v>631</v>
      </c>
      <c r="B487" s="11">
        <f t="shared" si="7"/>
        <v>78710</v>
      </c>
      <c r="C487" s="16">
        <v>787100</v>
      </c>
      <c r="D487" s="17">
        <v>0</v>
      </c>
      <c r="E487" s="17">
        <v>1</v>
      </c>
      <c r="F487" s="17">
        <v>42</v>
      </c>
      <c r="G487" s="17">
        <v>43</v>
      </c>
      <c r="H487" s="13" t="str" cm="1">
        <f t="array" ref="H487">_xlfn.IFS(G487&lt;=20,"0-20",G487&lt;=30,"20-30",G487&lt;=40,"30-40",G487&lt;=50,"50-60",G487&lt;=60,"60-70",G487&lt;=70,"70-80",G487&lt;=80,"80-90")</f>
        <v>50-60</v>
      </c>
      <c r="I487" s="17">
        <v>2196</v>
      </c>
      <c r="J487" s="13" t="str" cm="1">
        <f t="array" ref="J487">_xlfn.IFS(K487=1,"Divorciado",L487=1,"Casado",M487=1,"Solteiro",N487=1,"Juntos",O487=1,"Viuvo")</f>
        <v>Casado</v>
      </c>
      <c r="K487" s="17">
        <v>0</v>
      </c>
      <c r="L487" s="17">
        <v>1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1</v>
      </c>
      <c r="T487" s="17">
        <v>0</v>
      </c>
      <c r="U487" s="17">
        <v>721</v>
      </c>
      <c r="V487" s="13" t="str" cm="1">
        <f t="array" ref="V487">_xlfn.IFS(U487&lt;=250,"0-R$250",U487&lt;=500,"251-R$500",U487&lt;=750,"501-R$750",U487&lt;=1000,"751-R$1000",U487&lt;=1250,"1001-R$1250",U487&lt;=1500,"1251-R$1500")</f>
        <v>501-R$750</v>
      </c>
      <c r="W487" s="17">
        <v>0</v>
      </c>
      <c r="X487" s="13" t="str" cm="1">
        <f t="array" ref="X487">_xlfn.IFS(W487 = 0, "0", W487&lt;=20, "até R$20",W487&lt;=40, "21 - R$40",W487&lt;=60, "41- R$60",W487&lt;=80, "61 - R$80", W487&lt;=100, "81 - R$100",W487&lt;=120, "101 - R$120",W487&lt;=140, "121 - R$140", W487&lt;=160, "141- R$160", W487&lt;=180, "161 - R$180", W487&lt;=200, "181-R$194")</f>
        <v>0</v>
      </c>
      <c r="Y487" s="17">
        <v>152</v>
      </c>
      <c r="Z487" s="17">
        <v>119</v>
      </c>
      <c r="AA487" s="17">
        <v>50</v>
      </c>
      <c r="AB487" s="17">
        <v>50</v>
      </c>
      <c r="AC487" s="17">
        <v>3</v>
      </c>
      <c r="AD487" s="17">
        <v>7</v>
      </c>
      <c r="AE487" s="17">
        <v>6</v>
      </c>
      <c r="AF487" s="17">
        <v>12</v>
      </c>
      <c r="AG487" s="17">
        <v>4</v>
      </c>
      <c r="AH487" s="17">
        <v>0</v>
      </c>
      <c r="AI487" s="17">
        <v>0</v>
      </c>
      <c r="AJ487" s="17">
        <v>0</v>
      </c>
      <c r="AK487" s="17">
        <v>0</v>
      </c>
      <c r="AL487" s="17">
        <v>0</v>
      </c>
      <c r="AM487" s="17">
        <v>0</v>
      </c>
      <c r="AN487" s="17">
        <v>0</v>
      </c>
      <c r="AO487" s="18">
        <v>0</v>
      </c>
      <c r="AP487" s="17">
        <v>3</v>
      </c>
      <c r="AQ487" s="17">
        <v>11</v>
      </c>
      <c r="AR487" s="19">
        <v>992</v>
      </c>
      <c r="AS487" s="19">
        <v>1042</v>
      </c>
    </row>
    <row r="488" spans="1:45" x14ac:dyDescent="0.25">
      <c r="A488">
        <v>907</v>
      </c>
      <c r="B488" s="11">
        <f t="shared" si="7"/>
        <v>77583</v>
      </c>
      <c r="C488" s="16">
        <v>775830</v>
      </c>
      <c r="D488" s="17">
        <v>0</v>
      </c>
      <c r="E488" s="17">
        <v>0</v>
      </c>
      <c r="F488" s="17">
        <v>93</v>
      </c>
      <c r="G488" s="17">
        <v>42</v>
      </c>
      <c r="H488" s="13" t="str" cm="1">
        <f t="array" ref="H488">_xlfn.IFS(G488&lt;=20,"0-20",G488&lt;=30,"20-30",G488&lt;=40,"30-40",G488&lt;=50,"50-60",G488&lt;=60,"60-70",G488&lt;=70,"70-80",G488&lt;=80,"80-90")</f>
        <v>50-60</v>
      </c>
      <c r="I488" s="17">
        <v>2298</v>
      </c>
      <c r="J488" s="13" t="str" cm="1">
        <f t="array" ref="J488">_xlfn.IFS(K488=1,"Divorciado",L488=1,"Casado",M488=1,"Solteiro",N488=1,"Juntos",O488=1,"Viuvo")</f>
        <v>Casado</v>
      </c>
      <c r="K488" s="17">
        <v>0</v>
      </c>
      <c r="L488" s="17">
        <v>1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1</v>
      </c>
      <c r="S488" s="17">
        <v>0</v>
      </c>
      <c r="T488" s="17">
        <v>0</v>
      </c>
      <c r="U488" s="17">
        <v>372</v>
      </c>
      <c r="V488" s="13" t="str" cm="1">
        <f t="array" ref="V488">_xlfn.IFS(U488&lt;=250,"0-R$250",U488&lt;=500,"251-R$500",U488&lt;=750,"501-R$750",U488&lt;=1000,"751-R$1000",U488&lt;=1250,"1001-R$1250",U488&lt;=1500,"1251-R$1500")</f>
        <v>251-R$500</v>
      </c>
      <c r="W488" s="17">
        <v>23</v>
      </c>
      <c r="X488" s="13" t="str" cm="1">
        <f t="array" ref="X488">_xlfn.IFS(W488 = 0, "0", W488&lt;=20, "até R$20",W488&lt;=40, "21 - R$40",W488&lt;=60, "41- R$60",W488&lt;=80, "61 - R$80", W488&lt;=100, "81 - R$100",W488&lt;=120, "101 - R$120",W488&lt;=140, "121 - R$140", W488&lt;=160, "141- R$160", W488&lt;=180, "161 - R$180", W488&lt;=200, "181-R$194")</f>
        <v>21 - R$40</v>
      </c>
      <c r="Y488" s="17">
        <v>384</v>
      </c>
      <c r="Z488" s="17">
        <v>250</v>
      </c>
      <c r="AA488" s="17">
        <v>12</v>
      </c>
      <c r="AB488" s="17">
        <v>108</v>
      </c>
      <c r="AC488" s="17">
        <v>1</v>
      </c>
      <c r="AD488" s="17">
        <v>4</v>
      </c>
      <c r="AE488" s="17">
        <v>5</v>
      </c>
      <c r="AF488" s="17">
        <v>9</v>
      </c>
      <c r="AG488" s="17">
        <v>2</v>
      </c>
      <c r="AH488" s="17">
        <v>0</v>
      </c>
      <c r="AI488" s="17">
        <v>0</v>
      </c>
      <c r="AJ488" s="17">
        <v>0</v>
      </c>
      <c r="AK488" s="17">
        <v>0</v>
      </c>
      <c r="AL488" s="17">
        <v>1</v>
      </c>
      <c r="AM488" s="17">
        <v>0</v>
      </c>
      <c r="AN488" s="17">
        <v>0</v>
      </c>
      <c r="AO488" s="18">
        <v>1</v>
      </c>
      <c r="AP488" s="17">
        <v>3</v>
      </c>
      <c r="AQ488" s="17">
        <v>11</v>
      </c>
      <c r="AR488" s="19">
        <v>933</v>
      </c>
      <c r="AS488" s="19">
        <v>1041</v>
      </c>
    </row>
    <row r="489" spans="1:45" x14ac:dyDescent="0.25">
      <c r="A489">
        <v>1289</v>
      </c>
      <c r="B489" s="11">
        <f t="shared" si="7"/>
        <v>59868</v>
      </c>
      <c r="C489" s="16">
        <v>598680</v>
      </c>
      <c r="D489" s="17">
        <v>0</v>
      </c>
      <c r="E489" s="17">
        <v>1</v>
      </c>
      <c r="F489" s="17">
        <v>37</v>
      </c>
      <c r="G489" s="17">
        <v>48</v>
      </c>
      <c r="H489" s="13" t="str" cm="1">
        <f t="array" ref="H489">_xlfn.IFS(G489&lt;=20,"0-20",G489&lt;=30,"20-30",G489&lt;=40,"30-40",G489&lt;=50,"50-60",G489&lt;=60,"60-70",G489&lt;=70,"70-80",G489&lt;=80,"80-90")</f>
        <v>50-60</v>
      </c>
      <c r="I489" s="17">
        <v>2501</v>
      </c>
      <c r="J489" s="13" t="str" cm="1">
        <f t="array" ref="J489">_xlfn.IFS(K489=1,"Divorciado",L489=1,"Casado",M489=1,"Solteiro",N489=1,"Juntos",O489=1,"Viuvo")</f>
        <v>Juntos</v>
      </c>
      <c r="K489" s="17">
        <v>0</v>
      </c>
      <c r="L489" s="17">
        <v>0</v>
      </c>
      <c r="M489" s="17">
        <v>0</v>
      </c>
      <c r="N489" s="17">
        <v>1</v>
      </c>
      <c r="O489" s="17">
        <v>0</v>
      </c>
      <c r="P489" s="17">
        <v>0</v>
      </c>
      <c r="Q489" s="17">
        <v>0</v>
      </c>
      <c r="R489" s="17">
        <v>1</v>
      </c>
      <c r="S489" s="17">
        <v>0</v>
      </c>
      <c r="T489" s="17">
        <v>0</v>
      </c>
      <c r="U489" s="17">
        <v>771</v>
      </c>
      <c r="V489" s="13" t="str" cm="1">
        <f t="array" ref="V489">_xlfn.IFS(U489&lt;=250,"0-R$250",U489&lt;=500,"251-R$500",U489&lt;=750,"501-R$750",U489&lt;=1000,"751-R$1000",U489&lt;=1250,"1001-R$1250",U489&lt;=1500,"1251-R$1500")</f>
        <v>751-R$1000</v>
      </c>
      <c r="W489" s="17">
        <v>51</v>
      </c>
      <c r="X489" s="13" t="str" cm="1">
        <f t="array" ref="X489">_xlfn.IFS(W489 = 0, "0", W489&lt;=20, "até R$20",W489&lt;=40, "21 - R$40",W489&lt;=60, "41- R$60",W489&lt;=80, "61 - R$80", W489&lt;=100, "81 - R$100",W489&lt;=120, "101 - R$120",W489&lt;=140, "121 - R$140", W489&lt;=160, "141- R$160", W489&lt;=180, "161 - R$180", W489&lt;=200, "181-R$194")</f>
        <v>41- R$60</v>
      </c>
      <c r="Y489" s="17">
        <v>154</v>
      </c>
      <c r="Z489" s="17">
        <v>54</v>
      </c>
      <c r="AA489" s="17">
        <v>10</v>
      </c>
      <c r="AB489" s="17">
        <v>154</v>
      </c>
      <c r="AC489" s="17">
        <v>7</v>
      </c>
      <c r="AD489" s="17">
        <v>11</v>
      </c>
      <c r="AE489" s="17">
        <v>2</v>
      </c>
      <c r="AF489" s="17">
        <v>12</v>
      </c>
      <c r="AG489" s="17">
        <v>6</v>
      </c>
      <c r="AH489" s="17">
        <v>0</v>
      </c>
      <c r="AI489" s="17">
        <v>0</v>
      </c>
      <c r="AJ489" s="17">
        <v>0</v>
      </c>
      <c r="AK489" s="17">
        <v>0</v>
      </c>
      <c r="AL489" s="17">
        <v>0</v>
      </c>
      <c r="AM489" s="17">
        <v>0</v>
      </c>
      <c r="AN489" s="17">
        <v>0</v>
      </c>
      <c r="AO489" s="18">
        <v>0</v>
      </c>
      <c r="AP489" s="17">
        <v>3</v>
      </c>
      <c r="AQ489" s="17">
        <v>11</v>
      </c>
      <c r="AR489" s="19">
        <v>886</v>
      </c>
      <c r="AS489" s="19">
        <v>1040</v>
      </c>
    </row>
    <row r="490" spans="1:45" x14ac:dyDescent="0.25">
      <c r="A490">
        <v>95</v>
      </c>
      <c r="B490" s="11">
        <f t="shared" si="7"/>
        <v>65846</v>
      </c>
      <c r="C490" s="16">
        <v>658460</v>
      </c>
      <c r="D490" s="17">
        <v>0</v>
      </c>
      <c r="E490" s="17">
        <v>0</v>
      </c>
      <c r="F490" s="17">
        <v>68</v>
      </c>
      <c r="G490" s="17">
        <v>75</v>
      </c>
      <c r="H490" s="13" t="str" cm="1">
        <f t="array" ref="H490">_xlfn.IFS(G490&lt;=20,"0-20",G490&lt;=30,"20-30",G490&lt;=40,"30-40",G490&lt;=50,"50-60",G490&lt;=60,"60-70",G490&lt;=70,"70-80",G490&lt;=80,"80-90")</f>
        <v>80-90</v>
      </c>
      <c r="I490" s="17">
        <v>2567</v>
      </c>
      <c r="J490" s="13" t="str" cm="1">
        <f t="array" ref="J490">_xlfn.IFS(K490=1,"Divorciado",L490=1,"Casado",M490=1,"Solteiro",N490=1,"Juntos",O490=1,"Viuvo")</f>
        <v>Casado</v>
      </c>
      <c r="K490" s="17">
        <v>0</v>
      </c>
      <c r="L490" s="17">
        <v>1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1</v>
      </c>
      <c r="U490" s="17">
        <v>562</v>
      </c>
      <c r="V490" s="13" t="str" cm="1">
        <f t="array" ref="V490">_xlfn.IFS(U490&lt;=250,"0-R$250",U490&lt;=500,"251-R$500",U490&lt;=750,"501-R$750",U490&lt;=1000,"751-R$1000",U490&lt;=1250,"1001-R$1250",U490&lt;=1500,"1251-R$1500")</f>
        <v>501-R$750</v>
      </c>
      <c r="W490" s="17">
        <v>81</v>
      </c>
      <c r="X490" s="13" t="str" cm="1">
        <f t="array" ref="X490">_xlfn.IFS(W490 = 0, "0", W490&lt;=20, "até R$20",W490&lt;=40, "21 - R$40",W490&lt;=60, "41- R$60",W490&lt;=80, "61 - R$80", W490&lt;=100, "81 - R$100",W490&lt;=120, "101 - R$120",W490&lt;=140, "121 - R$140", W490&lt;=160, "141- R$160", W490&lt;=180, "161 - R$180", W490&lt;=200, "181-R$194")</f>
        <v>81 - R$100</v>
      </c>
      <c r="Y490" s="17">
        <v>276</v>
      </c>
      <c r="Z490" s="17">
        <v>80</v>
      </c>
      <c r="AA490" s="17">
        <v>40</v>
      </c>
      <c r="AB490" s="17">
        <v>81</v>
      </c>
      <c r="AC490" s="17">
        <v>1</v>
      </c>
      <c r="AD490" s="17">
        <v>6</v>
      </c>
      <c r="AE490" s="17">
        <v>3</v>
      </c>
      <c r="AF490" s="17">
        <v>6</v>
      </c>
      <c r="AG490" s="17">
        <v>4</v>
      </c>
      <c r="AH490" s="17">
        <v>0</v>
      </c>
      <c r="AI490" s="17">
        <v>0</v>
      </c>
      <c r="AJ490" s="17">
        <v>0</v>
      </c>
      <c r="AK490" s="17">
        <v>0</v>
      </c>
      <c r="AL490" s="17">
        <v>0</v>
      </c>
      <c r="AM490" s="17">
        <v>0</v>
      </c>
      <c r="AN490" s="17">
        <v>0</v>
      </c>
      <c r="AO490" s="18">
        <v>0</v>
      </c>
      <c r="AP490" s="17">
        <v>3</v>
      </c>
      <c r="AQ490" s="17">
        <v>11</v>
      </c>
      <c r="AR490" s="19">
        <v>958</v>
      </c>
      <c r="AS490" s="19">
        <v>1039</v>
      </c>
    </row>
    <row r="491" spans="1:45" x14ac:dyDescent="0.25">
      <c r="A491">
        <v>652</v>
      </c>
      <c r="B491" s="11">
        <f t="shared" si="7"/>
        <v>59304</v>
      </c>
      <c r="C491" s="12">
        <v>593040</v>
      </c>
      <c r="D491" s="13">
        <v>0</v>
      </c>
      <c r="E491" s="13">
        <v>1</v>
      </c>
      <c r="F491" s="13">
        <v>81</v>
      </c>
      <c r="G491" s="13">
        <v>56</v>
      </c>
      <c r="H491" s="13" t="str" cm="1">
        <f t="array" ref="H491">_xlfn.IFS(G491&lt;=20,"0-20",G491&lt;=30,"20-30",G491&lt;=40,"30-40",G491&lt;=50,"50-60",G491&lt;=60,"60-70",G491&lt;=70,"70-80",G491&lt;=80,"80-90")</f>
        <v>60-70</v>
      </c>
      <c r="I491" s="13">
        <v>2494</v>
      </c>
      <c r="J491" s="13" t="str" cm="1">
        <f t="array" ref="J491">_xlfn.IFS(K491=1,"Divorciado",L491=1,"Casado",M491=1,"Solteiro",N491=1,"Juntos",O491=1,"Viuvo")</f>
        <v>Casado</v>
      </c>
      <c r="K491" s="13">
        <v>0</v>
      </c>
      <c r="L491" s="13">
        <v>1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1</v>
      </c>
      <c r="U491" s="13">
        <v>418</v>
      </c>
      <c r="V491" s="13" t="str" cm="1">
        <f t="array" ref="V491">_xlfn.IFS(U491&lt;=250,"0-R$250",U491&lt;=500,"251-R$500",U491&lt;=750,"501-R$750",U491&lt;=1000,"751-R$1000",U491&lt;=1250,"1001-R$1250",U491&lt;=1500,"1251-R$1500")</f>
        <v>251-R$500</v>
      </c>
      <c r="W491" s="13">
        <v>61</v>
      </c>
      <c r="X491" s="13" t="str" cm="1">
        <f t="array" ref="X491">_xlfn.IFS(W491 = 0, "0", W491&lt;=20, "até R$20",W491&lt;=40, "21 - R$40",W491&lt;=60, "41- R$60",W491&lt;=80, "61 - R$80", W491&lt;=100, "81 - R$100",W491&lt;=120, "101 - R$120",W491&lt;=140, "121 - R$140", W491&lt;=160, "141- R$160", W491&lt;=180, "161 - R$180", W491&lt;=200, "181-R$194")</f>
        <v>61 - R$80</v>
      </c>
      <c r="Y491" s="13">
        <v>428</v>
      </c>
      <c r="Z491" s="13">
        <v>80</v>
      </c>
      <c r="AA491" s="13">
        <v>51</v>
      </c>
      <c r="AB491" s="13">
        <v>10</v>
      </c>
      <c r="AC491" s="13">
        <v>3</v>
      </c>
      <c r="AD491" s="13">
        <v>7</v>
      </c>
      <c r="AE491" s="13">
        <v>8</v>
      </c>
      <c r="AF491" s="13">
        <v>10</v>
      </c>
      <c r="AG491" s="13">
        <v>5</v>
      </c>
      <c r="AH491" s="13">
        <v>0</v>
      </c>
      <c r="AI491" s="13">
        <v>0</v>
      </c>
      <c r="AJ491" s="13">
        <v>0</v>
      </c>
      <c r="AK491" s="13">
        <v>0</v>
      </c>
      <c r="AL491" s="13">
        <v>0</v>
      </c>
      <c r="AM491" s="13">
        <v>0</v>
      </c>
      <c r="AN491" s="13">
        <v>0</v>
      </c>
      <c r="AO491" s="14">
        <v>0</v>
      </c>
      <c r="AP491" s="13">
        <v>3</v>
      </c>
      <c r="AQ491" s="13">
        <v>11</v>
      </c>
      <c r="AR491" s="15">
        <v>1028</v>
      </c>
      <c r="AS491" s="15">
        <v>1038</v>
      </c>
    </row>
    <row r="492" spans="1:45" x14ac:dyDescent="0.25">
      <c r="A492">
        <v>209</v>
      </c>
      <c r="B492" s="11">
        <f t="shared" si="7"/>
        <v>72460</v>
      </c>
      <c r="C492" s="16">
        <v>724600</v>
      </c>
      <c r="D492" s="17">
        <v>0</v>
      </c>
      <c r="E492" s="17">
        <v>0</v>
      </c>
      <c r="F492" s="17">
        <v>56</v>
      </c>
      <c r="G492" s="17">
        <v>51</v>
      </c>
      <c r="H492" s="13" t="str" cm="1">
        <f t="array" ref="H492">_xlfn.IFS(G492&lt;=20,"0-20",G492&lt;=30,"20-30",G492&lt;=40,"30-40",G492&lt;=50,"50-60",G492&lt;=60,"60-70",G492&lt;=70,"70-80",G492&lt;=80,"80-90")</f>
        <v>60-70</v>
      </c>
      <c r="I492" s="17">
        <v>2386</v>
      </c>
      <c r="J492" s="13" t="str" cm="1">
        <f t="array" ref="J492">_xlfn.IFS(K492=1,"Divorciado",L492=1,"Casado",M492=1,"Solteiro",N492=1,"Juntos",O492=1,"Viuvo")</f>
        <v>Casado</v>
      </c>
      <c r="K492" s="17">
        <v>0</v>
      </c>
      <c r="L492" s="17">
        <v>1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1</v>
      </c>
      <c r="S492" s="17">
        <v>0</v>
      </c>
      <c r="T492" s="17">
        <v>0</v>
      </c>
      <c r="U492" s="17">
        <v>377</v>
      </c>
      <c r="V492" s="13" t="str" cm="1">
        <f t="array" ref="V492">_xlfn.IFS(U492&lt;=250,"0-R$250",U492&lt;=500,"251-R$500",U492&lt;=750,"501-R$750",U492&lt;=1000,"751-R$1000",U492&lt;=1250,"1001-R$1250",U492&lt;=1500,"1251-R$1500")</f>
        <v>251-R$500</v>
      </c>
      <c r="W492" s="17">
        <v>10</v>
      </c>
      <c r="X492" s="13" t="str" cm="1">
        <f t="array" ref="X492">_xlfn.IFS(W492 = 0, "0", W492&lt;=20, "até R$20",W492&lt;=40, "21 - R$40",W492&lt;=60, "41- R$60",W492&lt;=80, "61 - R$80", W492&lt;=100, "81 - R$100",W492&lt;=120, "101 - R$120",W492&lt;=140, "121 - R$140", W492&lt;=160, "141- R$160", W492&lt;=180, "161 - R$180", W492&lt;=200, "181-R$194")</f>
        <v>até R$20</v>
      </c>
      <c r="Y492" s="17">
        <v>540</v>
      </c>
      <c r="Z492" s="17">
        <v>80</v>
      </c>
      <c r="AA492" s="17">
        <v>30</v>
      </c>
      <c r="AB492" s="17">
        <v>10</v>
      </c>
      <c r="AC492" s="17">
        <v>1</v>
      </c>
      <c r="AD492" s="17">
        <v>3</v>
      </c>
      <c r="AE492" s="17">
        <v>5</v>
      </c>
      <c r="AF492" s="17">
        <v>7</v>
      </c>
      <c r="AG492" s="17">
        <v>1</v>
      </c>
      <c r="AH492" s="17">
        <v>0</v>
      </c>
      <c r="AI492" s="17">
        <v>0</v>
      </c>
      <c r="AJ492" s="17">
        <v>0</v>
      </c>
      <c r="AK492" s="17">
        <v>0</v>
      </c>
      <c r="AL492" s="17">
        <v>0</v>
      </c>
      <c r="AM492" s="17">
        <v>0</v>
      </c>
      <c r="AN492" s="17">
        <v>0</v>
      </c>
      <c r="AO492" s="18">
        <v>0</v>
      </c>
      <c r="AP492" s="17">
        <v>3</v>
      </c>
      <c r="AQ492" s="17">
        <v>11</v>
      </c>
      <c r="AR492" s="19">
        <v>1027</v>
      </c>
      <c r="AS492" s="19">
        <v>1037</v>
      </c>
    </row>
    <row r="493" spans="1:45" x14ac:dyDescent="0.25">
      <c r="A493">
        <v>1515</v>
      </c>
      <c r="B493" s="11">
        <f t="shared" si="7"/>
        <v>59235</v>
      </c>
      <c r="C493" s="16">
        <v>592350</v>
      </c>
      <c r="D493" s="17">
        <v>1</v>
      </c>
      <c r="E493" s="17">
        <v>0</v>
      </c>
      <c r="F493" s="17">
        <v>4</v>
      </c>
      <c r="G493" s="17">
        <v>53</v>
      </c>
      <c r="H493" s="13" t="str" cm="1">
        <f t="array" ref="H493">_xlfn.IFS(G493&lt;=20,"0-20",G493&lt;=30,"20-30",G493&lt;=40,"30-40",G493&lt;=50,"50-60",G493&lt;=60,"60-70",G493&lt;=70,"70-80",G493&lt;=80,"80-90")</f>
        <v>60-70</v>
      </c>
      <c r="I493" s="17">
        <v>2692</v>
      </c>
      <c r="J493" s="13" t="str" cm="1">
        <f t="array" ref="J493">_xlfn.IFS(K493=1,"Divorciado",L493=1,"Casado",M493=1,"Solteiro",N493=1,"Juntos",O493=1,"Viuvo")</f>
        <v>Solteiro</v>
      </c>
      <c r="K493" s="17">
        <v>0</v>
      </c>
      <c r="L493" s="17">
        <v>0</v>
      </c>
      <c r="M493" s="17">
        <v>1</v>
      </c>
      <c r="N493" s="17">
        <v>0</v>
      </c>
      <c r="O493" s="17">
        <v>0</v>
      </c>
      <c r="P493" s="17">
        <v>0</v>
      </c>
      <c r="Q493" s="17">
        <v>0</v>
      </c>
      <c r="R493" s="17">
        <v>0</v>
      </c>
      <c r="S493" s="17">
        <v>1</v>
      </c>
      <c r="T493" s="17">
        <v>0</v>
      </c>
      <c r="U493" s="17">
        <v>448</v>
      </c>
      <c r="V493" s="13" t="str" cm="1">
        <f t="array" ref="V493">_xlfn.IFS(U493&lt;=250,"0-R$250",U493&lt;=500,"251-R$500",U493&lt;=750,"501-R$750",U493&lt;=1000,"751-R$1000",U493&lt;=1250,"1001-R$1250",U493&lt;=1500,"1251-R$1500")</f>
        <v>251-R$500</v>
      </c>
      <c r="W493" s="17">
        <v>40</v>
      </c>
      <c r="X493" s="13" t="str" cm="1">
        <f t="array" ref="X493">_xlfn.IFS(W493 = 0, "0", W493&lt;=20, "até R$20",W493&lt;=40, "21 - R$40",W493&lt;=60, "41- R$60",W493&lt;=80, "61 - R$80", W493&lt;=100, "81 - R$100",W493&lt;=120, "101 - R$120",W493&lt;=140, "121 - R$140", W493&lt;=160, "141- R$160", W493&lt;=180, "161 - R$180", W493&lt;=200, "181-R$194")</f>
        <v>21 - R$40</v>
      </c>
      <c r="Y493" s="17">
        <v>469</v>
      </c>
      <c r="Z493" s="17">
        <v>80</v>
      </c>
      <c r="AA493" s="17">
        <v>0</v>
      </c>
      <c r="AB493" s="17">
        <v>91</v>
      </c>
      <c r="AC493" s="17">
        <v>3</v>
      </c>
      <c r="AD493" s="17">
        <v>11</v>
      </c>
      <c r="AE493" s="17">
        <v>2</v>
      </c>
      <c r="AF493" s="17">
        <v>12</v>
      </c>
      <c r="AG493" s="17">
        <v>7</v>
      </c>
      <c r="AH493" s="17">
        <v>0</v>
      </c>
      <c r="AI493" s="17">
        <v>0</v>
      </c>
      <c r="AJ493" s="17">
        <v>0</v>
      </c>
      <c r="AK493" s="17">
        <v>0</v>
      </c>
      <c r="AL493" s="17">
        <v>0</v>
      </c>
      <c r="AM493" s="17">
        <v>0</v>
      </c>
      <c r="AN493" s="17">
        <v>0</v>
      </c>
      <c r="AO493" s="18">
        <v>0</v>
      </c>
      <c r="AP493" s="17">
        <v>3</v>
      </c>
      <c r="AQ493" s="17">
        <v>11</v>
      </c>
      <c r="AR493" s="19">
        <v>946</v>
      </c>
      <c r="AS493" s="19">
        <v>1037</v>
      </c>
    </row>
    <row r="494" spans="1:45" x14ac:dyDescent="0.25">
      <c r="A494">
        <v>2135</v>
      </c>
      <c r="B494" s="11">
        <f t="shared" si="7"/>
        <v>91172</v>
      </c>
      <c r="C494" s="16">
        <v>911720</v>
      </c>
      <c r="D494" s="17">
        <v>0</v>
      </c>
      <c r="E494" s="17">
        <v>0</v>
      </c>
      <c r="F494" s="17">
        <v>94</v>
      </c>
      <c r="G494" s="17">
        <v>30</v>
      </c>
      <c r="H494" s="13" t="str" cm="1">
        <f t="array" ref="H494">_xlfn.IFS(G494&lt;=20,"0-20",G494&lt;=30,"20-30",G494&lt;=40,"30-40",G494&lt;=50,"50-60",G494&lt;=60,"60-70",G494&lt;=70,"70-80",G494&lt;=80,"80-90")</f>
        <v>20-30</v>
      </c>
      <c r="I494" s="17">
        <v>2618</v>
      </c>
      <c r="J494" s="13" t="str" cm="1">
        <f t="array" ref="J494">_xlfn.IFS(K494=1,"Divorciado",L494=1,"Casado",M494=1,"Solteiro",N494=1,"Juntos",O494=1,"Viuvo")</f>
        <v>Solteiro</v>
      </c>
      <c r="K494" s="17">
        <v>0</v>
      </c>
      <c r="L494" s="17">
        <v>0</v>
      </c>
      <c r="M494" s="17">
        <v>1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1</v>
      </c>
      <c r="T494" s="17">
        <v>0</v>
      </c>
      <c r="U494" s="17">
        <v>162</v>
      </c>
      <c r="V494" s="13" t="str" cm="1">
        <f t="array" ref="V494">_xlfn.IFS(U494&lt;=250,"0-R$250",U494&lt;=500,"251-R$500",U494&lt;=750,"501-R$750",U494&lt;=1000,"751-R$1000",U494&lt;=1250,"1001-R$1250",U494&lt;=1500,"1251-R$1500")</f>
        <v>0-R$250</v>
      </c>
      <c r="W494" s="17">
        <v>28</v>
      </c>
      <c r="X494" s="13" t="str" cm="1">
        <f t="array" ref="X494">_xlfn.IFS(W494 = 0, "0", W494&lt;=20, "até R$20",W494&lt;=40, "21 - R$40",W494&lt;=60, "41- R$60",W494&lt;=80, "61 - R$80", W494&lt;=100, "81 - R$100",W494&lt;=120, "101 - R$120",W494&lt;=140, "121 - R$140", W494&lt;=160, "141- R$160", W494&lt;=180, "161 - R$180", W494&lt;=200, "181-R$194")</f>
        <v>21 - R$40</v>
      </c>
      <c r="Y494" s="17">
        <v>818</v>
      </c>
      <c r="Z494" s="17">
        <v>0</v>
      </c>
      <c r="AA494" s="17">
        <v>28</v>
      </c>
      <c r="AB494" s="17">
        <v>56</v>
      </c>
      <c r="AC494" s="17">
        <v>0</v>
      </c>
      <c r="AD494" s="17">
        <v>4</v>
      </c>
      <c r="AE494" s="17">
        <v>3</v>
      </c>
      <c r="AF494" s="17">
        <v>7</v>
      </c>
      <c r="AG494" s="17">
        <v>3</v>
      </c>
      <c r="AH494" s="17">
        <v>0</v>
      </c>
      <c r="AI494" s="17">
        <v>1</v>
      </c>
      <c r="AJ494" s="17">
        <v>0</v>
      </c>
      <c r="AK494" s="17">
        <v>1</v>
      </c>
      <c r="AL494" s="17">
        <v>1</v>
      </c>
      <c r="AM494" s="17">
        <v>1</v>
      </c>
      <c r="AN494" s="17">
        <v>1</v>
      </c>
      <c r="AO494" s="18">
        <v>4</v>
      </c>
      <c r="AP494" s="17">
        <v>3</v>
      </c>
      <c r="AQ494" s="17">
        <v>11</v>
      </c>
      <c r="AR494" s="19">
        <v>980</v>
      </c>
      <c r="AS494" s="19">
        <v>1036</v>
      </c>
    </row>
    <row r="495" spans="1:45" x14ac:dyDescent="0.25">
      <c r="A495">
        <v>521</v>
      </c>
      <c r="B495" s="11">
        <f t="shared" si="7"/>
        <v>76982</v>
      </c>
      <c r="C495" s="16">
        <v>769820</v>
      </c>
      <c r="D495" s="17">
        <v>0</v>
      </c>
      <c r="E495" s="17">
        <v>0</v>
      </c>
      <c r="F495" s="17">
        <v>19</v>
      </c>
      <c r="G495" s="17">
        <v>53</v>
      </c>
      <c r="H495" s="13" t="str" cm="1">
        <f t="array" ref="H495">_xlfn.IFS(G495&lt;=20,"0-20",G495&lt;=30,"20-30",G495&lt;=40,"30-40",G495&lt;=50,"50-60",G495&lt;=60,"60-70",G495&lt;=70,"70-80",G495&lt;=80,"80-90")</f>
        <v>60-70</v>
      </c>
      <c r="I495" s="17">
        <v>2293</v>
      </c>
      <c r="J495" s="13" t="str" cm="1">
        <f t="array" ref="J495">_xlfn.IFS(K495=1,"Divorciado",L495=1,"Casado",M495=1,"Solteiro",N495=1,"Juntos",O495=1,"Viuvo")</f>
        <v>Divorciado</v>
      </c>
      <c r="K495" s="17">
        <v>1</v>
      </c>
      <c r="L495" s="17">
        <v>0</v>
      </c>
      <c r="M495" s="17">
        <v>0</v>
      </c>
      <c r="N495" s="17">
        <v>0</v>
      </c>
      <c r="O495" s="17">
        <v>0</v>
      </c>
      <c r="P495" s="17">
        <v>0</v>
      </c>
      <c r="Q495" s="17">
        <v>0</v>
      </c>
      <c r="R495" s="17">
        <v>1</v>
      </c>
      <c r="S495" s="17">
        <v>0</v>
      </c>
      <c r="T495" s="17">
        <v>0</v>
      </c>
      <c r="U495" s="17">
        <v>464</v>
      </c>
      <c r="V495" s="13" t="str" cm="1">
        <f t="array" ref="V495">_xlfn.IFS(U495&lt;=250,"0-R$250",U495&lt;=500,"251-R$500",U495&lt;=750,"501-R$750",U495&lt;=1000,"751-R$1000",U495&lt;=1250,"1001-R$1250",U495&lt;=1500,"1251-R$1500")</f>
        <v>251-R$500</v>
      </c>
      <c r="W495" s="17">
        <v>151</v>
      </c>
      <c r="X495" s="13" t="str" cm="1">
        <f t="array" ref="X495">_xlfn.IFS(W495 = 0, "0", W495&lt;=20, "até R$20",W495&lt;=40, "21 - R$40",W495&lt;=60, "41- R$60",W495&lt;=80, "61 - R$80", W495&lt;=100, "81 - R$100",W495&lt;=120, "101 - R$120",W495&lt;=140, "121 - R$140", W495&lt;=160, "141- R$160", W495&lt;=180, "161 - R$180", W495&lt;=200, "181-R$194")</f>
        <v>141- R$160</v>
      </c>
      <c r="Y495" s="17">
        <v>292</v>
      </c>
      <c r="Z495" s="17">
        <v>65</v>
      </c>
      <c r="AA495" s="17">
        <v>60</v>
      </c>
      <c r="AB495" s="17">
        <v>30</v>
      </c>
      <c r="AC495" s="17">
        <v>1</v>
      </c>
      <c r="AD495" s="17">
        <v>8</v>
      </c>
      <c r="AE495" s="17">
        <v>3</v>
      </c>
      <c r="AF495" s="17">
        <v>4</v>
      </c>
      <c r="AG495" s="17">
        <v>4</v>
      </c>
      <c r="AH495" s="17">
        <v>0</v>
      </c>
      <c r="AI495" s="17">
        <v>0</v>
      </c>
      <c r="AJ495" s="17">
        <v>0</v>
      </c>
      <c r="AK495" s="17">
        <v>1</v>
      </c>
      <c r="AL495" s="17">
        <v>0</v>
      </c>
      <c r="AM495" s="17">
        <v>0</v>
      </c>
      <c r="AN495" s="17">
        <v>1</v>
      </c>
      <c r="AO495" s="18">
        <v>1</v>
      </c>
      <c r="AP495" s="17">
        <v>3</v>
      </c>
      <c r="AQ495" s="17">
        <v>11</v>
      </c>
      <c r="AR495" s="19">
        <v>1002</v>
      </c>
      <c r="AS495" s="19">
        <v>1032</v>
      </c>
    </row>
    <row r="496" spans="1:45" x14ac:dyDescent="0.25">
      <c r="A496">
        <v>1131</v>
      </c>
      <c r="B496" s="11">
        <f t="shared" si="7"/>
        <v>57513</v>
      </c>
      <c r="C496" s="16">
        <v>575130</v>
      </c>
      <c r="D496" s="17">
        <v>0</v>
      </c>
      <c r="E496" s="17">
        <v>0</v>
      </c>
      <c r="F496" s="17">
        <v>59</v>
      </c>
      <c r="G496" s="17">
        <v>77</v>
      </c>
      <c r="H496" s="13" t="str" cm="1">
        <f t="array" ref="H496">_xlfn.IFS(G496&lt;=20,"0-20",G496&lt;=30,"20-30",G496&lt;=40,"30-40",G496&lt;=50,"50-60",G496&lt;=60,"60-70",G496&lt;=70,"70-80",G496&lt;=80,"80-90")</f>
        <v>80-90</v>
      </c>
      <c r="I496" s="17">
        <v>2517</v>
      </c>
      <c r="J496" s="13" t="str" cm="1">
        <f t="array" ref="J496">_xlfn.IFS(K496=1,"Divorciado",L496=1,"Casado",M496=1,"Solteiro",N496=1,"Juntos",O496=1,"Viuvo")</f>
        <v>Viuvo</v>
      </c>
      <c r="K496" s="17">
        <v>0</v>
      </c>
      <c r="L496" s="17">
        <v>0</v>
      </c>
      <c r="M496" s="17">
        <v>0</v>
      </c>
      <c r="N496" s="17">
        <v>0</v>
      </c>
      <c r="O496" s="17">
        <v>1</v>
      </c>
      <c r="P496" s="17">
        <v>0</v>
      </c>
      <c r="Q496" s="17">
        <v>0</v>
      </c>
      <c r="R496" s="17">
        <v>0</v>
      </c>
      <c r="S496" s="17">
        <v>0</v>
      </c>
      <c r="T496" s="17">
        <v>1</v>
      </c>
      <c r="U496" s="17">
        <v>735</v>
      </c>
      <c r="V496" s="13" t="str" cm="1">
        <f t="array" ref="V496">_xlfn.IFS(U496&lt;=250,"0-R$250",U496&lt;=500,"251-R$500",U496&lt;=750,"501-R$750",U496&lt;=1000,"751-R$1000",U496&lt;=1250,"1001-R$1250",U496&lt;=1500,"1251-R$1500")</f>
        <v>501-R$750</v>
      </c>
      <c r="W496" s="17">
        <v>40</v>
      </c>
      <c r="X496" s="13" t="str" cm="1">
        <f t="array" ref="X496">_xlfn.IFS(W496 = 0, "0", W496&lt;=20, "até R$20",W496&lt;=40, "21 - R$40",W496&lt;=60, "41- R$60",W496&lt;=80, "61 - R$80", W496&lt;=100, "81 - R$100",W496&lt;=120, "101 - R$120",W496&lt;=140, "121 - R$140", W496&lt;=160, "141- R$160", W496&lt;=180, "161 - R$180", W496&lt;=200, "181-R$194")</f>
        <v>21 - R$40</v>
      </c>
      <c r="Y496" s="17">
        <v>183</v>
      </c>
      <c r="Z496" s="17">
        <v>52</v>
      </c>
      <c r="AA496" s="17">
        <v>20</v>
      </c>
      <c r="AB496" s="17">
        <v>30</v>
      </c>
      <c r="AC496" s="17">
        <v>2</v>
      </c>
      <c r="AD496" s="17">
        <v>9</v>
      </c>
      <c r="AE496" s="17">
        <v>3</v>
      </c>
      <c r="AF496" s="17">
        <v>13</v>
      </c>
      <c r="AG496" s="17">
        <v>6</v>
      </c>
      <c r="AH496" s="17">
        <v>0</v>
      </c>
      <c r="AI496" s="17">
        <v>0</v>
      </c>
      <c r="AJ496" s="17">
        <v>0</v>
      </c>
      <c r="AK496" s="17">
        <v>0</v>
      </c>
      <c r="AL496" s="17">
        <v>0</v>
      </c>
      <c r="AM496" s="17">
        <v>0</v>
      </c>
      <c r="AN496" s="17">
        <v>0</v>
      </c>
      <c r="AO496" s="18">
        <v>0</v>
      </c>
      <c r="AP496" s="17">
        <v>3</v>
      </c>
      <c r="AQ496" s="17">
        <v>11</v>
      </c>
      <c r="AR496" s="19">
        <v>1000</v>
      </c>
      <c r="AS496" s="19">
        <v>1030</v>
      </c>
    </row>
    <row r="497" spans="1:45" x14ac:dyDescent="0.25">
      <c r="A497">
        <v>1473</v>
      </c>
      <c r="B497" s="11">
        <f t="shared" si="7"/>
        <v>53374</v>
      </c>
      <c r="C497" s="16">
        <v>533740</v>
      </c>
      <c r="D497" s="17">
        <v>0</v>
      </c>
      <c r="E497" s="17">
        <v>1</v>
      </c>
      <c r="F497" s="17">
        <v>34</v>
      </c>
      <c r="G497" s="17">
        <v>51</v>
      </c>
      <c r="H497" s="13" t="str" cm="1">
        <f t="array" ref="H497">_xlfn.IFS(G497&lt;=20,"0-20",G497&lt;=30,"20-30",G497&lt;=40,"30-40",G497&lt;=50,"50-60",G497&lt;=60,"60-70",G497&lt;=70,"70-80",G497&lt;=80,"80-90")</f>
        <v>60-70</v>
      </c>
      <c r="I497" s="17">
        <v>2841</v>
      </c>
      <c r="J497" s="13" t="str" cm="1">
        <f t="array" ref="J497">_xlfn.IFS(K497=1,"Divorciado",L497=1,"Casado",M497=1,"Solteiro",N497=1,"Juntos",O497=1,"Viuvo")</f>
        <v>Juntos</v>
      </c>
      <c r="K497" s="17">
        <v>0</v>
      </c>
      <c r="L497" s="17">
        <v>0</v>
      </c>
      <c r="M497" s="17">
        <v>0</v>
      </c>
      <c r="N497" s="17">
        <v>1</v>
      </c>
      <c r="O497" s="17">
        <v>0</v>
      </c>
      <c r="P497" s="17">
        <v>0</v>
      </c>
      <c r="Q497" s="17">
        <v>0</v>
      </c>
      <c r="R497" s="17">
        <v>0</v>
      </c>
      <c r="S497" s="17">
        <v>0</v>
      </c>
      <c r="T497" s="17">
        <v>1</v>
      </c>
      <c r="U497" s="17">
        <v>896</v>
      </c>
      <c r="V497" s="13" t="str" cm="1">
        <f t="array" ref="V497">_xlfn.IFS(U497&lt;=250,"0-R$250",U497&lt;=500,"251-R$500",U497&lt;=750,"501-R$750",U497&lt;=1000,"751-R$1000",U497&lt;=1250,"1001-R$1250",U497&lt;=1500,"1251-R$1500")</f>
        <v>751-R$1000</v>
      </c>
      <c r="W497" s="17">
        <v>10</v>
      </c>
      <c r="X497" s="13" t="str" cm="1">
        <f t="array" ref="X497">_xlfn.IFS(W497 = 0, "0", W497&lt;=20, "até R$20",W497&lt;=40, "21 - R$40",W497&lt;=60, "41- R$60",W497&lt;=80, "61 - R$80", W497&lt;=100, "81 - R$100",W497&lt;=120, "101 - R$120",W497&lt;=140, "121 - R$140", W497&lt;=160, "141- R$160", W497&lt;=180, "161 - R$180", W497&lt;=200, "181-R$194")</f>
        <v>até R$20</v>
      </c>
      <c r="Y497" s="17">
        <v>101</v>
      </c>
      <c r="Z497" s="17">
        <v>13</v>
      </c>
      <c r="AA497" s="17">
        <v>10</v>
      </c>
      <c r="AB497" s="17">
        <v>34</v>
      </c>
      <c r="AC497" s="17">
        <v>6</v>
      </c>
      <c r="AD497" s="17">
        <v>4</v>
      </c>
      <c r="AE497" s="17">
        <v>2</v>
      </c>
      <c r="AF497" s="17">
        <v>9</v>
      </c>
      <c r="AG497" s="17">
        <v>9</v>
      </c>
      <c r="AH497" s="17">
        <v>0</v>
      </c>
      <c r="AI497" s="17">
        <v>1</v>
      </c>
      <c r="AJ497" s="17">
        <v>0</v>
      </c>
      <c r="AK497" s="17">
        <v>0</v>
      </c>
      <c r="AL497" s="17">
        <v>0</v>
      </c>
      <c r="AM497" s="17">
        <v>0</v>
      </c>
      <c r="AN497" s="17">
        <v>1</v>
      </c>
      <c r="AO497" s="18">
        <v>1</v>
      </c>
      <c r="AP497" s="17">
        <v>3</v>
      </c>
      <c r="AQ497" s="17">
        <v>11</v>
      </c>
      <c r="AR497" s="19">
        <v>996</v>
      </c>
      <c r="AS497" s="19">
        <v>1030</v>
      </c>
    </row>
    <row r="498" spans="1:45" x14ac:dyDescent="0.25">
      <c r="A498">
        <v>336</v>
      </c>
      <c r="B498" s="11">
        <f t="shared" si="7"/>
        <v>69759</v>
      </c>
      <c r="C498" s="12">
        <v>697590</v>
      </c>
      <c r="D498" s="13">
        <v>0</v>
      </c>
      <c r="E498" s="13">
        <v>0</v>
      </c>
      <c r="F498" s="13">
        <v>38</v>
      </c>
      <c r="G498" s="13">
        <v>54</v>
      </c>
      <c r="H498" s="13" t="str" cm="1">
        <f t="array" ref="H498">_xlfn.IFS(G498&lt;=20,"0-20",G498&lt;=30,"20-30",G498&lt;=40,"30-40",G498&lt;=50,"50-60",G498&lt;=60,"60-70",G498&lt;=70,"70-80",G498&lt;=80,"80-90")</f>
        <v>60-70</v>
      </c>
      <c r="I498" s="13">
        <v>2403</v>
      </c>
      <c r="J498" s="13" t="str" cm="1">
        <f t="array" ref="J498">_xlfn.IFS(K498=1,"Divorciado",L498=1,"Casado",M498=1,"Solteiro",N498=1,"Juntos",O498=1,"Viuvo")</f>
        <v>Solteiro</v>
      </c>
      <c r="K498" s="13">
        <v>0</v>
      </c>
      <c r="L498" s="13">
        <v>0</v>
      </c>
      <c r="M498" s="13">
        <v>1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1</v>
      </c>
      <c r="U498" s="13">
        <v>452</v>
      </c>
      <c r="V498" s="13" t="str" cm="1">
        <f t="array" ref="V498">_xlfn.IFS(U498&lt;=250,"0-R$250",U498&lt;=500,"251-R$500",U498&lt;=750,"501-R$750",U498&lt;=1000,"751-R$1000",U498&lt;=1250,"1001-R$1250",U498&lt;=1500,"1251-R$1500")</f>
        <v>251-R$500</v>
      </c>
      <c r="W498" s="13">
        <v>20</v>
      </c>
      <c r="X498" s="13" t="str" cm="1">
        <f t="array" ref="X498">_xlfn.IFS(W498 = 0, "0", W498&lt;=20, "até R$20",W498&lt;=40, "21 - R$40",W498&lt;=60, "41- R$60",W498&lt;=80, "61 - R$80", W498&lt;=100, "81 - R$100",W498&lt;=120, "101 - R$120",W498&lt;=140, "121 - R$140", W498&lt;=160, "141- R$160", W498&lt;=180, "161 - R$180", W498&lt;=200, "181-R$194")</f>
        <v>até R$20</v>
      </c>
      <c r="Y498" s="13">
        <v>514</v>
      </c>
      <c r="Z498" s="13">
        <v>13</v>
      </c>
      <c r="AA498" s="13">
        <v>30</v>
      </c>
      <c r="AB498" s="13">
        <v>0</v>
      </c>
      <c r="AC498" s="13">
        <v>3</v>
      </c>
      <c r="AD498" s="13">
        <v>4</v>
      </c>
      <c r="AE498" s="13">
        <v>6</v>
      </c>
      <c r="AF498" s="13">
        <v>5</v>
      </c>
      <c r="AG498" s="13">
        <v>3</v>
      </c>
      <c r="AH498" s="13">
        <v>0</v>
      </c>
      <c r="AI498" s="13">
        <v>0</v>
      </c>
      <c r="AJ498" s="13">
        <v>0</v>
      </c>
      <c r="AK498" s="13">
        <v>0</v>
      </c>
      <c r="AL498" s="13">
        <v>0</v>
      </c>
      <c r="AM498" s="13">
        <v>0</v>
      </c>
      <c r="AN498" s="13">
        <v>1</v>
      </c>
      <c r="AO498" s="14">
        <v>0</v>
      </c>
      <c r="AP498" s="13">
        <v>3</v>
      </c>
      <c r="AQ498" s="13">
        <v>11</v>
      </c>
      <c r="AR498" s="15">
        <v>1029</v>
      </c>
      <c r="AS498" s="15">
        <v>1029</v>
      </c>
    </row>
    <row r="499" spans="1:45" x14ac:dyDescent="0.25">
      <c r="A499">
        <v>840</v>
      </c>
      <c r="B499" s="11">
        <f t="shared" si="7"/>
        <v>85710</v>
      </c>
      <c r="C499" s="12">
        <v>857100</v>
      </c>
      <c r="D499" s="13">
        <v>0</v>
      </c>
      <c r="E499" s="13">
        <v>0</v>
      </c>
      <c r="F499" s="13">
        <v>5</v>
      </c>
      <c r="G499" s="13">
        <v>31</v>
      </c>
      <c r="H499" s="13" t="str" cm="1">
        <f t="array" ref="H499">_xlfn.IFS(G499&lt;=20,"0-20",G499&lt;=30,"20-30",G499&lt;=40,"30-40",G499&lt;=50,"50-60",G499&lt;=60,"60-70",G499&lt;=70,"70-80",G499&lt;=80,"80-90")</f>
        <v>30-40</v>
      </c>
      <c r="I499" s="13">
        <v>2579</v>
      </c>
      <c r="J499" s="13" t="str" cm="1">
        <f t="array" ref="J499">_xlfn.IFS(K499=1,"Divorciado",L499=1,"Casado",M499=1,"Solteiro",N499=1,"Juntos",O499=1,"Viuvo")</f>
        <v>Casado</v>
      </c>
      <c r="K499" s="13">
        <v>0</v>
      </c>
      <c r="L499" s="13">
        <v>1</v>
      </c>
      <c r="M499" s="13">
        <v>0</v>
      </c>
      <c r="N499" s="13">
        <v>0</v>
      </c>
      <c r="O499" s="13">
        <v>0</v>
      </c>
      <c r="P499" s="13">
        <v>1</v>
      </c>
      <c r="Q499" s="13">
        <v>0</v>
      </c>
      <c r="R499" s="13">
        <v>0</v>
      </c>
      <c r="S499" s="13">
        <v>0</v>
      </c>
      <c r="T499" s="13">
        <v>0</v>
      </c>
      <c r="U499" s="13">
        <v>600</v>
      </c>
      <c r="V499" s="13" t="str" cm="1">
        <f t="array" ref="V499">_xlfn.IFS(U499&lt;=250,"0-R$250",U499&lt;=500,"251-R$500",U499&lt;=750,"501-R$750",U499&lt;=1000,"751-R$1000",U499&lt;=1250,"1001-R$1250",U499&lt;=1500,"1251-R$1500")</f>
        <v>501-R$750</v>
      </c>
      <c r="W499" s="13">
        <v>20</v>
      </c>
      <c r="X499" s="13" t="str" cm="1">
        <f t="array" ref="X499">_xlfn.IFS(W499 = 0, "0", W499&lt;=20, "até R$20",W499&lt;=40, "21 - R$40",W499&lt;=60, "41- R$60",W499&lt;=80, "61 - R$80", W499&lt;=100, "81 - R$100",W499&lt;=120, "101 - R$120",W499&lt;=140, "121 - R$140", W499&lt;=160, "141- R$160", W499&lt;=180, "161 - R$180", W499&lt;=200, "181-R$194")</f>
        <v>até R$20</v>
      </c>
      <c r="Y499" s="13">
        <v>350</v>
      </c>
      <c r="Z499" s="13">
        <v>29</v>
      </c>
      <c r="AA499" s="13">
        <v>30</v>
      </c>
      <c r="AB499" s="13">
        <v>33</v>
      </c>
      <c r="AC499" s="13">
        <v>1</v>
      </c>
      <c r="AD499" s="13">
        <v>6</v>
      </c>
      <c r="AE499" s="13">
        <v>9</v>
      </c>
      <c r="AF499" s="13">
        <v>10</v>
      </c>
      <c r="AG499" s="13">
        <v>2</v>
      </c>
      <c r="AH499" s="13">
        <v>0</v>
      </c>
      <c r="AI499" s="13">
        <v>0</v>
      </c>
      <c r="AJ499" s="13">
        <v>0</v>
      </c>
      <c r="AK499" s="13">
        <v>1</v>
      </c>
      <c r="AL499" s="13">
        <v>0</v>
      </c>
      <c r="AM499" s="13">
        <v>0</v>
      </c>
      <c r="AN499" s="13">
        <v>0</v>
      </c>
      <c r="AO499" s="14">
        <v>1</v>
      </c>
      <c r="AP499" s="13">
        <v>3</v>
      </c>
      <c r="AQ499" s="13">
        <v>11</v>
      </c>
      <c r="AR499" s="15">
        <v>996</v>
      </c>
      <c r="AS499" s="15">
        <v>1029</v>
      </c>
    </row>
    <row r="500" spans="1:45" x14ac:dyDescent="0.25">
      <c r="A500">
        <v>2198</v>
      </c>
      <c r="B500" s="11">
        <f t="shared" si="7"/>
        <v>44802</v>
      </c>
      <c r="C500" s="12">
        <v>448020</v>
      </c>
      <c r="D500" s="13">
        <v>0</v>
      </c>
      <c r="E500" s="13">
        <v>0</v>
      </c>
      <c r="F500" s="13">
        <v>71</v>
      </c>
      <c r="G500" s="13">
        <v>50</v>
      </c>
      <c r="H500" s="13" t="str" cm="1">
        <f t="array" ref="H500">_xlfn.IFS(G500&lt;=20,"0-20",G500&lt;=30,"20-30",G500&lt;=40,"30-40",G500&lt;=50,"50-60",G500&lt;=60,"60-70",G500&lt;=70,"70-80",G500&lt;=80,"80-90")</f>
        <v>50-60</v>
      </c>
      <c r="I500" s="13">
        <v>2836</v>
      </c>
      <c r="J500" s="13" t="str" cm="1">
        <f t="array" ref="J500">_xlfn.IFS(K500=1,"Divorciado",L500=1,"Casado",M500=1,"Solteiro",N500=1,"Juntos",O500=1,"Viuvo")</f>
        <v>Solteiro</v>
      </c>
      <c r="K500" s="13">
        <v>0</v>
      </c>
      <c r="L500" s="13">
        <v>0</v>
      </c>
      <c r="M500" s="13">
        <v>1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1</v>
      </c>
      <c r="T500" s="13">
        <v>0</v>
      </c>
      <c r="U500" s="13">
        <v>853</v>
      </c>
      <c r="V500" s="13" t="str" cm="1">
        <f t="array" ref="V500">_xlfn.IFS(U500&lt;=250,"0-R$250",U500&lt;=500,"251-R$500",U500&lt;=750,"501-R$750",U500&lt;=1000,"751-R$1000",U500&lt;=1250,"1001-R$1250",U500&lt;=1500,"1251-R$1500")</f>
        <v>751-R$1000</v>
      </c>
      <c r="W500" s="13">
        <v>10</v>
      </c>
      <c r="X500" s="13" t="str" cm="1">
        <f t="array" ref="X500">_xlfn.IFS(W500 = 0, "0", W500&lt;=20, "até R$20",W500&lt;=40, "21 - R$40",W500&lt;=60, "41- R$60",W500&lt;=80, "61 - R$80", W500&lt;=100, "81 - R$100",W500&lt;=120, "101 - R$120",W500&lt;=140, "121 - R$140", W500&lt;=160, "141- R$160", W500&lt;=180, "161 - R$180", W500&lt;=200, "181-R$194")</f>
        <v>até R$20</v>
      </c>
      <c r="Y500" s="13">
        <v>143</v>
      </c>
      <c r="Z500" s="13">
        <v>13</v>
      </c>
      <c r="AA500" s="13">
        <v>10</v>
      </c>
      <c r="AB500" s="13">
        <v>20</v>
      </c>
      <c r="AC500" s="13">
        <v>2</v>
      </c>
      <c r="AD500" s="13">
        <v>9</v>
      </c>
      <c r="AE500" s="13">
        <v>4</v>
      </c>
      <c r="AF500" s="13">
        <v>12</v>
      </c>
      <c r="AG500" s="13">
        <v>8</v>
      </c>
      <c r="AH500" s="13">
        <v>0</v>
      </c>
      <c r="AI500" s="13">
        <v>0</v>
      </c>
      <c r="AJ500" s="13">
        <v>0</v>
      </c>
      <c r="AK500" s="13">
        <v>0</v>
      </c>
      <c r="AL500" s="13">
        <v>0</v>
      </c>
      <c r="AM500" s="13">
        <v>0</v>
      </c>
      <c r="AN500" s="13">
        <v>0</v>
      </c>
      <c r="AO500" s="14">
        <v>0</v>
      </c>
      <c r="AP500" s="13">
        <v>3</v>
      </c>
      <c r="AQ500" s="13">
        <v>11</v>
      </c>
      <c r="AR500" s="15">
        <v>1009</v>
      </c>
      <c r="AS500" s="15">
        <v>1029</v>
      </c>
    </row>
    <row r="501" spans="1:45" x14ac:dyDescent="0.25">
      <c r="A501">
        <v>1921</v>
      </c>
      <c r="B501" s="11">
        <f t="shared" si="7"/>
        <v>63211</v>
      </c>
      <c r="C501" s="16">
        <v>632110</v>
      </c>
      <c r="D501" s="17">
        <v>0</v>
      </c>
      <c r="E501" s="17">
        <v>0</v>
      </c>
      <c r="F501" s="17">
        <v>3</v>
      </c>
      <c r="G501" s="17">
        <v>38</v>
      </c>
      <c r="H501" s="13" t="str" cm="1">
        <f t="array" ref="H501">_xlfn.IFS(G501&lt;=20,"0-20",G501&lt;=30,"20-30",G501&lt;=40,"30-40",G501&lt;=50,"50-60",G501&lt;=60,"60-70",G501&lt;=70,"70-80",G501&lt;=80,"80-90")</f>
        <v>30-40</v>
      </c>
      <c r="I501" s="17">
        <v>2763</v>
      </c>
      <c r="J501" s="13" t="str" cm="1">
        <f t="array" ref="J501">_xlfn.IFS(K501=1,"Divorciado",L501=1,"Casado",M501=1,"Solteiro",N501=1,"Juntos",O501=1,"Viuvo")</f>
        <v>Casado</v>
      </c>
      <c r="K501" s="17">
        <v>0</v>
      </c>
      <c r="L501" s="17">
        <v>1</v>
      </c>
      <c r="M501" s="17">
        <v>0</v>
      </c>
      <c r="N501" s="17">
        <v>0</v>
      </c>
      <c r="O501" s="17">
        <v>0</v>
      </c>
      <c r="P501" s="17">
        <v>0</v>
      </c>
      <c r="Q501" s="17">
        <v>0</v>
      </c>
      <c r="R501" s="17">
        <v>1</v>
      </c>
      <c r="S501" s="17">
        <v>0</v>
      </c>
      <c r="T501" s="17">
        <v>0</v>
      </c>
      <c r="U501" s="17">
        <v>145</v>
      </c>
      <c r="V501" s="13" t="str" cm="1">
        <f t="array" ref="V501">_xlfn.IFS(U501&lt;=250,"0-R$250",U501&lt;=500,"251-R$500",U501&lt;=750,"501-R$750",U501&lt;=1000,"751-R$1000",U501&lt;=1250,"1001-R$1250",U501&lt;=1500,"1251-R$1500")</f>
        <v>0-R$250</v>
      </c>
      <c r="W501" s="17">
        <v>193</v>
      </c>
      <c r="X501" s="13" t="str" cm="1">
        <f t="array" ref="X501">_xlfn.IFS(W501 = 0, "0", W501&lt;=20, "até R$20",W501&lt;=40, "21 - R$40",W501&lt;=60, "41- R$60",W501&lt;=80, "61 - R$80", W501&lt;=100, "81 - R$100",W501&lt;=120, "101 - R$120",W501&lt;=140, "121 - R$140", W501&lt;=160, "141- R$160", W501&lt;=180, "161 - R$180", W501&lt;=200, "181-R$194")</f>
        <v>181-R$194</v>
      </c>
      <c r="Y501" s="17">
        <v>459</v>
      </c>
      <c r="Z501" s="17">
        <v>205</v>
      </c>
      <c r="AA501" s="17">
        <v>26</v>
      </c>
      <c r="AB501" s="17">
        <v>145</v>
      </c>
      <c r="AC501" s="17">
        <v>2</v>
      </c>
      <c r="AD501" s="17">
        <v>3</v>
      </c>
      <c r="AE501" s="17">
        <v>8</v>
      </c>
      <c r="AF501" s="17">
        <v>7</v>
      </c>
      <c r="AG501" s="17">
        <v>2</v>
      </c>
      <c r="AH501" s="17">
        <v>0</v>
      </c>
      <c r="AI501" s="17">
        <v>0</v>
      </c>
      <c r="AJ501" s="17">
        <v>0</v>
      </c>
      <c r="AK501" s="17">
        <v>0</v>
      </c>
      <c r="AL501" s="17">
        <v>0</v>
      </c>
      <c r="AM501" s="17">
        <v>0</v>
      </c>
      <c r="AN501" s="17">
        <v>1</v>
      </c>
      <c r="AO501" s="18">
        <v>0</v>
      </c>
      <c r="AP501" s="17">
        <v>3</v>
      </c>
      <c r="AQ501" s="17">
        <v>11</v>
      </c>
      <c r="AR501" s="19">
        <v>883</v>
      </c>
      <c r="AS501" s="19">
        <v>1028</v>
      </c>
    </row>
    <row r="502" spans="1:45" x14ac:dyDescent="0.25">
      <c r="A502">
        <v>2008</v>
      </c>
      <c r="B502" s="11">
        <f t="shared" si="7"/>
        <v>55914</v>
      </c>
      <c r="C502" s="12">
        <v>559140</v>
      </c>
      <c r="D502" s="13">
        <v>0</v>
      </c>
      <c r="E502" s="13">
        <v>1</v>
      </c>
      <c r="F502" s="13">
        <v>32</v>
      </c>
      <c r="G502" s="13">
        <v>45</v>
      </c>
      <c r="H502" s="13" t="str" cm="1">
        <f t="array" ref="H502">_xlfn.IFS(G502&lt;=20,"0-20",G502&lt;=30,"20-30",G502&lt;=40,"30-40",G502&lt;=50,"50-60",G502&lt;=60,"60-70",G502&lt;=70,"70-80",G502&lt;=80,"80-90")</f>
        <v>50-60</v>
      </c>
      <c r="I502" s="13">
        <v>2585</v>
      </c>
      <c r="J502" s="13" t="str" cm="1">
        <f t="array" ref="J502">_xlfn.IFS(K502=1,"Divorciado",L502=1,"Casado",M502=1,"Solteiro",N502=1,"Juntos",O502=1,"Viuvo")</f>
        <v>Juntos</v>
      </c>
      <c r="K502" s="13">
        <v>0</v>
      </c>
      <c r="L502" s="13">
        <v>0</v>
      </c>
      <c r="M502" s="13">
        <v>0</v>
      </c>
      <c r="N502" s="13">
        <v>1</v>
      </c>
      <c r="O502" s="13">
        <v>0</v>
      </c>
      <c r="P502" s="13">
        <v>0</v>
      </c>
      <c r="Q502" s="13">
        <v>0</v>
      </c>
      <c r="R502" s="13">
        <v>1</v>
      </c>
      <c r="S502" s="13">
        <v>0</v>
      </c>
      <c r="T502" s="13">
        <v>0</v>
      </c>
      <c r="U502" s="13">
        <v>384</v>
      </c>
      <c r="V502" s="13" t="str" cm="1">
        <f t="array" ref="V502">_xlfn.IFS(U502&lt;=250,"0-R$250",U502&lt;=500,"251-R$500",U502&lt;=750,"501-R$750",U502&lt;=1000,"751-R$1000",U502&lt;=1250,"1001-R$1250",U502&lt;=1500,"1251-R$1500")</f>
        <v>251-R$500</v>
      </c>
      <c r="W502" s="13">
        <v>60</v>
      </c>
      <c r="X502" s="13" t="str" cm="1">
        <f t="array" ref="X502">_xlfn.IFS(W502 = 0, "0", W502&lt;=20, "até R$20",W502&lt;=40, "21 - R$40",W502&lt;=60, "41- R$60",W502&lt;=80, "61 - R$80", W502&lt;=100, "81 - R$100",W502&lt;=120, "101 - R$120",W502&lt;=140, "121 - R$140", W502&lt;=160, "141- R$160", W502&lt;=180, "161 - R$180", W502&lt;=200, "181-R$194")</f>
        <v>41- R$60</v>
      </c>
      <c r="Y502" s="13">
        <v>364</v>
      </c>
      <c r="Z502" s="13">
        <v>119</v>
      </c>
      <c r="AA502" s="13">
        <v>101</v>
      </c>
      <c r="AB502" s="13">
        <v>232</v>
      </c>
      <c r="AC502" s="13">
        <v>4</v>
      </c>
      <c r="AD502" s="13">
        <v>11</v>
      </c>
      <c r="AE502" s="13">
        <v>6</v>
      </c>
      <c r="AF502" s="13">
        <v>8</v>
      </c>
      <c r="AG502" s="13">
        <v>7</v>
      </c>
      <c r="AH502" s="13">
        <v>0</v>
      </c>
      <c r="AI502" s="13">
        <v>0</v>
      </c>
      <c r="AJ502" s="13">
        <v>0</v>
      </c>
      <c r="AK502" s="13">
        <v>0</v>
      </c>
      <c r="AL502" s="13">
        <v>0</v>
      </c>
      <c r="AM502" s="13">
        <v>0</v>
      </c>
      <c r="AN502" s="13">
        <v>0</v>
      </c>
      <c r="AO502" s="14">
        <v>0</v>
      </c>
      <c r="AP502" s="13">
        <v>3</v>
      </c>
      <c r="AQ502" s="13">
        <v>11</v>
      </c>
      <c r="AR502" s="15">
        <v>796</v>
      </c>
      <c r="AS502" s="15">
        <v>1028</v>
      </c>
    </row>
    <row r="503" spans="1:45" x14ac:dyDescent="0.25">
      <c r="A503">
        <v>1691</v>
      </c>
      <c r="B503" s="11">
        <f t="shared" si="7"/>
        <v>60230</v>
      </c>
      <c r="C503" s="16">
        <v>602300</v>
      </c>
      <c r="D503" s="17">
        <v>0</v>
      </c>
      <c r="E503" s="17">
        <v>1</v>
      </c>
      <c r="F503" s="17">
        <v>78</v>
      </c>
      <c r="G503" s="17">
        <v>64</v>
      </c>
      <c r="H503" s="13" t="str" cm="1">
        <f t="array" ref="H503">_xlfn.IFS(G503&lt;=20,"0-20",G503&lt;=30,"20-30",G503&lt;=40,"30-40",G503&lt;=50,"50-60",G503&lt;=60,"60-70",G503&lt;=70,"70-80",G503&lt;=80,"80-90")</f>
        <v>70-80</v>
      </c>
      <c r="I503" s="17">
        <v>2564</v>
      </c>
      <c r="J503" s="13" t="str" cm="1">
        <f t="array" ref="J503">_xlfn.IFS(K503=1,"Divorciado",L503=1,"Casado",M503=1,"Solteiro",N503=1,"Juntos",O503=1,"Viuvo")</f>
        <v>Solteiro</v>
      </c>
      <c r="K503" s="17">
        <v>0</v>
      </c>
      <c r="L503" s="17">
        <v>0</v>
      </c>
      <c r="M503" s="17">
        <v>1</v>
      </c>
      <c r="N503" s="17">
        <v>0</v>
      </c>
      <c r="O503" s="17">
        <v>0</v>
      </c>
      <c r="P503" s="17">
        <v>0</v>
      </c>
      <c r="Q503" s="17">
        <v>0</v>
      </c>
      <c r="R503" s="17">
        <v>1</v>
      </c>
      <c r="S503" s="17">
        <v>0</v>
      </c>
      <c r="T503" s="17">
        <v>0</v>
      </c>
      <c r="U503" s="17">
        <v>520</v>
      </c>
      <c r="V503" s="13" t="str" cm="1">
        <f t="array" ref="V503">_xlfn.IFS(U503&lt;=250,"0-R$250",U503&lt;=500,"251-R$500",U503&lt;=750,"501-R$750",U503&lt;=1000,"751-R$1000",U503&lt;=1250,"1001-R$1250",U503&lt;=1500,"1251-R$1500")</f>
        <v>501-R$750</v>
      </c>
      <c r="W503" s="17">
        <v>20</v>
      </c>
      <c r="X503" s="13" t="str" cm="1">
        <f t="array" ref="X503">_xlfn.IFS(W503 = 0, "0", W503&lt;=20, "até R$20",W503&lt;=40, "21 - R$40",W503&lt;=60, "41- R$60",W503&lt;=80, "61 - R$80", W503&lt;=100, "81 - R$100",W503&lt;=120, "101 - R$120",W503&lt;=140, "121 - R$140", W503&lt;=160, "141- R$160", W503&lt;=180, "161 - R$180", W503&lt;=200, "181-R$194")</f>
        <v>até R$20</v>
      </c>
      <c r="Y503" s="17">
        <v>367</v>
      </c>
      <c r="Z503" s="17">
        <v>39</v>
      </c>
      <c r="AA503" s="17">
        <v>81</v>
      </c>
      <c r="AB503" s="17">
        <v>40</v>
      </c>
      <c r="AC503" s="17">
        <v>2</v>
      </c>
      <c r="AD503" s="17">
        <v>6</v>
      </c>
      <c r="AE503" s="17">
        <v>3</v>
      </c>
      <c r="AF503" s="17">
        <v>6</v>
      </c>
      <c r="AG503" s="17">
        <v>5</v>
      </c>
      <c r="AH503" s="17">
        <v>0</v>
      </c>
      <c r="AI503" s="17">
        <v>0</v>
      </c>
      <c r="AJ503" s="17">
        <v>0</v>
      </c>
      <c r="AK503" s="17">
        <v>0</v>
      </c>
      <c r="AL503" s="17">
        <v>0</v>
      </c>
      <c r="AM503" s="17">
        <v>0</v>
      </c>
      <c r="AN503" s="17">
        <v>0</v>
      </c>
      <c r="AO503" s="18">
        <v>0</v>
      </c>
      <c r="AP503" s="17">
        <v>3</v>
      </c>
      <c r="AQ503" s="17">
        <v>11</v>
      </c>
      <c r="AR503" s="19">
        <v>987</v>
      </c>
      <c r="AS503" s="19">
        <v>1027</v>
      </c>
    </row>
    <row r="504" spans="1:45" x14ac:dyDescent="0.25">
      <c r="A504">
        <v>640</v>
      </c>
      <c r="B504" s="11">
        <f t="shared" si="7"/>
        <v>73059</v>
      </c>
      <c r="C504" s="12">
        <v>730590</v>
      </c>
      <c r="D504" s="13">
        <v>0</v>
      </c>
      <c r="E504" s="13">
        <v>1</v>
      </c>
      <c r="F504" s="13">
        <v>36</v>
      </c>
      <c r="G504" s="13">
        <v>73</v>
      </c>
      <c r="H504" s="13" t="str" cm="1">
        <f t="array" ref="H504">_xlfn.IFS(G504&lt;=20,"0-20",G504&lt;=30,"20-30",G504&lt;=40,"30-40",G504&lt;=50,"50-60",G504&lt;=60,"60-70",G504&lt;=70,"70-80",G504&lt;=80,"80-90")</f>
        <v>80-90</v>
      </c>
      <c r="I504" s="13">
        <v>2461</v>
      </c>
      <c r="J504" s="13" t="str" cm="1">
        <f t="array" ref="J504">_xlfn.IFS(K504=1,"Divorciado",L504=1,"Casado",M504=1,"Solteiro",N504=1,"Juntos",O504=1,"Viuvo")</f>
        <v>Juntos</v>
      </c>
      <c r="K504" s="13">
        <v>0</v>
      </c>
      <c r="L504" s="13">
        <v>0</v>
      </c>
      <c r="M504" s="13">
        <v>0</v>
      </c>
      <c r="N504" s="13">
        <v>1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1</v>
      </c>
      <c r="U504" s="13">
        <v>410</v>
      </c>
      <c r="V504" s="13" t="str" cm="1">
        <f t="array" ref="V504">_xlfn.IFS(U504&lt;=250,"0-R$250",U504&lt;=500,"251-R$500",U504&lt;=750,"501-R$750",U504&lt;=1000,"751-R$1000",U504&lt;=1250,"1001-R$1250",U504&lt;=1500,"1251-R$1500")</f>
        <v>251-R$500</v>
      </c>
      <c r="W504" s="13">
        <v>112</v>
      </c>
      <c r="X504" s="13" t="str" cm="1">
        <f t="array" ref="X504">_xlfn.IFS(W504 = 0, "0", W504&lt;=20, "até R$20",W504&lt;=40, "21 - R$40",W504&lt;=60, "41- R$60",W504&lt;=80, "61 - R$80", W504&lt;=100, "81 - R$100",W504&lt;=120, "101 - R$120",W504&lt;=140, "121 - R$140", W504&lt;=160, "141- R$160", W504&lt;=180, "161 - R$180", W504&lt;=200, "181-R$194")</f>
        <v>101 - R$120</v>
      </c>
      <c r="Y504" s="13">
        <v>420</v>
      </c>
      <c r="Z504" s="13">
        <v>0</v>
      </c>
      <c r="AA504" s="13">
        <v>82</v>
      </c>
      <c r="AB504" s="13">
        <v>71</v>
      </c>
      <c r="AC504" s="13">
        <v>1</v>
      </c>
      <c r="AD504" s="13">
        <v>9</v>
      </c>
      <c r="AE504" s="13">
        <v>3</v>
      </c>
      <c r="AF504" s="13">
        <v>13</v>
      </c>
      <c r="AG504" s="13">
        <v>4</v>
      </c>
      <c r="AH504" s="13">
        <v>0</v>
      </c>
      <c r="AI504" s="13">
        <v>0</v>
      </c>
      <c r="AJ504" s="13">
        <v>0</v>
      </c>
      <c r="AK504" s="13">
        <v>0</v>
      </c>
      <c r="AL504" s="13">
        <v>0</v>
      </c>
      <c r="AM504" s="13">
        <v>0</v>
      </c>
      <c r="AN504" s="13">
        <v>0</v>
      </c>
      <c r="AO504" s="14">
        <v>0</v>
      </c>
      <c r="AP504" s="13">
        <v>3</v>
      </c>
      <c r="AQ504" s="13">
        <v>11</v>
      </c>
      <c r="AR504" s="15">
        <v>953</v>
      </c>
      <c r="AS504" s="15">
        <v>1024</v>
      </c>
    </row>
    <row r="505" spans="1:45" x14ac:dyDescent="0.25">
      <c r="A505">
        <v>893</v>
      </c>
      <c r="B505" s="11">
        <f t="shared" si="7"/>
        <v>52278</v>
      </c>
      <c r="C505" s="16">
        <v>522780</v>
      </c>
      <c r="D505" s="17">
        <v>0</v>
      </c>
      <c r="E505" s="17">
        <v>1</v>
      </c>
      <c r="F505" s="17">
        <v>24</v>
      </c>
      <c r="G505" s="17">
        <v>57</v>
      </c>
      <c r="H505" s="13" t="str" cm="1">
        <f t="array" ref="H505">_xlfn.IFS(G505&lt;=20,"0-20",G505&lt;=30,"20-30",G505&lt;=40,"30-40",G505&lt;=50,"50-60",G505&lt;=60,"60-70",G505&lt;=70,"70-80",G505&lt;=80,"80-90")</f>
        <v>60-70</v>
      </c>
      <c r="I505" s="17">
        <v>2679</v>
      </c>
      <c r="J505" s="13" t="str" cm="1">
        <f t="array" ref="J505">_xlfn.IFS(K505=1,"Divorciado",L505=1,"Casado",M505=1,"Solteiro",N505=1,"Juntos",O505=1,"Viuvo")</f>
        <v>Viuvo</v>
      </c>
      <c r="K505" s="17">
        <v>0</v>
      </c>
      <c r="L505" s="17">
        <v>0</v>
      </c>
      <c r="M505" s="17">
        <v>0</v>
      </c>
      <c r="N505" s="17">
        <v>0</v>
      </c>
      <c r="O505" s="17">
        <v>1</v>
      </c>
      <c r="P505" s="17">
        <v>0</v>
      </c>
      <c r="Q505" s="17">
        <v>0</v>
      </c>
      <c r="R505" s="17">
        <v>0</v>
      </c>
      <c r="S505" s="17">
        <v>0</v>
      </c>
      <c r="T505" s="17">
        <v>1</v>
      </c>
      <c r="U505" s="17">
        <v>953</v>
      </c>
      <c r="V505" s="13" t="str" cm="1">
        <f t="array" ref="V505">_xlfn.IFS(U505&lt;=250,"0-R$250",U505&lt;=500,"251-R$500",U505&lt;=750,"501-R$750",U505&lt;=1000,"751-R$1000",U505&lt;=1250,"1001-R$1250",U505&lt;=1500,"1251-R$1500")</f>
        <v>751-R$1000</v>
      </c>
      <c r="W505" s="17">
        <v>0</v>
      </c>
      <c r="X505" s="13" t="str" cm="1">
        <f t="array" ref="X505">_xlfn.IFS(W505 = 0, "0", W505&lt;=20, "até R$20",W505&lt;=40, "21 - R$40",W505&lt;=60, "41- R$60",W505&lt;=80, "61 - R$80", W505&lt;=100, "81 - R$100",W505&lt;=120, "101 - R$120",W505&lt;=140, "121 - R$140", W505&lt;=160, "141- R$160", W505&lt;=180, "161 - R$180", W505&lt;=200, "181-R$194")</f>
        <v>0</v>
      </c>
      <c r="Y505" s="17">
        <v>71</v>
      </c>
      <c r="Z505" s="17">
        <v>0</v>
      </c>
      <c r="AA505" s="17">
        <v>0</v>
      </c>
      <c r="AB505" s="17">
        <v>174</v>
      </c>
      <c r="AC505" s="17">
        <v>6</v>
      </c>
      <c r="AD505" s="17">
        <v>10</v>
      </c>
      <c r="AE505" s="17">
        <v>5</v>
      </c>
      <c r="AF505" s="17">
        <v>10</v>
      </c>
      <c r="AG505" s="17">
        <v>8</v>
      </c>
      <c r="AH505" s="17">
        <v>0</v>
      </c>
      <c r="AI505" s="17">
        <v>0</v>
      </c>
      <c r="AJ505" s="17">
        <v>0</v>
      </c>
      <c r="AK505" s="17">
        <v>0</v>
      </c>
      <c r="AL505" s="17">
        <v>0</v>
      </c>
      <c r="AM505" s="17">
        <v>0</v>
      </c>
      <c r="AN505" s="17">
        <v>1</v>
      </c>
      <c r="AO505" s="18">
        <v>0</v>
      </c>
      <c r="AP505" s="17">
        <v>3</v>
      </c>
      <c r="AQ505" s="17">
        <v>11</v>
      </c>
      <c r="AR505" s="19">
        <v>850</v>
      </c>
      <c r="AS505" s="19">
        <v>1024</v>
      </c>
    </row>
    <row r="506" spans="1:45" x14ac:dyDescent="0.25">
      <c r="A506">
        <v>1606</v>
      </c>
      <c r="B506" s="11">
        <f t="shared" si="7"/>
        <v>73059</v>
      </c>
      <c r="C506" s="12">
        <v>730590</v>
      </c>
      <c r="D506" s="13">
        <v>0</v>
      </c>
      <c r="E506" s="13">
        <v>1</v>
      </c>
      <c r="F506" s="13">
        <v>36</v>
      </c>
      <c r="G506" s="13">
        <v>73</v>
      </c>
      <c r="H506" s="13" t="str" cm="1">
        <f t="array" ref="H506">_xlfn.IFS(G506&lt;=20,"0-20",G506&lt;=30,"20-30",G506&lt;=40,"30-40",G506&lt;=50,"50-60",G506&lt;=60,"60-70",G506&lt;=70,"70-80",G506&lt;=80,"80-90")</f>
        <v>80-90</v>
      </c>
      <c r="I506" s="13">
        <v>2461</v>
      </c>
      <c r="J506" s="13" t="str" cm="1">
        <f t="array" ref="J506">_xlfn.IFS(K506=1,"Divorciado",L506=1,"Casado",M506=1,"Solteiro",N506=1,"Juntos",O506=1,"Viuvo")</f>
        <v>Juntos</v>
      </c>
      <c r="K506" s="13">
        <v>0</v>
      </c>
      <c r="L506" s="13">
        <v>0</v>
      </c>
      <c r="M506" s="13">
        <v>0</v>
      </c>
      <c r="N506" s="13">
        <v>1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1</v>
      </c>
      <c r="U506" s="13">
        <v>410</v>
      </c>
      <c r="V506" s="13" t="str" cm="1">
        <f t="array" ref="V506">_xlfn.IFS(U506&lt;=250,"0-R$250",U506&lt;=500,"251-R$500",U506&lt;=750,"501-R$750",U506&lt;=1000,"751-R$1000",U506&lt;=1250,"1001-R$1250",U506&lt;=1500,"1251-R$1500")</f>
        <v>251-R$500</v>
      </c>
      <c r="W506" s="13">
        <v>112</v>
      </c>
      <c r="X506" s="13" t="str" cm="1">
        <f t="array" ref="X506">_xlfn.IFS(W506 = 0, "0", W506&lt;=20, "até R$20",W506&lt;=40, "21 - R$40",W506&lt;=60, "41- R$60",W506&lt;=80, "61 - R$80", W506&lt;=100, "81 - R$100",W506&lt;=120, "101 - R$120",W506&lt;=140, "121 - R$140", W506&lt;=160, "141- R$160", W506&lt;=180, "161 - R$180", W506&lt;=200, "181-R$194")</f>
        <v>101 - R$120</v>
      </c>
      <c r="Y506" s="13">
        <v>420</v>
      </c>
      <c r="Z506" s="13">
        <v>0</v>
      </c>
      <c r="AA506" s="13">
        <v>82</v>
      </c>
      <c r="AB506" s="13">
        <v>71</v>
      </c>
      <c r="AC506" s="13">
        <v>1</v>
      </c>
      <c r="AD506" s="13">
        <v>9</v>
      </c>
      <c r="AE506" s="13">
        <v>3</v>
      </c>
      <c r="AF506" s="13">
        <v>13</v>
      </c>
      <c r="AG506" s="13">
        <v>4</v>
      </c>
      <c r="AH506" s="13">
        <v>0</v>
      </c>
      <c r="AI506" s="13">
        <v>0</v>
      </c>
      <c r="AJ506" s="13">
        <v>0</v>
      </c>
      <c r="AK506" s="13">
        <v>0</v>
      </c>
      <c r="AL506" s="13">
        <v>0</v>
      </c>
      <c r="AM506" s="13">
        <v>0</v>
      </c>
      <c r="AN506" s="13">
        <v>0</v>
      </c>
      <c r="AO506" s="14">
        <v>0</v>
      </c>
      <c r="AP506" s="13">
        <v>3</v>
      </c>
      <c r="AQ506" s="13">
        <v>11</v>
      </c>
      <c r="AR506" s="15">
        <v>953</v>
      </c>
      <c r="AS506" s="15">
        <v>1024</v>
      </c>
    </row>
    <row r="507" spans="1:45" x14ac:dyDescent="0.25">
      <c r="A507">
        <v>1889</v>
      </c>
      <c r="B507" s="11">
        <f t="shared" si="7"/>
        <v>52278</v>
      </c>
      <c r="C507" s="16">
        <v>522780</v>
      </c>
      <c r="D507" s="17">
        <v>0</v>
      </c>
      <c r="E507" s="17">
        <v>1</v>
      </c>
      <c r="F507" s="17">
        <v>24</v>
      </c>
      <c r="G507" s="17">
        <v>57</v>
      </c>
      <c r="H507" s="13" t="str" cm="1">
        <f t="array" ref="H507">_xlfn.IFS(G507&lt;=20,"0-20",G507&lt;=30,"20-30",G507&lt;=40,"30-40",G507&lt;=50,"50-60",G507&lt;=60,"60-70",G507&lt;=70,"70-80",G507&lt;=80,"80-90")</f>
        <v>60-70</v>
      </c>
      <c r="I507" s="17">
        <v>2679</v>
      </c>
      <c r="J507" s="13" t="str" cm="1">
        <f t="array" ref="J507">_xlfn.IFS(K507=1,"Divorciado",L507=1,"Casado",M507=1,"Solteiro",N507=1,"Juntos",O507=1,"Viuvo")</f>
        <v>Viuvo</v>
      </c>
      <c r="K507" s="17">
        <v>0</v>
      </c>
      <c r="L507" s="17">
        <v>0</v>
      </c>
      <c r="M507" s="17">
        <v>0</v>
      </c>
      <c r="N507" s="17">
        <v>0</v>
      </c>
      <c r="O507" s="17">
        <v>1</v>
      </c>
      <c r="P507" s="17">
        <v>0</v>
      </c>
      <c r="Q507" s="17">
        <v>0</v>
      </c>
      <c r="R507" s="17">
        <v>0</v>
      </c>
      <c r="S507" s="17">
        <v>0</v>
      </c>
      <c r="T507" s="17">
        <v>1</v>
      </c>
      <c r="U507" s="17">
        <v>953</v>
      </c>
      <c r="V507" s="13" t="str" cm="1">
        <f t="array" ref="V507">_xlfn.IFS(U507&lt;=250,"0-R$250",U507&lt;=500,"251-R$500",U507&lt;=750,"501-R$750",U507&lt;=1000,"751-R$1000",U507&lt;=1250,"1001-R$1250",U507&lt;=1500,"1251-R$1500")</f>
        <v>751-R$1000</v>
      </c>
      <c r="W507" s="17">
        <v>0</v>
      </c>
      <c r="X507" s="13" t="str" cm="1">
        <f t="array" ref="X507">_xlfn.IFS(W507 = 0, "0", W507&lt;=20, "até R$20",W507&lt;=40, "21 - R$40",W507&lt;=60, "41- R$60",W507&lt;=80, "61 - R$80", W507&lt;=100, "81 - R$100",W507&lt;=120, "101 - R$120",W507&lt;=140, "121 - R$140", W507&lt;=160, "141- R$160", W507&lt;=180, "161 - R$180", W507&lt;=200, "181-R$194")</f>
        <v>0</v>
      </c>
      <c r="Y507" s="17">
        <v>71</v>
      </c>
      <c r="Z507" s="17">
        <v>0</v>
      </c>
      <c r="AA507" s="17">
        <v>0</v>
      </c>
      <c r="AB507" s="17">
        <v>174</v>
      </c>
      <c r="AC507" s="17">
        <v>6</v>
      </c>
      <c r="AD507" s="17">
        <v>10</v>
      </c>
      <c r="AE507" s="17">
        <v>5</v>
      </c>
      <c r="AF507" s="17">
        <v>10</v>
      </c>
      <c r="AG507" s="17">
        <v>8</v>
      </c>
      <c r="AH507" s="17">
        <v>0</v>
      </c>
      <c r="AI507" s="17">
        <v>0</v>
      </c>
      <c r="AJ507" s="17">
        <v>0</v>
      </c>
      <c r="AK507" s="17">
        <v>0</v>
      </c>
      <c r="AL507" s="17">
        <v>0</v>
      </c>
      <c r="AM507" s="17">
        <v>0</v>
      </c>
      <c r="AN507" s="17">
        <v>0</v>
      </c>
      <c r="AO507" s="18">
        <v>0</v>
      </c>
      <c r="AP507" s="17">
        <v>3</v>
      </c>
      <c r="AQ507" s="17">
        <v>11</v>
      </c>
      <c r="AR507" s="19">
        <v>850</v>
      </c>
      <c r="AS507" s="19">
        <v>1024</v>
      </c>
    </row>
    <row r="508" spans="1:45" x14ac:dyDescent="0.25">
      <c r="A508">
        <v>550</v>
      </c>
      <c r="B508" s="11">
        <f t="shared" si="7"/>
        <v>66565</v>
      </c>
      <c r="C508" s="12">
        <v>665650</v>
      </c>
      <c r="D508" s="13">
        <v>0</v>
      </c>
      <c r="E508" s="13">
        <v>1</v>
      </c>
      <c r="F508" s="13">
        <v>80</v>
      </c>
      <c r="G508" s="13">
        <v>58</v>
      </c>
      <c r="H508" s="13" t="str" cm="1">
        <f t="array" ref="H508">_xlfn.IFS(G508&lt;=20,"0-20",G508&lt;=30,"20-30",G508&lt;=40,"30-40",G508&lt;=50,"50-60",G508&lt;=60,"60-70",G508&lt;=70,"70-80",G508&lt;=80,"80-90")</f>
        <v>60-70</v>
      </c>
      <c r="I508" s="13">
        <v>2730</v>
      </c>
      <c r="J508" s="13" t="str" cm="1">
        <f t="array" ref="J508">_xlfn.IFS(K508=1,"Divorciado",L508=1,"Casado",M508=1,"Solteiro",N508=1,"Juntos",O508=1,"Viuvo")</f>
        <v>Solteiro</v>
      </c>
      <c r="K508" s="13">
        <v>0</v>
      </c>
      <c r="L508" s="13">
        <v>0</v>
      </c>
      <c r="M508" s="13">
        <v>1</v>
      </c>
      <c r="N508" s="13">
        <v>0</v>
      </c>
      <c r="O508" s="13">
        <v>0</v>
      </c>
      <c r="P508" s="13">
        <v>0</v>
      </c>
      <c r="Q508" s="13">
        <v>0</v>
      </c>
      <c r="R508" s="13">
        <v>1</v>
      </c>
      <c r="S508" s="13">
        <v>0</v>
      </c>
      <c r="T508" s="13">
        <v>0</v>
      </c>
      <c r="U508" s="13">
        <v>747</v>
      </c>
      <c r="V508" s="13" t="str" cm="1">
        <f t="array" ref="V508">_xlfn.IFS(U508&lt;=250,"0-R$250",U508&lt;=500,"251-R$500",U508&lt;=750,"501-R$750",U508&lt;=1000,"751-R$1000",U508&lt;=1250,"1001-R$1250",U508&lt;=1500,"1251-R$1500")</f>
        <v>501-R$750</v>
      </c>
      <c r="W508" s="13">
        <v>10</v>
      </c>
      <c r="X508" s="13" t="str" cm="1">
        <f t="array" ref="X508">_xlfn.IFS(W508 = 0, "0", W508&lt;=20, "até R$20",W508&lt;=40, "21 - R$40",W508&lt;=60, "41- R$60",W508&lt;=80, "61 - R$80", W508&lt;=100, "81 - R$100",W508&lt;=120, "101 - R$120",W508&lt;=140, "121 - R$140", W508&lt;=160, "141- R$160", W508&lt;=180, "161 - R$180", W508&lt;=200, "181-R$194")</f>
        <v>até R$20</v>
      </c>
      <c r="Y508" s="13">
        <v>161</v>
      </c>
      <c r="Z508" s="13">
        <v>65</v>
      </c>
      <c r="AA508" s="13">
        <v>40</v>
      </c>
      <c r="AB508" s="13">
        <v>42</v>
      </c>
      <c r="AC508" s="13">
        <v>4</v>
      </c>
      <c r="AD508" s="13">
        <v>4</v>
      </c>
      <c r="AE508" s="13">
        <v>2</v>
      </c>
      <c r="AF508" s="13">
        <v>9</v>
      </c>
      <c r="AG508" s="13">
        <v>8</v>
      </c>
      <c r="AH508" s="13">
        <v>0</v>
      </c>
      <c r="AI508" s="13">
        <v>0</v>
      </c>
      <c r="AJ508" s="13">
        <v>0</v>
      </c>
      <c r="AK508" s="13">
        <v>0</v>
      </c>
      <c r="AL508" s="13">
        <v>0</v>
      </c>
      <c r="AM508" s="13">
        <v>0</v>
      </c>
      <c r="AN508" s="13">
        <v>0</v>
      </c>
      <c r="AO508" s="14">
        <v>0</v>
      </c>
      <c r="AP508" s="13">
        <v>3</v>
      </c>
      <c r="AQ508" s="13">
        <v>11</v>
      </c>
      <c r="AR508" s="15">
        <v>981</v>
      </c>
      <c r="AS508" s="15">
        <v>1023</v>
      </c>
    </row>
    <row r="509" spans="1:45" x14ac:dyDescent="0.25">
      <c r="A509">
        <v>1738</v>
      </c>
      <c r="B509" s="11">
        <f t="shared" si="7"/>
        <v>72117</v>
      </c>
      <c r="C509" s="12">
        <v>721170</v>
      </c>
      <c r="D509" s="13">
        <v>0</v>
      </c>
      <c r="E509" s="13">
        <v>1</v>
      </c>
      <c r="F509" s="13">
        <v>34</v>
      </c>
      <c r="G509" s="13">
        <v>43</v>
      </c>
      <c r="H509" s="13" t="str" cm="1">
        <f t="array" ref="H509">_xlfn.IFS(G509&lt;=20,"0-20",G509&lt;=30,"20-30",G509&lt;=40,"30-40",G509&lt;=50,"50-60",G509&lt;=60,"60-70",G509&lt;=70,"70-80",G509&lt;=80,"80-90")</f>
        <v>50-60</v>
      </c>
      <c r="I509" s="13">
        <v>2472</v>
      </c>
      <c r="J509" s="13" t="str" cm="1">
        <f t="array" ref="J509">_xlfn.IFS(K509=1,"Divorciado",L509=1,"Casado",M509=1,"Solteiro",N509=1,"Juntos",O509=1,"Viuvo")</f>
        <v>Casado</v>
      </c>
      <c r="K509" s="13">
        <v>0</v>
      </c>
      <c r="L509" s="13">
        <v>1</v>
      </c>
      <c r="M509" s="13">
        <v>0</v>
      </c>
      <c r="N509" s="13">
        <v>0</v>
      </c>
      <c r="O509" s="13">
        <v>0</v>
      </c>
      <c r="P509" s="13">
        <v>0</v>
      </c>
      <c r="Q509" s="13">
        <v>0</v>
      </c>
      <c r="R509" s="13">
        <v>1</v>
      </c>
      <c r="S509" s="13">
        <v>0</v>
      </c>
      <c r="T509" s="13">
        <v>0</v>
      </c>
      <c r="U509" s="13">
        <v>707</v>
      </c>
      <c r="V509" s="13" t="str" cm="1">
        <f t="array" ref="V509">_xlfn.IFS(U509&lt;=250,"0-R$250",U509&lt;=500,"251-R$500",U509&lt;=750,"501-R$750",U509&lt;=1000,"751-R$1000",U509&lt;=1250,"1001-R$1250",U509&lt;=1500,"1251-R$1500")</f>
        <v>501-R$750</v>
      </c>
      <c r="W509" s="13">
        <v>20</v>
      </c>
      <c r="X509" s="13" t="str" cm="1">
        <f t="array" ref="X509">_xlfn.IFS(W509 = 0, "0", W509&lt;=20, "até R$20",W509&lt;=40, "21 - R$40",W509&lt;=60, "41- R$60",W509&lt;=80, "61 - R$80", W509&lt;=100, "81 - R$100",W509&lt;=120, "101 - R$120",W509&lt;=140, "121 - R$140", W509&lt;=160, "141- R$160", W509&lt;=180, "161 - R$180", W509&lt;=200, "181-R$194")</f>
        <v>até R$20</v>
      </c>
      <c r="Y509" s="13">
        <v>171</v>
      </c>
      <c r="Z509" s="13">
        <v>65</v>
      </c>
      <c r="AA509" s="13">
        <v>60</v>
      </c>
      <c r="AB509" s="13">
        <v>50</v>
      </c>
      <c r="AC509" s="13">
        <v>1</v>
      </c>
      <c r="AD509" s="13">
        <v>9</v>
      </c>
      <c r="AE509" s="13">
        <v>7</v>
      </c>
      <c r="AF509" s="13">
        <v>9</v>
      </c>
      <c r="AG509" s="13">
        <v>5</v>
      </c>
      <c r="AH509" s="13">
        <v>0</v>
      </c>
      <c r="AI509" s="13">
        <v>0</v>
      </c>
      <c r="AJ509" s="13">
        <v>0</v>
      </c>
      <c r="AK509" s="13">
        <v>0</v>
      </c>
      <c r="AL509" s="13">
        <v>0</v>
      </c>
      <c r="AM509" s="13">
        <v>0</v>
      </c>
      <c r="AN509" s="13">
        <v>0</v>
      </c>
      <c r="AO509" s="14">
        <v>0</v>
      </c>
      <c r="AP509" s="13">
        <v>3</v>
      </c>
      <c r="AQ509" s="13">
        <v>11</v>
      </c>
      <c r="AR509" s="15">
        <v>973</v>
      </c>
      <c r="AS509" s="15">
        <v>1023</v>
      </c>
    </row>
    <row r="510" spans="1:45" x14ac:dyDescent="0.25">
      <c r="A510">
        <v>1786</v>
      </c>
      <c r="B510" s="11">
        <f t="shared" si="7"/>
        <v>46757</v>
      </c>
      <c r="C510" s="12">
        <v>467570</v>
      </c>
      <c r="D510" s="13">
        <v>0</v>
      </c>
      <c r="E510" s="13">
        <v>1</v>
      </c>
      <c r="F510" s="13">
        <v>71</v>
      </c>
      <c r="G510" s="13">
        <v>57</v>
      </c>
      <c r="H510" s="13" t="str" cm="1">
        <f t="array" ref="H510">_xlfn.IFS(G510&lt;=20,"0-20",G510&lt;=30,"20-30",G510&lt;=40,"30-40",G510&lt;=50,"50-60",G510&lt;=60,"60-70",G510&lt;=70,"70-80",G510&lt;=80,"80-90")</f>
        <v>60-70</v>
      </c>
      <c r="I510" s="13">
        <v>2749</v>
      </c>
      <c r="J510" s="13" t="str" cm="1">
        <f t="array" ref="J510">_xlfn.IFS(K510=1,"Divorciado",L510=1,"Casado",M510=1,"Solteiro",N510=1,"Juntos",O510=1,"Viuvo")</f>
        <v>Solteiro</v>
      </c>
      <c r="K510" s="13">
        <v>0</v>
      </c>
      <c r="L510" s="13">
        <v>0</v>
      </c>
      <c r="M510" s="13">
        <v>1</v>
      </c>
      <c r="N510" s="13">
        <v>0</v>
      </c>
      <c r="O510" s="13">
        <v>0</v>
      </c>
      <c r="P510" s="13">
        <v>0</v>
      </c>
      <c r="Q510" s="13">
        <v>0</v>
      </c>
      <c r="R510" s="13">
        <v>0</v>
      </c>
      <c r="S510" s="13">
        <v>0</v>
      </c>
      <c r="T510" s="13">
        <v>1</v>
      </c>
      <c r="U510" s="13">
        <v>777</v>
      </c>
      <c r="V510" s="13" t="str" cm="1">
        <f t="array" ref="V510">_xlfn.IFS(U510&lt;=250,"0-R$250",U510&lt;=500,"251-R$500",U510&lt;=750,"501-R$750",U510&lt;=1000,"751-R$1000",U510&lt;=1250,"1001-R$1250",U510&lt;=1500,"1251-R$1500")</f>
        <v>751-R$1000</v>
      </c>
      <c r="W510" s="13">
        <v>30</v>
      </c>
      <c r="X510" s="13" t="str" cm="1">
        <f t="array" ref="X510">_xlfn.IFS(W510 = 0, "0", W510&lt;=20, "até R$20",W510&lt;=40, "21 - R$40",W510&lt;=60, "41- R$60",W510&lt;=80, "61 - R$80", W510&lt;=100, "81 - R$100",W510&lt;=120, "101 - R$120",W510&lt;=140, "121 - R$140", W510&lt;=160, "141- R$160", W510&lt;=180, "161 - R$180", W510&lt;=200, "181-R$194")</f>
        <v>21 - R$40</v>
      </c>
      <c r="Y510" s="13">
        <v>163</v>
      </c>
      <c r="Z510" s="13">
        <v>0</v>
      </c>
      <c r="AA510" s="13">
        <v>51</v>
      </c>
      <c r="AB510" s="13">
        <v>122</v>
      </c>
      <c r="AC510" s="13">
        <v>6</v>
      </c>
      <c r="AD510" s="13">
        <v>4</v>
      </c>
      <c r="AE510" s="13">
        <v>4</v>
      </c>
      <c r="AF510" s="13">
        <v>7</v>
      </c>
      <c r="AG510" s="13">
        <v>9</v>
      </c>
      <c r="AH510" s="13">
        <v>0</v>
      </c>
      <c r="AI510" s="13">
        <v>0</v>
      </c>
      <c r="AJ510" s="13">
        <v>0</v>
      </c>
      <c r="AK510" s="13">
        <v>0</v>
      </c>
      <c r="AL510" s="13">
        <v>0</v>
      </c>
      <c r="AM510" s="13">
        <v>0</v>
      </c>
      <c r="AN510" s="13">
        <v>0</v>
      </c>
      <c r="AO510" s="14">
        <v>0</v>
      </c>
      <c r="AP510" s="13">
        <v>3</v>
      </c>
      <c r="AQ510" s="13">
        <v>11</v>
      </c>
      <c r="AR510" s="15">
        <v>899</v>
      </c>
      <c r="AS510" s="15">
        <v>1021</v>
      </c>
    </row>
    <row r="511" spans="1:45" x14ac:dyDescent="0.25">
      <c r="A511">
        <v>385</v>
      </c>
      <c r="B511" s="11">
        <f t="shared" si="7"/>
        <v>75276</v>
      </c>
      <c r="C511" s="16">
        <v>752760</v>
      </c>
      <c r="D511" s="17">
        <v>0</v>
      </c>
      <c r="E511" s="17">
        <v>0</v>
      </c>
      <c r="F511" s="17">
        <v>2</v>
      </c>
      <c r="G511" s="17">
        <v>55</v>
      </c>
      <c r="H511" s="13" t="str" cm="1">
        <f t="array" ref="H511">_xlfn.IFS(G511&lt;=20,"0-20",G511&lt;=30,"20-30",G511&lt;=40,"30-40",G511&lt;=50,"50-60",G511&lt;=60,"60-70",G511&lt;=70,"70-80",G511&lt;=80,"80-90")</f>
        <v>60-70</v>
      </c>
      <c r="I511" s="17">
        <v>2799</v>
      </c>
      <c r="J511" s="13" t="str" cm="1">
        <f t="array" ref="J511">_xlfn.IFS(K511=1,"Divorciado",L511=1,"Casado",M511=1,"Solteiro",N511=1,"Juntos",O511=1,"Viuvo")</f>
        <v>Juntos</v>
      </c>
      <c r="K511" s="17">
        <v>0</v>
      </c>
      <c r="L511" s="17">
        <v>0</v>
      </c>
      <c r="M511" s="17">
        <v>0</v>
      </c>
      <c r="N511" s="17">
        <v>1</v>
      </c>
      <c r="O511" s="17">
        <v>0</v>
      </c>
      <c r="P511" s="17">
        <v>0</v>
      </c>
      <c r="Q511" s="17">
        <v>0</v>
      </c>
      <c r="R511" s="17">
        <v>1</v>
      </c>
      <c r="S511" s="17">
        <v>0</v>
      </c>
      <c r="T511" s="17">
        <v>0</v>
      </c>
      <c r="U511" s="17">
        <v>610</v>
      </c>
      <c r="V511" s="13" t="str" cm="1">
        <f t="array" ref="V511">_xlfn.IFS(U511&lt;=250,"0-R$250",U511&lt;=500,"251-R$500",U511&lt;=750,"501-R$750",U511&lt;=1000,"751-R$1000",U511&lt;=1250,"1001-R$1250",U511&lt;=1500,"1251-R$1500")</f>
        <v>501-R$750</v>
      </c>
      <c r="W511" s="17">
        <v>105</v>
      </c>
      <c r="X511" s="13" t="str" cm="1">
        <f t="array" ref="X511">_xlfn.IFS(W511 = 0, "0", W511&lt;=20, "até R$20",W511&lt;=40, "21 - R$40",W511&lt;=60, "41- R$60",W511&lt;=80, "61 - R$80", W511&lt;=100, "81 - R$100",W511&lt;=120, "101 - R$120",W511&lt;=140, "121 - R$140", W511&lt;=160, "141- R$160", W511&lt;=180, "161 - R$180", W511&lt;=200, "181-R$194")</f>
        <v>101 - R$120</v>
      </c>
      <c r="Y511" s="17">
        <v>125</v>
      </c>
      <c r="Z511" s="17">
        <v>137</v>
      </c>
      <c r="AA511" s="17">
        <v>42</v>
      </c>
      <c r="AB511" s="17">
        <v>21</v>
      </c>
      <c r="AC511" s="17">
        <v>1</v>
      </c>
      <c r="AD511" s="17">
        <v>9</v>
      </c>
      <c r="AE511" s="17">
        <v>4</v>
      </c>
      <c r="AF511" s="17">
        <v>9</v>
      </c>
      <c r="AG511" s="17">
        <v>5</v>
      </c>
      <c r="AH511" s="17">
        <v>0</v>
      </c>
      <c r="AI511" s="17">
        <v>0</v>
      </c>
      <c r="AJ511" s="17">
        <v>0</v>
      </c>
      <c r="AK511" s="17">
        <v>0</v>
      </c>
      <c r="AL511" s="17">
        <v>0</v>
      </c>
      <c r="AM511" s="17">
        <v>0</v>
      </c>
      <c r="AN511" s="17">
        <v>0</v>
      </c>
      <c r="AO511" s="18">
        <v>0</v>
      </c>
      <c r="AP511" s="17">
        <v>3</v>
      </c>
      <c r="AQ511" s="17">
        <v>11</v>
      </c>
      <c r="AR511" s="19">
        <v>998</v>
      </c>
      <c r="AS511" s="19">
        <v>1019</v>
      </c>
    </row>
    <row r="512" spans="1:45" x14ac:dyDescent="0.25">
      <c r="A512">
        <v>738</v>
      </c>
      <c r="B512" s="11">
        <f t="shared" si="7"/>
        <v>58512</v>
      </c>
      <c r="C512" s="12">
        <v>585120</v>
      </c>
      <c r="D512" s="13">
        <v>0</v>
      </c>
      <c r="E512" s="13">
        <v>1</v>
      </c>
      <c r="F512" s="13">
        <v>25</v>
      </c>
      <c r="G512" s="13">
        <v>56</v>
      </c>
      <c r="H512" s="13" t="str" cm="1">
        <f t="array" ref="H512">_xlfn.IFS(G512&lt;=20,"0-20",G512&lt;=30,"20-30",G512&lt;=40,"30-40",G512&lt;=50,"50-60",G512&lt;=60,"60-70",G512&lt;=70,"70-80",G512&lt;=80,"80-90")</f>
        <v>60-70</v>
      </c>
      <c r="I512" s="13">
        <v>2442</v>
      </c>
      <c r="J512" s="13" t="str" cm="1">
        <f t="array" ref="J512">_xlfn.IFS(K512=1,"Divorciado",L512=1,"Casado",M512=1,"Solteiro",N512=1,"Juntos",O512=1,"Viuvo")</f>
        <v>Casado</v>
      </c>
      <c r="K512" s="13">
        <v>0</v>
      </c>
      <c r="L512" s="13">
        <v>1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1</v>
      </c>
      <c r="S512" s="13">
        <v>0</v>
      </c>
      <c r="T512" s="13">
        <v>0</v>
      </c>
      <c r="U512" s="13">
        <v>895</v>
      </c>
      <c r="V512" s="13" t="str" cm="1">
        <f t="array" ref="V512">_xlfn.IFS(U512&lt;=250,"0-R$250",U512&lt;=500,"251-R$500",U512&lt;=750,"501-R$750",U512&lt;=1000,"751-R$1000",U512&lt;=1250,"1001-R$1250",U512&lt;=1500,"1251-R$1500")</f>
        <v>751-R$1000</v>
      </c>
      <c r="W512" s="13">
        <v>10</v>
      </c>
      <c r="X512" s="13" t="str" cm="1">
        <f t="array" ref="X512">_xlfn.IFS(W512 = 0, "0", W512&lt;=20, "até R$20",W512&lt;=40, "21 - R$40",W512&lt;=60, "41- R$60",W512&lt;=80, "61 - R$80", W512&lt;=100, "81 - R$100",W512&lt;=120, "101 - R$120",W512&lt;=140, "121 - R$140", W512&lt;=160, "141- R$160", W512&lt;=180, "161 - R$180", W512&lt;=200, "181-R$194")</f>
        <v>até R$20</v>
      </c>
      <c r="Y512" s="13">
        <v>101</v>
      </c>
      <c r="Z512" s="13">
        <v>13</v>
      </c>
      <c r="AA512" s="13">
        <v>0</v>
      </c>
      <c r="AB512" s="13">
        <v>152</v>
      </c>
      <c r="AC512" s="13">
        <v>5</v>
      </c>
      <c r="AD512" s="13">
        <v>3</v>
      </c>
      <c r="AE512" s="13">
        <v>4</v>
      </c>
      <c r="AF512" s="13">
        <v>8</v>
      </c>
      <c r="AG512" s="13">
        <v>8</v>
      </c>
      <c r="AH512" s="13">
        <v>0</v>
      </c>
      <c r="AI512" s="13">
        <v>0</v>
      </c>
      <c r="AJ512" s="13">
        <v>0</v>
      </c>
      <c r="AK512" s="13">
        <v>0</v>
      </c>
      <c r="AL512" s="13">
        <v>0</v>
      </c>
      <c r="AM512" s="13">
        <v>0</v>
      </c>
      <c r="AN512" s="13">
        <v>0</v>
      </c>
      <c r="AO512" s="14">
        <v>0</v>
      </c>
      <c r="AP512" s="13">
        <v>3</v>
      </c>
      <c r="AQ512" s="13">
        <v>11</v>
      </c>
      <c r="AR512" s="15">
        <v>867</v>
      </c>
      <c r="AS512" s="15">
        <v>1019</v>
      </c>
    </row>
    <row r="513" spans="1:45" x14ac:dyDescent="0.25">
      <c r="A513">
        <v>2086</v>
      </c>
      <c r="B513" s="11">
        <f t="shared" si="7"/>
        <v>69805</v>
      </c>
      <c r="C513" s="12">
        <v>698050</v>
      </c>
      <c r="D513" s="13">
        <v>0</v>
      </c>
      <c r="E513" s="13">
        <v>1</v>
      </c>
      <c r="F513" s="13">
        <v>50</v>
      </c>
      <c r="G513" s="13">
        <v>68</v>
      </c>
      <c r="H513" s="13" t="str" cm="1">
        <f t="array" ref="H513">_xlfn.IFS(G513&lt;=20,"0-20",G513&lt;=30,"20-30",G513&lt;=40,"30-40",G513&lt;=50,"50-60",G513&lt;=60,"60-70",G513&lt;=70,"70-80",G513&lt;=80,"80-90")</f>
        <v>70-80</v>
      </c>
      <c r="I513" s="13">
        <v>2318</v>
      </c>
      <c r="J513" s="13" t="str" cm="1">
        <f t="array" ref="J513">_xlfn.IFS(K513=1,"Divorciado",L513=1,"Casado",M513=1,"Solteiro",N513=1,"Juntos",O513=1,"Viuvo")</f>
        <v>Juntos</v>
      </c>
      <c r="K513" s="13">
        <v>0</v>
      </c>
      <c r="L513" s="13">
        <v>0</v>
      </c>
      <c r="M513" s="13">
        <v>0</v>
      </c>
      <c r="N513" s="13">
        <v>1</v>
      </c>
      <c r="O513" s="13">
        <v>0</v>
      </c>
      <c r="P513" s="13">
        <v>0</v>
      </c>
      <c r="Q513" s="13">
        <v>0</v>
      </c>
      <c r="R513" s="13">
        <v>0</v>
      </c>
      <c r="S513" s="13">
        <v>0</v>
      </c>
      <c r="T513" s="13">
        <v>1</v>
      </c>
      <c r="U513" s="13">
        <v>750</v>
      </c>
      <c r="V513" s="13" t="str" cm="1">
        <f t="array" ref="V513">_xlfn.IFS(U513&lt;=250,"0-R$250",U513&lt;=500,"251-R$500",U513&lt;=750,"501-R$750",U513&lt;=1000,"751-R$1000",U513&lt;=1250,"1001-R$1250",U513&lt;=1500,"1251-R$1500")</f>
        <v>501-R$750</v>
      </c>
      <c r="W513" s="13">
        <v>71</v>
      </c>
      <c r="X513" s="13" t="str" cm="1">
        <f t="array" ref="X513">_xlfn.IFS(W513 = 0, "0", W513&lt;=20, "até R$20",W513&lt;=40, "21 - R$40",W513&lt;=60, "41- R$60",W513&lt;=80, "61 - R$80", W513&lt;=100, "81 - R$100",W513&lt;=120, "101 - R$120",W513&lt;=140, "121 - R$140", W513&lt;=160, "141- R$160", W513&lt;=180, "161 - R$180", W513&lt;=200, "181-R$194")</f>
        <v>61 - R$80</v>
      </c>
      <c r="Y513" s="13">
        <v>174</v>
      </c>
      <c r="Z513" s="13">
        <v>13</v>
      </c>
      <c r="AA513" s="13">
        <v>10</v>
      </c>
      <c r="AB513" s="13">
        <v>20</v>
      </c>
      <c r="AC513" s="13">
        <v>2</v>
      </c>
      <c r="AD513" s="13">
        <v>6</v>
      </c>
      <c r="AE513" s="13">
        <v>8</v>
      </c>
      <c r="AF513" s="13">
        <v>11</v>
      </c>
      <c r="AG513" s="13">
        <v>2</v>
      </c>
      <c r="AH513" s="13">
        <v>0</v>
      </c>
      <c r="AI513" s="13">
        <v>0</v>
      </c>
      <c r="AJ513" s="13">
        <v>0</v>
      </c>
      <c r="AK513" s="13">
        <v>0</v>
      </c>
      <c r="AL513" s="13">
        <v>0</v>
      </c>
      <c r="AM513" s="13">
        <v>0</v>
      </c>
      <c r="AN513" s="13">
        <v>0</v>
      </c>
      <c r="AO513" s="14">
        <v>0</v>
      </c>
      <c r="AP513" s="13">
        <v>3</v>
      </c>
      <c r="AQ513" s="13">
        <v>11</v>
      </c>
      <c r="AR513" s="15">
        <v>998</v>
      </c>
      <c r="AS513" s="15">
        <v>1018</v>
      </c>
    </row>
    <row r="514" spans="1:45" x14ac:dyDescent="0.25">
      <c r="A514">
        <v>825</v>
      </c>
      <c r="B514" s="11">
        <f t="shared" ref="B514:B577" si="8">C514/10</f>
        <v>82504</v>
      </c>
      <c r="C514" s="16">
        <v>825040</v>
      </c>
      <c r="D514" s="17">
        <v>0</v>
      </c>
      <c r="E514" s="17">
        <v>0</v>
      </c>
      <c r="F514" s="17">
        <v>2</v>
      </c>
      <c r="G514" s="17">
        <v>60</v>
      </c>
      <c r="H514" s="13" t="str" cm="1">
        <f t="array" ref="H514">_xlfn.IFS(G514&lt;=20,"0-20",G514&lt;=30,"20-30",G514&lt;=40,"30-40",G514&lt;=50,"50-60",G514&lt;=60,"60-70",G514&lt;=70,"70-80",G514&lt;=80,"80-90")</f>
        <v>60-70</v>
      </c>
      <c r="I514" s="17">
        <v>2496</v>
      </c>
      <c r="J514" s="13" t="str" cm="1">
        <f t="array" ref="J514">_xlfn.IFS(K514=1,"Divorciado",L514=1,"Casado",M514=1,"Solteiro",N514=1,"Juntos",O514=1,"Viuvo")</f>
        <v>Casado</v>
      </c>
      <c r="K514" s="17">
        <v>0</v>
      </c>
      <c r="L514" s="17">
        <v>1</v>
      </c>
      <c r="M514" s="17">
        <v>0</v>
      </c>
      <c r="N514" s="17">
        <v>0</v>
      </c>
      <c r="O514" s="17">
        <v>0</v>
      </c>
      <c r="P514" s="17">
        <v>1</v>
      </c>
      <c r="Q514" s="17">
        <v>0</v>
      </c>
      <c r="R514" s="17">
        <v>0</v>
      </c>
      <c r="S514" s="17">
        <v>0</v>
      </c>
      <c r="T514" s="17">
        <v>0</v>
      </c>
      <c r="U514" s="17">
        <v>362</v>
      </c>
      <c r="V514" s="13" t="str" cm="1">
        <f t="array" ref="V514">_xlfn.IFS(U514&lt;=250,"0-R$250",U514&lt;=500,"251-R$500",U514&lt;=750,"501-R$750",U514&lt;=1000,"751-R$1000",U514&lt;=1250,"1001-R$1250",U514&lt;=1500,"1251-R$1500")</f>
        <v>251-R$500</v>
      </c>
      <c r="W514" s="17">
        <v>50</v>
      </c>
      <c r="X514" s="13" t="str" cm="1">
        <f t="array" ref="X514">_xlfn.IFS(W514 = 0, "0", W514&lt;=20, "até R$20",W514&lt;=40, "21 - R$40",W514&lt;=60, "41- R$60",W514&lt;=80, "61 - R$80", W514&lt;=100, "81 - R$100",W514&lt;=120, "101 - R$120",W514&lt;=140, "121 - R$140", W514&lt;=160, "141- R$160", W514&lt;=180, "161 - R$180", W514&lt;=200, "181-R$194")</f>
        <v>41- R$60</v>
      </c>
      <c r="Y514" s="17">
        <v>431</v>
      </c>
      <c r="Z514" s="17">
        <v>134</v>
      </c>
      <c r="AA514" s="17">
        <v>35</v>
      </c>
      <c r="AB514" s="17">
        <v>54</v>
      </c>
      <c r="AC514" s="17">
        <v>1</v>
      </c>
      <c r="AD514" s="17">
        <v>3</v>
      </c>
      <c r="AE514" s="17">
        <v>6</v>
      </c>
      <c r="AF514" s="17">
        <v>7</v>
      </c>
      <c r="AG514" s="17">
        <v>1</v>
      </c>
      <c r="AH514" s="17">
        <v>0</v>
      </c>
      <c r="AI514" s="17">
        <v>0</v>
      </c>
      <c r="AJ514" s="17">
        <v>0</v>
      </c>
      <c r="AK514" s="17">
        <v>0</v>
      </c>
      <c r="AL514" s="17">
        <v>0</v>
      </c>
      <c r="AM514" s="17">
        <v>0</v>
      </c>
      <c r="AN514" s="17">
        <v>0</v>
      </c>
      <c r="AO514" s="18">
        <v>0</v>
      </c>
      <c r="AP514" s="17">
        <v>3</v>
      </c>
      <c r="AQ514" s="17">
        <v>11</v>
      </c>
      <c r="AR514" s="19">
        <v>958</v>
      </c>
      <c r="AS514" s="19">
        <v>1012</v>
      </c>
    </row>
    <row r="515" spans="1:45" x14ac:dyDescent="0.25">
      <c r="A515">
        <v>215</v>
      </c>
      <c r="B515" s="11">
        <f t="shared" si="8"/>
        <v>51537</v>
      </c>
      <c r="C515" s="16">
        <v>515370</v>
      </c>
      <c r="D515" s="17">
        <v>0</v>
      </c>
      <c r="E515" s="17">
        <v>1</v>
      </c>
      <c r="F515" s="17">
        <v>27</v>
      </c>
      <c r="G515" s="17">
        <v>68</v>
      </c>
      <c r="H515" s="13" t="str" cm="1">
        <f t="array" ref="H515">_xlfn.IFS(G515&lt;=20,"0-20",G515&lt;=30,"20-30",G515&lt;=40,"30-40",G515&lt;=50,"50-60",G515&lt;=60,"60-70",G515&lt;=70,"70-80",G515&lt;=80,"80-90")</f>
        <v>70-80</v>
      </c>
      <c r="I515" s="17">
        <v>2726</v>
      </c>
      <c r="J515" s="13" t="str" cm="1">
        <f t="array" ref="J515">_xlfn.IFS(K515=1,"Divorciado",L515=1,"Casado",M515=1,"Solteiro",N515=1,"Juntos",O515=1,"Viuvo")</f>
        <v>Divorciado</v>
      </c>
      <c r="K515" s="17">
        <v>1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1</v>
      </c>
      <c r="S515" s="17">
        <v>0</v>
      </c>
      <c r="T515" s="17">
        <v>0</v>
      </c>
      <c r="U515" s="17">
        <v>787</v>
      </c>
      <c r="V515" s="13" t="str" cm="1">
        <f t="array" ref="V515">_xlfn.IFS(U515&lt;=250,"0-R$250",U515&lt;=500,"251-R$500",U515&lt;=750,"501-R$750",U515&lt;=1000,"751-R$1000",U515&lt;=1250,"1001-R$1250",U515&lt;=1500,"1251-R$1500")</f>
        <v>751-R$1000</v>
      </c>
      <c r="W515" s="17">
        <v>20</v>
      </c>
      <c r="X515" s="13" t="str" cm="1">
        <f t="array" ref="X515">_xlfn.IFS(W515 = 0, "0", W515&lt;=20, "até R$20",W515&lt;=40, "21 - R$40",W515&lt;=60, "41- R$60",W515&lt;=80, "61 - R$80", W515&lt;=100, "81 - R$100",W515&lt;=120, "101 - R$120",W515&lt;=140, "121 - R$140", W515&lt;=160, "141- R$160", W515&lt;=180, "161 - R$180", W515&lt;=200, "181-R$194")</f>
        <v>até R$20</v>
      </c>
      <c r="Y515" s="17">
        <v>204</v>
      </c>
      <c r="Z515" s="17">
        <v>0</v>
      </c>
      <c r="AA515" s="17">
        <v>0</v>
      </c>
      <c r="AB515" s="17">
        <v>92</v>
      </c>
      <c r="AC515" s="17">
        <v>3</v>
      </c>
      <c r="AD515" s="17">
        <v>2</v>
      </c>
      <c r="AE515" s="17">
        <v>2</v>
      </c>
      <c r="AF515" s="17">
        <v>11</v>
      </c>
      <c r="AG515" s="17">
        <v>8</v>
      </c>
      <c r="AH515" s="17">
        <v>0</v>
      </c>
      <c r="AI515" s="17">
        <v>0</v>
      </c>
      <c r="AJ515" s="17">
        <v>0</v>
      </c>
      <c r="AK515" s="17">
        <v>0</v>
      </c>
      <c r="AL515" s="17">
        <v>0</v>
      </c>
      <c r="AM515" s="17">
        <v>0</v>
      </c>
      <c r="AN515" s="17">
        <v>0</v>
      </c>
      <c r="AO515" s="18">
        <v>0</v>
      </c>
      <c r="AP515" s="17">
        <v>3</v>
      </c>
      <c r="AQ515" s="17">
        <v>11</v>
      </c>
      <c r="AR515" s="19">
        <v>919</v>
      </c>
      <c r="AS515" s="19">
        <v>1011</v>
      </c>
    </row>
    <row r="516" spans="1:45" x14ac:dyDescent="0.25">
      <c r="A516">
        <v>699</v>
      </c>
      <c r="B516" s="11">
        <f t="shared" si="8"/>
        <v>58710</v>
      </c>
      <c r="C516" s="16">
        <v>587100</v>
      </c>
      <c r="D516" s="17">
        <v>0</v>
      </c>
      <c r="E516" s="17">
        <v>1</v>
      </c>
      <c r="F516" s="17">
        <v>77</v>
      </c>
      <c r="G516" s="17">
        <v>50</v>
      </c>
      <c r="H516" s="13" t="str" cm="1">
        <f t="array" ref="H516">_xlfn.IFS(G516&lt;=20,"0-20",G516&lt;=30,"20-30",G516&lt;=40,"30-40",G516&lt;=50,"50-60",G516&lt;=60,"60-70",G516&lt;=70,"70-80",G516&lt;=80,"80-90")</f>
        <v>50-60</v>
      </c>
      <c r="I516" s="17">
        <v>2614</v>
      </c>
      <c r="J516" s="13" t="str" cm="1">
        <f t="array" ref="J516">_xlfn.IFS(K516=1,"Divorciado",L516=1,"Casado",M516=1,"Solteiro",N516=1,"Juntos",O516=1,"Viuvo")</f>
        <v>Divorciado</v>
      </c>
      <c r="K516" s="17">
        <v>1</v>
      </c>
      <c r="L516" s="17">
        <v>0</v>
      </c>
      <c r="M516" s="17">
        <v>0</v>
      </c>
      <c r="N516" s="17">
        <v>0</v>
      </c>
      <c r="O516" s="17">
        <v>0</v>
      </c>
      <c r="P516" s="17">
        <v>0</v>
      </c>
      <c r="Q516" s="17">
        <v>0</v>
      </c>
      <c r="R516" s="17">
        <v>1</v>
      </c>
      <c r="S516" s="17">
        <v>0</v>
      </c>
      <c r="T516" s="17">
        <v>0</v>
      </c>
      <c r="U516" s="17">
        <v>440</v>
      </c>
      <c r="V516" s="13" t="str" cm="1">
        <f t="array" ref="V516">_xlfn.IFS(U516&lt;=250,"0-R$250",U516&lt;=500,"251-R$500",U516&lt;=750,"501-R$750",U516&lt;=1000,"751-R$1000",U516&lt;=1250,"1001-R$1250",U516&lt;=1500,"1251-R$1500")</f>
        <v>251-R$500</v>
      </c>
      <c r="W516" s="17">
        <v>81</v>
      </c>
      <c r="X516" s="13" t="str" cm="1">
        <f t="array" ref="X516">_xlfn.IFS(W516 = 0, "0", W516&lt;=20, "até R$20",W516&lt;=40, "21 - R$40",W516&lt;=60, "41- R$60",W516&lt;=80, "61 - R$80", W516&lt;=100, "81 - R$100",W516&lt;=120, "101 - R$120",W516&lt;=140, "121 - R$140", W516&lt;=160, "141- R$160", W516&lt;=180, "161 - R$180", W516&lt;=200, "181-R$194")</f>
        <v>81 - R$100</v>
      </c>
      <c r="Y516" s="17">
        <v>368</v>
      </c>
      <c r="Z516" s="17">
        <v>0</v>
      </c>
      <c r="AA516" s="17">
        <v>122</v>
      </c>
      <c r="AB516" s="17">
        <v>174</v>
      </c>
      <c r="AC516" s="17">
        <v>6</v>
      </c>
      <c r="AD516" s="17">
        <v>11</v>
      </c>
      <c r="AE516" s="17">
        <v>5</v>
      </c>
      <c r="AF516" s="17">
        <v>9</v>
      </c>
      <c r="AG516" s="17">
        <v>6</v>
      </c>
      <c r="AH516" s="17">
        <v>0</v>
      </c>
      <c r="AI516" s="17">
        <v>0</v>
      </c>
      <c r="AJ516" s="17">
        <v>0</v>
      </c>
      <c r="AK516" s="17">
        <v>0</v>
      </c>
      <c r="AL516" s="17">
        <v>0</v>
      </c>
      <c r="AM516" s="17">
        <v>0</v>
      </c>
      <c r="AN516" s="17">
        <v>0</v>
      </c>
      <c r="AO516" s="18">
        <v>0</v>
      </c>
      <c r="AP516" s="17">
        <v>3</v>
      </c>
      <c r="AQ516" s="17">
        <v>11</v>
      </c>
      <c r="AR516" s="19">
        <v>837</v>
      </c>
      <c r="AS516" s="19">
        <v>1011</v>
      </c>
    </row>
    <row r="517" spans="1:45" x14ac:dyDescent="0.25">
      <c r="A517">
        <v>1138</v>
      </c>
      <c r="B517" s="11">
        <f t="shared" si="8"/>
        <v>56715</v>
      </c>
      <c r="C517" s="12">
        <v>567150</v>
      </c>
      <c r="D517" s="13">
        <v>0</v>
      </c>
      <c r="E517" s="13">
        <v>0</v>
      </c>
      <c r="F517" s="13">
        <v>52</v>
      </c>
      <c r="G517" s="13">
        <v>46</v>
      </c>
      <c r="H517" s="13" t="str" cm="1">
        <f t="array" ref="H517">_xlfn.IFS(G517&lt;=20,"0-20",G517&lt;=30,"20-30",G517&lt;=40,"30-40",G517&lt;=50,"50-60",G517&lt;=60,"60-70",G517&lt;=70,"70-80",G517&lt;=80,"80-90")</f>
        <v>50-60</v>
      </c>
      <c r="I517" s="13">
        <v>2730</v>
      </c>
      <c r="J517" s="13" t="str" cm="1">
        <f t="array" ref="J517">_xlfn.IFS(K517=1,"Divorciado",L517=1,"Casado",M517=1,"Solteiro",N517=1,"Juntos",O517=1,"Viuvo")</f>
        <v>Juntos</v>
      </c>
      <c r="K517" s="13">
        <v>0</v>
      </c>
      <c r="L517" s="13">
        <v>0</v>
      </c>
      <c r="M517" s="13">
        <v>0</v>
      </c>
      <c r="N517" s="13">
        <v>1</v>
      </c>
      <c r="O517" s="13">
        <v>0</v>
      </c>
      <c r="P517" s="13">
        <v>0</v>
      </c>
      <c r="Q517" s="13">
        <v>0</v>
      </c>
      <c r="R517" s="13">
        <v>1</v>
      </c>
      <c r="S517" s="13">
        <v>0</v>
      </c>
      <c r="T517" s="13">
        <v>0</v>
      </c>
      <c r="U517" s="13">
        <v>258</v>
      </c>
      <c r="V517" s="13" t="str" cm="1">
        <f t="array" ref="V517">_xlfn.IFS(U517&lt;=250,"0-R$250",U517&lt;=500,"251-R$500",U517&lt;=750,"501-R$750",U517&lt;=1000,"751-R$1000",U517&lt;=1250,"1001-R$1250",U517&lt;=1500,"1251-R$1500")</f>
        <v>251-R$500</v>
      </c>
      <c r="W517" s="13">
        <v>105</v>
      </c>
      <c r="X517" s="13" t="str" cm="1">
        <f t="array" ref="X517">_xlfn.IFS(W517 = 0, "0", W517&lt;=20, "até R$20",W517&lt;=40, "21 - R$40",W517&lt;=60, "41- R$60",W517&lt;=80, "61 - R$80", W517&lt;=100, "81 - R$100",W517&lt;=120, "101 - R$120",W517&lt;=140, "121 - R$140", W517&lt;=160, "141- R$160", W517&lt;=180, "161 - R$180", W517&lt;=200, "181-R$194")</f>
        <v>101 - R$120</v>
      </c>
      <c r="Y517" s="13">
        <v>239</v>
      </c>
      <c r="Z517" s="13">
        <v>237</v>
      </c>
      <c r="AA517" s="13">
        <v>172</v>
      </c>
      <c r="AB517" s="13">
        <v>9</v>
      </c>
      <c r="AC517" s="13">
        <v>1</v>
      </c>
      <c r="AD517" s="13">
        <v>7</v>
      </c>
      <c r="AE517" s="13">
        <v>3</v>
      </c>
      <c r="AF517" s="13">
        <v>4</v>
      </c>
      <c r="AG517" s="13">
        <v>4</v>
      </c>
      <c r="AH517" s="13">
        <v>0</v>
      </c>
      <c r="AI517" s="13">
        <v>0</v>
      </c>
      <c r="AJ517" s="13">
        <v>0</v>
      </c>
      <c r="AK517" s="13">
        <v>0</v>
      </c>
      <c r="AL517" s="13">
        <v>0</v>
      </c>
      <c r="AM517" s="13">
        <v>0</v>
      </c>
      <c r="AN517" s="13">
        <v>0</v>
      </c>
      <c r="AO517" s="14">
        <v>0</v>
      </c>
      <c r="AP517" s="13">
        <v>3</v>
      </c>
      <c r="AQ517" s="13">
        <v>11</v>
      </c>
      <c r="AR517" s="15">
        <v>1002</v>
      </c>
      <c r="AS517" s="15">
        <v>1011</v>
      </c>
    </row>
    <row r="518" spans="1:45" x14ac:dyDescent="0.25">
      <c r="A518">
        <v>836</v>
      </c>
      <c r="B518" s="11">
        <f t="shared" si="8"/>
        <v>60474</v>
      </c>
      <c r="C518" s="12">
        <v>604740</v>
      </c>
      <c r="D518" s="13">
        <v>0</v>
      </c>
      <c r="E518" s="13">
        <v>1</v>
      </c>
      <c r="F518" s="13">
        <v>25</v>
      </c>
      <c r="G518" s="13">
        <v>41</v>
      </c>
      <c r="H518" s="13" t="str" cm="1">
        <f t="array" ref="H518">_xlfn.IFS(G518&lt;=20,"0-20",G518&lt;=30,"20-30",G518&lt;=40,"30-40",G518&lt;=50,"50-60",G518&lt;=60,"60-70",G518&lt;=70,"70-80",G518&lt;=80,"80-90")</f>
        <v>50-60</v>
      </c>
      <c r="I518" s="13">
        <v>2613</v>
      </c>
      <c r="J518" s="13" t="str" cm="1">
        <f t="array" ref="J518">_xlfn.IFS(K518=1,"Divorciado",L518=1,"Casado",M518=1,"Solteiro",N518=1,"Juntos",O518=1,"Viuvo")</f>
        <v>Solteiro</v>
      </c>
      <c r="K518" s="13">
        <v>0</v>
      </c>
      <c r="L518" s="13">
        <v>0</v>
      </c>
      <c r="M518" s="13">
        <v>1</v>
      </c>
      <c r="N518" s="13">
        <v>0</v>
      </c>
      <c r="O518" s="13">
        <v>0</v>
      </c>
      <c r="P518" s="13">
        <v>0</v>
      </c>
      <c r="Q518" s="13">
        <v>0</v>
      </c>
      <c r="R518" s="13">
        <v>1</v>
      </c>
      <c r="S518" s="13">
        <v>0</v>
      </c>
      <c r="T518" s="13">
        <v>0</v>
      </c>
      <c r="U518" s="13">
        <v>265</v>
      </c>
      <c r="V518" s="13" t="str" cm="1">
        <f t="array" ref="V518">_xlfn.IFS(U518&lt;=250,"0-R$250",U518&lt;=500,"251-R$500",U518&lt;=750,"501-R$750",U518&lt;=1000,"751-R$1000",U518&lt;=1250,"1001-R$1250",U518&lt;=1500,"1251-R$1500")</f>
        <v>251-R$500</v>
      </c>
      <c r="W518" s="13">
        <v>199</v>
      </c>
      <c r="X518" s="13" t="str" cm="1">
        <f t="array" ref="X518">_xlfn.IFS(W518 = 0, "0", W518&lt;=20, "até R$20",W518&lt;=40, "21 - R$40",W518&lt;=60, "41- R$60",W518&lt;=80, "61 - R$80", W518&lt;=100, "81 - R$100",W518&lt;=120, "101 - R$120",W518&lt;=140, "121 - R$140", W518&lt;=160, "141- R$160", W518&lt;=180, "161 - R$180", W518&lt;=200, "181-R$194")</f>
        <v>181-R$194</v>
      </c>
      <c r="Y518" s="13">
        <v>303</v>
      </c>
      <c r="Z518" s="13">
        <v>234</v>
      </c>
      <c r="AA518" s="13">
        <v>9</v>
      </c>
      <c r="AB518" s="13">
        <v>170</v>
      </c>
      <c r="AC518" s="13">
        <v>7</v>
      </c>
      <c r="AD518" s="13">
        <v>10</v>
      </c>
      <c r="AE518" s="13">
        <v>2</v>
      </c>
      <c r="AF518" s="13">
        <v>12</v>
      </c>
      <c r="AG518" s="13">
        <v>7</v>
      </c>
      <c r="AH518" s="13">
        <v>0</v>
      </c>
      <c r="AI518" s="13">
        <v>0</v>
      </c>
      <c r="AJ518" s="13">
        <v>0</v>
      </c>
      <c r="AK518" s="13">
        <v>0</v>
      </c>
      <c r="AL518" s="13">
        <v>0</v>
      </c>
      <c r="AM518" s="13">
        <v>0</v>
      </c>
      <c r="AN518" s="13">
        <v>0</v>
      </c>
      <c r="AO518" s="14">
        <v>0</v>
      </c>
      <c r="AP518" s="13">
        <v>3</v>
      </c>
      <c r="AQ518" s="13">
        <v>11</v>
      </c>
      <c r="AR518" s="15">
        <v>840</v>
      </c>
      <c r="AS518" s="15">
        <v>1010</v>
      </c>
    </row>
    <row r="519" spans="1:45" x14ac:dyDescent="0.25">
      <c r="A519">
        <v>1456</v>
      </c>
      <c r="B519" s="11">
        <f t="shared" si="8"/>
        <v>60474</v>
      </c>
      <c r="C519" s="12">
        <v>604740</v>
      </c>
      <c r="D519" s="13">
        <v>0</v>
      </c>
      <c r="E519" s="13">
        <v>1</v>
      </c>
      <c r="F519" s="13">
        <v>25</v>
      </c>
      <c r="G519" s="13">
        <v>41</v>
      </c>
      <c r="H519" s="13" t="str" cm="1">
        <f t="array" ref="H519">_xlfn.IFS(G519&lt;=20,"0-20",G519&lt;=30,"20-30",G519&lt;=40,"30-40",G519&lt;=50,"50-60",G519&lt;=60,"60-70",G519&lt;=70,"70-80",G519&lt;=80,"80-90")</f>
        <v>50-60</v>
      </c>
      <c r="I519" s="13">
        <v>2613</v>
      </c>
      <c r="J519" s="13" t="str" cm="1">
        <f t="array" ref="J519">_xlfn.IFS(K519=1,"Divorciado",L519=1,"Casado",M519=1,"Solteiro",N519=1,"Juntos",O519=1,"Viuvo")</f>
        <v>Solteiro</v>
      </c>
      <c r="K519" s="13">
        <v>0</v>
      </c>
      <c r="L519" s="13">
        <v>0</v>
      </c>
      <c r="M519" s="13">
        <v>1</v>
      </c>
      <c r="N519" s="13">
        <v>0</v>
      </c>
      <c r="O519" s="13">
        <v>0</v>
      </c>
      <c r="P519" s="13">
        <v>0</v>
      </c>
      <c r="Q519" s="13">
        <v>0</v>
      </c>
      <c r="R519" s="13">
        <v>1</v>
      </c>
      <c r="S519" s="13">
        <v>0</v>
      </c>
      <c r="T519" s="13">
        <v>0</v>
      </c>
      <c r="U519" s="13">
        <v>265</v>
      </c>
      <c r="V519" s="13" t="str" cm="1">
        <f t="array" ref="V519">_xlfn.IFS(U519&lt;=250,"0-R$250",U519&lt;=500,"251-R$500",U519&lt;=750,"501-R$750",U519&lt;=1000,"751-R$1000",U519&lt;=1250,"1001-R$1250",U519&lt;=1500,"1251-R$1500")</f>
        <v>251-R$500</v>
      </c>
      <c r="W519" s="13">
        <v>199</v>
      </c>
      <c r="X519" s="13" t="str" cm="1">
        <f t="array" ref="X519">_xlfn.IFS(W519 = 0, "0", W519&lt;=20, "até R$20",W519&lt;=40, "21 - R$40",W519&lt;=60, "41- R$60",W519&lt;=80, "61 - R$80", W519&lt;=100, "81 - R$100",W519&lt;=120, "101 - R$120",W519&lt;=140, "121 - R$140", W519&lt;=160, "141- R$160", W519&lt;=180, "161 - R$180", W519&lt;=200, "181-R$194")</f>
        <v>181-R$194</v>
      </c>
      <c r="Y519" s="13">
        <v>303</v>
      </c>
      <c r="Z519" s="13">
        <v>234</v>
      </c>
      <c r="AA519" s="13">
        <v>9</v>
      </c>
      <c r="AB519" s="13">
        <v>170</v>
      </c>
      <c r="AC519" s="13">
        <v>7</v>
      </c>
      <c r="AD519" s="13">
        <v>10</v>
      </c>
      <c r="AE519" s="13">
        <v>2</v>
      </c>
      <c r="AF519" s="13">
        <v>12</v>
      </c>
      <c r="AG519" s="13">
        <v>7</v>
      </c>
      <c r="AH519" s="13">
        <v>0</v>
      </c>
      <c r="AI519" s="13">
        <v>0</v>
      </c>
      <c r="AJ519" s="13">
        <v>0</v>
      </c>
      <c r="AK519" s="13">
        <v>0</v>
      </c>
      <c r="AL519" s="13">
        <v>0</v>
      </c>
      <c r="AM519" s="13">
        <v>0</v>
      </c>
      <c r="AN519" s="13">
        <v>0</v>
      </c>
      <c r="AO519" s="14">
        <v>0</v>
      </c>
      <c r="AP519" s="13">
        <v>3</v>
      </c>
      <c r="AQ519" s="13">
        <v>11</v>
      </c>
      <c r="AR519" s="15">
        <v>840</v>
      </c>
      <c r="AS519" s="15">
        <v>1010</v>
      </c>
    </row>
    <row r="520" spans="1:45" x14ac:dyDescent="0.25">
      <c r="A520">
        <v>1180</v>
      </c>
      <c r="B520" s="11">
        <f t="shared" si="8"/>
        <v>59184</v>
      </c>
      <c r="C520" s="12">
        <v>591840</v>
      </c>
      <c r="D520" s="13">
        <v>0</v>
      </c>
      <c r="E520" s="13">
        <v>1</v>
      </c>
      <c r="F520" s="13">
        <v>6</v>
      </c>
      <c r="G520" s="13">
        <v>59</v>
      </c>
      <c r="H520" s="13" t="str" cm="1">
        <f t="array" ref="H520">_xlfn.IFS(G520&lt;=20,"0-20",G520&lt;=30,"20-30",G520&lt;=40,"30-40",G520&lt;=50,"50-60",G520&lt;=60,"60-70",G520&lt;=70,"70-80",G520&lt;=80,"80-90")</f>
        <v>60-70</v>
      </c>
      <c r="I520" s="13">
        <v>2817</v>
      </c>
      <c r="J520" s="13" t="str" cm="1">
        <f t="array" ref="J520">_xlfn.IFS(K520=1,"Divorciado",L520=1,"Casado",M520=1,"Solteiro",N520=1,"Juntos",O520=1,"Viuvo")</f>
        <v>Viuvo</v>
      </c>
      <c r="K520" s="13">
        <v>0</v>
      </c>
      <c r="L520" s="13">
        <v>0</v>
      </c>
      <c r="M520" s="13">
        <v>0</v>
      </c>
      <c r="N520" s="13">
        <v>0</v>
      </c>
      <c r="O520" s="13">
        <v>1</v>
      </c>
      <c r="P520" s="13">
        <v>1</v>
      </c>
      <c r="Q520" s="13">
        <v>0</v>
      </c>
      <c r="R520" s="13">
        <v>0</v>
      </c>
      <c r="S520" s="13">
        <v>0</v>
      </c>
      <c r="T520" s="13">
        <v>0</v>
      </c>
      <c r="U520" s="13">
        <v>341</v>
      </c>
      <c r="V520" s="13" t="str" cm="1">
        <f t="array" ref="V520">_xlfn.IFS(U520&lt;=250,"0-R$250",U520&lt;=500,"251-R$500",U520&lt;=750,"501-R$750",U520&lt;=1000,"751-R$1000",U520&lt;=1250,"1001-R$1250",U520&lt;=1500,"1251-R$1500")</f>
        <v>251-R$500</v>
      </c>
      <c r="W520" s="13">
        <v>142</v>
      </c>
      <c r="X520" s="13" t="str" cm="1">
        <f t="array" ref="X520">_xlfn.IFS(W520 = 0, "0", W520&lt;=20, "até R$20",W520&lt;=40, "21 - R$40",W520&lt;=60, "41- R$60",W520&lt;=80, "61 - R$80", W520&lt;=100, "81 - R$100",W520&lt;=120, "101 - R$120",W520&lt;=140, "121 - R$140", W520&lt;=160, "141- R$160", W520&lt;=180, "161 - R$180", W520&lt;=200, "181-R$194")</f>
        <v>141- R$160</v>
      </c>
      <c r="Y520" s="13">
        <v>113</v>
      </c>
      <c r="Z520" s="13">
        <v>259</v>
      </c>
      <c r="AA520" s="13">
        <v>151</v>
      </c>
      <c r="AB520" s="13">
        <v>66</v>
      </c>
      <c r="AC520" s="13">
        <v>3</v>
      </c>
      <c r="AD520" s="13">
        <v>6</v>
      </c>
      <c r="AE520" s="13">
        <v>6</v>
      </c>
      <c r="AF520" s="13">
        <v>12</v>
      </c>
      <c r="AG520" s="13">
        <v>5</v>
      </c>
      <c r="AH520" s="13">
        <v>0</v>
      </c>
      <c r="AI520" s="13">
        <v>0</v>
      </c>
      <c r="AJ520" s="13">
        <v>0</v>
      </c>
      <c r="AK520" s="13">
        <v>0</v>
      </c>
      <c r="AL520" s="13">
        <v>0</v>
      </c>
      <c r="AM520" s="13">
        <v>0</v>
      </c>
      <c r="AN520" s="13">
        <v>0</v>
      </c>
      <c r="AO520" s="14">
        <v>0</v>
      </c>
      <c r="AP520" s="13">
        <v>3</v>
      </c>
      <c r="AQ520" s="13">
        <v>11</v>
      </c>
      <c r="AR520" s="15">
        <v>940</v>
      </c>
      <c r="AS520" s="15">
        <v>1006</v>
      </c>
    </row>
    <row r="521" spans="1:45" x14ac:dyDescent="0.25">
      <c r="A521">
        <v>2102</v>
      </c>
      <c r="B521" s="11">
        <f t="shared" si="8"/>
        <v>65487</v>
      </c>
      <c r="C521" s="12">
        <v>654870</v>
      </c>
      <c r="D521" s="13">
        <v>0</v>
      </c>
      <c r="E521" s="13">
        <v>0</v>
      </c>
      <c r="F521" s="13">
        <v>48</v>
      </c>
      <c r="G521" s="13">
        <v>63</v>
      </c>
      <c r="H521" s="13" t="str" cm="1">
        <f t="array" ref="H521">_xlfn.IFS(G521&lt;=20,"0-20",G521&lt;=30,"20-30",G521&lt;=40,"30-40",G521&lt;=50,"50-60",G521&lt;=60,"60-70",G521&lt;=70,"70-80",G521&lt;=80,"80-90")</f>
        <v>70-80</v>
      </c>
      <c r="I521" s="13">
        <v>2329</v>
      </c>
      <c r="J521" s="13" t="str" cm="1">
        <f t="array" ref="J521">_xlfn.IFS(K521=1,"Divorciado",L521=1,"Casado",M521=1,"Solteiro",N521=1,"Juntos",O521=1,"Viuvo")</f>
        <v>Solteiro</v>
      </c>
      <c r="K521" s="13">
        <v>0</v>
      </c>
      <c r="L521" s="13">
        <v>0</v>
      </c>
      <c r="M521" s="13">
        <v>1</v>
      </c>
      <c r="N521" s="13">
        <v>0</v>
      </c>
      <c r="O521" s="13">
        <v>0</v>
      </c>
      <c r="P521" s="13">
        <v>0</v>
      </c>
      <c r="Q521" s="13">
        <v>0</v>
      </c>
      <c r="R521" s="13">
        <v>0</v>
      </c>
      <c r="S521" s="13">
        <v>1</v>
      </c>
      <c r="T521" s="13">
        <v>0</v>
      </c>
      <c r="U521" s="13">
        <v>240</v>
      </c>
      <c r="V521" s="13" t="str" cm="1">
        <f t="array" ref="V521">_xlfn.IFS(U521&lt;=250,"0-R$250",U521&lt;=500,"251-R$500",U521&lt;=750,"501-R$750",U521&lt;=1000,"751-R$1000",U521&lt;=1250,"1001-R$1250",U521&lt;=1500,"1251-R$1500")</f>
        <v>0-R$250</v>
      </c>
      <c r="W521" s="13">
        <v>67</v>
      </c>
      <c r="X521" s="13" t="str" cm="1">
        <f t="array" ref="X521">_xlfn.IFS(W521 = 0, "0", W521&lt;=20, "até R$20",W521&lt;=40, "21 - R$40",W521&lt;=60, "41- R$60",W521&lt;=80, "61 - R$80", W521&lt;=100, "81 - R$100",W521&lt;=120, "101 - R$120",W521&lt;=140, "121 - R$140", W521&lt;=160, "141- R$160", W521&lt;=180, "161 - R$180", W521&lt;=200, "181-R$194")</f>
        <v>61 - R$80</v>
      </c>
      <c r="Y521" s="13">
        <v>500</v>
      </c>
      <c r="Z521" s="13">
        <v>199</v>
      </c>
      <c r="AA521" s="13">
        <v>0</v>
      </c>
      <c r="AB521" s="13">
        <v>163</v>
      </c>
      <c r="AC521" s="13">
        <v>3</v>
      </c>
      <c r="AD521" s="13">
        <v>3</v>
      </c>
      <c r="AE521" s="13">
        <v>5</v>
      </c>
      <c r="AF521" s="13">
        <v>6</v>
      </c>
      <c r="AG521" s="13">
        <v>2</v>
      </c>
      <c r="AH521" s="13">
        <v>0</v>
      </c>
      <c r="AI521" s="13">
        <v>0</v>
      </c>
      <c r="AJ521" s="13">
        <v>0</v>
      </c>
      <c r="AK521" s="13">
        <v>0</v>
      </c>
      <c r="AL521" s="13">
        <v>0</v>
      </c>
      <c r="AM521" s="13">
        <v>0</v>
      </c>
      <c r="AN521" s="13">
        <v>0</v>
      </c>
      <c r="AO521" s="14">
        <v>0</v>
      </c>
      <c r="AP521" s="13">
        <v>3</v>
      </c>
      <c r="AQ521" s="13">
        <v>11</v>
      </c>
      <c r="AR521" s="15">
        <v>843</v>
      </c>
      <c r="AS521" s="15">
        <v>1006</v>
      </c>
    </row>
    <row r="522" spans="1:45" x14ac:dyDescent="0.25">
      <c r="A522">
        <v>2156</v>
      </c>
      <c r="B522" s="11">
        <f t="shared" si="8"/>
        <v>65487</v>
      </c>
      <c r="C522" s="12">
        <v>654870</v>
      </c>
      <c r="D522" s="13">
        <v>0</v>
      </c>
      <c r="E522" s="13">
        <v>0</v>
      </c>
      <c r="F522" s="13">
        <v>48</v>
      </c>
      <c r="G522" s="13">
        <v>63</v>
      </c>
      <c r="H522" s="13" t="str" cm="1">
        <f t="array" ref="H522">_xlfn.IFS(G522&lt;=20,"0-20",G522&lt;=30,"20-30",G522&lt;=40,"30-40",G522&lt;=50,"50-60",G522&lt;=60,"60-70",G522&lt;=70,"70-80",G522&lt;=80,"80-90")</f>
        <v>70-80</v>
      </c>
      <c r="I522" s="13">
        <v>2329</v>
      </c>
      <c r="J522" s="13" t="str" cm="1">
        <f t="array" ref="J522">_xlfn.IFS(K522=1,"Divorciado",L522=1,"Casado",M522=1,"Solteiro",N522=1,"Juntos",O522=1,"Viuvo")</f>
        <v>Juntos</v>
      </c>
      <c r="K522" s="13">
        <v>0</v>
      </c>
      <c r="L522" s="13">
        <v>0</v>
      </c>
      <c r="M522" s="13">
        <v>0</v>
      </c>
      <c r="N522" s="13">
        <v>1</v>
      </c>
      <c r="O522" s="13">
        <v>0</v>
      </c>
      <c r="P522" s="13">
        <v>0</v>
      </c>
      <c r="Q522" s="13">
        <v>0</v>
      </c>
      <c r="R522" s="13">
        <v>0</v>
      </c>
      <c r="S522" s="13">
        <v>1</v>
      </c>
      <c r="T522" s="13">
        <v>0</v>
      </c>
      <c r="U522" s="13">
        <v>240</v>
      </c>
      <c r="V522" s="13" t="str" cm="1">
        <f t="array" ref="V522">_xlfn.IFS(U522&lt;=250,"0-R$250",U522&lt;=500,"251-R$500",U522&lt;=750,"501-R$750",U522&lt;=1000,"751-R$1000",U522&lt;=1250,"1001-R$1250",U522&lt;=1500,"1251-R$1500")</f>
        <v>0-R$250</v>
      </c>
      <c r="W522" s="13">
        <v>67</v>
      </c>
      <c r="X522" s="13" t="str" cm="1">
        <f t="array" ref="X522">_xlfn.IFS(W522 = 0, "0", W522&lt;=20, "até R$20",W522&lt;=40, "21 - R$40",W522&lt;=60, "41- R$60",W522&lt;=80, "61 - R$80", W522&lt;=100, "81 - R$100",W522&lt;=120, "101 - R$120",W522&lt;=140, "121 - R$140", W522&lt;=160, "141- R$160", W522&lt;=180, "161 - R$180", W522&lt;=200, "181-R$194")</f>
        <v>61 - R$80</v>
      </c>
      <c r="Y522" s="13">
        <v>500</v>
      </c>
      <c r="Z522" s="13">
        <v>199</v>
      </c>
      <c r="AA522" s="13">
        <v>0</v>
      </c>
      <c r="AB522" s="13">
        <v>163</v>
      </c>
      <c r="AC522" s="13">
        <v>3</v>
      </c>
      <c r="AD522" s="13">
        <v>3</v>
      </c>
      <c r="AE522" s="13">
        <v>5</v>
      </c>
      <c r="AF522" s="13">
        <v>6</v>
      </c>
      <c r="AG522" s="13">
        <v>2</v>
      </c>
      <c r="AH522" s="13">
        <v>0</v>
      </c>
      <c r="AI522" s="13">
        <v>0</v>
      </c>
      <c r="AJ522" s="13">
        <v>0</v>
      </c>
      <c r="AK522" s="13">
        <v>0</v>
      </c>
      <c r="AL522" s="13">
        <v>0</v>
      </c>
      <c r="AM522" s="13">
        <v>0</v>
      </c>
      <c r="AN522" s="13">
        <v>0</v>
      </c>
      <c r="AO522" s="14">
        <v>0</v>
      </c>
      <c r="AP522" s="13">
        <v>3</v>
      </c>
      <c r="AQ522" s="13">
        <v>11</v>
      </c>
      <c r="AR522" s="15">
        <v>843</v>
      </c>
      <c r="AS522" s="15">
        <v>1006</v>
      </c>
    </row>
    <row r="523" spans="1:45" x14ac:dyDescent="0.25">
      <c r="A523">
        <v>1455</v>
      </c>
      <c r="B523" s="11">
        <f t="shared" si="8"/>
        <v>57072</v>
      </c>
      <c r="C523" s="16">
        <v>570720</v>
      </c>
      <c r="D523" s="17">
        <v>0</v>
      </c>
      <c r="E523" s="17">
        <v>1</v>
      </c>
      <c r="F523" s="17">
        <v>79</v>
      </c>
      <c r="G523" s="17">
        <v>59</v>
      </c>
      <c r="H523" s="13" t="str" cm="1">
        <f t="array" ref="H523">_xlfn.IFS(G523&lt;=20,"0-20",G523&lt;=30,"20-30",G523&lt;=40,"30-40",G523&lt;=50,"50-60",G523&lt;=60,"60-70",G523&lt;=70,"70-80",G523&lt;=80,"80-90")</f>
        <v>60-70</v>
      </c>
      <c r="I523" s="17">
        <v>2315</v>
      </c>
      <c r="J523" s="13" t="str" cm="1">
        <f t="array" ref="J523">_xlfn.IFS(K523=1,"Divorciado",L523=1,"Casado",M523=1,"Solteiro",N523=1,"Juntos",O523=1,"Viuvo")</f>
        <v>Casado</v>
      </c>
      <c r="K523" s="17">
        <v>0</v>
      </c>
      <c r="L523" s="17">
        <v>1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1</v>
      </c>
      <c r="U523" s="17">
        <v>944</v>
      </c>
      <c r="V523" s="13" t="str" cm="1">
        <f t="array" ref="V523">_xlfn.IFS(U523&lt;=250,"0-R$250",U523&lt;=500,"251-R$500",U523&lt;=750,"501-R$750",U523&lt;=1000,"751-R$1000",U523&lt;=1250,"1001-R$1250",U523&lt;=1500,"1251-R$1500")</f>
        <v>751-R$1000</v>
      </c>
      <c r="W523" s="17">
        <v>0</v>
      </c>
      <c r="X523" s="13" t="str" cm="1">
        <f t="array" ref="X523">_xlfn.IFS(W523 = 0, "0", W523&lt;=20, "até R$20",W523&lt;=40, "21 - R$40",W523&lt;=60, "41- R$60",W523&lt;=80, "61 - R$80", W523&lt;=100, "81 - R$100",W523&lt;=120, "101 - R$120",W523&lt;=140, "121 - R$140", W523&lt;=160, "141- R$160", W523&lt;=180, "161 - R$180", W523&lt;=200, "181-R$194")</f>
        <v>0</v>
      </c>
      <c r="Y523" s="17">
        <v>60</v>
      </c>
      <c r="Z523" s="17">
        <v>0</v>
      </c>
      <c r="AA523" s="17">
        <v>0</v>
      </c>
      <c r="AB523" s="17">
        <v>30</v>
      </c>
      <c r="AC523" s="17">
        <v>2</v>
      </c>
      <c r="AD523" s="17">
        <v>7</v>
      </c>
      <c r="AE523" s="17">
        <v>5</v>
      </c>
      <c r="AF523" s="17">
        <v>13</v>
      </c>
      <c r="AG523" s="17">
        <v>5</v>
      </c>
      <c r="AH523" s="17">
        <v>0</v>
      </c>
      <c r="AI523" s="17">
        <v>1</v>
      </c>
      <c r="AJ523" s="17">
        <v>0</v>
      </c>
      <c r="AK523" s="17">
        <v>0</v>
      </c>
      <c r="AL523" s="17">
        <v>0</v>
      </c>
      <c r="AM523" s="17">
        <v>0</v>
      </c>
      <c r="AN523" s="17">
        <v>0</v>
      </c>
      <c r="AO523" s="18">
        <v>1</v>
      </c>
      <c r="AP523" s="17">
        <v>3</v>
      </c>
      <c r="AQ523" s="17">
        <v>11</v>
      </c>
      <c r="AR523" s="19">
        <v>974</v>
      </c>
      <c r="AS523" s="19">
        <v>1004</v>
      </c>
    </row>
    <row r="524" spans="1:45" x14ac:dyDescent="0.25">
      <c r="A524">
        <v>131</v>
      </c>
      <c r="B524" s="11">
        <f t="shared" si="8"/>
        <v>65104</v>
      </c>
      <c r="C524" s="16">
        <v>651040</v>
      </c>
      <c r="D524" s="17">
        <v>0</v>
      </c>
      <c r="E524" s="17">
        <v>1</v>
      </c>
      <c r="F524" s="17">
        <v>4</v>
      </c>
      <c r="G524" s="17">
        <v>44</v>
      </c>
      <c r="H524" s="13" t="str" cm="1">
        <f t="array" ref="H524">_xlfn.IFS(G524&lt;=20,"0-20",G524&lt;=30,"20-30",G524&lt;=40,"30-40",G524&lt;=50,"50-60",G524&lt;=60,"60-70",G524&lt;=70,"70-80",G524&lt;=80,"80-90")</f>
        <v>50-60</v>
      </c>
      <c r="I524" s="17">
        <v>2386</v>
      </c>
      <c r="J524" s="13" t="str" cm="1">
        <f t="array" ref="J524">_xlfn.IFS(K524=1,"Divorciado",L524=1,"Casado",M524=1,"Solteiro",N524=1,"Juntos",O524=1,"Viuvo")</f>
        <v>Juntos</v>
      </c>
      <c r="K524" s="17">
        <v>0</v>
      </c>
      <c r="L524" s="17">
        <v>0</v>
      </c>
      <c r="M524" s="17">
        <v>0</v>
      </c>
      <c r="N524" s="17">
        <v>1</v>
      </c>
      <c r="O524" s="17">
        <v>0</v>
      </c>
      <c r="P524" s="17">
        <v>0</v>
      </c>
      <c r="Q524" s="17">
        <v>0</v>
      </c>
      <c r="R524" s="17">
        <v>0</v>
      </c>
      <c r="S524" s="17">
        <v>1</v>
      </c>
      <c r="T524" s="17">
        <v>0</v>
      </c>
      <c r="U524" s="17">
        <v>738</v>
      </c>
      <c r="V524" s="13" t="str" cm="1">
        <f t="array" ref="V524">_xlfn.IFS(U524&lt;=250,"0-R$250",U524&lt;=500,"251-R$500",U524&lt;=750,"501-R$750",U524&lt;=1000,"751-R$1000",U524&lt;=1250,"1001-R$1250",U524&lt;=1500,"1251-R$1500")</f>
        <v>501-R$750</v>
      </c>
      <c r="W524" s="17">
        <v>0</v>
      </c>
      <c r="X524" s="13" t="str" cm="1">
        <f t="array" ref="X524">_xlfn.IFS(W524 = 0, "0", W524&lt;=20, "até R$20",W524&lt;=40, "21 - R$40",W524&lt;=60, "41- R$60",W524&lt;=80, "61 - R$80", W524&lt;=100, "81 - R$100",W524&lt;=120, "101 - R$120",W524&lt;=140, "121 - R$140", W524&lt;=160, "141- R$160", W524&lt;=180, "161 - R$180", W524&lt;=200, "181-R$194")</f>
        <v>0</v>
      </c>
      <c r="Y524" s="17">
        <v>232</v>
      </c>
      <c r="Z524" s="17">
        <v>13</v>
      </c>
      <c r="AA524" s="17">
        <v>20</v>
      </c>
      <c r="AB524" s="17">
        <v>50</v>
      </c>
      <c r="AC524" s="17">
        <v>2</v>
      </c>
      <c r="AD524" s="17">
        <v>3</v>
      </c>
      <c r="AE524" s="17">
        <v>5</v>
      </c>
      <c r="AF524" s="17">
        <v>7</v>
      </c>
      <c r="AG524" s="17">
        <v>7</v>
      </c>
      <c r="AH524" s="17">
        <v>0</v>
      </c>
      <c r="AI524" s="17">
        <v>0</v>
      </c>
      <c r="AJ524" s="17">
        <v>0</v>
      </c>
      <c r="AK524" s="17">
        <v>0</v>
      </c>
      <c r="AL524" s="17">
        <v>0</v>
      </c>
      <c r="AM524" s="17">
        <v>0</v>
      </c>
      <c r="AN524" s="17">
        <v>1</v>
      </c>
      <c r="AO524" s="18">
        <v>0</v>
      </c>
      <c r="AP524" s="17">
        <v>3</v>
      </c>
      <c r="AQ524" s="17">
        <v>11</v>
      </c>
      <c r="AR524" s="19">
        <v>953</v>
      </c>
      <c r="AS524" s="19">
        <v>1003</v>
      </c>
    </row>
    <row r="525" spans="1:45" x14ac:dyDescent="0.25">
      <c r="A525">
        <v>470</v>
      </c>
      <c r="B525" s="11">
        <f t="shared" si="8"/>
        <v>65104</v>
      </c>
      <c r="C525" s="12">
        <v>651040</v>
      </c>
      <c r="D525" s="13">
        <v>0</v>
      </c>
      <c r="E525" s="13">
        <v>1</v>
      </c>
      <c r="F525" s="13">
        <v>4</v>
      </c>
      <c r="G525" s="13">
        <v>44</v>
      </c>
      <c r="H525" s="13" t="str" cm="1">
        <f t="array" ref="H525">_xlfn.IFS(G525&lt;=20,"0-20",G525&lt;=30,"20-30",G525&lt;=40,"30-40",G525&lt;=50,"50-60",G525&lt;=60,"60-70",G525&lt;=70,"70-80",G525&lt;=80,"80-90")</f>
        <v>50-60</v>
      </c>
      <c r="I525" s="13">
        <v>2386</v>
      </c>
      <c r="J525" s="13" t="str" cm="1">
        <f t="array" ref="J525">_xlfn.IFS(K525=1,"Divorciado",L525=1,"Casado",M525=1,"Solteiro",N525=1,"Juntos",O525=1,"Viuvo")</f>
        <v>Juntos</v>
      </c>
      <c r="K525" s="13">
        <v>0</v>
      </c>
      <c r="L525" s="13">
        <v>0</v>
      </c>
      <c r="M525" s="13">
        <v>0</v>
      </c>
      <c r="N525" s="13">
        <v>1</v>
      </c>
      <c r="O525" s="13">
        <v>0</v>
      </c>
      <c r="P525" s="13">
        <v>0</v>
      </c>
      <c r="Q525" s="13">
        <v>0</v>
      </c>
      <c r="R525" s="13">
        <v>0</v>
      </c>
      <c r="S525" s="13">
        <v>1</v>
      </c>
      <c r="T525" s="13">
        <v>0</v>
      </c>
      <c r="U525" s="13">
        <v>738</v>
      </c>
      <c r="V525" s="13" t="str" cm="1">
        <f t="array" ref="V525">_xlfn.IFS(U525&lt;=250,"0-R$250",U525&lt;=500,"251-R$500",U525&lt;=750,"501-R$750",U525&lt;=1000,"751-R$1000",U525&lt;=1250,"1001-R$1250",U525&lt;=1500,"1251-R$1500")</f>
        <v>501-R$750</v>
      </c>
      <c r="W525" s="13">
        <v>0</v>
      </c>
      <c r="X525" s="13" t="str" cm="1">
        <f t="array" ref="X525">_xlfn.IFS(W525 = 0, "0", W525&lt;=20, "até R$20",W525&lt;=40, "21 - R$40",W525&lt;=60, "41- R$60",W525&lt;=80, "61 - R$80", W525&lt;=100, "81 - R$100",W525&lt;=120, "101 - R$120",W525&lt;=140, "121 - R$140", W525&lt;=160, "141- R$160", W525&lt;=180, "161 - R$180", W525&lt;=200, "181-R$194")</f>
        <v>0</v>
      </c>
      <c r="Y525" s="13">
        <v>232</v>
      </c>
      <c r="Z525" s="13">
        <v>13</v>
      </c>
      <c r="AA525" s="13">
        <v>20</v>
      </c>
      <c r="AB525" s="13">
        <v>50</v>
      </c>
      <c r="AC525" s="13">
        <v>2</v>
      </c>
      <c r="AD525" s="13">
        <v>3</v>
      </c>
      <c r="AE525" s="13">
        <v>5</v>
      </c>
      <c r="AF525" s="13">
        <v>7</v>
      </c>
      <c r="AG525" s="13">
        <v>7</v>
      </c>
      <c r="AH525" s="13">
        <v>0</v>
      </c>
      <c r="AI525" s="13">
        <v>0</v>
      </c>
      <c r="AJ525" s="13">
        <v>0</v>
      </c>
      <c r="AK525" s="13">
        <v>0</v>
      </c>
      <c r="AL525" s="13">
        <v>0</v>
      </c>
      <c r="AM525" s="13">
        <v>0</v>
      </c>
      <c r="AN525" s="13">
        <v>0</v>
      </c>
      <c r="AO525" s="14">
        <v>0</v>
      </c>
      <c r="AP525" s="13">
        <v>3</v>
      </c>
      <c r="AQ525" s="13">
        <v>11</v>
      </c>
      <c r="AR525" s="15">
        <v>953</v>
      </c>
      <c r="AS525" s="15">
        <v>1003</v>
      </c>
    </row>
    <row r="526" spans="1:45" x14ac:dyDescent="0.25">
      <c r="A526">
        <v>1168</v>
      </c>
      <c r="B526" s="11">
        <f t="shared" si="8"/>
        <v>62000</v>
      </c>
      <c r="C526" s="12">
        <v>620000</v>
      </c>
      <c r="D526" s="13">
        <v>0</v>
      </c>
      <c r="E526" s="13">
        <v>1</v>
      </c>
      <c r="F526" s="13">
        <v>25</v>
      </c>
      <c r="G526" s="13">
        <v>68</v>
      </c>
      <c r="H526" s="13" t="str" cm="1">
        <f t="array" ref="H526">_xlfn.IFS(G526&lt;=20,"0-20",G526&lt;=30,"20-30",G526&lt;=40,"30-40",G526&lt;=50,"50-60",G526&lt;=60,"60-70",G526&lt;=70,"70-80",G526&lt;=80,"80-90")</f>
        <v>70-80</v>
      </c>
      <c r="I526" s="13">
        <v>2467</v>
      </c>
      <c r="J526" s="13" t="str" cm="1">
        <f t="array" ref="J526">_xlfn.IFS(K526=1,"Divorciado",L526=1,"Casado",M526=1,"Solteiro",N526=1,"Juntos",O526=1,"Viuvo")</f>
        <v>Solteiro</v>
      </c>
      <c r="K526" s="13">
        <v>0</v>
      </c>
      <c r="L526" s="13">
        <v>0</v>
      </c>
      <c r="M526" s="13">
        <v>1</v>
      </c>
      <c r="N526" s="13">
        <v>0</v>
      </c>
      <c r="O526" s="13">
        <v>0</v>
      </c>
      <c r="P526" s="13">
        <v>0</v>
      </c>
      <c r="Q526" s="13">
        <v>0</v>
      </c>
      <c r="R526" s="13">
        <v>0</v>
      </c>
      <c r="S526" s="13">
        <v>0</v>
      </c>
      <c r="T526" s="13">
        <v>1</v>
      </c>
      <c r="U526" s="13">
        <v>899</v>
      </c>
      <c r="V526" s="13" t="str" cm="1">
        <f t="array" ref="V526">_xlfn.IFS(U526&lt;=250,"0-R$250",U526&lt;=500,"251-R$500",U526&lt;=750,"501-R$750",U526&lt;=1000,"751-R$1000",U526&lt;=1250,"1001-R$1250",U526&lt;=1500,"1251-R$1500")</f>
        <v>751-R$1000</v>
      </c>
      <c r="W526" s="13">
        <v>0</v>
      </c>
      <c r="X526" s="13" t="str" cm="1">
        <f t="array" ref="X526">_xlfn.IFS(W526 = 0, "0", W526&lt;=20, "até R$20",W526&lt;=40, "21 - R$40",W526&lt;=60, "41- R$60",W526&lt;=80, "61 - R$80", W526&lt;=100, "81 - R$100",W526&lt;=120, "101 - R$120",W526&lt;=140, "121 - R$140", W526&lt;=160, "141- R$160", W526&lt;=180, "161 - R$180", W526&lt;=200, "181-R$194")</f>
        <v>0</v>
      </c>
      <c r="Y526" s="13">
        <v>101</v>
      </c>
      <c r="Z526" s="13">
        <v>0</v>
      </c>
      <c r="AA526" s="13">
        <v>0</v>
      </c>
      <c r="AB526" s="13">
        <v>20</v>
      </c>
      <c r="AC526" s="13">
        <v>1</v>
      </c>
      <c r="AD526" s="13">
        <v>6</v>
      </c>
      <c r="AE526" s="13">
        <v>6</v>
      </c>
      <c r="AF526" s="13">
        <v>13</v>
      </c>
      <c r="AG526" s="13">
        <v>4</v>
      </c>
      <c r="AH526" s="13">
        <v>0</v>
      </c>
      <c r="AI526" s="13">
        <v>0</v>
      </c>
      <c r="AJ526" s="13">
        <v>0</v>
      </c>
      <c r="AK526" s="13">
        <v>0</v>
      </c>
      <c r="AL526" s="13">
        <v>1</v>
      </c>
      <c r="AM526" s="13">
        <v>0</v>
      </c>
      <c r="AN526" s="13">
        <v>0</v>
      </c>
      <c r="AO526" s="14">
        <v>1</v>
      </c>
      <c r="AP526" s="13">
        <v>3</v>
      </c>
      <c r="AQ526" s="13">
        <v>11</v>
      </c>
      <c r="AR526" s="15">
        <v>980</v>
      </c>
      <c r="AS526" s="15">
        <v>1000</v>
      </c>
    </row>
    <row r="527" spans="1:45" x14ac:dyDescent="0.25">
      <c r="A527">
        <v>1471</v>
      </c>
      <c r="B527" s="11">
        <f t="shared" si="8"/>
        <v>65492</v>
      </c>
      <c r="C527" s="16">
        <v>654920</v>
      </c>
      <c r="D527" s="17">
        <v>0</v>
      </c>
      <c r="E527" s="17">
        <v>0</v>
      </c>
      <c r="F527" s="17">
        <v>73</v>
      </c>
      <c r="G527" s="17">
        <v>61</v>
      </c>
      <c r="H527" s="13" t="str" cm="1">
        <f t="array" ref="H527">_xlfn.IFS(G527&lt;=20,"0-20",G527&lt;=30,"20-30",G527&lt;=40,"30-40",G527&lt;=50,"50-60",G527&lt;=60,"60-70",G527&lt;=70,"70-80",G527&lt;=80,"80-90")</f>
        <v>70-80</v>
      </c>
      <c r="I527" s="17">
        <v>2313</v>
      </c>
      <c r="J527" s="13" t="str" cm="1">
        <f t="array" ref="J527">_xlfn.IFS(K527=1,"Divorciado",L527=1,"Casado",M527=1,"Solteiro",N527=1,"Juntos",O527=1,"Viuvo")</f>
        <v>Casado</v>
      </c>
      <c r="K527" s="17">
        <v>0</v>
      </c>
      <c r="L527" s="17">
        <v>1</v>
      </c>
      <c r="M527" s="17">
        <v>0</v>
      </c>
      <c r="N527" s="17">
        <v>0</v>
      </c>
      <c r="O527" s="17">
        <v>0</v>
      </c>
      <c r="P527" s="17">
        <v>0</v>
      </c>
      <c r="Q527" s="17">
        <v>0</v>
      </c>
      <c r="R527" s="17">
        <v>1</v>
      </c>
      <c r="S527" s="17">
        <v>0</v>
      </c>
      <c r="T527" s="17">
        <v>0</v>
      </c>
      <c r="U527" s="17">
        <v>247</v>
      </c>
      <c r="V527" s="13" t="str" cm="1">
        <f t="array" ref="V527">_xlfn.IFS(U527&lt;=250,"0-R$250",U527&lt;=500,"251-R$500",U527&lt;=750,"501-R$750",U527&lt;=1000,"751-R$1000",U527&lt;=1250,"1001-R$1250",U527&lt;=1500,"1251-R$1500")</f>
        <v>0-R$250</v>
      </c>
      <c r="W527" s="17">
        <v>161</v>
      </c>
      <c r="X527" s="13" t="str" cm="1">
        <f t="array" ref="X527">_xlfn.IFS(W527 = 0, "0", W527&lt;=20, "até R$20",W527&lt;=40, "21 - R$40",W527&lt;=60, "41- R$60",W527&lt;=80, "61 - R$80", W527&lt;=100, "81 - R$100",W527&lt;=120, "101 - R$120",W527&lt;=140, "121 - R$140", W527&lt;=160, "141- R$160", W527&lt;=180, "161 - R$180", W527&lt;=200, "181-R$194")</f>
        <v>161 - R$180</v>
      </c>
      <c r="Y527" s="17">
        <v>295</v>
      </c>
      <c r="Z527" s="17">
        <v>210</v>
      </c>
      <c r="AA527" s="17">
        <v>85</v>
      </c>
      <c r="AB527" s="17">
        <v>47</v>
      </c>
      <c r="AC527" s="17">
        <v>2</v>
      </c>
      <c r="AD527" s="17">
        <v>4</v>
      </c>
      <c r="AE527" s="17">
        <v>7</v>
      </c>
      <c r="AF527" s="17">
        <v>13</v>
      </c>
      <c r="AG527" s="17">
        <v>2</v>
      </c>
      <c r="AH527" s="17">
        <v>0</v>
      </c>
      <c r="AI527" s="17">
        <v>0</v>
      </c>
      <c r="AJ527" s="17">
        <v>0</v>
      </c>
      <c r="AK527" s="17">
        <v>0</v>
      </c>
      <c r="AL527" s="17">
        <v>0</v>
      </c>
      <c r="AM527" s="17">
        <v>0</v>
      </c>
      <c r="AN527" s="17">
        <v>0</v>
      </c>
      <c r="AO527" s="18">
        <v>0</v>
      </c>
      <c r="AP527" s="17">
        <v>3</v>
      </c>
      <c r="AQ527" s="17">
        <v>11</v>
      </c>
      <c r="AR527" s="19">
        <v>951</v>
      </c>
      <c r="AS527" s="19">
        <v>998</v>
      </c>
    </row>
    <row r="528" spans="1:45" x14ac:dyDescent="0.25">
      <c r="A528">
        <v>1775</v>
      </c>
      <c r="B528" s="11">
        <f t="shared" si="8"/>
        <v>78416</v>
      </c>
      <c r="C528" s="16">
        <v>784160</v>
      </c>
      <c r="D528" s="17">
        <v>0</v>
      </c>
      <c r="E528" s="17">
        <v>1</v>
      </c>
      <c r="F528" s="17">
        <v>99</v>
      </c>
      <c r="G528" s="17">
        <v>44</v>
      </c>
      <c r="H528" s="13" t="str" cm="1">
        <f t="array" ref="H528">_xlfn.IFS(G528&lt;=20,"0-20",G528&lt;=30,"20-30",G528&lt;=40,"30-40",G528&lt;=50,"50-60",G528&lt;=60,"60-70",G528&lt;=70,"70-80",G528&lt;=80,"80-90")</f>
        <v>50-60</v>
      </c>
      <c r="I528" s="17">
        <v>2161</v>
      </c>
      <c r="J528" s="13" t="str" cm="1">
        <f t="array" ref="J528">_xlfn.IFS(K528=1,"Divorciado",L528=1,"Casado",M528=1,"Solteiro",N528=1,"Juntos",O528=1,"Viuvo")</f>
        <v>Juntos</v>
      </c>
      <c r="K528" s="17">
        <v>0</v>
      </c>
      <c r="L528" s="17">
        <v>0</v>
      </c>
      <c r="M528" s="17">
        <v>0</v>
      </c>
      <c r="N528" s="17">
        <v>1</v>
      </c>
      <c r="O528" s="17">
        <v>0</v>
      </c>
      <c r="P528" s="17">
        <v>0</v>
      </c>
      <c r="Q528" s="17">
        <v>0</v>
      </c>
      <c r="R528" s="17">
        <v>1</v>
      </c>
      <c r="S528" s="17">
        <v>0</v>
      </c>
      <c r="T528" s="17">
        <v>0</v>
      </c>
      <c r="U528" s="17">
        <v>453</v>
      </c>
      <c r="V528" s="13" t="str" cm="1">
        <f t="array" ref="V528">_xlfn.IFS(U528&lt;=250,"0-R$250",U528&lt;=500,"251-R$500",U528&lt;=750,"501-R$750",U528&lt;=1000,"751-R$1000",U528&lt;=1250,"1001-R$1250",U528&lt;=1500,"1251-R$1500")</f>
        <v>251-R$500</v>
      </c>
      <c r="W528" s="17">
        <v>38</v>
      </c>
      <c r="X528" s="13" t="str" cm="1">
        <f t="array" ref="X528">_xlfn.IFS(W528 = 0, "0", W528&lt;=20, "até R$20",W528&lt;=40, "21 - R$40",W528&lt;=60, "41- R$60",W528&lt;=80, "61 - R$80", W528&lt;=100, "81 - R$100",W528&lt;=120, "101 - R$120",W528&lt;=140, "121 - R$140", W528&lt;=160, "141- R$160", W528&lt;=180, "161 - R$180", W528&lt;=200, "181-R$194")</f>
        <v>21 - R$40</v>
      </c>
      <c r="Y528" s="17">
        <v>279</v>
      </c>
      <c r="Z528" s="17">
        <v>188</v>
      </c>
      <c r="AA528" s="17">
        <v>38</v>
      </c>
      <c r="AB528" s="17">
        <v>183</v>
      </c>
      <c r="AC528" s="17">
        <v>2</v>
      </c>
      <c r="AD528" s="17">
        <v>7</v>
      </c>
      <c r="AE528" s="17">
        <v>7</v>
      </c>
      <c r="AF528" s="17">
        <v>10</v>
      </c>
      <c r="AG528" s="17">
        <v>3</v>
      </c>
      <c r="AH528" s="17">
        <v>0</v>
      </c>
      <c r="AI528" s="17">
        <v>0</v>
      </c>
      <c r="AJ528" s="17">
        <v>0</v>
      </c>
      <c r="AK528" s="17">
        <v>0</v>
      </c>
      <c r="AL528" s="17">
        <v>0</v>
      </c>
      <c r="AM528" s="17">
        <v>0</v>
      </c>
      <c r="AN528" s="17">
        <v>0</v>
      </c>
      <c r="AO528" s="18">
        <v>0</v>
      </c>
      <c r="AP528" s="17">
        <v>3</v>
      </c>
      <c r="AQ528" s="17">
        <v>11</v>
      </c>
      <c r="AR528" s="19">
        <v>813</v>
      </c>
      <c r="AS528" s="19">
        <v>996</v>
      </c>
    </row>
    <row r="529" spans="1:45" x14ac:dyDescent="0.25">
      <c r="A529">
        <v>157</v>
      </c>
      <c r="B529" s="11">
        <f t="shared" si="8"/>
        <v>66951</v>
      </c>
      <c r="C529" s="16">
        <v>669510</v>
      </c>
      <c r="D529" s="17">
        <v>0</v>
      </c>
      <c r="E529" s="17">
        <v>0</v>
      </c>
      <c r="F529" s="17">
        <v>46</v>
      </c>
      <c r="G529" s="17">
        <v>32</v>
      </c>
      <c r="H529" s="13" t="str" cm="1">
        <f t="array" ref="H529">_xlfn.IFS(G529&lt;=20,"0-20",G529&lt;=30,"20-30",G529&lt;=40,"30-40",G529&lt;=50,"50-60",G529&lt;=60,"60-70",G529&lt;=70,"70-80",G529&lt;=80,"80-90")</f>
        <v>30-40</v>
      </c>
      <c r="I529" s="17">
        <v>2398</v>
      </c>
      <c r="J529" s="13" t="str" cm="1">
        <f t="array" ref="J529">_xlfn.IFS(K529=1,"Divorciado",L529=1,"Casado",M529=1,"Solteiro",N529=1,"Juntos",O529=1,"Viuvo")</f>
        <v>Solteiro</v>
      </c>
      <c r="K529" s="17">
        <v>0</v>
      </c>
      <c r="L529" s="17">
        <v>0</v>
      </c>
      <c r="M529" s="17">
        <v>1</v>
      </c>
      <c r="N529" s="17">
        <v>0</v>
      </c>
      <c r="O529" s="17">
        <v>0</v>
      </c>
      <c r="P529" s="17">
        <v>0</v>
      </c>
      <c r="Q529" s="17">
        <v>0</v>
      </c>
      <c r="R529" s="17">
        <v>1</v>
      </c>
      <c r="S529" s="17">
        <v>0</v>
      </c>
      <c r="T529" s="17">
        <v>0</v>
      </c>
      <c r="U529" s="17">
        <v>277</v>
      </c>
      <c r="V529" s="13" t="str" cm="1">
        <f t="array" ref="V529">_xlfn.IFS(U529&lt;=250,"0-R$250",U529&lt;=500,"251-R$500",U529&lt;=750,"501-R$750",U529&lt;=1000,"751-R$1000",U529&lt;=1250,"1001-R$1250",U529&lt;=1500,"1251-R$1500")</f>
        <v>251-R$500</v>
      </c>
      <c r="W529" s="17">
        <v>162</v>
      </c>
      <c r="X529" s="13" t="str" cm="1">
        <f t="array" ref="X529">_xlfn.IFS(W529 = 0, "0", W529&lt;=20, "até R$20",W529&lt;=40, "21 - R$40",W529&lt;=60, "41- R$60",W529&lt;=80, "61 - R$80", W529&lt;=100, "81 - R$100",W529&lt;=120, "101 - R$120",W529&lt;=140, "121 - R$140", W529&lt;=160, "141- R$160", W529&lt;=180, "161 - R$180", W529&lt;=200, "181-R$194")</f>
        <v>161 - R$180</v>
      </c>
      <c r="Y529" s="17">
        <v>305</v>
      </c>
      <c r="Z529" s="17">
        <v>173</v>
      </c>
      <c r="AA529" s="17">
        <v>76</v>
      </c>
      <c r="AB529" s="17">
        <v>124</v>
      </c>
      <c r="AC529" s="17">
        <v>1</v>
      </c>
      <c r="AD529" s="17">
        <v>3</v>
      </c>
      <c r="AE529" s="17">
        <v>4</v>
      </c>
      <c r="AF529" s="17">
        <v>7</v>
      </c>
      <c r="AG529" s="17">
        <v>1</v>
      </c>
      <c r="AH529" s="17">
        <v>0</v>
      </c>
      <c r="AI529" s="17">
        <v>0</v>
      </c>
      <c r="AJ529" s="17">
        <v>0</v>
      </c>
      <c r="AK529" s="17">
        <v>0</v>
      </c>
      <c r="AL529" s="17">
        <v>0</v>
      </c>
      <c r="AM529" s="17">
        <v>0</v>
      </c>
      <c r="AN529" s="17">
        <v>0</v>
      </c>
      <c r="AO529" s="18">
        <v>0</v>
      </c>
      <c r="AP529" s="17">
        <v>3</v>
      </c>
      <c r="AQ529" s="17">
        <v>11</v>
      </c>
      <c r="AR529" s="19">
        <v>869</v>
      </c>
      <c r="AS529" s="19">
        <v>993</v>
      </c>
    </row>
    <row r="530" spans="1:45" x14ac:dyDescent="0.25">
      <c r="A530">
        <v>1846</v>
      </c>
      <c r="B530" s="11">
        <f t="shared" si="8"/>
        <v>69932</v>
      </c>
      <c r="C530" s="12">
        <v>699320</v>
      </c>
      <c r="D530" s="13">
        <v>0</v>
      </c>
      <c r="E530" s="13">
        <v>1</v>
      </c>
      <c r="F530" s="13">
        <v>97</v>
      </c>
      <c r="G530" s="13">
        <v>56</v>
      </c>
      <c r="H530" s="13" t="str" cm="1">
        <f t="array" ref="H530">_xlfn.IFS(G530&lt;=20,"0-20",G530&lt;=30,"20-30",G530&lt;=40,"30-40",G530&lt;=50,"50-60",G530&lt;=60,"60-70",G530&lt;=70,"70-80",G530&lt;=80,"80-90")</f>
        <v>60-70</v>
      </c>
      <c r="I530" s="13">
        <v>2541</v>
      </c>
      <c r="J530" s="13" t="str" cm="1">
        <f t="array" ref="J530">_xlfn.IFS(K530=1,"Divorciado",L530=1,"Casado",M530=1,"Solteiro",N530=1,"Juntos",O530=1,"Viuvo")</f>
        <v>Divorciado</v>
      </c>
      <c r="K530" s="13">
        <v>1</v>
      </c>
      <c r="L530" s="13">
        <v>0</v>
      </c>
      <c r="M530" s="13">
        <v>0</v>
      </c>
      <c r="N530" s="13">
        <v>0</v>
      </c>
      <c r="O530" s="13">
        <v>0</v>
      </c>
      <c r="P530" s="13">
        <v>0</v>
      </c>
      <c r="Q530" s="13">
        <v>0</v>
      </c>
      <c r="R530" s="13">
        <v>1</v>
      </c>
      <c r="S530" s="13">
        <v>0</v>
      </c>
      <c r="T530" s="13">
        <v>0</v>
      </c>
      <c r="U530" s="13">
        <v>412</v>
      </c>
      <c r="V530" s="13" t="str" cm="1">
        <f t="array" ref="V530">_xlfn.IFS(U530&lt;=250,"0-R$250",U530&lt;=500,"251-R$500",U530&lt;=750,"501-R$750",U530&lt;=1000,"751-R$1000",U530&lt;=1250,"1001-R$1250",U530&lt;=1500,"1251-R$1500")</f>
        <v>251-R$500</v>
      </c>
      <c r="W530" s="13">
        <v>172</v>
      </c>
      <c r="X530" s="13" t="str" cm="1">
        <f t="array" ref="X530">_xlfn.IFS(W530 = 0, "0", W530&lt;=20, "até R$20",W530&lt;=40, "21 - R$40",W530&lt;=60, "41- R$60",W530&lt;=80, "61 - R$80", W530&lt;=100, "81 - R$100",W530&lt;=120, "101 - R$120",W530&lt;=140, "121 - R$140", W530&lt;=160, "141- R$160", W530&lt;=180, "161 - R$180", W530&lt;=200, "181-R$194")</f>
        <v>161 - R$180</v>
      </c>
      <c r="Y530" s="13">
        <v>153</v>
      </c>
      <c r="Z530" s="13">
        <v>150</v>
      </c>
      <c r="AA530" s="13">
        <v>105</v>
      </c>
      <c r="AB530" s="13">
        <v>57</v>
      </c>
      <c r="AC530" s="13">
        <v>2</v>
      </c>
      <c r="AD530" s="13">
        <v>7</v>
      </c>
      <c r="AE530" s="13">
        <v>6</v>
      </c>
      <c r="AF530" s="13">
        <v>11</v>
      </c>
      <c r="AG530" s="13">
        <v>4</v>
      </c>
      <c r="AH530" s="13">
        <v>0</v>
      </c>
      <c r="AI530" s="13">
        <v>0</v>
      </c>
      <c r="AJ530" s="13">
        <v>0</v>
      </c>
      <c r="AK530" s="13">
        <v>0</v>
      </c>
      <c r="AL530" s="13">
        <v>0</v>
      </c>
      <c r="AM530" s="13">
        <v>0</v>
      </c>
      <c r="AN530" s="13">
        <v>0</v>
      </c>
      <c r="AO530" s="14">
        <v>0</v>
      </c>
      <c r="AP530" s="13">
        <v>3</v>
      </c>
      <c r="AQ530" s="13">
        <v>11</v>
      </c>
      <c r="AR530" s="15">
        <v>935</v>
      </c>
      <c r="AS530" s="15">
        <v>992</v>
      </c>
    </row>
    <row r="531" spans="1:45" x14ac:dyDescent="0.25">
      <c r="A531">
        <v>1483</v>
      </c>
      <c r="B531" s="11">
        <f t="shared" si="8"/>
        <v>46772</v>
      </c>
      <c r="C531" s="16">
        <v>467720</v>
      </c>
      <c r="D531" s="17">
        <v>0</v>
      </c>
      <c r="E531" s="17">
        <v>1</v>
      </c>
      <c r="F531" s="17">
        <v>88</v>
      </c>
      <c r="G531" s="17">
        <v>45</v>
      </c>
      <c r="H531" s="13" t="str" cm="1">
        <f t="array" ref="H531">_xlfn.IFS(G531&lt;=20,"0-20",G531&lt;=30,"20-30",G531&lt;=40,"30-40",G531&lt;=50,"50-60",G531&lt;=60,"60-70",G531&lt;=70,"70-80",G531&lt;=80,"80-90")</f>
        <v>50-60</v>
      </c>
      <c r="I531" s="17">
        <v>2758</v>
      </c>
      <c r="J531" s="13" t="str" cm="1">
        <f t="array" ref="J531">_xlfn.IFS(K531=1,"Divorciado",L531=1,"Casado",M531=1,"Solteiro",N531=1,"Juntos",O531=1,"Viuvo")</f>
        <v>Juntos</v>
      </c>
      <c r="K531" s="17">
        <v>0</v>
      </c>
      <c r="L531" s="17">
        <v>0</v>
      </c>
      <c r="M531" s="17">
        <v>0</v>
      </c>
      <c r="N531" s="17">
        <v>1</v>
      </c>
      <c r="O531" s="17">
        <v>0</v>
      </c>
      <c r="P531" s="17">
        <v>1</v>
      </c>
      <c r="Q531" s="17">
        <v>0</v>
      </c>
      <c r="R531" s="17">
        <v>0</v>
      </c>
      <c r="S531" s="17">
        <v>0</v>
      </c>
      <c r="T531" s="17">
        <v>0</v>
      </c>
      <c r="U531" s="17">
        <v>350</v>
      </c>
      <c r="V531" s="13" t="str" cm="1">
        <f t="array" ref="V531">_xlfn.IFS(U531&lt;=250,"0-R$250",U531&lt;=500,"251-R$500",U531&lt;=750,"501-R$750",U531&lt;=1000,"751-R$1000",U531&lt;=1250,"1001-R$1250",U531&lt;=1500,"1251-R$1500")</f>
        <v>251-R$500</v>
      </c>
      <c r="W531" s="17">
        <v>104</v>
      </c>
      <c r="X531" s="13" t="str" cm="1">
        <f t="array" ref="X531">_xlfn.IFS(W531 = 0, "0", W531&lt;=20, "até R$20",W531&lt;=40, "21 - R$40",W531&lt;=60, "41- R$60",W531&lt;=80, "61 - R$80", W531&lt;=100, "81 - R$100",W531&lt;=120, "101 - R$120",W531&lt;=140, "121 - R$140", W531&lt;=160, "141- R$160", W531&lt;=180, "161 - R$180", W531&lt;=200, "181-R$194")</f>
        <v>101 - R$120</v>
      </c>
      <c r="Y531" s="17">
        <v>189</v>
      </c>
      <c r="Z531" s="17">
        <v>197</v>
      </c>
      <c r="AA531" s="17">
        <v>151</v>
      </c>
      <c r="AB531" s="17">
        <v>57</v>
      </c>
      <c r="AC531" s="17">
        <v>6</v>
      </c>
      <c r="AD531" s="17">
        <v>11</v>
      </c>
      <c r="AE531" s="17">
        <v>8</v>
      </c>
      <c r="AF531" s="17">
        <v>5</v>
      </c>
      <c r="AG531" s="17">
        <v>8</v>
      </c>
      <c r="AH531" s="17">
        <v>0</v>
      </c>
      <c r="AI531" s="17">
        <v>1</v>
      </c>
      <c r="AJ531" s="17">
        <v>0</v>
      </c>
      <c r="AK531" s="17">
        <v>0</v>
      </c>
      <c r="AL531" s="17">
        <v>0</v>
      </c>
      <c r="AM531" s="17">
        <v>0</v>
      </c>
      <c r="AN531" s="17">
        <v>0</v>
      </c>
      <c r="AO531" s="18">
        <v>1</v>
      </c>
      <c r="AP531" s="17">
        <v>3</v>
      </c>
      <c r="AQ531" s="17">
        <v>11</v>
      </c>
      <c r="AR531" s="19">
        <v>934</v>
      </c>
      <c r="AS531" s="19">
        <v>991</v>
      </c>
    </row>
    <row r="532" spans="1:45" x14ac:dyDescent="0.25">
      <c r="A532">
        <v>1193</v>
      </c>
      <c r="B532" s="11">
        <f t="shared" si="8"/>
        <v>77044</v>
      </c>
      <c r="C532" s="16">
        <v>770440</v>
      </c>
      <c r="D532" s="17">
        <v>0</v>
      </c>
      <c r="E532" s="17">
        <v>1</v>
      </c>
      <c r="F532" s="17">
        <v>12</v>
      </c>
      <c r="G532" s="17">
        <v>48</v>
      </c>
      <c r="H532" s="13" t="str" cm="1">
        <f t="array" ref="H532">_xlfn.IFS(G532&lt;=20,"0-20",G532&lt;=30,"20-30",G532&lt;=40,"30-40",G532&lt;=50,"50-60",G532&lt;=60,"60-70",G532&lt;=70,"70-80",G532&lt;=80,"80-90")</f>
        <v>50-60</v>
      </c>
      <c r="I532" s="17">
        <v>2404</v>
      </c>
      <c r="J532" s="13" t="str" cm="1">
        <f t="array" ref="J532">_xlfn.IFS(K532=1,"Divorciado",L532=1,"Casado",M532=1,"Solteiro",N532=1,"Juntos",O532=1,"Viuvo")</f>
        <v>Juntos</v>
      </c>
      <c r="K532" s="17">
        <v>0</v>
      </c>
      <c r="L532" s="17">
        <v>0</v>
      </c>
      <c r="M532" s="17">
        <v>0</v>
      </c>
      <c r="N532" s="17">
        <v>1</v>
      </c>
      <c r="O532" s="17">
        <v>0</v>
      </c>
      <c r="P532" s="17">
        <v>0</v>
      </c>
      <c r="Q532" s="17">
        <v>0</v>
      </c>
      <c r="R532" s="17">
        <v>1</v>
      </c>
      <c r="S532" s="17">
        <v>0</v>
      </c>
      <c r="T532" s="17">
        <v>0</v>
      </c>
      <c r="U532" s="17">
        <v>625</v>
      </c>
      <c r="V532" s="13" t="str" cm="1">
        <f t="array" ref="V532">_xlfn.IFS(U532&lt;=250,"0-R$250",U532&lt;=500,"251-R$500",U532&lt;=750,"501-R$750",U532&lt;=1000,"751-R$1000",U532&lt;=1250,"1001-R$1250",U532&lt;=1500,"1251-R$1500")</f>
        <v>501-R$750</v>
      </c>
      <c r="W532" s="17">
        <v>38</v>
      </c>
      <c r="X532" s="13" t="str" cm="1">
        <f t="array" ref="X532">_xlfn.IFS(W532 = 0, "0", W532&lt;=20, "até R$20",W532&lt;=40, "21 - R$40",W532&lt;=60, "41- R$60",W532&lt;=80, "61 - R$80", W532&lt;=100, "81 - R$100",W532&lt;=120, "101 - R$120",W532&lt;=140, "121 - R$140", W532&lt;=160, "141- R$160", W532&lt;=180, "161 - R$180", W532&lt;=200, "181-R$194")</f>
        <v>21 - R$40</v>
      </c>
      <c r="Y532" s="17">
        <v>242</v>
      </c>
      <c r="Z532" s="17">
        <v>50</v>
      </c>
      <c r="AA532" s="17">
        <v>34</v>
      </c>
      <c r="AB532" s="17">
        <v>76</v>
      </c>
      <c r="AC532" s="17">
        <v>2</v>
      </c>
      <c r="AD532" s="17">
        <v>7</v>
      </c>
      <c r="AE532" s="17">
        <v>11</v>
      </c>
      <c r="AF532" s="17">
        <v>11</v>
      </c>
      <c r="AG532" s="17">
        <v>4</v>
      </c>
      <c r="AH532" s="17">
        <v>0</v>
      </c>
      <c r="AI532" s="17">
        <v>1</v>
      </c>
      <c r="AJ532" s="17">
        <v>0</v>
      </c>
      <c r="AK532" s="17">
        <v>0</v>
      </c>
      <c r="AL532" s="17">
        <v>0</v>
      </c>
      <c r="AM532" s="17">
        <v>0</v>
      </c>
      <c r="AN532" s="17">
        <v>0</v>
      </c>
      <c r="AO532" s="18">
        <v>1</v>
      </c>
      <c r="AP532" s="17">
        <v>3</v>
      </c>
      <c r="AQ532" s="17">
        <v>11</v>
      </c>
      <c r="AR532" s="19">
        <v>913</v>
      </c>
      <c r="AS532" s="19">
        <v>989</v>
      </c>
    </row>
    <row r="533" spans="1:45" x14ac:dyDescent="0.25">
      <c r="A533">
        <v>416</v>
      </c>
      <c r="B533" s="11">
        <f t="shared" si="8"/>
        <v>67309</v>
      </c>
      <c r="C533" s="12">
        <v>673090</v>
      </c>
      <c r="D533" s="13">
        <v>1</v>
      </c>
      <c r="E533" s="13">
        <v>1</v>
      </c>
      <c r="F533" s="13">
        <v>76</v>
      </c>
      <c r="G533" s="13">
        <v>53</v>
      </c>
      <c r="H533" s="13" t="str" cm="1">
        <f t="array" ref="H533">_xlfn.IFS(G533&lt;=20,"0-20",G533&lt;=30,"20-30",G533&lt;=40,"30-40",G533&lt;=50,"50-60",G533&lt;=60,"60-70",G533&lt;=70,"70-80",G533&lt;=80,"80-90")</f>
        <v>60-70</v>
      </c>
      <c r="I533" s="13">
        <v>2681</v>
      </c>
      <c r="J533" s="13" t="str" cm="1">
        <f t="array" ref="J533">_xlfn.IFS(K533=1,"Divorciado",L533=1,"Casado",M533=1,"Solteiro",N533=1,"Juntos",O533=1,"Viuvo")</f>
        <v>Juntos</v>
      </c>
      <c r="K533" s="13">
        <v>0</v>
      </c>
      <c r="L533" s="13">
        <v>0</v>
      </c>
      <c r="M533" s="13">
        <v>0</v>
      </c>
      <c r="N533" s="13">
        <v>1</v>
      </c>
      <c r="O533" s="13">
        <v>0</v>
      </c>
      <c r="P533" s="13">
        <v>1</v>
      </c>
      <c r="Q533" s="13">
        <v>0</v>
      </c>
      <c r="R533" s="13">
        <v>0</v>
      </c>
      <c r="S533" s="13">
        <v>0</v>
      </c>
      <c r="T533" s="13">
        <v>0</v>
      </c>
      <c r="U533" s="13">
        <v>515</v>
      </c>
      <c r="V533" s="13" t="str" cm="1">
        <f t="array" ref="V533">_xlfn.IFS(U533&lt;=250,"0-R$250",U533&lt;=500,"251-R$500",U533&lt;=750,"501-R$750",U533&lt;=1000,"751-R$1000",U533&lt;=1250,"1001-R$1250",U533&lt;=1500,"1251-R$1500")</f>
        <v>501-R$750</v>
      </c>
      <c r="W533" s="13">
        <v>47</v>
      </c>
      <c r="X533" s="13" t="str" cm="1">
        <f t="array" ref="X533">_xlfn.IFS(W533 = 0, "0", W533&lt;=20, "até R$20",W533&lt;=40, "21 - R$40",W533&lt;=60, "41- R$60",W533&lt;=80, "61 - R$80", W533&lt;=100, "81 - R$100",W533&lt;=120, "101 - R$120",W533&lt;=140, "121 - R$140", W533&lt;=160, "141- R$160", W533&lt;=180, "161 - R$180", W533&lt;=200, "181-R$194")</f>
        <v>41- R$60</v>
      </c>
      <c r="Y533" s="13">
        <v>181</v>
      </c>
      <c r="Z533" s="13">
        <v>149</v>
      </c>
      <c r="AA533" s="13">
        <v>95</v>
      </c>
      <c r="AB533" s="13">
        <v>95</v>
      </c>
      <c r="AC533" s="13">
        <v>15</v>
      </c>
      <c r="AD533" s="13">
        <v>9</v>
      </c>
      <c r="AE533" s="13">
        <v>6</v>
      </c>
      <c r="AF533" s="13">
        <v>9</v>
      </c>
      <c r="AG533" s="13">
        <v>7</v>
      </c>
      <c r="AH533" s="13">
        <v>0</v>
      </c>
      <c r="AI533" s="13">
        <v>0</v>
      </c>
      <c r="AJ533" s="13">
        <v>0</v>
      </c>
      <c r="AK533" s="13">
        <v>0</v>
      </c>
      <c r="AL533" s="13">
        <v>0</v>
      </c>
      <c r="AM533" s="13">
        <v>0</v>
      </c>
      <c r="AN533" s="13">
        <v>0</v>
      </c>
      <c r="AO533" s="14">
        <v>0</v>
      </c>
      <c r="AP533" s="13">
        <v>3</v>
      </c>
      <c r="AQ533" s="13">
        <v>11</v>
      </c>
      <c r="AR533" s="15">
        <v>892</v>
      </c>
      <c r="AS533" s="15">
        <v>987</v>
      </c>
    </row>
    <row r="534" spans="1:45" x14ac:dyDescent="0.25">
      <c r="A534">
        <v>1302</v>
      </c>
      <c r="B534" s="11">
        <f t="shared" si="8"/>
        <v>77382</v>
      </c>
      <c r="C534" s="12">
        <v>773820</v>
      </c>
      <c r="D534" s="13">
        <v>0</v>
      </c>
      <c r="E534" s="13">
        <v>1</v>
      </c>
      <c r="F534" s="13">
        <v>36</v>
      </c>
      <c r="G534" s="13">
        <v>52</v>
      </c>
      <c r="H534" s="13" t="str" cm="1">
        <f t="array" ref="H534">_xlfn.IFS(G534&lt;=20,"0-20",G534&lt;=30,"20-30",G534&lt;=40,"30-40",G534&lt;=50,"50-60",G534&lt;=60,"60-70",G534&lt;=70,"70-80",G534&lt;=80,"80-90")</f>
        <v>60-70</v>
      </c>
      <c r="I534" s="13">
        <v>2332</v>
      </c>
      <c r="J534" s="13" t="str" cm="1">
        <f t="array" ref="J534">_xlfn.IFS(K534=1,"Divorciado",L534=1,"Casado",M534=1,"Solteiro",N534=1,"Juntos",O534=1,"Viuvo")</f>
        <v>Juntos</v>
      </c>
      <c r="K534" s="13">
        <v>0</v>
      </c>
      <c r="L534" s="13">
        <v>0</v>
      </c>
      <c r="M534" s="13">
        <v>0</v>
      </c>
      <c r="N534" s="13">
        <v>1</v>
      </c>
      <c r="O534" s="13">
        <v>0</v>
      </c>
      <c r="P534" s="13">
        <v>0</v>
      </c>
      <c r="Q534" s="13">
        <v>0</v>
      </c>
      <c r="R534" s="13">
        <v>1</v>
      </c>
      <c r="S534" s="13">
        <v>0</v>
      </c>
      <c r="T534" s="13">
        <v>0</v>
      </c>
      <c r="U534" s="13">
        <v>491</v>
      </c>
      <c r="V534" s="13" t="str" cm="1">
        <f t="array" ref="V534">_xlfn.IFS(U534&lt;=250,"0-R$250",U534&lt;=500,"251-R$500",U534&lt;=750,"501-R$750",U534&lt;=1000,"751-R$1000",U534&lt;=1250,"1001-R$1250",U534&lt;=1500,"1251-R$1500")</f>
        <v>251-R$500</v>
      </c>
      <c r="W534" s="13">
        <v>48</v>
      </c>
      <c r="X534" s="13" t="str" cm="1">
        <f t="array" ref="X534">_xlfn.IFS(W534 = 0, "0", W534&lt;=20, "até R$20",W534&lt;=40, "21 - R$40",W534&lt;=60, "41- R$60",W534&lt;=80, "61 - R$80", W534&lt;=100, "81 - R$100",W534&lt;=120, "101 - R$120",W534&lt;=140, "121 - R$140", W534&lt;=160, "141- R$160", W534&lt;=180, "161 - R$180", W534&lt;=200, "181-R$194")</f>
        <v>41- R$60</v>
      </c>
      <c r="Y534" s="13">
        <v>231</v>
      </c>
      <c r="Z534" s="13">
        <v>112</v>
      </c>
      <c r="AA534" s="13">
        <v>105</v>
      </c>
      <c r="AB534" s="13">
        <v>134</v>
      </c>
      <c r="AC534" s="13">
        <v>2</v>
      </c>
      <c r="AD534" s="13">
        <v>5</v>
      </c>
      <c r="AE534" s="13">
        <v>7</v>
      </c>
      <c r="AF534" s="13">
        <v>12</v>
      </c>
      <c r="AG534" s="13">
        <v>1</v>
      </c>
      <c r="AH534" s="13">
        <v>0</v>
      </c>
      <c r="AI534" s="13">
        <v>0</v>
      </c>
      <c r="AJ534" s="13">
        <v>0</v>
      </c>
      <c r="AK534" s="13">
        <v>1</v>
      </c>
      <c r="AL534" s="13">
        <v>0</v>
      </c>
      <c r="AM534" s="13">
        <v>0</v>
      </c>
      <c r="AN534" s="13">
        <v>0</v>
      </c>
      <c r="AO534" s="14">
        <v>1</v>
      </c>
      <c r="AP534" s="13">
        <v>3</v>
      </c>
      <c r="AQ534" s="13">
        <v>11</v>
      </c>
      <c r="AR534" s="15">
        <v>853</v>
      </c>
      <c r="AS534" s="15">
        <v>987</v>
      </c>
    </row>
    <row r="535" spans="1:45" x14ac:dyDescent="0.25">
      <c r="A535">
        <v>1811</v>
      </c>
      <c r="B535" s="11">
        <f t="shared" si="8"/>
        <v>80336</v>
      </c>
      <c r="C535" s="16">
        <v>803360</v>
      </c>
      <c r="D535" s="17">
        <v>0</v>
      </c>
      <c r="E535" s="17">
        <v>0</v>
      </c>
      <c r="F535" s="17">
        <v>12</v>
      </c>
      <c r="G535" s="17">
        <v>50</v>
      </c>
      <c r="H535" s="13" t="str" cm="1">
        <f t="array" ref="H535">_xlfn.IFS(G535&lt;=20,"0-20",G535&lt;=30,"20-30",G535&lt;=40,"30-40",G535&lt;=50,"50-60",G535&lt;=60,"60-70",G535&lt;=70,"70-80",G535&lt;=80,"80-90")</f>
        <v>50-60</v>
      </c>
      <c r="I535" s="17">
        <v>2452</v>
      </c>
      <c r="J535" s="13" t="str" cm="1">
        <f t="array" ref="J535">_xlfn.IFS(K535=1,"Divorciado",L535=1,"Casado",M535=1,"Solteiro",N535=1,"Juntos",O535=1,"Viuvo")</f>
        <v>Casado</v>
      </c>
      <c r="K535" s="17">
        <v>0</v>
      </c>
      <c r="L535" s="17">
        <v>1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1</v>
      </c>
      <c r="U535" s="17">
        <v>209</v>
      </c>
      <c r="V535" s="13" t="str" cm="1">
        <f t="array" ref="V535">_xlfn.IFS(U535&lt;=250,"0-R$250",U535&lt;=500,"251-R$500",U535&lt;=750,"501-R$750",U535&lt;=1000,"751-R$1000",U535&lt;=1250,"1001-R$1250",U535&lt;=1500,"1251-R$1500")</f>
        <v>0-R$250</v>
      </c>
      <c r="W535" s="17">
        <v>19</v>
      </c>
      <c r="X535" s="13" t="str" cm="1">
        <f t="array" ref="X535">_xlfn.IFS(W535 = 0, "0", W535&lt;=20, "até R$20",W535&lt;=40, "21 - R$40",W535&lt;=60, "41- R$60",W535&lt;=80, "61 - R$80", W535&lt;=100, "81 - R$100",W535&lt;=120, "101 - R$120",W535&lt;=140, "121 - R$140", W535&lt;=160, "141- R$160", W535&lt;=180, "161 - R$180", W535&lt;=200, "181-R$194")</f>
        <v>até R$20</v>
      </c>
      <c r="Y535" s="17">
        <v>456</v>
      </c>
      <c r="Z535" s="17">
        <v>160</v>
      </c>
      <c r="AA535" s="17">
        <v>142</v>
      </c>
      <c r="AB535" s="17">
        <v>66</v>
      </c>
      <c r="AC535" s="17">
        <v>1</v>
      </c>
      <c r="AD535" s="17">
        <v>2</v>
      </c>
      <c r="AE535" s="17">
        <v>9</v>
      </c>
      <c r="AF535" s="17">
        <v>13</v>
      </c>
      <c r="AG535" s="17">
        <v>1</v>
      </c>
      <c r="AH535" s="17">
        <v>0</v>
      </c>
      <c r="AI535" s="17">
        <v>0</v>
      </c>
      <c r="AJ535" s="17">
        <v>0</v>
      </c>
      <c r="AK535" s="17">
        <v>0</v>
      </c>
      <c r="AL535" s="17">
        <v>0</v>
      </c>
      <c r="AM535" s="17">
        <v>0</v>
      </c>
      <c r="AN535" s="17">
        <v>0</v>
      </c>
      <c r="AO535" s="18">
        <v>0</v>
      </c>
      <c r="AP535" s="17">
        <v>3</v>
      </c>
      <c r="AQ535" s="17">
        <v>11</v>
      </c>
      <c r="AR535" s="19">
        <v>920</v>
      </c>
      <c r="AS535" s="19">
        <v>986</v>
      </c>
    </row>
    <row r="536" spans="1:45" x14ac:dyDescent="0.25">
      <c r="A536">
        <v>1259</v>
      </c>
      <c r="B536" s="11">
        <f t="shared" si="8"/>
        <v>71847</v>
      </c>
      <c r="C536" s="16">
        <v>718470</v>
      </c>
      <c r="D536" s="17">
        <v>0</v>
      </c>
      <c r="E536" s="17">
        <v>0</v>
      </c>
      <c r="F536" s="17">
        <v>95</v>
      </c>
      <c r="G536" s="17">
        <v>42</v>
      </c>
      <c r="H536" s="13" t="str" cm="1">
        <f t="array" ref="H536">_xlfn.IFS(G536&lt;=20,"0-20",G536&lt;=30,"20-30",G536&lt;=40,"30-40",G536&lt;=50,"50-60",G536&lt;=60,"60-70",G536&lt;=70,"70-80",G536&lt;=80,"80-90")</f>
        <v>50-60</v>
      </c>
      <c r="I536" s="17">
        <v>2805</v>
      </c>
      <c r="J536" s="13" t="str" cm="1">
        <f t="array" ref="J536">_xlfn.IFS(K536=1,"Divorciado",L536=1,"Casado",M536=1,"Solteiro",N536=1,"Juntos",O536=1,"Viuvo")</f>
        <v>Divorciado</v>
      </c>
      <c r="K536" s="17">
        <v>1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1</v>
      </c>
      <c r="S536" s="17">
        <v>0</v>
      </c>
      <c r="T536" s="17">
        <v>0</v>
      </c>
      <c r="U536" s="17">
        <v>737</v>
      </c>
      <c r="V536" s="13" t="str" cm="1">
        <f t="array" ref="V536">_xlfn.IFS(U536&lt;=250,"0-R$250",U536&lt;=500,"251-R$500",U536&lt;=750,"501-R$750",U536&lt;=1000,"751-R$1000",U536&lt;=1250,"1001-R$1250",U536&lt;=1500,"1251-R$1500")</f>
        <v>501-R$750</v>
      </c>
      <c r="W536" s="17">
        <v>21</v>
      </c>
      <c r="X536" s="13" t="str" cm="1">
        <f t="array" ref="X536">_xlfn.IFS(W536 = 0, "0", W536&lt;=20, "até R$20",W536&lt;=40, "21 - R$40",W536&lt;=60, "41- R$60",W536&lt;=80, "61 - R$80", W536&lt;=100, "81 - R$100",W536&lt;=120, "101 - R$120",W536&lt;=140, "121 - R$140", W536&lt;=160, "141- R$160", W536&lt;=180, "161 - R$180", W536&lt;=200, "181-R$194")</f>
        <v>21 - R$40</v>
      </c>
      <c r="Y536" s="17">
        <v>106</v>
      </c>
      <c r="Z536" s="17">
        <v>55</v>
      </c>
      <c r="AA536" s="17">
        <v>63</v>
      </c>
      <c r="AB536" s="17">
        <v>210</v>
      </c>
      <c r="AC536" s="17">
        <v>0</v>
      </c>
      <c r="AD536" s="17">
        <v>6</v>
      </c>
      <c r="AE536" s="17">
        <v>7</v>
      </c>
      <c r="AF536" s="17">
        <v>9</v>
      </c>
      <c r="AG536" s="17">
        <v>3</v>
      </c>
      <c r="AH536" s="17">
        <v>0</v>
      </c>
      <c r="AI536" s="17">
        <v>0</v>
      </c>
      <c r="AJ536" s="17">
        <v>0</v>
      </c>
      <c r="AK536" s="17">
        <v>0</v>
      </c>
      <c r="AL536" s="17">
        <v>1</v>
      </c>
      <c r="AM536" s="17">
        <v>0</v>
      </c>
      <c r="AN536" s="17">
        <v>0</v>
      </c>
      <c r="AO536" s="18">
        <v>1</v>
      </c>
      <c r="AP536" s="17">
        <v>3</v>
      </c>
      <c r="AQ536" s="17">
        <v>11</v>
      </c>
      <c r="AR536" s="19">
        <v>772</v>
      </c>
      <c r="AS536" s="19">
        <v>982</v>
      </c>
    </row>
    <row r="537" spans="1:45" x14ac:dyDescent="0.25">
      <c r="A537">
        <v>1853</v>
      </c>
      <c r="B537" s="11">
        <f t="shared" si="8"/>
        <v>69702</v>
      </c>
      <c r="C537" s="16">
        <v>697020</v>
      </c>
      <c r="D537" s="17">
        <v>0</v>
      </c>
      <c r="E537" s="17">
        <v>1</v>
      </c>
      <c r="F537" s="17">
        <v>8</v>
      </c>
      <c r="G537" s="17">
        <v>69</v>
      </c>
      <c r="H537" s="13" t="str" cm="1">
        <f t="array" ref="H537">_xlfn.IFS(G537&lt;=20,"0-20",G537&lt;=30,"20-30",G537&lt;=40,"30-40",G537&lt;=50,"50-60",G537&lt;=60,"60-70",G537&lt;=70,"70-80",G537&lt;=80,"80-90")</f>
        <v>70-80</v>
      </c>
      <c r="I537" s="17">
        <v>2654</v>
      </c>
      <c r="J537" s="13" t="str" cm="1">
        <f t="array" ref="J537">_xlfn.IFS(K537=1,"Divorciado",L537=1,"Casado",M537=1,"Solteiro",N537=1,"Juntos",O537=1,"Viuvo")</f>
        <v>Juntos</v>
      </c>
      <c r="K537" s="17">
        <v>0</v>
      </c>
      <c r="L537" s="17">
        <v>0</v>
      </c>
      <c r="M537" s="17">
        <v>0</v>
      </c>
      <c r="N537" s="17">
        <v>1</v>
      </c>
      <c r="O537" s="17">
        <v>0</v>
      </c>
      <c r="P537" s="17">
        <v>0</v>
      </c>
      <c r="Q537" s="17">
        <v>0</v>
      </c>
      <c r="R537" s="17">
        <v>0</v>
      </c>
      <c r="S537" s="17">
        <v>0</v>
      </c>
      <c r="T537" s="17">
        <v>1</v>
      </c>
      <c r="U537" s="17">
        <v>664</v>
      </c>
      <c r="V537" s="13" t="str" cm="1">
        <f t="array" ref="V537">_xlfn.IFS(U537&lt;=250,"0-R$250",U537&lt;=500,"251-R$500",U537&lt;=750,"501-R$750",U537&lt;=1000,"751-R$1000",U537&lt;=1250,"1001-R$1250",U537&lt;=1500,"1251-R$1500")</f>
        <v>501-R$750</v>
      </c>
      <c r="W537" s="17">
        <v>9</v>
      </c>
      <c r="X537" s="13" t="str" cm="1">
        <f t="array" ref="X537">_xlfn.IFS(W537 = 0, "0", W537&lt;=20, "até R$20",W537&lt;=40, "21 - R$40",W537&lt;=60, "41- R$60",W537&lt;=80, "61 - R$80", W537&lt;=100, "81 - R$100",W537&lt;=120, "101 - R$120",W537&lt;=140, "121 - R$140", W537&lt;=160, "141- R$160", W537&lt;=180, "161 - R$180", W537&lt;=200, "181-R$194")</f>
        <v>até R$20</v>
      </c>
      <c r="Y537" s="17">
        <v>240</v>
      </c>
      <c r="Z537" s="17">
        <v>50</v>
      </c>
      <c r="AA537" s="17">
        <v>19</v>
      </c>
      <c r="AB537" s="17">
        <v>57</v>
      </c>
      <c r="AC537" s="17">
        <v>2</v>
      </c>
      <c r="AD537" s="17">
        <v>7</v>
      </c>
      <c r="AE537" s="17">
        <v>7</v>
      </c>
      <c r="AF537" s="17">
        <v>10</v>
      </c>
      <c r="AG537" s="17">
        <v>4</v>
      </c>
      <c r="AH537" s="17">
        <v>0</v>
      </c>
      <c r="AI537" s="17">
        <v>0</v>
      </c>
      <c r="AJ537" s="17">
        <v>0</v>
      </c>
      <c r="AK537" s="17">
        <v>0</v>
      </c>
      <c r="AL537" s="17">
        <v>0</v>
      </c>
      <c r="AM537" s="17">
        <v>0</v>
      </c>
      <c r="AN537" s="17">
        <v>0</v>
      </c>
      <c r="AO537" s="18">
        <v>0</v>
      </c>
      <c r="AP537" s="17">
        <v>3</v>
      </c>
      <c r="AQ537" s="17">
        <v>11</v>
      </c>
      <c r="AR537" s="19">
        <v>925</v>
      </c>
      <c r="AS537" s="19">
        <v>982</v>
      </c>
    </row>
    <row r="538" spans="1:45" x14ac:dyDescent="0.25">
      <c r="A538">
        <v>670</v>
      </c>
      <c r="B538" s="11">
        <f t="shared" si="8"/>
        <v>69476</v>
      </c>
      <c r="C538" s="12">
        <v>694760</v>
      </c>
      <c r="D538" s="13">
        <v>0</v>
      </c>
      <c r="E538" s="13">
        <v>0</v>
      </c>
      <c r="F538" s="13">
        <v>3</v>
      </c>
      <c r="G538" s="13">
        <v>51</v>
      </c>
      <c r="H538" s="13" t="str" cm="1">
        <f t="array" ref="H538">_xlfn.IFS(G538&lt;=20,"0-20",G538&lt;=30,"20-30",G538&lt;=40,"30-40",G538&lt;=50,"50-60",G538&lt;=60,"60-70",G538&lt;=70,"70-80",G538&lt;=80,"80-90")</f>
        <v>60-70</v>
      </c>
      <c r="I538" s="13">
        <v>2431</v>
      </c>
      <c r="J538" s="13" t="str" cm="1">
        <f t="array" ref="J538">_xlfn.IFS(K538=1,"Divorciado",L538=1,"Casado",M538=1,"Solteiro",N538=1,"Juntos",O538=1,"Viuvo")</f>
        <v>Juntos</v>
      </c>
      <c r="K538" s="13">
        <v>0</v>
      </c>
      <c r="L538" s="13">
        <v>0</v>
      </c>
      <c r="M538" s="13">
        <v>0</v>
      </c>
      <c r="N538" s="13">
        <v>1</v>
      </c>
      <c r="O538" s="13">
        <v>0</v>
      </c>
      <c r="P538" s="13">
        <v>0</v>
      </c>
      <c r="Q538" s="13">
        <v>0</v>
      </c>
      <c r="R538" s="13">
        <v>0</v>
      </c>
      <c r="S538" s="13">
        <v>0</v>
      </c>
      <c r="T538" s="13">
        <v>1</v>
      </c>
      <c r="U538" s="13">
        <v>260</v>
      </c>
      <c r="V538" s="13" t="str" cm="1">
        <f t="array" ref="V538">_xlfn.IFS(U538&lt;=250,"0-R$250",U538&lt;=500,"251-R$500",U538&lt;=750,"501-R$750",U538&lt;=1000,"751-R$1000",U538&lt;=1250,"1001-R$1250",U538&lt;=1500,"1251-R$1500")</f>
        <v>251-R$500</v>
      </c>
      <c r="W538" s="13">
        <v>86</v>
      </c>
      <c r="X538" s="13" t="str" cm="1">
        <f t="array" ref="X538">_xlfn.IFS(W538 = 0, "0", W538&lt;=20, "até R$20",W538&lt;=40, "21 - R$40",W538&lt;=60, "41- R$60",W538&lt;=80, "61 - R$80", W538&lt;=100, "81 - R$100",W538&lt;=120, "101 - R$120",W538&lt;=140, "121 - R$140", W538&lt;=160, "141- R$160", W538&lt;=180, "161 - R$180", W538&lt;=200, "181-R$194")</f>
        <v>81 - R$100</v>
      </c>
      <c r="Y538" s="13">
        <v>559</v>
      </c>
      <c r="Z538" s="13">
        <v>63</v>
      </c>
      <c r="AA538" s="13">
        <v>9</v>
      </c>
      <c r="AB538" s="13">
        <v>67</v>
      </c>
      <c r="AC538" s="13">
        <v>1</v>
      </c>
      <c r="AD538" s="13">
        <v>4</v>
      </c>
      <c r="AE538" s="13">
        <v>6</v>
      </c>
      <c r="AF538" s="13">
        <v>4</v>
      </c>
      <c r="AG538" s="13">
        <v>2</v>
      </c>
      <c r="AH538" s="13">
        <v>0</v>
      </c>
      <c r="AI538" s="13">
        <v>0</v>
      </c>
      <c r="AJ538" s="13">
        <v>0</v>
      </c>
      <c r="AK538" s="13">
        <v>0</v>
      </c>
      <c r="AL538" s="13">
        <v>0</v>
      </c>
      <c r="AM538" s="13">
        <v>0</v>
      </c>
      <c r="AN538" s="13">
        <v>0</v>
      </c>
      <c r="AO538" s="14">
        <v>0</v>
      </c>
      <c r="AP538" s="13">
        <v>3</v>
      </c>
      <c r="AQ538" s="13">
        <v>11</v>
      </c>
      <c r="AR538" s="15">
        <v>910</v>
      </c>
      <c r="AS538" s="15">
        <v>977</v>
      </c>
    </row>
    <row r="539" spans="1:45" x14ac:dyDescent="0.25">
      <c r="A539">
        <v>482</v>
      </c>
      <c r="B539" s="11">
        <f t="shared" si="8"/>
        <v>67911</v>
      </c>
      <c r="C539" s="12">
        <v>679110</v>
      </c>
      <c r="D539" s="13">
        <v>0</v>
      </c>
      <c r="E539" s="13">
        <v>1</v>
      </c>
      <c r="F539" s="13">
        <v>63</v>
      </c>
      <c r="G539" s="13">
        <v>71</v>
      </c>
      <c r="H539" s="13" t="str" cm="1">
        <f t="array" ref="H539">_xlfn.IFS(G539&lt;=20,"0-20",G539&lt;=30,"20-30",G539&lt;=40,"30-40",G539&lt;=50,"50-60",G539&lt;=60,"60-70",G539&lt;=70,"70-80",G539&lt;=80,"80-90")</f>
        <v>80-90</v>
      </c>
      <c r="I539" s="13">
        <v>2197</v>
      </c>
      <c r="J539" s="13" t="str" cm="1">
        <f t="array" ref="J539">_xlfn.IFS(K539=1,"Divorciado",L539=1,"Casado",M539=1,"Solteiro",N539=1,"Juntos",O539=1,"Viuvo")</f>
        <v>Juntos</v>
      </c>
      <c r="K539" s="13">
        <v>0</v>
      </c>
      <c r="L539" s="13">
        <v>0</v>
      </c>
      <c r="M539" s="13">
        <v>0</v>
      </c>
      <c r="N539" s="13">
        <v>1</v>
      </c>
      <c r="O539" s="13">
        <v>0</v>
      </c>
      <c r="P539" s="13">
        <v>0</v>
      </c>
      <c r="Q539" s="13">
        <v>0</v>
      </c>
      <c r="R539" s="13">
        <v>0</v>
      </c>
      <c r="S539" s="13">
        <v>0</v>
      </c>
      <c r="T539" s="13">
        <v>1</v>
      </c>
      <c r="U539" s="13">
        <v>529</v>
      </c>
      <c r="V539" s="13" t="str" cm="1">
        <f t="array" ref="V539">_xlfn.IFS(U539&lt;=250,"0-R$250",U539&lt;=500,"251-R$500",U539&lt;=750,"501-R$750",U539&lt;=1000,"751-R$1000",U539&lt;=1250,"1001-R$1250",U539&lt;=1500,"1251-R$1500")</f>
        <v>501-R$750</v>
      </c>
      <c r="W539" s="13">
        <v>0</v>
      </c>
      <c r="X539" s="13" t="str" cm="1">
        <f t="array" ref="X539">_xlfn.IFS(W539 = 0, "0", W539&lt;=20, "até R$20",W539&lt;=40, "21 - R$40",W539&lt;=60, "41- R$60",W539&lt;=80, "61 - R$80", W539&lt;=100, "81 - R$100",W539&lt;=120, "101 - R$120",W539&lt;=140, "121 - R$140", W539&lt;=160, "141- R$160", W539&lt;=180, "161 - R$180", W539&lt;=200, "181-R$194")</f>
        <v>0</v>
      </c>
      <c r="Y539" s="13">
        <v>356</v>
      </c>
      <c r="Z539" s="13">
        <v>63</v>
      </c>
      <c r="AA539" s="13">
        <v>28</v>
      </c>
      <c r="AB539" s="13">
        <v>0</v>
      </c>
      <c r="AC539" s="13">
        <v>3</v>
      </c>
      <c r="AD539" s="13">
        <v>6</v>
      </c>
      <c r="AE539" s="13">
        <v>7</v>
      </c>
      <c r="AF539" s="13">
        <v>11</v>
      </c>
      <c r="AG539" s="13">
        <v>3</v>
      </c>
      <c r="AH539" s="13">
        <v>0</v>
      </c>
      <c r="AI539" s="13">
        <v>0</v>
      </c>
      <c r="AJ539" s="13">
        <v>0</v>
      </c>
      <c r="AK539" s="13">
        <v>0</v>
      </c>
      <c r="AL539" s="13">
        <v>0</v>
      </c>
      <c r="AM539" s="13">
        <v>0</v>
      </c>
      <c r="AN539" s="13">
        <v>0</v>
      </c>
      <c r="AO539" s="14">
        <v>0</v>
      </c>
      <c r="AP539" s="13">
        <v>3</v>
      </c>
      <c r="AQ539" s="13">
        <v>11</v>
      </c>
      <c r="AR539" s="15">
        <v>976</v>
      </c>
      <c r="AS539" s="15">
        <v>976</v>
      </c>
    </row>
    <row r="540" spans="1:45" x14ac:dyDescent="0.25">
      <c r="A540">
        <v>921</v>
      </c>
      <c r="B540" s="11">
        <f t="shared" si="8"/>
        <v>64831</v>
      </c>
      <c r="C540" s="16">
        <v>648310</v>
      </c>
      <c r="D540" s="17">
        <v>1</v>
      </c>
      <c r="E540" s="17">
        <v>1</v>
      </c>
      <c r="F540" s="17">
        <v>51</v>
      </c>
      <c r="G540" s="17">
        <v>68</v>
      </c>
      <c r="H540" s="13" t="str" cm="1">
        <f t="array" ref="H540">_xlfn.IFS(G540&lt;=20,"0-20",G540&lt;=30,"20-30",G540&lt;=40,"30-40",G540&lt;=50,"50-60",G540&lt;=60,"60-70",G540&lt;=70,"70-80",G540&lt;=80,"80-90")</f>
        <v>70-80</v>
      </c>
      <c r="I540" s="17">
        <v>2543</v>
      </c>
      <c r="J540" s="13" t="str" cm="1">
        <f t="array" ref="J540">_xlfn.IFS(K540=1,"Divorciado",L540=1,"Casado",M540=1,"Solteiro",N540=1,"Juntos",O540=1,"Viuvo")</f>
        <v>Solteiro</v>
      </c>
      <c r="K540" s="17">
        <v>0</v>
      </c>
      <c r="L540" s="17">
        <v>0</v>
      </c>
      <c r="M540" s="17">
        <v>1</v>
      </c>
      <c r="N540" s="17">
        <v>0</v>
      </c>
      <c r="O540" s="17">
        <v>0</v>
      </c>
      <c r="P540" s="17">
        <v>1</v>
      </c>
      <c r="Q540" s="17">
        <v>0</v>
      </c>
      <c r="R540" s="17">
        <v>0</v>
      </c>
      <c r="S540" s="17">
        <v>0</v>
      </c>
      <c r="T540" s="17">
        <v>0</v>
      </c>
      <c r="U540" s="17">
        <v>480</v>
      </c>
      <c r="V540" s="13" t="str" cm="1">
        <f t="array" ref="V540">_xlfn.IFS(U540&lt;=250,"0-R$250",U540&lt;=500,"251-R$500",U540&lt;=750,"501-R$750",U540&lt;=1000,"751-R$1000",U540&lt;=1250,"1001-R$1250",U540&lt;=1500,"1251-R$1500")</f>
        <v>251-R$500</v>
      </c>
      <c r="W540" s="17">
        <v>86</v>
      </c>
      <c r="X540" s="13" t="str" cm="1">
        <f t="array" ref="X540">_xlfn.IFS(W540 = 0, "0", W540&lt;=20, "até R$20",W540&lt;=40, "21 - R$40",W540&lt;=60, "41- R$60",W540&lt;=80, "61 - R$80", W540&lt;=100, "81 - R$100",W540&lt;=120, "101 - R$120",W540&lt;=140, "121 - R$140", W540&lt;=160, "141- R$160", W540&lt;=180, "161 - R$180", W540&lt;=200, "181-R$194")</f>
        <v>81 - R$100</v>
      </c>
      <c r="Y540" s="17">
        <v>249</v>
      </c>
      <c r="Z540" s="17">
        <v>75</v>
      </c>
      <c r="AA540" s="17">
        <v>86</v>
      </c>
      <c r="AB540" s="17">
        <v>144</v>
      </c>
      <c r="AC540" s="17">
        <v>8</v>
      </c>
      <c r="AD540" s="17">
        <v>6</v>
      </c>
      <c r="AE540" s="17">
        <v>3</v>
      </c>
      <c r="AF540" s="17">
        <v>5</v>
      </c>
      <c r="AG540" s="17">
        <v>6</v>
      </c>
      <c r="AH540" s="17">
        <v>0</v>
      </c>
      <c r="AI540" s="17">
        <v>0</v>
      </c>
      <c r="AJ540" s="17">
        <v>0</v>
      </c>
      <c r="AK540" s="17">
        <v>0</v>
      </c>
      <c r="AL540" s="17">
        <v>0</v>
      </c>
      <c r="AM540" s="17">
        <v>0</v>
      </c>
      <c r="AN540" s="17">
        <v>0</v>
      </c>
      <c r="AO540" s="18">
        <v>0</v>
      </c>
      <c r="AP540" s="17">
        <v>3</v>
      </c>
      <c r="AQ540" s="17">
        <v>11</v>
      </c>
      <c r="AR540" s="19">
        <v>832</v>
      </c>
      <c r="AS540" s="19">
        <v>976</v>
      </c>
    </row>
    <row r="541" spans="1:45" x14ac:dyDescent="0.25">
      <c r="A541">
        <v>2070</v>
      </c>
      <c r="B541" s="11">
        <f t="shared" si="8"/>
        <v>67911</v>
      </c>
      <c r="C541" s="12">
        <v>679110</v>
      </c>
      <c r="D541" s="13">
        <v>0</v>
      </c>
      <c r="E541" s="13">
        <v>1</v>
      </c>
      <c r="F541" s="13">
        <v>63</v>
      </c>
      <c r="G541" s="13">
        <v>71</v>
      </c>
      <c r="H541" s="13" t="str" cm="1">
        <f t="array" ref="H541">_xlfn.IFS(G541&lt;=20,"0-20",G541&lt;=30,"20-30",G541&lt;=40,"30-40",G541&lt;=50,"50-60",G541&lt;=60,"60-70",G541&lt;=70,"70-80",G541&lt;=80,"80-90")</f>
        <v>80-90</v>
      </c>
      <c r="I541" s="13">
        <v>2197</v>
      </c>
      <c r="J541" s="13" t="str" cm="1">
        <f t="array" ref="J541">_xlfn.IFS(K541=1,"Divorciado",L541=1,"Casado",M541=1,"Solteiro",N541=1,"Juntos",O541=1,"Viuvo")</f>
        <v>Juntos</v>
      </c>
      <c r="K541" s="13">
        <v>0</v>
      </c>
      <c r="L541" s="13">
        <v>0</v>
      </c>
      <c r="M541" s="13">
        <v>0</v>
      </c>
      <c r="N541" s="13">
        <v>1</v>
      </c>
      <c r="O541" s="13">
        <v>0</v>
      </c>
      <c r="P541" s="13">
        <v>0</v>
      </c>
      <c r="Q541" s="13">
        <v>0</v>
      </c>
      <c r="R541" s="13">
        <v>0</v>
      </c>
      <c r="S541" s="13">
        <v>0</v>
      </c>
      <c r="T541" s="13">
        <v>1</v>
      </c>
      <c r="U541" s="13">
        <v>529</v>
      </c>
      <c r="V541" s="13" t="str" cm="1">
        <f t="array" ref="V541">_xlfn.IFS(U541&lt;=250,"0-R$250",U541&lt;=500,"251-R$500",U541&lt;=750,"501-R$750",U541&lt;=1000,"751-R$1000",U541&lt;=1250,"1001-R$1250",U541&lt;=1500,"1251-R$1500")</f>
        <v>501-R$750</v>
      </c>
      <c r="W541" s="13">
        <v>0</v>
      </c>
      <c r="X541" s="13" t="str" cm="1">
        <f t="array" ref="X541">_xlfn.IFS(W541 = 0, "0", W541&lt;=20, "até R$20",W541&lt;=40, "21 - R$40",W541&lt;=60, "41- R$60",W541&lt;=80, "61 - R$80", W541&lt;=100, "81 - R$100",W541&lt;=120, "101 - R$120",W541&lt;=140, "121 - R$140", W541&lt;=160, "141- R$160", W541&lt;=180, "161 - R$180", W541&lt;=200, "181-R$194")</f>
        <v>0</v>
      </c>
      <c r="Y541" s="13">
        <v>356</v>
      </c>
      <c r="Z541" s="13">
        <v>63</v>
      </c>
      <c r="AA541" s="13">
        <v>28</v>
      </c>
      <c r="AB541" s="13">
        <v>0</v>
      </c>
      <c r="AC541" s="13">
        <v>3</v>
      </c>
      <c r="AD541" s="13">
        <v>6</v>
      </c>
      <c r="AE541" s="13">
        <v>7</v>
      </c>
      <c r="AF541" s="13">
        <v>11</v>
      </c>
      <c r="AG541" s="13">
        <v>3</v>
      </c>
      <c r="AH541" s="13">
        <v>0</v>
      </c>
      <c r="AI541" s="13">
        <v>0</v>
      </c>
      <c r="AJ541" s="13">
        <v>0</v>
      </c>
      <c r="AK541" s="13">
        <v>0</v>
      </c>
      <c r="AL541" s="13">
        <v>0</v>
      </c>
      <c r="AM541" s="13">
        <v>0</v>
      </c>
      <c r="AN541" s="13">
        <v>0</v>
      </c>
      <c r="AO541" s="14">
        <v>0</v>
      </c>
      <c r="AP541" s="13">
        <v>3</v>
      </c>
      <c r="AQ541" s="13">
        <v>11</v>
      </c>
      <c r="AR541" s="15">
        <v>976</v>
      </c>
      <c r="AS541" s="15">
        <v>976</v>
      </c>
    </row>
    <row r="542" spans="1:45" x14ac:dyDescent="0.25">
      <c r="A542">
        <v>897</v>
      </c>
      <c r="B542" s="11">
        <f t="shared" si="8"/>
        <v>73113</v>
      </c>
      <c r="C542" s="16">
        <v>731130</v>
      </c>
      <c r="D542" s="17">
        <v>0</v>
      </c>
      <c r="E542" s="17">
        <v>0</v>
      </c>
      <c r="F542" s="17">
        <v>86</v>
      </c>
      <c r="G542" s="17">
        <v>60</v>
      </c>
      <c r="H542" s="13" t="str" cm="1">
        <f t="array" ref="H542">_xlfn.IFS(G542&lt;=20,"0-20",G542&lt;=30,"20-30",G542&lt;=40,"30-40",G542&lt;=50,"50-60",G542&lt;=60,"60-70",G542&lt;=70,"70-80",G542&lt;=80,"80-90")</f>
        <v>60-70</v>
      </c>
      <c r="I542" s="17">
        <v>2344</v>
      </c>
      <c r="J542" s="13" t="str" cm="1">
        <f t="array" ref="J542">_xlfn.IFS(K542=1,"Divorciado",L542=1,"Casado",M542=1,"Solteiro",N542=1,"Juntos",O542=1,"Viuvo")</f>
        <v>Juntos</v>
      </c>
      <c r="K542" s="17">
        <v>0</v>
      </c>
      <c r="L542" s="17">
        <v>0</v>
      </c>
      <c r="M542" s="17">
        <v>0</v>
      </c>
      <c r="N542" s="17">
        <v>1</v>
      </c>
      <c r="O542" s="17">
        <v>0</v>
      </c>
      <c r="P542" s="17">
        <v>0</v>
      </c>
      <c r="Q542" s="17">
        <v>0</v>
      </c>
      <c r="R542" s="17">
        <v>0</v>
      </c>
      <c r="S542" s="17">
        <v>1</v>
      </c>
      <c r="T542" s="17">
        <v>0</v>
      </c>
      <c r="U542" s="17">
        <v>741</v>
      </c>
      <c r="V542" s="13" t="str" cm="1">
        <f t="array" ref="V542">_xlfn.IFS(U542&lt;=250,"0-R$250",U542&lt;=500,"251-R$500",U542&lt;=750,"501-R$750",U542&lt;=1000,"751-R$1000",U542&lt;=1250,"1001-R$1250",U542&lt;=1500,"1251-R$1500")</f>
        <v>501-R$750</v>
      </c>
      <c r="W542" s="17">
        <v>19</v>
      </c>
      <c r="X542" s="13" t="str" cm="1">
        <f t="array" ref="X542">_xlfn.IFS(W542 = 0, "0", W542&lt;=20, "até R$20",W542&lt;=40, "21 - R$40",W542&lt;=60, "41- R$60",W542&lt;=80, "61 - R$80", W542&lt;=100, "81 - R$100",W542&lt;=120, "101 - R$120",W542&lt;=140, "121 - R$140", W542&lt;=160, "141- R$160", W542&lt;=180, "161 - R$180", W542&lt;=200, "181-R$194")</f>
        <v>até R$20</v>
      </c>
      <c r="Y542" s="17">
        <v>154</v>
      </c>
      <c r="Z542" s="17">
        <v>50</v>
      </c>
      <c r="AA542" s="17">
        <v>9</v>
      </c>
      <c r="AB542" s="17">
        <v>28</v>
      </c>
      <c r="AC542" s="17">
        <v>1</v>
      </c>
      <c r="AD542" s="17">
        <v>3</v>
      </c>
      <c r="AE542" s="17">
        <v>4</v>
      </c>
      <c r="AF542" s="17">
        <v>7</v>
      </c>
      <c r="AG542" s="17">
        <v>2</v>
      </c>
      <c r="AH542" s="17">
        <v>0</v>
      </c>
      <c r="AI542" s="17">
        <v>0</v>
      </c>
      <c r="AJ542" s="17">
        <v>0</v>
      </c>
      <c r="AK542" s="17">
        <v>0</v>
      </c>
      <c r="AL542" s="17">
        <v>0</v>
      </c>
      <c r="AM542" s="17">
        <v>0</v>
      </c>
      <c r="AN542" s="17">
        <v>0</v>
      </c>
      <c r="AO542" s="18">
        <v>0</v>
      </c>
      <c r="AP542" s="17">
        <v>3</v>
      </c>
      <c r="AQ542" s="17">
        <v>11</v>
      </c>
      <c r="AR542" s="19">
        <v>945</v>
      </c>
      <c r="AS542" s="19">
        <v>973</v>
      </c>
    </row>
    <row r="543" spans="1:45" x14ac:dyDescent="0.25">
      <c r="A543">
        <v>331</v>
      </c>
      <c r="B543" s="11">
        <f t="shared" si="8"/>
        <v>84835</v>
      </c>
      <c r="C543" s="16">
        <v>848350</v>
      </c>
      <c r="D543" s="17">
        <v>0</v>
      </c>
      <c r="E543" s="17">
        <v>0</v>
      </c>
      <c r="F543" s="17">
        <v>0</v>
      </c>
      <c r="G543" s="17">
        <v>50</v>
      </c>
      <c r="H543" s="13" t="str" cm="1">
        <f t="array" ref="H543">_xlfn.IFS(G543&lt;=20,"0-20",G543&lt;=30,"20-30",G543&lt;=40,"30-40",G543&lt;=50,"50-60",G543&lt;=60,"60-70",G543&lt;=70,"70-80",G543&lt;=80,"80-90")</f>
        <v>50-60</v>
      </c>
      <c r="I543" s="17">
        <v>2172</v>
      </c>
      <c r="J543" s="13" t="str" cm="1">
        <f t="array" ref="J543">_xlfn.IFS(K543=1,"Divorciado",L543=1,"Casado",M543=1,"Solteiro",N543=1,"Juntos",O543=1,"Viuvo")</f>
        <v>Divorciado</v>
      </c>
      <c r="K543" s="17">
        <v>1</v>
      </c>
      <c r="L543" s="17">
        <v>0</v>
      </c>
      <c r="M543" s="17">
        <v>0</v>
      </c>
      <c r="N543" s="17">
        <v>0</v>
      </c>
      <c r="O543" s="17">
        <v>0</v>
      </c>
      <c r="P543" s="17">
        <v>0</v>
      </c>
      <c r="Q543" s="17">
        <v>0</v>
      </c>
      <c r="R543" s="17">
        <v>1</v>
      </c>
      <c r="S543" s="17">
        <v>0</v>
      </c>
      <c r="T543" s="17">
        <v>0</v>
      </c>
      <c r="U543" s="17">
        <v>189</v>
      </c>
      <c r="V543" s="13" t="str" cm="1">
        <f t="array" ref="V543">_xlfn.IFS(U543&lt;=250,"0-R$250",U543&lt;=500,"251-R$500",U543&lt;=750,"501-R$750",U543&lt;=1000,"751-R$1000",U543&lt;=1250,"1001-R$1250",U543&lt;=1500,"1251-R$1500")</f>
        <v>0-R$250</v>
      </c>
      <c r="W543" s="17">
        <v>104</v>
      </c>
      <c r="X543" s="13" t="str" cm="1">
        <f t="array" ref="X543">_xlfn.IFS(W543 = 0, "0", W543&lt;=20, "até R$20",W543&lt;=40, "21 - R$40",W543&lt;=60, "41- R$60",W543&lt;=80, "61 - R$80", W543&lt;=100, "81 - R$100",W543&lt;=120, "101 - R$120",W543&lt;=140, "121 - R$140", W543&lt;=160, "141- R$160", W543&lt;=180, "161 - R$180", W543&lt;=200, "181-R$194")</f>
        <v>101 - R$120</v>
      </c>
      <c r="Y543" s="17">
        <v>379</v>
      </c>
      <c r="Z543" s="17">
        <v>111</v>
      </c>
      <c r="AA543" s="17">
        <v>189</v>
      </c>
      <c r="AB543" s="17">
        <v>218</v>
      </c>
      <c r="AC543" s="17">
        <v>1</v>
      </c>
      <c r="AD543" s="17">
        <v>4</v>
      </c>
      <c r="AE543" s="17">
        <v>4</v>
      </c>
      <c r="AF543" s="17">
        <v>6</v>
      </c>
      <c r="AG543" s="17">
        <v>1</v>
      </c>
      <c r="AH543" s="17">
        <v>0</v>
      </c>
      <c r="AI543" s="17">
        <v>0</v>
      </c>
      <c r="AJ543" s="17">
        <v>0</v>
      </c>
      <c r="AK543" s="17">
        <v>0</v>
      </c>
      <c r="AL543" s="17">
        <v>0</v>
      </c>
      <c r="AM543" s="17">
        <v>0</v>
      </c>
      <c r="AN543" s="17">
        <v>1</v>
      </c>
      <c r="AO543" s="18">
        <v>0</v>
      </c>
      <c r="AP543" s="17">
        <v>3</v>
      </c>
      <c r="AQ543" s="17">
        <v>11</v>
      </c>
      <c r="AR543" s="19">
        <v>754</v>
      </c>
      <c r="AS543" s="19">
        <v>972</v>
      </c>
    </row>
    <row r="544" spans="1:45" x14ac:dyDescent="0.25">
      <c r="A544">
        <v>228</v>
      </c>
      <c r="B544" s="11">
        <f t="shared" si="8"/>
        <v>64961</v>
      </c>
      <c r="C544" s="12">
        <v>649610</v>
      </c>
      <c r="D544" s="13">
        <v>0</v>
      </c>
      <c r="E544" s="13">
        <v>1</v>
      </c>
      <c r="F544" s="13">
        <v>97</v>
      </c>
      <c r="G544" s="13">
        <v>62</v>
      </c>
      <c r="H544" s="13" t="str" cm="1">
        <f t="array" ref="H544">_xlfn.IFS(G544&lt;=20,"0-20",G544&lt;=30,"20-30",G544&lt;=40,"30-40",G544&lt;=50,"50-60",G544&lt;=60,"60-70",G544&lt;=70,"70-80",G544&lt;=80,"80-90")</f>
        <v>70-80</v>
      </c>
      <c r="I544" s="13">
        <v>2712</v>
      </c>
      <c r="J544" s="13" t="str" cm="1">
        <f t="array" ref="J544">_xlfn.IFS(K544=1,"Divorciado",L544=1,"Casado",M544=1,"Solteiro",N544=1,"Juntos",O544=1,"Viuvo")</f>
        <v>Juntos</v>
      </c>
      <c r="K544" s="13">
        <v>0</v>
      </c>
      <c r="L544" s="13">
        <v>0</v>
      </c>
      <c r="M544" s="13">
        <v>0</v>
      </c>
      <c r="N544" s="13">
        <v>1</v>
      </c>
      <c r="O544" s="13">
        <v>0</v>
      </c>
      <c r="P544" s="13">
        <v>0</v>
      </c>
      <c r="Q544" s="13">
        <v>0</v>
      </c>
      <c r="R544" s="13">
        <v>1</v>
      </c>
      <c r="S544" s="13">
        <v>0</v>
      </c>
      <c r="T544" s="13">
        <v>0</v>
      </c>
      <c r="U544" s="13">
        <v>382</v>
      </c>
      <c r="V544" s="13" t="str" cm="1">
        <f t="array" ref="V544">_xlfn.IFS(U544&lt;=250,"0-R$250",U544&lt;=500,"251-R$500",U544&lt;=750,"501-R$750",U544&lt;=1000,"751-R$1000",U544&lt;=1250,"1001-R$1250",U544&lt;=1500,"1251-R$1500")</f>
        <v>251-R$500</v>
      </c>
      <c r="W544" s="13">
        <v>114</v>
      </c>
      <c r="X544" s="13" t="str" cm="1">
        <f t="array" ref="X544">_xlfn.IFS(W544 = 0, "0", W544&lt;=20, "até R$20",W544&lt;=40, "21 - R$40",W544&lt;=60, "41- R$60",W544&lt;=80, "61 - R$80", W544&lt;=100, "81 - R$100",W544&lt;=120, "101 - R$120",W544&lt;=140, "121 - R$140", W544&lt;=160, "141- R$160", W544&lt;=180, "161 - R$180", W544&lt;=200, "181-R$194")</f>
        <v>101 - R$120</v>
      </c>
      <c r="Y544" s="13">
        <v>276</v>
      </c>
      <c r="Z544" s="13">
        <v>75</v>
      </c>
      <c r="AA544" s="13">
        <v>124</v>
      </c>
      <c r="AB544" s="13">
        <v>38</v>
      </c>
      <c r="AC544" s="13">
        <v>2</v>
      </c>
      <c r="AD544" s="13">
        <v>6</v>
      </c>
      <c r="AE544" s="13">
        <v>4</v>
      </c>
      <c r="AF544" s="13">
        <v>4</v>
      </c>
      <c r="AG544" s="13">
        <v>3</v>
      </c>
      <c r="AH544" s="13">
        <v>0</v>
      </c>
      <c r="AI544" s="13">
        <v>0</v>
      </c>
      <c r="AJ544" s="13">
        <v>0</v>
      </c>
      <c r="AK544" s="13">
        <v>0</v>
      </c>
      <c r="AL544" s="13">
        <v>0</v>
      </c>
      <c r="AM544" s="13">
        <v>0</v>
      </c>
      <c r="AN544" s="13">
        <v>0</v>
      </c>
      <c r="AO544" s="14">
        <v>0</v>
      </c>
      <c r="AP544" s="13">
        <v>3</v>
      </c>
      <c r="AQ544" s="13">
        <v>11</v>
      </c>
      <c r="AR544" s="15">
        <v>933</v>
      </c>
      <c r="AS544" s="15">
        <v>971</v>
      </c>
    </row>
    <row r="545" spans="1:45" x14ac:dyDescent="0.25">
      <c r="A545">
        <v>2062</v>
      </c>
      <c r="B545" s="11">
        <f t="shared" si="8"/>
        <v>79244</v>
      </c>
      <c r="C545" s="12">
        <v>792440</v>
      </c>
      <c r="D545" s="13">
        <v>0</v>
      </c>
      <c r="E545" s="13">
        <v>0</v>
      </c>
      <c r="F545" s="13">
        <v>58</v>
      </c>
      <c r="G545" s="13">
        <v>27</v>
      </c>
      <c r="H545" s="13" t="str" cm="1">
        <f t="array" ref="H545">_xlfn.IFS(G545&lt;=20,"0-20",G545&lt;=30,"20-30",G545&lt;=40,"30-40",G545&lt;=50,"50-60",G545&lt;=60,"60-70",G545&lt;=70,"70-80",G545&lt;=80,"80-90")</f>
        <v>20-30</v>
      </c>
      <c r="I545" s="13">
        <v>2716</v>
      </c>
      <c r="J545" s="13" t="str" cm="1">
        <f t="array" ref="J545">_xlfn.IFS(K545=1,"Divorciado",L545=1,"Casado",M545=1,"Solteiro",N545=1,"Juntos",O545=1,"Viuvo")</f>
        <v>Solteiro</v>
      </c>
      <c r="K545" s="13">
        <v>0</v>
      </c>
      <c r="L545" s="13">
        <v>0</v>
      </c>
      <c r="M545" s="13">
        <v>1</v>
      </c>
      <c r="N545" s="13">
        <v>0</v>
      </c>
      <c r="O545" s="13">
        <v>0</v>
      </c>
      <c r="P545" s="13">
        <v>0</v>
      </c>
      <c r="Q545" s="13">
        <v>0</v>
      </c>
      <c r="R545" s="13">
        <v>1</v>
      </c>
      <c r="S545" s="13">
        <v>0</v>
      </c>
      <c r="T545" s="13">
        <v>0</v>
      </c>
      <c r="U545" s="13">
        <v>471</v>
      </c>
      <c r="V545" s="13" t="str" cm="1">
        <f t="array" ref="V545">_xlfn.IFS(U545&lt;=250,"0-R$250",U545&lt;=500,"251-R$500",U545&lt;=750,"501-R$750",U545&lt;=1000,"751-R$1000",U545&lt;=1250,"1001-R$1250",U545&lt;=1500,"1251-R$1500")</f>
        <v>251-R$500</v>
      </c>
      <c r="W545" s="13">
        <v>102</v>
      </c>
      <c r="X545" s="13" t="str" cm="1">
        <f t="array" ref="X545">_xlfn.IFS(W545 = 0, "0", W545&lt;=20, "até R$20",W545&lt;=40, "21 - R$40",W545&lt;=60, "41- R$60",W545&lt;=80, "61 - R$80", W545&lt;=100, "81 - R$100",W545&lt;=120, "101 - R$120",W545&lt;=140, "121 - R$140", W545&lt;=160, "141- R$160", W545&lt;=180, "161 - R$180", W545&lt;=200, "181-R$194")</f>
        <v>101 - R$120</v>
      </c>
      <c r="Y545" s="13">
        <v>125</v>
      </c>
      <c r="Z545" s="13">
        <v>212</v>
      </c>
      <c r="AA545" s="13">
        <v>61</v>
      </c>
      <c r="AB545" s="13">
        <v>245</v>
      </c>
      <c r="AC545" s="13">
        <v>1</v>
      </c>
      <c r="AD545" s="13">
        <v>4</v>
      </c>
      <c r="AE545" s="13">
        <v>10</v>
      </c>
      <c r="AF545" s="13">
        <v>7</v>
      </c>
      <c r="AG545" s="13">
        <v>1</v>
      </c>
      <c r="AH545" s="13">
        <v>0</v>
      </c>
      <c r="AI545" s="13">
        <v>0</v>
      </c>
      <c r="AJ545" s="13">
        <v>0</v>
      </c>
      <c r="AK545" s="13">
        <v>1</v>
      </c>
      <c r="AL545" s="13">
        <v>1</v>
      </c>
      <c r="AM545" s="13">
        <v>0</v>
      </c>
      <c r="AN545" s="13">
        <v>1</v>
      </c>
      <c r="AO545" s="14">
        <v>2</v>
      </c>
      <c r="AP545" s="13">
        <v>3</v>
      </c>
      <c r="AQ545" s="13">
        <v>11</v>
      </c>
      <c r="AR545" s="15">
        <v>726</v>
      </c>
      <c r="AS545" s="15">
        <v>971</v>
      </c>
    </row>
    <row r="546" spans="1:45" x14ac:dyDescent="0.25">
      <c r="A546">
        <v>680</v>
      </c>
      <c r="B546" s="11">
        <f t="shared" si="8"/>
        <v>78468</v>
      </c>
      <c r="C546" s="12">
        <v>784680</v>
      </c>
      <c r="D546" s="13">
        <v>0</v>
      </c>
      <c r="E546" s="13">
        <v>0</v>
      </c>
      <c r="F546" s="13">
        <v>29</v>
      </c>
      <c r="G546" s="13">
        <v>60</v>
      </c>
      <c r="H546" s="13" t="str" cm="1">
        <f t="array" ref="H546">_xlfn.IFS(G546&lt;=20,"0-20",G546&lt;=30,"20-30",G546&lt;=40,"30-40",G546&lt;=50,"50-60",G546&lt;=60,"60-70",G546&lt;=70,"70-80",G546&lt;=80,"80-90")</f>
        <v>60-70</v>
      </c>
      <c r="I546" s="13">
        <v>2240</v>
      </c>
      <c r="J546" s="13" t="str" cm="1">
        <f t="array" ref="J546">_xlfn.IFS(K546=1,"Divorciado",L546=1,"Casado",M546=1,"Solteiro",N546=1,"Juntos",O546=1,"Viuvo")</f>
        <v>Juntos</v>
      </c>
      <c r="K546" s="13">
        <v>0</v>
      </c>
      <c r="L546" s="13">
        <v>0</v>
      </c>
      <c r="M546" s="13">
        <v>0</v>
      </c>
      <c r="N546" s="13">
        <v>1</v>
      </c>
      <c r="O546" s="13">
        <v>0</v>
      </c>
      <c r="P546" s="13">
        <v>0</v>
      </c>
      <c r="Q546" s="13">
        <v>0</v>
      </c>
      <c r="R546" s="13">
        <v>1</v>
      </c>
      <c r="S546" s="13">
        <v>0</v>
      </c>
      <c r="T546" s="13">
        <v>0</v>
      </c>
      <c r="U546" s="13">
        <v>434</v>
      </c>
      <c r="V546" s="13" t="str" cm="1">
        <f t="array" ref="V546">_xlfn.IFS(U546&lt;=250,"0-R$250",U546&lt;=500,"251-R$500",U546&lt;=750,"501-R$750",U546&lt;=1000,"751-R$1000",U546&lt;=1250,"1001-R$1250",U546&lt;=1500,"1251-R$1500")</f>
        <v>251-R$500</v>
      </c>
      <c r="W546" s="13">
        <v>22</v>
      </c>
      <c r="X546" s="13" t="str" cm="1">
        <f t="array" ref="X546">_xlfn.IFS(W546 = 0, "0", W546&lt;=20, "até R$20",W546&lt;=40, "21 - R$40",W546&lt;=60, "41- R$60",W546&lt;=80, "61 - R$80", W546&lt;=100, "81 - R$100",W546&lt;=120, "101 - R$120",W546&lt;=140, "121 - R$140", W546&lt;=160, "141- R$160", W546&lt;=180, "161 - R$180", W546&lt;=200, "181-R$194")</f>
        <v>21 - R$40</v>
      </c>
      <c r="Y546" s="13">
        <v>388</v>
      </c>
      <c r="Z546" s="13">
        <v>104</v>
      </c>
      <c r="AA546" s="13">
        <v>22</v>
      </c>
      <c r="AB546" s="13">
        <v>34</v>
      </c>
      <c r="AC546" s="13">
        <v>1</v>
      </c>
      <c r="AD546" s="13">
        <v>10</v>
      </c>
      <c r="AE546" s="13">
        <v>7</v>
      </c>
      <c r="AF546" s="13">
        <v>10</v>
      </c>
      <c r="AG546" s="13">
        <v>4</v>
      </c>
      <c r="AH546" s="13">
        <v>0</v>
      </c>
      <c r="AI546" s="13">
        <v>0</v>
      </c>
      <c r="AJ546" s="13">
        <v>0</v>
      </c>
      <c r="AK546" s="13">
        <v>0</v>
      </c>
      <c r="AL546" s="13">
        <v>1</v>
      </c>
      <c r="AM546" s="13">
        <v>0</v>
      </c>
      <c r="AN546" s="13">
        <v>0</v>
      </c>
      <c r="AO546" s="14">
        <v>1</v>
      </c>
      <c r="AP546" s="13">
        <v>3</v>
      </c>
      <c r="AQ546" s="13">
        <v>11</v>
      </c>
      <c r="AR546" s="15">
        <v>936</v>
      </c>
      <c r="AS546" s="15">
        <v>970</v>
      </c>
    </row>
    <row r="547" spans="1:45" x14ac:dyDescent="0.25">
      <c r="A547">
        <v>1125</v>
      </c>
      <c r="B547" s="11">
        <f t="shared" si="8"/>
        <v>63285</v>
      </c>
      <c r="C547" s="16">
        <v>632850</v>
      </c>
      <c r="D547" s="17">
        <v>0</v>
      </c>
      <c r="E547" s="17">
        <v>0</v>
      </c>
      <c r="F547" s="17">
        <v>84</v>
      </c>
      <c r="G547" s="17">
        <v>75</v>
      </c>
      <c r="H547" s="13" t="str" cm="1">
        <f t="array" ref="H547">_xlfn.IFS(G547&lt;=20,"0-20",G547&lt;=30,"20-30",G547&lt;=40,"30-40",G547&lt;=50,"50-60",G547&lt;=60,"60-70",G547&lt;=70,"70-80",G547&lt;=80,"80-90")</f>
        <v>80-90</v>
      </c>
      <c r="I547" s="17">
        <v>2395</v>
      </c>
      <c r="J547" s="13" t="str" cm="1">
        <f t="array" ref="J547">_xlfn.IFS(K547=1,"Divorciado",L547=1,"Casado",M547=1,"Solteiro",N547=1,"Juntos",O547=1,"Viuvo")</f>
        <v>Viuvo</v>
      </c>
      <c r="K547" s="17">
        <v>0</v>
      </c>
      <c r="L547" s="17">
        <v>0</v>
      </c>
      <c r="M547" s="17">
        <v>0</v>
      </c>
      <c r="N547" s="17">
        <v>0</v>
      </c>
      <c r="O547" s="17">
        <v>1</v>
      </c>
      <c r="P547" s="17">
        <v>0</v>
      </c>
      <c r="Q547" s="17">
        <v>0</v>
      </c>
      <c r="R547" s="17">
        <v>1</v>
      </c>
      <c r="S547" s="17">
        <v>0</v>
      </c>
      <c r="T547" s="17">
        <v>0</v>
      </c>
      <c r="U547" s="17">
        <v>508</v>
      </c>
      <c r="V547" s="13" t="str" cm="1">
        <f t="array" ref="V547">_xlfn.IFS(U547&lt;=250,"0-R$250",U547&lt;=500,"251-R$500",U547&lt;=750,"501-R$750",U547&lt;=1000,"751-R$1000",U547&lt;=1250,"1001-R$1250",U547&lt;=1500,"1251-R$1500")</f>
        <v>501-R$750</v>
      </c>
      <c r="W547" s="17">
        <v>124</v>
      </c>
      <c r="X547" s="13" t="str" cm="1">
        <f t="array" ref="X547">_xlfn.IFS(W547 = 0, "0", W547&lt;=20, "até R$20",W547&lt;=40, "21 - R$40",W547&lt;=60, "41- R$60",W547&lt;=80, "61 - R$80", W547&lt;=100, "81 - R$100",W547&lt;=120, "101 - R$120",W547&lt;=140, "121 - R$140", W547&lt;=160, "141- R$160", W547&lt;=180, "161 - R$180", W547&lt;=200, "181-R$194")</f>
        <v>121 - R$140</v>
      </c>
      <c r="Y547" s="17">
        <v>249</v>
      </c>
      <c r="Z547" s="17">
        <v>50</v>
      </c>
      <c r="AA547" s="17">
        <v>38</v>
      </c>
      <c r="AB547" s="17">
        <v>134</v>
      </c>
      <c r="AC547" s="17">
        <v>1</v>
      </c>
      <c r="AD547" s="17">
        <v>6</v>
      </c>
      <c r="AE547" s="17">
        <v>5</v>
      </c>
      <c r="AF547" s="17">
        <v>13</v>
      </c>
      <c r="AG547" s="17">
        <v>3</v>
      </c>
      <c r="AH547" s="17">
        <v>0</v>
      </c>
      <c r="AI547" s="17">
        <v>0</v>
      </c>
      <c r="AJ547" s="17">
        <v>0</v>
      </c>
      <c r="AK547" s="17">
        <v>0</v>
      </c>
      <c r="AL547" s="17">
        <v>0</v>
      </c>
      <c r="AM547" s="17">
        <v>0</v>
      </c>
      <c r="AN547" s="17">
        <v>0</v>
      </c>
      <c r="AO547" s="18">
        <v>0</v>
      </c>
      <c r="AP547" s="17">
        <v>3</v>
      </c>
      <c r="AQ547" s="17">
        <v>11</v>
      </c>
      <c r="AR547" s="19">
        <v>835</v>
      </c>
      <c r="AS547" s="19">
        <v>969</v>
      </c>
    </row>
    <row r="548" spans="1:45" x14ac:dyDescent="0.25">
      <c r="A548">
        <v>116</v>
      </c>
      <c r="B548" s="11">
        <f t="shared" si="8"/>
        <v>101970</v>
      </c>
      <c r="C548" s="12">
        <v>1019700</v>
      </c>
      <c r="D548" s="13">
        <v>0</v>
      </c>
      <c r="E548" s="13">
        <v>0</v>
      </c>
      <c r="F548" s="13">
        <v>69</v>
      </c>
      <c r="G548" s="13">
        <v>37</v>
      </c>
      <c r="H548" s="13" t="str" cm="1">
        <f t="array" ref="H548">_xlfn.IFS(G548&lt;=20,"0-20",G548&lt;=30,"20-30",G548&lt;=40,"30-40",G548&lt;=50,"50-60",G548&lt;=60,"60-70",G548&lt;=70,"70-80",G548&lt;=80,"80-90")</f>
        <v>30-40</v>
      </c>
      <c r="I548" s="13">
        <v>2633</v>
      </c>
      <c r="J548" s="13" t="str" cm="1">
        <f t="array" ref="J548">_xlfn.IFS(K548=1,"Divorciado",L548=1,"Casado",M548=1,"Solteiro",N548=1,"Juntos",O548=1,"Viuvo")</f>
        <v>Solteiro</v>
      </c>
      <c r="K548" s="13">
        <v>0</v>
      </c>
      <c r="L548" s="13">
        <v>0</v>
      </c>
      <c r="M548" s="13">
        <v>1</v>
      </c>
      <c r="N548" s="13">
        <v>0</v>
      </c>
      <c r="O548" s="13">
        <v>0</v>
      </c>
      <c r="P548" s="13">
        <v>0</v>
      </c>
      <c r="Q548" s="13">
        <v>0</v>
      </c>
      <c r="R548" s="13">
        <v>1</v>
      </c>
      <c r="S548" s="13">
        <v>0</v>
      </c>
      <c r="T548" s="13">
        <v>0</v>
      </c>
      <c r="U548" s="13">
        <v>722</v>
      </c>
      <c r="V548" s="13" t="str" cm="1">
        <f t="array" ref="V548">_xlfn.IFS(U548&lt;=250,"0-R$250",U548&lt;=500,"251-R$500",U548&lt;=750,"501-R$750",U548&lt;=1000,"751-R$1000",U548&lt;=1250,"1001-R$1250",U548&lt;=1500,"1251-R$1500")</f>
        <v>501-R$750</v>
      </c>
      <c r="W548" s="13">
        <v>27</v>
      </c>
      <c r="X548" s="13" t="str" cm="1">
        <f t="array" ref="X548">_xlfn.IFS(W548 = 0, "0", W548&lt;=20, "até R$20",W548&lt;=40, "21 - R$40",W548&lt;=60, "41- R$60",W548&lt;=80, "61 - R$80", W548&lt;=100, "81 - R$100",W548&lt;=120, "101 - R$120",W548&lt;=140, "121 - R$140", W548&lt;=160, "141- R$160", W548&lt;=180, "161 - R$180", W548&lt;=200, "181-R$194")</f>
        <v>21 - R$40</v>
      </c>
      <c r="Y548" s="13">
        <v>102</v>
      </c>
      <c r="Z548" s="13">
        <v>44</v>
      </c>
      <c r="AA548" s="13">
        <v>72</v>
      </c>
      <c r="AB548" s="13">
        <v>168</v>
      </c>
      <c r="AC548" s="13">
        <v>0</v>
      </c>
      <c r="AD548" s="13">
        <v>6</v>
      </c>
      <c r="AE548" s="13">
        <v>8</v>
      </c>
      <c r="AF548" s="13">
        <v>13</v>
      </c>
      <c r="AG548" s="13">
        <v>2</v>
      </c>
      <c r="AH548" s="13">
        <v>0</v>
      </c>
      <c r="AI548" s="13">
        <v>0</v>
      </c>
      <c r="AJ548" s="13">
        <v>1</v>
      </c>
      <c r="AK548" s="13">
        <v>1</v>
      </c>
      <c r="AL548" s="13">
        <v>1</v>
      </c>
      <c r="AM548" s="13">
        <v>0</v>
      </c>
      <c r="AN548" s="13">
        <v>1</v>
      </c>
      <c r="AO548" s="14">
        <v>3</v>
      </c>
      <c r="AP548" s="13">
        <v>3</v>
      </c>
      <c r="AQ548" s="13">
        <v>11</v>
      </c>
      <c r="AR548" s="15">
        <v>799</v>
      </c>
      <c r="AS548" s="15">
        <v>967</v>
      </c>
    </row>
    <row r="549" spans="1:45" x14ac:dyDescent="0.25">
      <c r="A549">
        <v>941</v>
      </c>
      <c r="B549" s="11">
        <f t="shared" si="8"/>
        <v>70647</v>
      </c>
      <c r="C549" s="16">
        <v>706470</v>
      </c>
      <c r="D549" s="17">
        <v>0</v>
      </c>
      <c r="E549" s="17">
        <v>1</v>
      </c>
      <c r="F549" s="17">
        <v>65</v>
      </c>
      <c r="G549" s="17">
        <v>53</v>
      </c>
      <c r="H549" s="13" t="str" cm="1">
        <f t="array" ref="H549">_xlfn.IFS(G549&lt;=20,"0-20",G549&lt;=30,"20-30",G549&lt;=40,"30-40",G549&lt;=50,"50-60",G549&lt;=60,"60-70",G549&lt;=70,"70-80",G549&lt;=80,"80-90")</f>
        <v>60-70</v>
      </c>
      <c r="I549" s="17">
        <v>2805</v>
      </c>
      <c r="J549" s="13" t="str" cm="1">
        <f t="array" ref="J549">_xlfn.IFS(K549=1,"Divorciado",L549=1,"Casado",M549=1,"Solteiro",N549=1,"Juntos",O549=1,"Viuvo")</f>
        <v>Divorciado</v>
      </c>
      <c r="K549" s="17">
        <v>1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1</v>
      </c>
      <c r="S549" s="17">
        <v>0</v>
      </c>
      <c r="T549" s="17">
        <v>0</v>
      </c>
      <c r="U549" s="17">
        <v>561</v>
      </c>
      <c r="V549" s="13" t="str" cm="1">
        <f t="array" ref="V549">_xlfn.IFS(U549&lt;=250,"0-R$250",U549&lt;=500,"251-R$500",U549&lt;=750,"501-R$750",U549&lt;=1000,"751-R$1000",U549&lt;=1250,"1001-R$1250",U549&lt;=1500,"1251-R$1500")</f>
        <v>501-R$750</v>
      </c>
      <c r="W549" s="17">
        <v>85</v>
      </c>
      <c r="X549" s="13" t="str" cm="1">
        <f t="array" ref="X549">_xlfn.IFS(W549 = 0, "0", W549&lt;=20, "até R$20",W549&lt;=40, "21 - R$40",W549&lt;=60, "41- R$60",W549&lt;=80, "61 - R$80", W549&lt;=100, "81 - R$100",W549&lt;=120, "101 - R$120",W549&lt;=140, "121 - R$140", W549&lt;=160, "141- R$160", W549&lt;=180, "161 - R$180", W549&lt;=200, "181-R$194")</f>
        <v>81 - R$100</v>
      </c>
      <c r="Y549" s="17">
        <v>171</v>
      </c>
      <c r="Z549" s="17">
        <v>25</v>
      </c>
      <c r="AA549" s="17">
        <v>123</v>
      </c>
      <c r="AB549" s="17">
        <v>114</v>
      </c>
      <c r="AC549" s="17">
        <v>2</v>
      </c>
      <c r="AD549" s="17">
        <v>4</v>
      </c>
      <c r="AE549" s="17">
        <v>7</v>
      </c>
      <c r="AF549" s="17">
        <v>13</v>
      </c>
      <c r="AG549" s="17">
        <v>2</v>
      </c>
      <c r="AH549" s="17">
        <v>0</v>
      </c>
      <c r="AI549" s="17">
        <v>0</v>
      </c>
      <c r="AJ549" s="17">
        <v>0</v>
      </c>
      <c r="AK549" s="17">
        <v>0</v>
      </c>
      <c r="AL549" s="17">
        <v>0</v>
      </c>
      <c r="AM549" s="17">
        <v>0</v>
      </c>
      <c r="AN549" s="17">
        <v>0</v>
      </c>
      <c r="AO549" s="18">
        <v>0</v>
      </c>
      <c r="AP549" s="17">
        <v>3</v>
      </c>
      <c r="AQ549" s="17">
        <v>11</v>
      </c>
      <c r="AR549" s="19">
        <v>851</v>
      </c>
      <c r="AS549" s="19">
        <v>965</v>
      </c>
    </row>
    <row r="550" spans="1:45" x14ac:dyDescent="0.25">
      <c r="A550">
        <v>2141</v>
      </c>
      <c r="B550" s="11">
        <f t="shared" si="8"/>
        <v>71965</v>
      </c>
      <c r="C550" s="16">
        <v>719650</v>
      </c>
      <c r="D550" s="17">
        <v>0</v>
      </c>
      <c r="E550" s="17">
        <v>1</v>
      </c>
      <c r="F550" s="17">
        <v>21</v>
      </c>
      <c r="G550" s="17">
        <v>69</v>
      </c>
      <c r="H550" s="13" t="str" cm="1">
        <f t="array" ref="H550">_xlfn.IFS(G550&lt;=20,"0-20",G550&lt;=30,"20-30",G550&lt;=40,"30-40",G550&lt;=50,"50-60",G550&lt;=60,"60-70",G550&lt;=70,"70-80",G550&lt;=80,"80-90")</f>
        <v>70-80</v>
      </c>
      <c r="I550" s="17">
        <v>2494</v>
      </c>
      <c r="J550" s="13" t="str" cm="1">
        <f t="array" ref="J550">_xlfn.IFS(K550=1,"Divorciado",L550=1,"Casado",M550=1,"Solteiro",N550=1,"Juntos",O550=1,"Viuvo")</f>
        <v>Casado</v>
      </c>
      <c r="K550" s="17">
        <v>0</v>
      </c>
      <c r="L550" s="17">
        <v>1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1</v>
      </c>
      <c r="S550" s="17">
        <v>0</v>
      </c>
      <c r="T550" s="17">
        <v>0</v>
      </c>
      <c r="U550" s="17">
        <v>572</v>
      </c>
      <c r="V550" s="13" t="str" cm="1">
        <f t="array" ref="V550">_xlfn.IFS(U550&lt;=250,"0-R$250",U550&lt;=500,"251-R$500",U550&lt;=750,"501-R$750",U550&lt;=1000,"751-R$1000",U550&lt;=1250,"1001-R$1250",U550&lt;=1500,"1251-R$1500")</f>
        <v>501-R$750</v>
      </c>
      <c r="W550" s="17">
        <v>19</v>
      </c>
      <c r="X550" s="13" t="str" cm="1">
        <f t="array" ref="X550">_xlfn.IFS(W550 = 0, "0", W550&lt;=20, "até R$20",W550&lt;=40, "21 - R$40",W550&lt;=60, "41- R$60",W550&lt;=80, "61 - R$80", W550&lt;=100, "81 - R$100",W550&lt;=120, "101 - R$120",W550&lt;=140, "121 - R$140", W550&lt;=160, "141- R$160", W550&lt;=180, "161 - R$180", W550&lt;=200, "181-R$194")</f>
        <v>até R$20</v>
      </c>
      <c r="Y550" s="17">
        <v>286</v>
      </c>
      <c r="Z550" s="17">
        <v>50</v>
      </c>
      <c r="AA550" s="17">
        <v>38</v>
      </c>
      <c r="AB550" s="17">
        <v>248</v>
      </c>
      <c r="AC550" s="17">
        <v>3</v>
      </c>
      <c r="AD550" s="17">
        <v>6</v>
      </c>
      <c r="AE550" s="17">
        <v>3</v>
      </c>
      <c r="AF550" s="17">
        <v>5</v>
      </c>
      <c r="AG550" s="17">
        <v>3</v>
      </c>
      <c r="AH550" s="17">
        <v>0</v>
      </c>
      <c r="AI550" s="17">
        <v>0</v>
      </c>
      <c r="AJ550" s="17">
        <v>0</v>
      </c>
      <c r="AK550" s="17">
        <v>0</v>
      </c>
      <c r="AL550" s="17">
        <v>0</v>
      </c>
      <c r="AM550" s="17">
        <v>0</v>
      </c>
      <c r="AN550" s="17">
        <v>0</v>
      </c>
      <c r="AO550" s="18">
        <v>0</v>
      </c>
      <c r="AP550" s="17">
        <v>3</v>
      </c>
      <c r="AQ550" s="17">
        <v>11</v>
      </c>
      <c r="AR550" s="19">
        <v>717</v>
      </c>
      <c r="AS550" s="19">
        <v>965</v>
      </c>
    </row>
    <row r="551" spans="1:45" x14ac:dyDescent="0.25">
      <c r="A551">
        <v>239</v>
      </c>
      <c r="B551" s="11">
        <f t="shared" si="8"/>
        <v>102692</v>
      </c>
      <c r="C551" s="16">
        <v>1026920</v>
      </c>
      <c r="D551" s="17">
        <v>0</v>
      </c>
      <c r="E551" s="17">
        <v>0</v>
      </c>
      <c r="F551" s="17">
        <v>5</v>
      </c>
      <c r="G551" s="17">
        <v>46</v>
      </c>
      <c r="H551" s="13" t="str" cm="1">
        <f t="array" ref="H551">_xlfn.IFS(G551&lt;=20,"0-20",G551&lt;=30,"20-30",G551&lt;=40,"30-40",G551&lt;=50,"50-60",G551&lt;=60,"60-70",G551&lt;=70,"70-80",G551&lt;=80,"80-90")</f>
        <v>50-60</v>
      </c>
      <c r="I551" s="17">
        <v>2609</v>
      </c>
      <c r="J551" s="13" t="str" cm="1">
        <f t="array" ref="J551">_xlfn.IFS(K551=1,"Divorciado",L551=1,"Casado",M551=1,"Solteiro",N551=1,"Juntos",O551=1,"Viuvo")</f>
        <v>Divorciado</v>
      </c>
      <c r="K551" s="17">
        <v>1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1</v>
      </c>
      <c r="S551" s="17">
        <v>0</v>
      </c>
      <c r="T551" s="17">
        <v>0</v>
      </c>
      <c r="U551" s="17">
        <v>168</v>
      </c>
      <c r="V551" s="13" t="str" cm="1">
        <f t="array" ref="V551">_xlfn.IFS(U551&lt;=250,"0-R$250",U551&lt;=500,"251-R$500",U551&lt;=750,"501-R$750",U551&lt;=1000,"751-R$1000",U551&lt;=1250,"1001-R$1250",U551&lt;=1500,"1251-R$1500")</f>
        <v>0-R$250</v>
      </c>
      <c r="W551" s="17">
        <v>148</v>
      </c>
      <c r="X551" s="13" t="str" cm="1">
        <f t="array" ref="X551">_xlfn.IFS(W551 = 0, "0", W551&lt;=20, "até R$20",W551&lt;=40, "21 - R$40",W551&lt;=60, "41- R$60",W551&lt;=80, "61 - R$80", W551&lt;=100, "81 - R$100",W551&lt;=120, "101 - R$120",W551&lt;=140, "121 - R$140", W551&lt;=160, "141- R$160", W551&lt;=180, "161 - R$180", W551&lt;=200, "181-R$194")</f>
        <v>141- R$160</v>
      </c>
      <c r="Y551" s="17">
        <v>444</v>
      </c>
      <c r="Z551" s="17">
        <v>32</v>
      </c>
      <c r="AA551" s="17">
        <v>172</v>
      </c>
      <c r="AB551" s="17">
        <v>148</v>
      </c>
      <c r="AC551" s="17">
        <v>1</v>
      </c>
      <c r="AD551" s="17">
        <v>6</v>
      </c>
      <c r="AE551" s="17">
        <v>9</v>
      </c>
      <c r="AF551" s="17">
        <v>13</v>
      </c>
      <c r="AG551" s="17">
        <v>2</v>
      </c>
      <c r="AH551" s="17">
        <v>0</v>
      </c>
      <c r="AI551" s="17">
        <v>0</v>
      </c>
      <c r="AJ551" s="17">
        <v>1</v>
      </c>
      <c r="AK551" s="17">
        <v>1</v>
      </c>
      <c r="AL551" s="17">
        <v>1</v>
      </c>
      <c r="AM551" s="17">
        <v>1</v>
      </c>
      <c r="AN551" s="17">
        <v>1</v>
      </c>
      <c r="AO551" s="18">
        <v>4</v>
      </c>
      <c r="AP551" s="17">
        <v>3</v>
      </c>
      <c r="AQ551" s="17">
        <v>11</v>
      </c>
      <c r="AR551" s="19">
        <v>816</v>
      </c>
      <c r="AS551" s="19">
        <v>964</v>
      </c>
    </row>
    <row r="552" spans="1:45" x14ac:dyDescent="0.25">
      <c r="A552">
        <v>435</v>
      </c>
      <c r="B552" s="11">
        <f t="shared" si="8"/>
        <v>56796</v>
      </c>
      <c r="C552" s="16">
        <v>567960</v>
      </c>
      <c r="D552" s="17">
        <v>0</v>
      </c>
      <c r="E552" s="17">
        <v>1</v>
      </c>
      <c r="F552" s="17">
        <v>24</v>
      </c>
      <c r="G552" s="17">
        <v>51</v>
      </c>
      <c r="H552" s="13" t="str" cm="1">
        <f t="array" ref="H552">_xlfn.IFS(G552&lt;=20,"0-20",G552&lt;=30,"20-30",G552&lt;=40,"30-40",G552&lt;=50,"50-60",G552&lt;=60,"60-70",G552&lt;=70,"70-80",G552&lt;=80,"80-90")</f>
        <v>60-70</v>
      </c>
      <c r="I552" s="17">
        <v>2657</v>
      </c>
      <c r="J552" s="13" t="str" cm="1">
        <f t="array" ref="J552">_xlfn.IFS(K552=1,"Divorciado",L552=1,"Casado",M552=1,"Solteiro",N552=1,"Juntos",O552=1,"Viuvo")</f>
        <v>Casado</v>
      </c>
      <c r="K552" s="17">
        <v>0</v>
      </c>
      <c r="L552" s="17">
        <v>1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1</v>
      </c>
      <c r="S552" s="17">
        <v>0</v>
      </c>
      <c r="T552" s="17">
        <v>0</v>
      </c>
      <c r="U552" s="17">
        <v>656</v>
      </c>
      <c r="V552" s="13" t="str" cm="1">
        <f t="array" ref="V552">_xlfn.IFS(U552&lt;=250,"0-R$250",U552&lt;=500,"251-R$500",U552&lt;=750,"501-R$750",U552&lt;=1000,"751-R$1000",U552&lt;=1250,"1001-R$1250",U552&lt;=1500,"1251-R$1500")</f>
        <v>501-R$750</v>
      </c>
      <c r="W552" s="17">
        <v>38</v>
      </c>
      <c r="X552" s="13" t="str" cm="1">
        <f t="array" ref="X552">_xlfn.IFS(W552 = 0, "0", W552&lt;=20, "até R$20",W552&lt;=40, "21 - R$40",W552&lt;=60, "41- R$60",W552&lt;=80, "61 - R$80", W552&lt;=100, "81 - R$100",W552&lt;=120, "101 - R$120",W552&lt;=140, "121 - R$140", W552&lt;=160, "141- R$160", W552&lt;=180, "161 - R$180", W552&lt;=200, "181-R$194")</f>
        <v>21 - R$40</v>
      </c>
      <c r="Y552" s="17">
        <v>161</v>
      </c>
      <c r="Z552" s="17">
        <v>62</v>
      </c>
      <c r="AA552" s="17">
        <v>47</v>
      </c>
      <c r="AB552" s="17">
        <v>37</v>
      </c>
      <c r="AC552" s="17">
        <v>3</v>
      </c>
      <c r="AD552" s="17">
        <v>8</v>
      </c>
      <c r="AE552" s="17">
        <v>9</v>
      </c>
      <c r="AF552" s="17">
        <v>7</v>
      </c>
      <c r="AG552" s="17">
        <v>7</v>
      </c>
      <c r="AH552" s="17">
        <v>0</v>
      </c>
      <c r="AI552" s="17">
        <v>0</v>
      </c>
      <c r="AJ552" s="17">
        <v>0</v>
      </c>
      <c r="AK552" s="17">
        <v>0</v>
      </c>
      <c r="AL552" s="17">
        <v>0</v>
      </c>
      <c r="AM552" s="17">
        <v>0</v>
      </c>
      <c r="AN552" s="17">
        <v>0</v>
      </c>
      <c r="AO552" s="18">
        <v>0</v>
      </c>
      <c r="AP552" s="17">
        <v>3</v>
      </c>
      <c r="AQ552" s="17">
        <v>11</v>
      </c>
      <c r="AR552" s="19">
        <v>927</v>
      </c>
      <c r="AS552" s="19">
        <v>964</v>
      </c>
    </row>
    <row r="553" spans="1:45" x14ac:dyDescent="0.25">
      <c r="A553">
        <v>2054</v>
      </c>
      <c r="B553" s="11">
        <f t="shared" si="8"/>
        <v>56796</v>
      </c>
      <c r="C553" s="12">
        <v>567960</v>
      </c>
      <c r="D553" s="13">
        <v>0</v>
      </c>
      <c r="E553" s="13">
        <v>1</v>
      </c>
      <c r="F553" s="13">
        <v>24</v>
      </c>
      <c r="G553" s="13">
        <v>51</v>
      </c>
      <c r="H553" s="13" t="str" cm="1">
        <f t="array" ref="H553">_xlfn.IFS(G553&lt;=20,"0-20",G553&lt;=30,"20-30",G553&lt;=40,"30-40",G553&lt;=50,"50-60",G553&lt;=60,"60-70",G553&lt;=70,"70-80",G553&lt;=80,"80-90")</f>
        <v>60-70</v>
      </c>
      <c r="I553" s="13">
        <v>2657</v>
      </c>
      <c r="J553" s="13" t="str" cm="1">
        <f t="array" ref="J553">_xlfn.IFS(K553=1,"Divorciado",L553=1,"Casado",M553=1,"Solteiro",N553=1,"Juntos",O553=1,"Viuvo")</f>
        <v>Casado</v>
      </c>
      <c r="K553" s="13">
        <v>0</v>
      </c>
      <c r="L553" s="13">
        <v>1</v>
      </c>
      <c r="M553" s="13">
        <v>0</v>
      </c>
      <c r="N553" s="13">
        <v>0</v>
      </c>
      <c r="O553" s="13">
        <v>0</v>
      </c>
      <c r="P553" s="13">
        <v>0</v>
      </c>
      <c r="Q553" s="13">
        <v>0</v>
      </c>
      <c r="R553" s="13">
        <v>1</v>
      </c>
      <c r="S553" s="13">
        <v>0</v>
      </c>
      <c r="T553" s="13">
        <v>0</v>
      </c>
      <c r="U553" s="13">
        <v>656</v>
      </c>
      <c r="V553" s="13" t="str" cm="1">
        <f t="array" ref="V553">_xlfn.IFS(U553&lt;=250,"0-R$250",U553&lt;=500,"251-R$500",U553&lt;=750,"501-R$750",U553&lt;=1000,"751-R$1000",U553&lt;=1250,"1001-R$1250",U553&lt;=1500,"1251-R$1500")</f>
        <v>501-R$750</v>
      </c>
      <c r="W553" s="13">
        <v>38</v>
      </c>
      <c r="X553" s="13" t="str" cm="1">
        <f t="array" ref="X553">_xlfn.IFS(W553 = 0, "0", W553&lt;=20, "até R$20",W553&lt;=40, "21 - R$40",W553&lt;=60, "41- R$60",W553&lt;=80, "61 - R$80", W553&lt;=100, "81 - R$100",W553&lt;=120, "101 - R$120",W553&lt;=140, "121 - R$140", W553&lt;=160, "141- R$160", W553&lt;=180, "161 - R$180", W553&lt;=200, "181-R$194")</f>
        <v>21 - R$40</v>
      </c>
      <c r="Y553" s="13">
        <v>161</v>
      </c>
      <c r="Z553" s="13">
        <v>62</v>
      </c>
      <c r="AA553" s="13">
        <v>47</v>
      </c>
      <c r="AB553" s="13">
        <v>37</v>
      </c>
      <c r="AC553" s="13">
        <v>3</v>
      </c>
      <c r="AD553" s="13">
        <v>8</v>
      </c>
      <c r="AE553" s="13">
        <v>9</v>
      </c>
      <c r="AF553" s="13">
        <v>7</v>
      </c>
      <c r="AG553" s="13">
        <v>7</v>
      </c>
      <c r="AH553" s="13">
        <v>0</v>
      </c>
      <c r="AI553" s="13">
        <v>0</v>
      </c>
      <c r="AJ553" s="13">
        <v>0</v>
      </c>
      <c r="AK553" s="13">
        <v>0</v>
      </c>
      <c r="AL553" s="13">
        <v>0</v>
      </c>
      <c r="AM553" s="13">
        <v>0</v>
      </c>
      <c r="AN553" s="13">
        <v>0</v>
      </c>
      <c r="AO553" s="14">
        <v>0</v>
      </c>
      <c r="AP553" s="13">
        <v>3</v>
      </c>
      <c r="AQ553" s="13">
        <v>11</v>
      </c>
      <c r="AR553" s="15">
        <v>927</v>
      </c>
      <c r="AS553" s="15">
        <v>964</v>
      </c>
    </row>
    <row r="554" spans="1:45" x14ac:dyDescent="0.25">
      <c r="A554">
        <v>438</v>
      </c>
      <c r="B554" s="11">
        <f t="shared" si="8"/>
        <v>65991</v>
      </c>
      <c r="C554" s="12">
        <v>659910</v>
      </c>
      <c r="D554" s="13">
        <v>0</v>
      </c>
      <c r="E554" s="13">
        <v>1</v>
      </c>
      <c r="F554" s="13">
        <v>21</v>
      </c>
      <c r="G554" s="13">
        <v>44</v>
      </c>
      <c r="H554" s="13" t="str" cm="1">
        <f t="array" ref="H554">_xlfn.IFS(G554&lt;=20,"0-20",G554&lt;=30,"20-30",G554&lt;=40,"30-40",G554&lt;=50,"50-60",G554&lt;=60,"60-70",G554&lt;=70,"70-80",G554&lt;=80,"80-90")</f>
        <v>50-60</v>
      </c>
      <c r="I554" s="13">
        <v>2819</v>
      </c>
      <c r="J554" s="13" t="str" cm="1">
        <f t="array" ref="J554">_xlfn.IFS(K554=1,"Divorciado",L554=1,"Casado",M554=1,"Solteiro",N554=1,"Juntos",O554=1,"Viuvo")</f>
        <v>Casado</v>
      </c>
      <c r="K554" s="13">
        <v>0</v>
      </c>
      <c r="L554" s="13">
        <v>1</v>
      </c>
      <c r="M554" s="13">
        <v>0</v>
      </c>
      <c r="N554" s="13">
        <v>0</v>
      </c>
      <c r="O554" s="13">
        <v>0</v>
      </c>
      <c r="P554" s="13">
        <v>0</v>
      </c>
      <c r="Q554" s="13">
        <v>0</v>
      </c>
      <c r="R554" s="13">
        <v>1</v>
      </c>
      <c r="S554" s="13">
        <v>0</v>
      </c>
      <c r="T554" s="13">
        <v>0</v>
      </c>
      <c r="U554" s="13">
        <v>507</v>
      </c>
      <c r="V554" s="13" t="str" cm="1">
        <f t="array" ref="V554">_xlfn.IFS(U554&lt;=250,"0-R$250",U554&lt;=500,"251-R$500",U554&lt;=750,"501-R$750",U554&lt;=1000,"751-R$1000",U554&lt;=1250,"1001-R$1250",U554&lt;=1500,"1251-R$1500")</f>
        <v>501-R$750</v>
      </c>
      <c r="W554" s="13">
        <v>19</v>
      </c>
      <c r="X554" s="13" t="str" cm="1">
        <f t="array" ref="X554">_xlfn.IFS(W554 = 0, "0", W554&lt;=20, "até R$20",W554&lt;=40, "21 - R$40",W554&lt;=60, "41- R$60",W554&lt;=80, "61 - R$80", W554&lt;=100, "81 - R$100",W554&lt;=120, "101 - R$120",W554&lt;=140, "121 - R$140", W554&lt;=160, "141- R$160", W554&lt;=180, "161 - R$180", W554&lt;=200, "181-R$194")</f>
        <v>até R$20</v>
      </c>
      <c r="Y554" s="13">
        <v>364</v>
      </c>
      <c r="Z554" s="13">
        <v>25</v>
      </c>
      <c r="AA554" s="13">
        <v>47</v>
      </c>
      <c r="AB554" s="13">
        <v>9</v>
      </c>
      <c r="AC554" s="13">
        <v>3</v>
      </c>
      <c r="AD554" s="13">
        <v>9</v>
      </c>
      <c r="AE554" s="13">
        <v>5</v>
      </c>
      <c r="AF554" s="13">
        <v>10</v>
      </c>
      <c r="AG554" s="13">
        <v>7</v>
      </c>
      <c r="AH554" s="13">
        <v>0</v>
      </c>
      <c r="AI554" s="13">
        <v>0</v>
      </c>
      <c r="AJ554" s="13">
        <v>0</v>
      </c>
      <c r="AK554" s="13">
        <v>0</v>
      </c>
      <c r="AL554" s="13">
        <v>0</v>
      </c>
      <c r="AM554" s="13">
        <v>0</v>
      </c>
      <c r="AN554" s="13">
        <v>0</v>
      </c>
      <c r="AO554" s="14">
        <v>0</v>
      </c>
      <c r="AP554" s="13">
        <v>3</v>
      </c>
      <c r="AQ554" s="13">
        <v>11</v>
      </c>
      <c r="AR554" s="15">
        <v>953</v>
      </c>
      <c r="AS554" s="15">
        <v>962</v>
      </c>
    </row>
    <row r="555" spans="1:45" x14ac:dyDescent="0.25">
      <c r="A555">
        <v>1232</v>
      </c>
      <c r="B555" s="11">
        <f t="shared" si="8"/>
        <v>67433</v>
      </c>
      <c r="C555" s="12">
        <v>674330</v>
      </c>
      <c r="D555" s="13">
        <v>0</v>
      </c>
      <c r="E555" s="13">
        <v>2</v>
      </c>
      <c r="F555" s="13">
        <v>51</v>
      </c>
      <c r="G555" s="13">
        <v>68</v>
      </c>
      <c r="H555" s="13" t="str" cm="1">
        <f t="array" ref="H555">_xlfn.IFS(G555&lt;=20,"0-20",G555&lt;=30,"20-30",G555&lt;=40,"30-40",G555&lt;=50,"50-60",G555&lt;=60,"60-70",G555&lt;=70,"70-80",G555&lt;=80,"80-90")</f>
        <v>70-80</v>
      </c>
      <c r="I555" s="13">
        <v>2507</v>
      </c>
      <c r="J555" s="13" t="str" cm="1">
        <f t="array" ref="J555">_xlfn.IFS(K555=1,"Divorciado",L555=1,"Casado",M555=1,"Solteiro",N555=1,"Juntos",O555=1,"Viuvo")</f>
        <v>Casado</v>
      </c>
      <c r="K555" s="13">
        <v>0</v>
      </c>
      <c r="L555" s="13">
        <v>1</v>
      </c>
      <c r="M555" s="13">
        <v>0</v>
      </c>
      <c r="N555" s="13">
        <v>0</v>
      </c>
      <c r="O555" s="13">
        <v>0</v>
      </c>
      <c r="P555" s="13">
        <v>0</v>
      </c>
      <c r="Q555" s="13">
        <v>0</v>
      </c>
      <c r="R555" s="13">
        <v>1</v>
      </c>
      <c r="S555" s="13">
        <v>0</v>
      </c>
      <c r="T555" s="13">
        <v>0</v>
      </c>
      <c r="U555" s="13">
        <v>615</v>
      </c>
      <c r="V555" s="13" t="str" cm="1">
        <f t="array" ref="V555">_xlfn.IFS(U555&lt;=250,"0-R$250",U555&lt;=500,"251-R$500",U555&lt;=750,"501-R$750",U555&lt;=1000,"751-R$1000",U555&lt;=1250,"1001-R$1250",U555&lt;=1500,"1251-R$1500")</f>
        <v>501-R$750</v>
      </c>
      <c r="W555" s="13">
        <v>28</v>
      </c>
      <c r="X555" s="13" t="str" cm="1">
        <f t="array" ref="X555">_xlfn.IFS(W555 = 0, "0", W555&lt;=20, "até R$20",W555&lt;=40, "21 - R$40",W555&lt;=60, "41- R$60",W555&lt;=80, "61 - R$80", W555&lt;=100, "81 - R$100",W555&lt;=120, "101 - R$120",W555&lt;=140, "121 - R$140", W555&lt;=160, "141- R$160", W555&lt;=180, "161 - R$180", W555&lt;=200, "181-R$194")</f>
        <v>21 - R$40</v>
      </c>
      <c r="Y555" s="13">
        <v>259</v>
      </c>
      <c r="Z555" s="13">
        <v>12</v>
      </c>
      <c r="AA555" s="13">
        <v>48</v>
      </c>
      <c r="AB555" s="13">
        <v>30</v>
      </c>
      <c r="AC555" s="13">
        <v>4</v>
      </c>
      <c r="AD555" s="13">
        <v>6</v>
      </c>
      <c r="AE555" s="13">
        <v>5</v>
      </c>
      <c r="AF555" s="13">
        <v>13</v>
      </c>
      <c r="AG555" s="13">
        <v>4</v>
      </c>
      <c r="AH555" s="13">
        <v>0</v>
      </c>
      <c r="AI555" s="13">
        <v>0</v>
      </c>
      <c r="AJ555" s="13">
        <v>1</v>
      </c>
      <c r="AK555" s="13">
        <v>0</v>
      </c>
      <c r="AL555" s="13">
        <v>0</v>
      </c>
      <c r="AM555" s="13">
        <v>0</v>
      </c>
      <c r="AN555" s="13">
        <v>0</v>
      </c>
      <c r="AO555" s="14">
        <v>1</v>
      </c>
      <c r="AP555" s="13">
        <v>3</v>
      </c>
      <c r="AQ555" s="13">
        <v>11</v>
      </c>
      <c r="AR555" s="15">
        <v>932</v>
      </c>
      <c r="AS555" s="15">
        <v>962</v>
      </c>
    </row>
    <row r="556" spans="1:45" x14ac:dyDescent="0.25">
      <c r="A556">
        <v>1450</v>
      </c>
      <c r="B556" s="11">
        <f t="shared" si="8"/>
        <v>65148</v>
      </c>
      <c r="C556" s="12">
        <v>651480</v>
      </c>
      <c r="D556" s="13">
        <v>0</v>
      </c>
      <c r="E556" s="13">
        <v>1</v>
      </c>
      <c r="F556" s="13">
        <v>9</v>
      </c>
      <c r="G556" s="13">
        <v>62</v>
      </c>
      <c r="H556" s="13" t="str" cm="1">
        <f t="array" ref="H556">_xlfn.IFS(G556&lt;=20,"0-20",G556&lt;=30,"20-30",G556&lt;=40,"30-40",G556&lt;=50,"50-60",G556&lt;=60,"60-70",G556&lt;=70,"70-80",G556&lt;=80,"80-90")</f>
        <v>70-80</v>
      </c>
      <c r="I556" s="13">
        <v>2749</v>
      </c>
      <c r="J556" s="13" t="str" cm="1">
        <f t="array" ref="J556">_xlfn.IFS(K556=1,"Divorciado",L556=1,"Casado",M556=1,"Solteiro",N556=1,"Juntos",O556=1,"Viuvo")</f>
        <v>Casado</v>
      </c>
      <c r="K556" s="13">
        <v>0</v>
      </c>
      <c r="L556" s="13">
        <v>1</v>
      </c>
      <c r="M556" s="13">
        <v>0</v>
      </c>
      <c r="N556" s="13">
        <v>0</v>
      </c>
      <c r="O556" s="13">
        <v>0</v>
      </c>
      <c r="P556" s="13">
        <v>0</v>
      </c>
      <c r="Q556" s="13">
        <v>0</v>
      </c>
      <c r="R556" s="13">
        <v>1</v>
      </c>
      <c r="S556" s="13">
        <v>0</v>
      </c>
      <c r="T556" s="13">
        <v>0</v>
      </c>
      <c r="U556" s="13">
        <v>460</v>
      </c>
      <c r="V556" s="13" t="str" cm="1">
        <f t="array" ref="V556">_xlfn.IFS(U556&lt;=250,"0-R$250",U556&lt;=500,"251-R$500",U556&lt;=750,"501-R$750",U556&lt;=1000,"751-R$1000",U556&lt;=1250,"1001-R$1250",U556&lt;=1500,"1251-R$1500")</f>
        <v>251-R$500</v>
      </c>
      <c r="W556" s="13">
        <v>35</v>
      </c>
      <c r="X556" s="13" t="str" cm="1">
        <f t="array" ref="X556">_xlfn.IFS(W556 = 0, "0", W556&lt;=20, "até R$20",W556&lt;=40, "21 - R$40",W556&lt;=60, "41- R$60",W556&lt;=80, "61 - R$80", W556&lt;=100, "81 - R$100",W556&lt;=120, "101 - R$120",W556&lt;=140, "121 - R$140", W556&lt;=160, "141- R$160", W556&lt;=180, "161 - R$180", W556&lt;=200, "181-R$194")</f>
        <v>21 - R$40</v>
      </c>
      <c r="Y556" s="13">
        <v>422</v>
      </c>
      <c r="Z556" s="13">
        <v>33</v>
      </c>
      <c r="AA556" s="13">
        <v>12</v>
      </c>
      <c r="AB556" s="13">
        <v>153</v>
      </c>
      <c r="AC556" s="13">
        <v>2</v>
      </c>
      <c r="AD556" s="13">
        <v>6</v>
      </c>
      <c r="AE556" s="13">
        <v>6</v>
      </c>
      <c r="AF556" s="13">
        <v>7</v>
      </c>
      <c r="AG556" s="13">
        <v>4</v>
      </c>
      <c r="AH556" s="13">
        <v>0</v>
      </c>
      <c r="AI556" s="13">
        <v>0</v>
      </c>
      <c r="AJ556" s="13">
        <v>0</v>
      </c>
      <c r="AK556" s="13">
        <v>0</v>
      </c>
      <c r="AL556" s="13">
        <v>0</v>
      </c>
      <c r="AM556" s="13">
        <v>0</v>
      </c>
      <c r="AN556" s="13">
        <v>0</v>
      </c>
      <c r="AO556" s="14">
        <v>0</v>
      </c>
      <c r="AP556" s="13">
        <v>3</v>
      </c>
      <c r="AQ556" s="13">
        <v>11</v>
      </c>
      <c r="AR556" s="15">
        <v>809</v>
      </c>
      <c r="AS556" s="15">
        <v>962</v>
      </c>
    </row>
    <row r="557" spans="1:45" x14ac:dyDescent="0.25">
      <c r="A557">
        <v>538</v>
      </c>
      <c r="B557" s="11">
        <f t="shared" si="8"/>
        <v>81698</v>
      </c>
      <c r="C557" s="12">
        <v>816980</v>
      </c>
      <c r="D557" s="13">
        <v>0</v>
      </c>
      <c r="E557" s="13">
        <v>0</v>
      </c>
      <c r="F557" s="13">
        <v>4</v>
      </c>
      <c r="G557" s="13">
        <v>71</v>
      </c>
      <c r="H557" s="13" t="str" cm="1">
        <f t="array" ref="H557">_xlfn.IFS(G557&lt;=20,"0-20",G557&lt;=30,"20-30",G557&lt;=40,"30-40",G557&lt;=50,"50-60",G557&lt;=60,"60-70",G557&lt;=70,"70-80",G557&lt;=80,"80-90")</f>
        <v>80-90</v>
      </c>
      <c r="I557" s="13">
        <v>2394</v>
      </c>
      <c r="J557" s="13" t="str" cm="1">
        <f t="array" ref="J557">_xlfn.IFS(K557=1,"Divorciado",L557=1,"Casado",M557=1,"Solteiro",N557=1,"Juntos",O557=1,"Viuvo")</f>
        <v>Casado</v>
      </c>
      <c r="K557" s="13">
        <v>0</v>
      </c>
      <c r="L557" s="13">
        <v>1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1</v>
      </c>
      <c r="T557" s="13">
        <v>0</v>
      </c>
      <c r="U557" s="13">
        <v>179</v>
      </c>
      <c r="V557" s="13" t="str" cm="1">
        <f t="array" ref="V557">_xlfn.IFS(U557&lt;=250,"0-R$250",U557&lt;=500,"251-R$500",U557&lt;=750,"501-R$750",U557&lt;=1000,"751-R$1000",U557&lt;=1250,"1001-R$1250",U557&lt;=1500,"1251-R$1500")</f>
        <v>0-R$250</v>
      </c>
      <c r="W557" s="13">
        <v>28</v>
      </c>
      <c r="X557" s="13" t="str" cm="1">
        <f t="array" ref="X557">_xlfn.IFS(W557 = 0, "0", W557&lt;=20, "até R$20",W557&lt;=40, "21 - R$40",W557&lt;=60, "41- R$60",W557&lt;=80, "61 - R$80", W557&lt;=100, "81 - R$100",W557&lt;=120, "101 - R$120",W557&lt;=140, "121 - R$140", W557&lt;=160, "141- R$160", W557&lt;=180, "161 - R$180", W557&lt;=200, "181-R$194")</f>
        <v>21 - R$40</v>
      </c>
      <c r="Y557" s="13">
        <v>520</v>
      </c>
      <c r="Z557" s="13">
        <v>111</v>
      </c>
      <c r="AA557" s="13">
        <v>123</v>
      </c>
      <c r="AB557" s="13">
        <v>47</v>
      </c>
      <c r="AC557" s="13">
        <v>1</v>
      </c>
      <c r="AD557" s="13">
        <v>3</v>
      </c>
      <c r="AE557" s="13">
        <v>8</v>
      </c>
      <c r="AF557" s="13">
        <v>13</v>
      </c>
      <c r="AG557" s="13">
        <v>1</v>
      </c>
      <c r="AH557" s="13">
        <v>0</v>
      </c>
      <c r="AI557" s="13">
        <v>0</v>
      </c>
      <c r="AJ557" s="13">
        <v>0</v>
      </c>
      <c r="AK557" s="13">
        <v>0</v>
      </c>
      <c r="AL557" s="13">
        <v>0</v>
      </c>
      <c r="AM557" s="13">
        <v>0</v>
      </c>
      <c r="AN557" s="13">
        <v>1</v>
      </c>
      <c r="AO557" s="14">
        <v>0</v>
      </c>
      <c r="AP557" s="13">
        <v>3</v>
      </c>
      <c r="AQ557" s="13">
        <v>11</v>
      </c>
      <c r="AR557" s="15">
        <v>914</v>
      </c>
      <c r="AS557" s="15">
        <v>961</v>
      </c>
    </row>
    <row r="558" spans="1:45" x14ac:dyDescent="0.25">
      <c r="A558">
        <v>1251</v>
      </c>
      <c r="B558" s="11">
        <f t="shared" si="8"/>
        <v>55956</v>
      </c>
      <c r="C558" s="16">
        <v>559560</v>
      </c>
      <c r="D558" s="17">
        <v>0</v>
      </c>
      <c r="E558" s="17">
        <v>0</v>
      </c>
      <c r="F558" s="17">
        <v>22</v>
      </c>
      <c r="G558" s="17">
        <v>76</v>
      </c>
      <c r="H558" s="13" t="str" cm="1">
        <f t="array" ref="H558">_xlfn.IFS(G558&lt;=20,"0-20",G558&lt;=30,"20-30",G558&lt;=40,"30-40",G558&lt;=50,"50-60",G558&lt;=60,"60-70",G558&lt;=70,"70-80",G558&lt;=80,"80-90")</f>
        <v>80-90</v>
      </c>
      <c r="I558" s="17">
        <v>2242</v>
      </c>
      <c r="J558" s="13" t="str" cm="1">
        <f t="array" ref="J558">_xlfn.IFS(K558=1,"Divorciado",L558=1,"Casado",M558=1,"Solteiro",N558=1,"Juntos",O558=1,"Viuvo")</f>
        <v>Casado</v>
      </c>
      <c r="K558" s="17">
        <v>0</v>
      </c>
      <c r="L558" s="17">
        <v>1</v>
      </c>
      <c r="M558" s="17">
        <v>0</v>
      </c>
      <c r="N558" s="17">
        <v>0</v>
      </c>
      <c r="O558" s="17">
        <v>0</v>
      </c>
      <c r="P558" s="17">
        <v>0</v>
      </c>
      <c r="Q558" s="17">
        <v>0</v>
      </c>
      <c r="R558" s="17">
        <v>1</v>
      </c>
      <c r="S558" s="17">
        <v>0</v>
      </c>
      <c r="T558" s="17">
        <v>0</v>
      </c>
      <c r="U558" s="17">
        <v>760</v>
      </c>
      <c r="V558" s="13" t="str" cm="1">
        <f t="array" ref="V558">_xlfn.IFS(U558&lt;=250,"0-R$250",U558&lt;=500,"251-R$500",U558&lt;=750,"501-R$750",U558&lt;=1000,"751-R$1000",U558&lt;=1250,"1001-R$1250",U558&lt;=1500,"1251-R$1500")</f>
        <v>751-R$1000</v>
      </c>
      <c r="W558" s="17">
        <v>38</v>
      </c>
      <c r="X558" s="13" t="str" cm="1">
        <f t="array" ref="X558">_xlfn.IFS(W558 = 0, "0", W558&lt;=20, "até R$20",W558&lt;=40, "21 - R$40",W558&lt;=60, "41- R$60",W558&lt;=80, "61 - R$80", W558&lt;=100, "81 - R$100",W558&lt;=120, "101 - R$120",W558&lt;=140, "121 - R$140", W558&lt;=160, "141- R$160", W558&lt;=180, "161 - R$180", W558&lt;=200, "181-R$194")</f>
        <v>21 - R$40</v>
      </c>
      <c r="Y558" s="17">
        <v>104</v>
      </c>
      <c r="Z558" s="17">
        <v>50</v>
      </c>
      <c r="AA558" s="17">
        <v>9</v>
      </c>
      <c r="AB558" s="17">
        <v>38</v>
      </c>
      <c r="AC558" s="17">
        <v>2</v>
      </c>
      <c r="AD558" s="17">
        <v>7</v>
      </c>
      <c r="AE558" s="17">
        <v>3</v>
      </c>
      <c r="AF558" s="17">
        <v>4</v>
      </c>
      <c r="AG558" s="17">
        <v>4</v>
      </c>
      <c r="AH558" s="17">
        <v>0</v>
      </c>
      <c r="AI558" s="17">
        <v>0</v>
      </c>
      <c r="AJ558" s="17">
        <v>1</v>
      </c>
      <c r="AK558" s="17">
        <v>0</v>
      </c>
      <c r="AL558" s="17">
        <v>0</v>
      </c>
      <c r="AM558" s="17">
        <v>0</v>
      </c>
      <c r="AN558" s="17">
        <v>0</v>
      </c>
      <c r="AO558" s="18">
        <v>1</v>
      </c>
      <c r="AP558" s="17">
        <v>3</v>
      </c>
      <c r="AQ558" s="17">
        <v>11</v>
      </c>
      <c r="AR558" s="19">
        <v>923</v>
      </c>
      <c r="AS558" s="19">
        <v>961</v>
      </c>
    </row>
    <row r="559" spans="1:45" x14ac:dyDescent="0.25">
      <c r="A559">
        <v>2153</v>
      </c>
      <c r="B559" s="11">
        <f t="shared" si="8"/>
        <v>67716</v>
      </c>
      <c r="C559" s="16">
        <v>677160</v>
      </c>
      <c r="D559" s="17">
        <v>0</v>
      </c>
      <c r="E559" s="17">
        <v>1</v>
      </c>
      <c r="F559" s="17">
        <v>8</v>
      </c>
      <c r="G559" s="17">
        <v>60</v>
      </c>
      <c r="H559" s="13" t="str" cm="1">
        <f t="array" ref="H559">_xlfn.IFS(G559&lt;=20,"0-20",G559&lt;=30,"20-30",G559&lt;=40,"30-40",G559&lt;=50,"50-60",G559&lt;=60,"60-70",G559&lt;=70,"70-80",G559&lt;=80,"80-90")</f>
        <v>60-70</v>
      </c>
      <c r="I559" s="17">
        <v>2694</v>
      </c>
      <c r="J559" s="13" t="str" cm="1">
        <f t="array" ref="J559">_xlfn.IFS(K559=1,"Divorciado",L559=1,"Casado",M559=1,"Solteiro",N559=1,"Juntos",O559=1,"Viuvo")</f>
        <v>Casado</v>
      </c>
      <c r="K559" s="17">
        <v>0</v>
      </c>
      <c r="L559" s="17">
        <v>1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1</v>
      </c>
      <c r="S559" s="17">
        <v>0</v>
      </c>
      <c r="T559" s="17">
        <v>0</v>
      </c>
      <c r="U559" s="17">
        <v>530</v>
      </c>
      <c r="V559" s="13" t="str" cm="1">
        <f t="array" ref="V559">_xlfn.IFS(U559&lt;=250,"0-R$250",U559&lt;=500,"251-R$500",U559&lt;=750,"501-R$750",U559&lt;=1000,"751-R$1000",U559&lt;=1250,"1001-R$1250",U559&lt;=1500,"1251-R$1500")</f>
        <v>501-R$750</v>
      </c>
      <c r="W559" s="17">
        <v>142</v>
      </c>
      <c r="X559" s="13" t="str" cm="1">
        <f t="array" ref="X559">_xlfn.IFS(W559 = 0, "0", W559&lt;=20, "até R$20",W559&lt;=40, "21 - R$40",W559&lt;=60, "41- R$60",W559&lt;=80, "61 - R$80", W559&lt;=100, "81 - R$100",W559&lt;=120, "101 - R$120",W559&lt;=140, "121 - R$140", W559&lt;=160, "141- R$160", W559&lt;=180, "161 - R$180", W559&lt;=200, "181-R$194")</f>
        <v>141- R$160</v>
      </c>
      <c r="Y559" s="17">
        <v>217</v>
      </c>
      <c r="Z559" s="17">
        <v>62</v>
      </c>
      <c r="AA559" s="17">
        <v>9</v>
      </c>
      <c r="AB559" s="17">
        <v>56</v>
      </c>
      <c r="AC559" s="17">
        <v>4</v>
      </c>
      <c r="AD559" s="17">
        <v>7</v>
      </c>
      <c r="AE559" s="17">
        <v>4</v>
      </c>
      <c r="AF559" s="17">
        <v>13</v>
      </c>
      <c r="AG559" s="17">
        <v>5</v>
      </c>
      <c r="AH559" s="17">
        <v>0</v>
      </c>
      <c r="AI559" s="17">
        <v>0</v>
      </c>
      <c r="AJ559" s="17">
        <v>1</v>
      </c>
      <c r="AK559" s="17">
        <v>0</v>
      </c>
      <c r="AL559" s="17">
        <v>0</v>
      </c>
      <c r="AM559" s="17">
        <v>0</v>
      </c>
      <c r="AN559" s="17">
        <v>0</v>
      </c>
      <c r="AO559" s="18">
        <v>1</v>
      </c>
      <c r="AP559" s="17">
        <v>3</v>
      </c>
      <c r="AQ559" s="17">
        <v>11</v>
      </c>
      <c r="AR559" s="19">
        <v>904</v>
      </c>
      <c r="AS559" s="19">
        <v>960</v>
      </c>
    </row>
    <row r="560" spans="1:45" x14ac:dyDescent="0.25">
      <c r="A560">
        <v>1558</v>
      </c>
      <c r="B560" s="11">
        <f t="shared" si="8"/>
        <v>82460</v>
      </c>
      <c r="C560" s="12">
        <v>824600</v>
      </c>
      <c r="D560" s="13">
        <v>0</v>
      </c>
      <c r="E560" s="13">
        <v>0</v>
      </c>
      <c r="F560" s="13">
        <v>78</v>
      </c>
      <c r="G560" s="13">
        <v>70</v>
      </c>
      <c r="H560" s="13" t="str" cm="1">
        <f t="array" ref="H560">_xlfn.IFS(G560&lt;=20,"0-20",G560&lt;=30,"20-30",G560&lt;=40,"30-40",G560&lt;=50,"50-60",G560&lt;=60,"60-70",G560&lt;=70,"70-80",G560&lt;=80,"80-90")</f>
        <v>70-80</v>
      </c>
      <c r="I560" s="13">
        <v>2368</v>
      </c>
      <c r="J560" s="13" t="str" cm="1">
        <f t="array" ref="J560">_xlfn.IFS(K560=1,"Divorciado",L560=1,"Casado",M560=1,"Solteiro",N560=1,"Juntos",O560=1,"Viuvo")</f>
        <v>Divorciado</v>
      </c>
      <c r="K560" s="13">
        <v>1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</v>
      </c>
      <c r="R560" s="13">
        <v>1</v>
      </c>
      <c r="S560" s="13">
        <v>0</v>
      </c>
      <c r="T560" s="13">
        <v>0</v>
      </c>
      <c r="U560" s="13">
        <v>255</v>
      </c>
      <c r="V560" s="13" t="str" cm="1">
        <f t="array" ref="V560">_xlfn.IFS(U560&lt;=250,"0-R$250",U560&lt;=500,"251-R$500",U560&lt;=750,"501-R$750",U560&lt;=1000,"751-R$1000",U560&lt;=1250,"1001-R$1250",U560&lt;=1500,"1251-R$1500")</f>
        <v>251-R$500</v>
      </c>
      <c r="W560" s="13">
        <v>47</v>
      </c>
      <c r="X560" s="13" t="str" cm="1">
        <f t="array" ref="X560">_xlfn.IFS(W560 = 0, "0", W560&lt;=20, "até R$20",W560&lt;=40, "21 - R$40",W560&lt;=60, "41- R$60",W560&lt;=80, "61 - R$80", W560&lt;=100, "81 - R$100",W560&lt;=120, "101 - R$120",W560&lt;=140, "121 - R$140", W560&lt;=160, "141- R$160", W560&lt;=180, "161 - R$180", W560&lt;=200, "181-R$194")</f>
        <v>41- R$60</v>
      </c>
      <c r="Y560" s="13">
        <v>573</v>
      </c>
      <c r="Z560" s="13">
        <v>52</v>
      </c>
      <c r="AA560" s="13">
        <v>32</v>
      </c>
      <c r="AB560" s="13">
        <v>15</v>
      </c>
      <c r="AC560" s="13">
        <v>1</v>
      </c>
      <c r="AD560" s="13">
        <v>5</v>
      </c>
      <c r="AE560" s="13">
        <v>3</v>
      </c>
      <c r="AF560" s="13">
        <v>6</v>
      </c>
      <c r="AG560" s="13">
        <v>1</v>
      </c>
      <c r="AH560" s="13">
        <v>0</v>
      </c>
      <c r="AI560" s="13">
        <v>0</v>
      </c>
      <c r="AJ560" s="13">
        <v>0</v>
      </c>
      <c r="AK560" s="13">
        <v>0</v>
      </c>
      <c r="AL560" s="13">
        <v>0</v>
      </c>
      <c r="AM560" s="13">
        <v>0</v>
      </c>
      <c r="AN560" s="13">
        <v>0</v>
      </c>
      <c r="AO560" s="14">
        <v>0</v>
      </c>
      <c r="AP560" s="13">
        <v>3</v>
      </c>
      <c r="AQ560" s="13">
        <v>11</v>
      </c>
      <c r="AR560" s="15">
        <v>944</v>
      </c>
      <c r="AS560" s="15">
        <v>959</v>
      </c>
    </row>
    <row r="561" spans="1:45" x14ac:dyDescent="0.25">
      <c r="A561">
        <v>852</v>
      </c>
      <c r="B561" s="11">
        <f t="shared" si="8"/>
        <v>62450</v>
      </c>
      <c r="C561" s="12">
        <v>624500</v>
      </c>
      <c r="D561" s="13">
        <v>0</v>
      </c>
      <c r="E561" s="13">
        <v>1</v>
      </c>
      <c r="F561" s="13">
        <v>61</v>
      </c>
      <c r="G561" s="13">
        <v>61</v>
      </c>
      <c r="H561" s="13" t="str" cm="1">
        <f t="array" ref="H561">_xlfn.IFS(G561&lt;=20,"0-20",G561&lt;=30,"20-30",G561&lt;=40,"30-40",G561&lt;=50,"50-60",G561&lt;=60,"60-70",G561&lt;=70,"70-80",G561&lt;=80,"80-90")</f>
        <v>70-80</v>
      </c>
      <c r="I561" s="13">
        <v>2333</v>
      </c>
      <c r="J561" s="13" t="str" cm="1">
        <f t="array" ref="J561">_xlfn.IFS(K561=1,"Divorciado",L561=1,"Casado",M561=1,"Solteiro",N561=1,"Juntos",O561=1,"Viuvo")</f>
        <v>Solteiro</v>
      </c>
      <c r="K561" s="13">
        <v>0</v>
      </c>
      <c r="L561" s="13">
        <v>0</v>
      </c>
      <c r="M561" s="13">
        <v>1</v>
      </c>
      <c r="N561" s="13">
        <v>0</v>
      </c>
      <c r="O561" s="13">
        <v>0</v>
      </c>
      <c r="P561" s="13">
        <v>0</v>
      </c>
      <c r="Q561" s="13">
        <v>0</v>
      </c>
      <c r="R561" s="13">
        <v>1</v>
      </c>
      <c r="S561" s="13">
        <v>0</v>
      </c>
      <c r="T561" s="13">
        <v>0</v>
      </c>
      <c r="U561" s="13">
        <v>515</v>
      </c>
      <c r="V561" s="13" t="str" cm="1">
        <f t="array" ref="V561">_xlfn.IFS(U561&lt;=250,"0-R$250",U561&lt;=500,"251-R$500",U561&lt;=750,"501-R$750",U561&lt;=1000,"751-R$1000",U561&lt;=1250,"1001-R$1250",U561&lt;=1500,"1251-R$1500")</f>
        <v>501-R$750</v>
      </c>
      <c r="W561" s="13">
        <v>47</v>
      </c>
      <c r="X561" s="13" t="str" cm="1">
        <f t="array" ref="X561">_xlfn.IFS(W561 = 0, "0", W561&lt;=20, "até R$20",W561&lt;=40, "21 - R$40",W561&lt;=60, "41- R$60",W561&lt;=80, "61 - R$80", W561&lt;=100, "81 - R$100",W561&lt;=120, "101 - R$120",W561&lt;=140, "121 - R$140", W561&lt;=160, "141- R$160", W561&lt;=180, "161 - R$180", W561&lt;=200, "181-R$194")</f>
        <v>41- R$60</v>
      </c>
      <c r="Y561" s="13">
        <v>267</v>
      </c>
      <c r="Z561" s="13">
        <v>62</v>
      </c>
      <c r="AA561" s="13">
        <v>66</v>
      </c>
      <c r="AB561" s="13">
        <v>38</v>
      </c>
      <c r="AC561" s="13">
        <v>2</v>
      </c>
      <c r="AD561" s="13">
        <v>5</v>
      </c>
      <c r="AE561" s="13">
        <v>5</v>
      </c>
      <c r="AF561" s="13">
        <v>4</v>
      </c>
      <c r="AG561" s="13">
        <v>3</v>
      </c>
      <c r="AH561" s="13">
        <v>0</v>
      </c>
      <c r="AI561" s="13">
        <v>0</v>
      </c>
      <c r="AJ561" s="13">
        <v>1</v>
      </c>
      <c r="AK561" s="13">
        <v>0</v>
      </c>
      <c r="AL561" s="13">
        <v>0</v>
      </c>
      <c r="AM561" s="13">
        <v>0</v>
      </c>
      <c r="AN561" s="13">
        <v>0</v>
      </c>
      <c r="AO561" s="14">
        <v>1</v>
      </c>
      <c r="AP561" s="13">
        <v>3</v>
      </c>
      <c r="AQ561" s="13">
        <v>11</v>
      </c>
      <c r="AR561" s="15">
        <v>919</v>
      </c>
      <c r="AS561" s="15">
        <v>957</v>
      </c>
    </row>
    <row r="562" spans="1:45" x14ac:dyDescent="0.25">
      <c r="A562">
        <v>1818</v>
      </c>
      <c r="B562" s="11">
        <f t="shared" si="8"/>
        <v>68148</v>
      </c>
      <c r="C562" s="12">
        <v>681480</v>
      </c>
      <c r="D562" s="13">
        <v>0</v>
      </c>
      <c r="E562" s="13">
        <v>0</v>
      </c>
      <c r="F562" s="13">
        <v>86</v>
      </c>
      <c r="G562" s="13">
        <v>63</v>
      </c>
      <c r="H562" s="13" t="str" cm="1">
        <f t="array" ref="H562">_xlfn.IFS(G562&lt;=20,"0-20",G562&lt;=30,"20-30",G562&lt;=40,"30-40",G562&lt;=50,"50-60",G562&lt;=60,"60-70",G562&lt;=70,"70-80",G562&lt;=80,"80-90")</f>
        <v>70-80</v>
      </c>
      <c r="I562" s="13">
        <v>2461</v>
      </c>
      <c r="J562" s="13" t="str" cm="1">
        <f t="array" ref="J562">_xlfn.IFS(K562=1,"Divorciado",L562=1,"Casado",M562=1,"Solteiro",N562=1,"Juntos",O562=1,"Viuvo")</f>
        <v>Juntos</v>
      </c>
      <c r="K562" s="13">
        <v>0</v>
      </c>
      <c r="L562" s="13">
        <v>0</v>
      </c>
      <c r="M562" s="13">
        <v>0</v>
      </c>
      <c r="N562" s="13">
        <v>1</v>
      </c>
      <c r="O562" s="13">
        <v>0</v>
      </c>
      <c r="P562" s="13">
        <v>0</v>
      </c>
      <c r="Q562" s="13">
        <v>0</v>
      </c>
      <c r="R562" s="13">
        <v>0</v>
      </c>
      <c r="S562" s="13">
        <v>1</v>
      </c>
      <c r="T562" s="13">
        <v>0</v>
      </c>
      <c r="U562" s="13">
        <v>389</v>
      </c>
      <c r="V562" s="13" t="str" cm="1">
        <f t="array" ref="V562">_xlfn.IFS(U562&lt;=250,"0-R$250",U562&lt;=500,"251-R$500",U562&lt;=750,"501-R$750",U562&lt;=1000,"751-R$1000",U562&lt;=1250,"1001-R$1250",U562&lt;=1500,"1251-R$1500")</f>
        <v>251-R$500</v>
      </c>
      <c r="W562" s="13">
        <v>66</v>
      </c>
      <c r="X562" s="13" t="str" cm="1">
        <f t="array" ref="X562">_xlfn.IFS(W562 = 0, "0", W562&lt;=20, "até R$20",W562&lt;=40, "21 - R$40",W562&lt;=60, "41- R$60",W562&lt;=80, "61 - R$80", W562&lt;=100, "81 - R$100",W562&lt;=120, "101 - R$120",W562&lt;=140, "121 - R$140", W562&lt;=160, "141- R$160", W562&lt;=180, "161 - R$180", W562&lt;=200, "181-R$194")</f>
        <v>61 - R$80</v>
      </c>
      <c r="Y562" s="13">
        <v>408</v>
      </c>
      <c r="Z562" s="13">
        <v>37</v>
      </c>
      <c r="AA562" s="13">
        <v>57</v>
      </c>
      <c r="AB562" s="13">
        <v>85</v>
      </c>
      <c r="AC562" s="13">
        <v>1</v>
      </c>
      <c r="AD562" s="13">
        <v>4</v>
      </c>
      <c r="AE562" s="13">
        <v>4</v>
      </c>
      <c r="AF562" s="13">
        <v>6</v>
      </c>
      <c r="AG562" s="13">
        <v>2</v>
      </c>
      <c r="AH562" s="13">
        <v>0</v>
      </c>
      <c r="AI562" s="13">
        <v>0</v>
      </c>
      <c r="AJ562" s="13">
        <v>0</v>
      </c>
      <c r="AK562" s="13">
        <v>0</v>
      </c>
      <c r="AL562" s="13">
        <v>0</v>
      </c>
      <c r="AM562" s="13">
        <v>0</v>
      </c>
      <c r="AN562" s="13">
        <v>0</v>
      </c>
      <c r="AO562" s="14">
        <v>0</v>
      </c>
      <c r="AP562" s="13">
        <v>3</v>
      </c>
      <c r="AQ562" s="13">
        <v>11</v>
      </c>
      <c r="AR562" s="15">
        <v>872</v>
      </c>
      <c r="AS562" s="15">
        <v>957</v>
      </c>
    </row>
    <row r="563" spans="1:45" x14ac:dyDescent="0.25">
      <c r="A563">
        <v>701</v>
      </c>
      <c r="B563" s="11">
        <f t="shared" si="8"/>
        <v>74806</v>
      </c>
      <c r="C563" s="16">
        <v>748060</v>
      </c>
      <c r="D563" s="17">
        <v>0</v>
      </c>
      <c r="E563" s="17">
        <v>1</v>
      </c>
      <c r="F563" s="17">
        <v>1</v>
      </c>
      <c r="G563" s="17">
        <v>55</v>
      </c>
      <c r="H563" s="13" t="str" cm="1">
        <f t="array" ref="H563">_xlfn.IFS(G563&lt;=20,"0-20",G563&lt;=30,"20-30",G563&lt;=40,"30-40",G563&lt;=50,"50-60",G563&lt;=60,"60-70",G563&lt;=70,"70-80",G563&lt;=80,"80-90")</f>
        <v>60-70</v>
      </c>
      <c r="I563" s="17">
        <v>2716</v>
      </c>
      <c r="J563" s="13" t="str" cm="1">
        <f t="array" ref="J563">_xlfn.IFS(K563=1,"Divorciado",L563=1,"Casado",M563=1,"Solteiro",N563=1,"Juntos",O563=1,"Viuvo")</f>
        <v>Casado</v>
      </c>
      <c r="K563" s="17">
        <v>0</v>
      </c>
      <c r="L563" s="17">
        <v>1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1</v>
      </c>
      <c r="T563" s="17">
        <v>0</v>
      </c>
      <c r="U563" s="17">
        <v>670</v>
      </c>
      <c r="V563" s="13" t="str" cm="1">
        <f t="array" ref="V563">_xlfn.IFS(U563&lt;=250,"0-R$250",U563&lt;=500,"251-R$500",U563&lt;=750,"501-R$750",U563&lt;=1000,"751-R$1000",U563&lt;=1250,"1001-R$1250",U563&lt;=1500,"1251-R$1500")</f>
        <v>501-R$750</v>
      </c>
      <c r="W563" s="17">
        <v>9</v>
      </c>
      <c r="X563" s="13" t="str" cm="1">
        <f t="array" ref="X563">_xlfn.IFS(W563 = 0, "0", W563&lt;=20, "até R$20",W563&lt;=40, "21 - R$40",W563&lt;=60, "41- R$60",W563&lt;=80, "61 - R$80", W563&lt;=100, "81 - R$100",W563&lt;=120, "101 - R$120",W563&lt;=140, "121 - R$140", W563&lt;=160, "141- R$160", W563&lt;=180, "161 - R$180", W563&lt;=200, "181-R$194")</f>
        <v>até R$20</v>
      </c>
      <c r="Y563" s="17">
        <v>249</v>
      </c>
      <c r="Z563" s="17">
        <v>0</v>
      </c>
      <c r="AA563" s="17">
        <v>28</v>
      </c>
      <c r="AB563" s="17">
        <v>9</v>
      </c>
      <c r="AC563" s="17">
        <v>2</v>
      </c>
      <c r="AD563" s="17">
        <v>5</v>
      </c>
      <c r="AE563" s="17">
        <v>4</v>
      </c>
      <c r="AF563" s="17">
        <v>5</v>
      </c>
      <c r="AG563" s="17">
        <v>4</v>
      </c>
      <c r="AH563" s="17">
        <v>0</v>
      </c>
      <c r="AI563" s="17">
        <v>0</v>
      </c>
      <c r="AJ563" s="17">
        <v>0</v>
      </c>
      <c r="AK563" s="17">
        <v>0</v>
      </c>
      <c r="AL563" s="17">
        <v>0</v>
      </c>
      <c r="AM563" s="17">
        <v>0</v>
      </c>
      <c r="AN563" s="17">
        <v>0</v>
      </c>
      <c r="AO563" s="18">
        <v>0</v>
      </c>
      <c r="AP563" s="17">
        <v>3</v>
      </c>
      <c r="AQ563" s="17">
        <v>11</v>
      </c>
      <c r="AR563" s="19">
        <v>947</v>
      </c>
      <c r="AS563" s="19">
        <v>956</v>
      </c>
    </row>
    <row r="564" spans="1:45" x14ac:dyDescent="0.25">
      <c r="A564">
        <v>1945</v>
      </c>
      <c r="B564" s="11">
        <f t="shared" si="8"/>
        <v>55686</v>
      </c>
      <c r="C564" s="16">
        <v>556860</v>
      </c>
      <c r="D564" s="17">
        <v>0</v>
      </c>
      <c r="E564" s="17">
        <v>1</v>
      </c>
      <c r="F564" s="17">
        <v>27</v>
      </c>
      <c r="G564" s="17">
        <v>54</v>
      </c>
      <c r="H564" s="13" t="str" cm="1">
        <f t="array" ref="H564">_xlfn.IFS(G564&lt;=20,"0-20",G564&lt;=30,"20-30",G564&lt;=40,"30-40",G564&lt;=50,"50-60",G564&lt;=60,"60-70",G564&lt;=70,"70-80",G564&lt;=80,"80-90")</f>
        <v>60-70</v>
      </c>
      <c r="I564" s="17">
        <v>2659</v>
      </c>
      <c r="J564" s="13" t="str" cm="1">
        <f t="array" ref="J564">_xlfn.IFS(K564=1,"Divorciado",L564=1,"Casado",M564=1,"Solteiro",N564=1,"Juntos",O564=1,"Viuvo")</f>
        <v>Divorciado</v>
      </c>
      <c r="K564" s="17">
        <v>1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1</v>
      </c>
      <c r="S564" s="17">
        <v>0</v>
      </c>
      <c r="T564" s="17">
        <v>0</v>
      </c>
      <c r="U564" s="17">
        <v>673</v>
      </c>
      <c r="V564" s="13" t="str" cm="1">
        <f t="array" ref="V564">_xlfn.IFS(U564&lt;=250,"0-R$250",U564&lt;=500,"251-R$500",U564&lt;=750,"501-R$750",U564&lt;=1000,"751-R$1000",U564&lt;=1250,"1001-R$1250",U564&lt;=1500,"1251-R$1500")</f>
        <v>501-R$750</v>
      </c>
      <c r="W564" s="17">
        <v>0</v>
      </c>
      <c r="X564" s="13" t="str" cm="1">
        <f t="array" ref="X564">_xlfn.IFS(W564 = 0, "0", W564&lt;=20, "até R$20",W564&lt;=40, "21 - R$40",W564&lt;=60, "41- R$60",W564&lt;=80, "61 - R$80", W564&lt;=100, "81 - R$100",W564&lt;=120, "101 - R$120",W564&lt;=140, "121 - R$140", W564&lt;=160, "141- R$160", W564&lt;=180, "161 - R$180", W564&lt;=200, "181-R$194")</f>
        <v>0</v>
      </c>
      <c r="Y564" s="17">
        <v>199</v>
      </c>
      <c r="Z564" s="17">
        <v>37</v>
      </c>
      <c r="AA564" s="17">
        <v>47</v>
      </c>
      <c r="AB564" s="17">
        <v>26</v>
      </c>
      <c r="AC564" s="17">
        <v>2</v>
      </c>
      <c r="AD564" s="17">
        <v>6</v>
      </c>
      <c r="AE564" s="17">
        <v>3</v>
      </c>
      <c r="AF564" s="17">
        <v>5</v>
      </c>
      <c r="AG564" s="17">
        <v>4</v>
      </c>
      <c r="AH564" s="17">
        <v>0</v>
      </c>
      <c r="AI564" s="17">
        <v>1</v>
      </c>
      <c r="AJ564" s="17">
        <v>0</v>
      </c>
      <c r="AK564" s="17">
        <v>0</v>
      </c>
      <c r="AL564" s="17">
        <v>0</v>
      </c>
      <c r="AM564" s="17">
        <v>0</v>
      </c>
      <c r="AN564" s="17">
        <v>0</v>
      </c>
      <c r="AO564" s="18">
        <v>1</v>
      </c>
      <c r="AP564" s="17">
        <v>3</v>
      </c>
      <c r="AQ564" s="17">
        <v>11</v>
      </c>
      <c r="AR564" s="19">
        <v>930</v>
      </c>
      <c r="AS564" s="19">
        <v>956</v>
      </c>
    </row>
    <row r="565" spans="1:45" x14ac:dyDescent="0.25">
      <c r="A565">
        <v>2084</v>
      </c>
      <c r="B565" s="11">
        <f t="shared" si="8"/>
        <v>66476</v>
      </c>
      <c r="C565" s="12">
        <v>664760</v>
      </c>
      <c r="D565" s="13">
        <v>0</v>
      </c>
      <c r="E565" s="13">
        <v>1</v>
      </c>
      <c r="F565" s="13">
        <v>80</v>
      </c>
      <c r="G565" s="13">
        <v>51</v>
      </c>
      <c r="H565" s="13" t="str" cm="1">
        <f t="array" ref="H565">_xlfn.IFS(G565&lt;=20,"0-20",G565&lt;=30,"20-30",G565&lt;=40,"30-40",G565&lt;=50,"50-60",G565&lt;=60,"60-70",G565&lt;=70,"70-80",G565&lt;=80,"80-90")</f>
        <v>60-70</v>
      </c>
      <c r="I565" s="13">
        <v>2366</v>
      </c>
      <c r="J565" s="13" t="str" cm="1">
        <f t="array" ref="J565">_xlfn.IFS(K565=1,"Divorciado",L565=1,"Casado",M565=1,"Solteiro",N565=1,"Juntos",O565=1,"Viuvo")</f>
        <v>Juntos</v>
      </c>
      <c r="K565" s="13">
        <v>0</v>
      </c>
      <c r="L565" s="13">
        <v>0</v>
      </c>
      <c r="M565" s="13">
        <v>0</v>
      </c>
      <c r="N565" s="13">
        <v>1</v>
      </c>
      <c r="O565" s="13">
        <v>0</v>
      </c>
      <c r="P565" s="13">
        <v>0</v>
      </c>
      <c r="Q565" s="13">
        <v>0</v>
      </c>
      <c r="R565" s="13">
        <v>0</v>
      </c>
      <c r="S565" s="13">
        <v>1</v>
      </c>
      <c r="T565" s="13">
        <v>0</v>
      </c>
      <c r="U565" s="13">
        <v>742</v>
      </c>
      <c r="V565" s="13" t="str" cm="1">
        <f t="array" ref="V565">_xlfn.IFS(U565&lt;=250,"0-R$250",U565&lt;=500,"251-R$500",U565&lt;=750,"501-R$750",U565&lt;=1000,"751-R$1000",U565&lt;=1250,"1001-R$1250",U565&lt;=1500,"1251-R$1500")</f>
        <v>501-R$750</v>
      </c>
      <c r="W565" s="13">
        <v>28</v>
      </c>
      <c r="X565" s="13" t="str" cm="1">
        <f t="array" ref="X565">_xlfn.IFS(W565 = 0, "0", W565&lt;=20, "até R$20",W565&lt;=40, "21 - R$40",W565&lt;=60, "41- R$60",W565&lt;=80, "61 - R$80", W565&lt;=100, "81 - R$100",W565&lt;=120, "101 - R$120",W565&lt;=140, "121 - R$140", W565&lt;=160, "141- R$160", W565&lt;=180, "161 - R$180", W565&lt;=200, "181-R$194")</f>
        <v>21 - R$40</v>
      </c>
      <c r="Y565" s="13">
        <v>152</v>
      </c>
      <c r="Z565" s="13">
        <v>25</v>
      </c>
      <c r="AA565" s="13">
        <v>9</v>
      </c>
      <c r="AB565" s="13">
        <v>57</v>
      </c>
      <c r="AC565" s="13">
        <v>2</v>
      </c>
      <c r="AD565" s="13">
        <v>6</v>
      </c>
      <c r="AE565" s="13">
        <v>8</v>
      </c>
      <c r="AF565" s="13">
        <v>10</v>
      </c>
      <c r="AG565" s="13">
        <v>4</v>
      </c>
      <c r="AH565" s="13">
        <v>0</v>
      </c>
      <c r="AI565" s="13">
        <v>0</v>
      </c>
      <c r="AJ565" s="13">
        <v>0</v>
      </c>
      <c r="AK565" s="13">
        <v>0</v>
      </c>
      <c r="AL565" s="13">
        <v>0</v>
      </c>
      <c r="AM565" s="13">
        <v>0</v>
      </c>
      <c r="AN565" s="13">
        <v>0</v>
      </c>
      <c r="AO565" s="14">
        <v>0</v>
      </c>
      <c r="AP565" s="13">
        <v>3</v>
      </c>
      <c r="AQ565" s="13">
        <v>11</v>
      </c>
      <c r="AR565" s="15">
        <v>899</v>
      </c>
      <c r="AS565" s="15">
        <v>956</v>
      </c>
    </row>
    <row r="566" spans="1:45" x14ac:dyDescent="0.25">
      <c r="A566">
        <v>1042</v>
      </c>
      <c r="B566" s="11">
        <f t="shared" si="8"/>
        <v>65196</v>
      </c>
      <c r="C566" s="12">
        <v>651960</v>
      </c>
      <c r="D566" s="13">
        <v>0</v>
      </c>
      <c r="E566" s="13">
        <v>2</v>
      </c>
      <c r="F566" s="13">
        <v>34</v>
      </c>
      <c r="G566" s="13">
        <v>62</v>
      </c>
      <c r="H566" s="13" t="str" cm="1">
        <f t="array" ref="H566">_xlfn.IFS(G566&lt;=20,"0-20",G566&lt;=30,"20-30",G566&lt;=40,"30-40",G566&lt;=50,"50-60",G566&lt;=60,"60-70",G566&lt;=70,"70-80",G566&lt;=80,"80-90")</f>
        <v>70-80</v>
      </c>
      <c r="I566" s="13">
        <v>2498</v>
      </c>
      <c r="J566" s="13" t="str" cm="1">
        <f t="array" ref="J566">_xlfn.IFS(K566=1,"Divorciado",L566=1,"Casado",M566=1,"Solteiro",N566=1,"Juntos",O566=1,"Viuvo")</f>
        <v>Juntos</v>
      </c>
      <c r="K566" s="13">
        <v>0</v>
      </c>
      <c r="L566" s="13">
        <v>0</v>
      </c>
      <c r="M566" s="13">
        <v>0</v>
      </c>
      <c r="N566" s="13">
        <v>1</v>
      </c>
      <c r="O566" s="13">
        <v>0</v>
      </c>
      <c r="P566" s="13">
        <v>0</v>
      </c>
      <c r="Q566" s="13">
        <v>0</v>
      </c>
      <c r="R566" s="13">
        <v>1</v>
      </c>
      <c r="S566" s="13">
        <v>0</v>
      </c>
      <c r="T566" s="13">
        <v>0</v>
      </c>
      <c r="U566" s="13">
        <v>743</v>
      </c>
      <c r="V566" s="13" t="str" cm="1">
        <f t="array" ref="V566">_xlfn.IFS(U566&lt;=250,"0-R$250",U566&lt;=500,"251-R$500",U566&lt;=750,"501-R$750",U566&lt;=1000,"751-R$1000",U566&lt;=1250,"1001-R$1250",U566&lt;=1500,"1251-R$1500")</f>
        <v>501-R$750</v>
      </c>
      <c r="W566" s="13">
        <v>19</v>
      </c>
      <c r="X566" s="13" t="str" cm="1">
        <f t="array" ref="X566">_xlfn.IFS(W566 = 0, "0", W566&lt;=20, "até R$20",W566&lt;=40, "21 - R$40",W566&lt;=60, "41- R$60",W566&lt;=80, "61 - R$80", W566&lt;=100, "81 - R$100",W566&lt;=120, "101 - R$120",W566&lt;=140, "121 - R$140", W566&lt;=160, "141- R$160", W566&lt;=180, "161 - R$180", W566&lt;=200, "181-R$194")</f>
        <v>até R$20</v>
      </c>
      <c r="Y566" s="13">
        <v>181</v>
      </c>
      <c r="Z566" s="13">
        <v>12</v>
      </c>
      <c r="AA566" s="13">
        <v>0</v>
      </c>
      <c r="AB566" s="13">
        <v>200</v>
      </c>
      <c r="AC566" s="13">
        <v>2</v>
      </c>
      <c r="AD566" s="13">
        <v>7</v>
      </c>
      <c r="AE566" s="13">
        <v>6</v>
      </c>
      <c r="AF566" s="13">
        <v>11</v>
      </c>
      <c r="AG566" s="13">
        <v>5</v>
      </c>
      <c r="AH566" s="13">
        <v>0</v>
      </c>
      <c r="AI566" s="13">
        <v>1</v>
      </c>
      <c r="AJ566" s="13">
        <v>0</v>
      </c>
      <c r="AK566" s="13">
        <v>0</v>
      </c>
      <c r="AL566" s="13">
        <v>0</v>
      </c>
      <c r="AM566" s="13">
        <v>0</v>
      </c>
      <c r="AN566" s="13">
        <v>0</v>
      </c>
      <c r="AO566" s="14">
        <v>1</v>
      </c>
      <c r="AP566" s="13">
        <v>3</v>
      </c>
      <c r="AQ566" s="13">
        <v>11</v>
      </c>
      <c r="AR566" s="15">
        <v>755</v>
      </c>
      <c r="AS566" s="15">
        <v>955</v>
      </c>
    </row>
    <row r="567" spans="1:45" x14ac:dyDescent="0.25">
      <c r="A567">
        <v>417</v>
      </c>
      <c r="B567" s="11">
        <f t="shared" si="8"/>
        <v>75236</v>
      </c>
      <c r="C567" s="16">
        <v>752360</v>
      </c>
      <c r="D567" s="17">
        <v>0</v>
      </c>
      <c r="E567" s="17">
        <v>1</v>
      </c>
      <c r="F567" s="17">
        <v>27</v>
      </c>
      <c r="G567" s="17">
        <v>56</v>
      </c>
      <c r="H567" s="13" t="str" cm="1">
        <f t="array" ref="H567">_xlfn.IFS(G567&lt;=20,"0-20",G567&lt;=30,"20-30",G567&lt;=40,"30-40",G567&lt;=50,"50-60",G567&lt;=60,"60-70",G567&lt;=70,"70-80",G567&lt;=80,"80-90")</f>
        <v>60-70</v>
      </c>
      <c r="I567" s="17">
        <v>2375</v>
      </c>
      <c r="J567" s="13" t="str" cm="1">
        <f t="array" ref="J567">_xlfn.IFS(K567=1,"Divorciado",L567=1,"Casado",M567=1,"Solteiro",N567=1,"Juntos",O567=1,"Viuvo")</f>
        <v>Casado</v>
      </c>
      <c r="K567" s="17">
        <v>0</v>
      </c>
      <c r="L567" s="17">
        <v>1</v>
      </c>
      <c r="M567" s="17">
        <v>0</v>
      </c>
      <c r="N567" s="17">
        <v>0</v>
      </c>
      <c r="O567" s="17">
        <v>0</v>
      </c>
      <c r="P567" s="17">
        <v>0</v>
      </c>
      <c r="Q567" s="17">
        <v>0</v>
      </c>
      <c r="R567" s="17">
        <v>1</v>
      </c>
      <c r="S567" s="17">
        <v>0</v>
      </c>
      <c r="T567" s="17">
        <v>0</v>
      </c>
      <c r="U567" s="17">
        <v>438</v>
      </c>
      <c r="V567" s="13" t="str" cm="1">
        <f t="array" ref="V567">_xlfn.IFS(U567&lt;=250,"0-R$250",U567&lt;=500,"251-R$500",U567&lt;=750,"501-R$750",U567&lt;=1000,"751-R$1000",U567&lt;=1250,"1001-R$1250",U567&lt;=1500,"1251-R$1500")</f>
        <v>251-R$500</v>
      </c>
      <c r="W567" s="17">
        <v>66</v>
      </c>
      <c r="X567" s="13" t="str" cm="1">
        <f t="array" ref="X567">_xlfn.IFS(W567 = 0, "0", W567&lt;=20, "até R$20",W567&lt;=40, "21 - R$40",W567&lt;=60, "41- R$60",W567&lt;=80, "61 - R$80", W567&lt;=100, "81 - R$100",W567&lt;=120, "101 - R$120",W567&lt;=140, "121 - R$140", W567&lt;=160, "141- R$160", W567&lt;=180, "161 - R$180", W567&lt;=200, "181-R$194")</f>
        <v>61 - R$80</v>
      </c>
      <c r="Y567" s="17">
        <v>400</v>
      </c>
      <c r="Z567" s="17">
        <v>12</v>
      </c>
      <c r="AA567" s="17">
        <v>38</v>
      </c>
      <c r="AB567" s="17">
        <v>114</v>
      </c>
      <c r="AC567" s="17">
        <v>1</v>
      </c>
      <c r="AD567" s="17">
        <v>8</v>
      </c>
      <c r="AE567" s="17">
        <v>3</v>
      </c>
      <c r="AF567" s="17">
        <v>13</v>
      </c>
      <c r="AG567" s="17">
        <v>4</v>
      </c>
      <c r="AH567" s="17">
        <v>0</v>
      </c>
      <c r="AI567" s="17">
        <v>0</v>
      </c>
      <c r="AJ567" s="17">
        <v>0</v>
      </c>
      <c r="AK567" s="17">
        <v>0</v>
      </c>
      <c r="AL567" s="17">
        <v>0</v>
      </c>
      <c r="AM567" s="17">
        <v>0</v>
      </c>
      <c r="AN567" s="17">
        <v>0</v>
      </c>
      <c r="AO567" s="18">
        <v>0</v>
      </c>
      <c r="AP567" s="17">
        <v>3</v>
      </c>
      <c r="AQ567" s="17">
        <v>11</v>
      </c>
      <c r="AR567" s="19">
        <v>840</v>
      </c>
      <c r="AS567" s="19">
        <v>954</v>
      </c>
    </row>
    <row r="568" spans="1:45" x14ac:dyDescent="0.25">
      <c r="A568">
        <v>1230</v>
      </c>
      <c r="B568" s="11">
        <f t="shared" si="8"/>
        <v>65106</v>
      </c>
      <c r="C568" s="12">
        <v>651060</v>
      </c>
      <c r="D568" s="13">
        <v>0</v>
      </c>
      <c r="E568" s="13">
        <v>1</v>
      </c>
      <c r="F568" s="13">
        <v>55</v>
      </c>
      <c r="G568" s="13">
        <v>45</v>
      </c>
      <c r="H568" s="13" t="str" cm="1">
        <f t="array" ref="H568">_xlfn.IFS(G568&lt;=20,"0-20",G568&lt;=30,"20-30",G568&lt;=40,"30-40",G568&lt;=50,"50-60",G568&lt;=60,"60-70",G568&lt;=70,"70-80",G568&lt;=80,"80-90")</f>
        <v>50-60</v>
      </c>
      <c r="I568" s="13">
        <v>2195</v>
      </c>
      <c r="J568" s="13" t="str" cm="1">
        <f t="array" ref="J568">_xlfn.IFS(K568=1,"Divorciado",L568=1,"Casado",M568=1,"Solteiro",N568=1,"Juntos",O568=1,"Viuvo")</f>
        <v>Casado</v>
      </c>
      <c r="K568" s="13">
        <v>0</v>
      </c>
      <c r="L568" s="13">
        <v>1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1</v>
      </c>
      <c r="S568" s="13">
        <v>0</v>
      </c>
      <c r="T568" s="13">
        <v>0</v>
      </c>
      <c r="U568" s="13">
        <v>790</v>
      </c>
      <c r="V568" s="13" t="str" cm="1">
        <f t="array" ref="V568">_xlfn.IFS(U568&lt;=250,"0-R$250",U568&lt;=500,"251-R$500",U568&lt;=750,"501-R$750",U568&lt;=1000,"751-R$1000",U568&lt;=1250,"1001-R$1250",U568&lt;=1500,"1251-R$1500")</f>
        <v>751-R$1000</v>
      </c>
      <c r="W568" s="13">
        <v>19</v>
      </c>
      <c r="X568" s="13" t="str" cm="1">
        <f t="array" ref="X568">_xlfn.IFS(W568 = 0, "0", W568&lt;=20, "até R$20",W568&lt;=40, "21 - R$40",W568&lt;=60, "41- R$60",W568&lt;=80, "61 - R$80", W568&lt;=100, "81 - R$100",W568&lt;=120, "101 - R$120",W568&lt;=140, "121 - R$140", W568&lt;=160, "141- R$160", W568&lt;=180, "161 - R$180", W568&lt;=200, "181-R$194")</f>
        <v>até R$20</v>
      </c>
      <c r="Y568" s="13">
        <v>133</v>
      </c>
      <c r="Z568" s="13">
        <v>12</v>
      </c>
      <c r="AA568" s="13">
        <v>0</v>
      </c>
      <c r="AB568" s="13">
        <v>19</v>
      </c>
      <c r="AC568" s="13">
        <v>3</v>
      </c>
      <c r="AD568" s="13">
        <v>8</v>
      </c>
      <c r="AE568" s="13">
        <v>3</v>
      </c>
      <c r="AF568" s="13">
        <v>13</v>
      </c>
      <c r="AG568" s="13">
        <v>6</v>
      </c>
      <c r="AH568" s="13">
        <v>0</v>
      </c>
      <c r="AI568" s="13">
        <v>0</v>
      </c>
      <c r="AJ568" s="13">
        <v>1</v>
      </c>
      <c r="AK568" s="13">
        <v>0</v>
      </c>
      <c r="AL568" s="13">
        <v>0</v>
      </c>
      <c r="AM568" s="13">
        <v>0</v>
      </c>
      <c r="AN568" s="13">
        <v>0</v>
      </c>
      <c r="AO568" s="14">
        <v>1</v>
      </c>
      <c r="AP568" s="13">
        <v>3</v>
      </c>
      <c r="AQ568" s="13">
        <v>11</v>
      </c>
      <c r="AR568" s="15">
        <v>935</v>
      </c>
      <c r="AS568" s="15">
        <v>954</v>
      </c>
    </row>
    <row r="569" spans="1:45" x14ac:dyDescent="0.25">
      <c r="A569">
        <v>22</v>
      </c>
      <c r="B569" s="11">
        <f t="shared" si="8"/>
        <v>58607</v>
      </c>
      <c r="C569" s="12">
        <v>586070</v>
      </c>
      <c r="D569" s="13">
        <v>0</v>
      </c>
      <c r="E569" s="13">
        <v>1</v>
      </c>
      <c r="F569" s="13">
        <v>63</v>
      </c>
      <c r="G569" s="13">
        <v>71</v>
      </c>
      <c r="H569" s="13" t="str" cm="1">
        <f t="array" ref="H569">_xlfn.IFS(G569&lt;=20,"0-20",G569&lt;=30,"20-30",G569&lt;=40,"30-40",G569&lt;=50,"50-60",G569&lt;=60,"60-70",G569&lt;=70,"70-80",G569&lt;=80,"80-90")</f>
        <v>80-90</v>
      </c>
      <c r="I569" s="13">
        <v>2712</v>
      </c>
      <c r="J569" s="13" t="str" cm="1">
        <f t="array" ref="J569">_xlfn.IFS(K569=1,"Divorciado",L569=1,"Casado",M569=1,"Solteiro",N569=1,"Juntos",O569=1,"Viuvo")</f>
        <v>Casado</v>
      </c>
      <c r="K569" s="13">
        <v>0</v>
      </c>
      <c r="L569" s="13">
        <v>1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1</v>
      </c>
      <c r="U569" s="13">
        <v>867</v>
      </c>
      <c r="V569" s="13" t="str" cm="1">
        <f t="array" ref="V569">_xlfn.IFS(U569&lt;=250,"0-R$250",U569&lt;=500,"251-R$500",U569&lt;=750,"501-R$750",U569&lt;=1000,"751-R$1000",U569&lt;=1250,"1001-R$1250",U569&lt;=1500,"1251-R$1500")</f>
        <v>751-R$1000</v>
      </c>
      <c r="W569" s="13">
        <v>0</v>
      </c>
      <c r="X569" s="13" t="str" cm="1">
        <f t="array" ref="X569">_xlfn.IFS(W569 = 0, "0", W569&lt;=20, "até R$20",W569&lt;=40, "21 - R$40",W569&lt;=60, "41- R$60",W569&lt;=80, "61 - R$80", W569&lt;=100, "81 - R$100",W569&lt;=120, "101 - R$120",W569&lt;=140, "121 - R$140", W569&lt;=160, "141- R$160", W569&lt;=180, "161 - R$180", W569&lt;=200, "181-R$194")</f>
        <v>0</v>
      </c>
      <c r="Y569" s="13">
        <v>86</v>
      </c>
      <c r="Z569" s="13">
        <v>0</v>
      </c>
      <c r="AA569" s="13">
        <v>0</v>
      </c>
      <c r="AB569" s="13">
        <v>19</v>
      </c>
      <c r="AC569" s="13">
        <v>3</v>
      </c>
      <c r="AD569" s="13">
        <v>2</v>
      </c>
      <c r="AE569" s="13">
        <v>3</v>
      </c>
      <c r="AF569" s="13">
        <v>9</v>
      </c>
      <c r="AG569" s="13">
        <v>8</v>
      </c>
      <c r="AH569" s="13">
        <v>0</v>
      </c>
      <c r="AI569" s="13">
        <v>0</v>
      </c>
      <c r="AJ569" s="13">
        <v>1</v>
      </c>
      <c r="AK569" s="13">
        <v>0</v>
      </c>
      <c r="AL569" s="13">
        <v>0</v>
      </c>
      <c r="AM569" s="13">
        <v>0</v>
      </c>
      <c r="AN569" s="13">
        <v>0</v>
      </c>
      <c r="AO569" s="14">
        <v>1</v>
      </c>
      <c r="AP569" s="13">
        <v>3</v>
      </c>
      <c r="AQ569" s="13">
        <v>11</v>
      </c>
      <c r="AR569" s="15">
        <v>934</v>
      </c>
      <c r="AS569" s="15">
        <v>953</v>
      </c>
    </row>
    <row r="570" spans="1:45" x14ac:dyDescent="0.25">
      <c r="A570">
        <v>1545</v>
      </c>
      <c r="B570" s="11">
        <f t="shared" si="8"/>
        <v>75283</v>
      </c>
      <c r="C570" s="16">
        <v>752830</v>
      </c>
      <c r="D570" s="17">
        <v>1</v>
      </c>
      <c r="E570" s="17">
        <v>2</v>
      </c>
      <c r="F570" s="17">
        <v>26</v>
      </c>
      <c r="G570" s="17">
        <v>63</v>
      </c>
      <c r="H570" s="13" t="str" cm="1">
        <f t="array" ref="H570">_xlfn.IFS(G570&lt;=20,"0-20",G570&lt;=30,"20-30",G570&lt;=40,"30-40",G570&lt;=50,"50-60",G570&lt;=60,"60-70",G570&lt;=70,"70-80",G570&lt;=80,"80-90")</f>
        <v>70-80</v>
      </c>
      <c r="I570" s="17">
        <v>2618</v>
      </c>
      <c r="J570" s="13" t="str" cm="1">
        <f t="array" ref="J570">_xlfn.IFS(K570=1,"Divorciado",L570=1,"Casado",M570=1,"Solteiro",N570=1,"Juntos",O570=1,"Viuvo")</f>
        <v>Casado</v>
      </c>
      <c r="K570" s="17">
        <v>0</v>
      </c>
      <c r="L570" s="17">
        <v>1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1</v>
      </c>
      <c r="U570" s="17">
        <v>733</v>
      </c>
      <c r="V570" s="13" t="str" cm="1">
        <f t="array" ref="V570">_xlfn.IFS(U570&lt;=250,"0-R$250",U570&lt;=500,"251-R$500",U570&lt;=750,"501-R$750",U570&lt;=1000,"751-R$1000",U570&lt;=1250,"1001-R$1250",U570&lt;=1500,"1251-R$1500")</f>
        <v>501-R$750</v>
      </c>
      <c r="W570" s="17">
        <v>9</v>
      </c>
      <c r="X570" s="13" t="str" cm="1">
        <f t="array" ref="X570">_xlfn.IFS(W570 = 0, "0", W570&lt;=20, "até R$20",W570&lt;=40, "21 - R$40",W570&lt;=60, "41- R$60",W570&lt;=80, "61 - R$80", W570&lt;=100, "81 - R$100",W570&lt;=120, "101 - R$120",W570&lt;=140, "121 - R$140", W570&lt;=160, "141- R$160", W570&lt;=180, "161 - R$180", W570&lt;=200, "181-R$194")</f>
        <v>até R$20</v>
      </c>
      <c r="Y570" s="17">
        <v>180</v>
      </c>
      <c r="Z570" s="17">
        <v>12</v>
      </c>
      <c r="AA570" s="17">
        <v>19</v>
      </c>
      <c r="AB570" s="17">
        <v>66</v>
      </c>
      <c r="AC570" s="17">
        <v>11</v>
      </c>
      <c r="AD570" s="17">
        <v>6</v>
      </c>
      <c r="AE570" s="17">
        <v>3</v>
      </c>
      <c r="AF570" s="17">
        <v>5</v>
      </c>
      <c r="AG570" s="17">
        <v>4</v>
      </c>
      <c r="AH570" s="17">
        <v>0</v>
      </c>
      <c r="AI570" s="17">
        <v>0</v>
      </c>
      <c r="AJ570" s="17">
        <v>0</v>
      </c>
      <c r="AK570" s="17">
        <v>0</v>
      </c>
      <c r="AL570" s="17">
        <v>0</v>
      </c>
      <c r="AM570" s="17">
        <v>0</v>
      </c>
      <c r="AN570" s="17">
        <v>0</v>
      </c>
      <c r="AO570" s="18">
        <v>0</v>
      </c>
      <c r="AP570" s="17">
        <v>3</v>
      </c>
      <c r="AQ570" s="17">
        <v>11</v>
      </c>
      <c r="AR570" s="19">
        <v>887</v>
      </c>
      <c r="AS570" s="19">
        <v>953</v>
      </c>
    </row>
    <row r="571" spans="1:45" x14ac:dyDescent="0.25">
      <c r="A571">
        <v>1595</v>
      </c>
      <c r="B571" s="11">
        <f t="shared" si="8"/>
        <v>52973</v>
      </c>
      <c r="C571" s="16">
        <v>529730</v>
      </c>
      <c r="D571" s="17">
        <v>0</v>
      </c>
      <c r="E571" s="17">
        <v>1</v>
      </c>
      <c r="F571" s="17">
        <v>92</v>
      </c>
      <c r="G571" s="17">
        <v>64</v>
      </c>
      <c r="H571" s="13" t="str" cm="1">
        <f t="array" ref="H571">_xlfn.IFS(G571&lt;=20,"0-20",G571&lt;=30,"20-30",G571&lt;=40,"30-40",G571&lt;=50,"50-60",G571&lt;=60,"60-70",G571&lt;=70,"70-80",G571&lt;=80,"80-90")</f>
        <v>70-80</v>
      </c>
      <c r="I571" s="17">
        <v>2757</v>
      </c>
      <c r="J571" s="13" t="str" cm="1">
        <f t="array" ref="J571">_xlfn.IFS(K571=1,"Divorciado",L571=1,"Casado",M571=1,"Solteiro",N571=1,"Juntos",O571=1,"Viuvo")</f>
        <v>Casado</v>
      </c>
      <c r="K571" s="17">
        <v>0</v>
      </c>
      <c r="L571" s="17">
        <v>1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1</v>
      </c>
      <c r="T571" s="17">
        <v>0</v>
      </c>
      <c r="U571" s="17">
        <v>856</v>
      </c>
      <c r="V571" s="13" t="str" cm="1">
        <f t="array" ref="V571">_xlfn.IFS(U571&lt;=250,"0-R$250",U571&lt;=500,"251-R$500",U571&lt;=750,"501-R$750",U571&lt;=1000,"751-R$1000",U571&lt;=1250,"1001-R$1250",U571&lt;=1500,"1251-R$1500")</f>
        <v>751-R$1000</v>
      </c>
      <c r="W571" s="17">
        <v>0</v>
      </c>
      <c r="X571" s="13" t="str" cm="1">
        <f t="array" ref="X571">_xlfn.IFS(W571 = 0, "0", W571&lt;=20, "até R$20",W571&lt;=40, "21 - R$40",W571&lt;=60, "41- R$60",W571&lt;=80, "61 - R$80", W571&lt;=100, "81 - R$100",W571&lt;=120, "101 - R$120",W571&lt;=140, "121 - R$140", W571&lt;=160, "141- R$160", W571&lt;=180, "161 - R$180", W571&lt;=200, "181-R$194")</f>
        <v>0</v>
      </c>
      <c r="Y571" s="17">
        <v>76</v>
      </c>
      <c r="Z571" s="17">
        <v>12</v>
      </c>
      <c r="AA571" s="17">
        <v>9</v>
      </c>
      <c r="AB571" s="17">
        <v>199</v>
      </c>
      <c r="AC571" s="17">
        <v>7</v>
      </c>
      <c r="AD571" s="17">
        <v>9</v>
      </c>
      <c r="AE571" s="17">
        <v>6</v>
      </c>
      <c r="AF571" s="17">
        <v>9</v>
      </c>
      <c r="AG571" s="17">
        <v>8</v>
      </c>
      <c r="AH571" s="17">
        <v>0</v>
      </c>
      <c r="AI571" s="17">
        <v>0</v>
      </c>
      <c r="AJ571" s="17">
        <v>0</v>
      </c>
      <c r="AK571" s="17">
        <v>0</v>
      </c>
      <c r="AL571" s="17">
        <v>0</v>
      </c>
      <c r="AM571" s="17">
        <v>0</v>
      </c>
      <c r="AN571" s="17">
        <v>0</v>
      </c>
      <c r="AO571" s="18">
        <v>0</v>
      </c>
      <c r="AP571" s="17">
        <v>3</v>
      </c>
      <c r="AQ571" s="17">
        <v>11</v>
      </c>
      <c r="AR571" s="19">
        <v>754</v>
      </c>
      <c r="AS571" s="19">
        <v>953</v>
      </c>
    </row>
    <row r="572" spans="1:45" x14ac:dyDescent="0.25">
      <c r="A572">
        <v>353</v>
      </c>
      <c r="B572" s="11">
        <f t="shared" si="8"/>
        <v>52614</v>
      </c>
      <c r="C572" s="16">
        <v>526140</v>
      </c>
      <c r="D572" s="17">
        <v>0</v>
      </c>
      <c r="E572" s="17">
        <v>1</v>
      </c>
      <c r="F572" s="17">
        <v>63</v>
      </c>
      <c r="G572" s="17">
        <v>45</v>
      </c>
      <c r="H572" s="13" t="str" cm="1">
        <f t="array" ref="H572">_xlfn.IFS(G572&lt;=20,"0-20",G572&lt;=30,"20-30",G572&lt;=40,"30-40",G572&lt;=50,"50-60",G572&lt;=60,"60-70",G572&lt;=70,"70-80",G572&lt;=80,"80-90")</f>
        <v>50-60</v>
      </c>
      <c r="I572" s="17">
        <v>2734</v>
      </c>
      <c r="J572" s="13" t="str" cm="1">
        <f t="array" ref="J572">_xlfn.IFS(K572=1,"Divorciado",L572=1,"Casado",M572=1,"Solteiro",N572=1,"Juntos",O572=1,"Viuvo")</f>
        <v>Solteiro</v>
      </c>
      <c r="K572" s="17">
        <v>0</v>
      </c>
      <c r="L572" s="17">
        <v>0</v>
      </c>
      <c r="M572" s="17">
        <v>1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1</v>
      </c>
      <c r="U572" s="17">
        <v>789</v>
      </c>
      <c r="V572" s="13" t="str" cm="1">
        <f t="array" ref="V572">_xlfn.IFS(U572&lt;=250,"0-R$250",U572&lt;=500,"251-R$500",U572&lt;=750,"501-R$750",U572&lt;=1000,"751-R$1000",U572&lt;=1250,"1001-R$1250",U572&lt;=1500,"1251-R$1500")</f>
        <v>751-R$1000</v>
      </c>
      <c r="W572" s="17">
        <v>0</v>
      </c>
      <c r="X572" s="13" t="str" cm="1">
        <f t="array" ref="X572">_xlfn.IFS(W572 = 0, "0", W572&lt;=20, "até R$20",W572&lt;=40, "21 - R$40",W572&lt;=60, "41- R$60",W572&lt;=80, "61 - R$80", W572&lt;=100, "81 - R$100",W572&lt;=120, "101 - R$120",W572&lt;=140, "121 - R$140", W572&lt;=160, "141- R$160", W572&lt;=180, "161 - R$180", W572&lt;=200, "181-R$194")</f>
        <v>0</v>
      </c>
      <c r="Y572" s="17">
        <v>142</v>
      </c>
      <c r="Z572" s="17">
        <v>12</v>
      </c>
      <c r="AA572" s="17">
        <v>9</v>
      </c>
      <c r="AB572" s="17">
        <v>38</v>
      </c>
      <c r="AC572" s="17">
        <v>2</v>
      </c>
      <c r="AD572" s="17">
        <v>2</v>
      </c>
      <c r="AE572" s="17">
        <v>4</v>
      </c>
      <c r="AF572" s="17">
        <v>8</v>
      </c>
      <c r="AG572" s="17">
        <v>8</v>
      </c>
      <c r="AH572" s="17">
        <v>0</v>
      </c>
      <c r="AI572" s="17">
        <v>0</v>
      </c>
      <c r="AJ572" s="17">
        <v>0</v>
      </c>
      <c r="AK572" s="17">
        <v>0</v>
      </c>
      <c r="AL572" s="17">
        <v>0</v>
      </c>
      <c r="AM572" s="17">
        <v>0</v>
      </c>
      <c r="AN572" s="17">
        <v>0</v>
      </c>
      <c r="AO572" s="18">
        <v>0</v>
      </c>
      <c r="AP572" s="17">
        <v>3</v>
      </c>
      <c r="AQ572" s="17">
        <v>11</v>
      </c>
      <c r="AR572" s="19">
        <v>914</v>
      </c>
      <c r="AS572" s="19">
        <v>952</v>
      </c>
    </row>
    <row r="573" spans="1:45" x14ac:dyDescent="0.25">
      <c r="A573">
        <v>656</v>
      </c>
      <c r="B573" s="11">
        <f t="shared" si="8"/>
        <v>52614</v>
      </c>
      <c r="C573" s="12">
        <v>526140</v>
      </c>
      <c r="D573" s="13">
        <v>0</v>
      </c>
      <c r="E573" s="13">
        <v>1</v>
      </c>
      <c r="F573" s="13">
        <v>63</v>
      </c>
      <c r="G573" s="13">
        <v>45</v>
      </c>
      <c r="H573" s="13" t="str" cm="1">
        <f t="array" ref="H573">_xlfn.IFS(G573&lt;=20,"0-20",G573&lt;=30,"20-30",G573&lt;=40,"30-40",G573&lt;=50,"50-60",G573&lt;=60,"60-70",G573&lt;=70,"70-80",G573&lt;=80,"80-90")</f>
        <v>50-60</v>
      </c>
      <c r="I573" s="13">
        <v>2734</v>
      </c>
      <c r="J573" s="13" t="str" cm="1">
        <f t="array" ref="J573">_xlfn.IFS(K573=1,"Divorciado",L573=1,"Casado",M573=1,"Solteiro",N573=1,"Juntos",O573=1,"Viuvo")</f>
        <v>Solteiro</v>
      </c>
      <c r="K573" s="13">
        <v>0</v>
      </c>
      <c r="L573" s="13">
        <v>0</v>
      </c>
      <c r="M573" s="13">
        <v>1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1</v>
      </c>
      <c r="U573" s="13">
        <v>789</v>
      </c>
      <c r="V573" s="13" t="str" cm="1">
        <f t="array" ref="V573">_xlfn.IFS(U573&lt;=250,"0-R$250",U573&lt;=500,"251-R$500",U573&lt;=750,"501-R$750",U573&lt;=1000,"751-R$1000",U573&lt;=1250,"1001-R$1250",U573&lt;=1500,"1251-R$1500")</f>
        <v>751-R$1000</v>
      </c>
      <c r="W573" s="13">
        <v>0</v>
      </c>
      <c r="X573" s="13" t="str" cm="1">
        <f t="array" ref="X573">_xlfn.IFS(W573 = 0, "0", W573&lt;=20, "até R$20",W573&lt;=40, "21 - R$40",W573&lt;=60, "41- R$60",W573&lt;=80, "61 - R$80", W573&lt;=100, "81 - R$100",W573&lt;=120, "101 - R$120",W573&lt;=140, "121 - R$140", W573&lt;=160, "141- R$160", W573&lt;=180, "161 - R$180", W573&lt;=200, "181-R$194")</f>
        <v>0</v>
      </c>
      <c r="Y573" s="13">
        <v>142</v>
      </c>
      <c r="Z573" s="13">
        <v>12</v>
      </c>
      <c r="AA573" s="13">
        <v>9</v>
      </c>
      <c r="AB573" s="13">
        <v>38</v>
      </c>
      <c r="AC573" s="13">
        <v>2</v>
      </c>
      <c r="AD573" s="13">
        <v>2</v>
      </c>
      <c r="AE573" s="13">
        <v>4</v>
      </c>
      <c r="AF573" s="13">
        <v>8</v>
      </c>
      <c r="AG573" s="13">
        <v>8</v>
      </c>
      <c r="AH573" s="13">
        <v>0</v>
      </c>
      <c r="AI573" s="13">
        <v>0</v>
      </c>
      <c r="AJ573" s="13">
        <v>0</v>
      </c>
      <c r="AK573" s="13">
        <v>0</v>
      </c>
      <c r="AL573" s="13">
        <v>0</v>
      </c>
      <c r="AM573" s="13">
        <v>0</v>
      </c>
      <c r="AN573" s="13">
        <v>0</v>
      </c>
      <c r="AO573" s="14">
        <v>0</v>
      </c>
      <c r="AP573" s="13">
        <v>3</v>
      </c>
      <c r="AQ573" s="13">
        <v>11</v>
      </c>
      <c r="AR573" s="15">
        <v>914</v>
      </c>
      <c r="AS573" s="15">
        <v>952</v>
      </c>
    </row>
    <row r="574" spans="1:45" x14ac:dyDescent="0.25">
      <c r="A574">
        <v>1816</v>
      </c>
      <c r="B574" s="11">
        <f t="shared" si="8"/>
        <v>84953</v>
      </c>
      <c r="C574" s="12">
        <v>849530</v>
      </c>
      <c r="D574" s="13">
        <v>0</v>
      </c>
      <c r="E574" s="13">
        <v>0</v>
      </c>
      <c r="F574" s="13">
        <v>73</v>
      </c>
      <c r="G574" s="13">
        <v>67</v>
      </c>
      <c r="H574" s="13" t="str" cm="1">
        <f t="array" ref="H574">_xlfn.IFS(G574&lt;=20,"0-20",G574&lt;=30,"20-30",G574&lt;=40,"30-40",G574&lt;=50,"50-60",G574&lt;=60,"60-70",G574&lt;=70,"70-80",G574&lt;=80,"80-90")</f>
        <v>70-80</v>
      </c>
      <c r="I574" s="13">
        <v>2550</v>
      </c>
      <c r="J574" s="13" t="str" cm="1">
        <f t="array" ref="J574">_xlfn.IFS(K574=1,"Divorciado",L574=1,"Casado",M574=1,"Solteiro",N574=1,"Juntos",O574=1,"Viuvo")</f>
        <v>Viuvo</v>
      </c>
      <c r="K574" s="13">
        <v>0</v>
      </c>
      <c r="L574" s="13">
        <v>0</v>
      </c>
      <c r="M574" s="13">
        <v>0</v>
      </c>
      <c r="N574" s="13">
        <v>0</v>
      </c>
      <c r="O574" s="13">
        <v>1</v>
      </c>
      <c r="P574" s="13">
        <v>0</v>
      </c>
      <c r="Q574" s="13">
        <v>0</v>
      </c>
      <c r="R574" s="13">
        <v>0</v>
      </c>
      <c r="S574" s="13">
        <v>1</v>
      </c>
      <c r="T574" s="13">
        <v>0</v>
      </c>
      <c r="U574" s="13">
        <v>167</v>
      </c>
      <c r="V574" s="13" t="str" cm="1">
        <f t="array" ref="V574">_xlfn.IFS(U574&lt;=250,"0-R$250",U574&lt;=500,"251-R$500",U574&lt;=750,"501-R$750",U574&lt;=1000,"751-R$1000",U574&lt;=1250,"1001-R$1250",U574&lt;=1500,"1251-R$1500")</f>
        <v>0-R$250</v>
      </c>
      <c r="W574" s="13">
        <v>48</v>
      </c>
      <c r="X574" s="13" t="str" cm="1">
        <f t="array" ref="X574">_xlfn.IFS(W574 = 0, "0", W574&lt;=20, "até R$20",W574&lt;=40, "21 - R$40",W574&lt;=60, "41- R$60",W574&lt;=80, "61 - R$80", W574&lt;=100, "81 - R$100",W574&lt;=120, "101 - R$120",W574&lt;=140, "121 - R$140", W574&lt;=160, "141- R$160", W574&lt;=180, "161 - R$180", W574&lt;=200, "181-R$194")</f>
        <v>41- R$60</v>
      </c>
      <c r="Y574" s="13">
        <v>602</v>
      </c>
      <c r="Z574" s="13">
        <v>63</v>
      </c>
      <c r="AA574" s="13">
        <v>72</v>
      </c>
      <c r="AB574" s="13">
        <v>72</v>
      </c>
      <c r="AC574" s="13">
        <v>1</v>
      </c>
      <c r="AD574" s="13">
        <v>3</v>
      </c>
      <c r="AE574" s="13">
        <v>10</v>
      </c>
      <c r="AF574" s="13">
        <v>4</v>
      </c>
      <c r="AG574" s="13">
        <v>2</v>
      </c>
      <c r="AH574" s="13">
        <v>0</v>
      </c>
      <c r="AI574" s="13">
        <v>0</v>
      </c>
      <c r="AJ574" s="13">
        <v>1</v>
      </c>
      <c r="AK574" s="13">
        <v>1</v>
      </c>
      <c r="AL574" s="13">
        <v>1</v>
      </c>
      <c r="AM574" s="13">
        <v>0</v>
      </c>
      <c r="AN574" s="13">
        <v>1</v>
      </c>
      <c r="AO574" s="14">
        <v>3</v>
      </c>
      <c r="AP574" s="13">
        <v>3</v>
      </c>
      <c r="AQ574" s="13">
        <v>11</v>
      </c>
      <c r="AR574" s="15">
        <v>880</v>
      </c>
      <c r="AS574" s="15">
        <v>952</v>
      </c>
    </row>
    <row r="575" spans="1:45" x14ac:dyDescent="0.25">
      <c r="A575">
        <v>1881</v>
      </c>
      <c r="B575" s="11">
        <f t="shared" si="8"/>
        <v>60491</v>
      </c>
      <c r="C575" s="16">
        <v>604910</v>
      </c>
      <c r="D575" s="17">
        <v>0</v>
      </c>
      <c r="E575" s="17">
        <v>1</v>
      </c>
      <c r="F575" s="17">
        <v>81</v>
      </c>
      <c r="G575" s="17">
        <v>49</v>
      </c>
      <c r="H575" s="13" t="str" cm="1">
        <f t="array" ref="H575">_xlfn.IFS(G575&lt;=20,"0-20",G575&lt;=30,"20-30",G575&lt;=40,"30-40",G575&lt;=50,"50-60",G575&lt;=60,"60-70",G575&lt;=70,"70-80",G575&lt;=80,"80-90")</f>
        <v>50-60</v>
      </c>
      <c r="I575" s="17">
        <v>2455</v>
      </c>
      <c r="J575" s="13" t="str" cm="1">
        <f t="array" ref="J575">_xlfn.IFS(K575=1,"Divorciado",L575=1,"Casado",M575=1,"Solteiro",N575=1,"Juntos",O575=1,"Viuvo")</f>
        <v>Casado</v>
      </c>
      <c r="K575" s="17">
        <v>0</v>
      </c>
      <c r="L575" s="17">
        <v>1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1</v>
      </c>
      <c r="U575" s="17">
        <v>637</v>
      </c>
      <c r="V575" s="13" t="str" cm="1">
        <f t="array" ref="V575">_xlfn.IFS(U575&lt;=250,"0-R$250",U575&lt;=500,"251-R$500",U575&lt;=750,"501-R$750",U575&lt;=1000,"751-R$1000",U575&lt;=1250,"1001-R$1250",U575&lt;=1500,"1251-R$1500")</f>
        <v>501-R$750</v>
      </c>
      <c r="W575" s="17">
        <v>47</v>
      </c>
      <c r="X575" s="13" t="str" cm="1">
        <f t="array" ref="X575">_xlfn.IFS(W575 = 0, "0", W575&lt;=20, "até R$20",W575&lt;=40, "21 - R$40",W575&lt;=60, "41- R$60",W575&lt;=80, "61 - R$80", W575&lt;=100, "81 - R$100",W575&lt;=120, "101 - R$120",W575&lt;=140, "121 - R$140", W575&lt;=160, "141- R$160", W575&lt;=180, "161 - R$180", W575&lt;=200, "181-R$194")</f>
        <v>41- R$60</v>
      </c>
      <c r="Y575" s="17">
        <v>237</v>
      </c>
      <c r="Z575" s="17">
        <v>12</v>
      </c>
      <c r="AA575" s="17">
        <v>19</v>
      </c>
      <c r="AB575" s="17">
        <v>76</v>
      </c>
      <c r="AC575" s="17">
        <v>4</v>
      </c>
      <c r="AD575" s="17">
        <v>6</v>
      </c>
      <c r="AE575" s="17">
        <v>11</v>
      </c>
      <c r="AF575" s="17">
        <v>7</v>
      </c>
      <c r="AG575" s="17">
        <v>5</v>
      </c>
      <c r="AH575" s="17">
        <v>0</v>
      </c>
      <c r="AI575" s="17">
        <v>0</v>
      </c>
      <c r="AJ575" s="17">
        <v>0</v>
      </c>
      <c r="AK575" s="17">
        <v>0</v>
      </c>
      <c r="AL575" s="17">
        <v>0</v>
      </c>
      <c r="AM575" s="17">
        <v>0</v>
      </c>
      <c r="AN575" s="17">
        <v>0</v>
      </c>
      <c r="AO575" s="18">
        <v>0</v>
      </c>
      <c r="AP575" s="17">
        <v>3</v>
      </c>
      <c r="AQ575" s="17">
        <v>11</v>
      </c>
      <c r="AR575" s="19">
        <v>876</v>
      </c>
      <c r="AS575" s="19">
        <v>952</v>
      </c>
    </row>
    <row r="576" spans="1:45" x14ac:dyDescent="0.25">
      <c r="A576">
        <v>231</v>
      </c>
      <c r="B576" s="11">
        <f t="shared" si="8"/>
        <v>61074</v>
      </c>
      <c r="C576" s="16">
        <v>610740</v>
      </c>
      <c r="D576" s="17">
        <v>0</v>
      </c>
      <c r="E576" s="17">
        <v>1</v>
      </c>
      <c r="F576" s="17">
        <v>37</v>
      </c>
      <c r="G576" s="17">
        <v>62</v>
      </c>
      <c r="H576" s="13" t="str" cm="1">
        <f t="array" ref="H576">_xlfn.IFS(G576&lt;=20,"0-20",G576&lt;=30,"20-30",G576&lt;=40,"30-40",G576&lt;=50,"50-60",G576&lt;=60,"60-70",G576&lt;=70,"70-80",G576&lt;=80,"80-90")</f>
        <v>70-80</v>
      </c>
      <c r="I576" s="17">
        <v>2840</v>
      </c>
      <c r="J576" s="13" t="str" cm="1">
        <f t="array" ref="J576">_xlfn.IFS(K576=1,"Divorciado",L576=1,"Casado",M576=1,"Solteiro",N576=1,"Juntos",O576=1,"Viuvo")</f>
        <v>Casado</v>
      </c>
      <c r="K576" s="17">
        <v>0</v>
      </c>
      <c r="L576" s="17">
        <v>1</v>
      </c>
      <c r="M576" s="17">
        <v>0</v>
      </c>
      <c r="N576" s="17">
        <v>0</v>
      </c>
      <c r="O576" s="17">
        <v>0</v>
      </c>
      <c r="P576" s="17">
        <v>0</v>
      </c>
      <c r="Q576" s="17">
        <v>0</v>
      </c>
      <c r="R576" s="17">
        <v>1</v>
      </c>
      <c r="S576" s="17">
        <v>0</v>
      </c>
      <c r="T576" s="17">
        <v>0</v>
      </c>
      <c r="U576" s="17">
        <v>789</v>
      </c>
      <c r="V576" s="13" t="str" cm="1">
        <f t="array" ref="V576">_xlfn.IFS(U576&lt;=250,"0-R$250",U576&lt;=500,"251-R$500",U576&lt;=750,"501-R$750",U576&lt;=1000,"751-R$1000",U576&lt;=1250,"1001-R$1250",U576&lt;=1500,"1251-R$1500")</f>
        <v>751-R$1000</v>
      </c>
      <c r="W576" s="17">
        <v>0</v>
      </c>
      <c r="X576" s="13" t="str" cm="1">
        <f t="array" ref="X576">_xlfn.IFS(W576 = 0, "0", W576&lt;=20, "até R$20",W576&lt;=40, "21 - R$40",W576&lt;=60, "41- R$60",W576&lt;=80, "61 - R$80", W576&lt;=100, "81 - R$100",W576&lt;=120, "101 - R$120",W576&lt;=140, "121 - R$140", W576&lt;=160, "141- R$160", W576&lt;=180, "161 - R$180", W576&lt;=200, "181-R$194")</f>
        <v>0</v>
      </c>
      <c r="Y576" s="17">
        <v>133</v>
      </c>
      <c r="Z576" s="17">
        <v>0</v>
      </c>
      <c r="AA576" s="17">
        <v>28</v>
      </c>
      <c r="AB576" s="17">
        <v>152</v>
      </c>
      <c r="AC576" s="17">
        <v>7</v>
      </c>
      <c r="AD576" s="17">
        <v>11</v>
      </c>
      <c r="AE576" s="17">
        <v>5</v>
      </c>
      <c r="AF576" s="17">
        <v>8</v>
      </c>
      <c r="AG576" s="17">
        <v>7</v>
      </c>
      <c r="AH576" s="17">
        <v>0</v>
      </c>
      <c r="AI576" s="17">
        <v>0</v>
      </c>
      <c r="AJ576" s="17">
        <v>0</v>
      </c>
      <c r="AK576" s="17">
        <v>0</v>
      </c>
      <c r="AL576" s="17">
        <v>0</v>
      </c>
      <c r="AM576" s="17">
        <v>0</v>
      </c>
      <c r="AN576" s="17">
        <v>0</v>
      </c>
      <c r="AO576" s="18">
        <v>0</v>
      </c>
      <c r="AP576" s="17">
        <v>3</v>
      </c>
      <c r="AQ576" s="17">
        <v>11</v>
      </c>
      <c r="AR576" s="19">
        <v>798</v>
      </c>
      <c r="AS576" s="19">
        <v>950</v>
      </c>
    </row>
    <row r="577" spans="1:45" x14ac:dyDescent="0.25">
      <c r="A577">
        <v>1144</v>
      </c>
      <c r="B577" s="11">
        <f t="shared" si="8"/>
        <v>80685</v>
      </c>
      <c r="C577" s="12">
        <v>806850</v>
      </c>
      <c r="D577" s="13">
        <v>0</v>
      </c>
      <c r="E577" s="13">
        <v>0</v>
      </c>
      <c r="F577" s="13">
        <v>55</v>
      </c>
      <c r="G577" s="13">
        <v>26</v>
      </c>
      <c r="H577" s="13" t="str" cm="1">
        <f t="array" ref="H577">_xlfn.IFS(G577&lt;=20,"0-20",G577&lt;=30,"20-30",G577&lt;=40,"30-40",G577&lt;=50,"50-60",G577&lt;=60,"60-70",G577&lt;=70,"70-80",G577&lt;=80,"80-90")</f>
        <v>20-30</v>
      </c>
      <c r="I577" s="13">
        <v>2835</v>
      </c>
      <c r="J577" s="13" t="str" cm="1">
        <f t="array" ref="J577">_xlfn.IFS(K577=1,"Divorciado",L577=1,"Casado",M577=1,"Solteiro",N577=1,"Juntos",O577=1,"Viuvo")</f>
        <v>Juntos</v>
      </c>
      <c r="K577" s="13">
        <v>0</v>
      </c>
      <c r="L577" s="13">
        <v>0</v>
      </c>
      <c r="M577" s="13">
        <v>0</v>
      </c>
      <c r="N577" s="13">
        <v>1</v>
      </c>
      <c r="O577" s="13">
        <v>0</v>
      </c>
      <c r="P577" s="13">
        <v>0</v>
      </c>
      <c r="Q577" s="13">
        <v>0</v>
      </c>
      <c r="R577" s="13">
        <v>1</v>
      </c>
      <c r="S577" s="13">
        <v>0</v>
      </c>
      <c r="T577" s="13">
        <v>0</v>
      </c>
      <c r="U577" s="13">
        <v>241</v>
      </c>
      <c r="V577" s="13" t="str" cm="1">
        <f t="array" ref="V577">_xlfn.IFS(U577&lt;=250,"0-R$250",U577&lt;=500,"251-R$500",U577&lt;=750,"501-R$750",U577&lt;=1000,"751-R$1000",U577&lt;=1250,"1001-R$1250",U577&lt;=1500,"1251-R$1500")</f>
        <v>0-R$250</v>
      </c>
      <c r="W577" s="13">
        <v>45</v>
      </c>
      <c r="X577" s="13" t="str" cm="1">
        <f t="array" ref="X577">_xlfn.IFS(W577 = 0, "0", W577&lt;=20, "até R$20",W577&lt;=40, "21 - R$40",W577&lt;=60, "41- R$60",W577&lt;=80, "61 - R$80", W577&lt;=100, "81 - R$100",W577&lt;=120, "101 - R$120",W577&lt;=140, "121 - R$140", W577&lt;=160, "141- R$160", W577&lt;=180, "161 - R$180", W577&lt;=200, "181-R$194")</f>
        <v>41- R$60</v>
      </c>
      <c r="Y577" s="13">
        <v>604</v>
      </c>
      <c r="Z577" s="13">
        <v>34</v>
      </c>
      <c r="AA577" s="13">
        <v>26</v>
      </c>
      <c r="AB577" s="13">
        <v>54</v>
      </c>
      <c r="AC577" s="13">
        <v>1</v>
      </c>
      <c r="AD577" s="13">
        <v>6</v>
      </c>
      <c r="AE577" s="13">
        <v>4</v>
      </c>
      <c r="AF577" s="13">
        <v>10</v>
      </c>
      <c r="AG577" s="13">
        <v>2</v>
      </c>
      <c r="AH577" s="13">
        <v>0</v>
      </c>
      <c r="AI577" s="13">
        <v>0</v>
      </c>
      <c r="AJ577" s="13">
        <v>0</v>
      </c>
      <c r="AK577" s="13">
        <v>0</v>
      </c>
      <c r="AL577" s="13">
        <v>0</v>
      </c>
      <c r="AM577" s="13">
        <v>0</v>
      </c>
      <c r="AN577" s="13">
        <v>0</v>
      </c>
      <c r="AO577" s="14">
        <v>0</v>
      </c>
      <c r="AP577" s="13">
        <v>3</v>
      </c>
      <c r="AQ577" s="13">
        <v>11</v>
      </c>
      <c r="AR577" s="15">
        <v>896</v>
      </c>
      <c r="AS577" s="15">
        <v>950</v>
      </c>
    </row>
    <row r="578" spans="1:45" x14ac:dyDescent="0.25">
      <c r="A578">
        <v>398</v>
      </c>
      <c r="B578" s="11">
        <f t="shared" ref="B578:B641" si="9">C578/10</f>
        <v>75072</v>
      </c>
      <c r="C578" s="12">
        <v>750720</v>
      </c>
      <c r="D578" s="13">
        <v>0</v>
      </c>
      <c r="E578" s="13">
        <v>1</v>
      </c>
      <c r="F578" s="13">
        <v>83</v>
      </c>
      <c r="G578" s="13">
        <v>58</v>
      </c>
      <c r="H578" s="13" t="str" cm="1">
        <f t="array" ref="H578">_xlfn.IFS(G578&lt;=20,"0-20",G578&lt;=30,"20-30",G578&lt;=40,"30-40",G578&lt;=50,"50-60",G578&lt;=60,"60-70",G578&lt;=70,"70-80",G578&lt;=80,"80-90")</f>
        <v>60-70</v>
      </c>
      <c r="I578" s="13">
        <v>2681</v>
      </c>
      <c r="J578" s="13" t="str" cm="1">
        <f t="array" ref="J578">_xlfn.IFS(K578=1,"Divorciado",L578=1,"Casado",M578=1,"Solteiro",N578=1,"Juntos",O578=1,"Viuvo")</f>
        <v>Juntos</v>
      </c>
      <c r="K578" s="13">
        <v>0</v>
      </c>
      <c r="L578" s="13">
        <v>0</v>
      </c>
      <c r="M578" s="13">
        <v>0</v>
      </c>
      <c r="N578" s="13">
        <v>1</v>
      </c>
      <c r="O578" s="13">
        <v>0</v>
      </c>
      <c r="P578" s="13">
        <v>0</v>
      </c>
      <c r="Q578" s="13">
        <v>0</v>
      </c>
      <c r="R578" s="13">
        <v>1</v>
      </c>
      <c r="S578" s="13">
        <v>0</v>
      </c>
      <c r="T578" s="13">
        <v>0</v>
      </c>
      <c r="U578" s="13">
        <v>583</v>
      </c>
      <c r="V578" s="13" t="str" cm="1">
        <f t="array" ref="V578">_xlfn.IFS(U578&lt;=250,"0-R$250",U578&lt;=500,"251-R$500",U578&lt;=750,"501-R$750",U578&lt;=1000,"751-R$1000",U578&lt;=1250,"1001-R$1250",U578&lt;=1500,"1251-R$1500")</f>
        <v>501-R$750</v>
      </c>
      <c r="W578" s="13">
        <v>34</v>
      </c>
      <c r="X578" s="13" t="str" cm="1">
        <f t="array" ref="X578">_xlfn.IFS(W578 = 0, "0", W578&lt;=20, "até R$20",W578&lt;=40, "21 - R$40",W578&lt;=60, "41- R$60",W578&lt;=80, "61 - R$80", W578&lt;=100, "81 - R$100",W578&lt;=120, "101 - R$120",W578&lt;=140, "121 - R$140", W578&lt;=160, "141- R$160", W578&lt;=180, "161 - R$180", W578&lt;=200, "181-R$194")</f>
        <v>21 - R$40</v>
      </c>
      <c r="Y578" s="13">
        <v>309</v>
      </c>
      <c r="Z578" s="13">
        <v>0</v>
      </c>
      <c r="AA578" s="13">
        <v>22</v>
      </c>
      <c r="AB578" s="13">
        <v>125</v>
      </c>
      <c r="AC578" s="13">
        <v>2</v>
      </c>
      <c r="AD578" s="13">
        <v>5</v>
      </c>
      <c r="AE578" s="13">
        <v>4</v>
      </c>
      <c r="AF578" s="13">
        <v>8</v>
      </c>
      <c r="AG578" s="13">
        <v>3</v>
      </c>
      <c r="AH578" s="13">
        <v>0</v>
      </c>
      <c r="AI578" s="13">
        <v>0</v>
      </c>
      <c r="AJ578" s="13">
        <v>0</v>
      </c>
      <c r="AK578" s="13">
        <v>0</v>
      </c>
      <c r="AL578" s="13">
        <v>0</v>
      </c>
      <c r="AM578" s="13">
        <v>0</v>
      </c>
      <c r="AN578" s="13">
        <v>0</v>
      </c>
      <c r="AO578" s="14">
        <v>0</v>
      </c>
      <c r="AP578" s="13">
        <v>3</v>
      </c>
      <c r="AQ578" s="13">
        <v>11</v>
      </c>
      <c r="AR578" s="15">
        <v>823</v>
      </c>
      <c r="AS578" s="15">
        <v>948</v>
      </c>
    </row>
    <row r="579" spans="1:45" x14ac:dyDescent="0.25">
      <c r="A579">
        <v>930</v>
      </c>
      <c r="B579" s="11">
        <f t="shared" si="9"/>
        <v>67893</v>
      </c>
      <c r="C579" s="12">
        <v>678930</v>
      </c>
      <c r="D579" s="13">
        <v>0</v>
      </c>
      <c r="E579" s="13">
        <v>1</v>
      </c>
      <c r="F579" s="13">
        <v>31</v>
      </c>
      <c r="G579" s="13">
        <v>45</v>
      </c>
      <c r="H579" s="13" t="str" cm="1">
        <f t="array" ref="H579">_xlfn.IFS(G579&lt;=20,"0-20",G579&lt;=30,"20-30",G579&lt;=40,"30-40",G579&lt;=50,"50-60",G579&lt;=60,"60-70",G579&lt;=70,"70-80",G579&lt;=80,"80-90")</f>
        <v>50-60</v>
      </c>
      <c r="I579" s="13">
        <v>2795</v>
      </c>
      <c r="J579" s="13" t="str" cm="1">
        <f t="array" ref="J579">_xlfn.IFS(K579=1,"Divorciado",L579=1,"Casado",M579=1,"Solteiro",N579=1,"Juntos",O579=1,"Viuvo")</f>
        <v>Divorciado</v>
      </c>
      <c r="K579" s="13">
        <v>1</v>
      </c>
      <c r="L579" s="13">
        <v>0</v>
      </c>
      <c r="M579" s="13">
        <v>0</v>
      </c>
      <c r="N579" s="13">
        <v>0</v>
      </c>
      <c r="O579" s="13">
        <v>0</v>
      </c>
      <c r="P579" s="13">
        <v>1</v>
      </c>
      <c r="Q579" s="13">
        <v>0</v>
      </c>
      <c r="R579" s="13">
        <v>0</v>
      </c>
      <c r="S579" s="13">
        <v>0</v>
      </c>
      <c r="T579" s="13">
        <v>0</v>
      </c>
      <c r="U579" s="13">
        <v>711</v>
      </c>
      <c r="V579" s="13" t="str" cm="1">
        <f t="array" ref="V579">_xlfn.IFS(U579&lt;=250,"0-R$250",U579&lt;=500,"251-R$500",U579&lt;=750,"501-R$750",U579&lt;=1000,"751-R$1000",U579&lt;=1250,"1001-R$1250",U579&lt;=1500,"1251-R$1500")</f>
        <v>501-R$750</v>
      </c>
      <c r="W579" s="13">
        <v>28</v>
      </c>
      <c r="X579" s="13" t="str" cm="1">
        <f t="array" ref="X579">_xlfn.IFS(W579 = 0, "0", W579&lt;=20, "até R$20",W579&lt;=40, "21 - R$40",W579&lt;=60, "41- R$60",W579&lt;=80, "61 - R$80", W579&lt;=100, "81 - R$100",W579&lt;=120, "101 - R$120",W579&lt;=140, "121 - R$140", W579&lt;=160, "141- R$160", W579&lt;=180, "161 - R$180", W579&lt;=200, "181-R$194")</f>
        <v>21 - R$40</v>
      </c>
      <c r="Y579" s="13">
        <v>142</v>
      </c>
      <c r="Z579" s="13">
        <v>49</v>
      </c>
      <c r="AA579" s="13">
        <v>18</v>
      </c>
      <c r="AB579" s="13">
        <v>47</v>
      </c>
      <c r="AC579" s="13">
        <v>2</v>
      </c>
      <c r="AD579" s="13">
        <v>3</v>
      </c>
      <c r="AE579" s="13">
        <v>2</v>
      </c>
      <c r="AF579" s="13">
        <v>9</v>
      </c>
      <c r="AG579" s="13">
        <v>8</v>
      </c>
      <c r="AH579" s="13">
        <v>0</v>
      </c>
      <c r="AI579" s="13">
        <v>0</v>
      </c>
      <c r="AJ579" s="13">
        <v>0</v>
      </c>
      <c r="AK579" s="13">
        <v>0</v>
      </c>
      <c r="AL579" s="13">
        <v>0</v>
      </c>
      <c r="AM579" s="13">
        <v>0</v>
      </c>
      <c r="AN579" s="13">
        <v>0</v>
      </c>
      <c r="AO579" s="14">
        <v>0</v>
      </c>
      <c r="AP579" s="13">
        <v>3</v>
      </c>
      <c r="AQ579" s="13">
        <v>11</v>
      </c>
      <c r="AR579" s="15">
        <v>901</v>
      </c>
      <c r="AS579" s="15">
        <v>948</v>
      </c>
    </row>
    <row r="580" spans="1:45" x14ac:dyDescent="0.25">
      <c r="A580">
        <v>144</v>
      </c>
      <c r="B580" s="11">
        <f t="shared" si="9"/>
        <v>61010</v>
      </c>
      <c r="C580" s="12">
        <v>610100</v>
      </c>
      <c r="D580" s="13">
        <v>0</v>
      </c>
      <c r="E580" s="13">
        <v>1</v>
      </c>
      <c r="F580" s="13">
        <v>57</v>
      </c>
      <c r="G580" s="13">
        <v>68</v>
      </c>
      <c r="H580" s="13" t="str" cm="1">
        <f t="array" ref="H580">_xlfn.IFS(G580&lt;=20,"0-20",G580&lt;=30,"20-30",G580&lt;=40,"30-40",G580&lt;=50,"50-60",G580&lt;=60,"60-70",G580&lt;=70,"70-80",G580&lt;=80,"80-90")</f>
        <v>70-80</v>
      </c>
      <c r="I580" s="13">
        <v>2787</v>
      </c>
      <c r="J580" s="13" t="str" cm="1">
        <f t="array" ref="J580">_xlfn.IFS(K580=1,"Divorciado",L580=1,"Casado",M580=1,"Solteiro",N580=1,"Juntos",O580=1,"Viuvo")</f>
        <v>Juntos</v>
      </c>
      <c r="K580" s="13">
        <v>0</v>
      </c>
      <c r="L580" s="13">
        <v>0</v>
      </c>
      <c r="M580" s="13">
        <v>0</v>
      </c>
      <c r="N580" s="13">
        <v>1</v>
      </c>
      <c r="O580" s="13">
        <v>0</v>
      </c>
      <c r="P580" s="13">
        <v>0</v>
      </c>
      <c r="Q580" s="13">
        <v>0</v>
      </c>
      <c r="R580" s="13">
        <v>0</v>
      </c>
      <c r="S580" s="13">
        <v>0</v>
      </c>
      <c r="T580" s="13">
        <v>1</v>
      </c>
      <c r="U580" s="13">
        <v>888</v>
      </c>
      <c r="V580" s="13" t="str" cm="1">
        <f t="array" ref="V580">_xlfn.IFS(U580&lt;=250,"0-R$250",U580&lt;=500,"251-R$500",U580&lt;=750,"501-R$750",U580&lt;=1000,"751-R$1000",U580&lt;=1250,"1001-R$1250",U580&lt;=1500,"1251-R$1500")</f>
        <v>751-R$1000</v>
      </c>
      <c r="W580" s="13">
        <v>0</v>
      </c>
      <c r="X580" s="13" t="str" cm="1">
        <f t="array" ref="X580">_xlfn.IFS(W580 = 0, "0", W580&lt;=20, "até R$20",W580&lt;=40, "21 - R$40",W580&lt;=60, "41- R$60",W580&lt;=80, "61 - R$80", W580&lt;=100, "81 - R$100",W580&lt;=120, "101 - R$120",W580&lt;=140, "121 - R$140", W580&lt;=160, "141- R$160", W580&lt;=180, "161 - R$180", W580&lt;=200, "181-R$194")</f>
        <v>0</v>
      </c>
      <c r="Y580" s="13">
        <v>57</v>
      </c>
      <c r="Z580" s="13">
        <v>0</v>
      </c>
      <c r="AA580" s="13">
        <v>0</v>
      </c>
      <c r="AB580" s="13">
        <v>76</v>
      </c>
      <c r="AC580" s="13">
        <v>2</v>
      </c>
      <c r="AD580" s="13">
        <v>8</v>
      </c>
      <c r="AE580" s="13">
        <v>5</v>
      </c>
      <c r="AF580" s="13">
        <v>11</v>
      </c>
      <c r="AG580" s="13">
        <v>5</v>
      </c>
      <c r="AH580" s="13">
        <v>0</v>
      </c>
      <c r="AI580" s="13">
        <v>0</v>
      </c>
      <c r="AJ580" s="13">
        <v>0</v>
      </c>
      <c r="AK580" s="13">
        <v>0</v>
      </c>
      <c r="AL580" s="13">
        <v>0</v>
      </c>
      <c r="AM580" s="13">
        <v>0</v>
      </c>
      <c r="AN580" s="13">
        <v>0</v>
      </c>
      <c r="AO580" s="14">
        <v>0</v>
      </c>
      <c r="AP580" s="13">
        <v>3</v>
      </c>
      <c r="AQ580" s="13">
        <v>11</v>
      </c>
      <c r="AR580" s="15">
        <v>869</v>
      </c>
      <c r="AS580" s="15">
        <v>945</v>
      </c>
    </row>
    <row r="581" spans="1:45" x14ac:dyDescent="0.25">
      <c r="A581">
        <v>1036</v>
      </c>
      <c r="B581" s="11">
        <f t="shared" si="9"/>
        <v>70596</v>
      </c>
      <c r="C581" s="12">
        <v>705960</v>
      </c>
      <c r="D581" s="13">
        <v>0</v>
      </c>
      <c r="E581" s="13">
        <v>0</v>
      </c>
      <c r="F581" s="13">
        <v>68</v>
      </c>
      <c r="G581" s="13">
        <v>35</v>
      </c>
      <c r="H581" s="13" t="str" cm="1">
        <f t="array" ref="H581">_xlfn.IFS(G581&lt;=20,"0-20",G581&lt;=30,"20-30",G581&lt;=40,"30-40",G581&lt;=50,"50-60",G581&lt;=60,"60-70",G581&lt;=70,"70-80",G581&lt;=80,"80-90")</f>
        <v>30-40</v>
      </c>
      <c r="I581" s="13">
        <v>2791</v>
      </c>
      <c r="J581" s="13" t="str" cm="1">
        <f t="array" ref="J581">_xlfn.IFS(K581=1,"Divorciado",L581=1,"Casado",M581=1,"Solteiro",N581=1,"Juntos",O581=1,"Viuvo")</f>
        <v>Solteiro</v>
      </c>
      <c r="K581" s="13">
        <v>0</v>
      </c>
      <c r="L581" s="13">
        <v>0</v>
      </c>
      <c r="M581" s="13">
        <v>1</v>
      </c>
      <c r="N581" s="13">
        <v>0</v>
      </c>
      <c r="O581" s="13">
        <v>0</v>
      </c>
      <c r="P581" s="13">
        <v>0</v>
      </c>
      <c r="Q581" s="13">
        <v>0</v>
      </c>
      <c r="R581" s="13">
        <v>1</v>
      </c>
      <c r="S581" s="13">
        <v>0</v>
      </c>
      <c r="T581" s="13">
        <v>0</v>
      </c>
      <c r="U581" s="13">
        <v>347</v>
      </c>
      <c r="V581" s="13" t="str" cm="1">
        <f t="array" ref="V581">_xlfn.IFS(U581&lt;=250,"0-R$250",U581&lt;=500,"251-R$500",U581&lt;=750,"501-R$750",U581&lt;=1000,"751-R$1000",U581&lt;=1250,"1001-R$1250",U581&lt;=1500,"1251-R$1500")</f>
        <v>251-R$500</v>
      </c>
      <c r="W581" s="13">
        <v>44</v>
      </c>
      <c r="X581" s="13" t="str" cm="1">
        <f t="array" ref="X581">_xlfn.IFS(W581 = 0, "0", W581&lt;=20, "até R$20",W581&lt;=40, "21 - R$40",W581&lt;=60, "41- R$60",W581&lt;=80, "61 - R$80", W581&lt;=100, "81 - R$100",W581&lt;=120, "101 - R$120",W581&lt;=140, "121 - R$140", W581&lt;=160, "141- R$160", W581&lt;=180, "161 - R$180", W581&lt;=200, "181-R$194")</f>
        <v>41- R$60</v>
      </c>
      <c r="Y581" s="13">
        <v>534</v>
      </c>
      <c r="Z581" s="13">
        <v>17</v>
      </c>
      <c r="AA581" s="13">
        <v>0</v>
      </c>
      <c r="AB581" s="13">
        <v>26</v>
      </c>
      <c r="AC581" s="13">
        <v>1</v>
      </c>
      <c r="AD581" s="13">
        <v>3</v>
      </c>
      <c r="AE581" s="13">
        <v>5</v>
      </c>
      <c r="AF581" s="13">
        <v>12</v>
      </c>
      <c r="AG581" s="13">
        <v>2</v>
      </c>
      <c r="AH581" s="13">
        <v>0</v>
      </c>
      <c r="AI581" s="13">
        <v>0</v>
      </c>
      <c r="AJ581" s="13">
        <v>0</v>
      </c>
      <c r="AK581" s="13">
        <v>0</v>
      </c>
      <c r="AL581" s="13">
        <v>0</v>
      </c>
      <c r="AM581" s="13">
        <v>0</v>
      </c>
      <c r="AN581" s="13">
        <v>0</v>
      </c>
      <c r="AO581" s="14">
        <v>0</v>
      </c>
      <c r="AP581" s="13">
        <v>3</v>
      </c>
      <c r="AQ581" s="13">
        <v>11</v>
      </c>
      <c r="AR581" s="15">
        <v>916</v>
      </c>
      <c r="AS581" s="15">
        <v>942</v>
      </c>
    </row>
    <row r="582" spans="1:45" x14ac:dyDescent="0.25">
      <c r="A582">
        <v>1747</v>
      </c>
      <c r="B582" s="11">
        <f t="shared" si="9"/>
        <v>70596</v>
      </c>
      <c r="C582" s="16">
        <v>705960</v>
      </c>
      <c r="D582" s="17">
        <v>0</v>
      </c>
      <c r="E582" s="17">
        <v>0</v>
      </c>
      <c r="F582" s="17">
        <v>68</v>
      </c>
      <c r="G582" s="17">
        <v>35</v>
      </c>
      <c r="H582" s="13" t="str" cm="1">
        <f t="array" ref="H582">_xlfn.IFS(G582&lt;=20,"0-20",G582&lt;=30,"20-30",G582&lt;=40,"30-40",G582&lt;=50,"50-60",G582&lt;=60,"60-70",G582&lt;=70,"70-80",G582&lt;=80,"80-90")</f>
        <v>30-40</v>
      </c>
      <c r="I582" s="17">
        <v>2791</v>
      </c>
      <c r="J582" s="13" t="str" cm="1">
        <f t="array" ref="J582">_xlfn.IFS(K582=1,"Divorciado",L582=1,"Casado",M582=1,"Solteiro",N582=1,"Juntos",O582=1,"Viuvo")</f>
        <v>Solteiro</v>
      </c>
      <c r="K582" s="17">
        <v>0</v>
      </c>
      <c r="L582" s="17">
        <v>0</v>
      </c>
      <c r="M582" s="17">
        <v>1</v>
      </c>
      <c r="N582" s="17">
        <v>0</v>
      </c>
      <c r="O582" s="17">
        <v>0</v>
      </c>
      <c r="P582" s="17">
        <v>0</v>
      </c>
      <c r="Q582" s="17">
        <v>0</v>
      </c>
      <c r="R582" s="17">
        <v>1</v>
      </c>
      <c r="S582" s="17">
        <v>0</v>
      </c>
      <c r="T582" s="17">
        <v>0</v>
      </c>
      <c r="U582" s="17">
        <v>347</v>
      </c>
      <c r="V582" s="13" t="str" cm="1">
        <f t="array" ref="V582">_xlfn.IFS(U582&lt;=250,"0-R$250",U582&lt;=500,"251-R$500",U582&lt;=750,"501-R$750",U582&lt;=1000,"751-R$1000",U582&lt;=1250,"1001-R$1250",U582&lt;=1500,"1251-R$1500")</f>
        <v>251-R$500</v>
      </c>
      <c r="W582" s="17">
        <v>44</v>
      </c>
      <c r="X582" s="13" t="str" cm="1">
        <f t="array" ref="X582">_xlfn.IFS(W582 = 0, "0", W582&lt;=20, "até R$20",W582&lt;=40, "21 - R$40",W582&lt;=60, "41- R$60",W582&lt;=80, "61 - R$80", W582&lt;=100, "81 - R$100",W582&lt;=120, "101 - R$120",W582&lt;=140, "121 - R$140", W582&lt;=160, "141- R$160", W582&lt;=180, "161 - R$180", W582&lt;=200, "181-R$194")</f>
        <v>41- R$60</v>
      </c>
      <c r="Y582" s="17">
        <v>534</v>
      </c>
      <c r="Z582" s="17">
        <v>17</v>
      </c>
      <c r="AA582" s="17">
        <v>0</v>
      </c>
      <c r="AB582" s="17">
        <v>26</v>
      </c>
      <c r="AC582" s="17">
        <v>1</v>
      </c>
      <c r="AD582" s="17">
        <v>3</v>
      </c>
      <c r="AE582" s="17">
        <v>5</v>
      </c>
      <c r="AF582" s="17">
        <v>12</v>
      </c>
      <c r="AG582" s="17">
        <v>2</v>
      </c>
      <c r="AH582" s="17">
        <v>0</v>
      </c>
      <c r="AI582" s="17">
        <v>0</v>
      </c>
      <c r="AJ582" s="17">
        <v>0</v>
      </c>
      <c r="AK582" s="17">
        <v>0</v>
      </c>
      <c r="AL582" s="17">
        <v>0</v>
      </c>
      <c r="AM582" s="17">
        <v>0</v>
      </c>
      <c r="AN582" s="17">
        <v>0</v>
      </c>
      <c r="AO582" s="18">
        <v>0</v>
      </c>
      <c r="AP582" s="17">
        <v>3</v>
      </c>
      <c r="AQ582" s="17">
        <v>11</v>
      </c>
      <c r="AR582" s="19">
        <v>916</v>
      </c>
      <c r="AS582" s="19">
        <v>942</v>
      </c>
    </row>
    <row r="583" spans="1:45" x14ac:dyDescent="0.25">
      <c r="A583">
        <v>1449</v>
      </c>
      <c r="B583" s="11">
        <f t="shared" si="9"/>
        <v>94871</v>
      </c>
      <c r="C583" s="16">
        <v>948710</v>
      </c>
      <c r="D583" s="17">
        <v>0</v>
      </c>
      <c r="E583" s="17">
        <v>2</v>
      </c>
      <c r="F583" s="17">
        <v>99</v>
      </c>
      <c r="G583" s="17">
        <v>51</v>
      </c>
      <c r="H583" s="13" t="str" cm="1">
        <f t="array" ref="H583">_xlfn.IFS(G583&lt;=20,"0-20",G583&lt;=30,"20-30",G583&lt;=40,"30-40",G583&lt;=50,"50-60",G583&lt;=60,"60-70",G583&lt;=70,"70-80",G583&lt;=80,"80-90")</f>
        <v>60-70</v>
      </c>
      <c r="I583" s="17">
        <v>2825</v>
      </c>
      <c r="J583" s="13" t="str" cm="1">
        <f t="array" ref="J583">_xlfn.IFS(K583=1,"Divorciado",L583=1,"Casado",M583=1,"Solteiro",N583=1,"Juntos",O583=1,"Viuvo")</f>
        <v>Casado</v>
      </c>
      <c r="K583" s="17">
        <v>0</v>
      </c>
      <c r="L583" s="17">
        <v>1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1</v>
      </c>
      <c r="U583" s="17">
        <v>169</v>
      </c>
      <c r="V583" s="13" t="str" cm="1">
        <f t="array" ref="V583">_xlfn.IFS(U583&lt;=250,"0-R$250",U583&lt;=500,"251-R$500",U583&lt;=750,"501-R$750",U583&lt;=1000,"751-R$1000",U583&lt;=1250,"1001-R$1250",U583&lt;=1500,"1251-R$1500")</f>
        <v>0-R$250</v>
      </c>
      <c r="W583" s="17">
        <v>24</v>
      </c>
      <c r="X583" s="13" t="str" cm="1">
        <f t="array" ref="X583">_xlfn.IFS(W583 = 0, "0", W583&lt;=20, "até R$20",W583&lt;=40, "21 - R$40",W583&lt;=60, "41- R$60",W583&lt;=80, "61 - R$80", W583&lt;=100, "81 - R$100",W583&lt;=120, "101 - R$120",W583&lt;=140, "121 - R$140", W583&lt;=160, "141- R$160", W583&lt;=180, "161 - R$180", W583&lt;=200, "181-R$194")</f>
        <v>21 - R$40</v>
      </c>
      <c r="Y583" s="17">
        <v>553</v>
      </c>
      <c r="Z583" s="17">
        <v>188</v>
      </c>
      <c r="AA583" s="17">
        <v>0</v>
      </c>
      <c r="AB583" s="17">
        <v>144</v>
      </c>
      <c r="AC583" s="17">
        <v>1</v>
      </c>
      <c r="AD583" s="17">
        <v>8</v>
      </c>
      <c r="AE583" s="17">
        <v>5</v>
      </c>
      <c r="AF583" s="17">
        <v>4</v>
      </c>
      <c r="AG583" s="17">
        <v>7</v>
      </c>
      <c r="AH583" s="17">
        <v>0</v>
      </c>
      <c r="AI583" s="17">
        <v>0</v>
      </c>
      <c r="AJ583" s="17">
        <v>1</v>
      </c>
      <c r="AK583" s="17">
        <v>1</v>
      </c>
      <c r="AL583" s="17">
        <v>0</v>
      </c>
      <c r="AM583" s="17">
        <v>0</v>
      </c>
      <c r="AN583" s="17">
        <v>1</v>
      </c>
      <c r="AO583" s="18">
        <v>2</v>
      </c>
      <c r="AP583" s="17">
        <v>3</v>
      </c>
      <c r="AQ583" s="17">
        <v>11</v>
      </c>
      <c r="AR583" s="19">
        <v>790</v>
      </c>
      <c r="AS583" s="19">
        <v>934</v>
      </c>
    </row>
    <row r="584" spans="1:45" x14ac:dyDescent="0.25">
      <c r="A584">
        <v>917</v>
      </c>
      <c r="B584" s="11">
        <f t="shared" si="9"/>
        <v>71796</v>
      </c>
      <c r="C584" s="16">
        <v>717960</v>
      </c>
      <c r="D584" s="17">
        <v>0</v>
      </c>
      <c r="E584" s="17">
        <v>0</v>
      </c>
      <c r="F584" s="17">
        <v>54</v>
      </c>
      <c r="G584" s="17">
        <v>49</v>
      </c>
      <c r="H584" s="13" t="str" cm="1">
        <f t="array" ref="H584">_xlfn.IFS(G584&lt;=20,"0-20",G584&lt;=30,"20-30",G584&lt;=40,"30-40",G584&lt;=50,"50-60",G584&lt;=60,"60-70",G584&lt;=70,"70-80",G584&lt;=80,"80-90")</f>
        <v>50-60</v>
      </c>
      <c r="I584" s="17">
        <v>2407</v>
      </c>
      <c r="J584" s="13" t="str" cm="1">
        <f t="array" ref="J584">_xlfn.IFS(K584=1,"Divorciado",L584=1,"Casado",M584=1,"Solteiro",N584=1,"Juntos",O584=1,"Viuvo")</f>
        <v>Juntos</v>
      </c>
      <c r="K584" s="17">
        <v>0</v>
      </c>
      <c r="L584" s="17">
        <v>0</v>
      </c>
      <c r="M584" s="17">
        <v>0</v>
      </c>
      <c r="N584" s="17">
        <v>1</v>
      </c>
      <c r="O584" s="17">
        <v>0</v>
      </c>
      <c r="P584" s="17">
        <v>0</v>
      </c>
      <c r="Q584" s="17">
        <v>0</v>
      </c>
      <c r="R584" s="17">
        <v>1</v>
      </c>
      <c r="S584" s="17">
        <v>0</v>
      </c>
      <c r="T584" s="17">
        <v>0</v>
      </c>
      <c r="U584" s="17">
        <v>354</v>
      </c>
      <c r="V584" s="13" t="str" cm="1">
        <f t="array" ref="V584">_xlfn.IFS(U584&lt;=250,"0-R$250",U584&lt;=500,"251-R$500",U584&lt;=750,"501-R$750",U584&lt;=1000,"751-R$1000",U584&lt;=1250,"1001-R$1250",U584&lt;=1500,"1251-R$1500")</f>
        <v>251-R$500</v>
      </c>
      <c r="W584" s="17">
        <v>21</v>
      </c>
      <c r="X584" s="13" t="str" cm="1">
        <f t="array" ref="X584">_xlfn.IFS(W584 = 0, "0", W584&lt;=20, "até R$20",W584&lt;=40, "21 - R$40",W584&lt;=60, "41- R$60",W584&lt;=80, "61 - R$80", W584&lt;=100, "81 - R$100",W584&lt;=120, "101 - R$120",W584&lt;=140, "121 - R$140", W584&lt;=160, "141- R$160", W584&lt;=180, "161 - R$180", W584&lt;=200, "181-R$194")</f>
        <v>21 - R$40</v>
      </c>
      <c r="Y584" s="17">
        <v>311</v>
      </c>
      <c r="Z584" s="17">
        <v>167</v>
      </c>
      <c r="AA584" s="17">
        <v>75</v>
      </c>
      <c r="AB584" s="17">
        <v>32</v>
      </c>
      <c r="AC584" s="17">
        <v>1</v>
      </c>
      <c r="AD584" s="17">
        <v>9</v>
      </c>
      <c r="AE584" s="17">
        <v>3</v>
      </c>
      <c r="AF584" s="17">
        <v>4</v>
      </c>
      <c r="AG584" s="17">
        <v>4</v>
      </c>
      <c r="AH584" s="17">
        <v>0</v>
      </c>
      <c r="AI584" s="17">
        <v>0</v>
      </c>
      <c r="AJ584" s="17">
        <v>0</v>
      </c>
      <c r="AK584" s="17">
        <v>0</v>
      </c>
      <c r="AL584" s="17">
        <v>0</v>
      </c>
      <c r="AM584" s="17">
        <v>0</v>
      </c>
      <c r="AN584" s="17">
        <v>0</v>
      </c>
      <c r="AO584" s="18">
        <v>0</v>
      </c>
      <c r="AP584" s="17">
        <v>3</v>
      </c>
      <c r="AQ584" s="17">
        <v>11</v>
      </c>
      <c r="AR584" s="19">
        <v>896</v>
      </c>
      <c r="AS584" s="19">
        <v>928</v>
      </c>
    </row>
    <row r="585" spans="1:45" x14ac:dyDescent="0.25">
      <c r="A585">
        <v>896</v>
      </c>
      <c r="B585" s="11">
        <f t="shared" si="9"/>
        <v>62820</v>
      </c>
      <c r="C585" s="12">
        <v>628200</v>
      </c>
      <c r="D585" s="13">
        <v>0</v>
      </c>
      <c r="E585" s="13">
        <v>0</v>
      </c>
      <c r="F585" s="13">
        <v>51</v>
      </c>
      <c r="G585" s="13">
        <v>66</v>
      </c>
      <c r="H585" s="13" t="str" cm="1">
        <f t="array" ref="H585">_xlfn.IFS(G585&lt;=20,"0-20",G585&lt;=30,"20-30",G585&lt;=40,"30-40",G585&lt;=50,"50-60",G585&lt;=60,"60-70",G585&lt;=70,"70-80",G585&lt;=80,"80-90")</f>
        <v>70-80</v>
      </c>
      <c r="I585" s="13">
        <v>2573</v>
      </c>
      <c r="J585" s="13" t="str" cm="1">
        <f t="array" ref="J585">_xlfn.IFS(K585=1,"Divorciado",L585=1,"Casado",M585=1,"Solteiro",N585=1,"Juntos",O585=1,"Viuvo")</f>
        <v>Casado</v>
      </c>
      <c r="K585" s="13">
        <v>0</v>
      </c>
      <c r="L585" s="13">
        <v>1</v>
      </c>
      <c r="M585" s="13">
        <v>0</v>
      </c>
      <c r="N585" s="13">
        <v>0</v>
      </c>
      <c r="O585" s="13">
        <v>0</v>
      </c>
      <c r="P585" s="13">
        <v>0</v>
      </c>
      <c r="Q585" s="13">
        <v>0</v>
      </c>
      <c r="R585" s="13">
        <v>1</v>
      </c>
      <c r="S585" s="13">
        <v>0</v>
      </c>
      <c r="T585" s="13">
        <v>0</v>
      </c>
      <c r="U585" s="13">
        <v>398</v>
      </c>
      <c r="V585" s="13" t="str" cm="1">
        <f t="array" ref="V585">_xlfn.IFS(U585&lt;=250,"0-R$250",U585&lt;=500,"251-R$500",U585&lt;=750,"501-R$750",U585&lt;=1000,"751-R$1000",U585&lt;=1250,"1001-R$1250",U585&lt;=1500,"1251-R$1500")</f>
        <v>251-R$500</v>
      </c>
      <c r="W585" s="13">
        <v>61</v>
      </c>
      <c r="X585" s="13" t="str" cm="1">
        <f t="array" ref="X585">_xlfn.IFS(W585 = 0, "0", W585&lt;=20, "até R$20",W585&lt;=40, "21 - R$40",W585&lt;=60, "41- R$60",W585&lt;=80, "61 - R$80", W585&lt;=100, "81 - R$100",W585&lt;=120, "101 - R$120",W585&lt;=140, "121 - R$140", W585&lt;=160, "141- R$160", W585&lt;=180, "161 - R$180", W585&lt;=200, "181-R$194")</f>
        <v>61 - R$80</v>
      </c>
      <c r="Y585" s="13">
        <v>265</v>
      </c>
      <c r="Z585" s="13">
        <v>138</v>
      </c>
      <c r="AA585" s="13">
        <v>61</v>
      </c>
      <c r="AB585" s="13">
        <v>53</v>
      </c>
      <c r="AC585" s="13">
        <v>1</v>
      </c>
      <c r="AD585" s="13">
        <v>3</v>
      </c>
      <c r="AE585" s="13">
        <v>4</v>
      </c>
      <c r="AF585" s="13">
        <v>6</v>
      </c>
      <c r="AG585" s="13">
        <v>1</v>
      </c>
      <c r="AH585" s="13">
        <v>0</v>
      </c>
      <c r="AI585" s="13">
        <v>0</v>
      </c>
      <c r="AJ585" s="13">
        <v>0</v>
      </c>
      <c r="AK585" s="13">
        <v>0</v>
      </c>
      <c r="AL585" s="13">
        <v>0</v>
      </c>
      <c r="AM585" s="13">
        <v>0</v>
      </c>
      <c r="AN585" s="13">
        <v>0</v>
      </c>
      <c r="AO585" s="14">
        <v>0</v>
      </c>
      <c r="AP585" s="13">
        <v>3</v>
      </c>
      <c r="AQ585" s="13">
        <v>11</v>
      </c>
      <c r="AR585" s="15">
        <v>870</v>
      </c>
      <c r="AS585" s="15">
        <v>923</v>
      </c>
    </row>
    <row r="586" spans="1:45" x14ac:dyDescent="0.25">
      <c r="A586">
        <v>1880</v>
      </c>
      <c r="B586" s="11">
        <f t="shared" si="9"/>
        <v>62820</v>
      </c>
      <c r="C586" s="12">
        <v>628200</v>
      </c>
      <c r="D586" s="13">
        <v>0</v>
      </c>
      <c r="E586" s="13">
        <v>0</v>
      </c>
      <c r="F586" s="13">
        <v>51</v>
      </c>
      <c r="G586" s="13">
        <v>66</v>
      </c>
      <c r="H586" s="13" t="str" cm="1">
        <f t="array" ref="H586">_xlfn.IFS(G586&lt;=20,"0-20",G586&lt;=30,"20-30",G586&lt;=40,"30-40",G586&lt;=50,"50-60",G586&lt;=60,"60-70",G586&lt;=70,"70-80",G586&lt;=80,"80-90")</f>
        <v>70-80</v>
      </c>
      <c r="I586" s="13">
        <v>2573</v>
      </c>
      <c r="J586" s="13" t="str" cm="1">
        <f t="array" ref="J586">_xlfn.IFS(K586=1,"Divorciado",L586=1,"Casado",M586=1,"Solteiro",N586=1,"Juntos",O586=1,"Viuvo")</f>
        <v>Casado</v>
      </c>
      <c r="K586" s="13">
        <v>0</v>
      </c>
      <c r="L586" s="13">
        <v>1</v>
      </c>
      <c r="M586" s="13">
        <v>0</v>
      </c>
      <c r="N586" s="13">
        <v>0</v>
      </c>
      <c r="O586" s="13">
        <v>0</v>
      </c>
      <c r="P586" s="13">
        <v>0</v>
      </c>
      <c r="Q586" s="13">
        <v>0</v>
      </c>
      <c r="R586" s="13">
        <v>1</v>
      </c>
      <c r="S586" s="13">
        <v>0</v>
      </c>
      <c r="T586" s="13">
        <v>0</v>
      </c>
      <c r="U586" s="13">
        <v>398</v>
      </c>
      <c r="V586" s="13" t="str" cm="1">
        <f t="array" ref="V586">_xlfn.IFS(U586&lt;=250,"0-R$250",U586&lt;=500,"251-R$500",U586&lt;=750,"501-R$750",U586&lt;=1000,"751-R$1000",U586&lt;=1250,"1001-R$1250",U586&lt;=1500,"1251-R$1500")</f>
        <v>251-R$500</v>
      </c>
      <c r="W586" s="13">
        <v>61</v>
      </c>
      <c r="X586" s="13" t="str" cm="1">
        <f t="array" ref="X586">_xlfn.IFS(W586 = 0, "0", W586&lt;=20, "até R$20",W586&lt;=40, "21 - R$40",W586&lt;=60, "41- R$60",W586&lt;=80, "61 - R$80", W586&lt;=100, "81 - R$100",W586&lt;=120, "101 - R$120",W586&lt;=140, "121 - R$140", W586&lt;=160, "141- R$160", W586&lt;=180, "161 - R$180", W586&lt;=200, "181-R$194")</f>
        <v>61 - R$80</v>
      </c>
      <c r="Y586" s="13">
        <v>265</v>
      </c>
      <c r="Z586" s="13">
        <v>138</v>
      </c>
      <c r="AA586" s="13">
        <v>61</v>
      </c>
      <c r="AB586" s="13">
        <v>53</v>
      </c>
      <c r="AC586" s="13">
        <v>1</v>
      </c>
      <c r="AD586" s="13">
        <v>3</v>
      </c>
      <c r="AE586" s="13">
        <v>4</v>
      </c>
      <c r="AF586" s="13">
        <v>6</v>
      </c>
      <c r="AG586" s="13">
        <v>1</v>
      </c>
      <c r="AH586" s="13">
        <v>0</v>
      </c>
      <c r="AI586" s="13">
        <v>0</v>
      </c>
      <c r="AJ586" s="13">
        <v>0</v>
      </c>
      <c r="AK586" s="13">
        <v>0</v>
      </c>
      <c r="AL586" s="13">
        <v>0</v>
      </c>
      <c r="AM586" s="13">
        <v>0</v>
      </c>
      <c r="AN586" s="13">
        <v>0</v>
      </c>
      <c r="AO586" s="14">
        <v>0</v>
      </c>
      <c r="AP586" s="13">
        <v>3</v>
      </c>
      <c r="AQ586" s="13">
        <v>11</v>
      </c>
      <c r="AR586" s="15">
        <v>870</v>
      </c>
      <c r="AS586" s="15">
        <v>923</v>
      </c>
    </row>
    <row r="587" spans="1:45" x14ac:dyDescent="0.25">
      <c r="A587">
        <v>1935</v>
      </c>
      <c r="B587" s="11">
        <f t="shared" si="9"/>
        <v>70053</v>
      </c>
      <c r="C587" s="16">
        <v>700530</v>
      </c>
      <c r="D587" s="17">
        <v>0</v>
      </c>
      <c r="E587" s="17">
        <v>1</v>
      </c>
      <c r="F587" s="17">
        <v>38</v>
      </c>
      <c r="G587" s="17">
        <v>55</v>
      </c>
      <c r="H587" s="13" t="str" cm="1">
        <f t="array" ref="H587">_xlfn.IFS(G587&lt;=20,"0-20",G587&lt;=30,"20-30",G587&lt;=40,"30-40",G587&lt;=50,"50-60",G587&lt;=60,"60-70",G587&lt;=70,"70-80",G587&lt;=80,"80-90")</f>
        <v>60-70</v>
      </c>
      <c r="I587" s="17">
        <v>2520</v>
      </c>
      <c r="J587" s="13" t="str" cm="1">
        <f t="array" ref="J587">_xlfn.IFS(K587=1,"Divorciado",L587=1,"Casado",M587=1,"Solteiro",N587=1,"Juntos",O587=1,"Viuvo")</f>
        <v>Casado</v>
      </c>
      <c r="K587" s="17">
        <v>0</v>
      </c>
      <c r="L587" s="17">
        <v>1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1</v>
      </c>
      <c r="T587" s="17">
        <v>0</v>
      </c>
      <c r="U587" s="17">
        <v>512</v>
      </c>
      <c r="V587" s="13" t="str" cm="1">
        <f t="array" ref="V587">_xlfn.IFS(U587&lt;=250,"0-R$250",U587&lt;=500,"251-R$500",U587&lt;=750,"501-R$750",U587&lt;=1000,"751-R$1000",U587&lt;=1250,"1001-R$1250",U587&lt;=1500,"1251-R$1500")</f>
        <v>501-R$750</v>
      </c>
      <c r="W587" s="17">
        <v>53</v>
      </c>
      <c r="X587" s="13" t="str" cm="1">
        <f t="array" ref="X587">_xlfn.IFS(W587 = 0, "0", W587&lt;=20, "até R$20",W587&lt;=40, "21 - R$40",W587&lt;=60, "41- R$60",W587&lt;=80, "61 - R$80", W587&lt;=100, "81 - R$100",W587&lt;=120, "101 - R$120",W587&lt;=140, "121 - R$140", W587&lt;=160, "141- R$160", W587&lt;=180, "161 - R$180", W587&lt;=200, "181-R$194")</f>
        <v>41- R$60</v>
      </c>
      <c r="Y587" s="17">
        <v>98</v>
      </c>
      <c r="Z587" s="17">
        <v>81</v>
      </c>
      <c r="AA587" s="17">
        <v>179</v>
      </c>
      <c r="AB587" s="17">
        <v>89</v>
      </c>
      <c r="AC587" s="17">
        <v>3</v>
      </c>
      <c r="AD587" s="17">
        <v>8</v>
      </c>
      <c r="AE587" s="17">
        <v>5</v>
      </c>
      <c r="AF587" s="17">
        <v>10</v>
      </c>
      <c r="AG587" s="17">
        <v>5</v>
      </c>
      <c r="AH587" s="17">
        <v>0</v>
      </c>
      <c r="AI587" s="17">
        <v>0</v>
      </c>
      <c r="AJ587" s="17">
        <v>0</v>
      </c>
      <c r="AK587" s="17">
        <v>0</v>
      </c>
      <c r="AL587" s="17">
        <v>0</v>
      </c>
      <c r="AM587" s="17">
        <v>0</v>
      </c>
      <c r="AN587" s="17">
        <v>0</v>
      </c>
      <c r="AO587" s="18">
        <v>0</v>
      </c>
      <c r="AP587" s="17">
        <v>3</v>
      </c>
      <c r="AQ587" s="17">
        <v>11</v>
      </c>
      <c r="AR587" s="19">
        <v>834</v>
      </c>
      <c r="AS587" s="19">
        <v>923</v>
      </c>
    </row>
    <row r="588" spans="1:45" x14ac:dyDescent="0.25">
      <c r="A588">
        <v>1663</v>
      </c>
      <c r="B588" s="11">
        <f t="shared" si="9"/>
        <v>58350</v>
      </c>
      <c r="C588" s="16">
        <v>583500</v>
      </c>
      <c r="D588" s="17">
        <v>0</v>
      </c>
      <c r="E588" s="17">
        <v>1</v>
      </c>
      <c r="F588" s="17">
        <v>5</v>
      </c>
      <c r="G588" s="17">
        <v>49</v>
      </c>
      <c r="H588" s="13" t="str" cm="1">
        <f t="array" ref="H588">_xlfn.IFS(G588&lt;=20,"0-20",G588&lt;=30,"20-30",G588&lt;=40,"30-40",G588&lt;=50,"50-60",G588&lt;=60,"60-70",G588&lt;=70,"70-80",G588&lt;=80,"80-90")</f>
        <v>50-60</v>
      </c>
      <c r="I588" s="17">
        <v>2700</v>
      </c>
      <c r="J588" s="13" t="str" cm="1">
        <f t="array" ref="J588">_xlfn.IFS(K588=1,"Divorciado",L588=1,"Casado",M588=1,"Solteiro",N588=1,"Juntos",O588=1,"Viuvo")</f>
        <v>Solteiro</v>
      </c>
      <c r="K588" s="17">
        <v>0</v>
      </c>
      <c r="L588" s="17">
        <v>0</v>
      </c>
      <c r="M588" s="17">
        <v>1</v>
      </c>
      <c r="N588" s="17">
        <v>0</v>
      </c>
      <c r="O588" s="17">
        <v>0</v>
      </c>
      <c r="P588" s="17">
        <v>0</v>
      </c>
      <c r="Q588" s="17">
        <v>0</v>
      </c>
      <c r="R588" s="17">
        <v>1</v>
      </c>
      <c r="S588" s="17">
        <v>0</v>
      </c>
      <c r="T588" s="17">
        <v>0</v>
      </c>
      <c r="U588" s="17">
        <v>493</v>
      </c>
      <c r="V588" s="13" t="str" cm="1">
        <f t="array" ref="V588">_xlfn.IFS(U588&lt;=250,"0-R$250",U588&lt;=500,"251-R$500",U588&lt;=750,"501-R$750",U588&lt;=1000,"751-R$1000",U588&lt;=1250,"1001-R$1250",U588&lt;=1500,"1251-R$1500")</f>
        <v>251-R$500</v>
      </c>
      <c r="W588" s="17">
        <v>26</v>
      </c>
      <c r="X588" s="13" t="str" cm="1">
        <f t="array" ref="X588">_xlfn.IFS(W588 = 0, "0", W588&lt;=20, "até R$20",W588&lt;=40, "21 - R$40",W588&lt;=60, "41- R$60",W588&lt;=80, "61 - R$80", W588&lt;=100, "81 - R$100",W588&lt;=120, "101 - R$120",W588&lt;=140, "121 - R$140", W588&lt;=160, "141- R$160", W588&lt;=180, "161 - R$180", W588&lt;=200, "181-R$194")</f>
        <v>21 - R$40</v>
      </c>
      <c r="Y588" s="17">
        <v>206</v>
      </c>
      <c r="Z588" s="17">
        <v>116</v>
      </c>
      <c r="AA588" s="17">
        <v>80</v>
      </c>
      <c r="AB588" s="17">
        <v>80</v>
      </c>
      <c r="AC588" s="17">
        <v>4</v>
      </c>
      <c r="AD588" s="17">
        <v>8</v>
      </c>
      <c r="AE588" s="17">
        <v>3</v>
      </c>
      <c r="AF588" s="17">
        <v>12</v>
      </c>
      <c r="AG588" s="17">
        <v>6</v>
      </c>
      <c r="AH588" s="17">
        <v>0</v>
      </c>
      <c r="AI588" s="17">
        <v>0</v>
      </c>
      <c r="AJ588" s="17">
        <v>0</v>
      </c>
      <c r="AK588" s="17">
        <v>0</v>
      </c>
      <c r="AL588" s="17">
        <v>0</v>
      </c>
      <c r="AM588" s="17">
        <v>0</v>
      </c>
      <c r="AN588" s="17">
        <v>0</v>
      </c>
      <c r="AO588" s="18">
        <v>0</v>
      </c>
      <c r="AP588" s="17">
        <v>3</v>
      </c>
      <c r="AQ588" s="17">
        <v>11</v>
      </c>
      <c r="AR588" s="19">
        <v>841</v>
      </c>
      <c r="AS588" s="19">
        <v>921</v>
      </c>
    </row>
    <row r="589" spans="1:45" x14ac:dyDescent="0.25">
      <c r="A589">
        <v>1140</v>
      </c>
      <c r="B589" s="11">
        <f t="shared" si="9"/>
        <v>57304</v>
      </c>
      <c r="C589" s="12">
        <v>573040</v>
      </c>
      <c r="D589" s="13">
        <v>0</v>
      </c>
      <c r="E589" s="13">
        <v>1</v>
      </c>
      <c r="F589" s="13">
        <v>61</v>
      </c>
      <c r="G589" s="13">
        <v>69</v>
      </c>
      <c r="H589" s="13" t="str" cm="1">
        <f t="array" ref="H589">_xlfn.IFS(G589&lt;=20,"0-20",G589&lt;=30,"20-30",G589&lt;=40,"30-40",G589&lt;=50,"50-60",G589&lt;=60,"60-70",G589&lt;=70,"70-80",G589&lt;=80,"80-90")</f>
        <v>70-80</v>
      </c>
      <c r="I589" s="13">
        <v>2634</v>
      </c>
      <c r="J589" s="13" t="str" cm="1">
        <f t="array" ref="J589">_xlfn.IFS(K589=1,"Divorciado",L589=1,"Casado",M589=1,"Solteiro",N589=1,"Juntos",O589=1,"Viuvo")</f>
        <v>Casado</v>
      </c>
      <c r="K589" s="13">
        <v>0</v>
      </c>
      <c r="L589" s="13">
        <v>1</v>
      </c>
      <c r="M589" s="13">
        <v>0</v>
      </c>
      <c r="N589" s="13">
        <v>0</v>
      </c>
      <c r="O589" s="13">
        <v>0</v>
      </c>
      <c r="P589" s="13">
        <v>0</v>
      </c>
      <c r="Q589" s="13">
        <v>0</v>
      </c>
      <c r="R589" s="13">
        <v>1</v>
      </c>
      <c r="S589" s="13">
        <v>0</v>
      </c>
      <c r="T589" s="13">
        <v>0</v>
      </c>
      <c r="U589" s="13">
        <v>356</v>
      </c>
      <c r="V589" s="13" t="str" cm="1">
        <f t="array" ref="V589">_xlfn.IFS(U589&lt;=250,"0-R$250",U589&lt;=500,"251-R$500",U589&lt;=750,"501-R$750",U589&lt;=1000,"751-R$1000",U589&lt;=1250,"1001-R$1250",U589&lt;=1500,"1251-R$1500")</f>
        <v>251-R$500</v>
      </c>
      <c r="W589" s="13">
        <v>80</v>
      </c>
      <c r="X589" s="13" t="str" cm="1">
        <f t="array" ref="X589">_xlfn.IFS(W589 = 0, "0", W589&lt;=20, "até R$20",W589&lt;=40, "21 - R$40",W589&lt;=60, "41- R$60",W589&lt;=80, "61 - R$80", W589&lt;=100, "81 - R$100",W589&lt;=120, "101 - R$120",W589&lt;=140, "121 - R$140", W589&lt;=160, "141- R$160", W589&lt;=180, "161 - R$180", W589&lt;=200, "181-R$194")</f>
        <v>61 - R$80</v>
      </c>
      <c r="Y589" s="13">
        <v>329</v>
      </c>
      <c r="Z589" s="13">
        <v>138</v>
      </c>
      <c r="AA589" s="13">
        <v>17</v>
      </c>
      <c r="AB589" s="13">
        <v>106</v>
      </c>
      <c r="AC589" s="13">
        <v>2</v>
      </c>
      <c r="AD589" s="13">
        <v>7</v>
      </c>
      <c r="AE589" s="13">
        <v>6</v>
      </c>
      <c r="AF589" s="13">
        <v>10</v>
      </c>
      <c r="AG589" s="13">
        <v>5</v>
      </c>
      <c r="AH589" s="13">
        <v>0</v>
      </c>
      <c r="AI589" s="13">
        <v>0</v>
      </c>
      <c r="AJ589" s="13">
        <v>0</v>
      </c>
      <c r="AK589" s="13">
        <v>0</v>
      </c>
      <c r="AL589" s="13">
        <v>0</v>
      </c>
      <c r="AM589" s="13">
        <v>0</v>
      </c>
      <c r="AN589" s="13">
        <v>0</v>
      </c>
      <c r="AO589" s="14">
        <v>0</v>
      </c>
      <c r="AP589" s="13">
        <v>3</v>
      </c>
      <c r="AQ589" s="13">
        <v>11</v>
      </c>
      <c r="AR589" s="15">
        <v>814</v>
      </c>
      <c r="AS589" s="15">
        <v>920</v>
      </c>
    </row>
    <row r="590" spans="1:45" x14ac:dyDescent="0.25">
      <c r="A590">
        <v>956</v>
      </c>
      <c r="B590" s="11">
        <f t="shared" si="9"/>
        <v>83715</v>
      </c>
      <c r="C590" s="12">
        <v>837150</v>
      </c>
      <c r="D590" s="13">
        <v>0</v>
      </c>
      <c r="E590" s="13">
        <v>0</v>
      </c>
      <c r="F590" s="13">
        <v>2</v>
      </c>
      <c r="G590" s="13">
        <v>58</v>
      </c>
      <c r="H590" s="13" t="str" cm="1">
        <f t="array" ref="H590">_xlfn.IFS(G590&lt;=20,"0-20",G590&lt;=30,"20-30",G590&lt;=40,"30-40",G590&lt;=50,"50-60",G590&lt;=60,"60-70",G590&lt;=70,"70-80",G590&lt;=80,"80-90")</f>
        <v>60-70</v>
      </c>
      <c r="I590" s="13">
        <v>2305</v>
      </c>
      <c r="J590" s="13" t="str" cm="1">
        <f t="array" ref="J590">_xlfn.IFS(K590=1,"Divorciado",L590=1,"Casado",M590=1,"Solteiro",N590=1,"Juntos",O590=1,"Viuvo")</f>
        <v>Casado</v>
      </c>
      <c r="K590" s="13">
        <v>0</v>
      </c>
      <c r="L590" s="13">
        <v>1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1</v>
      </c>
      <c r="S590" s="13">
        <v>0</v>
      </c>
      <c r="T590" s="13">
        <v>0</v>
      </c>
      <c r="U590" s="13">
        <v>318</v>
      </c>
      <c r="V590" s="13" t="str" cm="1">
        <f t="array" ref="V590">_xlfn.IFS(U590&lt;=250,"0-R$250",U590&lt;=500,"251-R$500",U590&lt;=750,"501-R$750",U590&lt;=1000,"751-R$1000",U590&lt;=1250,"1001-R$1250",U590&lt;=1500,"1251-R$1500")</f>
        <v>251-R$500</v>
      </c>
      <c r="W590" s="13">
        <v>8</v>
      </c>
      <c r="X590" s="13" t="str" cm="1">
        <f t="array" ref="X590">_xlfn.IFS(W590 = 0, "0", W590&lt;=20, "até R$20",W590&lt;=40, "21 - R$40",W590&lt;=60, "41- R$60",W590&lt;=80, "61 - R$80", W590&lt;=100, "81 - R$100",W590&lt;=120, "101 - R$120",W590&lt;=140, "121 - R$140", W590&lt;=160, "141- R$160", W590&lt;=180, "161 - R$180", W590&lt;=200, "181-R$194")</f>
        <v>até R$20</v>
      </c>
      <c r="Y590" s="13">
        <v>407</v>
      </c>
      <c r="Z590" s="13">
        <v>150</v>
      </c>
      <c r="AA590" s="13">
        <v>35</v>
      </c>
      <c r="AB590" s="13">
        <v>8</v>
      </c>
      <c r="AC590" s="13">
        <v>1</v>
      </c>
      <c r="AD590" s="13">
        <v>2</v>
      </c>
      <c r="AE590" s="13">
        <v>8</v>
      </c>
      <c r="AF590" s="13">
        <v>13</v>
      </c>
      <c r="AG590" s="13">
        <v>0</v>
      </c>
      <c r="AH590" s="13">
        <v>0</v>
      </c>
      <c r="AI590" s="13">
        <v>0</v>
      </c>
      <c r="AJ590" s="13">
        <v>0</v>
      </c>
      <c r="AK590" s="13">
        <v>0</v>
      </c>
      <c r="AL590" s="13">
        <v>0</v>
      </c>
      <c r="AM590" s="13">
        <v>0</v>
      </c>
      <c r="AN590" s="13">
        <v>0</v>
      </c>
      <c r="AO590" s="14">
        <v>0</v>
      </c>
      <c r="AP590" s="13">
        <v>3</v>
      </c>
      <c r="AQ590" s="13">
        <v>11</v>
      </c>
      <c r="AR590" s="15">
        <v>910</v>
      </c>
      <c r="AS590" s="15">
        <v>918</v>
      </c>
    </row>
    <row r="591" spans="1:45" x14ac:dyDescent="0.25">
      <c r="A591">
        <v>736</v>
      </c>
      <c r="B591" s="11">
        <f t="shared" si="9"/>
        <v>63855</v>
      </c>
      <c r="C591" s="12">
        <v>638550</v>
      </c>
      <c r="D591" s="13">
        <v>0</v>
      </c>
      <c r="E591" s="13">
        <v>0</v>
      </c>
      <c r="F591" s="13">
        <v>28</v>
      </c>
      <c r="G591" s="13">
        <v>42</v>
      </c>
      <c r="H591" s="13" t="str" cm="1">
        <f t="array" ref="H591">_xlfn.IFS(G591&lt;=20,"0-20",G591&lt;=30,"20-30",G591&lt;=40,"30-40",G591&lt;=50,"50-60",G591&lt;=60,"60-70",G591&lt;=70,"70-80",G591&lt;=80,"80-90")</f>
        <v>50-60</v>
      </c>
      <c r="I591" s="13">
        <v>2664</v>
      </c>
      <c r="J591" s="13" t="str" cm="1">
        <f t="array" ref="J591">_xlfn.IFS(K591=1,"Divorciado",L591=1,"Casado",M591=1,"Solteiro",N591=1,"Juntos",O591=1,"Viuvo")</f>
        <v>Juntos</v>
      </c>
      <c r="K591" s="13">
        <v>0</v>
      </c>
      <c r="L591" s="13">
        <v>0</v>
      </c>
      <c r="M591" s="13">
        <v>0</v>
      </c>
      <c r="N591" s="13">
        <v>1</v>
      </c>
      <c r="O591" s="13">
        <v>0</v>
      </c>
      <c r="P591" s="13">
        <v>1</v>
      </c>
      <c r="Q591" s="13">
        <v>0</v>
      </c>
      <c r="R591" s="13">
        <v>0</v>
      </c>
      <c r="S591" s="13">
        <v>0</v>
      </c>
      <c r="T591" s="13">
        <v>0</v>
      </c>
      <c r="U591" s="13">
        <v>359</v>
      </c>
      <c r="V591" s="13" t="str" cm="1">
        <f t="array" ref="V591">_xlfn.IFS(U591&lt;=250,"0-R$250",U591&lt;=500,"251-R$500",U591&lt;=750,"501-R$750",U591&lt;=1000,"751-R$1000",U591&lt;=1250,"1001-R$1250",U591&lt;=1500,"1251-R$1500")</f>
        <v>251-R$500</v>
      </c>
      <c r="W591" s="13">
        <v>35</v>
      </c>
      <c r="X591" s="13" t="str" cm="1">
        <f t="array" ref="X591">_xlfn.IFS(W591 = 0, "0", W591&lt;=20, "até R$20",W591&lt;=40, "21 - R$40",W591&lt;=60, "41- R$60",W591&lt;=80, "61 - R$80", W591&lt;=100, "81 - R$100",W591&lt;=120, "101 - R$120",W591&lt;=140, "121 - R$140", W591&lt;=160, "141- R$160", W591&lt;=180, "161 - R$180", W591&lt;=200, "181-R$194")</f>
        <v>21 - R$40</v>
      </c>
      <c r="Y591" s="13">
        <v>314</v>
      </c>
      <c r="Z591" s="13">
        <v>93</v>
      </c>
      <c r="AA591" s="13">
        <v>116</v>
      </c>
      <c r="AB591" s="13">
        <v>89</v>
      </c>
      <c r="AC591" s="13">
        <v>1</v>
      </c>
      <c r="AD591" s="13">
        <v>7</v>
      </c>
      <c r="AE591" s="13">
        <v>3</v>
      </c>
      <c r="AF591" s="13">
        <v>13</v>
      </c>
      <c r="AG591" s="13">
        <v>4</v>
      </c>
      <c r="AH591" s="13">
        <v>0</v>
      </c>
      <c r="AI591" s="13">
        <v>0</v>
      </c>
      <c r="AJ591" s="13">
        <v>0</v>
      </c>
      <c r="AK591" s="13">
        <v>0</v>
      </c>
      <c r="AL591" s="13">
        <v>0</v>
      </c>
      <c r="AM591" s="13">
        <v>0</v>
      </c>
      <c r="AN591" s="13">
        <v>0</v>
      </c>
      <c r="AO591" s="14">
        <v>0</v>
      </c>
      <c r="AP591" s="13">
        <v>3</v>
      </c>
      <c r="AQ591" s="13">
        <v>11</v>
      </c>
      <c r="AR591" s="15">
        <v>828</v>
      </c>
      <c r="AS591" s="15">
        <v>917</v>
      </c>
    </row>
    <row r="592" spans="1:45" x14ac:dyDescent="0.25">
      <c r="A592">
        <v>1799</v>
      </c>
      <c r="B592" s="11">
        <f t="shared" si="9"/>
        <v>52513</v>
      </c>
      <c r="C592" s="16">
        <v>525130</v>
      </c>
      <c r="D592" s="17">
        <v>0</v>
      </c>
      <c r="E592" s="17">
        <v>0</v>
      </c>
      <c r="F592" s="17">
        <v>84</v>
      </c>
      <c r="G592" s="17">
        <v>42</v>
      </c>
      <c r="H592" s="13" t="str" cm="1">
        <f t="array" ref="H592">_xlfn.IFS(G592&lt;=20,"0-20",G592&lt;=30,"20-30",G592&lt;=40,"30-40",G592&lt;=50,"50-60",G592&lt;=60,"60-70",G592&lt;=70,"70-80",G592&lt;=80,"80-90")</f>
        <v>50-60</v>
      </c>
      <c r="I592" s="17">
        <v>2822</v>
      </c>
      <c r="J592" s="13" t="str" cm="1">
        <f t="array" ref="J592">_xlfn.IFS(K592=1,"Divorciado",L592=1,"Casado",M592=1,"Solteiro",N592=1,"Juntos",O592=1,"Viuvo")</f>
        <v>Juntos</v>
      </c>
      <c r="K592" s="17">
        <v>0</v>
      </c>
      <c r="L592" s="17">
        <v>0</v>
      </c>
      <c r="M592" s="17">
        <v>0</v>
      </c>
      <c r="N592" s="17">
        <v>1</v>
      </c>
      <c r="O592" s="17">
        <v>0</v>
      </c>
      <c r="P592" s="17">
        <v>1</v>
      </c>
      <c r="Q592" s="17">
        <v>0</v>
      </c>
      <c r="R592" s="17">
        <v>0</v>
      </c>
      <c r="S592" s="17">
        <v>0</v>
      </c>
      <c r="T592" s="17">
        <v>0</v>
      </c>
      <c r="U592" s="17">
        <v>367</v>
      </c>
      <c r="V592" s="13" t="str" cm="1">
        <f t="array" ref="V592">_xlfn.IFS(U592&lt;=250,"0-R$250",U592&lt;=500,"251-R$500",U592&lt;=750,"501-R$750",U592&lt;=1000,"751-R$1000",U592&lt;=1250,"1001-R$1250",U592&lt;=1500,"1251-R$1500")</f>
        <v>251-R$500</v>
      </c>
      <c r="W592" s="17">
        <v>17</v>
      </c>
      <c r="X592" s="13" t="str" cm="1">
        <f t="array" ref="X592">_xlfn.IFS(W592 = 0, "0", W592&lt;=20, "até R$20",W592&lt;=40, "21 - R$40",W592&lt;=60, "41- R$60",W592&lt;=80, "61 - R$80", W592&lt;=100, "81 - R$100",W592&lt;=120, "101 - R$120",W592&lt;=140, "121 - R$140", W592&lt;=160, "141- R$160", W592&lt;=180, "161 - R$180", W592&lt;=200, "181-R$194")</f>
        <v>até R$20</v>
      </c>
      <c r="Y592" s="17">
        <v>241</v>
      </c>
      <c r="Z592" s="17">
        <v>104</v>
      </c>
      <c r="AA592" s="17">
        <v>188</v>
      </c>
      <c r="AB592" s="17">
        <v>232</v>
      </c>
      <c r="AC592" s="17">
        <v>2</v>
      </c>
      <c r="AD592" s="17">
        <v>9</v>
      </c>
      <c r="AE592" s="17">
        <v>5</v>
      </c>
      <c r="AF592" s="17">
        <v>9</v>
      </c>
      <c r="AG592" s="17">
        <v>7</v>
      </c>
      <c r="AH592" s="17">
        <v>0</v>
      </c>
      <c r="AI592" s="17">
        <v>0</v>
      </c>
      <c r="AJ592" s="17">
        <v>0</v>
      </c>
      <c r="AK592" s="17">
        <v>0</v>
      </c>
      <c r="AL592" s="17">
        <v>0</v>
      </c>
      <c r="AM592" s="17">
        <v>0</v>
      </c>
      <c r="AN592" s="17">
        <v>0</v>
      </c>
      <c r="AO592" s="18">
        <v>0</v>
      </c>
      <c r="AP592" s="17">
        <v>3</v>
      </c>
      <c r="AQ592" s="17">
        <v>11</v>
      </c>
      <c r="AR592" s="19">
        <v>685</v>
      </c>
      <c r="AS592" s="19">
        <v>917</v>
      </c>
    </row>
    <row r="593" spans="1:45" x14ac:dyDescent="0.25">
      <c r="A593">
        <v>490</v>
      </c>
      <c r="B593" s="11">
        <f t="shared" si="9"/>
        <v>65665</v>
      </c>
      <c r="C593" s="12">
        <v>656650</v>
      </c>
      <c r="D593" s="13">
        <v>0</v>
      </c>
      <c r="E593" s="13">
        <v>1</v>
      </c>
      <c r="F593" s="13">
        <v>77</v>
      </c>
      <c r="G593" s="13">
        <v>44</v>
      </c>
      <c r="H593" s="13" t="str" cm="1">
        <f t="array" ref="H593">_xlfn.IFS(G593&lt;=20,"0-20",G593&lt;=30,"20-30",G593&lt;=40,"30-40",G593&lt;=50,"50-60",G593&lt;=60,"60-70",G593&lt;=70,"70-80",G593&lt;=80,"80-90")</f>
        <v>50-60</v>
      </c>
      <c r="I593" s="13">
        <v>2368</v>
      </c>
      <c r="J593" s="13" t="str" cm="1">
        <f t="array" ref="J593">_xlfn.IFS(K593=1,"Divorciado",L593=1,"Casado",M593=1,"Solteiro",N593=1,"Juntos",O593=1,"Viuvo")</f>
        <v>Casado</v>
      </c>
      <c r="K593" s="13">
        <v>0</v>
      </c>
      <c r="L593" s="13">
        <v>1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1</v>
      </c>
      <c r="S593" s="13">
        <v>0</v>
      </c>
      <c r="T593" s="13">
        <v>0</v>
      </c>
      <c r="U593" s="13">
        <v>225</v>
      </c>
      <c r="V593" s="13" t="str" cm="1">
        <f t="array" ref="V593">_xlfn.IFS(U593&lt;=250,"0-R$250",U593&lt;=500,"251-R$500",U593&lt;=750,"501-R$750",U593&lt;=1000,"751-R$1000",U593&lt;=1250,"1001-R$1250",U593&lt;=1500,"1251-R$1500")</f>
        <v>0-R$250</v>
      </c>
      <c r="W593" s="13">
        <v>162</v>
      </c>
      <c r="X593" s="13" t="str" cm="1">
        <f t="array" ref="X593">_xlfn.IFS(W593 = 0, "0", W593&lt;=20, "até R$20",W593&lt;=40, "21 - R$40",W593&lt;=60, "41- R$60",W593&lt;=80, "61 - R$80", W593&lt;=100, "81 - R$100",W593&lt;=120, "101 - R$120",W593&lt;=140, "121 - R$140", W593&lt;=160, "141- R$160", W593&lt;=180, "161 - R$180", W593&lt;=200, "181-R$194")</f>
        <v>161 - R$180</v>
      </c>
      <c r="Y593" s="13">
        <v>387</v>
      </c>
      <c r="Z593" s="13">
        <v>106</v>
      </c>
      <c r="AA593" s="13">
        <v>36</v>
      </c>
      <c r="AB593" s="13">
        <v>29</v>
      </c>
      <c r="AC593" s="13">
        <v>1</v>
      </c>
      <c r="AD593" s="13">
        <v>5</v>
      </c>
      <c r="AE593" s="13">
        <v>10</v>
      </c>
      <c r="AF593" s="13">
        <v>8</v>
      </c>
      <c r="AG593" s="13">
        <v>3</v>
      </c>
      <c r="AH593" s="13">
        <v>0</v>
      </c>
      <c r="AI593" s="13">
        <v>0</v>
      </c>
      <c r="AJ593" s="13">
        <v>0</v>
      </c>
      <c r="AK593" s="13">
        <v>0</v>
      </c>
      <c r="AL593" s="13">
        <v>0</v>
      </c>
      <c r="AM593" s="13">
        <v>0</v>
      </c>
      <c r="AN593" s="13">
        <v>0</v>
      </c>
      <c r="AO593" s="14">
        <v>0</v>
      </c>
      <c r="AP593" s="13">
        <v>3</v>
      </c>
      <c r="AQ593" s="13">
        <v>11</v>
      </c>
      <c r="AR593" s="15">
        <v>887</v>
      </c>
      <c r="AS593" s="15">
        <v>916</v>
      </c>
    </row>
    <row r="594" spans="1:45" x14ac:dyDescent="0.25">
      <c r="A594">
        <v>728</v>
      </c>
      <c r="B594" s="11">
        <f t="shared" si="9"/>
        <v>71163</v>
      </c>
      <c r="C594" s="12">
        <v>711630</v>
      </c>
      <c r="D594" s="13">
        <v>0</v>
      </c>
      <c r="E594" s="13">
        <v>0</v>
      </c>
      <c r="F594" s="13">
        <v>30</v>
      </c>
      <c r="G594" s="13">
        <v>25</v>
      </c>
      <c r="H594" s="13" t="str" cm="1">
        <f t="array" ref="H594">_xlfn.IFS(G594&lt;=20,"0-20",G594&lt;=30,"20-30",G594&lt;=40,"30-40",G594&lt;=50,"50-60",G594&lt;=60,"60-70",G594&lt;=70,"70-80",G594&lt;=80,"80-90")</f>
        <v>20-30</v>
      </c>
      <c r="I594" s="13">
        <v>2271</v>
      </c>
      <c r="J594" s="13" t="str" cm="1">
        <f t="array" ref="J594">_xlfn.IFS(K594=1,"Divorciado",L594=1,"Casado",M594=1,"Solteiro",N594=1,"Juntos",O594=1,"Viuvo")</f>
        <v>Solteiro</v>
      </c>
      <c r="K594" s="13">
        <v>0</v>
      </c>
      <c r="L594" s="13">
        <v>0</v>
      </c>
      <c r="M594" s="13">
        <v>1</v>
      </c>
      <c r="N594" s="13">
        <v>0</v>
      </c>
      <c r="O594" s="13">
        <v>0</v>
      </c>
      <c r="P594" s="13">
        <v>0</v>
      </c>
      <c r="Q594" s="13">
        <v>0</v>
      </c>
      <c r="R594" s="13">
        <v>1</v>
      </c>
      <c r="S594" s="13">
        <v>0</v>
      </c>
      <c r="T594" s="13">
        <v>0</v>
      </c>
      <c r="U594" s="13">
        <v>283</v>
      </c>
      <c r="V594" s="13" t="str" cm="1">
        <f t="array" ref="V594">_xlfn.IFS(U594&lt;=250,"0-R$250",U594&lt;=500,"251-R$500",U594&lt;=750,"501-R$750",U594&lt;=1000,"751-R$1000",U594&lt;=1250,"1001-R$1250",U594&lt;=1500,"1251-R$1500")</f>
        <v>251-R$500</v>
      </c>
      <c r="W594" s="13">
        <v>17</v>
      </c>
      <c r="X594" s="13" t="str" cm="1">
        <f t="array" ref="X594">_xlfn.IFS(W594 = 0, "0", W594&lt;=20, "até R$20",W594&lt;=40, "21 - R$40",W594&lt;=60, "41- R$60",W594&lt;=80, "61 - R$80", W594&lt;=100, "81 - R$100",W594&lt;=120, "101 - R$120",W594&lt;=140, "121 - R$140", W594&lt;=160, "141- R$160", W594&lt;=180, "161 - R$180", W594&lt;=200, "181-R$194")</f>
        <v>até R$20</v>
      </c>
      <c r="Y594" s="13">
        <v>372</v>
      </c>
      <c r="Z594" s="13">
        <v>138</v>
      </c>
      <c r="AA594" s="13">
        <v>106</v>
      </c>
      <c r="AB594" s="13">
        <v>44</v>
      </c>
      <c r="AC594" s="13">
        <v>1</v>
      </c>
      <c r="AD594" s="13">
        <v>3</v>
      </c>
      <c r="AE594" s="13">
        <v>8</v>
      </c>
      <c r="AF594" s="13">
        <v>12</v>
      </c>
      <c r="AG594" s="13">
        <v>1</v>
      </c>
      <c r="AH594" s="13">
        <v>0</v>
      </c>
      <c r="AI594" s="13">
        <v>0</v>
      </c>
      <c r="AJ594" s="13">
        <v>0</v>
      </c>
      <c r="AK594" s="13">
        <v>0</v>
      </c>
      <c r="AL594" s="13">
        <v>0</v>
      </c>
      <c r="AM594" s="13">
        <v>0</v>
      </c>
      <c r="AN594" s="13">
        <v>0</v>
      </c>
      <c r="AO594" s="14">
        <v>0</v>
      </c>
      <c r="AP594" s="13">
        <v>3</v>
      </c>
      <c r="AQ594" s="13">
        <v>11</v>
      </c>
      <c r="AR594" s="15">
        <v>872</v>
      </c>
      <c r="AS594" s="15">
        <v>916</v>
      </c>
    </row>
    <row r="595" spans="1:45" x14ac:dyDescent="0.25">
      <c r="A595">
        <v>1740</v>
      </c>
      <c r="B595" s="11">
        <f t="shared" si="9"/>
        <v>67131</v>
      </c>
      <c r="C595" s="12">
        <v>671310</v>
      </c>
      <c r="D595" s="13">
        <v>0</v>
      </c>
      <c r="E595" s="13">
        <v>1</v>
      </c>
      <c r="F595" s="13">
        <v>72</v>
      </c>
      <c r="G595" s="13">
        <v>64</v>
      </c>
      <c r="H595" s="13" t="str" cm="1">
        <f t="array" ref="H595">_xlfn.IFS(G595&lt;=20,"0-20",G595&lt;=30,"20-30",G595&lt;=40,"30-40",G595&lt;=50,"50-60",G595&lt;=60,"60-70",G595&lt;=70,"70-80",G595&lt;=80,"80-90")</f>
        <v>70-80</v>
      </c>
      <c r="I595" s="13">
        <v>2619</v>
      </c>
      <c r="J595" s="13" t="str" cm="1">
        <f t="array" ref="J595">_xlfn.IFS(K595=1,"Divorciado",L595=1,"Casado",M595=1,"Solteiro",N595=1,"Juntos",O595=1,"Viuvo")</f>
        <v>Casado</v>
      </c>
      <c r="K595" s="13">
        <v>0</v>
      </c>
      <c r="L595" s="13">
        <v>1</v>
      </c>
      <c r="M595" s="13">
        <v>0</v>
      </c>
      <c r="N595" s="13">
        <v>0</v>
      </c>
      <c r="O595" s="13">
        <v>0</v>
      </c>
      <c r="P595" s="13">
        <v>0</v>
      </c>
      <c r="Q595" s="13">
        <v>0</v>
      </c>
      <c r="R595" s="13">
        <v>1</v>
      </c>
      <c r="S595" s="13">
        <v>0</v>
      </c>
      <c r="T595" s="13">
        <v>0</v>
      </c>
      <c r="U595" s="13">
        <v>465</v>
      </c>
      <c r="V595" s="13" t="str" cm="1">
        <f t="array" ref="V595">_xlfn.IFS(U595&lt;=250,"0-R$250",U595&lt;=500,"251-R$500",U595&lt;=750,"501-R$750",U595&lt;=1000,"751-R$1000",U595&lt;=1250,"1001-R$1250",U595&lt;=1500,"1251-R$1500")</f>
        <v>251-R$500</v>
      </c>
      <c r="W595" s="13">
        <v>71</v>
      </c>
      <c r="X595" s="13" t="str" cm="1">
        <f t="array" ref="X595">_xlfn.IFS(W595 = 0, "0", W595&lt;=20, "até R$20",W595&lt;=40, "21 - R$40",W595&lt;=60, "41- R$60",W595&lt;=80, "61 - R$80", W595&lt;=100, "81 - R$100",W595&lt;=120, "101 - R$120",W595&lt;=140, "121 - R$140", W595&lt;=160, "141- R$160", W595&lt;=180, "161 - R$180", W595&lt;=200, "181-R$194")</f>
        <v>61 - R$80</v>
      </c>
      <c r="Y595" s="13">
        <v>250</v>
      </c>
      <c r="Z595" s="13">
        <v>93</v>
      </c>
      <c r="AA595" s="13">
        <v>35</v>
      </c>
      <c r="AB595" s="13">
        <v>62</v>
      </c>
      <c r="AC595" s="13">
        <v>3</v>
      </c>
      <c r="AD595" s="13">
        <v>9</v>
      </c>
      <c r="AE595" s="13">
        <v>2</v>
      </c>
      <c r="AF595" s="13">
        <v>12</v>
      </c>
      <c r="AG595" s="13">
        <v>6</v>
      </c>
      <c r="AH595" s="13">
        <v>0</v>
      </c>
      <c r="AI595" s="13">
        <v>0</v>
      </c>
      <c r="AJ595" s="13">
        <v>0</v>
      </c>
      <c r="AK595" s="13">
        <v>0</v>
      </c>
      <c r="AL595" s="13">
        <v>0</v>
      </c>
      <c r="AM595" s="13">
        <v>0</v>
      </c>
      <c r="AN595" s="13">
        <v>0</v>
      </c>
      <c r="AO595" s="14">
        <v>0</v>
      </c>
      <c r="AP595" s="13">
        <v>3</v>
      </c>
      <c r="AQ595" s="13">
        <v>11</v>
      </c>
      <c r="AR595" s="15">
        <v>852</v>
      </c>
      <c r="AS595" s="15">
        <v>914</v>
      </c>
    </row>
    <row r="596" spans="1:45" x14ac:dyDescent="0.25">
      <c r="A596">
        <v>644</v>
      </c>
      <c r="B596" s="11">
        <f t="shared" si="9"/>
        <v>58330</v>
      </c>
      <c r="C596" s="12">
        <v>583300</v>
      </c>
      <c r="D596" s="13">
        <v>0</v>
      </c>
      <c r="E596" s="13">
        <v>1</v>
      </c>
      <c r="F596" s="13">
        <v>87</v>
      </c>
      <c r="G596" s="13">
        <v>45</v>
      </c>
      <c r="H596" s="13" t="str" cm="1">
        <f t="array" ref="H596">_xlfn.IFS(G596&lt;=20,"0-20",G596&lt;=30,"20-30",G596&lt;=40,"30-40",G596&lt;=50,"50-60",G596&lt;=60,"60-70",G596&lt;=70,"70-80",G596&lt;=80,"80-90")</f>
        <v>50-60</v>
      </c>
      <c r="I596" s="13">
        <v>2345</v>
      </c>
      <c r="J596" s="13" t="str" cm="1">
        <f t="array" ref="J596">_xlfn.IFS(K596=1,"Divorciado",L596=1,"Casado",M596=1,"Solteiro",N596=1,"Juntos",O596=1,"Viuvo")</f>
        <v>Viuvo</v>
      </c>
      <c r="K596" s="13">
        <v>0</v>
      </c>
      <c r="L596" s="13">
        <v>0</v>
      </c>
      <c r="M596" s="13">
        <v>0</v>
      </c>
      <c r="N596" s="13">
        <v>0</v>
      </c>
      <c r="O596" s="13">
        <v>1</v>
      </c>
      <c r="P596" s="13">
        <v>0</v>
      </c>
      <c r="Q596" s="13">
        <v>0</v>
      </c>
      <c r="R596" s="13">
        <v>1</v>
      </c>
      <c r="S596" s="13">
        <v>0</v>
      </c>
      <c r="T596" s="13">
        <v>0</v>
      </c>
      <c r="U596" s="13">
        <v>445</v>
      </c>
      <c r="V596" s="13" t="str" cm="1">
        <f t="array" ref="V596">_xlfn.IFS(U596&lt;=250,"0-R$250",U596&lt;=500,"251-R$500",U596&lt;=750,"501-R$750",U596&lt;=1000,"751-R$1000",U596&lt;=1250,"1001-R$1250",U596&lt;=1500,"1251-R$1500")</f>
        <v>251-R$500</v>
      </c>
      <c r="W596" s="13">
        <v>53</v>
      </c>
      <c r="X596" s="13" t="str" cm="1">
        <f t="array" ref="X596">_xlfn.IFS(W596 = 0, "0", W596&lt;=20, "até R$20",W596&lt;=40, "21 - R$40",W596&lt;=60, "41- R$60",W596&lt;=80, "61 - R$80", W596&lt;=100, "81 - R$100",W596&lt;=120, "101 - R$120",W596&lt;=140, "121 - R$140", W596&lt;=160, "141- R$160", W596&lt;=180, "161 - R$180", W596&lt;=200, "181-R$194")</f>
        <v>41- R$60</v>
      </c>
      <c r="Y596" s="13">
        <v>213</v>
      </c>
      <c r="Z596" s="13">
        <v>104</v>
      </c>
      <c r="AA596" s="13">
        <v>98</v>
      </c>
      <c r="AB596" s="13">
        <v>151</v>
      </c>
      <c r="AC596" s="13">
        <v>1</v>
      </c>
      <c r="AD596" s="13">
        <v>6</v>
      </c>
      <c r="AE596" s="13">
        <v>4</v>
      </c>
      <c r="AF596" s="13">
        <v>13</v>
      </c>
      <c r="AG596" s="13">
        <v>4</v>
      </c>
      <c r="AH596" s="13">
        <v>0</v>
      </c>
      <c r="AI596" s="13">
        <v>0</v>
      </c>
      <c r="AJ596" s="13">
        <v>0</v>
      </c>
      <c r="AK596" s="13">
        <v>0</v>
      </c>
      <c r="AL596" s="13">
        <v>0</v>
      </c>
      <c r="AM596" s="13">
        <v>0</v>
      </c>
      <c r="AN596" s="13">
        <v>0</v>
      </c>
      <c r="AO596" s="14">
        <v>0</v>
      </c>
      <c r="AP596" s="13">
        <v>3</v>
      </c>
      <c r="AQ596" s="13">
        <v>11</v>
      </c>
      <c r="AR596" s="15">
        <v>762</v>
      </c>
      <c r="AS596" s="15">
        <v>913</v>
      </c>
    </row>
    <row r="597" spans="1:45" x14ac:dyDescent="0.25">
      <c r="A597">
        <v>733</v>
      </c>
      <c r="B597" s="11">
        <f t="shared" si="9"/>
        <v>58330</v>
      </c>
      <c r="C597" s="16">
        <v>583300</v>
      </c>
      <c r="D597" s="17">
        <v>0</v>
      </c>
      <c r="E597" s="17">
        <v>1</v>
      </c>
      <c r="F597" s="17">
        <v>87</v>
      </c>
      <c r="G597" s="17">
        <v>45</v>
      </c>
      <c r="H597" s="13" t="str" cm="1">
        <f t="array" ref="H597">_xlfn.IFS(G597&lt;=20,"0-20",G597&lt;=30,"20-30",G597&lt;=40,"30-40",G597&lt;=50,"50-60",G597&lt;=60,"60-70",G597&lt;=70,"70-80",G597&lt;=80,"80-90")</f>
        <v>50-60</v>
      </c>
      <c r="I597" s="17">
        <v>2345</v>
      </c>
      <c r="J597" s="13" t="str" cm="1">
        <f t="array" ref="J597">_xlfn.IFS(K597=1,"Divorciado",L597=1,"Casado",M597=1,"Solteiro",N597=1,"Juntos",O597=1,"Viuvo")</f>
        <v>Viuvo</v>
      </c>
      <c r="K597" s="17">
        <v>0</v>
      </c>
      <c r="L597" s="17">
        <v>0</v>
      </c>
      <c r="M597" s="17">
        <v>0</v>
      </c>
      <c r="N597" s="17">
        <v>0</v>
      </c>
      <c r="O597" s="17">
        <v>1</v>
      </c>
      <c r="P597" s="17">
        <v>0</v>
      </c>
      <c r="Q597" s="17">
        <v>0</v>
      </c>
      <c r="R597" s="17">
        <v>1</v>
      </c>
      <c r="S597" s="17">
        <v>0</v>
      </c>
      <c r="T597" s="17">
        <v>0</v>
      </c>
      <c r="U597" s="17">
        <v>445</v>
      </c>
      <c r="V597" s="13" t="str" cm="1">
        <f t="array" ref="V597">_xlfn.IFS(U597&lt;=250,"0-R$250",U597&lt;=500,"251-R$500",U597&lt;=750,"501-R$750",U597&lt;=1000,"751-R$1000",U597&lt;=1250,"1001-R$1250",U597&lt;=1500,"1251-R$1500")</f>
        <v>251-R$500</v>
      </c>
      <c r="W597" s="17">
        <v>53</v>
      </c>
      <c r="X597" s="13" t="str" cm="1">
        <f t="array" ref="X597">_xlfn.IFS(W597 = 0, "0", W597&lt;=20, "até R$20",W597&lt;=40, "21 - R$40",W597&lt;=60, "41- R$60",W597&lt;=80, "61 - R$80", W597&lt;=100, "81 - R$100",W597&lt;=120, "101 - R$120",W597&lt;=140, "121 - R$140", W597&lt;=160, "141- R$160", W597&lt;=180, "161 - R$180", W597&lt;=200, "181-R$194")</f>
        <v>41- R$60</v>
      </c>
      <c r="Y597" s="17">
        <v>213</v>
      </c>
      <c r="Z597" s="17">
        <v>104</v>
      </c>
      <c r="AA597" s="17">
        <v>98</v>
      </c>
      <c r="AB597" s="17">
        <v>151</v>
      </c>
      <c r="AC597" s="17">
        <v>1</v>
      </c>
      <c r="AD597" s="17">
        <v>6</v>
      </c>
      <c r="AE597" s="17">
        <v>4</v>
      </c>
      <c r="AF597" s="17">
        <v>13</v>
      </c>
      <c r="AG597" s="17">
        <v>4</v>
      </c>
      <c r="AH597" s="17">
        <v>0</v>
      </c>
      <c r="AI597" s="17">
        <v>0</v>
      </c>
      <c r="AJ597" s="17">
        <v>0</v>
      </c>
      <c r="AK597" s="17">
        <v>0</v>
      </c>
      <c r="AL597" s="17">
        <v>0</v>
      </c>
      <c r="AM597" s="17">
        <v>0</v>
      </c>
      <c r="AN597" s="17">
        <v>0</v>
      </c>
      <c r="AO597" s="18">
        <v>0</v>
      </c>
      <c r="AP597" s="17">
        <v>3</v>
      </c>
      <c r="AQ597" s="17">
        <v>11</v>
      </c>
      <c r="AR597" s="19">
        <v>762</v>
      </c>
      <c r="AS597" s="19">
        <v>913</v>
      </c>
    </row>
    <row r="598" spans="1:45" x14ac:dyDescent="0.25">
      <c r="A598">
        <v>2055</v>
      </c>
      <c r="B598" s="11">
        <f t="shared" si="9"/>
        <v>87000</v>
      </c>
      <c r="C598" s="16">
        <v>870000</v>
      </c>
      <c r="D598" s="17">
        <v>0</v>
      </c>
      <c r="E598" s="17">
        <v>0</v>
      </c>
      <c r="F598" s="17">
        <v>61</v>
      </c>
      <c r="G598" s="17">
        <v>28</v>
      </c>
      <c r="H598" s="13" t="str" cm="1">
        <f t="array" ref="H598">_xlfn.IFS(G598&lt;=20,"0-20",G598&lt;=30,"20-30",G598&lt;=40,"30-40",G598&lt;=50,"50-60",G598&lt;=60,"60-70",G598&lt;=70,"70-80",G598&lt;=80,"80-90")</f>
        <v>20-30</v>
      </c>
      <c r="I598" s="17">
        <v>2720</v>
      </c>
      <c r="J598" s="13" t="str" cm="1">
        <f t="array" ref="J598">_xlfn.IFS(K598=1,"Divorciado",L598=1,"Casado",M598=1,"Solteiro",N598=1,"Juntos",O598=1,"Viuvo")</f>
        <v>Casado</v>
      </c>
      <c r="K598" s="17">
        <v>0</v>
      </c>
      <c r="L598" s="17">
        <v>1</v>
      </c>
      <c r="M598" s="17">
        <v>0</v>
      </c>
      <c r="N598" s="17">
        <v>0</v>
      </c>
      <c r="O598" s="17">
        <v>0</v>
      </c>
      <c r="P598" s="17">
        <v>1</v>
      </c>
      <c r="Q598" s="17">
        <v>0</v>
      </c>
      <c r="R598" s="17">
        <v>0</v>
      </c>
      <c r="S598" s="17">
        <v>0</v>
      </c>
      <c r="T598" s="17">
        <v>0</v>
      </c>
      <c r="U598" s="17">
        <v>196</v>
      </c>
      <c r="V598" s="13" t="str" cm="1">
        <f t="array" ref="V598">_xlfn.IFS(U598&lt;=250,"0-R$250",U598&lt;=500,"251-R$500",U598&lt;=750,"501-R$750",U598&lt;=1000,"751-R$1000",U598&lt;=1250,"1001-R$1250",U598&lt;=1500,"1251-R$1500")</f>
        <v>0-R$250</v>
      </c>
      <c r="W598" s="17">
        <v>25</v>
      </c>
      <c r="X598" s="13" t="str" cm="1">
        <f t="array" ref="X598">_xlfn.IFS(W598 = 0, "0", W598&lt;=20, "até R$20",W598&lt;=40, "21 - R$40",W598&lt;=60, "41- R$60",W598&lt;=80, "61 - R$80", W598&lt;=100, "81 - R$100",W598&lt;=120, "101 - R$120",W598&lt;=140, "121 - R$140", W598&lt;=160, "141- R$160", W598&lt;=180, "161 - R$180", W598&lt;=200, "181-R$194")</f>
        <v>21 - R$40</v>
      </c>
      <c r="Y598" s="17">
        <v>607</v>
      </c>
      <c r="Z598" s="17">
        <v>67</v>
      </c>
      <c r="AA598" s="17">
        <v>17</v>
      </c>
      <c r="AB598" s="17">
        <v>49</v>
      </c>
      <c r="AC598" s="17">
        <v>1</v>
      </c>
      <c r="AD598" s="17">
        <v>4</v>
      </c>
      <c r="AE598" s="17">
        <v>6</v>
      </c>
      <c r="AF598" s="17">
        <v>7</v>
      </c>
      <c r="AG598" s="17">
        <v>2</v>
      </c>
      <c r="AH598" s="17">
        <v>0</v>
      </c>
      <c r="AI598" s="17">
        <v>0</v>
      </c>
      <c r="AJ598" s="17">
        <v>0</v>
      </c>
      <c r="AK598" s="17">
        <v>0</v>
      </c>
      <c r="AL598" s="17">
        <v>0</v>
      </c>
      <c r="AM598" s="17">
        <v>0</v>
      </c>
      <c r="AN598" s="17">
        <v>0</v>
      </c>
      <c r="AO598" s="18">
        <v>0</v>
      </c>
      <c r="AP598" s="17">
        <v>3</v>
      </c>
      <c r="AQ598" s="17">
        <v>11</v>
      </c>
      <c r="AR598" s="19">
        <v>863</v>
      </c>
      <c r="AS598" s="19">
        <v>912</v>
      </c>
    </row>
    <row r="599" spans="1:45" x14ac:dyDescent="0.25">
      <c r="A599">
        <v>1343</v>
      </c>
      <c r="B599" s="11">
        <f t="shared" si="9"/>
        <v>52203</v>
      </c>
      <c r="C599" s="16">
        <v>522030</v>
      </c>
      <c r="D599" s="17">
        <v>0</v>
      </c>
      <c r="E599" s="17">
        <v>0</v>
      </c>
      <c r="F599" s="17">
        <v>36</v>
      </c>
      <c r="G599" s="17">
        <v>70</v>
      </c>
      <c r="H599" s="13" t="str" cm="1">
        <f t="array" ref="H599">_xlfn.IFS(G599&lt;=20,"0-20",G599&lt;=30,"20-30",G599&lt;=40,"30-40",G599&lt;=50,"50-60",G599&lt;=60,"60-70",G599&lt;=70,"70-80",G599&lt;=80,"80-90")</f>
        <v>70-80</v>
      </c>
      <c r="I599" s="17">
        <v>2857</v>
      </c>
      <c r="J599" s="13" t="str" cm="1">
        <f t="array" ref="J599">_xlfn.IFS(K599=1,"Divorciado",L599=1,"Casado",M599=1,"Solteiro",N599=1,"Juntos",O599=1,"Viuvo")</f>
        <v>Juntos</v>
      </c>
      <c r="K599" s="17">
        <v>0</v>
      </c>
      <c r="L599" s="17">
        <v>0</v>
      </c>
      <c r="M599" s="17">
        <v>0</v>
      </c>
      <c r="N599" s="17">
        <v>1</v>
      </c>
      <c r="O599" s="17">
        <v>0</v>
      </c>
      <c r="P599" s="17">
        <v>1</v>
      </c>
      <c r="Q599" s="17">
        <v>0</v>
      </c>
      <c r="R599" s="17">
        <v>0</v>
      </c>
      <c r="S599" s="17">
        <v>0</v>
      </c>
      <c r="T599" s="17">
        <v>0</v>
      </c>
      <c r="U599" s="17">
        <v>488</v>
      </c>
      <c r="V599" s="13" t="str" cm="1">
        <f t="array" ref="V599">_xlfn.IFS(U599&lt;=250,"0-R$250",U599&lt;=500,"251-R$500",U599&lt;=750,"501-R$750",U599&lt;=1000,"751-R$1000",U599&lt;=1250,"1001-R$1250",U599&lt;=1500,"1251-R$1500")</f>
        <v>251-R$500</v>
      </c>
      <c r="W599" s="17">
        <v>21</v>
      </c>
      <c r="X599" s="13" t="str" cm="1">
        <f t="array" ref="X599">_xlfn.IFS(W599 = 0, "0", W599&lt;=20, "até R$20",W599&lt;=40, "21 - R$40",W599&lt;=60, "41- R$60",W599&lt;=80, "61 - R$80", W599&lt;=100, "81 - R$100",W599&lt;=120, "101 - R$120",W599&lt;=140, "121 - R$140", W599&lt;=160, "141- R$160", W599&lt;=180, "161 - R$180", W599&lt;=200, "181-R$194")</f>
        <v>21 - R$40</v>
      </c>
      <c r="Y599" s="17">
        <v>238</v>
      </c>
      <c r="Z599" s="17">
        <v>56</v>
      </c>
      <c r="AA599" s="17">
        <v>108</v>
      </c>
      <c r="AB599" s="17">
        <v>28</v>
      </c>
      <c r="AC599" s="17">
        <v>1</v>
      </c>
      <c r="AD599" s="17">
        <v>8</v>
      </c>
      <c r="AE599" s="17">
        <v>7</v>
      </c>
      <c r="AF599" s="17">
        <v>11</v>
      </c>
      <c r="AG599" s="17">
        <v>6</v>
      </c>
      <c r="AH599" s="17">
        <v>0</v>
      </c>
      <c r="AI599" s="17">
        <v>0</v>
      </c>
      <c r="AJ599" s="17">
        <v>0</v>
      </c>
      <c r="AK599" s="17">
        <v>0</v>
      </c>
      <c r="AL599" s="17">
        <v>0</v>
      </c>
      <c r="AM599" s="17">
        <v>0</v>
      </c>
      <c r="AN599" s="17">
        <v>0</v>
      </c>
      <c r="AO599" s="18">
        <v>0</v>
      </c>
      <c r="AP599" s="17">
        <v>3</v>
      </c>
      <c r="AQ599" s="17">
        <v>11</v>
      </c>
      <c r="AR599" s="19">
        <v>883</v>
      </c>
      <c r="AS599" s="19">
        <v>911</v>
      </c>
    </row>
    <row r="600" spans="1:45" x14ac:dyDescent="0.25">
      <c r="A600">
        <v>1517</v>
      </c>
      <c r="B600" s="11">
        <f t="shared" si="9"/>
        <v>74881</v>
      </c>
      <c r="C600" s="16">
        <v>748810</v>
      </c>
      <c r="D600" s="17">
        <v>1</v>
      </c>
      <c r="E600" s="17">
        <v>1</v>
      </c>
      <c r="F600" s="17">
        <v>48</v>
      </c>
      <c r="G600" s="17">
        <v>59</v>
      </c>
      <c r="H600" s="13" t="str" cm="1">
        <f t="array" ref="H600">_xlfn.IFS(G600&lt;=20,"0-20",G600&lt;=30,"20-30",G600&lt;=40,"30-40",G600&lt;=50,"50-60",G600&lt;=60,"60-70",G600&lt;=70,"70-80",G600&lt;=80,"80-90")</f>
        <v>60-70</v>
      </c>
      <c r="I600" s="17">
        <v>2637</v>
      </c>
      <c r="J600" s="13" t="str" cm="1">
        <f t="array" ref="J600">_xlfn.IFS(K600=1,"Divorciado",L600=1,"Casado",M600=1,"Solteiro",N600=1,"Juntos",O600=1,"Viuvo")</f>
        <v>Juntos</v>
      </c>
      <c r="K600" s="17">
        <v>0</v>
      </c>
      <c r="L600" s="17">
        <v>0</v>
      </c>
      <c r="M600" s="17">
        <v>0</v>
      </c>
      <c r="N600" s="17">
        <v>1</v>
      </c>
      <c r="O600" s="17">
        <v>0</v>
      </c>
      <c r="P600" s="17">
        <v>0</v>
      </c>
      <c r="Q600" s="17">
        <v>0</v>
      </c>
      <c r="R600" s="17">
        <v>0</v>
      </c>
      <c r="S600" s="17">
        <v>1</v>
      </c>
      <c r="T600" s="17">
        <v>0</v>
      </c>
      <c r="U600" s="17">
        <v>505</v>
      </c>
      <c r="V600" s="13" t="str" cm="1">
        <f t="array" ref="V600">_xlfn.IFS(U600&lt;=250,"0-R$250",U600&lt;=500,"251-R$500",U600&lt;=750,"501-R$750",U600&lt;=1000,"751-R$1000",U600&lt;=1250,"1001-R$1250",U600&lt;=1500,"1251-R$1500")</f>
        <v>501-R$750</v>
      </c>
      <c r="W600" s="17">
        <v>72</v>
      </c>
      <c r="X600" s="13" t="str" cm="1">
        <f t="array" ref="X600">_xlfn.IFS(W600 = 0, "0", W600&lt;=20, "até R$20",W600&lt;=40, "21 - R$40",W600&lt;=60, "41- R$60",W600&lt;=80, "61 - R$80", W600&lt;=100, "81 - R$100",W600&lt;=120, "101 - R$120",W600&lt;=140, "121 - R$140", W600&lt;=160, "141- R$160", W600&lt;=180, "161 - R$180", W600&lt;=200, "181-R$194")</f>
        <v>61 - R$80</v>
      </c>
      <c r="Y600" s="17">
        <v>270</v>
      </c>
      <c r="Z600" s="17">
        <v>36</v>
      </c>
      <c r="AA600" s="17">
        <v>27</v>
      </c>
      <c r="AB600" s="17">
        <v>54</v>
      </c>
      <c r="AC600" s="17">
        <v>4</v>
      </c>
      <c r="AD600" s="17">
        <v>9</v>
      </c>
      <c r="AE600" s="17">
        <v>2</v>
      </c>
      <c r="AF600" s="17">
        <v>12</v>
      </c>
      <c r="AG600" s="17">
        <v>5</v>
      </c>
      <c r="AH600" s="17">
        <v>0</v>
      </c>
      <c r="AI600" s="17">
        <v>0</v>
      </c>
      <c r="AJ600" s="17">
        <v>0</v>
      </c>
      <c r="AK600" s="17">
        <v>0</v>
      </c>
      <c r="AL600" s="17">
        <v>0</v>
      </c>
      <c r="AM600" s="17">
        <v>0</v>
      </c>
      <c r="AN600" s="17">
        <v>0</v>
      </c>
      <c r="AO600" s="18">
        <v>0</v>
      </c>
      <c r="AP600" s="17">
        <v>3</v>
      </c>
      <c r="AQ600" s="17">
        <v>11</v>
      </c>
      <c r="AR600" s="19">
        <v>856</v>
      </c>
      <c r="AS600" s="19">
        <v>910</v>
      </c>
    </row>
    <row r="601" spans="1:45" x14ac:dyDescent="0.25">
      <c r="A601">
        <v>1703</v>
      </c>
      <c r="B601" s="11">
        <f t="shared" si="9"/>
        <v>74881</v>
      </c>
      <c r="C601" s="16">
        <v>748810</v>
      </c>
      <c r="D601" s="17">
        <v>1</v>
      </c>
      <c r="E601" s="17">
        <v>1</v>
      </c>
      <c r="F601" s="17">
        <v>48</v>
      </c>
      <c r="G601" s="17">
        <v>59</v>
      </c>
      <c r="H601" s="13" t="str" cm="1">
        <f t="array" ref="H601">_xlfn.IFS(G601&lt;=20,"0-20",G601&lt;=30,"20-30",G601&lt;=40,"30-40",G601&lt;=50,"50-60",G601&lt;=60,"60-70",G601&lt;=70,"70-80",G601&lt;=80,"80-90")</f>
        <v>60-70</v>
      </c>
      <c r="I601" s="17">
        <v>2637</v>
      </c>
      <c r="J601" s="13" t="str" cm="1">
        <f t="array" ref="J601">_xlfn.IFS(K601=1,"Divorciado",L601=1,"Casado",M601=1,"Solteiro",N601=1,"Juntos",O601=1,"Viuvo")</f>
        <v>Juntos</v>
      </c>
      <c r="K601" s="17">
        <v>0</v>
      </c>
      <c r="L601" s="17">
        <v>0</v>
      </c>
      <c r="M601" s="17">
        <v>0</v>
      </c>
      <c r="N601" s="17">
        <v>1</v>
      </c>
      <c r="O601" s="17">
        <v>0</v>
      </c>
      <c r="P601" s="17">
        <v>0</v>
      </c>
      <c r="Q601" s="17">
        <v>0</v>
      </c>
      <c r="R601" s="17">
        <v>0</v>
      </c>
      <c r="S601" s="17">
        <v>1</v>
      </c>
      <c r="T601" s="17">
        <v>0</v>
      </c>
      <c r="U601" s="17">
        <v>505</v>
      </c>
      <c r="V601" s="13" t="str" cm="1">
        <f t="array" ref="V601">_xlfn.IFS(U601&lt;=250,"0-R$250",U601&lt;=500,"251-R$500",U601&lt;=750,"501-R$750",U601&lt;=1000,"751-R$1000",U601&lt;=1250,"1001-R$1250",U601&lt;=1500,"1251-R$1500")</f>
        <v>501-R$750</v>
      </c>
      <c r="W601" s="17">
        <v>72</v>
      </c>
      <c r="X601" s="13" t="str" cm="1">
        <f t="array" ref="X601">_xlfn.IFS(W601 = 0, "0", W601&lt;=20, "até R$20",W601&lt;=40, "21 - R$40",W601&lt;=60, "41- R$60",W601&lt;=80, "61 - R$80", W601&lt;=100, "81 - R$100",W601&lt;=120, "101 - R$120",W601&lt;=140, "121 - R$140", W601&lt;=160, "141- R$160", W601&lt;=180, "161 - R$180", W601&lt;=200, "181-R$194")</f>
        <v>61 - R$80</v>
      </c>
      <c r="Y601" s="17">
        <v>270</v>
      </c>
      <c r="Z601" s="17">
        <v>36</v>
      </c>
      <c r="AA601" s="17">
        <v>27</v>
      </c>
      <c r="AB601" s="17">
        <v>54</v>
      </c>
      <c r="AC601" s="17">
        <v>4</v>
      </c>
      <c r="AD601" s="17">
        <v>9</v>
      </c>
      <c r="AE601" s="17">
        <v>2</v>
      </c>
      <c r="AF601" s="17">
        <v>12</v>
      </c>
      <c r="AG601" s="17">
        <v>5</v>
      </c>
      <c r="AH601" s="17">
        <v>0</v>
      </c>
      <c r="AI601" s="17">
        <v>0</v>
      </c>
      <c r="AJ601" s="17">
        <v>0</v>
      </c>
      <c r="AK601" s="17">
        <v>0</v>
      </c>
      <c r="AL601" s="17">
        <v>0</v>
      </c>
      <c r="AM601" s="17">
        <v>0</v>
      </c>
      <c r="AN601" s="17">
        <v>0</v>
      </c>
      <c r="AO601" s="18">
        <v>0</v>
      </c>
      <c r="AP601" s="17">
        <v>3</v>
      </c>
      <c r="AQ601" s="17">
        <v>11</v>
      </c>
      <c r="AR601" s="19">
        <v>856</v>
      </c>
      <c r="AS601" s="19">
        <v>910</v>
      </c>
    </row>
    <row r="602" spans="1:45" x14ac:dyDescent="0.25">
      <c r="A602">
        <v>614</v>
      </c>
      <c r="B602" s="11">
        <f t="shared" si="9"/>
        <v>65488</v>
      </c>
      <c r="C602" s="12">
        <v>654880</v>
      </c>
      <c r="D602" s="13">
        <v>0</v>
      </c>
      <c r="E602" s="13">
        <v>0</v>
      </c>
      <c r="F602" s="13">
        <v>46</v>
      </c>
      <c r="G602" s="13">
        <v>62</v>
      </c>
      <c r="H602" s="13" t="str" cm="1">
        <f t="array" ref="H602">_xlfn.IFS(G602&lt;=20,"0-20",G602&lt;=30,"20-30",G602&lt;=40,"30-40",G602&lt;=50,"50-60",G602&lt;=60,"60-70",G602&lt;=70,"70-80",G602&lt;=80,"80-90")</f>
        <v>70-80</v>
      </c>
      <c r="I602" s="13">
        <v>2175</v>
      </c>
      <c r="J602" s="13" t="str" cm="1">
        <f t="array" ref="J602">_xlfn.IFS(K602=1,"Divorciado",L602=1,"Casado",M602=1,"Solteiro",N602=1,"Juntos",O602=1,"Viuvo")</f>
        <v>Juntos</v>
      </c>
      <c r="K602" s="13">
        <v>0</v>
      </c>
      <c r="L602" s="13">
        <v>0</v>
      </c>
      <c r="M602" s="13">
        <v>0</v>
      </c>
      <c r="N602" s="13">
        <v>1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1</v>
      </c>
      <c r="U602" s="13">
        <v>603</v>
      </c>
      <c r="V602" s="13" t="str" cm="1">
        <f t="array" ref="V602">_xlfn.IFS(U602&lt;=250,"0-R$250",U602&lt;=500,"251-R$500",U602&lt;=750,"501-R$750",U602&lt;=1000,"751-R$1000",U602&lt;=1250,"1001-R$1250",U602&lt;=1500,"1251-R$1500")</f>
        <v>501-R$750</v>
      </c>
      <c r="W602" s="13">
        <v>45</v>
      </c>
      <c r="X602" s="13" t="str" cm="1">
        <f t="array" ref="X602">_xlfn.IFS(W602 = 0, "0", W602&lt;=20, "até R$20",W602&lt;=40, "21 - R$40",W602&lt;=60, "41- R$60",W602&lt;=80, "61 - R$80", W602&lt;=100, "81 - R$100",W602&lt;=120, "101 - R$120",W602&lt;=140, "121 - R$140", W602&lt;=160, "141- R$160", W602&lt;=180, "161 - R$180", W602&lt;=200, "181-R$194")</f>
        <v>41- R$60</v>
      </c>
      <c r="Y602" s="13">
        <v>207</v>
      </c>
      <c r="Z602" s="13">
        <v>36</v>
      </c>
      <c r="AA602" s="13">
        <v>18</v>
      </c>
      <c r="AB602" s="13">
        <v>54</v>
      </c>
      <c r="AC602" s="13">
        <v>1</v>
      </c>
      <c r="AD602" s="13">
        <v>3</v>
      </c>
      <c r="AE602" s="13">
        <v>4</v>
      </c>
      <c r="AF602" s="13">
        <v>6</v>
      </c>
      <c r="AG602" s="13">
        <v>1</v>
      </c>
      <c r="AH602" s="13">
        <v>0</v>
      </c>
      <c r="AI602" s="13">
        <v>0</v>
      </c>
      <c r="AJ602" s="13">
        <v>0</v>
      </c>
      <c r="AK602" s="13">
        <v>0</v>
      </c>
      <c r="AL602" s="13">
        <v>0</v>
      </c>
      <c r="AM602" s="13">
        <v>0</v>
      </c>
      <c r="AN602" s="13">
        <v>0</v>
      </c>
      <c r="AO602" s="14">
        <v>0</v>
      </c>
      <c r="AP602" s="13">
        <v>3</v>
      </c>
      <c r="AQ602" s="13">
        <v>11</v>
      </c>
      <c r="AR602" s="15">
        <v>855</v>
      </c>
      <c r="AS602" s="15">
        <v>909</v>
      </c>
    </row>
    <row r="603" spans="1:45" x14ac:dyDescent="0.25">
      <c r="A603">
        <v>1179</v>
      </c>
      <c r="B603" s="11">
        <f t="shared" si="9"/>
        <v>78075</v>
      </c>
      <c r="C603" s="16">
        <v>780750</v>
      </c>
      <c r="D603" s="17">
        <v>0</v>
      </c>
      <c r="E603" s="17">
        <v>0</v>
      </c>
      <c r="F603" s="17">
        <v>72</v>
      </c>
      <c r="G603" s="17">
        <v>48</v>
      </c>
      <c r="H603" s="13" t="str" cm="1">
        <f t="array" ref="H603">_xlfn.IFS(G603&lt;=20,"0-20",G603&lt;=30,"20-30",G603&lt;=40,"30-40",G603&lt;=50,"50-60",G603&lt;=60,"60-70",G603&lt;=70,"70-80",G603&lt;=80,"80-90")</f>
        <v>50-60</v>
      </c>
      <c r="I603" s="17">
        <v>2244</v>
      </c>
      <c r="J603" s="13" t="str" cm="1">
        <f t="array" ref="J603">_xlfn.IFS(K603=1,"Divorciado",L603=1,"Casado",M603=1,"Solteiro",N603=1,"Juntos",O603=1,"Viuvo")</f>
        <v>Casado</v>
      </c>
      <c r="K603" s="17">
        <v>0</v>
      </c>
      <c r="L603" s="17">
        <v>1</v>
      </c>
      <c r="M603" s="17">
        <v>0</v>
      </c>
      <c r="N603" s="17">
        <v>0</v>
      </c>
      <c r="O603" s="17">
        <v>0</v>
      </c>
      <c r="P603" s="17">
        <v>0</v>
      </c>
      <c r="Q603" s="17">
        <v>0</v>
      </c>
      <c r="R603" s="17">
        <v>0</v>
      </c>
      <c r="S603" s="17">
        <v>0</v>
      </c>
      <c r="T603" s="17">
        <v>1</v>
      </c>
      <c r="U603" s="17">
        <v>572</v>
      </c>
      <c r="V603" s="13" t="str" cm="1">
        <f t="array" ref="V603">_xlfn.IFS(U603&lt;=250,"0-R$250",U603&lt;=500,"251-R$500",U603&lt;=750,"501-R$750",U603&lt;=1000,"751-R$1000",U603&lt;=1250,"1001-R$1250",U603&lt;=1500,"1251-R$1500")</f>
        <v>501-R$750</v>
      </c>
      <c r="W603" s="17">
        <v>8</v>
      </c>
      <c r="X603" s="13" t="str" cm="1">
        <f t="array" ref="X603">_xlfn.IFS(W603 = 0, "0", W603&lt;=20, "até R$20",W603&lt;=40, "21 - R$40",W603&lt;=60, "41- R$60",W603&lt;=80, "61 - R$80", W603&lt;=100, "81 - R$100",W603&lt;=120, "101 - R$120",W603&lt;=140, "121 - R$140", W603&lt;=160, "141- R$160", W603&lt;=180, "161 - R$180", W603&lt;=200, "181-R$194")</f>
        <v>até R$20</v>
      </c>
      <c r="Y603" s="17">
        <v>259</v>
      </c>
      <c r="Z603" s="17">
        <v>34</v>
      </c>
      <c r="AA603" s="17">
        <v>35</v>
      </c>
      <c r="AB603" s="17">
        <v>80</v>
      </c>
      <c r="AC603" s="17">
        <v>1</v>
      </c>
      <c r="AD603" s="17">
        <v>3</v>
      </c>
      <c r="AE603" s="17">
        <v>5</v>
      </c>
      <c r="AF603" s="17">
        <v>5</v>
      </c>
      <c r="AG603" s="17">
        <v>1</v>
      </c>
      <c r="AH603" s="17">
        <v>0</v>
      </c>
      <c r="AI603" s="17">
        <v>0</v>
      </c>
      <c r="AJ603" s="17">
        <v>0</v>
      </c>
      <c r="AK603" s="17">
        <v>0</v>
      </c>
      <c r="AL603" s="17">
        <v>0</v>
      </c>
      <c r="AM603" s="17">
        <v>0</v>
      </c>
      <c r="AN603" s="17">
        <v>0</v>
      </c>
      <c r="AO603" s="18">
        <v>0</v>
      </c>
      <c r="AP603" s="17">
        <v>3</v>
      </c>
      <c r="AQ603" s="17">
        <v>11</v>
      </c>
      <c r="AR603" s="19">
        <v>828</v>
      </c>
      <c r="AS603" s="19">
        <v>908</v>
      </c>
    </row>
    <row r="604" spans="1:45" x14ac:dyDescent="0.25">
      <c r="A604">
        <v>1484</v>
      </c>
      <c r="B604" s="11">
        <f t="shared" si="9"/>
        <v>78931</v>
      </c>
      <c r="C604" s="12">
        <v>789310</v>
      </c>
      <c r="D604" s="13">
        <v>0</v>
      </c>
      <c r="E604" s="13">
        <v>0</v>
      </c>
      <c r="F604" s="13">
        <v>19</v>
      </c>
      <c r="G604" s="13">
        <v>49</v>
      </c>
      <c r="H604" s="13" t="str" cm="1">
        <f t="array" ref="H604">_xlfn.IFS(G604&lt;=20,"0-20",G604&lt;=30,"20-30",G604&lt;=40,"30-40",G604&lt;=50,"50-60",G604&lt;=60,"60-70",G604&lt;=70,"70-80",G604&lt;=80,"80-90")</f>
        <v>50-60</v>
      </c>
      <c r="I604" s="13">
        <v>2406</v>
      </c>
      <c r="J604" s="13" t="str" cm="1">
        <f t="array" ref="J604">_xlfn.IFS(K604=1,"Divorciado",L604=1,"Casado",M604=1,"Solteiro",N604=1,"Juntos",O604=1,"Viuvo")</f>
        <v>Casado</v>
      </c>
      <c r="K604" s="13">
        <v>0</v>
      </c>
      <c r="L604" s="13">
        <v>1</v>
      </c>
      <c r="M604" s="13">
        <v>0</v>
      </c>
      <c r="N604" s="13">
        <v>0</v>
      </c>
      <c r="O604" s="13">
        <v>0</v>
      </c>
      <c r="P604" s="13">
        <v>0</v>
      </c>
      <c r="Q604" s="13">
        <v>0</v>
      </c>
      <c r="R604" s="13">
        <v>0</v>
      </c>
      <c r="S604" s="13">
        <v>0</v>
      </c>
      <c r="T604" s="13">
        <v>1</v>
      </c>
      <c r="U604" s="13">
        <v>331</v>
      </c>
      <c r="V604" s="13" t="str" cm="1">
        <f t="array" ref="V604">_xlfn.IFS(U604&lt;=250,"0-R$250",U604&lt;=500,"251-R$500",U604&lt;=750,"501-R$750",U604&lt;=1000,"751-R$1000",U604&lt;=1250,"1001-R$1250",U604&lt;=1500,"1251-R$1500")</f>
        <v>251-R$500</v>
      </c>
      <c r="W604" s="13">
        <v>197</v>
      </c>
      <c r="X604" s="13" t="str" cm="1">
        <f t="array" ref="X604">_xlfn.IFS(W604 = 0, "0", W604&lt;=20, "até R$20",W604&lt;=40, "21 - R$40",W604&lt;=60, "41- R$60",W604&lt;=80, "61 - R$80", W604&lt;=100, "81 - R$100",W604&lt;=120, "101 - R$120",W604&lt;=140, "121 - R$140", W604&lt;=160, "141- R$160", W604&lt;=180, "161 - R$180", W604&lt;=200, "181-R$194")</f>
        <v>181-R$194</v>
      </c>
      <c r="Y604" s="13">
        <v>170</v>
      </c>
      <c r="Z604" s="13">
        <v>58</v>
      </c>
      <c r="AA604" s="13">
        <v>152</v>
      </c>
      <c r="AB604" s="13">
        <v>35</v>
      </c>
      <c r="AC604" s="13">
        <v>1</v>
      </c>
      <c r="AD604" s="13">
        <v>2</v>
      </c>
      <c r="AE604" s="13">
        <v>8</v>
      </c>
      <c r="AF604" s="13">
        <v>13</v>
      </c>
      <c r="AG604" s="13">
        <v>1</v>
      </c>
      <c r="AH604" s="13">
        <v>0</v>
      </c>
      <c r="AI604" s="13">
        <v>0</v>
      </c>
      <c r="AJ604" s="13">
        <v>0</v>
      </c>
      <c r="AK604" s="13">
        <v>0</v>
      </c>
      <c r="AL604" s="13">
        <v>0</v>
      </c>
      <c r="AM604" s="13">
        <v>0</v>
      </c>
      <c r="AN604" s="13">
        <v>0</v>
      </c>
      <c r="AO604" s="14">
        <v>0</v>
      </c>
      <c r="AP604" s="13">
        <v>3</v>
      </c>
      <c r="AQ604" s="13">
        <v>11</v>
      </c>
      <c r="AR604" s="15">
        <v>873</v>
      </c>
      <c r="AS604" s="15">
        <v>908</v>
      </c>
    </row>
    <row r="605" spans="1:45" x14ac:dyDescent="0.25">
      <c r="A605">
        <v>1838</v>
      </c>
      <c r="B605" s="11">
        <f t="shared" si="9"/>
        <v>70886</v>
      </c>
      <c r="C605" s="12">
        <v>708860</v>
      </c>
      <c r="D605" s="13">
        <v>1</v>
      </c>
      <c r="E605" s="13">
        <v>0</v>
      </c>
      <c r="F605" s="13">
        <v>65</v>
      </c>
      <c r="G605" s="13">
        <v>49</v>
      </c>
      <c r="H605" s="13" t="str" cm="1">
        <f t="array" ref="H605">_xlfn.IFS(G605&lt;=20,"0-20",G605&lt;=30,"20-30",G605&lt;=40,"30-40",G605&lt;=50,"50-60",G605&lt;=60,"60-70",G605&lt;=70,"70-80",G605&lt;=80,"80-90")</f>
        <v>50-60</v>
      </c>
      <c r="I605" s="13">
        <v>2417</v>
      </c>
      <c r="J605" s="13" t="str" cm="1">
        <f t="array" ref="J605">_xlfn.IFS(K605=1,"Divorciado",L605=1,"Casado",M605=1,"Solteiro",N605=1,"Juntos",O605=1,"Viuvo")</f>
        <v>Casado</v>
      </c>
      <c r="K605" s="13">
        <v>0</v>
      </c>
      <c r="L605" s="13">
        <v>1</v>
      </c>
      <c r="M605" s="13">
        <v>0</v>
      </c>
      <c r="N605" s="13">
        <v>0</v>
      </c>
      <c r="O605" s="13">
        <v>0</v>
      </c>
      <c r="P605" s="13">
        <v>0</v>
      </c>
      <c r="Q605" s="13">
        <v>0</v>
      </c>
      <c r="R605" s="13">
        <v>1</v>
      </c>
      <c r="S605" s="13">
        <v>0</v>
      </c>
      <c r="T605" s="13">
        <v>0</v>
      </c>
      <c r="U605" s="13">
        <v>407</v>
      </c>
      <c r="V605" s="13" t="str" cm="1">
        <f t="array" ref="V605">_xlfn.IFS(U605&lt;=250,"0-R$250",U605&lt;=500,"251-R$500",U605&lt;=750,"501-R$750",U605&lt;=1000,"751-R$1000",U605&lt;=1250,"1001-R$1250",U605&lt;=1500,"1251-R$1500")</f>
        <v>251-R$500</v>
      </c>
      <c r="W605" s="13">
        <v>70</v>
      </c>
      <c r="X605" s="13" t="str" cm="1">
        <f t="array" ref="X605">_xlfn.IFS(W605 = 0, "0", W605&lt;=20, "até R$20",W605&lt;=40, "21 - R$40",W605&lt;=60, "41- R$60",W605&lt;=80, "61 - R$80", W605&lt;=100, "81 - R$100",W605&lt;=120, "101 - R$120",W605&lt;=140, "121 - R$140", W605&lt;=160, "141- R$160", W605&lt;=180, "161 - R$180", W605&lt;=200, "181-R$194")</f>
        <v>61 - R$80</v>
      </c>
      <c r="Y605" s="13">
        <v>239</v>
      </c>
      <c r="Z605" s="13">
        <v>103</v>
      </c>
      <c r="AA605" s="13">
        <v>88</v>
      </c>
      <c r="AB605" s="13">
        <v>53</v>
      </c>
      <c r="AC605" s="13">
        <v>1</v>
      </c>
      <c r="AD605" s="13">
        <v>5</v>
      </c>
      <c r="AE605" s="13">
        <v>4</v>
      </c>
      <c r="AF605" s="13">
        <v>4</v>
      </c>
      <c r="AG605" s="13">
        <v>2</v>
      </c>
      <c r="AH605" s="13">
        <v>0</v>
      </c>
      <c r="AI605" s="13">
        <v>0</v>
      </c>
      <c r="AJ605" s="13">
        <v>0</v>
      </c>
      <c r="AK605" s="13">
        <v>0</v>
      </c>
      <c r="AL605" s="13">
        <v>0</v>
      </c>
      <c r="AM605" s="13">
        <v>0</v>
      </c>
      <c r="AN605" s="13">
        <v>0</v>
      </c>
      <c r="AO605" s="14">
        <v>0</v>
      </c>
      <c r="AP605" s="13">
        <v>3</v>
      </c>
      <c r="AQ605" s="13">
        <v>11</v>
      </c>
      <c r="AR605" s="15">
        <v>854</v>
      </c>
      <c r="AS605" s="15">
        <v>907</v>
      </c>
    </row>
    <row r="606" spans="1:45" x14ac:dyDescent="0.25">
      <c r="A606">
        <v>605</v>
      </c>
      <c r="B606" s="11">
        <f t="shared" si="9"/>
        <v>72298</v>
      </c>
      <c r="C606" s="16">
        <v>722980</v>
      </c>
      <c r="D606" s="17">
        <v>0</v>
      </c>
      <c r="E606" s="17">
        <v>0</v>
      </c>
      <c r="F606" s="17">
        <v>52</v>
      </c>
      <c r="G606" s="17">
        <v>71</v>
      </c>
      <c r="H606" s="13" t="str" cm="1">
        <f t="array" ref="H606">_xlfn.IFS(G606&lt;=20,"0-20",G606&lt;=30,"20-30",G606&lt;=40,"30-40",G606&lt;=50,"50-60",G606&lt;=60,"60-70",G606&lt;=70,"70-80",G606&lt;=80,"80-90")</f>
        <v>80-90</v>
      </c>
      <c r="I606" s="17">
        <v>2270</v>
      </c>
      <c r="J606" s="13" t="str" cm="1">
        <f t="array" ref="J606">_xlfn.IFS(K606=1,"Divorciado",L606=1,"Casado",M606=1,"Solteiro",N606=1,"Juntos",O606=1,"Viuvo")</f>
        <v>Viuvo</v>
      </c>
      <c r="K606" s="17">
        <v>0</v>
      </c>
      <c r="L606" s="17">
        <v>0</v>
      </c>
      <c r="M606" s="17">
        <v>0</v>
      </c>
      <c r="N606" s="17">
        <v>0</v>
      </c>
      <c r="O606" s="17">
        <v>1</v>
      </c>
      <c r="P606" s="17">
        <v>0</v>
      </c>
      <c r="Q606" s="17">
        <v>0</v>
      </c>
      <c r="R606" s="17">
        <v>1</v>
      </c>
      <c r="S606" s="17">
        <v>0</v>
      </c>
      <c r="T606" s="17">
        <v>0</v>
      </c>
      <c r="U606" s="17">
        <v>625</v>
      </c>
      <c r="V606" s="13" t="str" cm="1">
        <f t="array" ref="V606">_xlfn.IFS(U606&lt;=250,"0-R$250",U606&lt;=500,"251-R$500",U606&lt;=750,"501-R$750",U606&lt;=1000,"751-R$1000",U606&lt;=1250,"1001-R$1250",U606&lt;=1500,"1251-R$1500")</f>
        <v>501-R$750</v>
      </c>
      <c r="W606" s="17">
        <v>35</v>
      </c>
      <c r="X606" s="13" t="str" cm="1">
        <f t="array" ref="X606">_xlfn.IFS(W606 = 0, "0", W606&lt;=20, "até R$20",W606&lt;=40, "21 - R$40",W606&lt;=60, "41- R$60",W606&lt;=80, "61 - R$80", W606&lt;=100, "81 - R$100",W606&lt;=120, "101 - R$120",W606&lt;=140, "121 - R$140", W606&lt;=160, "141- R$160", W606&lt;=180, "161 - R$180", W606&lt;=200, "181-R$194")</f>
        <v>21 - R$40</v>
      </c>
      <c r="Y606" s="17">
        <v>169</v>
      </c>
      <c r="Z606" s="17">
        <v>58</v>
      </c>
      <c r="AA606" s="17">
        <v>17</v>
      </c>
      <c r="AB606" s="17">
        <v>35</v>
      </c>
      <c r="AC606" s="17">
        <v>1</v>
      </c>
      <c r="AD606" s="17">
        <v>4</v>
      </c>
      <c r="AE606" s="17">
        <v>3</v>
      </c>
      <c r="AF606" s="17">
        <v>6</v>
      </c>
      <c r="AG606" s="17">
        <v>1</v>
      </c>
      <c r="AH606" s="17">
        <v>0</v>
      </c>
      <c r="AI606" s="17">
        <v>0</v>
      </c>
      <c r="AJ606" s="17">
        <v>1</v>
      </c>
      <c r="AK606" s="17">
        <v>1</v>
      </c>
      <c r="AL606" s="17">
        <v>0</v>
      </c>
      <c r="AM606" s="17">
        <v>0</v>
      </c>
      <c r="AN606" s="17">
        <v>0</v>
      </c>
      <c r="AO606" s="18">
        <v>2</v>
      </c>
      <c r="AP606" s="17">
        <v>3</v>
      </c>
      <c r="AQ606" s="17">
        <v>11</v>
      </c>
      <c r="AR606" s="19">
        <v>869</v>
      </c>
      <c r="AS606" s="19">
        <v>904</v>
      </c>
    </row>
    <row r="607" spans="1:45" x14ac:dyDescent="0.25">
      <c r="A607">
        <v>913</v>
      </c>
      <c r="B607" s="11">
        <f t="shared" si="9"/>
        <v>64950</v>
      </c>
      <c r="C607" s="16">
        <v>649500</v>
      </c>
      <c r="D607" s="17">
        <v>0</v>
      </c>
      <c r="E607" s="17">
        <v>1</v>
      </c>
      <c r="F607" s="17">
        <v>29</v>
      </c>
      <c r="G607" s="17">
        <v>69</v>
      </c>
      <c r="H607" s="13" t="str" cm="1">
        <f t="array" ref="H607">_xlfn.IFS(G607&lt;=20,"0-20",G607&lt;=30,"20-30",G607&lt;=40,"30-40",G607&lt;=50,"50-60",G607&lt;=60,"60-70",G607&lt;=70,"70-80",G607&lt;=80,"80-90")</f>
        <v>70-80</v>
      </c>
      <c r="I607" s="17">
        <v>2845</v>
      </c>
      <c r="J607" s="13" t="str" cm="1">
        <f t="array" ref="J607">_xlfn.IFS(K607=1,"Divorciado",L607=1,"Casado",M607=1,"Solteiro",N607=1,"Juntos",O607=1,"Viuvo")</f>
        <v>Solteiro</v>
      </c>
      <c r="K607" s="17">
        <v>0</v>
      </c>
      <c r="L607" s="17">
        <v>0</v>
      </c>
      <c r="M607" s="17">
        <v>1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1</v>
      </c>
      <c r="U607" s="17">
        <v>819</v>
      </c>
      <c r="V607" s="13" t="str" cm="1">
        <f t="array" ref="V607">_xlfn.IFS(U607&lt;=250,"0-R$250",U607&lt;=500,"251-R$500",U607&lt;=750,"501-R$750",U607&lt;=1000,"751-R$1000",U607&lt;=1250,"1001-R$1250",U607&lt;=1500,"1251-R$1500")</f>
        <v>751-R$1000</v>
      </c>
      <c r="W607" s="17">
        <v>0</v>
      </c>
      <c r="X607" s="13" t="str" cm="1">
        <f t="array" ref="X607">_xlfn.IFS(W607 = 0, "0", W607&lt;=20, "até R$20",W607&lt;=40, "21 - R$40",W607&lt;=60, "41- R$60",W607&lt;=80, "61 - R$80", W607&lt;=100, "81 - R$100",W607&lt;=120, "101 - R$120",W607&lt;=140, "121 - R$140", W607&lt;=160, "141- R$160", W607&lt;=180, "161 - R$180", W607&lt;=200, "181-R$194")</f>
        <v>0</v>
      </c>
      <c r="Y607" s="17">
        <v>72</v>
      </c>
      <c r="Z607" s="17">
        <v>12</v>
      </c>
      <c r="AA607" s="17">
        <v>0</v>
      </c>
      <c r="AB607" s="17">
        <v>63</v>
      </c>
      <c r="AC607" s="17">
        <v>2</v>
      </c>
      <c r="AD607" s="17">
        <v>11</v>
      </c>
      <c r="AE607" s="17">
        <v>2</v>
      </c>
      <c r="AF607" s="17">
        <v>10</v>
      </c>
      <c r="AG607" s="17">
        <v>7</v>
      </c>
      <c r="AH607" s="17">
        <v>0</v>
      </c>
      <c r="AI607" s="17">
        <v>0</v>
      </c>
      <c r="AJ607" s="17">
        <v>1</v>
      </c>
      <c r="AK607" s="17">
        <v>0</v>
      </c>
      <c r="AL607" s="17">
        <v>0</v>
      </c>
      <c r="AM607" s="17">
        <v>0</v>
      </c>
      <c r="AN607" s="17">
        <v>0</v>
      </c>
      <c r="AO607" s="18">
        <v>1</v>
      </c>
      <c r="AP607" s="17">
        <v>3</v>
      </c>
      <c r="AQ607" s="17">
        <v>11</v>
      </c>
      <c r="AR607" s="19">
        <v>840</v>
      </c>
      <c r="AS607" s="19">
        <v>903</v>
      </c>
    </row>
    <row r="608" spans="1:45" x14ac:dyDescent="0.25">
      <c r="A608">
        <v>816</v>
      </c>
      <c r="B608" s="11">
        <f t="shared" si="9"/>
        <v>71391</v>
      </c>
      <c r="C608" s="12">
        <v>713910</v>
      </c>
      <c r="D608" s="13">
        <v>0</v>
      </c>
      <c r="E608" s="13">
        <v>1</v>
      </c>
      <c r="F608" s="13">
        <v>50</v>
      </c>
      <c r="G608" s="13">
        <v>64</v>
      </c>
      <c r="H608" s="13" t="str" cm="1">
        <f t="array" ref="H608">_xlfn.IFS(G608&lt;=20,"0-20",G608&lt;=30,"20-30",G608&lt;=40,"30-40",G608&lt;=50,"50-60",G608&lt;=60,"60-70",G608&lt;=70,"70-80",G608&lt;=80,"80-90")</f>
        <v>70-80</v>
      </c>
      <c r="I608" s="13">
        <v>2616</v>
      </c>
      <c r="J608" s="13" t="str" cm="1">
        <f t="array" ref="J608">_xlfn.IFS(K608=1,"Divorciado",L608=1,"Casado",M608=1,"Solteiro",N608=1,"Juntos",O608=1,"Viuvo")</f>
        <v>Casado</v>
      </c>
      <c r="K608" s="13">
        <v>0</v>
      </c>
      <c r="L608" s="13">
        <v>1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1</v>
      </c>
      <c r="S608" s="13">
        <v>0</v>
      </c>
      <c r="T608" s="13">
        <v>0</v>
      </c>
      <c r="U608" s="13">
        <v>336</v>
      </c>
      <c r="V608" s="13" t="str" cm="1">
        <f t="array" ref="V608">_xlfn.IFS(U608&lt;=250,"0-R$250",U608&lt;=500,"251-R$500",U608&lt;=750,"501-R$750",U608&lt;=1000,"751-R$1000",U608&lt;=1250,"1001-R$1250",U608&lt;=1500,"1251-R$1500")</f>
        <v>251-R$500</v>
      </c>
      <c r="W608" s="13">
        <v>123</v>
      </c>
      <c r="X608" s="13" t="str" cm="1">
        <f t="array" ref="X608">_xlfn.IFS(W608 = 0, "0", W608&lt;=20, "até R$20",W608&lt;=40, "21 - R$40",W608&lt;=60, "41- R$60",W608&lt;=80, "61 - R$80", W608&lt;=100, "81 - R$100",W608&lt;=120, "101 - R$120",W608&lt;=140, "121 - R$140", W608&lt;=160, "141- R$160", W608&lt;=180, "161 - R$180", W608&lt;=200, "181-R$194")</f>
        <v>121 - R$140</v>
      </c>
      <c r="Y608" s="13">
        <v>274</v>
      </c>
      <c r="Z608" s="13">
        <v>46</v>
      </c>
      <c r="AA608" s="13">
        <v>123</v>
      </c>
      <c r="AB608" s="13">
        <v>141</v>
      </c>
      <c r="AC608" s="13">
        <v>5</v>
      </c>
      <c r="AD608" s="13">
        <v>6</v>
      </c>
      <c r="AE608" s="13">
        <v>5</v>
      </c>
      <c r="AF608" s="13">
        <v>12</v>
      </c>
      <c r="AG608" s="13">
        <v>3</v>
      </c>
      <c r="AH608" s="13">
        <v>0</v>
      </c>
      <c r="AI608" s="13">
        <v>0</v>
      </c>
      <c r="AJ608" s="13">
        <v>0</v>
      </c>
      <c r="AK608" s="13">
        <v>0</v>
      </c>
      <c r="AL608" s="13">
        <v>0</v>
      </c>
      <c r="AM608" s="13">
        <v>0</v>
      </c>
      <c r="AN608" s="13">
        <v>0</v>
      </c>
      <c r="AO608" s="14">
        <v>0</v>
      </c>
      <c r="AP608" s="13">
        <v>3</v>
      </c>
      <c r="AQ608" s="13">
        <v>11</v>
      </c>
      <c r="AR608" s="15">
        <v>761</v>
      </c>
      <c r="AS608" s="15">
        <v>902</v>
      </c>
    </row>
    <row r="609" spans="1:45" x14ac:dyDescent="0.25">
      <c r="A609">
        <v>1080</v>
      </c>
      <c r="B609" s="11">
        <f t="shared" si="9"/>
        <v>56775</v>
      </c>
      <c r="C609" s="12">
        <v>567750</v>
      </c>
      <c r="D609" s="13">
        <v>0</v>
      </c>
      <c r="E609" s="13">
        <v>1</v>
      </c>
      <c r="F609" s="13">
        <v>62</v>
      </c>
      <c r="G609" s="13">
        <v>41</v>
      </c>
      <c r="H609" s="13" t="str" cm="1">
        <f t="array" ref="H609">_xlfn.IFS(G609&lt;=20,"0-20",G609&lt;=30,"20-30",G609&lt;=40,"30-40",G609&lt;=50,"50-60",G609&lt;=60,"60-70",G609&lt;=70,"70-80",G609&lt;=80,"80-90")</f>
        <v>50-60</v>
      </c>
      <c r="I609" s="13">
        <v>2702</v>
      </c>
      <c r="J609" s="13" t="str" cm="1">
        <f t="array" ref="J609">_xlfn.IFS(K609=1,"Divorciado",L609=1,"Casado",M609=1,"Solteiro",N609=1,"Juntos",O609=1,"Viuvo")</f>
        <v>Casado</v>
      </c>
      <c r="K609" s="13">
        <v>0</v>
      </c>
      <c r="L609" s="13">
        <v>1</v>
      </c>
      <c r="M609" s="13">
        <v>0</v>
      </c>
      <c r="N609" s="13">
        <v>0</v>
      </c>
      <c r="O609" s="13">
        <v>0</v>
      </c>
      <c r="P609" s="13">
        <v>0</v>
      </c>
      <c r="Q609" s="13">
        <v>0</v>
      </c>
      <c r="R609" s="13">
        <v>1</v>
      </c>
      <c r="S609" s="13">
        <v>0</v>
      </c>
      <c r="T609" s="13">
        <v>0</v>
      </c>
      <c r="U609" s="13">
        <v>614</v>
      </c>
      <c r="V609" s="13" t="str" cm="1">
        <f t="array" ref="V609">_xlfn.IFS(U609&lt;=250,"0-R$250",U609&lt;=500,"251-R$500",U609&lt;=750,"501-R$750",U609&lt;=1000,"751-R$1000",U609&lt;=1250,"1001-R$1250",U609&lt;=1500,"1251-R$1500")</f>
        <v>501-R$750</v>
      </c>
      <c r="W609" s="13">
        <v>35</v>
      </c>
      <c r="X609" s="13" t="str" cm="1">
        <f t="array" ref="X609">_xlfn.IFS(W609 = 0, "0", W609&lt;=20, "até R$20",W609&lt;=40, "21 - R$40",W609&lt;=60, "41- R$60",W609&lt;=80, "61 - R$80", W609&lt;=100, "81 - R$100",W609&lt;=120, "101 - R$120",W609&lt;=140, "121 - R$140", W609&lt;=160, "141- R$160", W609&lt;=180, "161 - R$180", W609&lt;=200, "181-R$194")</f>
        <v>21 - R$40</v>
      </c>
      <c r="Y609" s="13">
        <v>160</v>
      </c>
      <c r="Z609" s="13">
        <v>58</v>
      </c>
      <c r="AA609" s="13">
        <v>35</v>
      </c>
      <c r="AB609" s="13">
        <v>35</v>
      </c>
      <c r="AC609" s="13">
        <v>2</v>
      </c>
      <c r="AD609" s="13">
        <v>5</v>
      </c>
      <c r="AE609" s="13">
        <v>8</v>
      </c>
      <c r="AF609" s="13">
        <v>10</v>
      </c>
      <c r="AG609" s="13">
        <v>5</v>
      </c>
      <c r="AH609" s="13">
        <v>0</v>
      </c>
      <c r="AI609" s="13">
        <v>0</v>
      </c>
      <c r="AJ609" s="13">
        <v>0</v>
      </c>
      <c r="AK609" s="13">
        <v>0</v>
      </c>
      <c r="AL609" s="13">
        <v>0</v>
      </c>
      <c r="AM609" s="13">
        <v>0</v>
      </c>
      <c r="AN609" s="13">
        <v>0</v>
      </c>
      <c r="AO609" s="14">
        <v>0</v>
      </c>
      <c r="AP609" s="13">
        <v>3</v>
      </c>
      <c r="AQ609" s="13">
        <v>11</v>
      </c>
      <c r="AR609" s="15">
        <v>867</v>
      </c>
      <c r="AS609" s="15">
        <v>902</v>
      </c>
    </row>
    <row r="610" spans="1:45" x14ac:dyDescent="0.25">
      <c r="A610">
        <v>1481</v>
      </c>
      <c r="B610" s="11">
        <f t="shared" si="9"/>
        <v>63206</v>
      </c>
      <c r="C610" s="16">
        <v>632060</v>
      </c>
      <c r="D610" s="17">
        <v>0</v>
      </c>
      <c r="E610" s="17">
        <v>0</v>
      </c>
      <c r="F610" s="17">
        <v>65</v>
      </c>
      <c r="G610" s="17">
        <v>46</v>
      </c>
      <c r="H610" s="13" t="str" cm="1">
        <f t="array" ref="H610">_xlfn.IFS(G610&lt;=20,"0-20",G610&lt;=30,"20-30",G610&lt;=40,"30-40",G610&lt;=50,"50-60",G610&lt;=60,"60-70",G610&lt;=70,"70-80",G610&lt;=80,"80-90")</f>
        <v>50-60</v>
      </c>
      <c r="I610" s="17">
        <v>2260</v>
      </c>
      <c r="J610" s="13" t="str" cm="1">
        <f t="array" ref="J610">_xlfn.IFS(K610=1,"Divorciado",L610=1,"Casado",M610=1,"Solteiro",N610=1,"Juntos",O610=1,"Viuvo")</f>
        <v>Casado</v>
      </c>
      <c r="K610" s="17">
        <v>0</v>
      </c>
      <c r="L610" s="17">
        <v>1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1</v>
      </c>
      <c r="T610" s="17">
        <v>0</v>
      </c>
      <c r="U610" s="17">
        <v>750</v>
      </c>
      <c r="V610" s="13" t="str" cm="1">
        <f t="array" ref="V610">_xlfn.IFS(U610&lt;=250,"0-R$250",U610&lt;=500,"251-R$500",U610&lt;=750,"501-R$750",U610&lt;=1000,"751-R$1000",U610&lt;=1250,"1001-R$1250",U610&lt;=1500,"1251-R$1500")</f>
        <v>501-R$750</v>
      </c>
      <c r="W610" s="17">
        <v>8</v>
      </c>
      <c r="X610" s="13" t="str" cm="1">
        <f t="array" ref="X610">_xlfn.IFS(W610 = 0, "0", W610&lt;=20, "até R$20",W610&lt;=40, "21 - R$40",W610&lt;=60, "41- R$60",W610&lt;=80, "61 - R$80", W610&lt;=100, "81 - R$100",W610&lt;=120, "101 - R$120",W610&lt;=140, "121 - R$140", W610&lt;=160, "141- R$160", W610&lt;=180, "161 - R$180", W610&lt;=200, "181-R$194")</f>
        <v>até R$20</v>
      </c>
      <c r="Y610" s="17">
        <v>125</v>
      </c>
      <c r="Z610" s="17">
        <v>11</v>
      </c>
      <c r="AA610" s="17">
        <v>8</v>
      </c>
      <c r="AB610" s="17">
        <v>26</v>
      </c>
      <c r="AC610" s="17">
        <v>1</v>
      </c>
      <c r="AD610" s="17">
        <v>4</v>
      </c>
      <c r="AE610" s="17">
        <v>3</v>
      </c>
      <c r="AF610" s="17">
        <v>6</v>
      </c>
      <c r="AG610" s="17">
        <v>2</v>
      </c>
      <c r="AH610" s="17">
        <v>0</v>
      </c>
      <c r="AI610" s="17">
        <v>0</v>
      </c>
      <c r="AJ610" s="17">
        <v>0</v>
      </c>
      <c r="AK610" s="17">
        <v>1</v>
      </c>
      <c r="AL610" s="17">
        <v>0</v>
      </c>
      <c r="AM610" s="17">
        <v>0</v>
      </c>
      <c r="AN610" s="17">
        <v>0</v>
      </c>
      <c r="AO610" s="18">
        <v>1</v>
      </c>
      <c r="AP610" s="17">
        <v>3</v>
      </c>
      <c r="AQ610" s="17">
        <v>11</v>
      </c>
      <c r="AR610" s="19">
        <v>876</v>
      </c>
      <c r="AS610" s="19">
        <v>902</v>
      </c>
    </row>
    <row r="611" spans="1:45" x14ac:dyDescent="0.25">
      <c r="A611">
        <v>1835</v>
      </c>
      <c r="B611" s="11">
        <f t="shared" si="9"/>
        <v>69063</v>
      </c>
      <c r="C611" s="16">
        <v>690630</v>
      </c>
      <c r="D611" s="17">
        <v>0</v>
      </c>
      <c r="E611" s="17">
        <v>1</v>
      </c>
      <c r="F611" s="17">
        <v>16</v>
      </c>
      <c r="G611" s="17">
        <v>54</v>
      </c>
      <c r="H611" s="13" t="str" cm="1">
        <f t="array" ref="H611">_xlfn.IFS(G611&lt;=20,"0-20",G611&lt;=30,"20-30",G611&lt;=40,"30-40",G611&lt;=50,"50-60",G611&lt;=60,"60-70",G611&lt;=70,"70-80",G611&lt;=80,"80-90")</f>
        <v>60-70</v>
      </c>
      <c r="I611" s="17">
        <v>2758</v>
      </c>
      <c r="J611" s="13" t="str" cm="1">
        <f t="array" ref="J611">_xlfn.IFS(K611=1,"Divorciado",L611=1,"Casado",M611=1,"Solteiro",N611=1,"Juntos",O611=1,"Viuvo")</f>
        <v>Casado</v>
      </c>
      <c r="K611" s="17">
        <v>0</v>
      </c>
      <c r="L611" s="17">
        <v>1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1</v>
      </c>
      <c r="U611" s="17">
        <v>666</v>
      </c>
      <c r="V611" s="13" t="str" cm="1">
        <f t="array" ref="V611">_xlfn.IFS(U611&lt;=250,"0-R$250",U611&lt;=500,"251-R$500",U611&lt;=750,"501-R$750",U611&lt;=1000,"751-R$1000",U611&lt;=1250,"1001-R$1250",U611&lt;=1500,"1251-R$1500")</f>
        <v>501-R$750</v>
      </c>
      <c r="W611" s="17">
        <v>35</v>
      </c>
      <c r="X611" s="13" t="str" cm="1">
        <f t="array" ref="X611">_xlfn.IFS(W611 = 0, "0", W611&lt;=20, "até R$20",W611&lt;=40, "21 - R$40",W611&lt;=60, "41- R$60",W611&lt;=80, "61 - R$80", W611&lt;=100, "81 - R$100",W611&lt;=120, "101 - R$120",W611&lt;=140, "121 - R$140", W611&lt;=160, "141- R$160", W611&lt;=180, "161 - R$180", W611&lt;=200, "181-R$194")</f>
        <v>21 - R$40</v>
      </c>
      <c r="Y611" s="17">
        <v>124</v>
      </c>
      <c r="Z611" s="17">
        <v>69</v>
      </c>
      <c r="AA611" s="17">
        <v>8</v>
      </c>
      <c r="AB611" s="17">
        <v>26</v>
      </c>
      <c r="AC611" s="17">
        <v>1</v>
      </c>
      <c r="AD611" s="17">
        <v>5</v>
      </c>
      <c r="AE611" s="17">
        <v>3</v>
      </c>
      <c r="AF611" s="17">
        <v>5</v>
      </c>
      <c r="AG611" s="17">
        <v>3</v>
      </c>
      <c r="AH611" s="17">
        <v>0</v>
      </c>
      <c r="AI611" s="17">
        <v>0</v>
      </c>
      <c r="AJ611" s="17">
        <v>0</v>
      </c>
      <c r="AK611" s="17">
        <v>0</v>
      </c>
      <c r="AL611" s="17">
        <v>0</v>
      </c>
      <c r="AM611" s="17">
        <v>0</v>
      </c>
      <c r="AN611" s="17">
        <v>0</v>
      </c>
      <c r="AO611" s="18">
        <v>0</v>
      </c>
      <c r="AP611" s="17">
        <v>3</v>
      </c>
      <c r="AQ611" s="17">
        <v>11</v>
      </c>
      <c r="AR611" s="19">
        <v>876</v>
      </c>
      <c r="AS611" s="19">
        <v>902</v>
      </c>
    </row>
    <row r="612" spans="1:45" x14ac:dyDescent="0.25">
      <c r="A612">
        <v>1535</v>
      </c>
      <c r="B612" s="11">
        <f t="shared" si="9"/>
        <v>70179</v>
      </c>
      <c r="C612" s="16">
        <v>701790</v>
      </c>
      <c r="D612" s="17">
        <v>0</v>
      </c>
      <c r="E612" s="17">
        <v>1</v>
      </c>
      <c r="F612" s="17">
        <v>10</v>
      </c>
      <c r="G612" s="17">
        <v>44</v>
      </c>
      <c r="H612" s="13" t="str" cm="1">
        <f t="array" ref="H612">_xlfn.IFS(G612&lt;=20,"0-20",G612&lt;=30,"20-30",G612&lt;=40,"30-40",G612&lt;=50,"50-60",G612&lt;=60,"60-70",G612&lt;=70,"70-80",G612&lt;=80,"80-90")</f>
        <v>50-60</v>
      </c>
      <c r="I612" s="17">
        <v>2502</v>
      </c>
      <c r="J612" s="13" t="str" cm="1">
        <f t="array" ref="J612">_xlfn.IFS(K612=1,"Divorciado",L612=1,"Casado",M612=1,"Solteiro",N612=1,"Juntos",O612=1,"Viuvo")</f>
        <v>Divorciado</v>
      </c>
      <c r="K612" s="17">
        <v>1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1</v>
      </c>
      <c r="U612" s="17">
        <v>532</v>
      </c>
      <c r="V612" s="13" t="str" cm="1">
        <f t="array" ref="V612">_xlfn.IFS(U612&lt;=250,"0-R$250",U612&lt;=500,"251-R$500",U612&lt;=750,"501-R$750",U612&lt;=1000,"751-R$1000",U612&lt;=1250,"1001-R$1250",U612&lt;=1500,"1251-R$1500")</f>
        <v>501-R$750</v>
      </c>
      <c r="W612" s="17">
        <v>88</v>
      </c>
      <c r="X612" s="13" t="str" cm="1">
        <f t="array" ref="X612">_xlfn.IFS(W612 = 0, "0", W612&lt;=20, "até R$20",W612&lt;=40, "21 - R$40",W612&lt;=60, "41- R$60",W612&lt;=80, "61 - R$80", W612&lt;=100, "81 - R$100",W612&lt;=120, "101 - R$120",W612&lt;=140, "121 - R$140", W612&lt;=160, "141- R$160", W612&lt;=180, "161 - R$180", W612&lt;=200, "181-R$194")</f>
        <v>81 - R$100</v>
      </c>
      <c r="Y612" s="17">
        <v>168</v>
      </c>
      <c r="Z612" s="17">
        <v>69</v>
      </c>
      <c r="AA612" s="17">
        <v>44</v>
      </c>
      <c r="AB612" s="17">
        <v>133</v>
      </c>
      <c r="AC612" s="17">
        <v>3</v>
      </c>
      <c r="AD612" s="17">
        <v>7</v>
      </c>
      <c r="AE612" s="17">
        <v>3</v>
      </c>
      <c r="AF612" s="17">
        <v>13</v>
      </c>
      <c r="AG612" s="17">
        <v>5</v>
      </c>
      <c r="AH612" s="17">
        <v>0</v>
      </c>
      <c r="AI612" s="17">
        <v>0</v>
      </c>
      <c r="AJ612" s="17">
        <v>0</v>
      </c>
      <c r="AK612" s="17">
        <v>0</v>
      </c>
      <c r="AL612" s="17">
        <v>0</v>
      </c>
      <c r="AM612" s="17">
        <v>0</v>
      </c>
      <c r="AN612" s="17">
        <v>0</v>
      </c>
      <c r="AO612" s="18">
        <v>0</v>
      </c>
      <c r="AP612" s="17">
        <v>3</v>
      </c>
      <c r="AQ612" s="17">
        <v>11</v>
      </c>
      <c r="AR612" s="19">
        <v>768</v>
      </c>
      <c r="AS612" s="19">
        <v>901</v>
      </c>
    </row>
    <row r="613" spans="1:45" x14ac:dyDescent="0.25">
      <c r="A613">
        <v>2032</v>
      </c>
      <c r="B613" s="11">
        <f t="shared" si="9"/>
        <v>70179</v>
      </c>
      <c r="C613" s="12">
        <v>701790</v>
      </c>
      <c r="D613" s="13">
        <v>0</v>
      </c>
      <c r="E613" s="13">
        <v>1</v>
      </c>
      <c r="F613" s="13">
        <v>10</v>
      </c>
      <c r="G613" s="13">
        <v>44</v>
      </c>
      <c r="H613" s="13" t="str" cm="1">
        <f t="array" ref="H613">_xlfn.IFS(G613&lt;=20,"0-20",G613&lt;=30,"20-30",G613&lt;=40,"30-40",G613&lt;=50,"50-60",G613&lt;=60,"60-70",G613&lt;=70,"70-80",G613&lt;=80,"80-90")</f>
        <v>50-60</v>
      </c>
      <c r="I613" s="13">
        <v>2502</v>
      </c>
      <c r="J613" s="13" t="str" cm="1">
        <f t="array" ref="J613">_xlfn.IFS(K613=1,"Divorciado",L613=1,"Casado",M613=1,"Solteiro",N613=1,"Juntos",O613=1,"Viuvo")</f>
        <v>Divorciado</v>
      </c>
      <c r="K613" s="13">
        <v>1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1</v>
      </c>
      <c r="U613" s="13">
        <v>532</v>
      </c>
      <c r="V613" s="13" t="str" cm="1">
        <f t="array" ref="V613">_xlfn.IFS(U613&lt;=250,"0-R$250",U613&lt;=500,"251-R$500",U613&lt;=750,"501-R$750",U613&lt;=1000,"751-R$1000",U613&lt;=1250,"1001-R$1250",U613&lt;=1500,"1251-R$1500")</f>
        <v>501-R$750</v>
      </c>
      <c r="W613" s="13">
        <v>88</v>
      </c>
      <c r="X613" s="13" t="str" cm="1">
        <f t="array" ref="X613">_xlfn.IFS(W613 = 0, "0", W613&lt;=20, "até R$20",W613&lt;=40, "21 - R$40",W613&lt;=60, "41- R$60",W613&lt;=80, "61 - R$80", W613&lt;=100, "81 - R$100",W613&lt;=120, "101 - R$120",W613&lt;=140, "121 - R$140", W613&lt;=160, "141- R$160", W613&lt;=180, "161 - R$180", W613&lt;=200, "181-R$194")</f>
        <v>81 - R$100</v>
      </c>
      <c r="Y613" s="13">
        <v>168</v>
      </c>
      <c r="Z613" s="13">
        <v>69</v>
      </c>
      <c r="AA613" s="13">
        <v>44</v>
      </c>
      <c r="AB613" s="13">
        <v>133</v>
      </c>
      <c r="AC613" s="13">
        <v>3</v>
      </c>
      <c r="AD613" s="13">
        <v>7</v>
      </c>
      <c r="AE613" s="13">
        <v>3</v>
      </c>
      <c r="AF613" s="13">
        <v>13</v>
      </c>
      <c r="AG613" s="13">
        <v>5</v>
      </c>
      <c r="AH613" s="13">
        <v>0</v>
      </c>
      <c r="AI613" s="13">
        <v>0</v>
      </c>
      <c r="AJ613" s="13">
        <v>0</v>
      </c>
      <c r="AK613" s="13">
        <v>0</v>
      </c>
      <c r="AL613" s="13">
        <v>0</v>
      </c>
      <c r="AM613" s="13">
        <v>0</v>
      </c>
      <c r="AN613" s="13">
        <v>0</v>
      </c>
      <c r="AO613" s="14">
        <v>0</v>
      </c>
      <c r="AP613" s="13">
        <v>3</v>
      </c>
      <c r="AQ613" s="13">
        <v>11</v>
      </c>
      <c r="AR613" s="15">
        <v>768</v>
      </c>
      <c r="AS613" s="15">
        <v>901</v>
      </c>
    </row>
    <row r="614" spans="1:45" x14ac:dyDescent="0.25">
      <c r="A614">
        <v>1675</v>
      </c>
      <c r="B614" s="11">
        <f t="shared" si="9"/>
        <v>61064</v>
      </c>
      <c r="C614" s="16">
        <v>610640</v>
      </c>
      <c r="D614" s="17">
        <v>0</v>
      </c>
      <c r="E614" s="17">
        <v>1</v>
      </c>
      <c r="F614" s="17">
        <v>80</v>
      </c>
      <c r="G614" s="17">
        <v>44</v>
      </c>
      <c r="H614" s="13" t="str" cm="1">
        <f t="array" ref="H614">_xlfn.IFS(G614&lt;=20,"0-20",G614&lt;=30,"20-30",G614&lt;=40,"30-40",G614&lt;=50,"50-60",G614&lt;=60,"60-70",G614&lt;=70,"70-80",G614&lt;=80,"80-90")</f>
        <v>50-60</v>
      </c>
      <c r="I614" s="17">
        <v>2826</v>
      </c>
      <c r="J614" s="13" t="str" cm="1">
        <f t="array" ref="J614">_xlfn.IFS(K614=1,"Divorciado",L614=1,"Casado",M614=1,"Solteiro",N614=1,"Juntos",O614=1,"Viuvo")</f>
        <v>Casado</v>
      </c>
      <c r="K614" s="17">
        <v>0</v>
      </c>
      <c r="L614" s="17">
        <v>1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1</v>
      </c>
      <c r="S614" s="17">
        <v>0</v>
      </c>
      <c r="T614" s="17">
        <v>0</v>
      </c>
      <c r="U614" s="17">
        <v>387</v>
      </c>
      <c r="V614" s="13" t="str" cm="1">
        <f t="array" ref="V614">_xlfn.IFS(U614&lt;=250,"0-R$250",U614&lt;=500,"251-R$500",U614&lt;=750,"501-R$750",U614&lt;=1000,"751-R$1000",U614&lt;=1250,"1001-R$1250",U614&lt;=1500,"1251-R$1500")</f>
        <v>251-R$500</v>
      </c>
      <c r="W614" s="17">
        <v>126</v>
      </c>
      <c r="X614" s="13" t="str" cm="1">
        <f t="array" ref="X614">_xlfn.IFS(W614 = 0, "0", W614&lt;=20, "até R$20",W614&lt;=40, "21 - R$40",W614&lt;=60, "41- R$60",W614&lt;=80, "61 - R$80", W614&lt;=100, "81 - R$100",W614&lt;=120, "101 - R$120",W614&lt;=140, "121 - R$140", W614&lt;=160, "141- R$160", W614&lt;=180, "161 - R$180", W614&lt;=200, "181-R$194")</f>
        <v>121 - R$140</v>
      </c>
      <c r="Y614" s="17">
        <v>342</v>
      </c>
      <c r="Z614" s="17">
        <v>0</v>
      </c>
      <c r="AA614" s="17">
        <v>45</v>
      </c>
      <c r="AB614" s="17">
        <v>180</v>
      </c>
      <c r="AC614" s="17">
        <v>5</v>
      </c>
      <c r="AD614" s="17">
        <v>8</v>
      </c>
      <c r="AE614" s="17">
        <v>4</v>
      </c>
      <c r="AF614" s="17">
        <v>11</v>
      </c>
      <c r="AG614" s="17">
        <v>6</v>
      </c>
      <c r="AH614" s="17">
        <v>0</v>
      </c>
      <c r="AI614" s="17">
        <v>0</v>
      </c>
      <c r="AJ614" s="17">
        <v>0</v>
      </c>
      <c r="AK614" s="17">
        <v>0</v>
      </c>
      <c r="AL614" s="17">
        <v>0</v>
      </c>
      <c r="AM614" s="17">
        <v>0</v>
      </c>
      <c r="AN614" s="17">
        <v>0</v>
      </c>
      <c r="AO614" s="18">
        <v>0</v>
      </c>
      <c r="AP614" s="17">
        <v>3</v>
      </c>
      <c r="AQ614" s="17">
        <v>11</v>
      </c>
      <c r="AR614" s="19">
        <v>720</v>
      </c>
      <c r="AS614" s="19">
        <v>900</v>
      </c>
    </row>
    <row r="615" spans="1:45" x14ac:dyDescent="0.25">
      <c r="A615">
        <v>1758</v>
      </c>
      <c r="B615" s="11">
        <f t="shared" si="9"/>
        <v>71232</v>
      </c>
      <c r="C615" s="12">
        <v>712320</v>
      </c>
      <c r="D615" s="13">
        <v>0</v>
      </c>
      <c r="E615" s="13">
        <v>1</v>
      </c>
      <c r="F615" s="13">
        <v>91</v>
      </c>
      <c r="G615" s="13">
        <v>61</v>
      </c>
      <c r="H615" s="13" t="str" cm="1">
        <f t="array" ref="H615">_xlfn.IFS(G615&lt;=20,"0-20",G615&lt;=30,"20-30",G615&lt;=40,"30-40",G615&lt;=50,"50-60",G615&lt;=60,"60-70",G615&lt;=70,"70-80",G615&lt;=80,"80-90")</f>
        <v>70-80</v>
      </c>
      <c r="I615" s="13">
        <v>2372</v>
      </c>
      <c r="J615" s="13" t="str" cm="1">
        <f t="array" ref="J615">_xlfn.IFS(K615=1,"Divorciado",L615=1,"Casado",M615=1,"Solteiro",N615=1,"Juntos",O615=1,"Viuvo")</f>
        <v>Juntos</v>
      </c>
      <c r="K615" s="13">
        <v>0</v>
      </c>
      <c r="L615" s="13">
        <v>0</v>
      </c>
      <c r="M615" s="13">
        <v>0</v>
      </c>
      <c r="N615" s="13">
        <v>1</v>
      </c>
      <c r="O615" s="13">
        <v>0</v>
      </c>
      <c r="P615" s="13">
        <v>0</v>
      </c>
      <c r="Q615" s="13">
        <v>0</v>
      </c>
      <c r="R615" s="13">
        <v>1</v>
      </c>
      <c r="S615" s="13">
        <v>0</v>
      </c>
      <c r="T615" s="13">
        <v>0</v>
      </c>
      <c r="U615" s="13">
        <v>653</v>
      </c>
      <c r="V615" s="13" t="str" cm="1">
        <f t="array" ref="V615">_xlfn.IFS(U615&lt;=250,"0-R$250",U615&lt;=500,"251-R$500",U615&lt;=750,"501-R$750",U615&lt;=1000,"751-R$1000",U615&lt;=1250,"1001-R$1250",U615&lt;=1500,"1251-R$1500")</f>
        <v>501-R$750</v>
      </c>
      <c r="W615" s="13">
        <v>17</v>
      </c>
      <c r="X615" s="13" t="str" cm="1">
        <f t="array" ref="X615">_xlfn.IFS(W615 = 0, "0", W615&lt;=20, "até R$20",W615&lt;=40, "21 - R$40",W615&lt;=60, "41- R$60",W615&lt;=80, "61 - R$80", W615&lt;=100, "81 - R$100",W615&lt;=120, "101 - R$120",W615&lt;=140, "121 - R$140", W615&lt;=160, "141- R$160", W615&lt;=180, "161 - R$180", W615&lt;=200, "181-R$194")</f>
        <v>até R$20</v>
      </c>
      <c r="Y615" s="13">
        <v>170</v>
      </c>
      <c r="Z615" s="13">
        <v>34</v>
      </c>
      <c r="AA615" s="13">
        <v>26</v>
      </c>
      <c r="AB615" s="13">
        <v>17</v>
      </c>
      <c r="AC615" s="13">
        <v>2</v>
      </c>
      <c r="AD615" s="13">
        <v>11</v>
      </c>
      <c r="AE615" s="13">
        <v>2</v>
      </c>
      <c r="AF615" s="13">
        <v>10</v>
      </c>
      <c r="AG615" s="13">
        <v>7</v>
      </c>
      <c r="AH615" s="13">
        <v>0</v>
      </c>
      <c r="AI615" s="13">
        <v>0</v>
      </c>
      <c r="AJ615" s="13">
        <v>0</v>
      </c>
      <c r="AK615" s="13">
        <v>0</v>
      </c>
      <c r="AL615" s="13">
        <v>0</v>
      </c>
      <c r="AM615" s="13">
        <v>0</v>
      </c>
      <c r="AN615" s="13">
        <v>0</v>
      </c>
      <c r="AO615" s="14">
        <v>0</v>
      </c>
      <c r="AP615" s="13">
        <v>3</v>
      </c>
      <c r="AQ615" s="13">
        <v>11</v>
      </c>
      <c r="AR615" s="15">
        <v>883</v>
      </c>
      <c r="AS615" s="15">
        <v>900</v>
      </c>
    </row>
    <row r="616" spans="1:45" x14ac:dyDescent="0.25">
      <c r="A616">
        <v>456</v>
      </c>
      <c r="B616" s="11">
        <f t="shared" si="9"/>
        <v>56937</v>
      </c>
      <c r="C616" s="12">
        <v>569370</v>
      </c>
      <c r="D616" s="13">
        <v>1</v>
      </c>
      <c r="E616" s="13">
        <v>0</v>
      </c>
      <c r="F616" s="13">
        <v>81</v>
      </c>
      <c r="G616" s="13">
        <v>39</v>
      </c>
      <c r="H616" s="13" t="str" cm="1">
        <f t="array" ref="H616">_xlfn.IFS(G616&lt;=20,"0-20",G616&lt;=30,"20-30",G616&lt;=40,"30-40",G616&lt;=50,"50-60",G616&lt;=60,"60-70",G616&lt;=70,"70-80",G616&lt;=80,"80-90")</f>
        <v>30-40</v>
      </c>
      <c r="I616" s="13">
        <v>2853</v>
      </c>
      <c r="J616" s="13" t="str" cm="1">
        <f t="array" ref="J616">_xlfn.IFS(K616=1,"Divorciado",L616=1,"Casado",M616=1,"Solteiro",N616=1,"Juntos",O616=1,"Viuvo")</f>
        <v>Juntos</v>
      </c>
      <c r="K616" s="13">
        <v>0</v>
      </c>
      <c r="L616" s="13">
        <v>0</v>
      </c>
      <c r="M616" s="13">
        <v>0</v>
      </c>
      <c r="N616" s="13">
        <v>1</v>
      </c>
      <c r="O616" s="13">
        <v>0</v>
      </c>
      <c r="P616" s="13">
        <v>0</v>
      </c>
      <c r="Q616" s="13">
        <v>0</v>
      </c>
      <c r="R616" s="13">
        <v>0</v>
      </c>
      <c r="S616" s="13">
        <v>0</v>
      </c>
      <c r="T616" s="13">
        <v>1</v>
      </c>
      <c r="U616" s="13">
        <v>746</v>
      </c>
      <c r="V616" s="13" t="str" cm="1">
        <f t="array" ref="V616">_xlfn.IFS(U616&lt;=250,"0-R$250",U616&lt;=500,"251-R$500",U616&lt;=750,"501-R$750",U616&lt;=1000,"751-R$1000",U616&lt;=1250,"1001-R$1250",U616&lt;=1500,"1251-R$1500")</f>
        <v>501-R$750</v>
      </c>
      <c r="W616" s="13">
        <v>8</v>
      </c>
      <c r="X616" s="13" t="str" cm="1">
        <f t="array" ref="X616">_xlfn.IFS(W616 = 0, "0", W616&lt;=20, "até R$20",W616&lt;=40, "21 - R$40",W616&lt;=60, "41- R$60",W616&lt;=80, "61 - R$80", W616&lt;=100, "81 - R$100",W616&lt;=120, "101 - R$120",W616&lt;=140, "121 - R$140", W616&lt;=160, "141- R$160", W616&lt;=180, "161 - R$180", W616&lt;=200, "181-R$194")</f>
        <v>até R$20</v>
      </c>
      <c r="Y616" s="13">
        <v>125</v>
      </c>
      <c r="Z616" s="13">
        <v>11</v>
      </c>
      <c r="AA616" s="13">
        <v>8</v>
      </c>
      <c r="AB616" s="13">
        <v>8</v>
      </c>
      <c r="AC616" s="13">
        <v>7</v>
      </c>
      <c r="AD616" s="13">
        <v>8</v>
      </c>
      <c r="AE616" s="13">
        <v>6</v>
      </c>
      <c r="AF616" s="13">
        <v>9</v>
      </c>
      <c r="AG616" s="13">
        <v>6</v>
      </c>
      <c r="AH616" s="13">
        <v>0</v>
      </c>
      <c r="AI616" s="13">
        <v>0</v>
      </c>
      <c r="AJ616" s="13">
        <v>1</v>
      </c>
      <c r="AK616" s="13">
        <v>0</v>
      </c>
      <c r="AL616" s="13">
        <v>0</v>
      </c>
      <c r="AM616" s="13">
        <v>0</v>
      </c>
      <c r="AN616" s="13">
        <v>1</v>
      </c>
      <c r="AO616" s="14">
        <v>1</v>
      </c>
      <c r="AP616" s="13">
        <v>3</v>
      </c>
      <c r="AQ616" s="13">
        <v>11</v>
      </c>
      <c r="AR616" s="15">
        <v>890</v>
      </c>
      <c r="AS616" s="15">
        <v>898</v>
      </c>
    </row>
    <row r="617" spans="1:45" x14ac:dyDescent="0.25">
      <c r="A617">
        <v>876</v>
      </c>
      <c r="B617" s="11">
        <f t="shared" si="9"/>
        <v>55260</v>
      </c>
      <c r="C617" s="12">
        <v>552600</v>
      </c>
      <c r="D617" s="13">
        <v>0</v>
      </c>
      <c r="E617" s="13">
        <v>1</v>
      </c>
      <c r="F617" s="13">
        <v>81</v>
      </c>
      <c r="G617" s="13">
        <v>48</v>
      </c>
      <c r="H617" s="13" t="str" cm="1">
        <f t="array" ref="H617">_xlfn.IFS(G617&lt;=20,"0-20",G617&lt;=30,"20-30",G617&lt;=40,"30-40",G617&lt;=50,"50-60",G617&lt;=60,"60-70",G617&lt;=70,"70-80",G617&lt;=80,"80-90")</f>
        <v>50-60</v>
      </c>
      <c r="I617" s="13">
        <v>2723</v>
      </c>
      <c r="J617" s="13" t="str" cm="1">
        <f t="array" ref="J617">_xlfn.IFS(K617=1,"Divorciado",L617=1,"Casado",M617=1,"Solteiro",N617=1,"Juntos",O617=1,"Viuvo")</f>
        <v>Solteiro</v>
      </c>
      <c r="K617" s="13">
        <v>0</v>
      </c>
      <c r="L617" s="13">
        <v>0</v>
      </c>
      <c r="M617" s="13">
        <v>1</v>
      </c>
      <c r="N617" s="13">
        <v>0</v>
      </c>
      <c r="O617" s="13">
        <v>0</v>
      </c>
      <c r="P617" s="13">
        <v>0</v>
      </c>
      <c r="Q617" s="13">
        <v>0</v>
      </c>
      <c r="R617" s="13">
        <v>0</v>
      </c>
      <c r="S617" s="13">
        <v>0</v>
      </c>
      <c r="T617" s="13">
        <v>1</v>
      </c>
      <c r="U617" s="13">
        <v>825</v>
      </c>
      <c r="V617" s="13" t="str" cm="1">
        <f t="array" ref="V617">_xlfn.IFS(U617&lt;=250,"0-R$250",U617&lt;=500,"251-R$500",U617&lt;=750,"501-R$750",U617&lt;=1000,"751-R$1000",U617&lt;=1250,"1001-R$1250",U617&lt;=1500,"1251-R$1500")</f>
        <v>751-R$1000</v>
      </c>
      <c r="W617" s="13">
        <v>8</v>
      </c>
      <c r="X617" s="13" t="str" cm="1">
        <f t="array" ref="X617">_xlfn.IFS(W617 = 0, "0", W617&lt;=20, "até R$20",W617&lt;=40, "21 - R$40",W617&lt;=60, "41- R$60",W617&lt;=80, "61 - R$80", W617&lt;=100, "81 - R$100",W617&lt;=120, "101 - R$120",W617&lt;=140, "121 - R$140", W617&lt;=160, "141- R$160", W617&lt;=180, "161 - R$180", W617&lt;=200, "181-R$194")</f>
        <v>até R$20</v>
      </c>
      <c r="Y617" s="13">
        <v>53</v>
      </c>
      <c r="Z617" s="13">
        <v>11</v>
      </c>
      <c r="AA617" s="13">
        <v>0</v>
      </c>
      <c r="AB617" s="13">
        <v>242</v>
      </c>
      <c r="AC617" s="13">
        <v>2</v>
      </c>
      <c r="AD617" s="13">
        <v>8</v>
      </c>
      <c r="AE617" s="13">
        <v>10</v>
      </c>
      <c r="AF617" s="13">
        <v>5</v>
      </c>
      <c r="AG617" s="13">
        <v>6</v>
      </c>
      <c r="AH617" s="13">
        <v>0</v>
      </c>
      <c r="AI617" s="13">
        <v>0</v>
      </c>
      <c r="AJ617" s="13">
        <v>0</v>
      </c>
      <c r="AK617" s="13">
        <v>0</v>
      </c>
      <c r="AL617" s="13">
        <v>0</v>
      </c>
      <c r="AM617" s="13">
        <v>0</v>
      </c>
      <c r="AN617" s="13">
        <v>0</v>
      </c>
      <c r="AO617" s="14">
        <v>0</v>
      </c>
      <c r="AP617" s="13">
        <v>3</v>
      </c>
      <c r="AQ617" s="13">
        <v>11</v>
      </c>
      <c r="AR617" s="15">
        <v>655</v>
      </c>
      <c r="AS617" s="15">
        <v>897</v>
      </c>
    </row>
    <row r="618" spans="1:45" x14ac:dyDescent="0.25">
      <c r="A618">
        <v>1787</v>
      </c>
      <c r="B618" s="11">
        <f t="shared" si="9"/>
        <v>79734</v>
      </c>
      <c r="C618" s="16">
        <v>797340</v>
      </c>
      <c r="D618" s="17">
        <v>0</v>
      </c>
      <c r="E618" s="17">
        <v>0</v>
      </c>
      <c r="F618" s="17">
        <v>72</v>
      </c>
      <c r="G618" s="17">
        <v>51</v>
      </c>
      <c r="H618" s="13" t="str" cm="1">
        <f t="array" ref="H618">_xlfn.IFS(G618&lt;=20,"0-20",G618&lt;=30,"20-30",G618&lt;=40,"30-40",G618&lt;=50,"50-60",G618&lt;=60,"60-70",G618&lt;=70,"70-80",G618&lt;=80,"80-90")</f>
        <v>60-70</v>
      </c>
      <c r="I618" s="17">
        <v>2160</v>
      </c>
      <c r="J618" s="13" t="str" cm="1">
        <f t="array" ref="J618">_xlfn.IFS(K618=1,"Divorciado",L618=1,"Casado",M618=1,"Solteiro",N618=1,"Juntos",O618=1,"Viuvo")</f>
        <v>Casado</v>
      </c>
      <c r="K618" s="17">
        <v>0</v>
      </c>
      <c r="L618" s="17">
        <v>1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1</v>
      </c>
      <c r="T618" s="17">
        <v>0</v>
      </c>
      <c r="U618" s="17">
        <v>572</v>
      </c>
      <c r="V618" s="13" t="str" cm="1">
        <f t="array" ref="V618">_xlfn.IFS(U618&lt;=250,"0-R$250",U618&lt;=500,"251-R$500",U618&lt;=750,"501-R$750",U618&lt;=1000,"751-R$1000",U618&lt;=1250,"1001-R$1250",U618&lt;=1500,"1251-R$1500")</f>
        <v>501-R$750</v>
      </c>
      <c r="W618" s="17">
        <v>8</v>
      </c>
      <c r="X618" s="13" t="str" cm="1">
        <f t="array" ref="X618">_xlfn.IFS(W618 = 0, "0", W618&lt;=20, "até R$20",W618&lt;=40, "21 - R$40",W618&lt;=60, "41- R$60",W618&lt;=80, "61 - R$80", W618&lt;=100, "81 - R$100",W618&lt;=120, "101 - R$120",W618&lt;=140, "121 - R$140", W618&lt;=160, "141- R$160", W618&lt;=180, "161 - R$180", W618&lt;=200, "181-R$194")</f>
        <v>até R$20</v>
      </c>
      <c r="Y618" s="17">
        <v>232</v>
      </c>
      <c r="Z618" s="17">
        <v>23</v>
      </c>
      <c r="AA618" s="17">
        <v>62</v>
      </c>
      <c r="AB618" s="17">
        <v>17</v>
      </c>
      <c r="AC618" s="17">
        <v>1</v>
      </c>
      <c r="AD618" s="17">
        <v>4</v>
      </c>
      <c r="AE618" s="17">
        <v>3</v>
      </c>
      <c r="AF618" s="17">
        <v>6</v>
      </c>
      <c r="AG618" s="17">
        <v>1</v>
      </c>
      <c r="AH618" s="17">
        <v>0</v>
      </c>
      <c r="AI618" s="17">
        <v>0</v>
      </c>
      <c r="AJ618" s="17">
        <v>0</v>
      </c>
      <c r="AK618" s="17">
        <v>0</v>
      </c>
      <c r="AL618" s="17">
        <v>1</v>
      </c>
      <c r="AM618" s="17">
        <v>0</v>
      </c>
      <c r="AN618" s="17">
        <v>0</v>
      </c>
      <c r="AO618" s="18">
        <v>1</v>
      </c>
      <c r="AP618" s="17">
        <v>3</v>
      </c>
      <c r="AQ618" s="17">
        <v>11</v>
      </c>
      <c r="AR618" s="19">
        <v>880</v>
      </c>
      <c r="AS618" s="19">
        <v>897</v>
      </c>
    </row>
    <row r="619" spans="1:45" x14ac:dyDescent="0.25">
      <c r="A619">
        <v>2027</v>
      </c>
      <c r="B619" s="11">
        <f t="shared" si="9"/>
        <v>76320</v>
      </c>
      <c r="C619" s="16">
        <v>763200</v>
      </c>
      <c r="D619" s="17">
        <v>0</v>
      </c>
      <c r="E619" s="17">
        <v>1</v>
      </c>
      <c r="F619" s="17">
        <v>49</v>
      </c>
      <c r="G619" s="17">
        <v>61</v>
      </c>
      <c r="H619" s="13" t="str" cm="1">
        <f t="array" ref="H619">_xlfn.IFS(G619&lt;=20,"0-20",G619&lt;=30,"20-30",G619&lt;=40,"30-40",G619&lt;=50,"50-60",G619&lt;=60,"60-70",G619&lt;=70,"70-80",G619&lt;=80,"80-90")</f>
        <v>70-80</v>
      </c>
      <c r="I619" s="17">
        <v>2166</v>
      </c>
      <c r="J619" s="13" t="str" cm="1">
        <f t="array" ref="J619">_xlfn.IFS(K619=1,"Divorciado",L619=1,"Casado",M619=1,"Solteiro",N619=1,"Juntos",O619=1,"Viuvo")</f>
        <v>Viuvo</v>
      </c>
      <c r="K619" s="17">
        <v>0</v>
      </c>
      <c r="L619" s="17">
        <v>0</v>
      </c>
      <c r="M619" s="17">
        <v>0</v>
      </c>
      <c r="N619" s="17">
        <v>0</v>
      </c>
      <c r="O619" s="17">
        <v>1</v>
      </c>
      <c r="P619" s="17">
        <v>0</v>
      </c>
      <c r="Q619" s="17">
        <v>0</v>
      </c>
      <c r="R619" s="17">
        <v>1</v>
      </c>
      <c r="S619" s="17">
        <v>0</v>
      </c>
      <c r="T619" s="17">
        <v>0</v>
      </c>
      <c r="U619" s="17">
        <v>526</v>
      </c>
      <c r="V619" s="13" t="str" cm="1">
        <f t="array" ref="V619">_xlfn.IFS(U619&lt;=250,"0-R$250",U619&lt;=500,"251-R$500",U619&lt;=750,"501-R$750",U619&lt;=1000,"751-R$1000",U619&lt;=1250,"1001-R$1250",U619&lt;=1500,"1251-R$1500")</f>
        <v>501-R$750</v>
      </c>
      <c r="W619" s="17">
        <v>35</v>
      </c>
      <c r="X619" s="13" t="str" cm="1">
        <f t="array" ref="X619">_xlfn.IFS(W619 = 0, "0", W619&lt;=20, "até R$20",W619&lt;=40, "21 - R$40",W619&lt;=60, "41- R$60",W619&lt;=80, "61 - R$80", W619&lt;=100, "81 - R$100",W619&lt;=120, "101 - R$120",W619&lt;=140, "121 - R$140", W619&lt;=160, "141- R$160", W619&lt;=180, "161 - R$180", W619&lt;=200, "181-R$194")</f>
        <v>21 - R$40</v>
      </c>
      <c r="Y619" s="17">
        <v>214</v>
      </c>
      <c r="Z619" s="17">
        <v>69</v>
      </c>
      <c r="AA619" s="17">
        <v>53</v>
      </c>
      <c r="AB619" s="17">
        <v>35</v>
      </c>
      <c r="AC619" s="17">
        <v>2</v>
      </c>
      <c r="AD619" s="17">
        <v>6</v>
      </c>
      <c r="AE619" s="17">
        <v>3</v>
      </c>
      <c r="AF619" s="17">
        <v>4</v>
      </c>
      <c r="AG619" s="17">
        <v>2</v>
      </c>
      <c r="AH619" s="17">
        <v>0</v>
      </c>
      <c r="AI619" s="17">
        <v>0</v>
      </c>
      <c r="AJ619" s="17">
        <v>0</v>
      </c>
      <c r="AK619" s="17">
        <v>0</v>
      </c>
      <c r="AL619" s="17">
        <v>0</v>
      </c>
      <c r="AM619" s="17">
        <v>0</v>
      </c>
      <c r="AN619" s="17">
        <v>0</v>
      </c>
      <c r="AO619" s="18">
        <v>0</v>
      </c>
      <c r="AP619" s="17">
        <v>3</v>
      </c>
      <c r="AQ619" s="17">
        <v>11</v>
      </c>
      <c r="AR619" s="19">
        <v>862</v>
      </c>
      <c r="AS619" s="19">
        <v>897</v>
      </c>
    </row>
    <row r="620" spans="1:45" x14ac:dyDescent="0.25">
      <c r="A620">
        <v>2080</v>
      </c>
      <c r="B620" s="11">
        <f t="shared" si="9"/>
        <v>44953</v>
      </c>
      <c r="C620" s="12">
        <v>449530</v>
      </c>
      <c r="D620" s="13">
        <v>0</v>
      </c>
      <c r="E620" s="13">
        <v>0</v>
      </c>
      <c r="F620" s="13">
        <v>31</v>
      </c>
      <c r="G620" s="13">
        <v>39</v>
      </c>
      <c r="H620" s="13" t="str" cm="1">
        <f t="array" ref="H620">_xlfn.IFS(G620&lt;=20,"0-20",G620&lt;=30,"20-30",G620&lt;=40,"30-40",G620&lt;=50,"50-60",G620&lt;=60,"60-70",G620&lt;=70,"70-80",G620&lt;=80,"80-90")</f>
        <v>30-40</v>
      </c>
      <c r="I620" s="13">
        <v>2714</v>
      </c>
      <c r="J620" s="13" t="str" cm="1">
        <f t="array" ref="J620">_xlfn.IFS(K620=1,"Divorciado",L620=1,"Casado",M620=1,"Solteiro",N620=1,"Juntos",O620=1,"Viuvo")</f>
        <v>Juntos</v>
      </c>
      <c r="K620" s="13">
        <v>0</v>
      </c>
      <c r="L620" s="13">
        <v>0</v>
      </c>
      <c r="M620" s="13">
        <v>0</v>
      </c>
      <c r="N620" s="13">
        <v>1</v>
      </c>
      <c r="O620" s="13">
        <v>0</v>
      </c>
      <c r="P620" s="13">
        <v>0</v>
      </c>
      <c r="Q620" s="13">
        <v>0</v>
      </c>
      <c r="R620" s="13">
        <v>0</v>
      </c>
      <c r="S620" s="13">
        <v>0</v>
      </c>
      <c r="T620" s="13">
        <v>1</v>
      </c>
      <c r="U620" s="13">
        <v>728</v>
      </c>
      <c r="V620" s="13" t="str" cm="1">
        <f t="array" ref="V620">_xlfn.IFS(U620&lt;=250,"0-R$250",U620&lt;=500,"251-R$500",U620&lt;=750,"501-R$750",U620&lt;=1000,"751-R$1000",U620&lt;=1250,"1001-R$1250",U620&lt;=1500,"1251-R$1500")</f>
        <v>501-R$750</v>
      </c>
      <c r="W620" s="13">
        <v>17</v>
      </c>
      <c r="X620" s="13" t="str" cm="1">
        <f t="array" ref="X620">_xlfn.IFS(W620 = 0, "0", W620&lt;=20, "até R$20",W620&lt;=40, "21 - R$40",W620&lt;=60, "41- R$60",W620&lt;=80, "61 - R$80", W620&lt;=100, "81 - R$100",W620&lt;=120, "101 - R$120",W620&lt;=140, "121 - R$140", W620&lt;=160, "141- R$160", W620&lt;=180, "161 - R$180", W620&lt;=200, "181-R$194")</f>
        <v>até R$20</v>
      </c>
      <c r="Y620" s="13">
        <v>133</v>
      </c>
      <c r="Z620" s="13">
        <v>11</v>
      </c>
      <c r="AA620" s="13">
        <v>8</v>
      </c>
      <c r="AB620" s="13">
        <v>124</v>
      </c>
      <c r="AC620" s="13">
        <v>1</v>
      </c>
      <c r="AD620" s="13">
        <v>7</v>
      </c>
      <c r="AE620" s="13">
        <v>3</v>
      </c>
      <c r="AF620" s="13">
        <v>13</v>
      </c>
      <c r="AG620" s="13">
        <v>6</v>
      </c>
      <c r="AH620" s="13">
        <v>0</v>
      </c>
      <c r="AI620" s="13">
        <v>1</v>
      </c>
      <c r="AJ620" s="13">
        <v>0</v>
      </c>
      <c r="AK620" s="13">
        <v>0</v>
      </c>
      <c r="AL620" s="13">
        <v>0</v>
      </c>
      <c r="AM620" s="13">
        <v>0</v>
      </c>
      <c r="AN620" s="13">
        <v>0</v>
      </c>
      <c r="AO620" s="14">
        <v>1</v>
      </c>
      <c r="AP620" s="13">
        <v>3</v>
      </c>
      <c r="AQ620" s="13">
        <v>11</v>
      </c>
      <c r="AR620" s="15">
        <v>773</v>
      </c>
      <c r="AS620" s="15">
        <v>897</v>
      </c>
    </row>
    <row r="621" spans="1:45" x14ac:dyDescent="0.25">
      <c r="A621">
        <v>1508</v>
      </c>
      <c r="B621" s="11">
        <f t="shared" si="9"/>
        <v>69283</v>
      </c>
      <c r="C621" s="12">
        <v>692830</v>
      </c>
      <c r="D621" s="13">
        <v>0</v>
      </c>
      <c r="E621" s="13">
        <v>1</v>
      </c>
      <c r="F621" s="13">
        <v>41</v>
      </c>
      <c r="G621" s="13">
        <v>45</v>
      </c>
      <c r="H621" s="13" t="str" cm="1">
        <f t="array" ref="H621">_xlfn.IFS(G621&lt;=20,"0-20",G621&lt;=30,"20-30",G621&lt;=40,"30-40",G621&lt;=50,"50-60",G621&lt;=60,"60-70",G621&lt;=70,"70-80",G621&lt;=80,"80-90")</f>
        <v>50-60</v>
      </c>
      <c r="I621" s="13">
        <v>2174</v>
      </c>
      <c r="J621" s="13" t="str" cm="1">
        <f t="array" ref="J621">_xlfn.IFS(K621=1,"Divorciado",L621=1,"Casado",M621=1,"Solteiro",N621=1,"Juntos",O621=1,"Viuvo")</f>
        <v>Casado</v>
      </c>
      <c r="K621" s="13">
        <v>0</v>
      </c>
      <c r="L621" s="13">
        <v>1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0</v>
      </c>
      <c r="S621" s="13">
        <v>0</v>
      </c>
      <c r="T621" s="13">
        <v>1</v>
      </c>
      <c r="U621" s="13">
        <v>674</v>
      </c>
      <c r="V621" s="13" t="str" cm="1">
        <f t="array" ref="V621">_xlfn.IFS(U621&lt;=250,"0-R$250",U621&lt;=500,"251-R$500",U621&lt;=750,"501-R$750",U621&lt;=1000,"751-R$1000",U621&lt;=1250,"1001-R$1250",U621&lt;=1500,"1251-R$1500")</f>
        <v>501-R$750</v>
      </c>
      <c r="W621" s="13">
        <v>62</v>
      </c>
      <c r="X621" s="13" t="str" cm="1">
        <f t="array" ref="X621">_xlfn.IFS(W621 = 0, "0", W621&lt;=20, "até R$20",W621&lt;=40, "21 - R$40",W621&lt;=60, "41- R$60",W621&lt;=80, "61 - R$80", W621&lt;=100, "81 - R$100",W621&lt;=120, "101 - R$120",W621&lt;=140, "121 - R$140", W621&lt;=160, "141- R$160", W621&lt;=180, "161 - R$180", W621&lt;=200, "181-R$194")</f>
        <v>61 - R$80</v>
      </c>
      <c r="Y621" s="13">
        <v>134</v>
      </c>
      <c r="Z621" s="13">
        <v>0</v>
      </c>
      <c r="AA621" s="13">
        <v>26</v>
      </c>
      <c r="AB621" s="13">
        <v>8</v>
      </c>
      <c r="AC621" s="13">
        <v>4</v>
      </c>
      <c r="AD621" s="13">
        <v>7</v>
      </c>
      <c r="AE621" s="13">
        <v>3</v>
      </c>
      <c r="AF621" s="13">
        <v>13</v>
      </c>
      <c r="AG621" s="13">
        <v>5</v>
      </c>
      <c r="AH621" s="13">
        <v>0</v>
      </c>
      <c r="AI621" s="13">
        <v>0</v>
      </c>
      <c r="AJ621" s="13">
        <v>0</v>
      </c>
      <c r="AK621" s="13">
        <v>0</v>
      </c>
      <c r="AL621" s="13">
        <v>0</v>
      </c>
      <c r="AM621" s="13">
        <v>0</v>
      </c>
      <c r="AN621" s="13">
        <v>0</v>
      </c>
      <c r="AO621" s="14">
        <v>0</v>
      </c>
      <c r="AP621" s="13">
        <v>3</v>
      </c>
      <c r="AQ621" s="13">
        <v>11</v>
      </c>
      <c r="AR621" s="15">
        <v>888</v>
      </c>
      <c r="AS621" s="15">
        <v>896</v>
      </c>
    </row>
    <row r="622" spans="1:45" x14ac:dyDescent="0.25">
      <c r="A622">
        <v>778</v>
      </c>
      <c r="B622" s="11">
        <f t="shared" si="9"/>
        <v>60161</v>
      </c>
      <c r="C622" s="12">
        <v>601610</v>
      </c>
      <c r="D622" s="13">
        <v>0</v>
      </c>
      <c r="E622" s="13">
        <v>1</v>
      </c>
      <c r="F622" s="13">
        <v>17</v>
      </c>
      <c r="G622" s="13">
        <v>55</v>
      </c>
      <c r="H622" s="13" t="str" cm="1">
        <f t="array" ref="H622">_xlfn.IFS(G622&lt;=20,"0-20",G622&lt;=30,"20-30",G622&lt;=40,"30-40",G622&lt;=50,"50-60",G622&lt;=60,"60-70",G622&lt;=70,"70-80",G622&lt;=80,"80-90")</f>
        <v>60-70</v>
      </c>
      <c r="I622" s="13">
        <v>2773</v>
      </c>
      <c r="J622" s="13" t="str" cm="1">
        <f t="array" ref="J622">_xlfn.IFS(K622=1,"Divorciado",L622=1,"Casado",M622=1,"Solteiro",N622=1,"Juntos",O622=1,"Viuvo")</f>
        <v>Divorciado</v>
      </c>
      <c r="K622" s="13">
        <v>1</v>
      </c>
      <c r="L622" s="13">
        <v>0</v>
      </c>
      <c r="M622" s="13">
        <v>0</v>
      </c>
      <c r="N622" s="13">
        <v>0</v>
      </c>
      <c r="O622" s="13">
        <v>0</v>
      </c>
      <c r="P622" s="13">
        <v>1</v>
      </c>
      <c r="Q622" s="13">
        <v>0</v>
      </c>
      <c r="R622" s="13">
        <v>0</v>
      </c>
      <c r="S622" s="13">
        <v>0</v>
      </c>
      <c r="T622" s="13">
        <v>0</v>
      </c>
      <c r="U622" s="13">
        <v>584</v>
      </c>
      <c r="V622" s="13" t="str" cm="1">
        <f t="array" ref="V622">_xlfn.IFS(U622&lt;=250,"0-R$250",U622&lt;=500,"251-R$500",U622&lt;=750,"501-R$750",U622&lt;=1000,"751-R$1000",U622&lt;=1250,"1001-R$1250",U622&lt;=1500,"1251-R$1500")</f>
        <v>501-R$750</v>
      </c>
      <c r="W622" s="13">
        <v>44</v>
      </c>
      <c r="X622" s="13" t="str" cm="1">
        <f t="array" ref="X622">_xlfn.IFS(W622 = 0, "0", W622&lt;=20, "até R$20",W622&lt;=40, "21 - R$40",W622&lt;=60, "41- R$60",W622&lt;=80, "61 - R$80", W622&lt;=100, "81 - R$100",W622&lt;=120, "101 - R$120",W622&lt;=140, "121 - R$140", W622&lt;=160, "141- R$160", W622&lt;=180, "161 - R$180", W622&lt;=200, "181-R$194")</f>
        <v>41- R$60</v>
      </c>
      <c r="Y622" s="13">
        <v>212</v>
      </c>
      <c r="Z622" s="13">
        <v>46</v>
      </c>
      <c r="AA622" s="13">
        <v>8</v>
      </c>
      <c r="AB622" s="13">
        <v>177</v>
      </c>
      <c r="AC622" s="13">
        <v>3</v>
      </c>
      <c r="AD622" s="13">
        <v>11</v>
      </c>
      <c r="AE622" s="13">
        <v>4</v>
      </c>
      <c r="AF622" s="13">
        <v>8</v>
      </c>
      <c r="AG622" s="13">
        <v>8</v>
      </c>
      <c r="AH622" s="13">
        <v>0</v>
      </c>
      <c r="AI622" s="13">
        <v>0</v>
      </c>
      <c r="AJ622" s="13">
        <v>0</v>
      </c>
      <c r="AK622" s="13">
        <v>0</v>
      </c>
      <c r="AL622" s="13">
        <v>0</v>
      </c>
      <c r="AM622" s="13">
        <v>0</v>
      </c>
      <c r="AN622" s="13">
        <v>0</v>
      </c>
      <c r="AO622" s="14">
        <v>0</v>
      </c>
      <c r="AP622" s="13">
        <v>3</v>
      </c>
      <c r="AQ622" s="13">
        <v>11</v>
      </c>
      <c r="AR622" s="15">
        <v>717</v>
      </c>
      <c r="AS622" s="15">
        <v>894</v>
      </c>
    </row>
    <row r="623" spans="1:45" x14ac:dyDescent="0.25">
      <c r="A623">
        <v>789</v>
      </c>
      <c r="B623" s="11">
        <f t="shared" si="9"/>
        <v>59666</v>
      </c>
      <c r="C623" s="16">
        <v>596660</v>
      </c>
      <c r="D623" s="17">
        <v>1</v>
      </c>
      <c r="E623" s="17">
        <v>1</v>
      </c>
      <c r="F623" s="17">
        <v>87</v>
      </c>
      <c r="G623" s="17">
        <v>48</v>
      </c>
      <c r="H623" s="13" t="str" cm="1">
        <f t="array" ref="H623">_xlfn.IFS(G623&lt;=20,"0-20",G623&lt;=30,"20-30",G623&lt;=40,"30-40",G623&lt;=50,"50-60",G623&lt;=60,"60-70",G623&lt;=70,"70-80",G623&lt;=80,"80-90")</f>
        <v>50-60</v>
      </c>
      <c r="I623" s="17">
        <v>2623</v>
      </c>
      <c r="J623" s="13" t="str" cm="1">
        <f t="array" ref="J623">_xlfn.IFS(K623=1,"Divorciado",L623=1,"Casado",M623=1,"Solteiro",N623=1,"Juntos",O623=1,"Viuvo")</f>
        <v>Casado</v>
      </c>
      <c r="K623" s="17">
        <v>0</v>
      </c>
      <c r="L623" s="17">
        <v>1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1</v>
      </c>
      <c r="S623" s="17">
        <v>0</v>
      </c>
      <c r="T623" s="17">
        <v>0</v>
      </c>
      <c r="U623" s="17">
        <v>623</v>
      </c>
      <c r="V623" s="13" t="str" cm="1">
        <f t="array" ref="V623">_xlfn.IFS(U623&lt;=250,"0-R$250",U623&lt;=500,"251-R$500",U623&lt;=750,"501-R$750",U623&lt;=1000,"751-R$1000",U623&lt;=1250,"1001-R$1250",U623&lt;=1500,"1251-R$1500")</f>
        <v>501-R$750</v>
      </c>
      <c r="W623" s="17">
        <v>53</v>
      </c>
      <c r="X623" s="13" t="str" cm="1">
        <f t="array" ref="X623">_xlfn.IFS(W623 = 0, "0", W623&lt;=20, "até R$20",W623&lt;=40, "21 - R$40",W623&lt;=60, "41- R$60",W623&lt;=80, "61 - R$80", W623&lt;=100, "81 - R$100",W623&lt;=120, "101 - R$120",W623&lt;=140, "121 - R$140", W623&lt;=160, "141- R$160", W623&lt;=180, "161 - R$180", W623&lt;=200, "181-R$194")</f>
        <v>41- R$60</v>
      </c>
      <c r="Y623" s="17">
        <v>178</v>
      </c>
      <c r="Z623" s="17">
        <v>23</v>
      </c>
      <c r="AA623" s="17">
        <v>17</v>
      </c>
      <c r="AB623" s="17">
        <v>133</v>
      </c>
      <c r="AC623" s="17">
        <v>7</v>
      </c>
      <c r="AD623" s="17">
        <v>3</v>
      </c>
      <c r="AE623" s="17">
        <v>2</v>
      </c>
      <c r="AF623" s="17">
        <v>8</v>
      </c>
      <c r="AG623" s="17">
        <v>8</v>
      </c>
      <c r="AH623" s="17">
        <v>0</v>
      </c>
      <c r="AI623" s="17">
        <v>0</v>
      </c>
      <c r="AJ623" s="17">
        <v>1</v>
      </c>
      <c r="AK623" s="17">
        <v>0</v>
      </c>
      <c r="AL623" s="17">
        <v>0</v>
      </c>
      <c r="AM623" s="17">
        <v>0</v>
      </c>
      <c r="AN623" s="17">
        <v>0</v>
      </c>
      <c r="AO623" s="18">
        <v>1</v>
      </c>
      <c r="AP623" s="17">
        <v>3</v>
      </c>
      <c r="AQ623" s="17">
        <v>11</v>
      </c>
      <c r="AR623" s="19">
        <v>761</v>
      </c>
      <c r="AS623" s="19">
        <v>894</v>
      </c>
    </row>
    <row r="624" spans="1:45" x14ac:dyDescent="0.25">
      <c r="A624">
        <v>1807</v>
      </c>
      <c r="B624" s="11">
        <f t="shared" si="9"/>
        <v>54693</v>
      </c>
      <c r="C624" s="16">
        <v>546930</v>
      </c>
      <c r="D624" s="17">
        <v>0</v>
      </c>
      <c r="E624" s="17">
        <v>1</v>
      </c>
      <c r="F624" s="17">
        <v>72</v>
      </c>
      <c r="G624" s="17">
        <v>58</v>
      </c>
      <c r="H624" s="13" t="str" cm="1">
        <f t="array" ref="H624">_xlfn.IFS(G624&lt;=20,"0-20",G624&lt;=30,"20-30",G624&lt;=40,"30-40",G624&lt;=50,"50-60",G624&lt;=60,"60-70",G624&lt;=70,"70-80",G624&lt;=80,"80-90")</f>
        <v>60-70</v>
      </c>
      <c r="I624" s="17">
        <v>2656</v>
      </c>
      <c r="J624" s="13" t="str" cm="1">
        <f t="array" ref="J624">_xlfn.IFS(K624=1,"Divorciado",L624=1,"Casado",M624=1,"Solteiro",N624=1,"Juntos",O624=1,"Viuvo")</f>
        <v>Casado</v>
      </c>
      <c r="K624" s="17">
        <v>0</v>
      </c>
      <c r="L624" s="17">
        <v>1</v>
      </c>
      <c r="M624" s="17">
        <v>0</v>
      </c>
      <c r="N624" s="17">
        <v>0</v>
      </c>
      <c r="O624" s="17">
        <v>0</v>
      </c>
      <c r="P624" s="17">
        <v>0</v>
      </c>
      <c r="Q624" s="17">
        <v>0</v>
      </c>
      <c r="R624" s="17">
        <v>0</v>
      </c>
      <c r="S624" s="17">
        <v>0</v>
      </c>
      <c r="T624" s="17">
        <v>1</v>
      </c>
      <c r="U624" s="17">
        <v>686</v>
      </c>
      <c r="V624" s="13" t="str" cm="1">
        <f t="array" ref="V624">_xlfn.IFS(U624&lt;=250,"0-R$250",U624&lt;=500,"251-R$500",U624&lt;=750,"501-R$750",U624&lt;=1000,"751-R$1000",U624&lt;=1250,"1001-R$1250",U624&lt;=1500,"1251-R$1500")</f>
        <v>501-R$750</v>
      </c>
      <c r="W624" s="17">
        <v>17</v>
      </c>
      <c r="X624" s="13" t="str" cm="1">
        <f t="array" ref="X624">_xlfn.IFS(W624 = 0, "0", W624&lt;=20, "até R$20",W624&lt;=40, "21 - R$40",W624&lt;=60, "41- R$60",W624&lt;=80, "61 - R$80", W624&lt;=100, "81 - R$100",W624&lt;=120, "101 - R$120",W624&lt;=140, "121 - R$140", W624&lt;=160, "141- R$160", W624&lt;=180, "161 - R$180", W624&lt;=200, "181-R$194")</f>
        <v>até R$20</v>
      </c>
      <c r="Y624" s="17">
        <v>142</v>
      </c>
      <c r="Z624" s="17">
        <v>23</v>
      </c>
      <c r="AA624" s="17">
        <v>26</v>
      </c>
      <c r="AB624" s="17">
        <v>35</v>
      </c>
      <c r="AC624" s="17">
        <v>8</v>
      </c>
      <c r="AD624" s="17">
        <v>6</v>
      </c>
      <c r="AE624" s="17">
        <v>4</v>
      </c>
      <c r="AF624" s="17">
        <v>13</v>
      </c>
      <c r="AG624" s="17">
        <v>6</v>
      </c>
      <c r="AH624" s="17">
        <v>0</v>
      </c>
      <c r="AI624" s="17">
        <v>0</v>
      </c>
      <c r="AJ624" s="17">
        <v>0</v>
      </c>
      <c r="AK624" s="17">
        <v>0</v>
      </c>
      <c r="AL624" s="17">
        <v>0</v>
      </c>
      <c r="AM624" s="17">
        <v>0</v>
      </c>
      <c r="AN624" s="17">
        <v>0</v>
      </c>
      <c r="AO624" s="18">
        <v>0</v>
      </c>
      <c r="AP624" s="17">
        <v>3</v>
      </c>
      <c r="AQ624" s="17">
        <v>11</v>
      </c>
      <c r="AR624" s="19">
        <v>859</v>
      </c>
      <c r="AS624" s="19">
        <v>894</v>
      </c>
    </row>
    <row r="625" spans="1:45" x14ac:dyDescent="0.25">
      <c r="A625">
        <v>2005</v>
      </c>
      <c r="B625" s="11">
        <f t="shared" si="9"/>
        <v>68117</v>
      </c>
      <c r="C625" s="16">
        <v>681170</v>
      </c>
      <c r="D625" s="17">
        <v>0</v>
      </c>
      <c r="E625" s="17">
        <v>1</v>
      </c>
      <c r="F625" s="17">
        <v>80</v>
      </c>
      <c r="G625" s="17">
        <v>73</v>
      </c>
      <c r="H625" s="13" t="str" cm="1">
        <f t="array" ref="H625">_xlfn.IFS(G625&lt;=20,"0-20",G625&lt;=30,"20-30",G625&lt;=40,"30-40",G625&lt;=50,"50-60",G625&lt;=60,"60-70",G625&lt;=70,"70-80",G625&lt;=80,"80-90")</f>
        <v>80-90</v>
      </c>
      <c r="I625" s="17">
        <v>2635</v>
      </c>
      <c r="J625" s="13" t="str" cm="1">
        <f t="array" ref="J625">_xlfn.IFS(K625=1,"Divorciado",L625=1,"Casado",M625=1,"Solteiro",N625=1,"Juntos",O625=1,"Viuvo")</f>
        <v>Viuvo</v>
      </c>
      <c r="K625" s="17">
        <v>0</v>
      </c>
      <c r="L625" s="17">
        <v>0</v>
      </c>
      <c r="M625" s="17">
        <v>0</v>
      </c>
      <c r="N625" s="17">
        <v>0</v>
      </c>
      <c r="O625" s="17">
        <v>1</v>
      </c>
      <c r="P625" s="17">
        <v>0</v>
      </c>
      <c r="Q625" s="17">
        <v>0</v>
      </c>
      <c r="R625" s="17">
        <v>0</v>
      </c>
      <c r="S625" s="17">
        <v>0</v>
      </c>
      <c r="T625" s="17">
        <v>1</v>
      </c>
      <c r="U625" s="17">
        <v>618</v>
      </c>
      <c r="V625" s="13" t="str" cm="1">
        <f t="array" ref="V625">_xlfn.IFS(U625&lt;=250,"0-R$250",U625&lt;=500,"251-R$500",U625&lt;=750,"501-R$750",U625&lt;=1000,"751-R$1000",U625&lt;=1250,"1001-R$1250",U625&lt;=1500,"1251-R$1500")</f>
        <v>501-R$750</v>
      </c>
      <c r="W625" s="17">
        <v>44</v>
      </c>
      <c r="X625" s="13" t="str" cm="1">
        <f t="array" ref="X625">_xlfn.IFS(W625 = 0, "0", W625&lt;=20, "até R$20",W625&lt;=40, "21 - R$40",W625&lt;=60, "41- R$60",W625&lt;=80, "61 - R$80", W625&lt;=100, "81 - R$100",W625&lt;=120, "101 - R$120",W625&lt;=140, "121 - R$140", W625&lt;=160, "141- R$160", W625&lt;=180, "161 - R$180", W625&lt;=200, "181-R$194")</f>
        <v>41- R$60</v>
      </c>
      <c r="Y625" s="17">
        <v>215</v>
      </c>
      <c r="Z625" s="17">
        <v>0</v>
      </c>
      <c r="AA625" s="17">
        <v>17</v>
      </c>
      <c r="AB625" s="17">
        <v>36</v>
      </c>
      <c r="AC625" s="17">
        <v>2</v>
      </c>
      <c r="AD625" s="17">
        <v>11</v>
      </c>
      <c r="AE625" s="17">
        <v>8</v>
      </c>
      <c r="AF625" s="17">
        <v>4</v>
      </c>
      <c r="AG625" s="17">
        <v>6</v>
      </c>
      <c r="AH625" s="17">
        <v>0</v>
      </c>
      <c r="AI625" s="17">
        <v>1</v>
      </c>
      <c r="AJ625" s="17">
        <v>0</v>
      </c>
      <c r="AK625" s="17">
        <v>0</v>
      </c>
      <c r="AL625" s="17">
        <v>0</v>
      </c>
      <c r="AM625" s="17">
        <v>0</v>
      </c>
      <c r="AN625" s="17">
        <v>1</v>
      </c>
      <c r="AO625" s="18">
        <v>1</v>
      </c>
      <c r="AP625" s="17">
        <v>3</v>
      </c>
      <c r="AQ625" s="17">
        <v>11</v>
      </c>
      <c r="AR625" s="19">
        <v>858</v>
      </c>
      <c r="AS625" s="19">
        <v>894</v>
      </c>
    </row>
    <row r="626" spans="1:45" x14ac:dyDescent="0.25">
      <c r="A626">
        <v>1149</v>
      </c>
      <c r="B626" s="11">
        <f t="shared" si="9"/>
        <v>77142</v>
      </c>
      <c r="C626" s="16">
        <v>771420</v>
      </c>
      <c r="D626" s="17">
        <v>0</v>
      </c>
      <c r="E626" s="17">
        <v>0</v>
      </c>
      <c r="F626" s="17">
        <v>54</v>
      </c>
      <c r="G626" s="17">
        <v>72</v>
      </c>
      <c r="H626" s="13" t="str" cm="1">
        <f t="array" ref="H626">_xlfn.IFS(G626&lt;=20,"0-20",G626&lt;=30,"20-30",G626&lt;=40,"30-40",G626&lt;=50,"50-60",G626&lt;=60,"60-70",G626&lt;=70,"70-80",G626&lt;=80,"80-90")</f>
        <v>80-90</v>
      </c>
      <c r="I626" s="17">
        <v>2555</v>
      </c>
      <c r="J626" s="13" t="str" cm="1">
        <f t="array" ref="J626">_xlfn.IFS(K626=1,"Divorciado",L626=1,"Casado",M626=1,"Solteiro",N626=1,"Juntos",O626=1,"Viuvo")</f>
        <v>Casado</v>
      </c>
      <c r="K626" s="17">
        <v>0</v>
      </c>
      <c r="L626" s="17">
        <v>1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1</v>
      </c>
      <c r="S626" s="17">
        <v>0</v>
      </c>
      <c r="T626" s="17">
        <v>0</v>
      </c>
      <c r="U626" s="17">
        <v>476</v>
      </c>
      <c r="V626" s="13" t="str" cm="1">
        <f t="array" ref="V626">_xlfn.IFS(U626&lt;=250,"0-R$250",U626&lt;=500,"251-R$500",U626&lt;=750,"501-R$750",U626&lt;=1000,"751-R$1000",U626&lt;=1250,"1001-R$1250",U626&lt;=1500,"1251-R$1500")</f>
        <v>251-R$500</v>
      </c>
      <c r="W626" s="17">
        <v>75</v>
      </c>
      <c r="X626" s="13" t="str" cm="1">
        <f t="array" ref="X626">_xlfn.IFS(W626 = 0, "0", W626&lt;=20, "até R$20",W626&lt;=40, "21 - R$40",W626&lt;=60, "41- R$60",W626&lt;=80, "61 - R$80", W626&lt;=100, "81 - R$100",W626&lt;=120, "101 - R$120",W626&lt;=140, "121 - R$140", W626&lt;=160, "141- R$160", W626&lt;=180, "161 - R$180", W626&lt;=200, "181-R$194")</f>
        <v>61 - R$80</v>
      </c>
      <c r="Y626" s="17">
        <v>162</v>
      </c>
      <c r="Z626" s="17">
        <v>29</v>
      </c>
      <c r="AA626" s="17">
        <v>151</v>
      </c>
      <c r="AB626" s="17">
        <v>97</v>
      </c>
      <c r="AC626" s="17">
        <v>1</v>
      </c>
      <c r="AD626" s="17">
        <v>4</v>
      </c>
      <c r="AE626" s="17">
        <v>4</v>
      </c>
      <c r="AF626" s="17">
        <v>8</v>
      </c>
      <c r="AG626" s="17">
        <v>2</v>
      </c>
      <c r="AH626" s="17">
        <v>0</v>
      </c>
      <c r="AI626" s="17">
        <v>0</v>
      </c>
      <c r="AJ626" s="17">
        <v>0</v>
      </c>
      <c r="AK626" s="17">
        <v>0</v>
      </c>
      <c r="AL626" s="17">
        <v>0</v>
      </c>
      <c r="AM626" s="17">
        <v>0</v>
      </c>
      <c r="AN626" s="17">
        <v>0</v>
      </c>
      <c r="AO626" s="18">
        <v>0</v>
      </c>
      <c r="AP626" s="17">
        <v>3</v>
      </c>
      <c r="AQ626" s="17">
        <v>11</v>
      </c>
      <c r="AR626" s="19">
        <v>796</v>
      </c>
      <c r="AS626" s="19">
        <v>893</v>
      </c>
    </row>
    <row r="627" spans="1:45" x14ac:dyDescent="0.25">
      <c r="A627">
        <v>171</v>
      </c>
      <c r="B627" s="11">
        <f t="shared" si="9"/>
        <v>66835</v>
      </c>
      <c r="C627" s="16">
        <v>668350</v>
      </c>
      <c r="D627" s="17">
        <v>0</v>
      </c>
      <c r="E627" s="17">
        <v>0</v>
      </c>
      <c r="F627" s="17">
        <v>21</v>
      </c>
      <c r="G627" s="17">
        <v>74</v>
      </c>
      <c r="H627" s="13" t="str" cm="1">
        <f t="array" ref="H627">_xlfn.IFS(G627&lt;=20,"0-20",G627&lt;=30,"20-30",G627&lt;=40,"30-40",G627&lt;=50,"50-60",G627&lt;=60,"60-70",G627&lt;=70,"70-80",G627&lt;=80,"80-90")</f>
        <v>80-90</v>
      </c>
      <c r="I627" s="17">
        <v>2433</v>
      </c>
      <c r="J627" s="13" t="str" cm="1">
        <f t="array" ref="J627">_xlfn.IFS(K627=1,"Divorciado",L627=1,"Casado",M627=1,"Solteiro",N627=1,"Juntos",O627=1,"Viuvo")</f>
        <v>Casado</v>
      </c>
      <c r="K627" s="17">
        <v>0</v>
      </c>
      <c r="L627" s="17">
        <v>1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1</v>
      </c>
      <c r="T627" s="17">
        <v>0</v>
      </c>
      <c r="U627" s="17">
        <v>620</v>
      </c>
      <c r="V627" s="13" t="str" cm="1">
        <f t="array" ref="V627">_xlfn.IFS(U627&lt;=250,"0-R$250",U627&lt;=500,"251-R$500",U627&lt;=750,"501-R$750",U627&lt;=1000,"751-R$1000",U627&lt;=1250,"1001-R$1250",U627&lt;=1500,"1251-R$1500")</f>
        <v>501-R$750</v>
      </c>
      <c r="W627" s="17">
        <v>26</v>
      </c>
      <c r="X627" s="13" t="str" cm="1">
        <f t="array" ref="X627">_xlfn.IFS(W627 = 0, "0", W627&lt;=20, "até R$20",W627&lt;=40, "21 - R$40",W627&lt;=60, "41- R$60",W627&lt;=80, "61 - R$80", W627&lt;=100, "81 - R$100",W627&lt;=120, "101 - R$120",W627&lt;=140, "121 - R$140", W627&lt;=160, "141- R$160", W627&lt;=180, "161 - R$180", W627&lt;=200, "181-R$194")</f>
        <v>21 - R$40</v>
      </c>
      <c r="Y627" s="17">
        <v>195</v>
      </c>
      <c r="Z627" s="17">
        <v>34</v>
      </c>
      <c r="AA627" s="17">
        <v>17</v>
      </c>
      <c r="AB627" s="17">
        <v>141</v>
      </c>
      <c r="AC627" s="17">
        <v>1</v>
      </c>
      <c r="AD627" s="17">
        <v>6</v>
      </c>
      <c r="AE627" s="17">
        <v>4</v>
      </c>
      <c r="AF627" s="17">
        <v>13</v>
      </c>
      <c r="AG627" s="17">
        <v>2</v>
      </c>
      <c r="AH627" s="17">
        <v>0</v>
      </c>
      <c r="AI627" s="17">
        <v>0</v>
      </c>
      <c r="AJ627" s="17">
        <v>0</v>
      </c>
      <c r="AK627" s="17">
        <v>0</v>
      </c>
      <c r="AL627" s="17">
        <v>0</v>
      </c>
      <c r="AM627" s="17">
        <v>0</v>
      </c>
      <c r="AN627" s="17">
        <v>0</v>
      </c>
      <c r="AO627" s="18">
        <v>0</v>
      </c>
      <c r="AP627" s="17">
        <v>3</v>
      </c>
      <c r="AQ627" s="17">
        <v>11</v>
      </c>
      <c r="AR627" s="19">
        <v>751</v>
      </c>
      <c r="AS627" s="19">
        <v>892</v>
      </c>
    </row>
    <row r="628" spans="1:45" x14ac:dyDescent="0.25">
      <c r="A628">
        <v>342</v>
      </c>
      <c r="B628" s="11">
        <f t="shared" si="9"/>
        <v>65073</v>
      </c>
      <c r="C628" s="12">
        <v>650730</v>
      </c>
      <c r="D628" s="13">
        <v>0</v>
      </c>
      <c r="E628" s="13">
        <v>0</v>
      </c>
      <c r="F628" s="13">
        <v>65</v>
      </c>
      <c r="G628" s="13">
        <v>77</v>
      </c>
      <c r="H628" s="13" t="str" cm="1">
        <f t="array" ref="H628">_xlfn.IFS(G628&lt;=20,"0-20",G628&lt;=30,"20-30",G628&lt;=40,"30-40",G628&lt;=50,"50-60",G628&lt;=60,"60-70",G628&lt;=70,"70-80",G628&lt;=80,"80-90")</f>
        <v>80-90</v>
      </c>
      <c r="I628" s="13">
        <v>2472</v>
      </c>
      <c r="J628" s="13" t="str" cm="1">
        <f t="array" ref="J628">_xlfn.IFS(K628=1,"Divorciado",L628=1,"Casado",M628=1,"Solteiro",N628=1,"Juntos",O628=1,"Viuvo")</f>
        <v>Casado</v>
      </c>
      <c r="K628" s="13">
        <v>0</v>
      </c>
      <c r="L628" s="13">
        <v>1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1</v>
      </c>
      <c r="T628" s="13">
        <v>0</v>
      </c>
      <c r="U628" s="13">
        <v>629</v>
      </c>
      <c r="V628" s="13" t="str" cm="1">
        <f t="array" ref="V628">_xlfn.IFS(U628&lt;=250,"0-R$250",U628&lt;=500,"251-R$500",U628&lt;=750,"501-R$750",U628&lt;=1000,"751-R$1000",U628&lt;=1250,"1001-R$1250",U628&lt;=1500,"1251-R$1500")</f>
        <v>501-R$750</v>
      </c>
      <c r="W628" s="13">
        <v>17</v>
      </c>
      <c r="X628" s="13" t="str" cm="1">
        <f t="array" ref="X628">_xlfn.IFS(W628 = 0, "0", W628&lt;=20, "até R$20",W628&lt;=40, "21 - R$40",W628&lt;=60, "41- R$60",W628&lt;=80, "61 - R$80", W628&lt;=100, "81 - R$100",W628&lt;=120, "101 - R$120",W628&lt;=140, "121 - R$140", W628&lt;=160, "141- R$160", W628&lt;=180, "161 - R$180", W628&lt;=200, "181-R$194")</f>
        <v>até R$20</v>
      </c>
      <c r="Y628" s="13">
        <v>177</v>
      </c>
      <c r="Z628" s="13">
        <v>69</v>
      </c>
      <c r="AA628" s="13">
        <v>0</v>
      </c>
      <c r="AB628" s="13">
        <v>8</v>
      </c>
      <c r="AC628" s="13">
        <v>1</v>
      </c>
      <c r="AD628" s="13">
        <v>5</v>
      </c>
      <c r="AE628" s="13">
        <v>3</v>
      </c>
      <c r="AF628" s="13">
        <v>5</v>
      </c>
      <c r="AG628" s="13">
        <v>2</v>
      </c>
      <c r="AH628" s="13">
        <v>1</v>
      </c>
      <c r="AI628" s="13">
        <v>0</v>
      </c>
      <c r="AJ628" s="13">
        <v>0</v>
      </c>
      <c r="AK628" s="13">
        <v>0</v>
      </c>
      <c r="AL628" s="13">
        <v>0</v>
      </c>
      <c r="AM628" s="13">
        <v>0</v>
      </c>
      <c r="AN628" s="13">
        <v>0</v>
      </c>
      <c r="AO628" s="14">
        <v>0</v>
      </c>
      <c r="AP628" s="13">
        <v>3</v>
      </c>
      <c r="AQ628" s="13">
        <v>11</v>
      </c>
      <c r="AR628" s="15">
        <v>884</v>
      </c>
      <c r="AS628" s="15">
        <v>892</v>
      </c>
    </row>
    <row r="629" spans="1:45" x14ac:dyDescent="0.25">
      <c r="A629">
        <v>1722</v>
      </c>
      <c r="B629" s="11">
        <f t="shared" si="9"/>
        <v>66835</v>
      </c>
      <c r="C629" s="12">
        <v>668350</v>
      </c>
      <c r="D629" s="13">
        <v>0</v>
      </c>
      <c r="E629" s="13">
        <v>0</v>
      </c>
      <c r="F629" s="13">
        <v>21</v>
      </c>
      <c r="G629" s="13">
        <v>74</v>
      </c>
      <c r="H629" s="13" t="str" cm="1">
        <f t="array" ref="H629">_xlfn.IFS(G629&lt;=20,"0-20",G629&lt;=30,"20-30",G629&lt;=40,"30-40",G629&lt;=50,"50-60",G629&lt;=60,"60-70",G629&lt;=70,"70-80",G629&lt;=80,"80-90")</f>
        <v>80-90</v>
      </c>
      <c r="I629" s="13">
        <v>2433</v>
      </c>
      <c r="J629" s="13" t="str" cm="1">
        <f t="array" ref="J629">_xlfn.IFS(K629=1,"Divorciado",L629=1,"Casado",M629=1,"Solteiro",N629=1,"Juntos",O629=1,"Viuvo")</f>
        <v>Casado</v>
      </c>
      <c r="K629" s="13">
        <v>0</v>
      </c>
      <c r="L629" s="13">
        <v>1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1</v>
      </c>
      <c r="T629" s="13">
        <v>0</v>
      </c>
      <c r="U629" s="13">
        <v>620</v>
      </c>
      <c r="V629" s="13" t="str" cm="1">
        <f t="array" ref="V629">_xlfn.IFS(U629&lt;=250,"0-R$250",U629&lt;=500,"251-R$500",U629&lt;=750,"501-R$750",U629&lt;=1000,"751-R$1000",U629&lt;=1250,"1001-R$1250",U629&lt;=1500,"1251-R$1500")</f>
        <v>501-R$750</v>
      </c>
      <c r="W629" s="13">
        <v>26</v>
      </c>
      <c r="X629" s="13" t="str" cm="1">
        <f t="array" ref="X629">_xlfn.IFS(W629 = 0, "0", W629&lt;=20, "até R$20",W629&lt;=40, "21 - R$40",W629&lt;=60, "41- R$60",W629&lt;=80, "61 - R$80", W629&lt;=100, "81 - R$100",W629&lt;=120, "101 - R$120",W629&lt;=140, "121 - R$140", W629&lt;=160, "141- R$160", W629&lt;=180, "161 - R$180", W629&lt;=200, "181-R$194")</f>
        <v>21 - R$40</v>
      </c>
      <c r="Y629" s="13">
        <v>195</v>
      </c>
      <c r="Z629" s="13">
        <v>34</v>
      </c>
      <c r="AA629" s="13">
        <v>17</v>
      </c>
      <c r="AB629" s="13">
        <v>141</v>
      </c>
      <c r="AC629" s="13">
        <v>1</v>
      </c>
      <c r="AD629" s="13">
        <v>6</v>
      </c>
      <c r="AE629" s="13">
        <v>4</v>
      </c>
      <c r="AF629" s="13">
        <v>13</v>
      </c>
      <c r="AG629" s="13">
        <v>2</v>
      </c>
      <c r="AH629" s="13">
        <v>0</v>
      </c>
      <c r="AI629" s="13">
        <v>0</v>
      </c>
      <c r="AJ629" s="13">
        <v>0</v>
      </c>
      <c r="AK629" s="13">
        <v>0</v>
      </c>
      <c r="AL629" s="13">
        <v>0</v>
      </c>
      <c r="AM629" s="13">
        <v>0</v>
      </c>
      <c r="AN629" s="13">
        <v>0</v>
      </c>
      <c r="AO629" s="14">
        <v>0</v>
      </c>
      <c r="AP629" s="13">
        <v>3</v>
      </c>
      <c r="AQ629" s="13">
        <v>11</v>
      </c>
      <c r="AR629" s="15">
        <v>751</v>
      </c>
      <c r="AS629" s="15">
        <v>892</v>
      </c>
    </row>
    <row r="630" spans="1:45" x14ac:dyDescent="0.25">
      <c r="A630">
        <v>1795</v>
      </c>
      <c r="B630" s="11">
        <f t="shared" si="9"/>
        <v>62568</v>
      </c>
      <c r="C630" s="16">
        <v>625680</v>
      </c>
      <c r="D630" s="17">
        <v>0</v>
      </c>
      <c r="E630" s="17">
        <v>1</v>
      </c>
      <c r="F630" s="17">
        <v>99</v>
      </c>
      <c r="G630" s="17">
        <v>58</v>
      </c>
      <c r="H630" s="13" t="str" cm="1">
        <f t="array" ref="H630">_xlfn.IFS(G630&lt;=20,"0-20",G630&lt;=30,"20-30",G630&lt;=40,"30-40",G630&lt;=50,"50-60",G630&lt;=60,"60-70",G630&lt;=70,"70-80",G630&lt;=80,"80-90")</f>
        <v>60-70</v>
      </c>
      <c r="I630" s="17">
        <v>2242</v>
      </c>
      <c r="J630" s="13" t="str" cm="1">
        <f t="array" ref="J630">_xlfn.IFS(K630=1,"Divorciado",L630=1,"Casado",M630=1,"Solteiro",N630=1,"Juntos",O630=1,"Viuvo")</f>
        <v>Juntos</v>
      </c>
      <c r="K630" s="17">
        <v>0</v>
      </c>
      <c r="L630" s="17">
        <v>0</v>
      </c>
      <c r="M630" s="17">
        <v>0</v>
      </c>
      <c r="N630" s="17">
        <v>1</v>
      </c>
      <c r="O630" s="17">
        <v>0</v>
      </c>
      <c r="P630" s="17">
        <v>0</v>
      </c>
      <c r="Q630" s="17">
        <v>0</v>
      </c>
      <c r="R630" s="17">
        <v>1</v>
      </c>
      <c r="S630" s="17">
        <v>0</v>
      </c>
      <c r="T630" s="17">
        <v>0</v>
      </c>
      <c r="U630" s="17">
        <v>362</v>
      </c>
      <c r="V630" s="13" t="str" cm="1">
        <f t="array" ref="V630">_xlfn.IFS(U630&lt;=250,"0-R$250",U630&lt;=500,"251-R$500",U630&lt;=750,"501-R$750",U630&lt;=1000,"751-R$1000",U630&lt;=1250,"1001-R$1250",U630&lt;=1500,"1251-R$1500")</f>
        <v>251-R$500</v>
      </c>
      <c r="W630" s="17">
        <v>17</v>
      </c>
      <c r="X630" s="13" t="str" cm="1">
        <f t="array" ref="X630">_xlfn.IFS(W630 = 0, "0", W630&lt;=20, "até R$20",W630&lt;=40, "21 - R$40",W630&lt;=60, "41- R$60",W630&lt;=80, "61 - R$80", W630&lt;=100, "81 - R$100",W630&lt;=120, "101 - R$120",W630&lt;=140, "121 - R$140", W630&lt;=160, "141- R$160", W630&lt;=180, "161 - R$180", W630&lt;=200, "181-R$194")</f>
        <v>até R$20</v>
      </c>
      <c r="Y630" s="17">
        <v>398</v>
      </c>
      <c r="Z630" s="17">
        <v>80</v>
      </c>
      <c r="AA630" s="17">
        <v>35</v>
      </c>
      <c r="AB630" s="17">
        <v>61</v>
      </c>
      <c r="AC630" s="17">
        <v>3</v>
      </c>
      <c r="AD630" s="17">
        <v>5</v>
      </c>
      <c r="AE630" s="17">
        <v>3</v>
      </c>
      <c r="AF630" s="17">
        <v>5</v>
      </c>
      <c r="AG630" s="17">
        <v>4</v>
      </c>
      <c r="AH630" s="17">
        <v>0</v>
      </c>
      <c r="AI630" s="17">
        <v>0</v>
      </c>
      <c r="AJ630" s="17">
        <v>0</v>
      </c>
      <c r="AK630" s="17">
        <v>0</v>
      </c>
      <c r="AL630" s="17">
        <v>1</v>
      </c>
      <c r="AM630" s="17">
        <v>0</v>
      </c>
      <c r="AN630" s="17">
        <v>0</v>
      </c>
      <c r="AO630" s="18">
        <v>1</v>
      </c>
      <c r="AP630" s="17">
        <v>3</v>
      </c>
      <c r="AQ630" s="17">
        <v>11</v>
      </c>
      <c r="AR630" s="19">
        <v>831</v>
      </c>
      <c r="AS630" s="19">
        <v>892</v>
      </c>
    </row>
    <row r="631" spans="1:45" x14ac:dyDescent="0.25">
      <c r="A631">
        <v>2033</v>
      </c>
      <c r="B631" s="11">
        <f t="shared" si="9"/>
        <v>59462</v>
      </c>
      <c r="C631" s="16">
        <v>594620</v>
      </c>
      <c r="D631" s="17">
        <v>0</v>
      </c>
      <c r="E631" s="17">
        <v>1</v>
      </c>
      <c r="F631" s="17">
        <v>29</v>
      </c>
      <c r="G631" s="17">
        <v>70</v>
      </c>
      <c r="H631" s="13" t="str" cm="1">
        <f t="array" ref="H631">_xlfn.IFS(G631&lt;=20,"0-20",G631&lt;=30,"20-30",G631&lt;=40,"30-40",G631&lt;=50,"50-60",G631&lt;=60,"60-70",G631&lt;=70,"70-80",G631&lt;=80,"80-90")</f>
        <v>70-80</v>
      </c>
      <c r="I631" s="17">
        <v>2699</v>
      </c>
      <c r="J631" s="13" t="str" cm="1">
        <f t="array" ref="J631">_xlfn.IFS(K631=1,"Divorciado",L631=1,"Casado",M631=1,"Solteiro",N631=1,"Juntos",O631=1,"Viuvo")</f>
        <v>Casado</v>
      </c>
      <c r="K631" s="17">
        <v>0</v>
      </c>
      <c r="L631" s="17">
        <v>1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1</v>
      </c>
      <c r="S631" s="17">
        <v>0</v>
      </c>
      <c r="T631" s="17">
        <v>0</v>
      </c>
      <c r="U631" s="17">
        <v>724</v>
      </c>
      <c r="V631" s="13" t="str" cm="1">
        <f t="array" ref="V631">_xlfn.IFS(U631&lt;=250,"0-R$250",U631&lt;=500,"251-R$500",U631&lt;=750,"501-R$750",U631&lt;=1000,"751-R$1000",U631&lt;=1250,"1001-R$1250",U631&lt;=1500,"1251-R$1500")</f>
        <v>501-R$750</v>
      </c>
      <c r="W631" s="17">
        <v>17</v>
      </c>
      <c r="X631" s="13" t="str" cm="1">
        <f t="array" ref="X631">_xlfn.IFS(W631 = 0, "0", W631&lt;=20, "até R$20",W631&lt;=40, "21 - R$40",W631&lt;=60, "41- R$60",W631&lt;=80, "61 - R$80", W631&lt;=100, "81 - R$100",W631&lt;=120, "101 - R$120",W631&lt;=140, "121 - R$140", W631&lt;=160, "141- R$160", W631&lt;=180, "161 - R$180", W631&lt;=200, "181-R$194")</f>
        <v>até R$20</v>
      </c>
      <c r="Y631" s="17">
        <v>143</v>
      </c>
      <c r="Z631" s="17">
        <v>0</v>
      </c>
      <c r="AA631" s="17">
        <v>8</v>
      </c>
      <c r="AB631" s="17">
        <v>196</v>
      </c>
      <c r="AC631" s="17">
        <v>2</v>
      </c>
      <c r="AD631" s="17">
        <v>9</v>
      </c>
      <c r="AE631" s="17">
        <v>2</v>
      </c>
      <c r="AF631" s="17">
        <v>12</v>
      </c>
      <c r="AG631" s="17">
        <v>7</v>
      </c>
      <c r="AH631" s="17">
        <v>0</v>
      </c>
      <c r="AI631" s="17">
        <v>0</v>
      </c>
      <c r="AJ631" s="17">
        <v>0</v>
      </c>
      <c r="AK631" s="17">
        <v>0</v>
      </c>
      <c r="AL631" s="17">
        <v>0</v>
      </c>
      <c r="AM631" s="17">
        <v>0</v>
      </c>
      <c r="AN631" s="17">
        <v>0</v>
      </c>
      <c r="AO631" s="18">
        <v>0</v>
      </c>
      <c r="AP631" s="17">
        <v>3</v>
      </c>
      <c r="AQ631" s="17">
        <v>11</v>
      </c>
      <c r="AR631" s="19">
        <v>696</v>
      </c>
      <c r="AS631" s="19">
        <v>892</v>
      </c>
    </row>
    <row r="632" spans="1:45" x14ac:dyDescent="0.25">
      <c r="A632">
        <v>102</v>
      </c>
      <c r="B632" s="11">
        <f t="shared" si="9"/>
        <v>77298</v>
      </c>
      <c r="C632" s="12">
        <v>772980</v>
      </c>
      <c r="D632" s="13">
        <v>0</v>
      </c>
      <c r="E632" s="13">
        <v>1</v>
      </c>
      <c r="F632" s="13">
        <v>46</v>
      </c>
      <c r="G632" s="13">
        <v>41</v>
      </c>
      <c r="H632" s="13" t="str" cm="1">
        <f t="array" ref="H632">_xlfn.IFS(G632&lt;=20,"0-20",G632&lt;=30,"20-30",G632&lt;=40,"30-40",G632&lt;=50,"50-60",G632&lt;=60,"60-70",G632&lt;=70,"70-80",G632&lt;=80,"80-90")</f>
        <v>50-60</v>
      </c>
      <c r="I632" s="13">
        <v>2398</v>
      </c>
      <c r="J632" s="13" t="str" cm="1">
        <f t="array" ref="J632">_xlfn.IFS(K632=1,"Divorciado",L632=1,"Casado",M632=1,"Solteiro",N632=1,"Juntos",O632=1,"Viuvo")</f>
        <v>Juntos</v>
      </c>
      <c r="K632" s="13">
        <v>0</v>
      </c>
      <c r="L632" s="13">
        <v>0</v>
      </c>
      <c r="M632" s="13">
        <v>0</v>
      </c>
      <c r="N632" s="13">
        <v>1</v>
      </c>
      <c r="O632" s="13">
        <v>0</v>
      </c>
      <c r="P632" s="13">
        <v>0</v>
      </c>
      <c r="Q632" s="13">
        <v>0</v>
      </c>
      <c r="R632" s="13">
        <v>1</v>
      </c>
      <c r="S632" s="13">
        <v>0</v>
      </c>
      <c r="T632" s="13">
        <v>0</v>
      </c>
      <c r="U632" s="13">
        <v>425</v>
      </c>
      <c r="V632" s="13" t="str" cm="1">
        <f t="array" ref="V632">_xlfn.IFS(U632&lt;=250,"0-R$250",U632&lt;=500,"251-R$500",U632&lt;=750,"501-R$750",U632&lt;=1000,"751-R$1000",U632&lt;=1250,"1001-R$1250",U632&lt;=1500,"1251-R$1500")</f>
        <v>251-R$500</v>
      </c>
      <c r="W632" s="13">
        <v>115</v>
      </c>
      <c r="X632" s="13" t="str" cm="1">
        <f t="array" ref="X632">_xlfn.IFS(W632 = 0, "0", W632&lt;=20, "até R$20",W632&lt;=40, "21 - R$40",W632&lt;=60, "41- R$60",W632&lt;=80, "61 - R$80", W632&lt;=100, "81 - R$100",W632&lt;=120, "101 - R$120",W632&lt;=140, "121 - R$140", W632&lt;=160, "141- R$160", W632&lt;=180, "161 - R$180", W632&lt;=200, "181-R$194")</f>
        <v>101 - R$120</v>
      </c>
      <c r="Y632" s="13">
        <v>292</v>
      </c>
      <c r="Z632" s="13">
        <v>23</v>
      </c>
      <c r="AA632" s="13">
        <v>35</v>
      </c>
      <c r="AB632" s="13">
        <v>79</v>
      </c>
      <c r="AC632" s="13">
        <v>1</v>
      </c>
      <c r="AD632" s="13">
        <v>6</v>
      </c>
      <c r="AE632" s="13">
        <v>6</v>
      </c>
      <c r="AF632" s="13">
        <v>11</v>
      </c>
      <c r="AG632" s="13">
        <v>3</v>
      </c>
      <c r="AH632" s="13">
        <v>0</v>
      </c>
      <c r="AI632" s="13">
        <v>0</v>
      </c>
      <c r="AJ632" s="13">
        <v>0</v>
      </c>
      <c r="AK632" s="13">
        <v>0</v>
      </c>
      <c r="AL632" s="13">
        <v>0</v>
      </c>
      <c r="AM632" s="13">
        <v>0</v>
      </c>
      <c r="AN632" s="13">
        <v>0</v>
      </c>
      <c r="AO632" s="14">
        <v>0</v>
      </c>
      <c r="AP632" s="13">
        <v>3</v>
      </c>
      <c r="AQ632" s="13">
        <v>11</v>
      </c>
      <c r="AR632" s="15">
        <v>811</v>
      </c>
      <c r="AS632" s="15">
        <v>890</v>
      </c>
    </row>
    <row r="633" spans="1:45" x14ac:dyDescent="0.25">
      <c r="A633">
        <v>960</v>
      </c>
      <c r="B633" s="11">
        <f t="shared" si="9"/>
        <v>53103</v>
      </c>
      <c r="C633" s="12">
        <v>531030</v>
      </c>
      <c r="D633" s="13">
        <v>0</v>
      </c>
      <c r="E633" s="13">
        <v>1</v>
      </c>
      <c r="F633" s="13">
        <v>70</v>
      </c>
      <c r="G633" s="13">
        <v>66</v>
      </c>
      <c r="H633" s="13" t="str" cm="1">
        <f t="array" ref="H633">_xlfn.IFS(G633&lt;=20,"0-20",G633&lt;=30,"20-30",G633&lt;=40,"30-40",G633&lt;=50,"50-60",G633&lt;=60,"60-70",G633&lt;=70,"70-80",G633&lt;=80,"80-90")</f>
        <v>70-80</v>
      </c>
      <c r="I633" s="13">
        <v>2449</v>
      </c>
      <c r="J633" s="13" t="str" cm="1">
        <f t="array" ref="J633">_xlfn.IFS(K633=1,"Divorciado",L633=1,"Casado",M633=1,"Solteiro",N633=1,"Juntos",O633=1,"Viuvo")</f>
        <v>Juntos</v>
      </c>
      <c r="K633" s="13">
        <v>0</v>
      </c>
      <c r="L633" s="13">
        <v>0</v>
      </c>
      <c r="M633" s="13">
        <v>0</v>
      </c>
      <c r="N633" s="13">
        <v>1</v>
      </c>
      <c r="O633" s="13">
        <v>0</v>
      </c>
      <c r="P633" s="13">
        <v>0</v>
      </c>
      <c r="Q633" s="13">
        <v>0</v>
      </c>
      <c r="R633" s="13">
        <v>1</v>
      </c>
      <c r="S633" s="13">
        <v>0</v>
      </c>
      <c r="T633" s="13">
        <v>0</v>
      </c>
      <c r="U633" s="13">
        <v>729</v>
      </c>
      <c r="V633" s="13" t="str" cm="1">
        <f t="array" ref="V633">_xlfn.IFS(U633&lt;=250,"0-R$250",U633&lt;=500,"251-R$500",U633&lt;=750,"501-R$750",U633&lt;=1000,"751-R$1000",U633&lt;=1250,"1001-R$1250",U633&lt;=1500,"1251-R$1500")</f>
        <v>501-R$750</v>
      </c>
      <c r="W633" s="13">
        <v>17</v>
      </c>
      <c r="X633" s="13" t="str" cm="1">
        <f t="array" ref="X633">_xlfn.IFS(W633 = 0, "0", W633&lt;=20, "até R$20",W633&lt;=40, "21 - R$40",W633&lt;=60, "41- R$60",W633&lt;=80, "61 - R$80", W633&lt;=100, "81 - R$100",W633&lt;=120, "101 - R$120",W633&lt;=140, "121 - R$140", W633&lt;=160, "141- R$160", W633&lt;=180, "161 - R$180", W633&lt;=200, "181-R$194")</f>
        <v>até R$20</v>
      </c>
      <c r="Y633" s="13">
        <v>133</v>
      </c>
      <c r="Z633" s="13">
        <v>11</v>
      </c>
      <c r="AA633" s="13">
        <v>0</v>
      </c>
      <c r="AB633" s="13">
        <v>195</v>
      </c>
      <c r="AC633" s="13">
        <v>5</v>
      </c>
      <c r="AD633" s="13">
        <v>10</v>
      </c>
      <c r="AE633" s="13">
        <v>6</v>
      </c>
      <c r="AF633" s="13">
        <v>7</v>
      </c>
      <c r="AG633" s="13">
        <v>7</v>
      </c>
      <c r="AH633" s="13">
        <v>0</v>
      </c>
      <c r="AI633" s="13">
        <v>1</v>
      </c>
      <c r="AJ633" s="13">
        <v>0</v>
      </c>
      <c r="AK633" s="13">
        <v>0</v>
      </c>
      <c r="AL633" s="13">
        <v>0</v>
      </c>
      <c r="AM633" s="13">
        <v>0</v>
      </c>
      <c r="AN633" s="13">
        <v>0</v>
      </c>
      <c r="AO633" s="14">
        <v>1</v>
      </c>
      <c r="AP633" s="13">
        <v>3</v>
      </c>
      <c r="AQ633" s="13">
        <v>11</v>
      </c>
      <c r="AR633" s="15">
        <v>695</v>
      </c>
      <c r="AS633" s="15">
        <v>890</v>
      </c>
    </row>
    <row r="634" spans="1:45" x14ac:dyDescent="0.25">
      <c r="A634">
        <v>1764</v>
      </c>
      <c r="B634" s="11">
        <f t="shared" si="9"/>
        <v>77298</v>
      </c>
      <c r="C634" s="12">
        <v>772980</v>
      </c>
      <c r="D634" s="13">
        <v>0</v>
      </c>
      <c r="E634" s="13">
        <v>1</v>
      </c>
      <c r="F634" s="13">
        <v>46</v>
      </c>
      <c r="G634" s="13">
        <v>41</v>
      </c>
      <c r="H634" s="13" t="str" cm="1">
        <f t="array" ref="H634">_xlfn.IFS(G634&lt;=20,"0-20",G634&lt;=30,"20-30",G634&lt;=40,"30-40",G634&lt;=50,"50-60",G634&lt;=60,"60-70",G634&lt;=70,"70-80",G634&lt;=80,"80-90")</f>
        <v>50-60</v>
      </c>
      <c r="I634" s="13">
        <v>2398</v>
      </c>
      <c r="J634" s="13" t="str" cm="1">
        <f t="array" ref="J634">_xlfn.IFS(K634=1,"Divorciado",L634=1,"Casado",M634=1,"Solteiro",N634=1,"Juntos",O634=1,"Viuvo")</f>
        <v>Juntos</v>
      </c>
      <c r="K634" s="13">
        <v>0</v>
      </c>
      <c r="L634" s="13">
        <v>0</v>
      </c>
      <c r="M634" s="13">
        <v>0</v>
      </c>
      <c r="N634" s="13">
        <v>1</v>
      </c>
      <c r="O634" s="13">
        <v>0</v>
      </c>
      <c r="P634" s="13">
        <v>0</v>
      </c>
      <c r="Q634" s="13">
        <v>0</v>
      </c>
      <c r="R634" s="13">
        <v>1</v>
      </c>
      <c r="S634" s="13">
        <v>0</v>
      </c>
      <c r="T634" s="13">
        <v>0</v>
      </c>
      <c r="U634" s="13">
        <v>425</v>
      </c>
      <c r="V634" s="13" t="str" cm="1">
        <f t="array" ref="V634">_xlfn.IFS(U634&lt;=250,"0-R$250",U634&lt;=500,"251-R$500",U634&lt;=750,"501-R$750",U634&lt;=1000,"751-R$1000",U634&lt;=1250,"1001-R$1250",U634&lt;=1500,"1251-R$1500")</f>
        <v>251-R$500</v>
      </c>
      <c r="W634" s="13">
        <v>115</v>
      </c>
      <c r="X634" s="13" t="str" cm="1">
        <f t="array" ref="X634">_xlfn.IFS(W634 = 0, "0", W634&lt;=20, "até R$20",W634&lt;=40, "21 - R$40",W634&lt;=60, "41- R$60",W634&lt;=80, "61 - R$80", W634&lt;=100, "81 - R$100",W634&lt;=120, "101 - R$120",W634&lt;=140, "121 - R$140", W634&lt;=160, "141- R$160", W634&lt;=180, "161 - R$180", W634&lt;=200, "181-R$194")</f>
        <v>101 - R$120</v>
      </c>
      <c r="Y634" s="13">
        <v>292</v>
      </c>
      <c r="Z634" s="13">
        <v>23</v>
      </c>
      <c r="AA634" s="13">
        <v>35</v>
      </c>
      <c r="AB634" s="13">
        <v>79</v>
      </c>
      <c r="AC634" s="13">
        <v>1</v>
      </c>
      <c r="AD634" s="13">
        <v>6</v>
      </c>
      <c r="AE634" s="13">
        <v>6</v>
      </c>
      <c r="AF634" s="13">
        <v>11</v>
      </c>
      <c r="AG634" s="13">
        <v>3</v>
      </c>
      <c r="AH634" s="13">
        <v>0</v>
      </c>
      <c r="AI634" s="13">
        <v>0</v>
      </c>
      <c r="AJ634" s="13">
        <v>0</v>
      </c>
      <c r="AK634" s="13">
        <v>0</v>
      </c>
      <c r="AL634" s="13">
        <v>0</v>
      </c>
      <c r="AM634" s="13">
        <v>0</v>
      </c>
      <c r="AN634" s="13">
        <v>0</v>
      </c>
      <c r="AO634" s="14">
        <v>0</v>
      </c>
      <c r="AP634" s="13">
        <v>3</v>
      </c>
      <c r="AQ634" s="13">
        <v>11</v>
      </c>
      <c r="AR634" s="15">
        <v>811</v>
      </c>
      <c r="AS634" s="15">
        <v>890</v>
      </c>
    </row>
    <row r="635" spans="1:45" x14ac:dyDescent="0.25">
      <c r="A635">
        <v>395</v>
      </c>
      <c r="B635" s="11">
        <f t="shared" si="9"/>
        <v>53858</v>
      </c>
      <c r="C635" s="16">
        <v>538580</v>
      </c>
      <c r="D635" s="17">
        <v>0</v>
      </c>
      <c r="E635" s="17">
        <v>1</v>
      </c>
      <c r="F635" s="17">
        <v>50</v>
      </c>
      <c r="G635" s="17">
        <v>44</v>
      </c>
      <c r="H635" s="13" t="str" cm="1">
        <f t="array" ref="H635">_xlfn.IFS(G635&lt;=20,"0-20",G635&lt;=30,"20-30",G635&lt;=40,"30-40",G635&lt;=50,"50-60",G635&lt;=60,"60-70",G635&lt;=70,"70-80",G635&lt;=80,"80-90")</f>
        <v>50-60</v>
      </c>
      <c r="I635" s="17">
        <v>2756</v>
      </c>
      <c r="J635" s="13" t="str" cm="1">
        <f t="array" ref="J635">_xlfn.IFS(K635=1,"Divorciado",L635=1,"Casado",M635=1,"Solteiro",N635=1,"Juntos",O635=1,"Viuvo")</f>
        <v>Casado</v>
      </c>
      <c r="K635" s="17">
        <v>0</v>
      </c>
      <c r="L635" s="17">
        <v>1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1</v>
      </c>
      <c r="S635" s="17">
        <v>0</v>
      </c>
      <c r="T635" s="17">
        <v>0</v>
      </c>
      <c r="U635" s="17">
        <v>407</v>
      </c>
      <c r="V635" s="13" t="str" cm="1">
        <f t="array" ref="V635">_xlfn.IFS(U635&lt;=250,"0-R$250",U635&lt;=500,"251-R$500",U635&lt;=750,"501-R$750",U635&lt;=1000,"751-R$1000",U635&lt;=1250,"1001-R$1250",U635&lt;=1500,"1251-R$1500")</f>
        <v>251-R$500</v>
      </c>
      <c r="W635" s="17">
        <v>53</v>
      </c>
      <c r="X635" s="13" t="str" cm="1">
        <f t="array" ref="X635">_xlfn.IFS(W635 = 0, "0", W635&lt;=20, "até R$20",W635&lt;=40, "21 - R$40",W635&lt;=60, "41- R$60",W635&lt;=80, "61 - R$80", W635&lt;=100, "81 - R$100",W635&lt;=120, "101 - R$120",W635&lt;=140, "121 - R$140", W635&lt;=160, "141- R$160", W635&lt;=180, "161 - R$180", W635&lt;=200, "181-R$194")</f>
        <v>41- R$60</v>
      </c>
      <c r="Y635" s="17">
        <v>221</v>
      </c>
      <c r="Z635" s="17">
        <v>58</v>
      </c>
      <c r="AA635" s="17">
        <v>150</v>
      </c>
      <c r="AB635" s="17">
        <v>26</v>
      </c>
      <c r="AC635" s="17">
        <v>4</v>
      </c>
      <c r="AD635" s="17">
        <v>4</v>
      </c>
      <c r="AE635" s="17">
        <v>3</v>
      </c>
      <c r="AF635" s="17">
        <v>6</v>
      </c>
      <c r="AG635" s="17">
        <v>4</v>
      </c>
      <c r="AH635" s="17">
        <v>0</v>
      </c>
      <c r="AI635" s="17">
        <v>0</v>
      </c>
      <c r="AJ635" s="17">
        <v>0</v>
      </c>
      <c r="AK635" s="17">
        <v>0</v>
      </c>
      <c r="AL635" s="17">
        <v>0</v>
      </c>
      <c r="AM635" s="17">
        <v>0</v>
      </c>
      <c r="AN635" s="17">
        <v>0</v>
      </c>
      <c r="AO635" s="18">
        <v>0</v>
      </c>
      <c r="AP635" s="17">
        <v>3</v>
      </c>
      <c r="AQ635" s="17">
        <v>11</v>
      </c>
      <c r="AR635" s="19">
        <v>863</v>
      </c>
      <c r="AS635" s="19">
        <v>889</v>
      </c>
    </row>
    <row r="636" spans="1:45" x14ac:dyDescent="0.25">
      <c r="A636">
        <v>1050</v>
      </c>
      <c r="B636" s="11">
        <f t="shared" si="9"/>
        <v>67023</v>
      </c>
      <c r="C636" s="12">
        <v>670230</v>
      </c>
      <c r="D636" s="13">
        <v>0</v>
      </c>
      <c r="E636" s="13">
        <v>0</v>
      </c>
      <c r="F636" s="13">
        <v>93</v>
      </c>
      <c r="G636" s="13">
        <v>42</v>
      </c>
      <c r="H636" s="13" t="str" cm="1">
        <f t="array" ref="H636">_xlfn.IFS(G636&lt;=20,"0-20",G636&lt;=30,"20-30",G636&lt;=40,"30-40",G636&lt;=50,"50-60",G636&lt;=60,"60-70",G636&lt;=70,"70-80",G636&lt;=80,"80-90")</f>
        <v>50-60</v>
      </c>
      <c r="I636" s="13">
        <v>2276</v>
      </c>
      <c r="J636" s="13" t="str" cm="1">
        <f t="array" ref="J636">_xlfn.IFS(K636=1,"Divorciado",L636=1,"Casado",M636=1,"Solteiro",N636=1,"Juntos",O636=1,"Viuvo")</f>
        <v>Casado</v>
      </c>
      <c r="K636" s="13">
        <v>0</v>
      </c>
      <c r="L636" s="13">
        <v>1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1</v>
      </c>
      <c r="S636" s="13">
        <v>0</v>
      </c>
      <c r="T636" s="13">
        <v>0</v>
      </c>
      <c r="U636" s="13">
        <v>444</v>
      </c>
      <c r="V636" s="13" t="str" cm="1">
        <f t="array" ref="V636">_xlfn.IFS(U636&lt;=250,"0-R$250",U636&lt;=500,"251-R$500",U636&lt;=750,"501-R$750",U636&lt;=1000,"751-R$1000",U636&lt;=1250,"1001-R$1250",U636&lt;=1500,"1251-R$1500")</f>
        <v>251-R$500</v>
      </c>
      <c r="W636" s="13">
        <v>44</v>
      </c>
      <c r="X636" s="13" t="str" cm="1">
        <f t="array" ref="X636">_xlfn.IFS(W636 = 0, "0", W636&lt;=20, "até R$20",W636&lt;=40, "21 - R$40",W636&lt;=60, "41- R$60",W636&lt;=80, "61 - R$80", W636&lt;=100, "81 - R$100",W636&lt;=120, "101 - R$120",W636&lt;=140, "121 - R$140", W636&lt;=160, "141- R$160", W636&lt;=180, "161 - R$180", W636&lt;=200, "181-R$194")</f>
        <v>41- R$60</v>
      </c>
      <c r="Y636" s="13">
        <v>382</v>
      </c>
      <c r="Z636" s="13">
        <v>11</v>
      </c>
      <c r="AA636" s="13">
        <v>8</v>
      </c>
      <c r="AB636" s="13">
        <v>17</v>
      </c>
      <c r="AC636" s="13">
        <v>1</v>
      </c>
      <c r="AD636" s="13">
        <v>3</v>
      </c>
      <c r="AE636" s="13">
        <v>7</v>
      </c>
      <c r="AF636" s="13">
        <v>13</v>
      </c>
      <c r="AG636" s="13">
        <v>2</v>
      </c>
      <c r="AH636" s="13">
        <v>1</v>
      </c>
      <c r="AI636" s="13">
        <v>0</v>
      </c>
      <c r="AJ636" s="13">
        <v>0</v>
      </c>
      <c r="AK636" s="13">
        <v>0</v>
      </c>
      <c r="AL636" s="13">
        <v>0</v>
      </c>
      <c r="AM636" s="13">
        <v>0</v>
      </c>
      <c r="AN636" s="13">
        <v>0</v>
      </c>
      <c r="AO636" s="14">
        <v>0</v>
      </c>
      <c r="AP636" s="13">
        <v>3</v>
      </c>
      <c r="AQ636" s="13">
        <v>11</v>
      </c>
      <c r="AR636" s="15">
        <v>872</v>
      </c>
      <c r="AS636" s="15">
        <v>889</v>
      </c>
    </row>
    <row r="637" spans="1:45" x14ac:dyDescent="0.25">
      <c r="A637">
        <v>654</v>
      </c>
      <c r="B637" s="11">
        <f t="shared" si="9"/>
        <v>66731</v>
      </c>
      <c r="C637" s="12">
        <v>667310</v>
      </c>
      <c r="D637" s="13">
        <v>0</v>
      </c>
      <c r="E637" s="13">
        <v>1</v>
      </c>
      <c r="F637" s="13">
        <v>33</v>
      </c>
      <c r="G637" s="13">
        <v>50</v>
      </c>
      <c r="H637" s="13" t="str" cm="1">
        <f t="array" ref="H637">_xlfn.IFS(G637&lt;=20,"0-20",G637&lt;=30,"20-30",G637&lt;=40,"30-40",G637&lt;=50,"50-60",G637&lt;=60,"60-70",G637&lt;=70,"70-80",G637&lt;=80,"80-90")</f>
        <v>50-60</v>
      </c>
      <c r="I637" s="13">
        <v>2814</v>
      </c>
      <c r="J637" s="13" t="str" cm="1">
        <f t="array" ref="J637">_xlfn.IFS(K637=1,"Divorciado",L637=1,"Casado",M637=1,"Solteiro",N637=1,"Juntos",O637=1,"Viuvo")</f>
        <v>Viuvo</v>
      </c>
      <c r="K637" s="13">
        <v>0</v>
      </c>
      <c r="L637" s="13">
        <v>0</v>
      </c>
      <c r="M637" s="13">
        <v>0</v>
      </c>
      <c r="N637" s="13">
        <v>0</v>
      </c>
      <c r="O637" s="13">
        <v>1</v>
      </c>
      <c r="P637" s="13">
        <v>0</v>
      </c>
      <c r="Q637" s="13">
        <v>0</v>
      </c>
      <c r="R637" s="13">
        <v>1</v>
      </c>
      <c r="S637" s="13">
        <v>0</v>
      </c>
      <c r="T637" s="13">
        <v>0</v>
      </c>
      <c r="U637" s="13">
        <v>371</v>
      </c>
      <c r="V637" s="13" t="str" cm="1">
        <f t="array" ref="V637">_xlfn.IFS(U637&lt;=250,"0-R$250",U637&lt;=500,"251-R$500",U637&lt;=750,"501-R$750",U637&lt;=1000,"751-R$1000",U637&lt;=1250,"1001-R$1250",U637&lt;=1500,"1251-R$1500")</f>
        <v>251-R$500</v>
      </c>
      <c r="W637" s="13">
        <v>159</v>
      </c>
      <c r="X637" s="13" t="str" cm="1">
        <f t="array" ref="X637">_xlfn.IFS(W637 = 0, "0", W637&lt;=20, "até R$20",W637&lt;=40, "21 - R$40",W637&lt;=60, "41- R$60",W637&lt;=80, "61 - R$80", W637&lt;=100, "81 - R$100",W637&lt;=120, "101 - R$120",W637&lt;=140, "121 - R$140", W637&lt;=160, "141- R$160", W637&lt;=180, "161 - R$180", W637&lt;=200, "181-R$194")</f>
        <v>141- R$160</v>
      </c>
      <c r="Y637" s="13">
        <v>194</v>
      </c>
      <c r="Z637" s="13">
        <v>58</v>
      </c>
      <c r="AA637" s="13">
        <v>106</v>
      </c>
      <c r="AB637" s="13">
        <v>141</v>
      </c>
      <c r="AC637" s="13">
        <v>4</v>
      </c>
      <c r="AD637" s="13">
        <v>4</v>
      </c>
      <c r="AE637" s="13">
        <v>3</v>
      </c>
      <c r="AF637" s="13">
        <v>6</v>
      </c>
      <c r="AG637" s="13">
        <v>3</v>
      </c>
      <c r="AH637" s="13">
        <v>0</v>
      </c>
      <c r="AI637" s="13">
        <v>0</v>
      </c>
      <c r="AJ637" s="13">
        <v>0</v>
      </c>
      <c r="AK637" s="13">
        <v>0</v>
      </c>
      <c r="AL637" s="13">
        <v>0</v>
      </c>
      <c r="AM637" s="13">
        <v>0</v>
      </c>
      <c r="AN637" s="13">
        <v>0</v>
      </c>
      <c r="AO637" s="14">
        <v>0</v>
      </c>
      <c r="AP637" s="13">
        <v>3</v>
      </c>
      <c r="AQ637" s="13">
        <v>11</v>
      </c>
      <c r="AR637" s="15">
        <v>747</v>
      </c>
      <c r="AS637" s="15">
        <v>888</v>
      </c>
    </row>
    <row r="638" spans="1:45" x14ac:dyDescent="0.25">
      <c r="A638">
        <v>1111</v>
      </c>
      <c r="B638" s="11">
        <f t="shared" si="9"/>
        <v>67381</v>
      </c>
      <c r="C638" s="16">
        <v>673810</v>
      </c>
      <c r="D638" s="17">
        <v>0</v>
      </c>
      <c r="E638" s="17">
        <v>1</v>
      </c>
      <c r="F638" s="17">
        <v>67</v>
      </c>
      <c r="G638" s="17">
        <v>69</v>
      </c>
      <c r="H638" s="13" t="str" cm="1">
        <f t="array" ref="H638">_xlfn.IFS(G638&lt;=20,"0-20",G638&lt;=30,"20-30",G638&lt;=40,"30-40",G638&lt;=50,"50-60",G638&lt;=60,"60-70",G638&lt;=70,"70-80",G638&lt;=80,"80-90")</f>
        <v>70-80</v>
      </c>
      <c r="I638" s="17">
        <v>2689</v>
      </c>
      <c r="J638" s="13" t="str" cm="1">
        <f t="array" ref="J638">_xlfn.IFS(K638=1,"Divorciado",L638=1,"Casado",M638=1,"Solteiro",N638=1,"Juntos",O638=1,"Viuvo")</f>
        <v>Casado</v>
      </c>
      <c r="K638" s="17">
        <v>0</v>
      </c>
      <c r="L638" s="17">
        <v>1</v>
      </c>
      <c r="M638" s="17">
        <v>0</v>
      </c>
      <c r="N638" s="17">
        <v>0</v>
      </c>
      <c r="O638" s="17">
        <v>0</v>
      </c>
      <c r="P638" s="17">
        <v>0</v>
      </c>
      <c r="Q638" s="17">
        <v>0</v>
      </c>
      <c r="R638" s="17">
        <v>0</v>
      </c>
      <c r="S638" s="17">
        <v>1</v>
      </c>
      <c r="T638" s="17">
        <v>0</v>
      </c>
      <c r="U638" s="17">
        <v>815</v>
      </c>
      <c r="V638" s="13" t="str" cm="1">
        <f t="array" ref="V638">_xlfn.IFS(U638&lt;=250,"0-R$250",U638&lt;=500,"251-R$500",U638&lt;=750,"501-R$750",U638&lt;=1000,"751-R$1000",U638&lt;=1250,"1001-R$1250",U638&lt;=1500,"1251-R$1500")</f>
        <v>751-R$1000</v>
      </c>
      <c r="W638" s="17">
        <v>8</v>
      </c>
      <c r="X638" s="13" t="str" cm="1">
        <f t="array" ref="X638">_xlfn.IFS(W638 = 0, "0", W638&lt;=20, "até R$20",W638&lt;=40, "21 - R$40",W638&lt;=60, "41- R$60",W638&lt;=80, "61 - R$80", W638&lt;=100, "81 - R$100",W638&lt;=120, "101 - R$120",W638&lt;=140, "121 - R$140", W638&lt;=160, "141- R$160", W638&lt;=180, "161 - R$180", W638&lt;=200, "181-R$194")</f>
        <v>até R$20</v>
      </c>
      <c r="Y638" s="17">
        <v>53</v>
      </c>
      <c r="Z638" s="17">
        <v>11</v>
      </c>
      <c r="AA638" s="17">
        <v>0</v>
      </c>
      <c r="AB638" s="17">
        <v>70</v>
      </c>
      <c r="AC638" s="17">
        <v>4</v>
      </c>
      <c r="AD638" s="17">
        <v>2</v>
      </c>
      <c r="AE638" s="17">
        <v>2</v>
      </c>
      <c r="AF638" s="17">
        <v>9</v>
      </c>
      <c r="AG638" s="17">
        <v>7</v>
      </c>
      <c r="AH638" s="17">
        <v>0</v>
      </c>
      <c r="AI638" s="17">
        <v>0</v>
      </c>
      <c r="AJ638" s="17">
        <v>1</v>
      </c>
      <c r="AK638" s="17">
        <v>0</v>
      </c>
      <c r="AL638" s="17">
        <v>0</v>
      </c>
      <c r="AM638" s="17">
        <v>0</v>
      </c>
      <c r="AN638" s="17">
        <v>0</v>
      </c>
      <c r="AO638" s="18">
        <v>1</v>
      </c>
      <c r="AP638" s="17">
        <v>3</v>
      </c>
      <c r="AQ638" s="17">
        <v>11</v>
      </c>
      <c r="AR638" s="19">
        <v>817</v>
      </c>
      <c r="AS638" s="19">
        <v>887</v>
      </c>
    </row>
    <row r="639" spans="1:45" x14ac:dyDescent="0.25">
      <c r="A639">
        <v>2038</v>
      </c>
      <c r="B639" s="11">
        <f t="shared" si="9"/>
        <v>67046</v>
      </c>
      <c r="C639" s="12">
        <v>670460</v>
      </c>
      <c r="D639" s="13">
        <v>0</v>
      </c>
      <c r="E639" s="13">
        <v>1</v>
      </c>
      <c r="F639" s="13">
        <v>92</v>
      </c>
      <c r="G639" s="13">
        <v>69</v>
      </c>
      <c r="H639" s="13" t="str" cm="1">
        <f t="array" ref="H639">_xlfn.IFS(G639&lt;=20,"0-20",G639&lt;=30,"20-30",G639&lt;=40,"30-40",G639&lt;=50,"50-60",G639&lt;=60,"60-70",G639&lt;=70,"70-80",G639&lt;=80,"80-90")</f>
        <v>70-80</v>
      </c>
      <c r="I639" s="13">
        <v>2698</v>
      </c>
      <c r="J639" s="13" t="str" cm="1">
        <f t="array" ref="J639">_xlfn.IFS(K639=1,"Divorciado",L639=1,"Casado",M639=1,"Solteiro",N639=1,"Juntos",O639=1,"Viuvo")</f>
        <v>Viuvo</v>
      </c>
      <c r="K639" s="13">
        <v>0</v>
      </c>
      <c r="L639" s="13">
        <v>0</v>
      </c>
      <c r="M639" s="13">
        <v>0</v>
      </c>
      <c r="N639" s="13">
        <v>0</v>
      </c>
      <c r="O639" s="13">
        <v>1</v>
      </c>
      <c r="P639" s="13">
        <v>0</v>
      </c>
      <c r="Q639" s="13">
        <v>0</v>
      </c>
      <c r="R639" s="13">
        <v>1</v>
      </c>
      <c r="S639" s="13">
        <v>0</v>
      </c>
      <c r="T639" s="13">
        <v>0</v>
      </c>
      <c r="U639" s="13">
        <v>544</v>
      </c>
      <c r="V639" s="13" t="str" cm="1">
        <f t="array" ref="V639">_xlfn.IFS(U639&lt;=250,"0-R$250",U639&lt;=500,"251-R$500",U639&lt;=750,"501-R$750",U639&lt;=1000,"751-R$1000",U639&lt;=1250,"1001-R$1250",U639&lt;=1500,"1251-R$1500")</f>
        <v>501-R$750</v>
      </c>
      <c r="W639" s="13">
        <v>35</v>
      </c>
      <c r="X639" s="13" t="str" cm="1">
        <f t="array" ref="X639">_xlfn.IFS(W639 = 0, "0", W639&lt;=20, "até R$20",W639&lt;=40, "21 - R$40",W639&lt;=60, "41- R$60",W639&lt;=80, "61 - R$80", W639&lt;=100, "81 - R$100",W639&lt;=120, "101 - R$120",W639&lt;=140, "121 - R$140", W639&lt;=160, "141- R$160", W639&lt;=180, "161 - R$180", W639&lt;=200, "181-R$194")</f>
        <v>21 - R$40</v>
      </c>
      <c r="Y639" s="13">
        <v>133</v>
      </c>
      <c r="Z639" s="13">
        <v>23</v>
      </c>
      <c r="AA639" s="13">
        <v>151</v>
      </c>
      <c r="AB639" s="13">
        <v>107</v>
      </c>
      <c r="AC639" s="13">
        <v>2</v>
      </c>
      <c r="AD639" s="13">
        <v>4</v>
      </c>
      <c r="AE639" s="13">
        <v>5</v>
      </c>
      <c r="AF639" s="13">
        <v>4</v>
      </c>
      <c r="AG639" s="13">
        <v>2</v>
      </c>
      <c r="AH639" s="13">
        <v>0</v>
      </c>
      <c r="AI639" s="13">
        <v>0</v>
      </c>
      <c r="AJ639" s="13">
        <v>0</v>
      </c>
      <c r="AK639" s="13">
        <v>0</v>
      </c>
      <c r="AL639" s="13">
        <v>0</v>
      </c>
      <c r="AM639" s="13">
        <v>0</v>
      </c>
      <c r="AN639" s="13">
        <v>0</v>
      </c>
      <c r="AO639" s="14">
        <v>0</v>
      </c>
      <c r="AP639" s="13">
        <v>3</v>
      </c>
      <c r="AQ639" s="13">
        <v>11</v>
      </c>
      <c r="AR639" s="15">
        <v>779</v>
      </c>
      <c r="AS639" s="15">
        <v>886</v>
      </c>
    </row>
    <row r="640" spans="1:45" x14ac:dyDescent="0.25">
      <c r="A640">
        <v>1773</v>
      </c>
      <c r="B640" s="11">
        <f t="shared" si="9"/>
        <v>63404</v>
      </c>
      <c r="C640" s="16">
        <v>634040</v>
      </c>
      <c r="D640" s="17">
        <v>0</v>
      </c>
      <c r="E640" s="17">
        <v>2</v>
      </c>
      <c r="F640" s="17">
        <v>97</v>
      </c>
      <c r="G640" s="17">
        <v>56</v>
      </c>
      <c r="H640" s="13" t="str" cm="1">
        <f t="array" ref="H640">_xlfn.IFS(G640&lt;=20,"0-20",G640&lt;=30,"20-30",G640&lt;=40,"30-40",G640&lt;=50,"50-60",G640&lt;=60,"60-70",G640&lt;=70,"70-80",G640&lt;=80,"80-90")</f>
        <v>60-70</v>
      </c>
      <c r="I640" s="17">
        <v>2182</v>
      </c>
      <c r="J640" s="13" t="str" cm="1">
        <f t="array" ref="J640">_xlfn.IFS(K640=1,"Divorciado",L640=1,"Casado",M640=1,"Solteiro",N640=1,"Juntos",O640=1,"Viuvo")</f>
        <v>Juntos</v>
      </c>
      <c r="K640" s="17">
        <v>0</v>
      </c>
      <c r="L640" s="17">
        <v>0</v>
      </c>
      <c r="M640" s="17">
        <v>0</v>
      </c>
      <c r="N640" s="17">
        <v>1</v>
      </c>
      <c r="O640" s="17">
        <v>0</v>
      </c>
      <c r="P640" s="17">
        <v>0</v>
      </c>
      <c r="Q640" s="17">
        <v>0</v>
      </c>
      <c r="R640" s="17">
        <v>1</v>
      </c>
      <c r="S640" s="17">
        <v>0</v>
      </c>
      <c r="T640" s="17">
        <v>0</v>
      </c>
      <c r="U640" s="17">
        <v>734</v>
      </c>
      <c r="V640" s="13" t="str" cm="1">
        <f t="array" ref="V640">_xlfn.IFS(U640&lt;=250,"0-R$250",U640&lt;=500,"251-R$500",U640&lt;=750,"501-R$750",U640&lt;=1000,"751-R$1000",U640&lt;=1250,"1001-R$1250",U640&lt;=1500,"1251-R$1500")</f>
        <v>501-R$750</v>
      </c>
      <c r="W640" s="17">
        <v>26</v>
      </c>
      <c r="X640" s="13" t="str" cm="1">
        <f t="array" ref="X640">_xlfn.IFS(W640 = 0, "0", W640&lt;=20, "até R$20",W640&lt;=40, "21 - R$40",W640&lt;=60, "41- R$60",W640&lt;=80, "61 - R$80", W640&lt;=100, "81 - R$100",W640&lt;=120, "101 - R$120",W640&lt;=140, "121 - R$140", W640&lt;=160, "141- R$160", W640&lt;=180, "161 - R$180", W640&lt;=200, "181-R$194")</f>
        <v>21 - R$40</v>
      </c>
      <c r="Y640" s="17">
        <v>70</v>
      </c>
      <c r="Z640" s="17">
        <v>11</v>
      </c>
      <c r="AA640" s="17">
        <v>44</v>
      </c>
      <c r="AB640" s="17">
        <v>17</v>
      </c>
      <c r="AC640" s="17">
        <v>2</v>
      </c>
      <c r="AD640" s="17">
        <v>6</v>
      </c>
      <c r="AE640" s="17">
        <v>3</v>
      </c>
      <c r="AF640" s="17">
        <v>4</v>
      </c>
      <c r="AG640" s="17">
        <v>4</v>
      </c>
      <c r="AH640" s="17">
        <v>0</v>
      </c>
      <c r="AI640" s="17">
        <v>0</v>
      </c>
      <c r="AJ640" s="17">
        <v>0</v>
      </c>
      <c r="AK640" s="17">
        <v>0</v>
      </c>
      <c r="AL640" s="17">
        <v>1</v>
      </c>
      <c r="AM640" s="17">
        <v>0</v>
      </c>
      <c r="AN640" s="17">
        <v>0</v>
      </c>
      <c r="AO640" s="18">
        <v>1</v>
      </c>
      <c r="AP640" s="17">
        <v>3</v>
      </c>
      <c r="AQ640" s="17">
        <v>11</v>
      </c>
      <c r="AR640" s="19">
        <v>868</v>
      </c>
      <c r="AS640" s="19">
        <v>885</v>
      </c>
    </row>
    <row r="641" spans="1:45" x14ac:dyDescent="0.25">
      <c r="A641">
        <v>1040</v>
      </c>
      <c r="B641" s="11">
        <f t="shared" si="9"/>
        <v>67605</v>
      </c>
      <c r="C641" s="12">
        <v>676050</v>
      </c>
      <c r="D641" s="13">
        <v>0</v>
      </c>
      <c r="E641" s="13">
        <v>0</v>
      </c>
      <c r="F641" s="13">
        <v>84</v>
      </c>
      <c r="G641" s="13">
        <v>33</v>
      </c>
      <c r="H641" s="13" t="str" cm="1">
        <f t="array" ref="H641">_xlfn.IFS(G641&lt;=20,"0-20",G641&lt;=30,"20-30",G641&lt;=40,"30-40",G641&lt;=50,"50-60",G641&lt;=60,"60-70",G641&lt;=70,"70-80",G641&lt;=80,"80-90")</f>
        <v>30-40</v>
      </c>
      <c r="I641" s="13">
        <v>2614</v>
      </c>
      <c r="J641" s="13" t="str" cm="1">
        <f t="array" ref="J641">_xlfn.IFS(K641=1,"Divorciado",L641=1,"Casado",M641=1,"Solteiro",N641=1,"Juntos",O641=1,"Viuvo")</f>
        <v>Juntos</v>
      </c>
      <c r="K641" s="13">
        <v>0</v>
      </c>
      <c r="L641" s="13">
        <v>0</v>
      </c>
      <c r="M641" s="13">
        <v>0</v>
      </c>
      <c r="N641" s="13">
        <v>1</v>
      </c>
      <c r="O641" s="13">
        <v>0</v>
      </c>
      <c r="P641" s="13">
        <v>0</v>
      </c>
      <c r="Q641" s="13">
        <v>0</v>
      </c>
      <c r="R641" s="13">
        <v>1</v>
      </c>
      <c r="S641" s="13">
        <v>0</v>
      </c>
      <c r="T641" s="13">
        <v>0</v>
      </c>
      <c r="U641" s="13">
        <v>336</v>
      </c>
      <c r="V641" s="13" t="str" cm="1">
        <f t="array" ref="V641">_xlfn.IFS(U641&lt;=250,"0-R$250",U641&lt;=500,"251-R$500",U641&lt;=750,"501-R$750",U641&lt;=1000,"751-R$1000",U641&lt;=1250,"1001-R$1250",U641&lt;=1500,"1251-R$1500")</f>
        <v>251-R$500</v>
      </c>
      <c r="W641" s="13">
        <v>28</v>
      </c>
      <c r="X641" s="13" t="str" cm="1">
        <f t="array" ref="X641">_xlfn.IFS(W641 = 0, "0", W641&lt;=20, "até R$20",W641&lt;=40, "21 - R$40",W641&lt;=60, "41- R$60",W641&lt;=80, "61 - R$80", W641&lt;=100, "81 - R$100",W641&lt;=120, "101 - R$120",W641&lt;=140, "121 - R$140", W641&lt;=160, "141- R$160", W641&lt;=180, "161 - R$180", W641&lt;=200, "181-R$194")</f>
        <v>21 - R$40</v>
      </c>
      <c r="Y641" s="13">
        <v>282</v>
      </c>
      <c r="Z641" s="13">
        <v>184</v>
      </c>
      <c r="AA641" s="13">
        <v>54</v>
      </c>
      <c r="AB641" s="13">
        <v>54</v>
      </c>
      <c r="AC641" s="13">
        <v>1</v>
      </c>
      <c r="AD641" s="13">
        <v>2</v>
      </c>
      <c r="AE641" s="13">
        <v>8</v>
      </c>
      <c r="AF641" s="13">
        <v>6</v>
      </c>
      <c r="AG641" s="13">
        <v>1</v>
      </c>
      <c r="AH641" s="13">
        <v>0</v>
      </c>
      <c r="AI641" s="13">
        <v>0</v>
      </c>
      <c r="AJ641" s="13">
        <v>0</v>
      </c>
      <c r="AK641" s="13">
        <v>0</v>
      </c>
      <c r="AL641" s="13">
        <v>0</v>
      </c>
      <c r="AM641" s="13">
        <v>0</v>
      </c>
      <c r="AN641" s="13">
        <v>0</v>
      </c>
      <c r="AO641" s="14">
        <v>0</v>
      </c>
      <c r="AP641" s="13">
        <v>3</v>
      </c>
      <c r="AQ641" s="13">
        <v>11</v>
      </c>
      <c r="AR641" s="15">
        <v>830</v>
      </c>
      <c r="AS641" s="15">
        <v>884</v>
      </c>
    </row>
    <row r="642" spans="1:45" x14ac:dyDescent="0.25">
      <c r="A642">
        <v>1354</v>
      </c>
      <c r="B642" s="11">
        <f t="shared" ref="B642:B705" si="10">C642/10</f>
        <v>56242</v>
      </c>
      <c r="C642" s="12">
        <v>562420</v>
      </c>
      <c r="D642" s="13">
        <v>0</v>
      </c>
      <c r="E642" s="13">
        <v>1</v>
      </c>
      <c r="F642" s="13">
        <v>72</v>
      </c>
      <c r="G642" s="13">
        <v>51</v>
      </c>
      <c r="H642" s="13" t="str" cm="1">
        <f t="array" ref="H642">_xlfn.IFS(G642&lt;=20,"0-20",G642&lt;=30,"20-30",G642&lt;=40,"30-40",G642&lt;=50,"50-60",G642&lt;=60,"60-70",G642&lt;=70,"70-80",G642&lt;=80,"80-90")</f>
        <v>60-70</v>
      </c>
      <c r="I642" s="13">
        <v>2642</v>
      </c>
      <c r="J642" s="13" t="str" cm="1">
        <f t="array" ref="J642">_xlfn.IFS(K642=1,"Divorciado",L642=1,"Casado",M642=1,"Solteiro",N642=1,"Juntos",O642=1,"Viuvo")</f>
        <v>Casado</v>
      </c>
      <c r="K642" s="13">
        <v>0</v>
      </c>
      <c r="L642" s="13">
        <v>1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1</v>
      </c>
      <c r="U642" s="13">
        <v>689</v>
      </c>
      <c r="V642" s="13" t="str" cm="1">
        <f t="array" ref="V642">_xlfn.IFS(U642&lt;=250,"0-R$250",U642&lt;=500,"251-R$500",U642&lt;=750,"501-R$750",U642&lt;=1000,"751-R$1000",U642&lt;=1250,"1001-R$1250",U642&lt;=1500,"1251-R$1500")</f>
        <v>501-R$750</v>
      </c>
      <c r="W642" s="13">
        <v>8</v>
      </c>
      <c r="X642" s="13" t="str" cm="1">
        <f t="array" ref="X642">_xlfn.IFS(W642 = 0, "0", W642&lt;=20, "até R$20",W642&lt;=40, "21 - R$40",W642&lt;=60, "41- R$60",W642&lt;=80, "61 - R$80", W642&lt;=100, "81 - R$100",W642&lt;=120, "101 - R$120",W642&lt;=140, "121 - R$140", W642&lt;=160, "141- R$160", W642&lt;=180, "161 - R$180", W642&lt;=200, "181-R$194")</f>
        <v>até R$20</v>
      </c>
      <c r="Y642" s="13">
        <v>167</v>
      </c>
      <c r="Z642" s="13">
        <v>11</v>
      </c>
      <c r="AA642" s="13">
        <v>8</v>
      </c>
      <c r="AB642" s="13">
        <v>88</v>
      </c>
      <c r="AC642" s="13">
        <v>5</v>
      </c>
      <c r="AD642" s="13">
        <v>8</v>
      </c>
      <c r="AE642" s="13">
        <v>4</v>
      </c>
      <c r="AF642" s="13">
        <v>11</v>
      </c>
      <c r="AG642" s="13">
        <v>6</v>
      </c>
      <c r="AH642" s="13">
        <v>0</v>
      </c>
      <c r="AI642" s="13">
        <v>0</v>
      </c>
      <c r="AJ642" s="13">
        <v>0</v>
      </c>
      <c r="AK642" s="13">
        <v>0</v>
      </c>
      <c r="AL642" s="13">
        <v>0</v>
      </c>
      <c r="AM642" s="13">
        <v>0</v>
      </c>
      <c r="AN642" s="13">
        <v>0</v>
      </c>
      <c r="AO642" s="14">
        <v>0</v>
      </c>
      <c r="AP642" s="13">
        <v>3</v>
      </c>
      <c r="AQ642" s="13">
        <v>11</v>
      </c>
      <c r="AR642" s="15">
        <v>795</v>
      </c>
      <c r="AS642" s="15">
        <v>883</v>
      </c>
    </row>
    <row r="643" spans="1:45" x14ac:dyDescent="0.25">
      <c r="A643">
        <v>286</v>
      </c>
      <c r="B643" s="11">
        <f t="shared" si="10"/>
        <v>57912</v>
      </c>
      <c r="C643" s="12">
        <v>579120</v>
      </c>
      <c r="D643" s="13">
        <v>0</v>
      </c>
      <c r="E643" s="13">
        <v>1</v>
      </c>
      <c r="F643" s="13">
        <v>34</v>
      </c>
      <c r="G643" s="13">
        <v>55</v>
      </c>
      <c r="H643" s="13" t="str" cm="1">
        <f t="array" ref="H643">_xlfn.IFS(G643&lt;=20,"0-20",G643&lt;=30,"20-30",G643&lt;=40,"30-40",G643&lt;=50,"50-60",G643&lt;=60,"60-70",G643&lt;=70,"70-80",G643&lt;=80,"80-90")</f>
        <v>60-70</v>
      </c>
      <c r="I643" s="13">
        <v>2263</v>
      </c>
      <c r="J643" s="13" t="str" cm="1">
        <f t="array" ref="J643">_xlfn.IFS(K643=1,"Divorciado",L643=1,"Casado",M643=1,"Solteiro",N643=1,"Juntos",O643=1,"Viuvo")</f>
        <v>Divorciado</v>
      </c>
      <c r="K643" s="13">
        <v>1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1</v>
      </c>
      <c r="U643" s="13">
        <v>801</v>
      </c>
      <c r="V643" s="13" t="str" cm="1">
        <f t="array" ref="V643">_xlfn.IFS(U643&lt;=250,"0-R$250",U643&lt;=500,"251-R$500",U643&lt;=750,"501-R$750",U643&lt;=1000,"751-R$1000",U643&lt;=1250,"1001-R$1250",U643&lt;=1500,"1251-R$1500")</f>
        <v>751-R$1000</v>
      </c>
      <c r="W643" s="13">
        <v>0</v>
      </c>
      <c r="X643" s="13" t="str" cm="1">
        <f t="array" ref="X643">_xlfn.IFS(W643 = 0, "0", W643&lt;=20, "até R$20",W643&lt;=40, "21 - R$40",W643&lt;=60, "41- R$60",W643&lt;=80, "61 - R$80", W643&lt;=100, "81 - R$100",W643&lt;=120, "101 - R$120",W643&lt;=140, "121 - R$140", W643&lt;=160, "141- R$160", W643&lt;=180, "161 - R$180", W643&lt;=200, "181-R$194")</f>
        <v>0</v>
      </c>
      <c r="Y643" s="13">
        <v>80</v>
      </c>
      <c r="Z643" s="13">
        <v>0</v>
      </c>
      <c r="AA643" s="13">
        <v>0</v>
      </c>
      <c r="AB643" s="13">
        <v>35</v>
      </c>
      <c r="AC643" s="13">
        <v>5</v>
      </c>
      <c r="AD643" s="13">
        <v>8</v>
      </c>
      <c r="AE643" s="13">
        <v>3</v>
      </c>
      <c r="AF643" s="13">
        <v>12</v>
      </c>
      <c r="AG643" s="13">
        <v>5</v>
      </c>
      <c r="AH643" s="13">
        <v>0</v>
      </c>
      <c r="AI643" s="13">
        <v>0</v>
      </c>
      <c r="AJ643" s="13">
        <v>1</v>
      </c>
      <c r="AK643" s="13">
        <v>0</v>
      </c>
      <c r="AL643" s="13">
        <v>0</v>
      </c>
      <c r="AM643" s="13">
        <v>0</v>
      </c>
      <c r="AN643" s="13">
        <v>0</v>
      </c>
      <c r="AO643" s="14">
        <v>1</v>
      </c>
      <c r="AP643" s="13">
        <v>3</v>
      </c>
      <c r="AQ643" s="13">
        <v>11</v>
      </c>
      <c r="AR643" s="15">
        <v>846</v>
      </c>
      <c r="AS643" s="15">
        <v>881</v>
      </c>
    </row>
    <row r="644" spans="1:45" x14ac:dyDescent="0.25">
      <c r="A644">
        <v>35</v>
      </c>
      <c r="B644" s="11">
        <f t="shared" si="10"/>
        <v>67353</v>
      </c>
      <c r="C644" s="16">
        <v>673530</v>
      </c>
      <c r="D644" s="17">
        <v>0</v>
      </c>
      <c r="E644" s="17">
        <v>1</v>
      </c>
      <c r="F644" s="17">
        <v>37</v>
      </c>
      <c r="G644" s="17">
        <v>50</v>
      </c>
      <c r="H644" s="13" t="str" cm="1">
        <f t="array" ref="H644">_xlfn.IFS(G644&lt;=20,"0-20",G644&lt;=30,"20-30",G644&lt;=40,"30-40",G644&lt;=50,"50-60",G644&lt;=60,"60-70",G644&lt;=70,"70-80",G644&lt;=80,"80-90")</f>
        <v>50-60</v>
      </c>
      <c r="I644" s="17">
        <v>2339</v>
      </c>
      <c r="J644" s="13" t="str" cm="1">
        <f t="array" ref="J644">_xlfn.IFS(K644=1,"Divorciado",L644=1,"Casado",M644=1,"Solteiro",N644=1,"Juntos",O644=1,"Viuvo")</f>
        <v>Casado</v>
      </c>
      <c r="K644" s="17">
        <v>0</v>
      </c>
      <c r="L644" s="17">
        <v>1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1</v>
      </c>
      <c r="U644" s="17">
        <v>702</v>
      </c>
      <c r="V644" s="13" t="str" cm="1">
        <f t="array" ref="V644">_xlfn.IFS(U644&lt;=250,"0-R$250",U644&lt;=500,"251-R$500",U644&lt;=750,"501-R$750",U644&lt;=1000,"751-R$1000",U644&lt;=1250,"1001-R$1250",U644&lt;=1500,"1251-R$1500")</f>
        <v>501-R$750</v>
      </c>
      <c r="W644" s="17">
        <v>17</v>
      </c>
      <c r="X644" s="13" t="str" cm="1">
        <f t="array" ref="X644">_xlfn.IFS(W644 = 0, "0", W644&lt;=20, "até R$20",W644&lt;=40, "21 - R$40",W644&lt;=60, "41- R$60",W644&lt;=80, "61 - R$80", W644&lt;=100, "81 - R$100",W644&lt;=120, "101 - R$120",W644&lt;=140, "121 - R$140", W644&lt;=160, "141- R$160", W644&lt;=180, "161 - R$180", W644&lt;=200, "181-R$194")</f>
        <v>até R$20</v>
      </c>
      <c r="Y644" s="17">
        <v>151</v>
      </c>
      <c r="Z644" s="17">
        <v>0</v>
      </c>
      <c r="AA644" s="17">
        <v>8</v>
      </c>
      <c r="AB644" s="17">
        <v>35</v>
      </c>
      <c r="AC644" s="17">
        <v>5</v>
      </c>
      <c r="AD644" s="17">
        <v>5</v>
      </c>
      <c r="AE644" s="17">
        <v>6</v>
      </c>
      <c r="AF644" s="17">
        <v>12</v>
      </c>
      <c r="AG644" s="17">
        <v>2</v>
      </c>
      <c r="AH644" s="17">
        <v>0</v>
      </c>
      <c r="AI644" s="17">
        <v>0</v>
      </c>
      <c r="AJ644" s="17">
        <v>0</v>
      </c>
      <c r="AK644" s="17">
        <v>0</v>
      </c>
      <c r="AL644" s="17">
        <v>0</v>
      </c>
      <c r="AM644" s="17">
        <v>0</v>
      </c>
      <c r="AN644" s="17">
        <v>0</v>
      </c>
      <c r="AO644" s="18">
        <v>0</v>
      </c>
      <c r="AP644" s="17">
        <v>3</v>
      </c>
      <c r="AQ644" s="17">
        <v>11</v>
      </c>
      <c r="AR644" s="19">
        <v>843</v>
      </c>
      <c r="AS644" s="19">
        <v>878</v>
      </c>
    </row>
    <row r="645" spans="1:45" x14ac:dyDescent="0.25">
      <c r="A645">
        <v>469</v>
      </c>
      <c r="B645" s="11">
        <f t="shared" si="10"/>
        <v>78825</v>
      </c>
      <c r="C645" s="16">
        <v>788250</v>
      </c>
      <c r="D645" s="17">
        <v>0</v>
      </c>
      <c r="E645" s="17">
        <v>0</v>
      </c>
      <c r="F645" s="17">
        <v>35</v>
      </c>
      <c r="G645" s="17">
        <v>56</v>
      </c>
      <c r="H645" s="13" t="str" cm="1">
        <f t="array" ref="H645">_xlfn.IFS(G645&lt;=20,"0-20",G645&lt;=30,"20-30",G645&lt;=40,"30-40",G645&lt;=50,"50-60",G645&lt;=60,"60-70",G645&lt;=70,"70-80",G645&lt;=80,"80-90")</f>
        <v>60-70</v>
      </c>
      <c r="I645" s="17">
        <v>2812</v>
      </c>
      <c r="J645" s="13" t="str" cm="1">
        <f t="array" ref="J645">_xlfn.IFS(K645=1,"Divorciado",L645=1,"Casado",M645=1,"Solteiro",N645=1,"Juntos",O645=1,"Viuvo")</f>
        <v>Divorciado</v>
      </c>
      <c r="K645" s="17">
        <v>1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1</v>
      </c>
      <c r="U645" s="17">
        <v>483</v>
      </c>
      <c r="V645" s="13" t="str" cm="1">
        <f t="array" ref="V645">_xlfn.IFS(U645&lt;=250,"0-R$250",U645&lt;=500,"251-R$500",U645&lt;=750,"501-R$750",U645&lt;=1000,"751-R$1000",U645&lt;=1250,"1001-R$1250",U645&lt;=1500,"1251-R$1500")</f>
        <v>251-R$500</v>
      </c>
      <c r="W645" s="17">
        <v>74</v>
      </c>
      <c r="X645" s="13" t="str" cm="1">
        <f t="array" ref="X645">_xlfn.IFS(W645 = 0, "0", W645&lt;=20, "até R$20",W645&lt;=40, "21 - R$40",W645&lt;=60, "41- R$60",W645&lt;=80, "61 - R$80", W645&lt;=100, "81 - R$100",W645&lt;=120, "101 - R$120",W645&lt;=140, "121 - R$140", W645&lt;=160, "141- R$160", W645&lt;=180, "161 - R$180", W645&lt;=200, "181-R$194")</f>
        <v>61 - R$80</v>
      </c>
      <c r="Y645" s="17">
        <v>114</v>
      </c>
      <c r="Z645" s="17">
        <v>169</v>
      </c>
      <c r="AA645" s="17">
        <v>37</v>
      </c>
      <c r="AB645" s="17">
        <v>18</v>
      </c>
      <c r="AC645" s="17">
        <v>1</v>
      </c>
      <c r="AD645" s="17">
        <v>5</v>
      </c>
      <c r="AE645" s="17">
        <v>10</v>
      </c>
      <c r="AF645" s="17">
        <v>13</v>
      </c>
      <c r="AG645" s="17">
        <v>3</v>
      </c>
      <c r="AH645" s="17">
        <v>0</v>
      </c>
      <c r="AI645" s="17">
        <v>0</v>
      </c>
      <c r="AJ645" s="17">
        <v>0</v>
      </c>
      <c r="AK645" s="17">
        <v>0</v>
      </c>
      <c r="AL645" s="17">
        <v>0</v>
      </c>
      <c r="AM645" s="17">
        <v>0</v>
      </c>
      <c r="AN645" s="17">
        <v>1</v>
      </c>
      <c r="AO645" s="18">
        <v>0</v>
      </c>
      <c r="AP645" s="17">
        <v>3</v>
      </c>
      <c r="AQ645" s="17">
        <v>11</v>
      </c>
      <c r="AR645" s="19">
        <v>859</v>
      </c>
      <c r="AS645" s="19">
        <v>877</v>
      </c>
    </row>
    <row r="646" spans="1:45" x14ac:dyDescent="0.25">
      <c r="A646">
        <v>708</v>
      </c>
      <c r="B646" s="11">
        <f t="shared" si="10"/>
        <v>75012</v>
      </c>
      <c r="C646" s="12">
        <v>750120</v>
      </c>
      <c r="D646" s="13">
        <v>0</v>
      </c>
      <c r="E646" s="13">
        <v>0</v>
      </c>
      <c r="F646" s="13">
        <v>41</v>
      </c>
      <c r="G646" s="13">
        <v>44</v>
      </c>
      <c r="H646" s="13" t="str" cm="1">
        <f t="array" ref="H646">_xlfn.IFS(G646&lt;=20,"0-20",G646&lt;=30,"20-30",G646&lt;=40,"30-40",G646&lt;=50,"50-60",G646&lt;=60,"60-70",G646&lt;=70,"70-80",G646&lt;=80,"80-90")</f>
        <v>50-60</v>
      </c>
      <c r="I646" s="13">
        <v>2314</v>
      </c>
      <c r="J646" s="13" t="str" cm="1">
        <f t="array" ref="J646">_xlfn.IFS(K646=1,"Divorciado",L646=1,"Casado",M646=1,"Solteiro",N646=1,"Juntos",O646=1,"Viuvo")</f>
        <v>Divorciado</v>
      </c>
      <c r="K646" s="13">
        <v>1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1</v>
      </c>
      <c r="T646" s="13">
        <v>0</v>
      </c>
      <c r="U646" s="13">
        <v>294</v>
      </c>
      <c r="V646" s="13" t="str" cm="1">
        <f t="array" ref="V646">_xlfn.IFS(U646&lt;=250,"0-R$250",U646&lt;=500,"251-R$500",U646&lt;=750,"501-R$750",U646&lt;=1000,"751-R$1000",U646&lt;=1250,"1001-R$1250",U646&lt;=1500,"1251-R$1500")</f>
        <v>251-R$500</v>
      </c>
      <c r="W646" s="13">
        <v>142</v>
      </c>
      <c r="X646" s="13" t="str" cm="1">
        <f t="array" ref="X646">_xlfn.IFS(W646 = 0, "0", W646&lt;=20, "até R$20",W646&lt;=40, "21 - R$40",W646&lt;=60, "41- R$60",W646&lt;=80, "61 - R$80", W646&lt;=100, "81 - R$100",W646&lt;=120, "101 - R$120",W646&lt;=140, "121 - R$140", W646&lt;=160, "141- R$160", W646&lt;=180, "161 - R$180", W646&lt;=200, "181-R$194")</f>
        <v>141- R$160</v>
      </c>
      <c r="Y646" s="13">
        <v>218</v>
      </c>
      <c r="Z646" s="13">
        <v>164</v>
      </c>
      <c r="AA646" s="13">
        <v>58</v>
      </c>
      <c r="AB646" s="13">
        <v>151</v>
      </c>
      <c r="AC646" s="13">
        <v>1</v>
      </c>
      <c r="AD646" s="13">
        <v>3</v>
      </c>
      <c r="AE646" s="13">
        <v>8</v>
      </c>
      <c r="AF646" s="13">
        <v>11</v>
      </c>
      <c r="AG646" s="13">
        <v>1</v>
      </c>
      <c r="AH646" s="13">
        <v>0</v>
      </c>
      <c r="AI646" s="13">
        <v>0</v>
      </c>
      <c r="AJ646" s="13">
        <v>0</v>
      </c>
      <c r="AK646" s="13">
        <v>0</v>
      </c>
      <c r="AL646" s="13">
        <v>0</v>
      </c>
      <c r="AM646" s="13">
        <v>0</v>
      </c>
      <c r="AN646" s="13">
        <v>0</v>
      </c>
      <c r="AO646" s="14">
        <v>0</v>
      </c>
      <c r="AP646" s="13">
        <v>3</v>
      </c>
      <c r="AQ646" s="13">
        <v>11</v>
      </c>
      <c r="AR646" s="15">
        <v>725</v>
      </c>
      <c r="AS646" s="15">
        <v>876</v>
      </c>
    </row>
    <row r="647" spans="1:45" x14ac:dyDescent="0.25">
      <c r="A647">
        <v>607</v>
      </c>
      <c r="B647" s="11">
        <f t="shared" si="10"/>
        <v>72635</v>
      </c>
      <c r="C647" s="16">
        <v>726350</v>
      </c>
      <c r="D647" s="17">
        <v>0</v>
      </c>
      <c r="E647" s="17">
        <v>0</v>
      </c>
      <c r="F647" s="17">
        <v>54</v>
      </c>
      <c r="G647" s="17">
        <v>65</v>
      </c>
      <c r="H647" s="13" t="str" cm="1">
        <f t="array" ref="H647">_xlfn.IFS(G647&lt;=20,"0-20",G647&lt;=30,"20-30",G647&lt;=40,"30-40",G647&lt;=50,"50-60",G647&lt;=60,"60-70",G647&lt;=70,"70-80",G647&lt;=80,"80-90")</f>
        <v>70-80</v>
      </c>
      <c r="I647" s="17">
        <v>2550</v>
      </c>
      <c r="J647" s="13" t="str" cm="1">
        <f t="array" ref="J647">_xlfn.IFS(K647=1,"Divorciado",L647=1,"Casado",M647=1,"Solteiro",N647=1,"Juntos",O647=1,"Viuvo")</f>
        <v>Casado</v>
      </c>
      <c r="K647" s="17">
        <v>0</v>
      </c>
      <c r="L647" s="17">
        <v>1</v>
      </c>
      <c r="M647" s="17">
        <v>0</v>
      </c>
      <c r="N647" s="17">
        <v>0</v>
      </c>
      <c r="O647" s="17">
        <v>0</v>
      </c>
      <c r="P647" s="17">
        <v>1</v>
      </c>
      <c r="Q647" s="17">
        <v>0</v>
      </c>
      <c r="R647" s="17">
        <v>0</v>
      </c>
      <c r="S647" s="17">
        <v>0</v>
      </c>
      <c r="T647" s="17">
        <v>0</v>
      </c>
      <c r="U647" s="17">
        <v>390</v>
      </c>
      <c r="V647" s="13" t="str" cm="1">
        <f t="array" ref="V647">_xlfn.IFS(U647&lt;=250,"0-R$250",U647&lt;=500,"251-R$500",U647&lt;=750,"501-R$750",U647&lt;=1000,"751-R$1000",U647&lt;=1250,"1001-R$1250",U647&lt;=1500,"1251-R$1500")</f>
        <v>251-R$500</v>
      </c>
      <c r="W647" s="17">
        <v>22</v>
      </c>
      <c r="X647" s="13" t="str" cm="1">
        <f t="array" ref="X647">_xlfn.IFS(W647 = 0, "0", W647&lt;=20, "até R$20",W647&lt;=40, "21 - R$40",W647&lt;=60, "41- R$60",W647&lt;=80, "61 - R$80", W647&lt;=100, "81 - R$100",W647&lt;=120, "101 - R$120",W647&lt;=140, "121 - R$140", W647&lt;=160, "141- R$160", W647&lt;=180, "161 - R$180", W647&lt;=200, "181-R$194")</f>
        <v>21 - R$40</v>
      </c>
      <c r="Y647" s="17">
        <v>323</v>
      </c>
      <c r="Z647" s="17">
        <v>104</v>
      </c>
      <c r="AA647" s="17">
        <v>35</v>
      </c>
      <c r="AB647" s="17">
        <v>107</v>
      </c>
      <c r="AC647" s="17">
        <v>1</v>
      </c>
      <c r="AD647" s="17">
        <v>6</v>
      </c>
      <c r="AE647" s="17">
        <v>8</v>
      </c>
      <c r="AF647" s="17">
        <v>6</v>
      </c>
      <c r="AG647" s="17">
        <v>3</v>
      </c>
      <c r="AH647" s="17">
        <v>0</v>
      </c>
      <c r="AI647" s="17">
        <v>0</v>
      </c>
      <c r="AJ647" s="17">
        <v>0</v>
      </c>
      <c r="AK647" s="17">
        <v>0</v>
      </c>
      <c r="AL647" s="17">
        <v>1</v>
      </c>
      <c r="AM647" s="17">
        <v>0</v>
      </c>
      <c r="AN647" s="17">
        <v>0</v>
      </c>
      <c r="AO647" s="18">
        <v>1</v>
      </c>
      <c r="AP647" s="17">
        <v>3</v>
      </c>
      <c r="AQ647" s="17">
        <v>11</v>
      </c>
      <c r="AR647" s="19">
        <v>767</v>
      </c>
      <c r="AS647" s="19">
        <v>874</v>
      </c>
    </row>
    <row r="648" spans="1:45" x14ac:dyDescent="0.25">
      <c r="A648">
        <v>1648</v>
      </c>
      <c r="B648" s="11">
        <f t="shared" si="10"/>
        <v>72635</v>
      </c>
      <c r="C648" s="12">
        <v>726350</v>
      </c>
      <c r="D648" s="13">
        <v>0</v>
      </c>
      <c r="E648" s="13">
        <v>0</v>
      </c>
      <c r="F648" s="13">
        <v>54</v>
      </c>
      <c r="G648" s="13">
        <v>65</v>
      </c>
      <c r="H648" s="13" t="str" cm="1">
        <f t="array" ref="H648">_xlfn.IFS(G648&lt;=20,"0-20",G648&lt;=30,"20-30",G648&lt;=40,"30-40",G648&lt;=50,"50-60",G648&lt;=60,"60-70",G648&lt;=70,"70-80",G648&lt;=80,"80-90")</f>
        <v>70-80</v>
      </c>
      <c r="I648" s="13">
        <v>2550</v>
      </c>
      <c r="J648" s="13" t="str" cm="1">
        <f t="array" ref="J648">_xlfn.IFS(K648=1,"Divorciado",L648=1,"Casado",M648=1,"Solteiro",N648=1,"Juntos",O648=1,"Viuvo")</f>
        <v>Casado</v>
      </c>
      <c r="K648" s="13">
        <v>0</v>
      </c>
      <c r="L648" s="13">
        <v>1</v>
      </c>
      <c r="M648" s="13">
        <v>0</v>
      </c>
      <c r="N648" s="13">
        <v>0</v>
      </c>
      <c r="O648" s="13">
        <v>0</v>
      </c>
      <c r="P648" s="13">
        <v>1</v>
      </c>
      <c r="Q648" s="13">
        <v>0</v>
      </c>
      <c r="R648" s="13">
        <v>0</v>
      </c>
      <c r="S648" s="13">
        <v>0</v>
      </c>
      <c r="T648" s="13">
        <v>0</v>
      </c>
      <c r="U648" s="13">
        <v>390</v>
      </c>
      <c r="V648" s="13" t="str" cm="1">
        <f t="array" ref="V648">_xlfn.IFS(U648&lt;=250,"0-R$250",U648&lt;=500,"251-R$500",U648&lt;=750,"501-R$750",U648&lt;=1000,"751-R$1000",U648&lt;=1250,"1001-R$1250",U648&lt;=1500,"1251-R$1500")</f>
        <v>251-R$500</v>
      </c>
      <c r="W648" s="13">
        <v>22</v>
      </c>
      <c r="X648" s="13" t="str" cm="1">
        <f t="array" ref="X648">_xlfn.IFS(W648 = 0, "0", W648&lt;=20, "até R$20",W648&lt;=40, "21 - R$40",W648&lt;=60, "41- R$60",W648&lt;=80, "61 - R$80", W648&lt;=100, "81 - R$100",W648&lt;=120, "101 - R$120",W648&lt;=140, "121 - R$140", W648&lt;=160, "141- R$160", W648&lt;=180, "161 - R$180", W648&lt;=200, "181-R$194")</f>
        <v>21 - R$40</v>
      </c>
      <c r="Y648" s="13">
        <v>323</v>
      </c>
      <c r="Z648" s="13">
        <v>104</v>
      </c>
      <c r="AA648" s="13">
        <v>35</v>
      </c>
      <c r="AB648" s="13">
        <v>107</v>
      </c>
      <c r="AC648" s="13">
        <v>1</v>
      </c>
      <c r="AD648" s="13">
        <v>6</v>
      </c>
      <c r="AE648" s="13">
        <v>8</v>
      </c>
      <c r="AF648" s="13">
        <v>6</v>
      </c>
      <c r="AG648" s="13">
        <v>3</v>
      </c>
      <c r="AH648" s="13">
        <v>0</v>
      </c>
      <c r="AI648" s="13">
        <v>0</v>
      </c>
      <c r="AJ648" s="13">
        <v>0</v>
      </c>
      <c r="AK648" s="13">
        <v>0</v>
      </c>
      <c r="AL648" s="13">
        <v>1</v>
      </c>
      <c r="AM648" s="13">
        <v>0</v>
      </c>
      <c r="AN648" s="13">
        <v>0</v>
      </c>
      <c r="AO648" s="14">
        <v>1</v>
      </c>
      <c r="AP648" s="13">
        <v>3</v>
      </c>
      <c r="AQ648" s="13">
        <v>11</v>
      </c>
      <c r="AR648" s="15">
        <v>767</v>
      </c>
      <c r="AS648" s="15">
        <v>874</v>
      </c>
    </row>
    <row r="649" spans="1:45" x14ac:dyDescent="0.25">
      <c r="A649">
        <v>979</v>
      </c>
      <c r="B649" s="11">
        <f t="shared" si="10"/>
        <v>52845</v>
      </c>
      <c r="C649" s="16">
        <v>528450</v>
      </c>
      <c r="D649" s="17">
        <v>1</v>
      </c>
      <c r="E649" s="17">
        <v>0</v>
      </c>
      <c r="F649" s="17">
        <v>7</v>
      </c>
      <c r="G649" s="17">
        <v>47</v>
      </c>
      <c r="H649" s="13" t="str" cm="1">
        <f t="array" ref="H649">_xlfn.IFS(G649&lt;=20,"0-20",G649&lt;=30,"20-30",G649&lt;=40,"30-40",G649&lt;=50,"50-60",G649&lt;=60,"60-70",G649&lt;=70,"70-80",G649&lt;=80,"80-90")</f>
        <v>50-60</v>
      </c>
      <c r="I649" s="17">
        <v>2479</v>
      </c>
      <c r="J649" s="13" t="str" cm="1">
        <f t="array" ref="J649">_xlfn.IFS(K649=1,"Divorciado",L649=1,"Casado",M649=1,"Solteiro",N649=1,"Juntos",O649=1,"Viuvo")</f>
        <v>Casado</v>
      </c>
      <c r="K649" s="17">
        <v>0</v>
      </c>
      <c r="L649" s="17">
        <v>1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1</v>
      </c>
      <c r="S649" s="17">
        <v>0</v>
      </c>
      <c r="T649" s="17">
        <v>0</v>
      </c>
      <c r="U649" s="17">
        <v>384</v>
      </c>
      <c r="V649" s="13" t="str" cm="1">
        <f t="array" ref="V649">_xlfn.IFS(U649&lt;=250,"0-R$250",U649&lt;=500,"251-R$500",U649&lt;=750,"501-R$750",U649&lt;=1000,"751-R$1000",U649&lt;=1250,"1001-R$1250",U649&lt;=1500,"1251-R$1500")</f>
        <v>251-R$500</v>
      </c>
      <c r="W649" s="17">
        <v>25</v>
      </c>
      <c r="X649" s="13" t="str" cm="1">
        <f t="array" ref="X649">_xlfn.IFS(W649 = 0, "0", W649&lt;=20, "até R$20",W649&lt;=40, "21 - R$40",W649&lt;=60, "41- R$60",W649&lt;=80, "61 - R$80", W649&lt;=100, "81 - R$100",W649&lt;=120, "101 - R$120",W649&lt;=140, "121 - R$140", W649&lt;=160, "141- R$160", W649&lt;=180, "161 - R$180", W649&lt;=200, "181-R$194")</f>
        <v>21 - R$40</v>
      </c>
      <c r="Y649" s="17">
        <v>292</v>
      </c>
      <c r="Z649" s="17">
        <v>130</v>
      </c>
      <c r="AA649" s="17">
        <v>41</v>
      </c>
      <c r="AB649" s="17">
        <v>64</v>
      </c>
      <c r="AC649" s="17">
        <v>3</v>
      </c>
      <c r="AD649" s="17">
        <v>8</v>
      </c>
      <c r="AE649" s="17">
        <v>8</v>
      </c>
      <c r="AF649" s="17">
        <v>6</v>
      </c>
      <c r="AG649" s="17">
        <v>6</v>
      </c>
      <c r="AH649" s="17">
        <v>0</v>
      </c>
      <c r="AI649" s="17">
        <v>1</v>
      </c>
      <c r="AJ649" s="17">
        <v>0</v>
      </c>
      <c r="AK649" s="17">
        <v>0</v>
      </c>
      <c r="AL649" s="17">
        <v>0</v>
      </c>
      <c r="AM649" s="17">
        <v>0</v>
      </c>
      <c r="AN649" s="17">
        <v>0</v>
      </c>
      <c r="AO649" s="18">
        <v>1</v>
      </c>
      <c r="AP649" s="17">
        <v>3</v>
      </c>
      <c r="AQ649" s="17">
        <v>11</v>
      </c>
      <c r="AR649" s="19">
        <v>808</v>
      </c>
      <c r="AS649" s="19">
        <v>872</v>
      </c>
    </row>
    <row r="650" spans="1:45" x14ac:dyDescent="0.25">
      <c r="A650">
        <v>265</v>
      </c>
      <c r="B650" s="11">
        <f t="shared" si="10"/>
        <v>69867</v>
      </c>
      <c r="C650" s="16">
        <v>698670</v>
      </c>
      <c r="D650" s="17">
        <v>0</v>
      </c>
      <c r="E650" s="17">
        <v>0</v>
      </c>
      <c r="F650" s="17">
        <v>30</v>
      </c>
      <c r="G650" s="17">
        <v>34</v>
      </c>
      <c r="H650" s="13" t="str" cm="1">
        <f t="array" ref="H650">_xlfn.IFS(G650&lt;=20,"0-20",G650&lt;=30,"20-30",G650&lt;=40,"30-40",G650&lt;=50,"50-60",G650&lt;=60,"60-70",G650&lt;=70,"70-80",G650&lt;=80,"80-90")</f>
        <v>30-40</v>
      </c>
      <c r="I650" s="17">
        <v>2612</v>
      </c>
      <c r="J650" s="13" t="str" cm="1">
        <f t="array" ref="J650">_xlfn.IFS(K650=1,"Divorciado",L650=1,"Casado",M650=1,"Solteiro",N650=1,"Juntos",O650=1,"Viuvo")</f>
        <v>Solteiro</v>
      </c>
      <c r="K650" s="17">
        <v>0</v>
      </c>
      <c r="L650" s="17">
        <v>0</v>
      </c>
      <c r="M650" s="17">
        <v>1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1</v>
      </c>
      <c r="U650" s="17">
        <v>196</v>
      </c>
      <c r="V650" s="13" t="str" cm="1">
        <f t="array" ref="V650">_xlfn.IFS(U650&lt;=250,"0-R$250",U650&lt;=500,"251-R$500",U650&lt;=750,"501-R$750",U650&lt;=1000,"751-R$1000",U650&lt;=1250,"1001-R$1250",U650&lt;=1500,"1251-R$1500")</f>
        <v>0-R$250</v>
      </c>
      <c r="W650" s="17">
        <v>0</v>
      </c>
      <c r="X650" s="13" t="str" cm="1">
        <f t="array" ref="X650">_xlfn.IFS(W650 = 0, "0", W650&lt;=20, "até R$20",W650&lt;=40, "21 - R$40",W650&lt;=60, "41- R$60",W650&lt;=80, "61 - R$80", W650&lt;=100, "81 - R$100",W650&lt;=120, "101 - R$120",W650&lt;=140, "121 - R$140", W650&lt;=160, "141- R$160", W650&lt;=180, "161 - R$180", W650&lt;=200, "181-R$194")</f>
        <v>0</v>
      </c>
      <c r="Y650" s="17">
        <v>512</v>
      </c>
      <c r="Z650" s="17">
        <v>33</v>
      </c>
      <c r="AA650" s="17">
        <v>130</v>
      </c>
      <c r="AB650" s="17">
        <v>54</v>
      </c>
      <c r="AC650" s="17">
        <v>1</v>
      </c>
      <c r="AD650" s="17">
        <v>3</v>
      </c>
      <c r="AE650" s="17">
        <v>5</v>
      </c>
      <c r="AF650" s="17">
        <v>8</v>
      </c>
      <c r="AG650" s="17">
        <v>1</v>
      </c>
      <c r="AH650" s="17">
        <v>0</v>
      </c>
      <c r="AI650" s="17">
        <v>0</v>
      </c>
      <c r="AJ650" s="17">
        <v>0</v>
      </c>
      <c r="AK650" s="17">
        <v>0</v>
      </c>
      <c r="AL650" s="17">
        <v>1</v>
      </c>
      <c r="AM650" s="17">
        <v>0</v>
      </c>
      <c r="AN650" s="17">
        <v>1</v>
      </c>
      <c r="AO650" s="18">
        <v>1</v>
      </c>
      <c r="AP650" s="17">
        <v>3</v>
      </c>
      <c r="AQ650" s="17">
        <v>11</v>
      </c>
      <c r="AR650" s="19">
        <v>817</v>
      </c>
      <c r="AS650" s="19">
        <v>871</v>
      </c>
    </row>
    <row r="651" spans="1:45" x14ac:dyDescent="0.25">
      <c r="A651">
        <v>881</v>
      </c>
      <c r="B651" s="11">
        <f t="shared" si="10"/>
        <v>81320</v>
      </c>
      <c r="C651" s="16">
        <v>813200</v>
      </c>
      <c r="D651" s="17">
        <v>0</v>
      </c>
      <c r="E651" s="17">
        <v>0</v>
      </c>
      <c r="F651" s="17">
        <v>61</v>
      </c>
      <c r="G651" s="17">
        <v>62</v>
      </c>
      <c r="H651" s="13" t="str" cm="1">
        <f t="array" ref="H651">_xlfn.IFS(G651&lt;=20,"0-20",G651&lt;=30,"20-30",G651&lt;=40,"30-40",G651&lt;=50,"50-60",G651&lt;=60,"60-70",G651&lt;=70,"70-80",G651&lt;=80,"80-90")</f>
        <v>70-80</v>
      </c>
      <c r="I651" s="17">
        <v>2667</v>
      </c>
      <c r="J651" s="13" t="str" cm="1">
        <f t="array" ref="J651">_xlfn.IFS(K651=1,"Divorciado",L651=1,"Casado",M651=1,"Solteiro",N651=1,"Juntos",O651=1,"Viuvo")</f>
        <v>Casado</v>
      </c>
      <c r="K651" s="17">
        <v>0</v>
      </c>
      <c r="L651" s="17">
        <v>1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1</v>
      </c>
      <c r="S651" s="17">
        <v>0</v>
      </c>
      <c r="T651" s="17">
        <v>0</v>
      </c>
      <c r="U651" s="17">
        <v>183</v>
      </c>
      <c r="V651" s="13" t="str" cm="1">
        <f t="array" ref="V651">_xlfn.IFS(U651&lt;=250,"0-R$250",U651&lt;=500,"251-R$500",U651&lt;=750,"501-R$750",U651&lt;=1000,"751-R$1000",U651&lt;=1250,"1001-R$1250",U651&lt;=1500,"1251-R$1500")</f>
        <v>0-R$250</v>
      </c>
      <c r="W651" s="17">
        <v>33</v>
      </c>
      <c r="X651" s="13" t="str" cm="1">
        <f t="array" ref="X651">_xlfn.IFS(W651 = 0, "0", W651&lt;=20, "até R$20",W651&lt;=40, "21 - R$40",W651&lt;=60, "41- R$60",W651&lt;=80, "61 - R$80", W651&lt;=100, "81 - R$100",W651&lt;=120, "101 - R$120",W651&lt;=140, "121 - R$140", W651&lt;=160, "141- R$160", W651&lt;=180, "161 - R$180", W651&lt;=200, "181-R$194")</f>
        <v>21 - R$40</v>
      </c>
      <c r="Y651" s="17">
        <v>493</v>
      </c>
      <c r="Z651" s="17">
        <v>59</v>
      </c>
      <c r="AA651" s="17">
        <v>103</v>
      </c>
      <c r="AB651" s="17">
        <v>57</v>
      </c>
      <c r="AC651" s="17">
        <v>1</v>
      </c>
      <c r="AD651" s="17">
        <v>4</v>
      </c>
      <c r="AE651" s="17">
        <v>3</v>
      </c>
      <c r="AF651" s="17">
        <v>10</v>
      </c>
      <c r="AG651" s="17">
        <v>2</v>
      </c>
      <c r="AH651" s="17">
        <v>0</v>
      </c>
      <c r="AI651" s="17">
        <v>0</v>
      </c>
      <c r="AJ651" s="17">
        <v>0</v>
      </c>
      <c r="AK651" s="17">
        <v>0</v>
      </c>
      <c r="AL651" s="17">
        <v>0</v>
      </c>
      <c r="AM651" s="17">
        <v>0</v>
      </c>
      <c r="AN651" s="17">
        <v>0</v>
      </c>
      <c r="AO651" s="18">
        <v>0</v>
      </c>
      <c r="AP651" s="17">
        <v>3</v>
      </c>
      <c r="AQ651" s="17">
        <v>11</v>
      </c>
      <c r="AR651" s="19">
        <v>814</v>
      </c>
      <c r="AS651" s="19">
        <v>871</v>
      </c>
    </row>
    <row r="652" spans="1:45" x14ac:dyDescent="0.25">
      <c r="A652">
        <v>2154</v>
      </c>
      <c r="B652" s="11">
        <f t="shared" si="10"/>
        <v>76234</v>
      </c>
      <c r="C652" s="12">
        <v>762340</v>
      </c>
      <c r="D652" s="13">
        <v>0</v>
      </c>
      <c r="E652" s="13">
        <v>1</v>
      </c>
      <c r="F652" s="13">
        <v>21</v>
      </c>
      <c r="G652" s="13">
        <v>48</v>
      </c>
      <c r="H652" s="13" t="str" cm="1">
        <f t="array" ref="H652">_xlfn.IFS(G652&lt;=20,"0-20",G652&lt;=30,"20-30",G652&lt;=40,"30-40",G652&lt;=50,"50-60",G652&lt;=60,"60-70",G652&lt;=70,"70-80",G652&lt;=80,"80-90")</f>
        <v>50-60</v>
      </c>
      <c r="I652" s="13">
        <v>2302</v>
      </c>
      <c r="J652" s="13" t="str" cm="1">
        <f t="array" ref="J652">_xlfn.IFS(K652=1,"Divorciado",L652=1,"Casado",M652=1,"Solteiro",N652=1,"Juntos",O652=1,"Viuvo")</f>
        <v>Casado</v>
      </c>
      <c r="K652" s="13">
        <v>0</v>
      </c>
      <c r="L652" s="13">
        <v>1</v>
      </c>
      <c r="M652" s="13">
        <v>0</v>
      </c>
      <c r="N652" s="13">
        <v>0</v>
      </c>
      <c r="O652" s="13">
        <v>0</v>
      </c>
      <c r="P652" s="13">
        <v>0</v>
      </c>
      <c r="Q652" s="13">
        <v>0</v>
      </c>
      <c r="R652" s="13">
        <v>0</v>
      </c>
      <c r="S652" s="13">
        <v>1</v>
      </c>
      <c r="T652" s="13">
        <v>0</v>
      </c>
      <c r="U652" s="13">
        <v>519</v>
      </c>
      <c r="V652" s="13" t="str" cm="1">
        <f t="array" ref="V652">_xlfn.IFS(U652&lt;=250,"0-R$250",U652&lt;=500,"251-R$500",U652&lt;=750,"501-R$750",U652&lt;=1000,"751-R$1000",U652&lt;=1250,"1001-R$1250",U652&lt;=1500,"1251-R$1500")</f>
        <v>501-R$750</v>
      </c>
      <c r="W652" s="13">
        <v>50</v>
      </c>
      <c r="X652" s="13" t="str" cm="1">
        <f t="array" ref="X652">_xlfn.IFS(W652 = 0, "0", W652&lt;=20, "até R$20",W652&lt;=40, "21 - R$40",W652&lt;=60, "41- R$60",W652&lt;=80, "61 - R$80", W652&lt;=100, "81 - R$100",W652&lt;=120, "101 - R$120",W652&lt;=140, "121 - R$140", W652&lt;=160, "141- R$160", W652&lt;=180, "161 - R$180", W652&lt;=200, "181-R$194")</f>
        <v>41- R$60</v>
      </c>
      <c r="Y652" s="13">
        <v>167</v>
      </c>
      <c r="Z652" s="13">
        <v>130</v>
      </c>
      <c r="AA652" s="13">
        <v>0</v>
      </c>
      <c r="AB652" s="13">
        <v>41</v>
      </c>
      <c r="AC652" s="13">
        <v>1</v>
      </c>
      <c r="AD652" s="13">
        <v>8</v>
      </c>
      <c r="AE652" s="13">
        <v>3</v>
      </c>
      <c r="AF652" s="13">
        <v>11</v>
      </c>
      <c r="AG652" s="13">
        <v>3</v>
      </c>
      <c r="AH652" s="13">
        <v>0</v>
      </c>
      <c r="AI652" s="13">
        <v>0</v>
      </c>
      <c r="AJ652" s="13">
        <v>1</v>
      </c>
      <c r="AK652" s="13">
        <v>0</v>
      </c>
      <c r="AL652" s="13">
        <v>0</v>
      </c>
      <c r="AM652" s="13">
        <v>0</v>
      </c>
      <c r="AN652" s="13">
        <v>0</v>
      </c>
      <c r="AO652" s="14">
        <v>1</v>
      </c>
      <c r="AP652" s="13">
        <v>3</v>
      </c>
      <c r="AQ652" s="13">
        <v>11</v>
      </c>
      <c r="AR652" s="15">
        <v>825</v>
      </c>
      <c r="AS652" s="15">
        <v>866</v>
      </c>
    </row>
    <row r="653" spans="1:45" x14ac:dyDescent="0.25">
      <c r="A653">
        <v>255</v>
      </c>
      <c r="B653" s="11">
        <f t="shared" si="10"/>
        <v>72940</v>
      </c>
      <c r="C653" s="16">
        <v>729400</v>
      </c>
      <c r="D653" s="17">
        <v>0</v>
      </c>
      <c r="E653" s="17">
        <v>0</v>
      </c>
      <c r="F653" s="17">
        <v>13</v>
      </c>
      <c r="G653" s="17">
        <v>50</v>
      </c>
      <c r="H653" s="13" t="str" cm="1">
        <f t="array" ref="H653">_xlfn.IFS(G653&lt;=20,"0-20",G653&lt;=30,"20-30",G653&lt;=40,"30-40",G653&lt;=50,"50-60",G653&lt;=60,"60-70",G653&lt;=70,"70-80",G653&lt;=80,"80-90")</f>
        <v>50-60</v>
      </c>
      <c r="I653" s="17">
        <v>2534</v>
      </c>
      <c r="J653" s="13" t="str" cm="1">
        <f t="array" ref="J653">_xlfn.IFS(K653=1,"Divorciado",L653=1,"Casado",M653=1,"Solteiro",N653=1,"Juntos",O653=1,"Viuvo")</f>
        <v>Casado</v>
      </c>
      <c r="K653" s="17">
        <v>0</v>
      </c>
      <c r="L653" s="17">
        <v>1</v>
      </c>
      <c r="M653" s="17">
        <v>0</v>
      </c>
      <c r="N653" s="17">
        <v>0</v>
      </c>
      <c r="O653" s="17">
        <v>0</v>
      </c>
      <c r="P653" s="17">
        <v>0</v>
      </c>
      <c r="Q653" s="17">
        <v>0</v>
      </c>
      <c r="R653" s="17">
        <v>1</v>
      </c>
      <c r="S653" s="17">
        <v>0</v>
      </c>
      <c r="T653" s="17">
        <v>0</v>
      </c>
      <c r="U653" s="17">
        <v>182</v>
      </c>
      <c r="V653" s="13" t="str" cm="1">
        <f t="array" ref="V653">_xlfn.IFS(U653&lt;=250,"0-R$250",U653&lt;=500,"251-R$500",U653&lt;=750,"501-R$750",U653&lt;=1000,"751-R$1000",U653&lt;=1250,"1001-R$1250",U653&lt;=1500,"1251-R$1500")</f>
        <v>0-R$250</v>
      </c>
      <c r="W653" s="17">
        <v>74</v>
      </c>
      <c r="X653" s="13" t="str" cm="1">
        <f t="array" ref="X653">_xlfn.IFS(W653 = 0, "0", W653&lt;=20, "até R$20",W653&lt;=40, "21 - R$40",W653&lt;=60, "41- R$60",W653&lt;=80, "61 - R$80", W653&lt;=100, "81 - R$100",W653&lt;=120, "101 - R$120",W653&lt;=140, "121 - R$140", W653&lt;=160, "141- R$160", W653&lt;=180, "161 - R$180", W653&lt;=200, "181-R$194")</f>
        <v>61 - R$80</v>
      </c>
      <c r="Y653" s="17">
        <v>298</v>
      </c>
      <c r="Z653" s="17">
        <v>162</v>
      </c>
      <c r="AA653" s="17">
        <v>149</v>
      </c>
      <c r="AB653" s="17">
        <v>116</v>
      </c>
      <c r="AC653" s="17">
        <v>1</v>
      </c>
      <c r="AD653" s="17">
        <v>3</v>
      </c>
      <c r="AE653" s="17">
        <v>3</v>
      </c>
      <c r="AF653" s="17">
        <v>6</v>
      </c>
      <c r="AG653" s="17">
        <v>1</v>
      </c>
      <c r="AH653" s="17">
        <v>0</v>
      </c>
      <c r="AI653" s="17">
        <v>0</v>
      </c>
      <c r="AJ653" s="17">
        <v>0</v>
      </c>
      <c r="AK653" s="17">
        <v>0</v>
      </c>
      <c r="AL653" s="17">
        <v>0</v>
      </c>
      <c r="AM653" s="17">
        <v>0</v>
      </c>
      <c r="AN653" s="17">
        <v>0</v>
      </c>
      <c r="AO653" s="18">
        <v>0</v>
      </c>
      <c r="AP653" s="17">
        <v>3</v>
      </c>
      <c r="AQ653" s="17">
        <v>11</v>
      </c>
      <c r="AR653" s="19">
        <v>749</v>
      </c>
      <c r="AS653" s="19">
        <v>865</v>
      </c>
    </row>
    <row r="654" spans="1:45" x14ac:dyDescent="0.25">
      <c r="A654">
        <v>1918</v>
      </c>
      <c r="B654" s="11">
        <f t="shared" si="10"/>
        <v>72570</v>
      </c>
      <c r="C654" s="12">
        <v>725700</v>
      </c>
      <c r="D654" s="13">
        <v>0</v>
      </c>
      <c r="E654" s="13">
        <v>0</v>
      </c>
      <c r="F654" s="13">
        <v>67</v>
      </c>
      <c r="G654" s="13">
        <v>36</v>
      </c>
      <c r="H654" s="13" t="str" cm="1">
        <f t="array" ref="H654">_xlfn.IFS(G654&lt;=20,"0-20",G654&lt;=30,"20-30",G654&lt;=40,"30-40",G654&lt;=50,"50-60",G654&lt;=60,"60-70",G654&lt;=70,"70-80",G654&lt;=80,"80-90")</f>
        <v>30-40</v>
      </c>
      <c r="I654" s="13">
        <v>2224</v>
      </c>
      <c r="J654" s="13" t="str" cm="1">
        <f t="array" ref="J654">_xlfn.IFS(K654=1,"Divorciado",L654=1,"Casado",M654=1,"Solteiro",N654=1,"Juntos",O654=1,"Viuvo")</f>
        <v>Casado</v>
      </c>
      <c r="K654" s="13">
        <v>0</v>
      </c>
      <c r="L654" s="13">
        <v>1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1</v>
      </c>
      <c r="S654" s="13">
        <v>0</v>
      </c>
      <c r="T654" s="13">
        <v>0</v>
      </c>
      <c r="U654" s="13">
        <v>274</v>
      </c>
      <c r="V654" s="13" t="str" cm="1">
        <f t="array" ref="V654">_xlfn.IFS(U654&lt;=250,"0-R$250",U654&lt;=500,"251-R$500",U654&lt;=750,"501-R$750",U654&lt;=1000,"751-R$1000",U654&lt;=1250,"1001-R$1250",U654&lt;=1500,"1251-R$1500")</f>
        <v>251-R$500</v>
      </c>
      <c r="W654" s="13">
        <v>83</v>
      </c>
      <c r="X654" s="13" t="str" cm="1">
        <f t="array" ref="X654">_xlfn.IFS(W654 = 0, "0", W654&lt;=20, "até R$20",W654&lt;=40, "21 - R$40",W654&lt;=60, "41- R$60",W654&lt;=80, "61 - R$80", W654&lt;=100, "81 - R$100",W654&lt;=120, "101 - R$120",W654&lt;=140, "121 - R$140", W654&lt;=160, "141- R$160", W654&lt;=180, "161 - R$180", W654&lt;=200, "181-R$194")</f>
        <v>81 - R$100</v>
      </c>
      <c r="Y654" s="13">
        <v>216</v>
      </c>
      <c r="Z654" s="13">
        <v>151</v>
      </c>
      <c r="AA654" s="13">
        <v>141</v>
      </c>
      <c r="AB654" s="13">
        <v>224</v>
      </c>
      <c r="AC654" s="13">
        <v>1</v>
      </c>
      <c r="AD654" s="13">
        <v>4</v>
      </c>
      <c r="AE654" s="13">
        <v>6</v>
      </c>
      <c r="AF654" s="13">
        <v>12</v>
      </c>
      <c r="AG654" s="13">
        <v>1</v>
      </c>
      <c r="AH654" s="13">
        <v>0</v>
      </c>
      <c r="AI654" s="13">
        <v>0</v>
      </c>
      <c r="AJ654" s="13">
        <v>0</v>
      </c>
      <c r="AK654" s="13">
        <v>0</v>
      </c>
      <c r="AL654" s="13">
        <v>0</v>
      </c>
      <c r="AM654" s="13">
        <v>0</v>
      </c>
      <c r="AN654" s="13">
        <v>0</v>
      </c>
      <c r="AO654" s="14">
        <v>0</v>
      </c>
      <c r="AP654" s="13">
        <v>3</v>
      </c>
      <c r="AQ654" s="13">
        <v>11</v>
      </c>
      <c r="AR654" s="15">
        <v>641</v>
      </c>
      <c r="AS654" s="15">
        <v>865</v>
      </c>
    </row>
    <row r="655" spans="1:45" x14ac:dyDescent="0.25">
      <c r="A655">
        <v>725</v>
      </c>
      <c r="B655" s="11">
        <f t="shared" si="10"/>
        <v>82224</v>
      </c>
      <c r="C655" s="16">
        <v>822240</v>
      </c>
      <c r="D655" s="17">
        <v>0</v>
      </c>
      <c r="E655" s="17">
        <v>0</v>
      </c>
      <c r="F655" s="17">
        <v>83</v>
      </c>
      <c r="G655" s="17">
        <v>56</v>
      </c>
      <c r="H655" s="13" t="str" cm="1">
        <f t="array" ref="H655">_xlfn.IFS(G655&lt;=20,"0-20",G655&lt;=30,"20-30",G655&lt;=40,"30-40",G655&lt;=50,"50-60",G655&lt;=60,"60-70",G655&lt;=70,"70-80",G655&lt;=80,"80-90")</f>
        <v>60-70</v>
      </c>
      <c r="I655" s="17">
        <v>2314</v>
      </c>
      <c r="J655" s="13" t="str" cm="1">
        <f t="array" ref="J655">_xlfn.IFS(K655=1,"Divorciado",L655=1,"Casado",M655=1,"Solteiro",N655=1,"Juntos",O655=1,"Viuvo")</f>
        <v>Casado</v>
      </c>
      <c r="K655" s="17">
        <v>0</v>
      </c>
      <c r="L655" s="17">
        <v>1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1</v>
      </c>
      <c r="S655" s="17">
        <v>0</v>
      </c>
      <c r="T655" s="17">
        <v>0</v>
      </c>
      <c r="U655" s="17">
        <v>307</v>
      </c>
      <c r="V655" s="13" t="str" cm="1">
        <f t="array" ref="V655">_xlfn.IFS(U655&lt;=250,"0-R$250",U655&lt;=500,"251-R$500",U655&lt;=750,"501-R$750",U655&lt;=1000,"751-R$1000",U655&lt;=1250,"1001-R$1250",U655&lt;=1500,"1251-R$1500")</f>
        <v>251-R$500</v>
      </c>
      <c r="W655" s="17">
        <v>26</v>
      </c>
      <c r="X655" s="13" t="str" cm="1">
        <f t="array" ref="X655">_xlfn.IFS(W655 = 0, "0", W655&lt;=20, "até R$20",W655&lt;=40, "21 - R$40",W655&lt;=60, "41- R$60",W655&lt;=80, "61 - R$80", W655&lt;=100, "81 - R$100",W655&lt;=120, "101 - R$120",W655&lt;=140, "121 - R$140", W655&lt;=160, "141- R$160", W655&lt;=180, "161 - R$180", W655&lt;=200, "181-R$194")</f>
        <v>21 - R$40</v>
      </c>
      <c r="Y655" s="17">
        <v>360</v>
      </c>
      <c r="Z655" s="17">
        <v>138</v>
      </c>
      <c r="AA655" s="17">
        <v>31</v>
      </c>
      <c r="AB655" s="17">
        <v>40</v>
      </c>
      <c r="AC655" s="17">
        <v>1</v>
      </c>
      <c r="AD655" s="17">
        <v>6</v>
      </c>
      <c r="AE655" s="17">
        <v>9</v>
      </c>
      <c r="AF655" s="17">
        <v>5</v>
      </c>
      <c r="AG655" s="17">
        <v>3</v>
      </c>
      <c r="AH655" s="17">
        <v>0</v>
      </c>
      <c r="AI655" s="17">
        <v>0</v>
      </c>
      <c r="AJ655" s="17">
        <v>0</v>
      </c>
      <c r="AK655" s="17">
        <v>0</v>
      </c>
      <c r="AL655" s="17">
        <v>1</v>
      </c>
      <c r="AM655" s="17">
        <v>0</v>
      </c>
      <c r="AN655" s="17">
        <v>0</v>
      </c>
      <c r="AO655" s="18">
        <v>1</v>
      </c>
      <c r="AP655" s="17">
        <v>3</v>
      </c>
      <c r="AQ655" s="17">
        <v>11</v>
      </c>
      <c r="AR655" s="19">
        <v>822</v>
      </c>
      <c r="AS655" s="19">
        <v>862</v>
      </c>
    </row>
    <row r="656" spans="1:45" x14ac:dyDescent="0.25">
      <c r="A656">
        <v>38</v>
      </c>
      <c r="B656" s="11">
        <f t="shared" si="10"/>
        <v>48948</v>
      </c>
      <c r="C656" s="12">
        <v>489480</v>
      </c>
      <c r="D656" s="13">
        <v>0</v>
      </c>
      <c r="E656" s="13">
        <v>0</v>
      </c>
      <c r="F656" s="13">
        <v>53</v>
      </c>
      <c r="G656" s="13">
        <v>77</v>
      </c>
      <c r="H656" s="13" t="str" cm="1">
        <f t="array" ref="H656">_xlfn.IFS(G656&lt;=20,"0-20",G656&lt;=30,"20-30",G656&lt;=40,"30-40",G656&lt;=50,"50-60",G656&lt;=60,"60-70",G656&lt;=70,"70-80",G656&lt;=80,"80-90")</f>
        <v>80-90</v>
      </c>
      <c r="I656" s="13">
        <v>2672</v>
      </c>
      <c r="J656" s="13" t="str" cm="1">
        <f t="array" ref="J656">_xlfn.IFS(K656=1,"Divorciado",L656=1,"Casado",M656=1,"Solteiro",N656=1,"Juntos",O656=1,"Viuvo")</f>
        <v>Divorciado</v>
      </c>
      <c r="K656" s="13">
        <v>1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1</v>
      </c>
      <c r="U656" s="13">
        <v>437</v>
      </c>
      <c r="V656" s="13" t="str" cm="1">
        <f t="array" ref="V656">_xlfn.IFS(U656&lt;=250,"0-R$250",U656&lt;=500,"251-R$500",U656&lt;=750,"501-R$750",U656&lt;=1000,"751-R$1000",U656&lt;=1250,"1001-R$1250",U656&lt;=1500,"1251-R$1500")</f>
        <v>251-R$500</v>
      </c>
      <c r="W656" s="13">
        <v>8</v>
      </c>
      <c r="X656" s="13" t="str" cm="1">
        <f t="array" ref="X656">_xlfn.IFS(W656 = 0, "0", W656&lt;=20, "até R$20",W656&lt;=40, "21 - R$40",W656&lt;=60, "41- R$60",W656&lt;=80, "61 - R$80", W656&lt;=100, "81 - R$100",W656&lt;=120, "101 - R$120",W656&lt;=140, "121 - R$140", W656&lt;=160, "141- R$160", W656&lt;=180, "161 - R$180", W656&lt;=200, "181-R$194")</f>
        <v>até R$20</v>
      </c>
      <c r="Y656" s="13">
        <v>206</v>
      </c>
      <c r="Z656" s="13">
        <v>160</v>
      </c>
      <c r="AA656" s="13">
        <v>49</v>
      </c>
      <c r="AB656" s="13">
        <v>42</v>
      </c>
      <c r="AC656" s="13">
        <v>2</v>
      </c>
      <c r="AD656" s="13">
        <v>7</v>
      </c>
      <c r="AE656" s="13">
        <v>10</v>
      </c>
      <c r="AF656" s="13">
        <v>5</v>
      </c>
      <c r="AG656" s="13">
        <v>6</v>
      </c>
      <c r="AH656" s="13">
        <v>0</v>
      </c>
      <c r="AI656" s="13">
        <v>1</v>
      </c>
      <c r="AJ656" s="13">
        <v>0</v>
      </c>
      <c r="AK656" s="13">
        <v>0</v>
      </c>
      <c r="AL656" s="13">
        <v>0</v>
      </c>
      <c r="AM656" s="13">
        <v>0</v>
      </c>
      <c r="AN656" s="13">
        <v>1</v>
      </c>
      <c r="AO656" s="14">
        <v>1</v>
      </c>
      <c r="AP656" s="13">
        <v>3</v>
      </c>
      <c r="AQ656" s="13">
        <v>11</v>
      </c>
      <c r="AR656" s="15">
        <v>818</v>
      </c>
      <c r="AS656" s="15">
        <v>860</v>
      </c>
    </row>
    <row r="657" spans="1:45" x14ac:dyDescent="0.25">
      <c r="A657">
        <v>875</v>
      </c>
      <c r="B657" s="11">
        <f t="shared" si="10"/>
        <v>48948</v>
      </c>
      <c r="C657" s="16">
        <v>489480</v>
      </c>
      <c r="D657" s="17">
        <v>0</v>
      </c>
      <c r="E657" s="17">
        <v>0</v>
      </c>
      <c r="F657" s="17">
        <v>53</v>
      </c>
      <c r="G657" s="17">
        <v>77</v>
      </c>
      <c r="H657" s="13" t="str" cm="1">
        <f t="array" ref="H657">_xlfn.IFS(G657&lt;=20,"0-20",G657&lt;=30,"20-30",G657&lt;=40,"30-40",G657&lt;=50,"50-60",G657&lt;=60,"60-70",G657&lt;=70,"70-80",G657&lt;=80,"80-90")</f>
        <v>80-90</v>
      </c>
      <c r="I657" s="17">
        <v>2672</v>
      </c>
      <c r="J657" s="13" t="str" cm="1">
        <f t="array" ref="J657">_xlfn.IFS(K657=1,"Divorciado",L657=1,"Casado",M657=1,"Solteiro",N657=1,"Juntos",O657=1,"Viuvo")</f>
        <v>Divorciado</v>
      </c>
      <c r="K657" s="17">
        <v>1</v>
      </c>
      <c r="L657" s="17">
        <v>0</v>
      </c>
      <c r="M657" s="17">
        <v>0</v>
      </c>
      <c r="N657" s="17">
        <v>0</v>
      </c>
      <c r="O657" s="17">
        <v>0</v>
      </c>
      <c r="P657" s="17">
        <v>0</v>
      </c>
      <c r="Q657" s="17">
        <v>0</v>
      </c>
      <c r="R657" s="17">
        <v>0</v>
      </c>
      <c r="S657" s="17">
        <v>0</v>
      </c>
      <c r="T657" s="17">
        <v>1</v>
      </c>
      <c r="U657" s="17">
        <v>437</v>
      </c>
      <c r="V657" s="13" t="str" cm="1">
        <f t="array" ref="V657">_xlfn.IFS(U657&lt;=250,"0-R$250",U657&lt;=500,"251-R$500",U657&lt;=750,"501-R$750",U657&lt;=1000,"751-R$1000",U657&lt;=1250,"1001-R$1250",U657&lt;=1500,"1251-R$1500")</f>
        <v>251-R$500</v>
      </c>
      <c r="W657" s="17">
        <v>8</v>
      </c>
      <c r="X657" s="13" t="str" cm="1">
        <f t="array" ref="X657">_xlfn.IFS(W657 = 0, "0", W657&lt;=20, "até R$20",W657&lt;=40, "21 - R$40",W657&lt;=60, "41- R$60",W657&lt;=80, "61 - R$80", W657&lt;=100, "81 - R$100",W657&lt;=120, "101 - R$120",W657&lt;=140, "121 - R$140", W657&lt;=160, "141- R$160", W657&lt;=180, "161 - R$180", W657&lt;=200, "181-R$194")</f>
        <v>até R$20</v>
      </c>
      <c r="Y657" s="17">
        <v>206</v>
      </c>
      <c r="Z657" s="17">
        <v>160</v>
      </c>
      <c r="AA657" s="17">
        <v>49</v>
      </c>
      <c r="AB657" s="17">
        <v>42</v>
      </c>
      <c r="AC657" s="17">
        <v>2</v>
      </c>
      <c r="AD657" s="17">
        <v>7</v>
      </c>
      <c r="AE657" s="17">
        <v>10</v>
      </c>
      <c r="AF657" s="17">
        <v>5</v>
      </c>
      <c r="AG657" s="17">
        <v>6</v>
      </c>
      <c r="AH657" s="17">
        <v>0</v>
      </c>
      <c r="AI657" s="17">
        <v>1</v>
      </c>
      <c r="AJ657" s="17">
        <v>0</v>
      </c>
      <c r="AK657" s="17">
        <v>0</v>
      </c>
      <c r="AL657" s="17">
        <v>0</v>
      </c>
      <c r="AM657" s="17">
        <v>0</v>
      </c>
      <c r="AN657" s="17">
        <v>1</v>
      </c>
      <c r="AO657" s="18">
        <v>1</v>
      </c>
      <c r="AP657" s="17">
        <v>3</v>
      </c>
      <c r="AQ657" s="17">
        <v>11</v>
      </c>
      <c r="AR657" s="19">
        <v>818</v>
      </c>
      <c r="AS657" s="19">
        <v>860</v>
      </c>
    </row>
    <row r="658" spans="1:45" x14ac:dyDescent="0.25">
      <c r="A658">
        <v>672</v>
      </c>
      <c r="B658" s="11">
        <f t="shared" si="10"/>
        <v>61209</v>
      </c>
      <c r="C658" s="12">
        <v>612090</v>
      </c>
      <c r="D658" s="13">
        <v>0</v>
      </c>
      <c r="E658" s="13">
        <v>0</v>
      </c>
      <c r="F658" s="13">
        <v>73</v>
      </c>
      <c r="G658" s="13">
        <v>50</v>
      </c>
      <c r="H658" s="13" t="str" cm="1">
        <f t="array" ref="H658">_xlfn.IFS(G658&lt;=20,"0-20",G658&lt;=30,"20-30",G658&lt;=40,"30-40",G658&lt;=50,"50-60",G658&lt;=60,"60-70",G658&lt;=70,"70-80",G658&lt;=80,"80-90")</f>
        <v>50-60</v>
      </c>
      <c r="I658" s="13">
        <v>2467</v>
      </c>
      <c r="J658" s="13" t="str" cm="1">
        <f t="array" ref="J658">_xlfn.IFS(K658=1,"Divorciado",L658=1,"Casado",M658=1,"Solteiro",N658=1,"Juntos",O658=1,"Viuvo")</f>
        <v>Solteiro</v>
      </c>
      <c r="K658" s="13">
        <v>0</v>
      </c>
      <c r="L658" s="13">
        <v>0</v>
      </c>
      <c r="M658" s="13">
        <v>1</v>
      </c>
      <c r="N658" s="13">
        <v>0</v>
      </c>
      <c r="O658" s="13">
        <v>0</v>
      </c>
      <c r="P658" s="13">
        <v>0</v>
      </c>
      <c r="Q658" s="13">
        <v>0</v>
      </c>
      <c r="R658" s="13">
        <v>1</v>
      </c>
      <c r="S658" s="13">
        <v>0</v>
      </c>
      <c r="T658" s="13">
        <v>0</v>
      </c>
      <c r="U658" s="13">
        <v>466</v>
      </c>
      <c r="V658" s="13" t="str" cm="1">
        <f t="array" ref="V658">_xlfn.IFS(U658&lt;=250,"0-R$250",U658&lt;=500,"251-R$500",U658&lt;=750,"501-R$750",U658&lt;=1000,"751-R$1000",U658&lt;=1250,"1001-R$1250",U658&lt;=1500,"1251-R$1500")</f>
        <v>251-R$500</v>
      </c>
      <c r="W658" s="13">
        <v>0</v>
      </c>
      <c r="X658" s="13" t="str" cm="1">
        <f t="array" ref="X658">_xlfn.IFS(W658 = 0, "0", W658&lt;=20, "até R$20",W658&lt;=40, "21 - R$40",W658&lt;=60, "41- R$60",W658&lt;=80, "61 - R$80", W658&lt;=100, "81 - R$100",W658&lt;=120, "101 - R$120",W658&lt;=140, "121 - R$140", W658&lt;=160, "141- R$160", W658&lt;=180, "161 - R$180", W658&lt;=200, "181-R$194")</f>
        <v>0</v>
      </c>
      <c r="Y658" s="13">
        <v>224</v>
      </c>
      <c r="Z658" s="13">
        <v>119</v>
      </c>
      <c r="AA658" s="13">
        <v>49</v>
      </c>
      <c r="AB658" s="13">
        <v>99</v>
      </c>
      <c r="AC658" s="13">
        <v>1</v>
      </c>
      <c r="AD658" s="13">
        <v>5</v>
      </c>
      <c r="AE658" s="13">
        <v>3</v>
      </c>
      <c r="AF658" s="13">
        <v>4</v>
      </c>
      <c r="AG658" s="13">
        <v>2</v>
      </c>
      <c r="AH658" s="13">
        <v>0</v>
      </c>
      <c r="AI658" s="13">
        <v>0</v>
      </c>
      <c r="AJ658" s="13">
        <v>0</v>
      </c>
      <c r="AK658" s="13">
        <v>0</v>
      </c>
      <c r="AL658" s="13">
        <v>0</v>
      </c>
      <c r="AM658" s="13">
        <v>0</v>
      </c>
      <c r="AN658" s="13">
        <v>0</v>
      </c>
      <c r="AO658" s="14">
        <v>0</v>
      </c>
      <c r="AP658" s="13">
        <v>3</v>
      </c>
      <c r="AQ658" s="13">
        <v>11</v>
      </c>
      <c r="AR658" s="15">
        <v>759</v>
      </c>
      <c r="AS658" s="15">
        <v>858</v>
      </c>
    </row>
    <row r="659" spans="1:45" x14ac:dyDescent="0.25">
      <c r="A659">
        <v>273</v>
      </c>
      <c r="B659" s="11">
        <f t="shared" si="10"/>
        <v>75278</v>
      </c>
      <c r="C659" s="16">
        <v>752780</v>
      </c>
      <c r="D659" s="17">
        <v>0</v>
      </c>
      <c r="E659" s="17">
        <v>0</v>
      </c>
      <c r="F659" s="17">
        <v>17</v>
      </c>
      <c r="G659" s="17">
        <v>68</v>
      </c>
      <c r="H659" s="13" t="str" cm="1">
        <f t="array" ref="H659">_xlfn.IFS(G659&lt;=20,"0-20",G659&lt;=30,"20-30",G659&lt;=40,"30-40",G659&lt;=50,"50-60",G659&lt;=60,"60-70",G659&lt;=70,"70-80",G659&lt;=80,"80-90")</f>
        <v>70-80</v>
      </c>
      <c r="I659" s="17">
        <v>2675</v>
      </c>
      <c r="J659" s="13" t="str" cm="1">
        <f t="array" ref="J659">_xlfn.IFS(K659=1,"Divorciado",L659=1,"Casado",M659=1,"Solteiro",N659=1,"Juntos",O659=1,"Viuvo")</f>
        <v>Juntos</v>
      </c>
      <c r="K659" s="17">
        <v>0</v>
      </c>
      <c r="L659" s="17">
        <v>0</v>
      </c>
      <c r="M659" s="17">
        <v>0</v>
      </c>
      <c r="N659" s="17">
        <v>1</v>
      </c>
      <c r="O659" s="17">
        <v>0</v>
      </c>
      <c r="P659" s="17">
        <v>0</v>
      </c>
      <c r="Q659" s="17">
        <v>0</v>
      </c>
      <c r="R659" s="17">
        <v>1</v>
      </c>
      <c r="S659" s="17">
        <v>0</v>
      </c>
      <c r="T659" s="17">
        <v>0</v>
      </c>
      <c r="U659" s="17">
        <v>304</v>
      </c>
      <c r="V659" s="13" t="str" cm="1">
        <f t="array" ref="V659">_xlfn.IFS(U659&lt;=250,"0-R$250",U659&lt;=500,"251-R$500",U659&lt;=750,"501-R$750",U659&lt;=1000,"751-R$1000",U659&lt;=1250,"1001-R$1250",U659&lt;=1500,"1251-R$1500")</f>
        <v>251-R$500</v>
      </c>
      <c r="W659" s="17">
        <v>98</v>
      </c>
      <c r="X659" s="13" t="str" cm="1">
        <f t="array" ref="X659">_xlfn.IFS(W659 = 0, "0", W659&lt;=20, "até R$20",W659&lt;=40, "21 - R$40",W659&lt;=60, "41- R$60",W659&lt;=80, "61 - R$80", W659&lt;=100, "81 - R$100",W659&lt;=120, "101 - R$120",W659&lt;=140, "121 - R$140", W659&lt;=160, "141- R$160", W659&lt;=180, "161 - R$180", W659&lt;=200, "181-R$194")</f>
        <v>81 - R$100</v>
      </c>
      <c r="Y659" s="17">
        <v>230</v>
      </c>
      <c r="Z659" s="17">
        <v>150</v>
      </c>
      <c r="AA659" s="17">
        <v>74</v>
      </c>
      <c r="AB659" s="17">
        <v>74</v>
      </c>
      <c r="AC659" s="17">
        <v>1</v>
      </c>
      <c r="AD659" s="17">
        <v>6</v>
      </c>
      <c r="AE659" s="17">
        <v>3</v>
      </c>
      <c r="AF659" s="17">
        <v>13</v>
      </c>
      <c r="AG659" s="17">
        <v>3</v>
      </c>
      <c r="AH659" s="17">
        <v>0</v>
      </c>
      <c r="AI659" s="17">
        <v>0</v>
      </c>
      <c r="AJ659" s="17">
        <v>0</v>
      </c>
      <c r="AK659" s="17">
        <v>0</v>
      </c>
      <c r="AL659" s="17">
        <v>0</v>
      </c>
      <c r="AM659" s="17">
        <v>0</v>
      </c>
      <c r="AN659" s="17">
        <v>0</v>
      </c>
      <c r="AO659" s="18">
        <v>0</v>
      </c>
      <c r="AP659" s="17">
        <v>3</v>
      </c>
      <c r="AQ659" s="17">
        <v>11</v>
      </c>
      <c r="AR659" s="19">
        <v>782</v>
      </c>
      <c r="AS659" s="19">
        <v>856</v>
      </c>
    </row>
    <row r="660" spans="1:45" x14ac:dyDescent="0.25">
      <c r="A660">
        <v>459</v>
      </c>
      <c r="B660" s="11">
        <f t="shared" si="10"/>
        <v>62503</v>
      </c>
      <c r="C660" s="16">
        <v>625030</v>
      </c>
      <c r="D660" s="17">
        <v>0</v>
      </c>
      <c r="E660" s="17">
        <v>1</v>
      </c>
      <c r="F660" s="17">
        <v>40</v>
      </c>
      <c r="G660" s="17">
        <v>64</v>
      </c>
      <c r="H660" s="13" t="str" cm="1">
        <f t="array" ref="H660">_xlfn.IFS(G660&lt;=20,"0-20",G660&lt;=30,"20-30",G660&lt;=40,"30-40",G660&lt;=50,"50-60",G660&lt;=60,"60-70",G660&lt;=70,"70-80",G660&lt;=80,"80-90")</f>
        <v>70-80</v>
      </c>
      <c r="I660" s="17">
        <v>2655</v>
      </c>
      <c r="J660" s="13" t="str" cm="1">
        <f t="array" ref="J660">_xlfn.IFS(K660=1,"Divorciado",L660=1,"Casado",M660=1,"Solteiro",N660=1,"Juntos",O660=1,"Viuvo")</f>
        <v>Casado</v>
      </c>
      <c r="K660" s="17">
        <v>0</v>
      </c>
      <c r="L660" s="17">
        <v>1</v>
      </c>
      <c r="M660" s="17">
        <v>0</v>
      </c>
      <c r="N660" s="17">
        <v>0</v>
      </c>
      <c r="O660" s="17">
        <v>0</v>
      </c>
      <c r="P660" s="17">
        <v>0</v>
      </c>
      <c r="Q660" s="17">
        <v>0</v>
      </c>
      <c r="R660" s="17">
        <v>1</v>
      </c>
      <c r="S660" s="17">
        <v>0</v>
      </c>
      <c r="T660" s="17">
        <v>0</v>
      </c>
      <c r="U660" s="17">
        <v>478</v>
      </c>
      <c r="V660" s="13" t="str" cm="1">
        <f t="array" ref="V660">_xlfn.IFS(U660&lt;=250,"0-R$250",U660&lt;=500,"251-R$500",U660&lt;=750,"501-R$750",U660&lt;=1000,"751-R$1000",U660&lt;=1250,"1001-R$1250",U660&lt;=1500,"1251-R$1500")</f>
        <v>251-R$500</v>
      </c>
      <c r="W660" s="17">
        <v>0</v>
      </c>
      <c r="X660" s="13" t="str" cm="1">
        <f t="array" ref="X660">_xlfn.IFS(W660 = 0, "0", W660&lt;=20, "até R$20",W660&lt;=40, "21 - R$40",W660&lt;=60, "41- R$60",W660&lt;=80, "61 - R$80", W660&lt;=100, "81 - R$100",W660&lt;=120, "101 - R$120",W660&lt;=140, "121 - R$140", W660&lt;=160, "141- R$160", W660&lt;=180, "161 - R$180", W660&lt;=200, "181-R$194")</f>
        <v>0</v>
      </c>
      <c r="Y660" s="17">
        <v>193</v>
      </c>
      <c r="Z660" s="17">
        <v>110</v>
      </c>
      <c r="AA660" s="17">
        <v>75</v>
      </c>
      <c r="AB660" s="17">
        <v>117</v>
      </c>
      <c r="AC660" s="17">
        <v>4</v>
      </c>
      <c r="AD660" s="17">
        <v>8</v>
      </c>
      <c r="AE660" s="17">
        <v>3</v>
      </c>
      <c r="AF660" s="17">
        <v>11</v>
      </c>
      <c r="AG660" s="17">
        <v>5</v>
      </c>
      <c r="AH660" s="17">
        <v>0</v>
      </c>
      <c r="AI660" s="17">
        <v>0</v>
      </c>
      <c r="AJ660" s="17">
        <v>0</v>
      </c>
      <c r="AK660" s="17">
        <v>0</v>
      </c>
      <c r="AL660" s="17">
        <v>0</v>
      </c>
      <c r="AM660" s="17">
        <v>0</v>
      </c>
      <c r="AN660" s="17">
        <v>0</v>
      </c>
      <c r="AO660" s="18">
        <v>0</v>
      </c>
      <c r="AP660" s="17">
        <v>3</v>
      </c>
      <c r="AQ660" s="17">
        <v>11</v>
      </c>
      <c r="AR660" s="19">
        <v>739</v>
      </c>
      <c r="AS660" s="19">
        <v>856</v>
      </c>
    </row>
    <row r="661" spans="1:45" x14ac:dyDescent="0.25">
      <c r="A661">
        <v>495</v>
      </c>
      <c r="B661" s="11">
        <f t="shared" si="10"/>
        <v>60152</v>
      </c>
      <c r="C661" s="16">
        <v>601520</v>
      </c>
      <c r="D661" s="17">
        <v>0</v>
      </c>
      <c r="E661" s="17">
        <v>1</v>
      </c>
      <c r="F661" s="17">
        <v>6</v>
      </c>
      <c r="G661" s="17">
        <v>41</v>
      </c>
      <c r="H661" s="13" t="str" cm="1">
        <f t="array" ref="H661">_xlfn.IFS(G661&lt;=20,"0-20",G661&lt;=30,"20-30",G661&lt;=40,"30-40",G661&lt;=50,"50-60",G661&lt;=60,"60-70",G661&lt;=70,"70-80",G661&lt;=80,"80-90")</f>
        <v>50-60</v>
      </c>
      <c r="I661" s="17">
        <v>2617</v>
      </c>
      <c r="J661" s="13" t="str" cm="1">
        <f t="array" ref="J661">_xlfn.IFS(K661=1,"Divorciado",L661=1,"Casado",M661=1,"Solteiro",N661=1,"Juntos",O661=1,"Viuvo")</f>
        <v>Solteiro</v>
      </c>
      <c r="K661" s="17">
        <v>0</v>
      </c>
      <c r="L661" s="17">
        <v>0</v>
      </c>
      <c r="M661" s="17">
        <v>1</v>
      </c>
      <c r="N661" s="17">
        <v>0</v>
      </c>
      <c r="O661" s="17">
        <v>0</v>
      </c>
      <c r="P661" s="17">
        <v>0</v>
      </c>
      <c r="Q661" s="17">
        <v>0</v>
      </c>
      <c r="R661" s="17">
        <v>1</v>
      </c>
      <c r="S661" s="17">
        <v>0</v>
      </c>
      <c r="T661" s="17">
        <v>0</v>
      </c>
      <c r="U661" s="17">
        <v>325</v>
      </c>
      <c r="V661" s="13" t="str" cm="1">
        <f t="array" ref="V661">_xlfn.IFS(U661&lt;=250,"0-R$250",U661&lt;=500,"251-R$500",U661&lt;=750,"501-R$750",U661&lt;=1000,"751-R$1000",U661&lt;=1250,"1001-R$1250",U661&lt;=1500,"1251-R$1500")</f>
        <v>251-R$500</v>
      </c>
      <c r="W661" s="17">
        <v>83</v>
      </c>
      <c r="X661" s="13" t="str" cm="1">
        <f t="array" ref="X661">_xlfn.IFS(W661 = 0, "0", W661&lt;=20, "até R$20",W661&lt;=40, "21 - R$40",W661&lt;=60, "41- R$60",W661&lt;=80, "61 - R$80", W661&lt;=100, "81 - R$100",W661&lt;=120, "101 - R$120",W661&lt;=140, "121 - R$140", W661&lt;=160, "141- R$160", W661&lt;=180, "161 - R$180", W661&lt;=200, "181-R$194")</f>
        <v>81 - R$100</v>
      </c>
      <c r="Y661" s="17">
        <v>300</v>
      </c>
      <c r="Z661" s="17">
        <v>86</v>
      </c>
      <c r="AA661" s="17">
        <v>58</v>
      </c>
      <c r="AB661" s="17">
        <v>91</v>
      </c>
      <c r="AC661" s="17">
        <v>1</v>
      </c>
      <c r="AD661" s="17">
        <v>6</v>
      </c>
      <c r="AE661" s="17">
        <v>4</v>
      </c>
      <c r="AF661" s="17">
        <v>12</v>
      </c>
      <c r="AG661" s="17">
        <v>3</v>
      </c>
      <c r="AH661" s="17">
        <v>0</v>
      </c>
      <c r="AI661" s="17">
        <v>0</v>
      </c>
      <c r="AJ661" s="17">
        <v>0</v>
      </c>
      <c r="AK661" s="17">
        <v>0</v>
      </c>
      <c r="AL661" s="17">
        <v>0</v>
      </c>
      <c r="AM661" s="17">
        <v>0</v>
      </c>
      <c r="AN661" s="17">
        <v>0</v>
      </c>
      <c r="AO661" s="18">
        <v>0</v>
      </c>
      <c r="AP661" s="17">
        <v>3</v>
      </c>
      <c r="AQ661" s="17">
        <v>11</v>
      </c>
      <c r="AR661" s="19">
        <v>761</v>
      </c>
      <c r="AS661" s="19">
        <v>852</v>
      </c>
    </row>
    <row r="662" spans="1:45" x14ac:dyDescent="0.25">
      <c r="A662">
        <v>1461</v>
      </c>
      <c r="B662" s="11">
        <f t="shared" si="10"/>
        <v>70379</v>
      </c>
      <c r="C662" s="16">
        <v>703790</v>
      </c>
      <c r="D662" s="17">
        <v>0</v>
      </c>
      <c r="E662" s="17">
        <v>1</v>
      </c>
      <c r="F662" s="17">
        <v>84</v>
      </c>
      <c r="G662" s="17">
        <v>44</v>
      </c>
      <c r="H662" s="13" t="str" cm="1">
        <f t="array" ref="H662">_xlfn.IFS(G662&lt;=20,"0-20",G662&lt;=30,"20-30",G662&lt;=40,"30-40",G662&lt;=50,"50-60",G662&lt;=60,"60-70",G662&lt;=70,"70-80",G662&lt;=80,"80-90")</f>
        <v>50-60</v>
      </c>
      <c r="I662" s="17">
        <v>2642</v>
      </c>
      <c r="J662" s="13" t="str" cm="1">
        <f t="array" ref="J662">_xlfn.IFS(K662=1,"Divorciado",L662=1,"Casado",M662=1,"Solteiro",N662=1,"Juntos",O662=1,"Viuvo")</f>
        <v>Solteiro</v>
      </c>
      <c r="K662" s="17">
        <v>0</v>
      </c>
      <c r="L662" s="17">
        <v>0</v>
      </c>
      <c r="M662" s="17">
        <v>1</v>
      </c>
      <c r="N662" s="17">
        <v>0</v>
      </c>
      <c r="O662" s="17">
        <v>0</v>
      </c>
      <c r="P662" s="17">
        <v>0</v>
      </c>
      <c r="Q662" s="17">
        <v>0</v>
      </c>
      <c r="R662" s="17">
        <v>0</v>
      </c>
      <c r="S662" s="17">
        <v>1</v>
      </c>
      <c r="T662" s="17">
        <v>0</v>
      </c>
      <c r="U662" s="17">
        <v>553</v>
      </c>
      <c r="V662" s="13" t="str" cm="1">
        <f t="array" ref="V662">_xlfn.IFS(U662&lt;=250,"0-R$250",U662&lt;=500,"251-R$500",U662&lt;=750,"501-R$750",U662&lt;=1000,"751-R$1000",U662&lt;=1250,"1001-R$1250",U662&lt;=1500,"1251-R$1500")</f>
        <v>501-R$750</v>
      </c>
      <c r="W662" s="17">
        <v>25</v>
      </c>
      <c r="X662" s="13" t="str" cm="1">
        <f t="array" ref="X662">_xlfn.IFS(W662 = 0, "0", W662&lt;=20, "até R$20",W662&lt;=40, "21 - R$40",W662&lt;=60, "41- R$60",W662&lt;=80, "61 - R$80", W662&lt;=100, "81 - R$100",W662&lt;=120, "101 - R$120",W662&lt;=140, "121 - R$140", W662&lt;=160, "141- R$160", W662&lt;=180, "161 - R$180", W662&lt;=200, "181-R$194")</f>
        <v>21 - R$40</v>
      </c>
      <c r="Y662" s="17">
        <v>142</v>
      </c>
      <c r="Z662" s="17">
        <v>65</v>
      </c>
      <c r="AA662" s="17">
        <v>67</v>
      </c>
      <c r="AB662" s="17">
        <v>8</v>
      </c>
      <c r="AC662" s="17">
        <v>3</v>
      </c>
      <c r="AD662" s="17">
        <v>6</v>
      </c>
      <c r="AE662" s="17">
        <v>3</v>
      </c>
      <c r="AF662" s="17">
        <v>13</v>
      </c>
      <c r="AG662" s="17">
        <v>4</v>
      </c>
      <c r="AH662" s="17">
        <v>0</v>
      </c>
      <c r="AI662" s="17">
        <v>0</v>
      </c>
      <c r="AJ662" s="17">
        <v>0</v>
      </c>
      <c r="AK662" s="17">
        <v>0</v>
      </c>
      <c r="AL662" s="17">
        <v>0</v>
      </c>
      <c r="AM662" s="17">
        <v>0</v>
      </c>
      <c r="AN662" s="17">
        <v>0</v>
      </c>
      <c r="AO662" s="18">
        <v>0</v>
      </c>
      <c r="AP662" s="17">
        <v>3</v>
      </c>
      <c r="AQ662" s="17">
        <v>11</v>
      </c>
      <c r="AR662" s="19">
        <v>844</v>
      </c>
      <c r="AS662" s="19">
        <v>852</v>
      </c>
    </row>
    <row r="663" spans="1:45" x14ac:dyDescent="0.25">
      <c r="A663">
        <v>1567</v>
      </c>
      <c r="B663" s="11">
        <f t="shared" si="10"/>
        <v>74268</v>
      </c>
      <c r="C663" s="16">
        <v>742680</v>
      </c>
      <c r="D663" s="17">
        <v>0</v>
      </c>
      <c r="E663" s="17">
        <v>0</v>
      </c>
      <c r="F663" s="17">
        <v>83</v>
      </c>
      <c r="G663" s="17">
        <v>65</v>
      </c>
      <c r="H663" s="13" t="str" cm="1">
        <f t="array" ref="H663">_xlfn.IFS(G663&lt;=20,"0-20",G663&lt;=30,"20-30",G663&lt;=40,"30-40",G663&lt;=50,"50-60",G663&lt;=60,"60-70",G663&lt;=70,"70-80",G663&lt;=80,"80-90")</f>
        <v>70-80</v>
      </c>
      <c r="I663" s="17">
        <v>2659</v>
      </c>
      <c r="J663" s="13" t="str" cm="1">
        <f t="array" ref="J663">_xlfn.IFS(K663=1,"Divorciado",L663=1,"Casado",M663=1,"Solteiro",N663=1,"Juntos",O663=1,"Viuvo")</f>
        <v>Casado</v>
      </c>
      <c r="K663" s="17">
        <v>0</v>
      </c>
      <c r="L663" s="17">
        <v>1</v>
      </c>
      <c r="M663" s="17">
        <v>0</v>
      </c>
      <c r="N663" s="17">
        <v>0</v>
      </c>
      <c r="O663" s="17">
        <v>0</v>
      </c>
      <c r="P663" s="17">
        <v>0</v>
      </c>
      <c r="Q663" s="17">
        <v>0</v>
      </c>
      <c r="R663" s="17">
        <v>1</v>
      </c>
      <c r="S663" s="17">
        <v>0</v>
      </c>
      <c r="T663" s="17">
        <v>0</v>
      </c>
      <c r="U663" s="17">
        <v>199</v>
      </c>
      <c r="V663" s="13" t="str" cm="1">
        <f t="array" ref="V663">_xlfn.IFS(U663&lt;=250,"0-R$250",U663&lt;=500,"251-R$500",U663&lt;=750,"501-R$750",U663&lt;=1000,"751-R$1000",U663&lt;=1250,"1001-R$1250",U663&lt;=1500,"1251-R$1500")</f>
        <v>0-R$250</v>
      </c>
      <c r="W663" s="17">
        <v>66</v>
      </c>
      <c r="X663" s="13" t="str" cm="1">
        <f t="array" ref="X663">_xlfn.IFS(W663 = 0, "0", W663&lt;=20, "até R$20",W663&lt;=40, "21 - R$40",W663&lt;=60, "41- R$60",W663&lt;=80, "61 - R$80", W663&lt;=100, "81 - R$100",W663&lt;=120, "101 - R$120",W663&lt;=140, "121 - R$140", W663&lt;=160, "141- R$160", W663&lt;=180, "161 - R$180", W663&lt;=200, "181-R$194")</f>
        <v>61 - R$80</v>
      </c>
      <c r="Y663" s="17">
        <v>315</v>
      </c>
      <c r="Z663" s="17">
        <v>97</v>
      </c>
      <c r="AA663" s="17">
        <v>174</v>
      </c>
      <c r="AB663" s="17">
        <v>41</v>
      </c>
      <c r="AC663" s="17">
        <v>1</v>
      </c>
      <c r="AD663" s="17">
        <v>4</v>
      </c>
      <c r="AE663" s="17">
        <v>3</v>
      </c>
      <c r="AF663" s="17">
        <v>5</v>
      </c>
      <c r="AG663" s="17">
        <v>2</v>
      </c>
      <c r="AH663" s="17">
        <v>0</v>
      </c>
      <c r="AI663" s="17">
        <v>0</v>
      </c>
      <c r="AJ663" s="17">
        <v>0</v>
      </c>
      <c r="AK663" s="17">
        <v>0</v>
      </c>
      <c r="AL663" s="17">
        <v>0</v>
      </c>
      <c r="AM663" s="17">
        <v>0</v>
      </c>
      <c r="AN663" s="17">
        <v>0</v>
      </c>
      <c r="AO663" s="18">
        <v>0</v>
      </c>
      <c r="AP663" s="17">
        <v>3</v>
      </c>
      <c r="AQ663" s="17">
        <v>11</v>
      </c>
      <c r="AR663" s="19">
        <v>810</v>
      </c>
      <c r="AS663" s="19">
        <v>851</v>
      </c>
    </row>
    <row r="664" spans="1:45" x14ac:dyDescent="0.25">
      <c r="A664">
        <v>1971</v>
      </c>
      <c r="B664" s="11">
        <f t="shared" si="10"/>
        <v>79205</v>
      </c>
      <c r="C664" s="16">
        <v>792050</v>
      </c>
      <c r="D664" s="17">
        <v>0</v>
      </c>
      <c r="E664" s="17">
        <v>0</v>
      </c>
      <c r="F664" s="17">
        <v>73</v>
      </c>
      <c r="G664" s="17">
        <v>45</v>
      </c>
      <c r="H664" s="13" t="str" cm="1">
        <f t="array" ref="H664">_xlfn.IFS(G664&lt;=20,"0-20",G664&lt;=30,"20-30",G664&lt;=40,"30-40",G664&lt;=50,"50-60",G664&lt;=60,"60-70",G664&lt;=70,"70-80",G664&lt;=80,"80-90")</f>
        <v>50-60</v>
      </c>
      <c r="I664" s="17">
        <v>2828</v>
      </c>
      <c r="J664" s="13" t="str" cm="1">
        <f t="array" ref="J664">_xlfn.IFS(K664=1,"Divorciado",L664=1,"Casado",M664=1,"Solteiro",N664=1,"Juntos",O664=1,"Viuvo")</f>
        <v>Casado</v>
      </c>
      <c r="K664" s="17">
        <v>0</v>
      </c>
      <c r="L664" s="17">
        <v>1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1</v>
      </c>
      <c r="S664" s="17">
        <v>0</v>
      </c>
      <c r="T664" s="17">
        <v>0</v>
      </c>
      <c r="U664" s="17">
        <v>504</v>
      </c>
      <c r="V664" s="13" t="str" cm="1">
        <f t="array" ref="V664">_xlfn.IFS(U664&lt;=250,"0-R$250",U664&lt;=500,"251-R$500",U664&lt;=750,"501-R$750",U664&lt;=1000,"751-R$1000",U664&lt;=1250,"1001-R$1250",U664&lt;=1500,"1251-R$1500")</f>
        <v>501-R$750</v>
      </c>
      <c r="W664" s="17">
        <v>23</v>
      </c>
      <c r="X664" s="13" t="str" cm="1">
        <f t="array" ref="X664">_xlfn.IFS(W664 = 0, "0", W664&lt;=20, "até R$20",W664&lt;=40, "21 - R$40",W664&lt;=60, "41- R$60",W664&lt;=80, "61 - R$80", W664&lt;=100, "81 - R$100",W664&lt;=120, "101 - R$120",W664&lt;=140, "121 - R$140", W664&lt;=160, "141- R$160", W664&lt;=180, "161 - R$180", W664&lt;=200, "181-R$194")</f>
        <v>21 - R$40</v>
      </c>
      <c r="Y664" s="17">
        <v>117</v>
      </c>
      <c r="Z664" s="17">
        <v>179</v>
      </c>
      <c r="AA664" s="17">
        <v>28</v>
      </c>
      <c r="AB664" s="17">
        <v>44</v>
      </c>
      <c r="AC664" s="17">
        <v>1</v>
      </c>
      <c r="AD664" s="17">
        <v>6</v>
      </c>
      <c r="AE664" s="17">
        <v>5</v>
      </c>
      <c r="AF664" s="17">
        <v>4</v>
      </c>
      <c r="AG664" s="17">
        <v>4</v>
      </c>
      <c r="AH664" s="17">
        <v>0</v>
      </c>
      <c r="AI664" s="17">
        <v>0</v>
      </c>
      <c r="AJ664" s="17">
        <v>0</v>
      </c>
      <c r="AK664" s="17">
        <v>0</v>
      </c>
      <c r="AL664" s="17">
        <v>1</v>
      </c>
      <c r="AM664" s="17">
        <v>0</v>
      </c>
      <c r="AN664" s="17">
        <v>1</v>
      </c>
      <c r="AO664" s="18">
        <v>1</v>
      </c>
      <c r="AP664" s="17">
        <v>3</v>
      </c>
      <c r="AQ664" s="17">
        <v>11</v>
      </c>
      <c r="AR664" s="19">
        <v>807</v>
      </c>
      <c r="AS664" s="19">
        <v>851</v>
      </c>
    </row>
    <row r="665" spans="1:45" x14ac:dyDescent="0.25">
      <c r="A665">
        <v>1061</v>
      </c>
      <c r="B665" s="11">
        <f t="shared" si="10"/>
        <v>66294</v>
      </c>
      <c r="C665" s="16">
        <v>662940</v>
      </c>
      <c r="D665" s="17">
        <v>0</v>
      </c>
      <c r="E665" s="17">
        <v>0</v>
      </c>
      <c r="F665" s="17">
        <v>68</v>
      </c>
      <c r="G665" s="17">
        <v>55</v>
      </c>
      <c r="H665" s="13" t="str" cm="1">
        <f t="array" ref="H665">_xlfn.IFS(G665&lt;=20,"0-20",G665&lt;=30,"20-30",G665&lt;=40,"30-40",G665&lt;=50,"50-60",G665&lt;=60,"60-70",G665&lt;=70,"70-80",G665&lt;=80,"80-90")</f>
        <v>60-70</v>
      </c>
      <c r="I665" s="17">
        <v>2263</v>
      </c>
      <c r="J665" s="13" t="str" cm="1">
        <f t="array" ref="J665">_xlfn.IFS(K665=1,"Divorciado",L665=1,"Casado",M665=1,"Solteiro",N665=1,"Juntos",O665=1,"Viuvo")</f>
        <v>Solteiro</v>
      </c>
      <c r="K665" s="17">
        <v>0</v>
      </c>
      <c r="L665" s="17">
        <v>0</v>
      </c>
      <c r="M665" s="17">
        <v>1</v>
      </c>
      <c r="N665" s="17">
        <v>0</v>
      </c>
      <c r="O665" s="17">
        <v>0</v>
      </c>
      <c r="P665" s="17">
        <v>0</v>
      </c>
      <c r="Q665" s="17">
        <v>0</v>
      </c>
      <c r="R665" s="17">
        <v>1</v>
      </c>
      <c r="S665" s="17">
        <v>0</v>
      </c>
      <c r="T665" s="17">
        <v>0</v>
      </c>
      <c r="U665" s="17">
        <v>251</v>
      </c>
      <c r="V665" s="13" t="str" cm="1">
        <f t="array" ref="V665">_xlfn.IFS(U665&lt;=250,"0-R$250",U665&lt;=500,"251-R$500",U665&lt;=750,"501-R$750",U665&lt;=1000,"751-R$1000",U665&lt;=1250,"1001-R$1250",U665&lt;=1500,"1251-R$1500")</f>
        <v>251-R$500</v>
      </c>
      <c r="W665" s="17">
        <v>108</v>
      </c>
      <c r="X665" s="13" t="str" cm="1">
        <f t="array" ref="X665">_xlfn.IFS(W665 = 0, "0", W665&lt;=20, "até R$20",W665&lt;=40, "21 - R$40",W665&lt;=60, "41- R$60",W665&lt;=80, "61 - R$80", W665&lt;=100, "81 - R$100",W665&lt;=120, "101 - R$120",W665&lt;=140, "121 - R$140", W665&lt;=160, "141- R$160", W665&lt;=180, "161 - R$180", W665&lt;=200, "181-R$194")</f>
        <v>101 - R$120</v>
      </c>
      <c r="Y665" s="17">
        <v>334</v>
      </c>
      <c r="Z665" s="17">
        <v>65</v>
      </c>
      <c r="AA665" s="17">
        <v>92</v>
      </c>
      <c r="AB665" s="17">
        <v>117</v>
      </c>
      <c r="AC665" s="17">
        <v>1</v>
      </c>
      <c r="AD665" s="17">
        <v>4</v>
      </c>
      <c r="AE665" s="17">
        <v>3</v>
      </c>
      <c r="AF665" s="17">
        <v>5</v>
      </c>
      <c r="AG665" s="17">
        <v>2</v>
      </c>
      <c r="AH665" s="17">
        <v>0</v>
      </c>
      <c r="AI665" s="17">
        <v>0</v>
      </c>
      <c r="AJ665" s="17">
        <v>0</v>
      </c>
      <c r="AK665" s="17">
        <v>0</v>
      </c>
      <c r="AL665" s="17">
        <v>0</v>
      </c>
      <c r="AM665" s="17">
        <v>0</v>
      </c>
      <c r="AN665" s="17">
        <v>0</v>
      </c>
      <c r="AO665" s="18">
        <v>0</v>
      </c>
      <c r="AP665" s="17">
        <v>3</v>
      </c>
      <c r="AQ665" s="17">
        <v>11</v>
      </c>
      <c r="AR665" s="19">
        <v>733</v>
      </c>
      <c r="AS665" s="19">
        <v>850</v>
      </c>
    </row>
    <row r="666" spans="1:45" x14ac:dyDescent="0.25">
      <c r="A666">
        <v>855</v>
      </c>
      <c r="B666" s="11">
        <f t="shared" si="10"/>
        <v>61346</v>
      </c>
      <c r="C666" s="16">
        <v>613460</v>
      </c>
      <c r="D666" s="17">
        <v>1</v>
      </c>
      <c r="E666" s="17">
        <v>0</v>
      </c>
      <c r="F666" s="17">
        <v>34</v>
      </c>
      <c r="G666" s="17">
        <v>42</v>
      </c>
      <c r="H666" s="13" t="str" cm="1">
        <f t="array" ref="H666">_xlfn.IFS(G666&lt;=20,"0-20",G666&lt;=30,"20-30",G666&lt;=40,"30-40",G666&lt;=50,"50-60",G666&lt;=60,"60-70",G666&lt;=70,"70-80",G666&lt;=80,"80-90")</f>
        <v>50-60</v>
      </c>
      <c r="I666" s="17">
        <v>2425</v>
      </c>
      <c r="J666" s="13" t="str" cm="1">
        <f t="array" ref="J666">_xlfn.IFS(K666=1,"Divorciado",L666=1,"Casado",M666=1,"Solteiro",N666=1,"Juntos",O666=1,"Viuvo")</f>
        <v>Juntos</v>
      </c>
      <c r="K666" s="17">
        <v>0</v>
      </c>
      <c r="L666" s="17">
        <v>0</v>
      </c>
      <c r="M666" s="17">
        <v>0</v>
      </c>
      <c r="N666" s="17">
        <v>1</v>
      </c>
      <c r="O666" s="17">
        <v>0</v>
      </c>
      <c r="P666" s="17">
        <v>0</v>
      </c>
      <c r="Q666" s="17">
        <v>0</v>
      </c>
      <c r="R666" s="17">
        <v>0</v>
      </c>
      <c r="S666" s="17">
        <v>1</v>
      </c>
      <c r="T666" s="17">
        <v>0</v>
      </c>
      <c r="U666" s="17">
        <v>562</v>
      </c>
      <c r="V666" s="13" t="str" cm="1">
        <f t="array" ref="V666">_xlfn.IFS(U666&lt;=250,"0-R$250",U666&lt;=500,"251-R$500",U666&lt;=750,"501-R$750",U666&lt;=1000,"751-R$1000",U666&lt;=1250,"1001-R$1250",U666&lt;=1500,"1251-R$1500")</f>
        <v>501-R$750</v>
      </c>
      <c r="W666" s="17">
        <v>58</v>
      </c>
      <c r="X666" s="13" t="str" cm="1">
        <f t="array" ref="X666">_xlfn.IFS(W666 = 0, "0", W666&lt;=20, "até R$20",W666&lt;=40, "21 - R$40",W666&lt;=60, "41- R$60",W666&lt;=80, "61 - R$80", W666&lt;=100, "81 - R$100",W666&lt;=120, "101 - R$120",W666&lt;=140, "121 - R$140", W666&lt;=160, "141- R$160", W666&lt;=180, "161 - R$180", W666&lt;=200, "181-R$194")</f>
        <v>41- R$60</v>
      </c>
      <c r="Y666" s="17">
        <v>168</v>
      </c>
      <c r="Z666" s="17">
        <v>43</v>
      </c>
      <c r="AA666" s="17">
        <v>16</v>
      </c>
      <c r="AB666" s="17">
        <v>142</v>
      </c>
      <c r="AC666" s="17">
        <v>1</v>
      </c>
      <c r="AD666" s="17">
        <v>5</v>
      </c>
      <c r="AE666" s="17">
        <v>7</v>
      </c>
      <c r="AF666" s="17">
        <v>10</v>
      </c>
      <c r="AG666" s="17">
        <v>3</v>
      </c>
      <c r="AH666" s="17">
        <v>0</v>
      </c>
      <c r="AI666" s="17">
        <v>0</v>
      </c>
      <c r="AJ666" s="17">
        <v>0</v>
      </c>
      <c r="AK666" s="17">
        <v>0</v>
      </c>
      <c r="AL666" s="17">
        <v>0</v>
      </c>
      <c r="AM666" s="17">
        <v>0</v>
      </c>
      <c r="AN666" s="17">
        <v>0</v>
      </c>
      <c r="AO666" s="18">
        <v>0</v>
      </c>
      <c r="AP666" s="17">
        <v>3</v>
      </c>
      <c r="AQ666" s="17">
        <v>11</v>
      </c>
      <c r="AR666" s="19">
        <v>705</v>
      </c>
      <c r="AS666" s="19">
        <v>847</v>
      </c>
    </row>
    <row r="667" spans="1:45" x14ac:dyDescent="0.25">
      <c r="A667">
        <v>371</v>
      </c>
      <c r="B667" s="11">
        <f t="shared" si="10"/>
        <v>63381</v>
      </c>
      <c r="C667" s="16">
        <v>633810</v>
      </c>
      <c r="D667" s="17">
        <v>0</v>
      </c>
      <c r="E667" s="17">
        <v>1</v>
      </c>
      <c r="F667" s="17">
        <v>78</v>
      </c>
      <c r="G667" s="17">
        <v>60</v>
      </c>
      <c r="H667" s="13" t="str" cm="1">
        <f t="array" ref="H667">_xlfn.IFS(G667&lt;=20,"0-20",G667&lt;=30,"20-30",G667&lt;=40,"30-40",G667&lt;=50,"50-60",G667&lt;=60,"60-70",G667&lt;=70,"70-80",G667&lt;=80,"80-90")</f>
        <v>60-70</v>
      </c>
      <c r="I667" s="17">
        <v>2791</v>
      </c>
      <c r="J667" s="13" t="str" cm="1">
        <f t="array" ref="J667">_xlfn.IFS(K667=1,"Divorciado",L667=1,"Casado",M667=1,"Solteiro",N667=1,"Juntos",O667=1,"Viuvo")</f>
        <v>Juntos</v>
      </c>
      <c r="K667" s="17">
        <v>0</v>
      </c>
      <c r="L667" s="17">
        <v>0</v>
      </c>
      <c r="M667" s="17">
        <v>0</v>
      </c>
      <c r="N667" s="17">
        <v>1</v>
      </c>
      <c r="O667" s="17">
        <v>0</v>
      </c>
      <c r="P667" s="17">
        <v>0</v>
      </c>
      <c r="Q667" s="17">
        <v>0</v>
      </c>
      <c r="R667" s="17">
        <v>1</v>
      </c>
      <c r="S667" s="17">
        <v>0</v>
      </c>
      <c r="T667" s="17">
        <v>0</v>
      </c>
      <c r="U667" s="17">
        <v>571</v>
      </c>
      <c r="V667" s="13" t="str" cm="1">
        <f t="array" ref="V667">_xlfn.IFS(U667&lt;=250,"0-R$250",U667&lt;=500,"251-R$500",U667&lt;=750,"501-R$750",U667&lt;=1000,"751-R$1000",U667&lt;=1250,"1001-R$1250",U667&lt;=1500,"1251-R$1500")</f>
        <v>501-R$750</v>
      </c>
      <c r="W667" s="17">
        <v>50</v>
      </c>
      <c r="X667" s="13" t="str" cm="1">
        <f t="array" ref="X667">_xlfn.IFS(W667 = 0, "0", W667&lt;=20, "até R$20",W667&lt;=40, "21 - R$40",W667&lt;=60, "41- R$60",W667&lt;=80, "61 - R$80", W667&lt;=100, "81 - R$100",W667&lt;=120, "101 - R$120",W667&lt;=140, "121 - R$140", W667&lt;=160, "141- R$160", W667&lt;=180, "161 - R$180", W667&lt;=200, "181-R$194")</f>
        <v>41- R$60</v>
      </c>
      <c r="Y667" s="17">
        <v>142</v>
      </c>
      <c r="Z667" s="17">
        <v>33</v>
      </c>
      <c r="AA667" s="17">
        <v>50</v>
      </c>
      <c r="AB667" s="17">
        <v>159</v>
      </c>
      <c r="AC667" s="17">
        <v>4</v>
      </c>
      <c r="AD667" s="17">
        <v>4</v>
      </c>
      <c r="AE667" s="17">
        <v>5</v>
      </c>
      <c r="AF667" s="17">
        <v>13</v>
      </c>
      <c r="AG667" s="17">
        <v>2</v>
      </c>
      <c r="AH667" s="17">
        <v>0</v>
      </c>
      <c r="AI667" s="17">
        <v>0</v>
      </c>
      <c r="AJ667" s="17">
        <v>0</v>
      </c>
      <c r="AK667" s="17">
        <v>0</v>
      </c>
      <c r="AL667" s="17">
        <v>0</v>
      </c>
      <c r="AM667" s="17">
        <v>0</v>
      </c>
      <c r="AN667" s="17">
        <v>0</v>
      </c>
      <c r="AO667" s="18">
        <v>0</v>
      </c>
      <c r="AP667" s="17">
        <v>3</v>
      </c>
      <c r="AQ667" s="17">
        <v>11</v>
      </c>
      <c r="AR667" s="19">
        <v>687</v>
      </c>
      <c r="AS667" s="19">
        <v>846</v>
      </c>
    </row>
    <row r="668" spans="1:45" x14ac:dyDescent="0.25">
      <c r="A668">
        <v>623</v>
      </c>
      <c r="B668" s="11">
        <f t="shared" si="10"/>
        <v>63381</v>
      </c>
      <c r="C668" s="16">
        <v>633810</v>
      </c>
      <c r="D668" s="17">
        <v>0</v>
      </c>
      <c r="E668" s="17">
        <v>1</v>
      </c>
      <c r="F668" s="17">
        <v>78</v>
      </c>
      <c r="G668" s="17">
        <v>60</v>
      </c>
      <c r="H668" s="13" t="str" cm="1">
        <f t="array" ref="H668">_xlfn.IFS(G668&lt;=20,"0-20",G668&lt;=30,"20-30",G668&lt;=40,"30-40",G668&lt;=50,"50-60",G668&lt;=60,"60-70",G668&lt;=70,"70-80",G668&lt;=80,"80-90")</f>
        <v>60-70</v>
      </c>
      <c r="I668" s="17">
        <v>2791</v>
      </c>
      <c r="J668" s="13" t="str" cm="1">
        <f t="array" ref="J668">_xlfn.IFS(K668=1,"Divorciado",L668=1,"Casado",M668=1,"Solteiro",N668=1,"Juntos",O668=1,"Viuvo")</f>
        <v>Juntos</v>
      </c>
      <c r="K668" s="17">
        <v>0</v>
      </c>
      <c r="L668" s="17">
        <v>0</v>
      </c>
      <c r="M668" s="17">
        <v>0</v>
      </c>
      <c r="N668" s="17">
        <v>1</v>
      </c>
      <c r="O668" s="17">
        <v>0</v>
      </c>
      <c r="P668" s="17">
        <v>0</v>
      </c>
      <c r="Q668" s="17">
        <v>0</v>
      </c>
      <c r="R668" s="17">
        <v>1</v>
      </c>
      <c r="S668" s="17">
        <v>0</v>
      </c>
      <c r="T668" s="17">
        <v>0</v>
      </c>
      <c r="U668" s="17">
        <v>571</v>
      </c>
      <c r="V668" s="13" t="str" cm="1">
        <f t="array" ref="V668">_xlfn.IFS(U668&lt;=250,"0-R$250",U668&lt;=500,"251-R$500",U668&lt;=750,"501-R$750",U668&lt;=1000,"751-R$1000",U668&lt;=1250,"1001-R$1250",U668&lt;=1500,"1251-R$1500")</f>
        <v>501-R$750</v>
      </c>
      <c r="W668" s="17">
        <v>50</v>
      </c>
      <c r="X668" s="13" t="str" cm="1">
        <f t="array" ref="X668">_xlfn.IFS(W668 = 0, "0", W668&lt;=20, "até R$20",W668&lt;=40, "21 - R$40",W668&lt;=60, "41- R$60",W668&lt;=80, "61 - R$80", W668&lt;=100, "81 - R$100",W668&lt;=120, "101 - R$120",W668&lt;=140, "121 - R$140", W668&lt;=160, "141- R$160", W668&lt;=180, "161 - R$180", W668&lt;=200, "181-R$194")</f>
        <v>41- R$60</v>
      </c>
      <c r="Y668" s="17">
        <v>142</v>
      </c>
      <c r="Z668" s="17">
        <v>33</v>
      </c>
      <c r="AA668" s="17">
        <v>50</v>
      </c>
      <c r="AB668" s="17">
        <v>159</v>
      </c>
      <c r="AC668" s="17">
        <v>4</v>
      </c>
      <c r="AD668" s="17">
        <v>4</v>
      </c>
      <c r="AE668" s="17">
        <v>5</v>
      </c>
      <c r="AF668" s="17">
        <v>13</v>
      </c>
      <c r="AG668" s="17">
        <v>2</v>
      </c>
      <c r="AH668" s="17">
        <v>0</v>
      </c>
      <c r="AI668" s="17">
        <v>0</v>
      </c>
      <c r="AJ668" s="17">
        <v>0</v>
      </c>
      <c r="AK668" s="17">
        <v>0</v>
      </c>
      <c r="AL668" s="17">
        <v>0</v>
      </c>
      <c r="AM668" s="17">
        <v>0</v>
      </c>
      <c r="AN668" s="17">
        <v>0</v>
      </c>
      <c r="AO668" s="18">
        <v>0</v>
      </c>
      <c r="AP668" s="17">
        <v>3</v>
      </c>
      <c r="AQ668" s="17">
        <v>11</v>
      </c>
      <c r="AR668" s="19">
        <v>687</v>
      </c>
      <c r="AS668" s="19">
        <v>846</v>
      </c>
    </row>
    <row r="669" spans="1:45" x14ac:dyDescent="0.25">
      <c r="A669">
        <v>99</v>
      </c>
      <c r="B669" s="11">
        <f t="shared" si="10"/>
        <v>52413</v>
      </c>
      <c r="C669" s="16">
        <v>524130</v>
      </c>
      <c r="D669" s="17">
        <v>0</v>
      </c>
      <c r="E669" s="17">
        <v>2</v>
      </c>
      <c r="F669" s="17">
        <v>56</v>
      </c>
      <c r="G669" s="17">
        <v>51</v>
      </c>
      <c r="H669" s="13" t="str" cm="1">
        <f t="array" ref="H669">_xlfn.IFS(G669&lt;=20,"0-20",G669&lt;=30,"20-30",G669&lt;=40,"30-40",G669&lt;=50,"50-60",G669&lt;=60,"60-70",G669&lt;=70,"70-80",G669&lt;=80,"80-90")</f>
        <v>60-70</v>
      </c>
      <c r="I669" s="17">
        <v>2671</v>
      </c>
      <c r="J669" s="13" t="str" cm="1">
        <f t="array" ref="J669">_xlfn.IFS(K669=1,"Divorciado",L669=1,"Casado",M669=1,"Solteiro",N669=1,"Juntos",O669=1,"Viuvo")</f>
        <v>Casado</v>
      </c>
      <c r="K669" s="17">
        <v>0</v>
      </c>
      <c r="L669" s="17">
        <v>1</v>
      </c>
      <c r="M669" s="17">
        <v>0</v>
      </c>
      <c r="N669" s="17">
        <v>0</v>
      </c>
      <c r="O669" s="17">
        <v>0</v>
      </c>
      <c r="P669" s="17">
        <v>0</v>
      </c>
      <c r="Q669" s="17">
        <v>0</v>
      </c>
      <c r="R669" s="17">
        <v>1</v>
      </c>
      <c r="S669" s="17">
        <v>0</v>
      </c>
      <c r="T669" s="17">
        <v>0</v>
      </c>
      <c r="U669" s="17">
        <v>295</v>
      </c>
      <c r="V669" s="13" t="str" cm="1">
        <f t="array" ref="V669">_xlfn.IFS(U669&lt;=250,"0-R$250",U669&lt;=500,"251-R$500",U669&lt;=750,"501-R$750",U669&lt;=1000,"751-R$1000",U669&lt;=1250,"1001-R$1250",U669&lt;=1500,"1251-R$1500")</f>
        <v>251-R$500</v>
      </c>
      <c r="W669" s="17">
        <v>106</v>
      </c>
      <c r="X669" s="13" t="str" cm="1">
        <f t="array" ref="X669">_xlfn.IFS(W669 = 0, "0", W669&lt;=20, "até R$20",W669&lt;=40, "21 - R$40",W669&lt;=60, "41- R$60",W669&lt;=80, "61 - R$80", W669&lt;=100, "81 - R$100",W669&lt;=120, "101 - R$120",W669&lt;=140, "121 - R$140", W669&lt;=160, "141- R$160", W669&lt;=180, "161 - R$180", W669&lt;=200, "181-R$194")</f>
        <v>101 - R$120</v>
      </c>
      <c r="Y669" s="17">
        <v>271</v>
      </c>
      <c r="Z669" s="17">
        <v>75</v>
      </c>
      <c r="AA669" s="17">
        <v>98</v>
      </c>
      <c r="AB669" s="17">
        <v>65</v>
      </c>
      <c r="AC669" s="17">
        <v>4</v>
      </c>
      <c r="AD669" s="17">
        <v>6</v>
      </c>
      <c r="AE669" s="17">
        <v>4</v>
      </c>
      <c r="AF669" s="17">
        <v>12</v>
      </c>
      <c r="AG669" s="17">
        <v>6</v>
      </c>
      <c r="AH669" s="17">
        <v>0</v>
      </c>
      <c r="AI669" s="17">
        <v>0</v>
      </c>
      <c r="AJ669" s="17">
        <v>0</v>
      </c>
      <c r="AK669" s="17">
        <v>0</v>
      </c>
      <c r="AL669" s="17">
        <v>0</v>
      </c>
      <c r="AM669" s="17">
        <v>0</v>
      </c>
      <c r="AN669" s="17">
        <v>0</v>
      </c>
      <c r="AO669" s="18">
        <v>0</v>
      </c>
      <c r="AP669" s="17">
        <v>3</v>
      </c>
      <c r="AQ669" s="17">
        <v>11</v>
      </c>
      <c r="AR669" s="19">
        <v>780</v>
      </c>
      <c r="AS669" s="19">
        <v>845</v>
      </c>
    </row>
    <row r="670" spans="1:45" x14ac:dyDescent="0.25">
      <c r="A670">
        <v>598</v>
      </c>
      <c r="B670" s="11">
        <f t="shared" si="10"/>
        <v>48240</v>
      </c>
      <c r="C670" s="12">
        <v>482400</v>
      </c>
      <c r="D670" s="13">
        <v>0</v>
      </c>
      <c r="E670" s="13">
        <v>0</v>
      </c>
      <c r="F670" s="13">
        <v>73</v>
      </c>
      <c r="G670" s="13">
        <v>51</v>
      </c>
      <c r="H670" s="13" t="str" cm="1">
        <f t="array" ref="H670">_xlfn.IFS(G670&lt;=20,"0-20",G670&lt;=30,"20-30",G670&lt;=40,"30-40",G670&lt;=50,"50-60",G670&lt;=60,"60-70",G670&lt;=70,"70-80",G670&lt;=80,"80-90")</f>
        <v>60-70</v>
      </c>
      <c r="I670" s="13">
        <v>2756</v>
      </c>
      <c r="J670" s="13" t="str" cm="1">
        <f t="array" ref="J670">_xlfn.IFS(K670=1,"Divorciado",L670=1,"Casado",M670=1,"Solteiro",N670=1,"Juntos",O670=1,"Viuvo")</f>
        <v>Solteiro</v>
      </c>
      <c r="K670" s="13">
        <v>0</v>
      </c>
      <c r="L670" s="13">
        <v>0</v>
      </c>
      <c r="M670" s="13">
        <v>1</v>
      </c>
      <c r="N670" s="13">
        <v>0</v>
      </c>
      <c r="O670" s="13">
        <v>0</v>
      </c>
      <c r="P670" s="13">
        <v>0</v>
      </c>
      <c r="Q670" s="13">
        <v>0</v>
      </c>
      <c r="R670" s="13">
        <v>0</v>
      </c>
      <c r="S670" s="13">
        <v>0</v>
      </c>
      <c r="T670" s="13">
        <v>1</v>
      </c>
      <c r="U670" s="13">
        <v>389</v>
      </c>
      <c r="V670" s="13" t="str" cm="1">
        <f t="array" ref="V670">_xlfn.IFS(U670&lt;=250,"0-R$250",U670&lt;=500,"251-R$500",U670&lt;=750,"501-R$750",U670&lt;=1000,"751-R$1000",U670&lt;=1250,"1001-R$1250",U670&lt;=1500,"1251-R$1500")</f>
        <v>251-R$500</v>
      </c>
      <c r="W670" s="13">
        <v>91</v>
      </c>
      <c r="X670" s="13" t="str" cm="1">
        <f t="array" ref="X670">_xlfn.IFS(W670 = 0, "0", W670&lt;=20, "até R$20",W670&lt;=40, "21 - R$40",W670&lt;=60, "41- R$60",W670&lt;=80, "61 - R$80", W670&lt;=100, "81 - R$100",W670&lt;=120, "101 - R$120",W670&lt;=140, "121 - R$140", W670&lt;=160, "141- R$160", W670&lt;=180, "161 - R$180", W670&lt;=200, "181-R$194")</f>
        <v>81 - R$100</v>
      </c>
      <c r="Y670" s="13">
        <v>248</v>
      </c>
      <c r="Z670" s="13">
        <v>64</v>
      </c>
      <c r="AA670" s="13">
        <v>49</v>
      </c>
      <c r="AB670" s="13">
        <v>41</v>
      </c>
      <c r="AC670" s="13">
        <v>3</v>
      </c>
      <c r="AD670" s="13">
        <v>6</v>
      </c>
      <c r="AE670" s="13">
        <v>3</v>
      </c>
      <c r="AF670" s="13">
        <v>13</v>
      </c>
      <c r="AG670" s="13">
        <v>5</v>
      </c>
      <c r="AH670" s="13">
        <v>0</v>
      </c>
      <c r="AI670" s="13">
        <v>0</v>
      </c>
      <c r="AJ670" s="13">
        <v>0</v>
      </c>
      <c r="AK670" s="13">
        <v>0</v>
      </c>
      <c r="AL670" s="13">
        <v>0</v>
      </c>
      <c r="AM670" s="13">
        <v>0</v>
      </c>
      <c r="AN670" s="13">
        <v>1</v>
      </c>
      <c r="AO670" s="14">
        <v>0</v>
      </c>
      <c r="AP670" s="13">
        <v>3</v>
      </c>
      <c r="AQ670" s="13">
        <v>11</v>
      </c>
      <c r="AR670" s="15">
        <v>800</v>
      </c>
      <c r="AS670" s="15">
        <v>841</v>
      </c>
    </row>
    <row r="671" spans="1:45" x14ac:dyDescent="0.25">
      <c r="A671">
        <v>1066</v>
      </c>
      <c r="B671" s="11">
        <f t="shared" si="10"/>
        <v>54233</v>
      </c>
      <c r="C671" s="12">
        <v>542330</v>
      </c>
      <c r="D671" s="13">
        <v>0</v>
      </c>
      <c r="E671" s="13">
        <v>1</v>
      </c>
      <c r="F671" s="13">
        <v>46</v>
      </c>
      <c r="G671" s="13">
        <v>43</v>
      </c>
      <c r="H671" s="13" t="str" cm="1">
        <f t="array" ref="H671">_xlfn.IFS(G671&lt;=20,"0-20",G671&lt;=30,"20-30",G671&lt;=40,"30-40",G671&lt;=50,"50-60",G671&lt;=60,"60-70",G671&lt;=70,"70-80",G671&lt;=80,"80-90")</f>
        <v>50-60</v>
      </c>
      <c r="I671" s="13">
        <v>2669</v>
      </c>
      <c r="J671" s="13" t="str" cm="1">
        <f t="array" ref="J671">_xlfn.IFS(K671=1,"Divorciado",L671=1,"Casado",M671=1,"Solteiro",N671=1,"Juntos",O671=1,"Viuvo")</f>
        <v>Casado</v>
      </c>
      <c r="K671" s="13">
        <v>0</v>
      </c>
      <c r="L671" s="13">
        <v>1</v>
      </c>
      <c r="M671" s="13">
        <v>0</v>
      </c>
      <c r="N671" s="13">
        <v>0</v>
      </c>
      <c r="O671" s="13">
        <v>0</v>
      </c>
      <c r="P671" s="13">
        <v>0</v>
      </c>
      <c r="Q671" s="13">
        <v>0</v>
      </c>
      <c r="R671" s="13">
        <v>1</v>
      </c>
      <c r="S671" s="13">
        <v>0</v>
      </c>
      <c r="T671" s="13">
        <v>0</v>
      </c>
      <c r="U671" s="13">
        <v>652</v>
      </c>
      <c r="V671" s="13" t="str" cm="1">
        <f t="array" ref="V671">_xlfn.IFS(U671&lt;=250,"0-R$250",U671&lt;=500,"251-R$500",U671&lt;=750,"501-R$750",U671&lt;=1000,"751-R$1000",U671&lt;=1250,"1001-R$1250",U671&lt;=1500,"1251-R$1500")</f>
        <v>501-R$750</v>
      </c>
      <c r="W671" s="13">
        <v>8</v>
      </c>
      <c r="X671" s="13" t="str" cm="1">
        <f t="array" ref="X671">_xlfn.IFS(W671 = 0, "0", W671&lt;=20, "até R$20",W671&lt;=40, "21 - R$40",W671&lt;=60, "41- R$60",W671&lt;=80, "61 - R$80", W671&lt;=100, "81 - R$100",W671&lt;=120, "101 - R$120",W671&lt;=140, "121 - R$140", W671&lt;=160, "141- R$160", W671&lt;=180, "161 - R$180", W671&lt;=200, "181-R$194")</f>
        <v>até R$20</v>
      </c>
      <c r="Y671" s="13">
        <v>158</v>
      </c>
      <c r="Z671" s="13">
        <v>21</v>
      </c>
      <c r="AA671" s="13">
        <v>0</v>
      </c>
      <c r="AB671" s="13">
        <v>142</v>
      </c>
      <c r="AC671" s="13">
        <v>4</v>
      </c>
      <c r="AD671" s="13">
        <v>11</v>
      </c>
      <c r="AE671" s="13">
        <v>6</v>
      </c>
      <c r="AF671" s="13">
        <v>5</v>
      </c>
      <c r="AG671" s="13">
        <v>8</v>
      </c>
      <c r="AH671" s="13">
        <v>0</v>
      </c>
      <c r="AI671" s="13">
        <v>0</v>
      </c>
      <c r="AJ671" s="13">
        <v>0</v>
      </c>
      <c r="AK671" s="13">
        <v>0</v>
      </c>
      <c r="AL671" s="13">
        <v>0</v>
      </c>
      <c r="AM671" s="13">
        <v>0</v>
      </c>
      <c r="AN671" s="13">
        <v>0</v>
      </c>
      <c r="AO671" s="14">
        <v>0</v>
      </c>
      <c r="AP671" s="13">
        <v>3</v>
      </c>
      <c r="AQ671" s="13">
        <v>11</v>
      </c>
      <c r="AR671" s="15">
        <v>697</v>
      </c>
      <c r="AS671" s="15">
        <v>839</v>
      </c>
    </row>
    <row r="672" spans="1:45" x14ac:dyDescent="0.25">
      <c r="A672">
        <v>133</v>
      </c>
      <c r="B672" s="11">
        <f t="shared" si="10"/>
        <v>68352</v>
      </c>
      <c r="C672" s="16">
        <v>683520</v>
      </c>
      <c r="D672" s="17">
        <v>0</v>
      </c>
      <c r="E672" s="17">
        <v>1</v>
      </c>
      <c r="F672" s="17">
        <v>47</v>
      </c>
      <c r="G672" s="17">
        <v>46</v>
      </c>
      <c r="H672" s="13" t="str" cm="1">
        <f t="array" ref="H672">_xlfn.IFS(G672&lt;=20,"0-20",G672&lt;=30,"20-30",G672&lt;=40,"30-40",G672&lt;=50,"50-60",G672&lt;=60,"60-70",G672&lt;=70,"70-80",G672&lt;=80,"80-90")</f>
        <v>50-60</v>
      </c>
      <c r="I672" s="17">
        <v>2464</v>
      </c>
      <c r="J672" s="13" t="str" cm="1">
        <f t="array" ref="J672">_xlfn.IFS(K672=1,"Divorciado",L672=1,"Casado",M672=1,"Solteiro",N672=1,"Juntos",O672=1,"Viuvo")</f>
        <v>Solteiro</v>
      </c>
      <c r="K672" s="17">
        <v>0</v>
      </c>
      <c r="L672" s="17">
        <v>0</v>
      </c>
      <c r="M672" s="17">
        <v>1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1</v>
      </c>
      <c r="U672" s="17">
        <v>614</v>
      </c>
      <c r="V672" s="13" t="str" cm="1">
        <f t="array" ref="V672">_xlfn.IFS(U672&lt;=250,"0-R$250",U672&lt;=500,"251-R$500",U672&lt;=750,"501-R$750",U672&lt;=1000,"751-R$1000",U672&lt;=1250,"1001-R$1250",U672&lt;=1500,"1251-R$1500")</f>
        <v>501-R$750</v>
      </c>
      <c r="W672" s="17">
        <v>16</v>
      </c>
      <c r="X672" s="13" t="str" cm="1">
        <f t="array" ref="X672">_xlfn.IFS(W672 = 0, "0", W672&lt;=20, "até R$20",W672&lt;=40, "21 - R$40",W672&lt;=60, "41- R$60",W672&lt;=80, "61 - R$80", W672&lt;=100, "81 - R$100",W672&lt;=120, "101 - R$120",W672&lt;=140, "121 - R$140", W672&lt;=160, "141- R$160", W672&lt;=180, "161 - R$180", W672&lt;=200, "181-R$194")</f>
        <v>até R$20</v>
      </c>
      <c r="Y672" s="17">
        <v>132</v>
      </c>
      <c r="Z672" s="17">
        <v>43</v>
      </c>
      <c r="AA672" s="17">
        <v>33</v>
      </c>
      <c r="AB672" s="17">
        <v>33</v>
      </c>
      <c r="AC672" s="17">
        <v>3</v>
      </c>
      <c r="AD672" s="17">
        <v>8</v>
      </c>
      <c r="AE672" s="17">
        <v>5</v>
      </c>
      <c r="AF672" s="17">
        <v>9</v>
      </c>
      <c r="AG672" s="17">
        <v>6</v>
      </c>
      <c r="AH672" s="17">
        <v>0</v>
      </c>
      <c r="AI672" s="17">
        <v>0</v>
      </c>
      <c r="AJ672" s="17">
        <v>0</v>
      </c>
      <c r="AK672" s="17">
        <v>0</v>
      </c>
      <c r="AL672" s="17">
        <v>0</v>
      </c>
      <c r="AM672" s="17">
        <v>0</v>
      </c>
      <c r="AN672" s="17">
        <v>0</v>
      </c>
      <c r="AO672" s="18">
        <v>0</v>
      </c>
      <c r="AP672" s="17">
        <v>3</v>
      </c>
      <c r="AQ672" s="17">
        <v>11</v>
      </c>
      <c r="AR672" s="19">
        <v>805</v>
      </c>
      <c r="AS672" s="19">
        <v>838</v>
      </c>
    </row>
    <row r="673" spans="1:45" x14ac:dyDescent="0.25">
      <c r="A673">
        <v>1858</v>
      </c>
      <c r="B673" s="11">
        <f t="shared" si="10"/>
        <v>62772</v>
      </c>
      <c r="C673" s="12">
        <v>627720</v>
      </c>
      <c r="D673" s="13">
        <v>0</v>
      </c>
      <c r="E673" s="13">
        <v>1</v>
      </c>
      <c r="F673" s="13">
        <v>74</v>
      </c>
      <c r="G673" s="13">
        <v>51</v>
      </c>
      <c r="H673" s="13" t="str" cm="1">
        <f t="array" ref="H673">_xlfn.IFS(G673&lt;=20,"0-20",G673&lt;=30,"20-30",G673&lt;=40,"30-40",G673&lt;=50,"50-60",G673&lt;=60,"60-70",G673&lt;=70,"70-80",G673&lt;=80,"80-90")</f>
        <v>60-70</v>
      </c>
      <c r="I673" s="13">
        <v>2565</v>
      </c>
      <c r="J673" s="13" t="str" cm="1">
        <f t="array" ref="J673">_xlfn.IFS(K673=1,"Divorciado",L673=1,"Casado",M673=1,"Solteiro",N673=1,"Juntos",O673=1,"Viuvo")</f>
        <v>Solteiro</v>
      </c>
      <c r="K673" s="13">
        <v>0</v>
      </c>
      <c r="L673" s="13">
        <v>0</v>
      </c>
      <c r="M673" s="13">
        <v>1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1</v>
      </c>
      <c r="T673" s="13">
        <v>0</v>
      </c>
      <c r="U673" s="13">
        <v>581</v>
      </c>
      <c r="V673" s="13" t="str" cm="1">
        <f t="array" ref="V673">_xlfn.IFS(U673&lt;=250,"0-R$250",U673&lt;=500,"251-R$500",U673&lt;=750,"501-R$750",U673&lt;=1000,"751-R$1000",U673&lt;=1250,"1001-R$1250",U673&lt;=1500,"1251-R$1500")</f>
        <v>501-R$750</v>
      </c>
      <c r="W673" s="13">
        <v>49</v>
      </c>
      <c r="X673" s="13" t="str" cm="1">
        <f t="array" ref="X673">_xlfn.IFS(W673 = 0, "0", W673&lt;=20, "até R$20",W673&lt;=40, "21 - R$40",W673&lt;=60, "41- R$60",W673&lt;=80, "61 - R$80", W673&lt;=100, "81 - R$100",W673&lt;=120, "101 - R$120",W673&lt;=140, "121 - R$140", W673&lt;=160, "141- R$160", W673&lt;=180, "161 - R$180", W673&lt;=200, "181-R$194")</f>
        <v>41- R$60</v>
      </c>
      <c r="Y673" s="13">
        <v>157</v>
      </c>
      <c r="Z673" s="13">
        <v>43</v>
      </c>
      <c r="AA673" s="13">
        <v>8</v>
      </c>
      <c r="AB673" s="13">
        <v>108</v>
      </c>
      <c r="AC673" s="13">
        <v>1</v>
      </c>
      <c r="AD673" s="13">
        <v>5</v>
      </c>
      <c r="AE673" s="13">
        <v>6</v>
      </c>
      <c r="AF673" s="13">
        <v>11</v>
      </c>
      <c r="AG673" s="13">
        <v>2</v>
      </c>
      <c r="AH673" s="13">
        <v>0</v>
      </c>
      <c r="AI673" s="13">
        <v>0</v>
      </c>
      <c r="AJ673" s="13">
        <v>1</v>
      </c>
      <c r="AK673" s="13">
        <v>0</v>
      </c>
      <c r="AL673" s="13">
        <v>0</v>
      </c>
      <c r="AM673" s="13">
        <v>0</v>
      </c>
      <c r="AN673" s="13">
        <v>0</v>
      </c>
      <c r="AO673" s="14">
        <v>1</v>
      </c>
      <c r="AP673" s="13">
        <v>3</v>
      </c>
      <c r="AQ673" s="13">
        <v>11</v>
      </c>
      <c r="AR673" s="15">
        <v>730</v>
      </c>
      <c r="AS673" s="15">
        <v>838</v>
      </c>
    </row>
    <row r="674" spans="1:45" x14ac:dyDescent="0.25">
      <c r="A674">
        <v>692</v>
      </c>
      <c r="B674" s="11">
        <f t="shared" si="10"/>
        <v>55250</v>
      </c>
      <c r="C674" s="12">
        <v>552500</v>
      </c>
      <c r="D674" s="13">
        <v>0</v>
      </c>
      <c r="E674" s="13">
        <v>1</v>
      </c>
      <c r="F674" s="13">
        <v>49</v>
      </c>
      <c r="G674" s="13">
        <v>55</v>
      </c>
      <c r="H674" s="13" t="str" cm="1">
        <f t="array" ref="H674">_xlfn.IFS(G674&lt;=20,"0-20",G674&lt;=30,"20-30",G674&lt;=40,"30-40",G674&lt;=50,"50-60",G674&lt;=60,"60-70",G674&lt;=70,"70-80",G674&lt;=80,"80-90")</f>
        <v>60-70</v>
      </c>
      <c r="I674" s="13">
        <v>2775</v>
      </c>
      <c r="J674" s="13" t="str" cm="1">
        <f t="array" ref="J674">_xlfn.IFS(K674=1,"Divorciado",L674=1,"Casado",M674=1,"Solteiro",N674=1,"Juntos",O674=1,"Viuvo")</f>
        <v>Solteiro</v>
      </c>
      <c r="K674" s="13">
        <v>0</v>
      </c>
      <c r="L674" s="13">
        <v>0</v>
      </c>
      <c r="M674" s="13">
        <v>1</v>
      </c>
      <c r="N674" s="13">
        <v>0</v>
      </c>
      <c r="O674" s="13">
        <v>0</v>
      </c>
      <c r="P674" s="13">
        <v>0</v>
      </c>
      <c r="Q674" s="13">
        <v>0</v>
      </c>
      <c r="R674" s="13">
        <v>0</v>
      </c>
      <c r="S674" s="13">
        <v>1</v>
      </c>
      <c r="T674" s="13">
        <v>0</v>
      </c>
      <c r="U674" s="13">
        <v>664</v>
      </c>
      <c r="V674" s="13" t="str" cm="1">
        <f t="array" ref="V674">_xlfn.IFS(U674&lt;=250,"0-R$250",U674&lt;=500,"251-R$500",U674&lt;=750,"501-R$750",U674&lt;=1000,"751-R$1000",U674&lt;=1250,"1001-R$1250",U674&lt;=1500,"1251-R$1500")</f>
        <v>501-R$750</v>
      </c>
      <c r="W674" s="13">
        <v>58</v>
      </c>
      <c r="X674" s="13" t="str" cm="1">
        <f t="array" ref="X674">_xlfn.IFS(W674 = 0, "0", W674&lt;=20, "até R$20",W674&lt;=40, "21 - R$40",W674&lt;=60, "41- R$60",W674&lt;=80, "61 - R$80", W674&lt;=100, "81 - R$100",W674&lt;=120, "101 - R$120",W674&lt;=140, "121 - R$140", W674&lt;=160, "141- R$160", W674&lt;=180, "161 - R$180", W674&lt;=200, "181-R$194")</f>
        <v>41- R$60</v>
      </c>
      <c r="Y674" s="13">
        <v>83</v>
      </c>
      <c r="Z674" s="13">
        <v>32</v>
      </c>
      <c r="AA674" s="13">
        <v>0</v>
      </c>
      <c r="AB674" s="13">
        <v>66</v>
      </c>
      <c r="AC674" s="13">
        <v>4</v>
      </c>
      <c r="AD674" s="13">
        <v>7</v>
      </c>
      <c r="AE674" s="13">
        <v>5</v>
      </c>
      <c r="AF674" s="13">
        <v>10</v>
      </c>
      <c r="AG674" s="13">
        <v>5</v>
      </c>
      <c r="AH674" s="13">
        <v>0</v>
      </c>
      <c r="AI674" s="13">
        <v>0</v>
      </c>
      <c r="AJ674" s="13">
        <v>0</v>
      </c>
      <c r="AK674" s="13">
        <v>0</v>
      </c>
      <c r="AL674" s="13">
        <v>0</v>
      </c>
      <c r="AM674" s="13">
        <v>0</v>
      </c>
      <c r="AN674" s="13">
        <v>0</v>
      </c>
      <c r="AO674" s="14">
        <v>0</v>
      </c>
      <c r="AP674" s="13">
        <v>3</v>
      </c>
      <c r="AQ674" s="13">
        <v>11</v>
      </c>
      <c r="AR674" s="15">
        <v>771</v>
      </c>
      <c r="AS674" s="15">
        <v>837</v>
      </c>
    </row>
    <row r="675" spans="1:45" x14ac:dyDescent="0.25">
      <c r="A675">
        <v>1637</v>
      </c>
      <c r="B675" s="11">
        <f t="shared" si="10"/>
        <v>64892</v>
      </c>
      <c r="C675" s="16">
        <v>648920</v>
      </c>
      <c r="D675" s="17">
        <v>0</v>
      </c>
      <c r="E675" s="17">
        <v>1</v>
      </c>
      <c r="F675" s="17">
        <v>77</v>
      </c>
      <c r="G675" s="17">
        <v>44</v>
      </c>
      <c r="H675" s="13" t="str" cm="1">
        <f t="array" ref="H675">_xlfn.IFS(G675&lt;=20,"0-20",G675&lt;=30,"20-30",G675&lt;=40,"30-40",G675&lt;=50,"50-60",G675&lt;=60,"60-70",G675&lt;=70,"70-80",G675&lt;=80,"80-90")</f>
        <v>50-60</v>
      </c>
      <c r="I675" s="17">
        <v>2190</v>
      </c>
      <c r="J675" s="13" t="str" cm="1">
        <f t="array" ref="J675">_xlfn.IFS(K675=1,"Divorciado",L675=1,"Casado",M675=1,"Solteiro",N675=1,"Juntos",O675=1,"Viuvo")</f>
        <v>Divorciado</v>
      </c>
      <c r="K675" s="17">
        <v>1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1</v>
      </c>
      <c r="S675" s="17">
        <v>0</v>
      </c>
      <c r="T675" s="17">
        <v>0</v>
      </c>
      <c r="U675" s="17">
        <v>527</v>
      </c>
      <c r="V675" s="13" t="str" cm="1">
        <f t="array" ref="V675">_xlfn.IFS(U675&lt;=250,"0-R$250",U675&lt;=500,"251-R$500",U675&lt;=750,"501-R$750",U675&lt;=1000,"751-R$1000",U675&lt;=1250,"1001-R$1250",U675&lt;=1500,"1251-R$1500")</f>
        <v>501-R$750</v>
      </c>
      <c r="W675" s="17">
        <v>24</v>
      </c>
      <c r="X675" s="13" t="str" cm="1">
        <f t="array" ref="X675">_xlfn.IFS(W675 = 0, "0", W675&lt;=20, "até R$20",W675&lt;=40, "21 - R$40",W675&lt;=60, "41- R$60",W675&lt;=80, "61 - R$80", W675&lt;=100, "81 - R$100",W675&lt;=120, "101 - R$120",W675&lt;=140, "121 - R$140", W675&lt;=160, "141- R$160", W675&lt;=180, "161 - R$180", W675&lt;=200, "181-R$194")</f>
        <v>21 - R$40</v>
      </c>
      <c r="Y675" s="17">
        <v>230</v>
      </c>
      <c r="Z675" s="17">
        <v>32</v>
      </c>
      <c r="AA675" s="17">
        <v>24</v>
      </c>
      <c r="AB675" s="17">
        <v>65</v>
      </c>
      <c r="AC675" s="17">
        <v>2</v>
      </c>
      <c r="AD675" s="17">
        <v>6</v>
      </c>
      <c r="AE675" s="17">
        <v>4</v>
      </c>
      <c r="AF675" s="17">
        <v>12</v>
      </c>
      <c r="AG675" s="17">
        <v>4</v>
      </c>
      <c r="AH675" s="17">
        <v>0</v>
      </c>
      <c r="AI675" s="17">
        <v>0</v>
      </c>
      <c r="AJ675" s="17">
        <v>0</v>
      </c>
      <c r="AK675" s="17">
        <v>0</v>
      </c>
      <c r="AL675" s="17">
        <v>0</v>
      </c>
      <c r="AM675" s="17">
        <v>0</v>
      </c>
      <c r="AN675" s="17">
        <v>0</v>
      </c>
      <c r="AO675" s="18">
        <v>0</v>
      </c>
      <c r="AP675" s="17">
        <v>3</v>
      </c>
      <c r="AQ675" s="17">
        <v>11</v>
      </c>
      <c r="AR675" s="19">
        <v>772</v>
      </c>
      <c r="AS675" s="19">
        <v>837</v>
      </c>
    </row>
    <row r="676" spans="1:45" x14ac:dyDescent="0.25">
      <c r="A676">
        <v>413</v>
      </c>
      <c r="B676" s="11">
        <f t="shared" si="10"/>
        <v>61314</v>
      </c>
      <c r="C676" s="16">
        <v>613140</v>
      </c>
      <c r="D676" s="17">
        <v>0</v>
      </c>
      <c r="E676" s="17">
        <v>1</v>
      </c>
      <c r="F676" s="17">
        <v>1</v>
      </c>
      <c r="G676" s="17">
        <v>52</v>
      </c>
      <c r="H676" s="13" t="str" cm="1">
        <f t="array" ref="H676">_xlfn.IFS(G676&lt;=20,"0-20",G676&lt;=30,"20-30",G676&lt;=40,"30-40",G676&lt;=50,"50-60",G676&lt;=60,"60-70",G676&lt;=70,"70-80",G676&lt;=80,"80-90")</f>
        <v>60-70</v>
      </c>
      <c r="I676" s="17">
        <v>2589</v>
      </c>
      <c r="J676" s="13" t="str" cm="1">
        <f t="array" ref="J676">_xlfn.IFS(K676=1,"Divorciado",L676=1,"Casado",M676=1,"Solteiro",N676=1,"Juntos",O676=1,"Viuvo")</f>
        <v>Casado</v>
      </c>
      <c r="K676" s="17">
        <v>0</v>
      </c>
      <c r="L676" s="17">
        <v>1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1</v>
      </c>
      <c r="S676" s="17">
        <v>0</v>
      </c>
      <c r="T676" s="17">
        <v>0</v>
      </c>
      <c r="U676" s="17">
        <v>378</v>
      </c>
      <c r="V676" s="13" t="str" cm="1">
        <f t="array" ref="V676">_xlfn.IFS(U676&lt;=250,"0-R$250",U676&lt;=500,"251-R$500",U676&lt;=750,"501-R$750",U676&lt;=1000,"751-R$1000",U676&lt;=1250,"1001-R$1250",U676&lt;=1500,"1251-R$1500")</f>
        <v>251-R$500</v>
      </c>
      <c r="W676" s="17">
        <v>0</v>
      </c>
      <c r="X676" s="13" t="str" cm="1">
        <f t="array" ref="X676">_xlfn.IFS(W676 = 0, "0", W676&lt;=20, "até R$20",W676&lt;=40, "21 - R$40",W676&lt;=60, "41- R$60",W676&lt;=80, "61 - R$80", W676&lt;=100, "81 - R$100",W676&lt;=120, "101 - R$120",W676&lt;=140, "121 - R$140", W676&lt;=160, "141- R$160", W676&lt;=180, "161 - R$180", W676&lt;=200, "181-R$194")</f>
        <v>0</v>
      </c>
      <c r="Y676" s="17">
        <v>189</v>
      </c>
      <c r="Z676" s="17">
        <v>97</v>
      </c>
      <c r="AA676" s="17">
        <v>172</v>
      </c>
      <c r="AB676" s="17">
        <v>172</v>
      </c>
      <c r="AC676" s="17">
        <v>2</v>
      </c>
      <c r="AD676" s="17">
        <v>5</v>
      </c>
      <c r="AE676" s="17">
        <v>5</v>
      </c>
      <c r="AF676" s="17">
        <v>12</v>
      </c>
      <c r="AG676" s="17">
        <v>3</v>
      </c>
      <c r="AH676" s="17">
        <v>0</v>
      </c>
      <c r="AI676" s="17">
        <v>0</v>
      </c>
      <c r="AJ676" s="17">
        <v>0</v>
      </c>
      <c r="AK676" s="17">
        <v>0</v>
      </c>
      <c r="AL676" s="17">
        <v>0</v>
      </c>
      <c r="AM676" s="17">
        <v>0</v>
      </c>
      <c r="AN676" s="17">
        <v>0</v>
      </c>
      <c r="AO676" s="18">
        <v>0</v>
      </c>
      <c r="AP676" s="17">
        <v>3</v>
      </c>
      <c r="AQ676" s="17">
        <v>11</v>
      </c>
      <c r="AR676" s="19">
        <v>664</v>
      </c>
      <c r="AS676" s="19">
        <v>836</v>
      </c>
    </row>
    <row r="677" spans="1:45" x14ac:dyDescent="0.25">
      <c r="A677">
        <v>434</v>
      </c>
      <c r="B677" s="11">
        <f t="shared" si="10"/>
        <v>57959</v>
      </c>
      <c r="C677" s="12">
        <v>579590</v>
      </c>
      <c r="D677" s="13">
        <v>0</v>
      </c>
      <c r="E677" s="13">
        <v>1</v>
      </c>
      <c r="F677" s="13">
        <v>71</v>
      </c>
      <c r="G677" s="13">
        <v>65</v>
      </c>
      <c r="H677" s="13" t="str" cm="1">
        <f t="array" ref="H677">_xlfn.IFS(G677&lt;=20,"0-20",G677&lt;=30,"20-30",G677&lt;=40,"30-40",G677&lt;=50,"50-60",G677&lt;=60,"60-70",G677&lt;=70,"70-80",G677&lt;=80,"80-90")</f>
        <v>70-80</v>
      </c>
      <c r="I677" s="13">
        <v>2582</v>
      </c>
      <c r="J677" s="13" t="str" cm="1">
        <f t="array" ref="J677">_xlfn.IFS(K677=1,"Divorciado",L677=1,"Casado",M677=1,"Solteiro",N677=1,"Juntos",O677=1,"Viuvo")</f>
        <v>Solteiro</v>
      </c>
      <c r="K677" s="13">
        <v>0</v>
      </c>
      <c r="L677" s="13">
        <v>0</v>
      </c>
      <c r="M677" s="13">
        <v>1</v>
      </c>
      <c r="N677" s="13">
        <v>0</v>
      </c>
      <c r="O677" s="13">
        <v>0</v>
      </c>
      <c r="P677" s="13">
        <v>0</v>
      </c>
      <c r="Q677" s="13">
        <v>0</v>
      </c>
      <c r="R677" s="13">
        <v>1</v>
      </c>
      <c r="S677" s="13">
        <v>0</v>
      </c>
      <c r="T677" s="13">
        <v>0</v>
      </c>
      <c r="U677" s="13">
        <v>430</v>
      </c>
      <c r="V677" s="13" t="str" cm="1">
        <f t="array" ref="V677">_xlfn.IFS(U677&lt;=250,"0-R$250",U677&lt;=500,"251-R$500",U677&lt;=750,"501-R$750",U677&lt;=1000,"751-R$1000",U677&lt;=1250,"1001-R$1250",U677&lt;=1500,"1251-R$1500")</f>
        <v>251-R$500</v>
      </c>
      <c r="W677" s="13">
        <v>16</v>
      </c>
      <c r="X677" s="13" t="str" cm="1">
        <f t="array" ref="X677">_xlfn.IFS(W677 = 0, "0", W677&lt;=20, "até R$20",W677&lt;=40, "21 - R$40",W677&lt;=60, "41- R$60",W677&lt;=80, "61 - R$80", W677&lt;=100, "81 - R$100",W677&lt;=120, "101 - R$120",W677&lt;=140, "121 - R$140", W677&lt;=160, "141- R$160", W677&lt;=180, "161 - R$180", W677&lt;=200, "181-R$194")</f>
        <v>até R$20</v>
      </c>
      <c r="Y677" s="13">
        <v>322</v>
      </c>
      <c r="Z677" s="13">
        <v>43</v>
      </c>
      <c r="AA677" s="13">
        <v>24</v>
      </c>
      <c r="AB677" s="13">
        <v>33</v>
      </c>
      <c r="AC677" s="13">
        <v>5</v>
      </c>
      <c r="AD677" s="13">
        <v>4</v>
      </c>
      <c r="AE677" s="13">
        <v>7</v>
      </c>
      <c r="AF677" s="13">
        <v>11</v>
      </c>
      <c r="AG677" s="13">
        <v>3</v>
      </c>
      <c r="AH677" s="13">
        <v>0</v>
      </c>
      <c r="AI677" s="13">
        <v>0</v>
      </c>
      <c r="AJ677" s="13">
        <v>0</v>
      </c>
      <c r="AK677" s="13">
        <v>0</v>
      </c>
      <c r="AL677" s="13">
        <v>0</v>
      </c>
      <c r="AM677" s="13">
        <v>0</v>
      </c>
      <c r="AN677" s="13">
        <v>0</v>
      </c>
      <c r="AO677" s="14">
        <v>0</v>
      </c>
      <c r="AP677" s="13">
        <v>3</v>
      </c>
      <c r="AQ677" s="13">
        <v>11</v>
      </c>
      <c r="AR677" s="15">
        <v>802</v>
      </c>
      <c r="AS677" s="15">
        <v>835</v>
      </c>
    </row>
    <row r="678" spans="1:45" x14ac:dyDescent="0.25">
      <c r="A678">
        <v>1077</v>
      </c>
      <c r="B678" s="11">
        <f t="shared" si="10"/>
        <v>79803</v>
      </c>
      <c r="C678" s="16">
        <v>798030</v>
      </c>
      <c r="D678" s="17">
        <v>0</v>
      </c>
      <c r="E678" s="17">
        <v>1</v>
      </c>
      <c r="F678" s="17">
        <v>54</v>
      </c>
      <c r="G678" s="17">
        <v>62</v>
      </c>
      <c r="H678" s="13" t="str" cm="1">
        <f t="array" ref="H678">_xlfn.IFS(G678&lt;=20,"0-20",G678&lt;=30,"20-30",G678&lt;=40,"30-40",G678&lt;=50,"50-60",G678&lt;=60,"60-70",G678&lt;=70,"70-80",G678&lt;=80,"80-90")</f>
        <v>70-80</v>
      </c>
      <c r="I678" s="17">
        <v>2186</v>
      </c>
      <c r="J678" s="13" t="str" cm="1">
        <f t="array" ref="J678">_xlfn.IFS(K678=1,"Divorciado",L678=1,"Casado",M678=1,"Solteiro",N678=1,"Juntos",O678=1,"Viuvo")</f>
        <v>Divorciado</v>
      </c>
      <c r="K678" s="17">
        <v>1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1</v>
      </c>
      <c r="S678" s="17">
        <v>0</v>
      </c>
      <c r="T678" s="17">
        <v>0</v>
      </c>
      <c r="U678" s="17">
        <v>574</v>
      </c>
      <c r="V678" s="13" t="str" cm="1">
        <f t="array" ref="V678">_xlfn.IFS(U678&lt;=250,"0-R$250",U678&lt;=500,"251-R$500",U678&lt;=750,"501-R$750",U678&lt;=1000,"751-R$1000",U678&lt;=1250,"1001-R$1250",U678&lt;=1500,"1251-R$1500")</f>
        <v>501-R$750</v>
      </c>
      <c r="W678" s="17">
        <v>8</v>
      </c>
      <c r="X678" s="13" t="str" cm="1">
        <f t="array" ref="X678">_xlfn.IFS(W678 = 0, "0", W678&lt;=20, "até R$20",W678&lt;=40, "21 - R$40",W678&lt;=60, "41- R$60",W678&lt;=80, "61 - R$80", W678&lt;=100, "81 - R$100",W678&lt;=120, "101 - R$120",W678&lt;=140, "121 - R$140", W678&lt;=160, "141- R$160", W678&lt;=180, "161 - R$180", W678&lt;=200, "181-R$194")</f>
        <v>até R$20</v>
      </c>
      <c r="Y678" s="17">
        <v>216</v>
      </c>
      <c r="Z678" s="17">
        <v>21</v>
      </c>
      <c r="AA678" s="17">
        <v>16</v>
      </c>
      <c r="AB678" s="17">
        <v>33</v>
      </c>
      <c r="AC678" s="17">
        <v>1</v>
      </c>
      <c r="AD678" s="17">
        <v>4</v>
      </c>
      <c r="AE678" s="17">
        <v>3</v>
      </c>
      <c r="AF678" s="17">
        <v>5</v>
      </c>
      <c r="AG678" s="17">
        <v>1</v>
      </c>
      <c r="AH678" s="17">
        <v>0</v>
      </c>
      <c r="AI678" s="17">
        <v>0</v>
      </c>
      <c r="AJ678" s="17">
        <v>0</v>
      </c>
      <c r="AK678" s="17">
        <v>0</v>
      </c>
      <c r="AL678" s="17">
        <v>0</v>
      </c>
      <c r="AM678" s="17">
        <v>0</v>
      </c>
      <c r="AN678" s="17">
        <v>0</v>
      </c>
      <c r="AO678" s="18">
        <v>0</v>
      </c>
      <c r="AP678" s="17">
        <v>3</v>
      </c>
      <c r="AQ678" s="17">
        <v>11</v>
      </c>
      <c r="AR678" s="19">
        <v>802</v>
      </c>
      <c r="AS678" s="19">
        <v>835</v>
      </c>
    </row>
    <row r="679" spans="1:45" x14ac:dyDescent="0.25">
      <c r="A679">
        <v>1024</v>
      </c>
      <c r="B679" s="11">
        <f t="shared" si="10"/>
        <v>76081</v>
      </c>
      <c r="C679" s="12">
        <v>760810</v>
      </c>
      <c r="D679" s="13">
        <v>0</v>
      </c>
      <c r="E679" s="13">
        <v>0</v>
      </c>
      <c r="F679" s="13">
        <v>85</v>
      </c>
      <c r="G679" s="13">
        <v>58</v>
      </c>
      <c r="H679" s="13" t="str" cm="1">
        <f t="array" ref="H679">_xlfn.IFS(G679&lt;=20,"0-20",G679&lt;=30,"20-30",G679&lt;=40,"30-40",G679&lt;=50,"50-60",G679&lt;=60,"60-70",G679&lt;=70,"70-80",G679&lt;=80,"80-90")</f>
        <v>60-70</v>
      </c>
      <c r="I679" s="13">
        <v>2196</v>
      </c>
      <c r="J679" s="13" t="str" cm="1">
        <f t="array" ref="J679">_xlfn.IFS(K679=1,"Divorciado",L679=1,"Casado",M679=1,"Solteiro",N679=1,"Juntos",O679=1,"Viuvo")</f>
        <v>Juntos</v>
      </c>
      <c r="K679" s="13">
        <v>0</v>
      </c>
      <c r="L679" s="13">
        <v>0</v>
      </c>
      <c r="M679" s="13">
        <v>0</v>
      </c>
      <c r="N679" s="13">
        <v>1</v>
      </c>
      <c r="O679" s="13">
        <v>0</v>
      </c>
      <c r="P679" s="13">
        <v>0</v>
      </c>
      <c r="Q679" s="13">
        <v>0</v>
      </c>
      <c r="R679" s="13">
        <v>1</v>
      </c>
      <c r="S679" s="13">
        <v>0</v>
      </c>
      <c r="T679" s="13">
        <v>0</v>
      </c>
      <c r="U679" s="13">
        <v>292</v>
      </c>
      <c r="V679" s="13" t="str" cm="1">
        <f t="array" ref="V679">_xlfn.IFS(U679&lt;=250,"0-R$250",U679&lt;=500,"251-R$500",U679&lt;=750,"501-R$750",U679&lt;=1000,"751-R$1000",U679&lt;=1250,"1001-R$1250",U679&lt;=1500,"1251-R$1500")</f>
        <v>251-R$500</v>
      </c>
      <c r="W679" s="13">
        <v>30</v>
      </c>
      <c r="X679" s="13" t="str" cm="1">
        <f t="array" ref="X679">_xlfn.IFS(W679 = 0, "0", W679&lt;=20, "até R$20",W679&lt;=40, "21 - R$40",W679&lt;=60, "41- R$60",W679&lt;=80, "61 - R$80", W679&lt;=100, "81 - R$100",W679&lt;=120, "101 - R$120",W679&lt;=140, "121 - R$140", W679&lt;=160, "141- R$160", W679&lt;=180, "161 - R$180", W679&lt;=200, "181-R$194")</f>
        <v>21 - R$40</v>
      </c>
      <c r="Y679" s="13">
        <v>415</v>
      </c>
      <c r="Z679" s="13">
        <v>63</v>
      </c>
      <c r="AA679" s="13">
        <v>33</v>
      </c>
      <c r="AB679" s="13">
        <v>200</v>
      </c>
      <c r="AC679" s="13">
        <v>1</v>
      </c>
      <c r="AD679" s="13">
        <v>4</v>
      </c>
      <c r="AE679" s="13">
        <v>5</v>
      </c>
      <c r="AF679" s="13">
        <v>4</v>
      </c>
      <c r="AG679" s="13">
        <v>2</v>
      </c>
      <c r="AH679" s="13">
        <v>0</v>
      </c>
      <c r="AI679" s="13">
        <v>0</v>
      </c>
      <c r="AJ679" s="13">
        <v>0</v>
      </c>
      <c r="AK679" s="13">
        <v>0</v>
      </c>
      <c r="AL679" s="13">
        <v>1</v>
      </c>
      <c r="AM679" s="13">
        <v>0</v>
      </c>
      <c r="AN679" s="13">
        <v>0</v>
      </c>
      <c r="AO679" s="14">
        <v>1</v>
      </c>
      <c r="AP679" s="13">
        <v>3</v>
      </c>
      <c r="AQ679" s="13">
        <v>11</v>
      </c>
      <c r="AR679" s="15">
        <v>633</v>
      </c>
      <c r="AS679" s="15">
        <v>833</v>
      </c>
    </row>
    <row r="680" spans="1:45" x14ac:dyDescent="0.25">
      <c r="A680">
        <v>1223</v>
      </c>
      <c r="B680" s="11">
        <f t="shared" si="10"/>
        <v>76624</v>
      </c>
      <c r="C680" s="16">
        <v>766240</v>
      </c>
      <c r="D680" s="17">
        <v>0</v>
      </c>
      <c r="E680" s="17">
        <v>1</v>
      </c>
      <c r="F680" s="17">
        <v>68</v>
      </c>
      <c r="G680" s="17">
        <v>58</v>
      </c>
      <c r="H680" s="13" t="str" cm="1">
        <f t="array" ref="H680">_xlfn.IFS(G680&lt;=20,"0-20",G680&lt;=30,"20-30",G680&lt;=40,"30-40",G680&lt;=50,"50-60",G680&lt;=60,"60-70",G680&lt;=70,"70-80",G680&lt;=80,"80-90")</f>
        <v>60-70</v>
      </c>
      <c r="I680" s="17">
        <v>2195</v>
      </c>
      <c r="J680" s="13" t="str" cm="1">
        <f t="array" ref="J680">_xlfn.IFS(K680=1,"Divorciado",L680=1,"Casado",M680=1,"Solteiro",N680=1,"Juntos",O680=1,"Viuvo")</f>
        <v>Solteiro</v>
      </c>
      <c r="K680" s="17">
        <v>0</v>
      </c>
      <c r="L680" s="17">
        <v>0</v>
      </c>
      <c r="M680" s="17">
        <v>1</v>
      </c>
      <c r="N680" s="17">
        <v>0</v>
      </c>
      <c r="O680" s="17">
        <v>0</v>
      </c>
      <c r="P680" s="17">
        <v>0</v>
      </c>
      <c r="Q680" s="17">
        <v>0</v>
      </c>
      <c r="R680" s="17">
        <v>1</v>
      </c>
      <c r="S680" s="17">
        <v>0</v>
      </c>
      <c r="T680" s="17">
        <v>0</v>
      </c>
      <c r="U680" s="17">
        <v>411</v>
      </c>
      <c r="V680" s="13" t="str" cm="1">
        <f t="array" ref="V680">_xlfn.IFS(U680&lt;=250,"0-R$250",U680&lt;=500,"251-R$500",U680&lt;=750,"501-R$750",U680&lt;=1000,"751-R$1000",U680&lt;=1250,"1001-R$1250",U680&lt;=1500,"1251-R$1500")</f>
        <v>251-R$500</v>
      </c>
      <c r="W680" s="17">
        <v>106</v>
      </c>
      <c r="X680" s="13" t="str" cm="1">
        <f t="array" ref="X680">_xlfn.IFS(W680 = 0, "0", W680&lt;=20, "até R$20",W680&lt;=40, "21 - R$40",W680&lt;=60, "41- R$60",W680&lt;=80, "61 - R$80", W680&lt;=100, "81 - R$100",W680&lt;=120, "101 - R$120",W680&lt;=140, "121 - R$140", W680&lt;=160, "141- R$160", W680&lt;=180, "161 - R$180", W680&lt;=200, "181-R$194")</f>
        <v>101 - R$120</v>
      </c>
      <c r="Y680" s="17">
        <v>147</v>
      </c>
      <c r="Z680" s="17">
        <v>54</v>
      </c>
      <c r="AA680" s="17">
        <v>115</v>
      </c>
      <c r="AB680" s="17">
        <v>66</v>
      </c>
      <c r="AC680" s="17">
        <v>1</v>
      </c>
      <c r="AD680" s="17">
        <v>5</v>
      </c>
      <c r="AE680" s="17">
        <v>10</v>
      </c>
      <c r="AF680" s="17">
        <v>7</v>
      </c>
      <c r="AG680" s="17">
        <v>1</v>
      </c>
      <c r="AH680" s="17">
        <v>0</v>
      </c>
      <c r="AI680" s="17">
        <v>1</v>
      </c>
      <c r="AJ680" s="17">
        <v>0</v>
      </c>
      <c r="AK680" s="17">
        <v>0</v>
      </c>
      <c r="AL680" s="17">
        <v>0</v>
      </c>
      <c r="AM680" s="17">
        <v>0</v>
      </c>
      <c r="AN680" s="17">
        <v>0</v>
      </c>
      <c r="AO680" s="18">
        <v>1</v>
      </c>
      <c r="AP680" s="17">
        <v>3</v>
      </c>
      <c r="AQ680" s="17">
        <v>11</v>
      </c>
      <c r="AR680" s="19">
        <v>767</v>
      </c>
      <c r="AS680" s="19">
        <v>833</v>
      </c>
    </row>
    <row r="681" spans="1:45" x14ac:dyDescent="0.25">
      <c r="A681">
        <v>1529</v>
      </c>
      <c r="B681" s="11">
        <f t="shared" si="10"/>
        <v>76081</v>
      </c>
      <c r="C681" s="16">
        <v>760810</v>
      </c>
      <c r="D681" s="17">
        <v>0</v>
      </c>
      <c r="E681" s="17">
        <v>0</v>
      </c>
      <c r="F681" s="17">
        <v>85</v>
      </c>
      <c r="G681" s="17">
        <v>58</v>
      </c>
      <c r="H681" s="13" t="str" cm="1">
        <f t="array" ref="H681">_xlfn.IFS(G681&lt;=20,"0-20",G681&lt;=30,"20-30",G681&lt;=40,"30-40",G681&lt;=50,"50-60",G681&lt;=60,"60-70",G681&lt;=70,"70-80",G681&lt;=80,"80-90")</f>
        <v>60-70</v>
      </c>
      <c r="I681" s="17">
        <v>2196</v>
      </c>
      <c r="J681" s="13" t="str" cm="1">
        <f t="array" ref="J681">_xlfn.IFS(K681=1,"Divorciado",L681=1,"Casado",M681=1,"Solteiro",N681=1,"Juntos",O681=1,"Viuvo")</f>
        <v>Juntos</v>
      </c>
      <c r="K681" s="17">
        <v>0</v>
      </c>
      <c r="L681" s="17">
        <v>0</v>
      </c>
      <c r="M681" s="17">
        <v>0</v>
      </c>
      <c r="N681" s="17">
        <v>1</v>
      </c>
      <c r="O681" s="17">
        <v>0</v>
      </c>
      <c r="P681" s="17">
        <v>0</v>
      </c>
      <c r="Q681" s="17">
        <v>0</v>
      </c>
      <c r="R681" s="17">
        <v>1</v>
      </c>
      <c r="S681" s="17">
        <v>0</v>
      </c>
      <c r="T681" s="17">
        <v>0</v>
      </c>
      <c r="U681" s="17">
        <v>292</v>
      </c>
      <c r="V681" s="13" t="str" cm="1">
        <f t="array" ref="V681">_xlfn.IFS(U681&lt;=250,"0-R$250",U681&lt;=500,"251-R$500",U681&lt;=750,"501-R$750",U681&lt;=1000,"751-R$1000",U681&lt;=1250,"1001-R$1250",U681&lt;=1500,"1251-R$1500")</f>
        <v>251-R$500</v>
      </c>
      <c r="W681" s="17">
        <v>30</v>
      </c>
      <c r="X681" s="13" t="str" cm="1">
        <f t="array" ref="X681">_xlfn.IFS(W681 = 0, "0", W681&lt;=20, "até R$20",W681&lt;=40, "21 - R$40",W681&lt;=60, "41- R$60",W681&lt;=80, "61 - R$80", W681&lt;=100, "81 - R$100",W681&lt;=120, "101 - R$120",W681&lt;=140, "121 - R$140", W681&lt;=160, "141- R$160", W681&lt;=180, "161 - R$180", W681&lt;=200, "181-R$194")</f>
        <v>21 - R$40</v>
      </c>
      <c r="Y681" s="17">
        <v>415</v>
      </c>
      <c r="Z681" s="17">
        <v>63</v>
      </c>
      <c r="AA681" s="17">
        <v>33</v>
      </c>
      <c r="AB681" s="17">
        <v>200</v>
      </c>
      <c r="AC681" s="17">
        <v>1</v>
      </c>
      <c r="AD681" s="17">
        <v>4</v>
      </c>
      <c r="AE681" s="17">
        <v>5</v>
      </c>
      <c r="AF681" s="17">
        <v>4</v>
      </c>
      <c r="AG681" s="17">
        <v>2</v>
      </c>
      <c r="AH681" s="17">
        <v>0</v>
      </c>
      <c r="AI681" s="17">
        <v>0</v>
      </c>
      <c r="AJ681" s="17">
        <v>0</v>
      </c>
      <c r="AK681" s="17">
        <v>0</v>
      </c>
      <c r="AL681" s="17">
        <v>1</v>
      </c>
      <c r="AM681" s="17">
        <v>0</v>
      </c>
      <c r="AN681" s="17">
        <v>0</v>
      </c>
      <c r="AO681" s="18">
        <v>1</v>
      </c>
      <c r="AP681" s="17">
        <v>3</v>
      </c>
      <c r="AQ681" s="17">
        <v>11</v>
      </c>
      <c r="AR681" s="19">
        <v>633</v>
      </c>
      <c r="AS681" s="19">
        <v>833</v>
      </c>
    </row>
    <row r="682" spans="1:45" x14ac:dyDescent="0.25">
      <c r="A682">
        <v>453</v>
      </c>
      <c r="B682" s="11">
        <f t="shared" si="10"/>
        <v>49269</v>
      </c>
      <c r="C682" s="16">
        <v>492690</v>
      </c>
      <c r="D682" s="17">
        <v>1</v>
      </c>
      <c r="E682" s="17">
        <v>0</v>
      </c>
      <c r="F682" s="17">
        <v>92</v>
      </c>
      <c r="G682" s="17">
        <v>49</v>
      </c>
      <c r="H682" s="13" t="str" cm="1">
        <f t="array" ref="H682">_xlfn.IFS(G682&lt;=20,"0-20",G682&lt;=30,"20-30",G682&lt;=40,"30-40",G682&lt;=50,"50-60",G682&lt;=60,"60-70",G682&lt;=70,"70-80",G682&lt;=80,"80-90")</f>
        <v>50-60</v>
      </c>
      <c r="I682" s="17">
        <v>2842</v>
      </c>
      <c r="J682" s="13" t="str" cm="1">
        <f t="array" ref="J682">_xlfn.IFS(K682=1,"Divorciado",L682=1,"Casado",M682=1,"Solteiro",N682=1,"Juntos",O682=1,"Viuvo")</f>
        <v>Juntos</v>
      </c>
      <c r="K682" s="17">
        <v>0</v>
      </c>
      <c r="L682" s="17">
        <v>0</v>
      </c>
      <c r="M682" s="17">
        <v>0</v>
      </c>
      <c r="N682" s="17">
        <v>1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1</v>
      </c>
      <c r="U682" s="17">
        <v>639</v>
      </c>
      <c r="V682" s="13" t="str" cm="1">
        <f t="array" ref="V682">_xlfn.IFS(U682&lt;=250,"0-R$250",U682&lt;=500,"251-R$500",U682&lt;=750,"501-R$750",U682&lt;=1000,"751-R$1000",U682&lt;=1250,"1001-R$1250",U682&lt;=1500,"1251-R$1500")</f>
        <v>501-R$750</v>
      </c>
      <c r="W682" s="17">
        <v>8</v>
      </c>
      <c r="X682" s="13" t="str" cm="1">
        <f t="array" ref="X682">_xlfn.IFS(W682 = 0, "0", W682&lt;=20, "até R$20",W682&lt;=40, "21 - R$40",W682&lt;=60, "41- R$60",W682&lt;=80, "61 - R$80", W682&lt;=100, "81 - R$100",W682&lt;=120, "101 - R$120",W682&lt;=140, "121 - R$140", W682&lt;=160, "141- R$160", W682&lt;=180, "161 - R$180", W682&lt;=200, "181-R$194")</f>
        <v>até R$20</v>
      </c>
      <c r="Y682" s="17">
        <v>166</v>
      </c>
      <c r="Z682" s="17">
        <v>11</v>
      </c>
      <c r="AA682" s="17">
        <v>8</v>
      </c>
      <c r="AB682" s="17">
        <v>58</v>
      </c>
      <c r="AC682" s="17">
        <v>3</v>
      </c>
      <c r="AD682" s="17">
        <v>7</v>
      </c>
      <c r="AE682" s="17">
        <v>3</v>
      </c>
      <c r="AF682" s="17">
        <v>12</v>
      </c>
      <c r="AG682" s="17">
        <v>7</v>
      </c>
      <c r="AH682" s="17">
        <v>0</v>
      </c>
      <c r="AI682" s="17">
        <v>0</v>
      </c>
      <c r="AJ682" s="17">
        <v>0</v>
      </c>
      <c r="AK682" s="17">
        <v>0</v>
      </c>
      <c r="AL682" s="17">
        <v>0</v>
      </c>
      <c r="AM682" s="17">
        <v>0</v>
      </c>
      <c r="AN682" s="17">
        <v>0</v>
      </c>
      <c r="AO682" s="18">
        <v>0</v>
      </c>
      <c r="AP682" s="17">
        <v>3</v>
      </c>
      <c r="AQ682" s="17">
        <v>11</v>
      </c>
      <c r="AR682" s="19">
        <v>774</v>
      </c>
      <c r="AS682" s="19">
        <v>832</v>
      </c>
    </row>
    <row r="683" spans="1:45" x14ac:dyDescent="0.25">
      <c r="A683">
        <v>1423</v>
      </c>
      <c r="B683" s="11">
        <f t="shared" si="10"/>
        <v>52852</v>
      </c>
      <c r="C683" s="16">
        <v>528520</v>
      </c>
      <c r="D683" s="17">
        <v>0</v>
      </c>
      <c r="E683" s="17">
        <v>1</v>
      </c>
      <c r="F683" s="17">
        <v>93</v>
      </c>
      <c r="G683" s="17">
        <v>63</v>
      </c>
      <c r="H683" s="13" t="str" cm="1">
        <f t="array" ref="H683">_xlfn.IFS(G683&lt;=20,"0-20",G683&lt;=30,"20-30",G683&lt;=40,"30-40",G683&lt;=50,"50-60",G683&lt;=60,"60-70",G683&lt;=70,"70-80",G683&lt;=80,"80-90")</f>
        <v>70-80</v>
      </c>
      <c r="I683" s="17">
        <v>2734</v>
      </c>
      <c r="J683" s="13" t="str" cm="1">
        <f t="array" ref="J683">_xlfn.IFS(K683=1,"Divorciado",L683=1,"Casado",M683=1,"Solteiro",N683=1,"Juntos",O683=1,"Viuvo")</f>
        <v>Casado</v>
      </c>
      <c r="K683" s="17">
        <v>0</v>
      </c>
      <c r="L683" s="17">
        <v>1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1</v>
      </c>
      <c r="S683" s="17">
        <v>0</v>
      </c>
      <c r="T683" s="17">
        <v>0</v>
      </c>
      <c r="U683" s="17">
        <v>714</v>
      </c>
      <c r="V683" s="13" t="str" cm="1">
        <f t="array" ref="V683">_xlfn.IFS(U683&lt;=250,"0-R$250",U683&lt;=500,"251-R$500",U683&lt;=750,"501-R$750",U683&lt;=1000,"751-R$1000",U683&lt;=1250,"1001-R$1250",U683&lt;=1500,"1251-R$1500")</f>
        <v>501-R$750</v>
      </c>
      <c r="W683" s="17">
        <v>8</v>
      </c>
      <c r="X683" s="13" t="str" cm="1">
        <f t="array" ref="X683">_xlfn.IFS(W683 = 0, "0", W683&lt;=20, "até R$20",W683&lt;=40, "21 - R$40",W683&lt;=60, "41- R$60",W683&lt;=80, "61 - R$80", W683&lt;=100, "81 - R$100",W683&lt;=120, "101 - R$120",W683&lt;=140, "121 - R$140", W683&lt;=160, "141- R$160", W683&lt;=180, "161 - R$180", W683&lt;=200, "181-R$194")</f>
        <v>até R$20</v>
      </c>
      <c r="Y683" s="17">
        <v>99</v>
      </c>
      <c r="Z683" s="17">
        <v>11</v>
      </c>
      <c r="AA683" s="17">
        <v>0</v>
      </c>
      <c r="AB683" s="17">
        <v>47</v>
      </c>
      <c r="AC683" s="17">
        <v>4</v>
      </c>
      <c r="AD683" s="17">
        <v>10</v>
      </c>
      <c r="AE683" s="17">
        <v>7</v>
      </c>
      <c r="AF683" s="17">
        <v>5</v>
      </c>
      <c r="AG683" s="17">
        <v>8</v>
      </c>
      <c r="AH683" s="17">
        <v>0</v>
      </c>
      <c r="AI683" s="17">
        <v>1</v>
      </c>
      <c r="AJ683" s="17">
        <v>0</v>
      </c>
      <c r="AK683" s="17">
        <v>0</v>
      </c>
      <c r="AL683" s="17">
        <v>0</v>
      </c>
      <c r="AM683" s="17">
        <v>0</v>
      </c>
      <c r="AN683" s="17">
        <v>0</v>
      </c>
      <c r="AO683" s="18">
        <v>1</v>
      </c>
      <c r="AP683" s="17">
        <v>3</v>
      </c>
      <c r="AQ683" s="17">
        <v>11</v>
      </c>
      <c r="AR683" s="19">
        <v>785</v>
      </c>
      <c r="AS683" s="19">
        <v>832</v>
      </c>
    </row>
    <row r="684" spans="1:45" x14ac:dyDescent="0.25">
      <c r="A684">
        <v>2003</v>
      </c>
      <c r="B684" s="11">
        <f t="shared" si="10"/>
        <v>49912</v>
      </c>
      <c r="C684" s="16">
        <v>499120</v>
      </c>
      <c r="D684" s="17">
        <v>0</v>
      </c>
      <c r="E684" s="17">
        <v>1</v>
      </c>
      <c r="F684" s="17">
        <v>5</v>
      </c>
      <c r="G684" s="17">
        <v>71</v>
      </c>
      <c r="H684" s="13" t="str" cm="1">
        <f t="array" ref="H684">_xlfn.IFS(G684&lt;=20,"0-20",G684&lt;=30,"20-30",G684&lt;=40,"30-40",G684&lt;=50,"50-60",G684&lt;=60,"60-70",G684&lt;=70,"70-80",G684&lt;=80,"80-90")</f>
        <v>80-90</v>
      </c>
      <c r="I684" s="17">
        <v>2819</v>
      </c>
      <c r="J684" s="13" t="str" cm="1">
        <f t="array" ref="J684">_xlfn.IFS(K684=1,"Divorciado",L684=1,"Casado",M684=1,"Solteiro",N684=1,"Juntos",O684=1,"Viuvo")</f>
        <v>Juntos</v>
      </c>
      <c r="K684" s="17">
        <v>0</v>
      </c>
      <c r="L684" s="17">
        <v>0</v>
      </c>
      <c r="M684" s="17">
        <v>0</v>
      </c>
      <c r="N684" s="17">
        <v>1</v>
      </c>
      <c r="O684" s="17">
        <v>0</v>
      </c>
      <c r="P684" s="17">
        <v>0</v>
      </c>
      <c r="Q684" s="17">
        <v>0</v>
      </c>
      <c r="R684" s="17">
        <v>0</v>
      </c>
      <c r="S684" s="17">
        <v>1</v>
      </c>
      <c r="T684" s="17">
        <v>0</v>
      </c>
      <c r="U684" s="17">
        <v>520</v>
      </c>
      <c r="V684" s="13" t="str" cm="1">
        <f t="array" ref="V684">_xlfn.IFS(U684&lt;=250,"0-R$250",U684&lt;=500,"251-R$500",U684&lt;=750,"501-R$750",U684&lt;=1000,"751-R$1000",U684&lt;=1250,"1001-R$1250",U684&lt;=1500,"1251-R$1500")</f>
        <v>501-R$750</v>
      </c>
      <c r="W684" s="17">
        <v>8</v>
      </c>
      <c r="X684" s="13" t="str" cm="1">
        <f t="array" ref="X684">_xlfn.IFS(W684 = 0, "0", W684&lt;=20, "até R$20",W684&lt;=40, "21 - R$40",W684&lt;=60, "41- R$60",W684&lt;=80, "61 - R$80", W684&lt;=100, "81 - R$100",W684&lt;=120, "101 - R$120",W684&lt;=140, "121 - R$140", W684&lt;=160, "141- R$160", W684&lt;=180, "161 - R$180", W684&lt;=200, "181-R$194")</f>
        <v>até R$20</v>
      </c>
      <c r="Y684" s="17">
        <v>223</v>
      </c>
      <c r="Z684" s="17">
        <v>32</v>
      </c>
      <c r="AA684" s="17">
        <v>49</v>
      </c>
      <c r="AB684" s="17">
        <v>42</v>
      </c>
      <c r="AC684" s="17">
        <v>4</v>
      </c>
      <c r="AD684" s="17">
        <v>10</v>
      </c>
      <c r="AE684" s="17">
        <v>5</v>
      </c>
      <c r="AF684" s="17">
        <v>7</v>
      </c>
      <c r="AG684" s="17">
        <v>8</v>
      </c>
      <c r="AH684" s="17">
        <v>0</v>
      </c>
      <c r="AI684" s="17">
        <v>1</v>
      </c>
      <c r="AJ684" s="17">
        <v>0</v>
      </c>
      <c r="AK684" s="17">
        <v>0</v>
      </c>
      <c r="AL684" s="17">
        <v>0</v>
      </c>
      <c r="AM684" s="17">
        <v>0</v>
      </c>
      <c r="AN684" s="17">
        <v>1</v>
      </c>
      <c r="AO684" s="18">
        <v>1</v>
      </c>
      <c r="AP684" s="17">
        <v>3</v>
      </c>
      <c r="AQ684" s="17">
        <v>11</v>
      </c>
      <c r="AR684" s="19">
        <v>790</v>
      </c>
      <c r="AS684" s="19">
        <v>832</v>
      </c>
    </row>
    <row r="685" spans="1:45" x14ac:dyDescent="0.25">
      <c r="A685">
        <v>2063</v>
      </c>
      <c r="B685" s="11">
        <f t="shared" si="10"/>
        <v>49912</v>
      </c>
      <c r="C685" s="16">
        <v>499120</v>
      </c>
      <c r="D685" s="17">
        <v>0</v>
      </c>
      <c r="E685" s="17">
        <v>1</v>
      </c>
      <c r="F685" s="17">
        <v>5</v>
      </c>
      <c r="G685" s="17">
        <v>71</v>
      </c>
      <c r="H685" s="13" t="str" cm="1">
        <f t="array" ref="H685">_xlfn.IFS(G685&lt;=20,"0-20",G685&lt;=30,"20-30",G685&lt;=40,"30-40",G685&lt;=50,"50-60",G685&lt;=60,"60-70",G685&lt;=70,"70-80",G685&lt;=80,"80-90")</f>
        <v>80-90</v>
      </c>
      <c r="I685" s="17">
        <v>2819</v>
      </c>
      <c r="J685" s="13" t="str" cm="1">
        <f t="array" ref="J685">_xlfn.IFS(K685=1,"Divorciado",L685=1,"Casado",M685=1,"Solteiro",N685=1,"Juntos",O685=1,"Viuvo")</f>
        <v>Juntos</v>
      </c>
      <c r="K685" s="17">
        <v>0</v>
      </c>
      <c r="L685" s="17">
        <v>0</v>
      </c>
      <c r="M685" s="17">
        <v>0</v>
      </c>
      <c r="N685" s="17">
        <v>1</v>
      </c>
      <c r="O685" s="17">
        <v>0</v>
      </c>
      <c r="P685" s="17">
        <v>0</v>
      </c>
      <c r="Q685" s="17">
        <v>0</v>
      </c>
      <c r="R685" s="17">
        <v>0</v>
      </c>
      <c r="S685" s="17">
        <v>1</v>
      </c>
      <c r="T685" s="17">
        <v>0</v>
      </c>
      <c r="U685" s="17">
        <v>520</v>
      </c>
      <c r="V685" s="13" t="str" cm="1">
        <f t="array" ref="V685">_xlfn.IFS(U685&lt;=250,"0-R$250",U685&lt;=500,"251-R$500",U685&lt;=750,"501-R$750",U685&lt;=1000,"751-R$1000",U685&lt;=1250,"1001-R$1250",U685&lt;=1500,"1251-R$1500")</f>
        <v>501-R$750</v>
      </c>
      <c r="W685" s="17">
        <v>8</v>
      </c>
      <c r="X685" s="13" t="str" cm="1">
        <f t="array" ref="X685">_xlfn.IFS(W685 = 0, "0", W685&lt;=20, "até R$20",W685&lt;=40, "21 - R$40",W685&lt;=60, "41- R$60",W685&lt;=80, "61 - R$80", W685&lt;=100, "81 - R$100",W685&lt;=120, "101 - R$120",W685&lt;=140, "121 - R$140", W685&lt;=160, "141- R$160", W685&lt;=180, "161 - R$180", W685&lt;=200, "181-R$194")</f>
        <v>até R$20</v>
      </c>
      <c r="Y685" s="17">
        <v>223</v>
      </c>
      <c r="Z685" s="17">
        <v>32</v>
      </c>
      <c r="AA685" s="17">
        <v>49</v>
      </c>
      <c r="AB685" s="17">
        <v>42</v>
      </c>
      <c r="AC685" s="17">
        <v>4</v>
      </c>
      <c r="AD685" s="17">
        <v>10</v>
      </c>
      <c r="AE685" s="17">
        <v>5</v>
      </c>
      <c r="AF685" s="17">
        <v>7</v>
      </c>
      <c r="AG685" s="17">
        <v>8</v>
      </c>
      <c r="AH685" s="17">
        <v>0</v>
      </c>
      <c r="AI685" s="17">
        <v>1</v>
      </c>
      <c r="AJ685" s="17">
        <v>0</v>
      </c>
      <c r="AK685" s="17">
        <v>0</v>
      </c>
      <c r="AL685" s="17">
        <v>0</v>
      </c>
      <c r="AM685" s="17">
        <v>0</v>
      </c>
      <c r="AN685" s="17">
        <v>1</v>
      </c>
      <c r="AO685" s="18">
        <v>1</v>
      </c>
      <c r="AP685" s="17">
        <v>3</v>
      </c>
      <c r="AQ685" s="17">
        <v>11</v>
      </c>
      <c r="AR685" s="19">
        <v>790</v>
      </c>
      <c r="AS685" s="19">
        <v>832</v>
      </c>
    </row>
    <row r="686" spans="1:45" x14ac:dyDescent="0.25">
      <c r="A686">
        <v>135</v>
      </c>
      <c r="B686" s="11">
        <f t="shared" si="10"/>
        <v>59809</v>
      </c>
      <c r="C686" s="16">
        <v>598090</v>
      </c>
      <c r="D686" s="17">
        <v>0</v>
      </c>
      <c r="E686" s="17">
        <v>2</v>
      </c>
      <c r="F686" s="17">
        <v>36</v>
      </c>
      <c r="G686" s="17">
        <v>44</v>
      </c>
      <c r="H686" s="13" t="str" cm="1">
        <f t="array" ref="H686">_xlfn.IFS(G686&lt;=20,"0-20",G686&lt;=30,"20-30",G686&lt;=40,"30-40",G686&lt;=50,"50-60",G686&lt;=60,"60-70",G686&lt;=70,"70-80",G686&lt;=80,"80-90")</f>
        <v>50-60</v>
      </c>
      <c r="I686" s="17">
        <v>2778</v>
      </c>
      <c r="J686" s="13" t="str" cm="1">
        <f t="array" ref="J686">_xlfn.IFS(K686=1,"Divorciado",L686=1,"Casado",M686=1,"Solteiro",N686=1,"Juntos",O686=1,"Viuvo")</f>
        <v>Casado</v>
      </c>
      <c r="K686" s="17">
        <v>0</v>
      </c>
      <c r="L686" s="17">
        <v>1</v>
      </c>
      <c r="M686" s="17">
        <v>0</v>
      </c>
      <c r="N686" s="17">
        <v>0</v>
      </c>
      <c r="O686" s="17">
        <v>0</v>
      </c>
      <c r="P686" s="17">
        <v>0</v>
      </c>
      <c r="Q686" s="17">
        <v>0</v>
      </c>
      <c r="R686" s="17">
        <v>1</v>
      </c>
      <c r="S686" s="17">
        <v>0</v>
      </c>
      <c r="T686" s="17">
        <v>0</v>
      </c>
      <c r="U686" s="17">
        <v>598</v>
      </c>
      <c r="V686" s="13" t="str" cm="1">
        <f t="array" ref="V686">_xlfn.IFS(U686&lt;=250,"0-R$250",U686&lt;=500,"251-R$500",U686&lt;=750,"501-R$750",U686&lt;=1000,"751-R$1000",U686&lt;=1250,"1001-R$1250",U686&lt;=1500,"1251-R$1500")</f>
        <v>501-R$750</v>
      </c>
      <c r="W686" s="17">
        <v>16</v>
      </c>
      <c r="X686" s="13" t="str" cm="1">
        <f t="array" ref="X686">_xlfn.IFS(W686 = 0, "0", W686&lt;=20, "até R$20",W686&lt;=40, "21 - R$40",W686&lt;=60, "41- R$60",W686&lt;=80, "61 - R$80", W686&lt;=100, "81 - R$100",W686&lt;=120, "101 - R$120",W686&lt;=140, "121 - R$140", W686&lt;=160, "141- R$160", W686&lt;=180, "161 - R$180", W686&lt;=200, "181-R$194")</f>
        <v>até R$20</v>
      </c>
      <c r="Y686" s="17">
        <v>141</v>
      </c>
      <c r="Z686" s="17">
        <v>32</v>
      </c>
      <c r="AA686" s="17">
        <v>41</v>
      </c>
      <c r="AB686" s="17">
        <v>49</v>
      </c>
      <c r="AC686" s="17">
        <v>3</v>
      </c>
      <c r="AD686" s="17">
        <v>3</v>
      </c>
      <c r="AE686" s="17">
        <v>3</v>
      </c>
      <c r="AF686" s="17">
        <v>6</v>
      </c>
      <c r="AG686" s="17">
        <v>8</v>
      </c>
      <c r="AH686" s="17">
        <v>0</v>
      </c>
      <c r="AI686" s="17">
        <v>0</v>
      </c>
      <c r="AJ686" s="17">
        <v>0</v>
      </c>
      <c r="AK686" s="17">
        <v>0</v>
      </c>
      <c r="AL686" s="17">
        <v>0</v>
      </c>
      <c r="AM686" s="17">
        <v>0</v>
      </c>
      <c r="AN686" s="17">
        <v>0</v>
      </c>
      <c r="AO686" s="18">
        <v>0</v>
      </c>
      <c r="AP686" s="17">
        <v>3</v>
      </c>
      <c r="AQ686" s="17">
        <v>11</v>
      </c>
      <c r="AR686" s="19">
        <v>779</v>
      </c>
      <c r="AS686" s="19">
        <v>828</v>
      </c>
    </row>
    <row r="687" spans="1:45" x14ac:dyDescent="0.25">
      <c r="A687">
        <v>873</v>
      </c>
      <c r="B687" s="11">
        <f t="shared" si="10"/>
        <v>76630</v>
      </c>
      <c r="C687" s="16">
        <v>766300</v>
      </c>
      <c r="D687" s="17">
        <v>0</v>
      </c>
      <c r="E687" s="17">
        <v>0</v>
      </c>
      <c r="F687" s="17">
        <v>93</v>
      </c>
      <c r="G687" s="17">
        <v>37</v>
      </c>
      <c r="H687" s="13" t="str" cm="1">
        <f t="array" ref="H687">_xlfn.IFS(G687&lt;=20,"0-20",G687&lt;=30,"20-30",G687&lt;=40,"30-40",G687&lt;=50,"50-60",G687&lt;=60,"60-70",G687&lt;=70,"70-80",G687&lt;=80,"80-90")</f>
        <v>30-40</v>
      </c>
      <c r="I687" s="17">
        <v>2325</v>
      </c>
      <c r="J687" s="13" t="str" cm="1">
        <f t="array" ref="J687">_xlfn.IFS(K687=1,"Divorciado",L687=1,"Casado",M687=1,"Solteiro",N687=1,"Juntos",O687=1,"Viuvo")</f>
        <v>Casado</v>
      </c>
      <c r="K687" s="17">
        <v>0</v>
      </c>
      <c r="L687" s="17">
        <v>1</v>
      </c>
      <c r="M687" s="17">
        <v>0</v>
      </c>
      <c r="N687" s="17">
        <v>0</v>
      </c>
      <c r="O687" s="17">
        <v>0</v>
      </c>
      <c r="P687" s="17">
        <v>0</v>
      </c>
      <c r="Q687" s="17">
        <v>0</v>
      </c>
      <c r="R687" s="17">
        <v>1</v>
      </c>
      <c r="S687" s="17">
        <v>0</v>
      </c>
      <c r="T687" s="17">
        <v>0</v>
      </c>
      <c r="U687" s="17">
        <v>255</v>
      </c>
      <c r="V687" s="13" t="str" cm="1">
        <f t="array" ref="V687">_xlfn.IFS(U687&lt;=250,"0-R$250",U687&lt;=500,"251-R$500",U687&lt;=750,"501-R$750",U687&lt;=1000,"751-R$1000",U687&lt;=1250,"1001-R$1250",U687&lt;=1500,"1251-R$1500")</f>
        <v>251-R$500</v>
      </c>
      <c r="W687" s="17">
        <v>31</v>
      </c>
      <c r="X687" s="13" t="str" cm="1">
        <f t="array" ref="X687">_xlfn.IFS(W687 = 0, "0", W687&lt;=20, "até R$20",W687&lt;=40, "21 - R$40",W687&lt;=60, "41- R$60",W687&lt;=80, "61 - R$80", W687&lt;=100, "81 - R$100",W687&lt;=120, "101 - R$120",W687&lt;=140, "121 - R$140", W687&lt;=160, "141- R$160", W687&lt;=180, "161 - R$180", W687&lt;=200, "181-R$194")</f>
        <v>21 - R$40</v>
      </c>
      <c r="Y687" s="17">
        <v>446</v>
      </c>
      <c r="Z687" s="17">
        <v>40</v>
      </c>
      <c r="AA687" s="17">
        <v>56</v>
      </c>
      <c r="AB687" s="17">
        <v>175</v>
      </c>
      <c r="AC687" s="17">
        <v>1</v>
      </c>
      <c r="AD687" s="17">
        <v>3</v>
      </c>
      <c r="AE687" s="17">
        <v>10</v>
      </c>
      <c r="AF687" s="17">
        <v>11</v>
      </c>
      <c r="AG687" s="17">
        <v>1</v>
      </c>
      <c r="AH687" s="17">
        <v>0</v>
      </c>
      <c r="AI687" s="17">
        <v>0</v>
      </c>
      <c r="AJ687" s="17">
        <v>0</v>
      </c>
      <c r="AK687" s="17">
        <v>0</v>
      </c>
      <c r="AL687" s="17">
        <v>0</v>
      </c>
      <c r="AM687" s="17">
        <v>0</v>
      </c>
      <c r="AN687" s="17">
        <v>0</v>
      </c>
      <c r="AO687" s="18">
        <v>0</v>
      </c>
      <c r="AP687" s="17">
        <v>3</v>
      </c>
      <c r="AQ687" s="17">
        <v>11</v>
      </c>
      <c r="AR687" s="19">
        <v>653</v>
      </c>
      <c r="AS687" s="19">
        <v>828</v>
      </c>
    </row>
    <row r="688" spans="1:45" x14ac:dyDescent="0.25">
      <c r="A688">
        <v>334</v>
      </c>
      <c r="B688" s="11">
        <f t="shared" si="10"/>
        <v>71113</v>
      </c>
      <c r="C688" s="12">
        <v>711130</v>
      </c>
      <c r="D688" s="13">
        <v>0</v>
      </c>
      <c r="E688" s="13">
        <v>1</v>
      </c>
      <c r="F688" s="13">
        <v>95</v>
      </c>
      <c r="G688" s="13">
        <v>63</v>
      </c>
      <c r="H688" s="13" t="str" cm="1">
        <f t="array" ref="H688">_xlfn.IFS(G688&lt;=20,"0-20",G688&lt;=30,"20-30",G688&lt;=40,"30-40",G688&lt;=50,"50-60",G688&lt;=60,"60-70",G688&lt;=70,"70-80",G688&lt;=80,"80-90")</f>
        <v>70-80</v>
      </c>
      <c r="I688" s="13">
        <v>2353</v>
      </c>
      <c r="J688" s="13" t="str" cm="1">
        <f t="array" ref="J688">_xlfn.IFS(K688=1,"Divorciado",L688=1,"Casado",M688=1,"Solteiro",N688=1,"Juntos",O688=1,"Viuvo")</f>
        <v>Casado</v>
      </c>
      <c r="K688" s="13">
        <v>0</v>
      </c>
      <c r="L688" s="13">
        <v>1</v>
      </c>
      <c r="M688" s="13">
        <v>0</v>
      </c>
      <c r="N688" s="13">
        <v>0</v>
      </c>
      <c r="O688" s="13">
        <v>0</v>
      </c>
      <c r="P688" s="13">
        <v>0</v>
      </c>
      <c r="Q688" s="13">
        <v>0</v>
      </c>
      <c r="R688" s="13">
        <v>1</v>
      </c>
      <c r="S688" s="13">
        <v>0</v>
      </c>
      <c r="T688" s="13">
        <v>0</v>
      </c>
      <c r="U688" s="13">
        <v>495</v>
      </c>
      <c r="V688" s="13" t="str" cm="1">
        <f t="array" ref="V688">_xlfn.IFS(U688&lt;=250,"0-R$250",U688&lt;=500,"251-R$500",U688&lt;=750,"501-R$750",U688&lt;=1000,"751-R$1000",U688&lt;=1250,"1001-R$1250",U688&lt;=1500,"1251-R$1500")</f>
        <v>251-R$500</v>
      </c>
      <c r="W688" s="13">
        <v>33</v>
      </c>
      <c r="X688" s="13" t="str" cm="1">
        <f t="array" ref="X688">_xlfn.IFS(W688 = 0, "0", W688&lt;=20, "até R$20",W688&lt;=40, "21 - R$40",W688&lt;=60, "41- R$60",W688&lt;=80, "61 - R$80", W688&lt;=100, "81 - R$100",W688&lt;=120, "101 - R$120",W688&lt;=140, "121 - R$140", W688&lt;=160, "141- R$160", W688&lt;=180, "161 - R$180", W688&lt;=200, "181-R$194")</f>
        <v>21 - R$40</v>
      </c>
      <c r="Y688" s="13">
        <v>255</v>
      </c>
      <c r="Z688" s="13">
        <v>11</v>
      </c>
      <c r="AA688" s="13">
        <v>33</v>
      </c>
      <c r="AB688" s="13">
        <v>8</v>
      </c>
      <c r="AC688" s="13">
        <v>4</v>
      </c>
      <c r="AD688" s="13">
        <v>6</v>
      </c>
      <c r="AE688" s="13">
        <v>7</v>
      </c>
      <c r="AF688" s="13">
        <v>9</v>
      </c>
      <c r="AG688" s="13">
        <v>4</v>
      </c>
      <c r="AH688" s="13">
        <v>0</v>
      </c>
      <c r="AI688" s="13">
        <v>0</v>
      </c>
      <c r="AJ688" s="13">
        <v>0</v>
      </c>
      <c r="AK688" s="13">
        <v>0</v>
      </c>
      <c r="AL688" s="13">
        <v>0</v>
      </c>
      <c r="AM688" s="13">
        <v>0</v>
      </c>
      <c r="AN688" s="13">
        <v>0</v>
      </c>
      <c r="AO688" s="14">
        <v>0</v>
      </c>
      <c r="AP688" s="13">
        <v>3</v>
      </c>
      <c r="AQ688" s="13">
        <v>11</v>
      </c>
      <c r="AR688" s="15">
        <v>819</v>
      </c>
      <c r="AS688" s="15">
        <v>827</v>
      </c>
    </row>
    <row r="689" spans="1:45" x14ac:dyDescent="0.25">
      <c r="A689">
        <v>444</v>
      </c>
      <c r="B689" s="11">
        <f t="shared" si="10"/>
        <v>60597</v>
      </c>
      <c r="C689" s="12">
        <v>605970</v>
      </c>
      <c r="D689" s="13">
        <v>0</v>
      </c>
      <c r="E689" s="13">
        <v>1</v>
      </c>
      <c r="F689" s="13">
        <v>2</v>
      </c>
      <c r="G689" s="13">
        <v>56</v>
      </c>
      <c r="H689" s="13" t="str" cm="1">
        <f t="array" ref="H689">_xlfn.IFS(G689&lt;=20,"0-20",G689&lt;=30,"20-30",G689&lt;=40,"30-40",G689&lt;=50,"50-60",G689&lt;=60,"60-70",G689&lt;=70,"70-80",G689&lt;=80,"80-90")</f>
        <v>60-70</v>
      </c>
      <c r="I689" s="13">
        <v>2338</v>
      </c>
      <c r="J689" s="13" t="str" cm="1">
        <f t="array" ref="J689">_xlfn.IFS(K689=1,"Divorciado",L689=1,"Casado",M689=1,"Solteiro",N689=1,"Juntos",O689=1,"Viuvo")</f>
        <v>Casado</v>
      </c>
      <c r="K689" s="13">
        <v>0</v>
      </c>
      <c r="L689" s="13">
        <v>1</v>
      </c>
      <c r="M689" s="13">
        <v>0</v>
      </c>
      <c r="N689" s="13">
        <v>0</v>
      </c>
      <c r="O689" s="13">
        <v>0</v>
      </c>
      <c r="P689" s="13">
        <v>0</v>
      </c>
      <c r="Q689" s="13">
        <v>0</v>
      </c>
      <c r="R689" s="13">
        <v>1</v>
      </c>
      <c r="S689" s="13">
        <v>0</v>
      </c>
      <c r="T689" s="13">
        <v>0</v>
      </c>
      <c r="U689" s="13">
        <v>522</v>
      </c>
      <c r="V689" s="13" t="str" cm="1">
        <f t="array" ref="V689">_xlfn.IFS(U689&lt;=250,"0-R$250",U689&lt;=500,"251-R$500",U689&lt;=750,"501-R$750",U689&lt;=1000,"751-R$1000",U689&lt;=1250,"1001-R$1250",U689&lt;=1500,"1251-R$1500")</f>
        <v>501-R$750</v>
      </c>
      <c r="W689" s="13">
        <v>0</v>
      </c>
      <c r="X689" s="13" t="str" cm="1">
        <f t="array" ref="X689">_xlfn.IFS(W689 = 0, "0", W689&lt;=20, "até R$20",W689&lt;=40, "21 - R$40",W689&lt;=60, "41- R$60",W689&lt;=80, "61 - R$80", W689&lt;=100, "81 - R$100",W689&lt;=120, "101 - R$120",W689&lt;=140, "121 - R$140", W689&lt;=160, "141- R$160", W689&lt;=180, "161 - R$180", W689&lt;=200, "181-R$194")</f>
        <v>0</v>
      </c>
      <c r="Y689" s="13">
        <v>257</v>
      </c>
      <c r="Z689" s="13">
        <v>32</v>
      </c>
      <c r="AA689" s="13">
        <v>16</v>
      </c>
      <c r="AB689" s="13">
        <v>66</v>
      </c>
      <c r="AC689" s="13">
        <v>4</v>
      </c>
      <c r="AD689" s="13">
        <v>2</v>
      </c>
      <c r="AE689" s="13">
        <v>2</v>
      </c>
      <c r="AF689" s="13">
        <v>8</v>
      </c>
      <c r="AG689" s="13">
        <v>7</v>
      </c>
      <c r="AH689" s="13">
        <v>0</v>
      </c>
      <c r="AI689" s="13">
        <v>0</v>
      </c>
      <c r="AJ689" s="13">
        <v>0</v>
      </c>
      <c r="AK689" s="13">
        <v>0</v>
      </c>
      <c r="AL689" s="13">
        <v>1</v>
      </c>
      <c r="AM689" s="13">
        <v>0</v>
      </c>
      <c r="AN689" s="13">
        <v>1</v>
      </c>
      <c r="AO689" s="14">
        <v>1</v>
      </c>
      <c r="AP689" s="13">
        <v>3</v>
      </c>
      <c r="AQ689" s="13">
        <v>11</v>
      </c>
      <c r="AR689" s="15">
        <v>761</v>
      </c>
      <c r="AS689" s="15">
        <v>827</v>
      </c>
    </row>
    <row r="690" spans="1:45" x14ac:dyDescent="0.25">
      <c r="A690">
        <v>184</v>
      </c>
      <c r="B690" s="11">
        <f t="shared" si="10"/>
        <v>69661</v>
      </c>
      <c r="C690" s="12">
        <v>696610</v>
      </c>
      <c r="D690" s="13">
        <v>0</v>
      </c>
      <c r="E690" s="13">
        <v>0</v>
      </c>
      <c r="F690" s="13">
        <v>80</v>
      </c>
      <c r="G690" s="13">
        <v>40</v>
      </c>
      <c r="H690" s="13" t="str" cm="1">
        <f t="array" ref="H690">_xlfn.IFS(G690&lt;=20,"0-20",G690&lt;=30,"20-30",G690&lt;=40,"30-40",G690&lt;=50,"50-60",G690&lt;=60,"60-70",G690&lt;=70,"70-80",G690&lt;=80,"80-90")</f>
        <v>30-40</v>
      </c>
      <c r="I690" s="13">
        <v>2206</v>
      </c>
      <c r="J690" s="13" t="str" cm="1">
        <f t="array" ref="J690">_xlfn.IFS(K690=1,"Divorciado",L690=1,"Casado",M690=1,"Solteiro",N690=1,"Juntos",O690=1,"Viuvo")</f>
        <v>Casado</v>
      </c>
      <c r="K690" s="13">
        <v>0</v>
      </c>
      <c r="L690" s="13">
        <v>1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</v>
      </c>
      <c r="S690" s="13">
        <v>1</v>
      </c>
      <c r="T690" s="13">
        <v>0</v>
      </c>
      <c r="U690" s="13">
        <v>656</v>
      </c>
      <c r="V690" s="13" t="str" cm="1">
        <f t="array" ref="V690">_xlfn.IFS(U690&lt;=250,"0-R$250",U690&lt;=500,"251-R$500",U690&lt;=750,"501-R$750",U690&lt;=1000,"751-R$1000",U690&lt;=1250,"1001-R$1250",U690&lt;=1500,"1251-R$1500")</f>
        <v>501-R$750</v>
      </c>
      <c r="W690" s="13">
        <v>16</v>
      </c>
      <c r="X690" s="13" t="str" cm="1">
        <f t="array" ref="X690">_xlfn.IFS(W690 = 0, "0", W690&lt;=20, "até R$20",W690&lt;=40, "21 - R$40",W690&lt;=60, "41- R$60",W690&lt;=80, "61 - R$80", W690&lt;=100, "81 - R$100",W690&lt;=120, "101 - R$120",W690&lt;=140, "121 - R$140", W690&lt;=160, "141- R$160", W690&lt;=180, "161 - R$180", W690&lt;=200, "181-R$194")</f>
        <v>até R$20</v>
      </c>
      <c r="Y690" s="13">
        <v>106</v>
      </c>
      <c r="Z690" s="13">
        <v>32</v>
      </c>
      <c r="AA690" s="13">
        <v>16</v>
      </c>
      <c r="AB690" s="13">
        <v>8</v>
      </c>
      <c r="AC690" s="13">
        <v>1</v>
      </c>
      <c r="AD690" s="13">
        <v>7</v>
      </c>
      <c r="AE690" s="13">
        <v>3</v>
      </c>
      <c r="AF690" s="13">
        <v>12</v>
      </c>
      <c r="AG690" s="13">
        <v>3</v>
      </c>
      <c r="AH690" s="13">
        <v>0</v>
      </c>
      <c r="AI690" s="13">
        <v>0</v>
      </c>
      <c r="AJ690" s="13">
        <v>0</v>
      </c>
      <c r="AK690" s="13">
        <v>0</v>
      </c>
      <c r="AL690" s="13">
        <v>0</v>
      </c>
      <c r="AM690" s="13">
        <v>0</v>
      </c>
      <c r="AN690" s="13">
        <v>0</v>
      </c>
      <c r="AO690" s="14">
        <v>0</v>
      </c>
      <c r="AP690" s="13">
        <v>3</v>
      </c>
      <c r="AQ690" s="13">
        <v>11</v>
      </c>
      <c r="AR690" s="15">
        <v>818</v>
      </c>
      <c r="AS690" s="15">
        <v>826</v>
      </c>
    </row>
    <row r="691" spans="1:45" x14ac:dyDescent="0.25">
      <c r="A691">
        <v>1485</v>
      </c>
      <c r="B691" s="11">
        <f t="shared" si="10"/>
        <v>53977</v>
      </c>
      <c r="C691" s="16">
        <v>539770</v>
      </c>
      <c r="D691" s="17">
        <v>0</v>
      </c>
      <c r="E691" s="17">
        <v>1</v>
      </c>
      <c r="F691" s="17">
        <v>21</v>
      </c>
      <c r="G691" s="17">
        <v>62</v>
      </c>
      <c r="H691" s="13" t="str" cm="1">
        <f t="array" ref="H691">_xlfn.IFS(G691&lt;=20,"0-20",G691&lt;=30,"20-30",G691&lt;=40,"30-40",G691&lt;=50,"50-60",G691&lt;=60,"60-70",G691&lt;=70,"70-80",G691&lt;=80,"80-90")</f>
        <v>70-80</v>
      </c>
      <c r="I691" s="17">
        <v>2545</v>
      </c>
      <c r="J691" s="13" t="str" cm="1">
        <f t="array" ref="J691">_xlfn.IFS(K691=1,"Divorciado",L691=1,"Casado",M691=1,"Solteiro",N691=1,"Juntos",O691=1,"Viuvo")</f>
        <v>Juntos</v>
      </c>
      <c r="K691" s="17">
        <v>0</v>
      </c>
      <c r="L691" s="17">
        <v>0</v>
      </c>
      <c r="M691" s="17">
        <v>0</v>
      </c>
      <c r="N691" s="17">
        <v>1</v>
      </c>
      <c r="O691" s="17">
        <v>0</v>
      </c>
      <c r="P691" s="17">
        <v>0</v>
      </c>
      <c r="Q691" s="17">
        <v>0</v>
      </c>
      <c r="R691" s="17">
        <v>1</v>
      </c>
      <c r="S691" s="17">
        <v>0</v>
      </c>
      <c r="T691" s="17">
        <v>0</v>
      </c>
      <c r="U691" s="17">
        <v>620</v>
      </c>
      <c r="V691" s="13" t="str" cm="1">
        <f t="array" ref="V691">_xlfn.IFS(U691&lt;=250,"0-R$250",U691&lt;=500,"251-R$500",U691&lt;=750,"501-R$750",U691&lt;=1000,"751-R$1000",U691&lt;=1250,"1001-R$1250",U691&lt;=1500,"1251-R$1500")</f>
        <v>501-R$750</v>
      </c>
      <c r="W691" s="17">
        <v>16</v>
      </c>
      <c r="X691" s="13" t="str" cm="1">
        <f t="array" ref="X691">_xlfn.IFS(W691 = 0, "0", W691&lt;=20, "até R$20",W691&lt;=40, "21 - R$40",W691&lt;=60, "41- R$60",W691&lt;=80, "61 - R$80", W691&lt;=100, "81 - R$100",W691&lt;=120, "101 - R$120",W691&lt;=140, "121 - R$140", W691&lt;=160, "141- R$160", W691&lt;=180, "161 - R$180", W691&lt;=200, "181-R$194")</f>
        <v>até R$20</v>
      </c>
      <c r="Y691" s="17">
        <v>165</v>
      </c>
      <c r="Z691" s="17">
        <v>0</v>
      </c>
      <c r="AA691" s="17">
        <v>24</v>
      </c>
      <c r="AB691" s="17">
        <v>82</v>
      </c>
      <c r="AC691" s="17">
        <v>5</v>
      </c>
      <c r="AD691" s="17">
        <v>5</v>
      </c>
      <c r="AE691" s="17">
        <v>5</v>
      </c>
      <c r="AF691" s="17">
        <v>12</v>
      </c>
      <c r="AG691" s="17">
        <v>5</v>
      </c>
      <c r="AH691" s="17">
        <v>0</v>
      </c>
      <c r="AI691" s="17">
        <v>0</v>
      </c>
      <c r="AJ691" s="17">
        <v>0</v>
      </c>
      <c r="AK691" s="17">
        <v>0</v>
      </c>
      <c r="AL691" s="17">
        <v>0</v>
      </c>
      <c r="AM691" s="17">
        <v>0</v>
      </c>
      <c r="AN691" s="17">
        <v>0</v>
      </c>
      <c r="AO691" s="18">
        <v>0</v>
      </c>
      <c r="AP691" s="17">
        <v>3</v>
      </c>
      <c r="AQ691" s="17">
        <v>11</v>
      </c>
      <c r="AR691" s="19">
        <v>743</v>
      </c>
      <c r="AS691" s="19">
        <v>825</v>
      </c>
    </row>
    <row r="692" spans="1:45" x14ac:dyDescent="0.25">
      <c r="A692">
        <v>1780</v>
      </c>
      <c r="B692" s="11">
        <f t="shared" si="10"/>
        <v>53977</v>
      </c>
      <c r="C692" s="12">
        <v>539770</v>
      </c>
      <c r="D692" s="13">
        <v>0</v>
      </c>
      <c r="E692" s="13">
        <v>1</v>
      </c>
      <c r="F692" s="13">
        <v>21</v>
      </c>
      <c r="G692" s="13">
        <v>62</v>
      </c>
      <c r="H692" s="13" t="str" cm="1">
        <f t="array" ref="H692">_xlfn.IFS(G692&lt;=20,"0-20",G692&lt;=30,"20-30",G692&lt;=40,"30-40",G692&lt;=50,"50-60",G692&lt;=60,"60-70",G692&lt;=70,"70-80",G692&lt;=80,"80-90")</f>
        <v>70-80</v>
      </c>
      <c r="I692" s="13">
        <v>2545</v>
      </c>
      <c r="J692" s="13" t="str" cm="1">
        <f t="array" ref="J692">_xlfn.IFS(K692=1,"Divorciado",L692=1,"Casado",M692=1,"Solteiro",N692=1,"Juntos",O692=1,"Viuvo")</f>
        <v>Juntos</v>
      </c>
      <c r="K692" s="13">
        <v>0</v>
      </c>
      <c r="L692" s="13">
        <v>0</v>
      </c>
      <c r="M692" s="13">
        <v>0</v>
      </c>
      <c r="N692" s="13">
        <v>1</v>
      </c>
      <c r="O692" s="13">
        <v>0</v>
      </c>
      <c r="P692" s="13">
        <v>0</v>
      </c>
      <c r="Q692" s="13">
        <v>0</v>
      </c>
      <c r="R692" s="13">
        <v>1</v>
      </c>
      <c r="S692" s="13">
        <v>0</v>
      </c>
      <c r="T692" s="13">
        <v>0</v>
      </c>
      <c r="U692" s="13">
        <v>620</v>
      </c>
      <c r="V692" s="13" t="str" cm="1">
        <f t="array" ref="V692">_xlfn.IFS(U692&lt;=250,"0-R$250",U692&lt;=500,"251-R$500",U692&lt;=750,"501-R$750",U692&lt;=1000,"751-R$1000",U692&lt;=1250,"1001-R$1250",U692&lt;=1500,"1251-R$1500")</f>
        <v>501-R$750</v>
      </c>
      <c r="W692" s="13">
        <v>16</v>
      </c>
      <c r="X692" s="13" t="str" cm="1">
        <f t="array" ref="X692">_xlfn.IFS(W692 = 0, "0", W692&lt;=20, "até R$20",W692&lt;=40, "21 - R$40",W692&lt;=60, "41- R$60",W692&lt;=80, "61 - R$80", W692&lt;=100, "81 - R$100",W692&lt;=120, "101 - R$120",W692&lt;=140, "121 - R$140", W692&lt;=160, "141- R$160", W692&lt;=180, "161 - R$180", W692&lt;=200, "181-R$194")</f>
        <v>até R$20</v>
      </c>
      <c r="Y692" s="13">
        <v>165</v>
      </c>
      <c r="Z692" s="13">
        <v>0</v>
      </c>
      <c r="AA692" s="13">
        <v>24</v>
      </c>
      <c r="AB692" s="13">
        <v>82</v>
      </c>
      <c r="AC692" s="13">
        <v>5</v>
      </c>
      <c r="AD692" s="13">
        <v>5</v>
      </c>
      <c r="AE692" s="13">
        <v>5</v>
      </c>
      <c r="AF692" s="13">
        <v>12</v>
      </c>
      <c r="AG692" s="13">
        <v>5</v>
      </c>
      <c r="AH692" s="13">
        <v>0</v>
      </c>
      <c r="AI692" s="13">
        <v>0</v>
      </c>
      <c r="AJ692" s="13">
        <v>0</v>
      </c>
      <c r="AK692" s="13">
        <v>0</v>
      </c>
      <c r="AL692" s="13">
        <v>0</v>
      </c>
      <c r="AM692" s="13">
        <v>0</v>
      </c>
      <c r="AN692" s="13">
        <v>0</v>
      </c>
      <c r="AO692" s="14">
        <v>0</v>
      </c>
      <c r="AP692" s="13">
        <v>3</v>
      </c>
      <c r="AQ692" s="13">
        <v>11</v>
      </c>
      <c r="AR692" s="15">
        <v>743</v>
      </c>
      <c r="AS692" s="15">
        <v>825</v>
      </c>
    </row>
    <row r="693" spans="1:45" x14ac:dyDescent="0.25">
      <c r="A693">
        <v>248</v>
      </c>
      <c r="B693" s="11">
        <f t="shared" si="10"/>
        <v>69674</v>
      </c>
      <c r="C693" s="12">
        <v>696740</v>
      </c>
      <c r="D693" s="13">
        <v>0</v>
      </c>
      <c r="E693" s="13">
        <v>2</v>
      </c>
      <c r="F693" s="13">
        <v>46</v>
      </c>
      <c r="G693" s="13">
        <v>52</v>
      </c>
      <c r="H693" s="13" t="str" cm="1">
        <f t="array" ref="H693">_xlfn.IFS(G693&lt;=20,"0-20",G693&lt;=30,"20-30",G693&lt;=40,"30-40",G693&lt;=50,"50-60",G693&lt;=60,"60-70",G693&lt;=70,"70-80",G693&lt;=80,"80-90")</f>
        <v>60-70</v>
      </c>
      <c r="I693" s="13">
        <v>2562</v>
      </c>
      <c r="J693" s="13" t="str" cm="1">
        <f t="array" ref="J693">_xlfn.IFS(K693=1,"Divorciado",L693=1,"Casado",M693=1,"Solteiro",N693=1,"Juntos",O693=1,"Viuvo")</f>
        <v>Divorciado</v>
      </c>
      <c r="K693" s="13">
        <v>1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1</v>
      </c>
      <c r="U693" s="13">
        <v>554</v>
      </c>
      <c r="V693" s="13" t="str" cm="1">
        <f t="array" ref="V693">_xlfn.IFS(U693&lt;=250,"0-R$250",U693&lt;=500,"251-R$500",U693&lt;=750,"501-R$750",U693&lt;=1000,"751-R$1000",U693&lt;=1250,"1001-R$1250",U693&lt;=1500,"1251-R$1500")</f>
        <v>501-R$750</v>
      </c>
      <c r="W693" s="13">
        <v>41</v>
      </c>
      <c r="X693" s="13" t="str" cm="1">
        <f t="array" ref="X693">_xlfn.IFS(W693 = 0, "0", W693&lt;=20, "até R$20",W693&lt;=40, "21 - R$40",W693&lt;=60, "41- R$60",W693&lt;=80, "61 - R$80", W693&lt;=100, "81 - R$100",W693&lt;=120, "101 - R$120",W693&lt;=140, "121 - R$140", W693&lt;=160, "141- R$160", W693&lt;=180, "161 - R$180", W693&lt;=200, "181-R$194")</f>
        <v>41- R$60</v>
      </c>
      <c r="Y693" s="13">
        <v>215</v>
      </c>
      <c r="Z693" s="13">
        <v>11</v>
      </c>
      <c r="AA693" s="13">
        <v>0</v>
      </c>
      <c r="AB693" s="13">
        <v>24</v>
      </c>
      <c r="AC693" s="13">
        <v>3</v>
      </c>
      <c r="AD693" s="13">
        <v>10</v>
      </c>
      <c r="AE693" s="13">
        <v>2</v>
      </c>
      <c r="AF693" s="13">
        <v>10</v>
      </c>
      <c r="AG693" s="13">
        <v>5</v>
      </c>
      <c r="AH693" s="13">
        <v>0</v>
      </c>
      <c r="AI693" s="13">
        <v>0</v>
      </c>
      <c r="AJ693" s="13">
        <v>0</v>
      </c>
      <c r="AK693" s="13">
        <v>0</v>
      </c>
      <c r="AL693" s="13">
        <v>0</v>
      </c>
      <c r="AM693" s="13">
        <v>0</v>
      </c>
      <c r="AN693" s="13">
        <v>0</v>
      </c>
      <c r="AO693" s="14">
        <v>0</v>
      </c>
      <c r="AP693" s="13">
        <v>3</v>
      </c>
      <c r="AQ693" s="13">
        <v>11</v>
      </c>
      <c r="AR693" s="15">
        <v>797</v>
      </c>
      <c r="AS693" s="15">
        <v>821</v>
      </c>
    </row>
    <row r="694" spans="1:45" x14ac:dyDescent="0.25">
      <c r="A694">
        <v>2140</v>
      </c>
      <c r="B694" s="11">
        <f t="shared" si="10"/>
        <v>60934</v>
      </c>
      <c r="C694" s="12">
        <v>609340</v>
      </c>
      <c r="D694" s="13">
        <v>0</v>
      </c>
      <c r="E694" s="13">
        <v>1</v>
      </c>
      <c r="F694" s="13">
        <v>41</v>
      </c>
      <c r="G694" s="13">
        <v>45</v>
      </c>
      <c r="H694" s="13" t="str" cm="1">
        <f t="array" ref="H694">_xlfn.IFS(G694&lt;=20,"0-20",G694&lt;=30,"20-30",G694&lt;=40,"30-40",G694&lt;=50,"50-60",G694&lt;=60,"60-70",G694&lt;=70,"70-80",G694&lt;=80,"80-90")</f>
        <v>50-60</v>
      </c>
      <c r="I694" s="13">
        <v>2322</v>
      </c>
      <c r="J694" s="13" t="str" cm="1">
        <f t="array" ref="J694">_xlfn.IFS(K694=1,"Divorciado",L694=1,"Casado",M694=1,"Solteiro",N694=1,"Juntos",O694=1,"Viuvo")</f>
        <v>Juntos</v>
      </c>
      <c r="K694" s="13">
        <v>0</v>
      </c>
      <c r="L694" s="13">
        <v>0</v>
      </c>
      <c r="M694" s="13">
        <v>0</v>
      </c>
      <c r="N694" s="13">
        <v>1</v>
      </c>
      <c r="O694" s="13">
        <v>0</v>
      </c>
      <c r="P694" s="13">
        <v>0</v>
      </c>
      <c r="Q694" s="13">
        <v>0</v>
      </c>
      <c r="R694" s="13">
        <v>1</v>
      </c>
      <c r="S694" s="13">
        <v>0</v>
      </c>
      <c r="T694" s="13">
        <v>0</v>
      </c>
      <c r="U694" s="13">
        <v>224</v>
      </c>
      <c r="V694" s="13" t="str" cm="1">
        <f t="array" ref="V694">_xlfn.IFS(U694&lt;=250,"0-R$250",U694&lt;=500,"251-R$500",U694&lt;=750,"501-R$750",U694&lt;=1000,"751-R$1000",U694&lt;=1250,"1001-R$1250",U694&lt;=1500,"1251-R$1500")</f>
        <v>0-R$250</v>
      </c>
      <c r="W694" s="13">
        <v>155</v>
      </c>
      <c r="X694" s="13" t="str" cm="1">
        <f t="array" ref="X694">_xlfn.IFS(W694 = 0, "0", W694&lt;=20, "até R$20",W694&lt;=40, "21 - R$40",W694&lt;=60, "41- R$60",W694&lt;=80, "61 - R$80", W694&lt;=100, "81 - R$100",W694&lt;=120, "101 - R$120",W694&lt;=140, "121 - R$140", W694&lt;=160, "141- R$160", W694&lt;=180, "161 - R$180", W694&lt;=200, "181-R$194")</f>
        <v>141- R$160</v>
      </c>
      <c r="Y694" s="13">
        <v>155</v>
      </c>
      <c r="Z694" s="13">
        <v>192</v>
      </c>
      <c r="AA694" s="13">
        <v>93</v>
      </c>
      <c r="AB694" s="13">
        <v>54</v>
      </c>
      <c r="AC694" s="13">
        <v>2</v>
      </c>
      <c r="AD694" s="13">
        <v>6</v>
      </c>
      <c r="AE694" s="13">
        <v>4</v>
      </c>
      <c r="AF694" s="13">
        <v>11</v>
      </c>
      <c r="AG694" s="13">
        <v>4</v>
      </c>
      <c r="AH694" s="13">
        <v>0</v>
      </c>
      <c r="AI694" s="13">
        <v>0</v>
      </c>
      <c r="AJ694" s="13">
        <v>0</v>
      </c>
      <c r="AK694" s="13">
        <v>0</v>
      </c>
      <c r="AL694" s="13">
        <v>0</v>
      </c>
      <c r="AM694" s="13">
        <v>0</v>
      </c>
      <c r="AN694" s="13">
        <v>0</v>
      </c>
      <c r="AO694" s="14">
        <v>0</v>
      </c>
      <c r="AP694" s="13">
        <v>3</v>
      </c>
      <c r="AQ694" s="13">
        <v>11</v>
      </c>
      <c r="AR694" s="15">
        <v>765</v>
      </c>
      <c r="AS694" s="15">
        <v>819</v>
      </c>
    </row>
    <row r="695" spans="1:45" x14ac:dyDescent="0.25">
      <c r="A695">
        <v>883</v>
      </c>
      <c r="B695" s="11">
        <f t="shared" si="10"/>
        <v>66825</v>
      </c>
      <c r="C695" s="16">
        <v>668250</v>
      </c>
      <c r="D695" s="17">
        <v>0</v>
      </c>
      <c r="E695" s="17">
        <v>0</v>
      </c>
      <c r="F695" s="17">
        <v>73</v>
      </c>
      <c r="G695" s="17">
        <v>53</v>
      </c>
      <c r="H695" s="13" t="str" cm="1">
        <f t="array" ref="H695">_xlfn.IFS(G695&lt;=20,"0-20",G695&lt;=30,"20-30",G695&lt;=40,"30-40",G695&lt;=50,"50-60",G695&lt;=60,"60-70",G695&lt;=70,"70-80",G695&lt;=80,"80-90")</f>
        <v>60-70</v>
      </c>
      <c r="I695" s="17">
        <v>2509</v>
      </c>
      <c r="J695" s="13" t="str" cm="1">
        <f t="array" ref="J695">_xlfn.IFS(K695=1,"Divorciado",L695=1,"Casado",M695=1,"Solteiro",N695=1,"Juntos",O695=1,"Viuvo")</f>
        <v>Juntos</v>
      </c>
      <c r="K695" s="17">
        <v>0</v>
      </c>
      <c r="L695" s="17">
        <v>0</v>
      </c>
      <c r="M695" s="17">
        <v>0</v>
      </c>
      <c r="N695" s="17">
        <v>1</v>
      </c>
      <c r="O695" s="17">
        <v>0</v>
      </c>
      <c r="P695" s="17">
        <v>0</v>
      </c>
      <c r="Q695" s="17">
        <v>0</v>
      </c>
      <c r="R695" s="17">
        <v>1</v>
      </c>
      <c r="S695" s="17">
        <v>0</v>
      </c>
      <c r="T695" s="17">
        <v>0</v>
      </c>
      <c r="U695" s="17">
        <v>243</v>
      </c>
      <c r="V695" s="13" t="str" cm="1">
        <f t="array" ref="V695">_xlfn.IFS(U695&lt;=250,"0-R$250",U695&lt;=500,"251-R$500",U695&lt;=750,"501-R$750",U695&lt;=1000,"751-R$1000",U695&lt;=1250,"1001-R$1250",U695&lt;=1500,"1251-R$1500")</f>
        <v>0-R$250</v>
      </c>
      <c r="W695" s="17">
        <v>101</v>
      </c>
      <c r="X695" s="13" t="str" cm="1">
        <f t="array" ref="X695">_xlfn.IFS(W695 = 0, "0", W695&lt;=20, "até R$20",W695&lt;=40, "21 - R$40",W695&lt;=60, "41- R$60",W695&lt;=80, "61 - R$80", W695&lt;=100, "81 - R$100",W695&lt;=120, "101 - R$120",W695&lt;=140, "121 - R$140", W695&lt;=160, "141- R$160", W695&lt;=180, "161 - R$180", W695&lt;=200, "181-R$194")</f>
        <v>101 - R$120</v>
      </c>
      <c r="Y695" s="17">
        <v>405</v>
      </c>
      <c r="Z695" s="17">
        <v>29</v>
      </c>
      <c r="AA695" s="17">
        <v>40</v>
      </c>
      <c r="AB695" s="17">
        <v>40</v>
      </c>
      <c r="AC695" s="17">
        <v>1</v>
      </c>
      <c r="AD695" s="17">
        <v>4</v>
      </c>
      <c r="AE695" s="17">
        <v>5</v>
      </c>
      <c r="AF695" s="17">
        <v>6</v>
      </c>
      <c r="AG695" s="17">
        <v>2</v>
      </c>
      <c r="AH695" s="17">
        <v>0</v>
      </c>
      <c r="AI695" s="17">
        <v>0</v>
      </c>
      <c r="AJ695" s="17">
        <v>0</v>
      </c>
      <c r="AK695" s="17">
        <v>0</v>
      </c>
      <c r="AL695" s="17">
        <v>0</v>
      </c>
      <c r="AM695" s="17">
        <v>0</v>
      </c>
      <c r="AN695" s="17">
        <v>0</v>
      </c>
      <c r="AO695" s="18">
        <v>0</v>
      </c>
      <c r="AP695" s="17">
        <v>3</v>
      </c>
      <c r="AQ695" s="17">
        <v>11</v>
      </c>
      <c r="AR695" s="19">
        <v>778</v>
      </c>
      <c r="AS695" s="19">
        <v>818</v>
      </c>
    </row>
    <row r="696" spans="1:45" x14ac:dyDescent="0.25">
      <c r="A696">
        <v>43</v>
      </c>
      <c r="B696" s="11">
        <f t="shared" si="10"/>
        <v>79941</v>
      </c>
      <c r="C696" s="16">
        <v>799410</v>
      </c>
      <c r="D696" s="17">
        <v>0</v>
      </c>
      <c r="E696" s="17">
        <v>0</v>
      </c>
      <c r="F696" s="17">
        <v>72</v>
      </c>
      <c r="G696" s="17">
        <v>44</v>
      </c>
      <c r="H696" s="13" t="str" cm="1">
        <f t="array" ref="H696">_xlfn.IFS(G696&lt;=20,"0-20",G696&lt;=30,"20-30",G696&lt;=40,"30-40",G696&lt;=50,"50-60",G696&lt;=60,"60-70",G696&lt;=70,"70-80",G696&lt;=80,"80-90")</f>
        <v>50-60</v>
      </c>
      <c r="I696" s="17">
        <v>2160</v>
      </c>
      <c r="J696" s="13" t="str" cm="1">
        <f t="array" ref="J696">_xlfn.IFS(K696=1,"Divorciado",L696=1,"Casado",M696=1,"Solteiro",N696=1,"Juntos",O696=1,"Viuvo")</f>
        <v>Solteiro</v>
      </c>
      <c r="K696" s="17">
        <v>0</v>
      </c>
      <c r="L696" s="17">
        <v>0</v>
      </c>
      <c r="M696" s="17">
        <v>1</v>
      </c>
      <c r="N696" s="17">
        <v>0</v>
      </c>
      <c r="O696" s="17">
        <v>0</v>
      </c>
      <c r="P696" s="17">
        <v>0</v>
      </c>
      <c r="Q696" s="17">
        <v>0</v>
      </c>
      <c r="R696" s="17">
        <v>1</v>
      </c>
      <c r="S696" s="17">
        <v>0</v>
      </c>
      <c r="T696" s="17">
        <v>0</v>
      </c>
      <c r="U696" s="17">
        <v>123</v>
      </c>
      <c r="V696" s="13" t="str" cm="1">
        <f t="array" ref="V696">_xlfn.IFS(U696&lt;=250,"0-R$250",U696&lt;=500,"251-R$500",U696&lt;=750,"501-R$750",U696&lt;=1000,"751-R$1000",U696&lt;=1250,"1001-R$1250",U696&lt;=1500,"1251-R$1500")</f>
        <v>0-R$250</v>
      </c>
      <c r="W696" s="17">
        <v>164</v>
      </c>
      <c r="X696" s="13" t="str" cm="1">
        <f t="array" ref="X696">_xlfn.IFS(W696 = 0, "0", W696&lt;=20, "até R$20",W696&lt;=40, "21 - R$40",W696&lt;=60, "41- R$60",W696&lt;=80, "61 - R$80", W696&lt;=100, "81 - R$100",W696&lt;=120, "101 - R$120",W696&lt;=140, "121 - R$140", W696&lt;=160, "141- R$160", W696&lt;=180, "161 - R$180", W696&lt;=200, "181-R$194")</f>
        <v>161 - R$180</v>
      </c>
      <c r="Y696" s="17">
        <v>266</v>
      </c>
      <c r="Z696" s="17">
        <v>227</v>
      </c>
      <c r="AA696" s="17">
        <v>30</v>
      </c>
      <c r="AB696" s="17">
        <v>174</v>
      </c>
      <c r="AC696" s="17">
        <v>1</v>
      </c>
      <c r="AD696" s="17">
        <v>2</v>
      </c>
      <c r="AE696" s="17">
        <v>4</v>
      </c>
      <c r="AF696" s="17">
        <v>9</v>
      </c>
      <c r="AG696" s="17">
        <v>1</v>
      </c>
      <c r="AH696" s="17">
        <v>0</v>
      </c>
      <c r="AI696" s="17">
        <v>0</v>
      </c>
      <c r="AJ696" s="17">
        <v>0</v>
      </c>
      <c r="AK696" s="17">
        <v>0</v>
      </c>
      <c r="AL696" s="17">
        <v>0</v>
      </c>
      <c r="AM696" s="17">
        <v>0</v>
      </c>
      <c r="AN696" s="17">
        <v>0</v>
      </c>
      <c r="AO696" s="18">
        <v>0</v>
      </c>
      <c r="AP696" s="17">
        <v>3</v>
      </c>
      <c r="AQ696" s="17">
        <v>11</v>
      </c>
      <c r="AR696" s="19">
        <v>636</v>
      </c>
      <c r="AS696" s="19">
        <v>810</v>
      </c>
    </row>
    <row r="697" spans="1:45" x14ac:dyDescent="0.25">
      <c r="A697">
        <v>1252</v>
      </c>
      <c r="B697" s="11">
        <f t="shared" si="10"/>
        <v>64191</v>
      </c>
      <c r="C697" s="12">
        <v>641910</v>
      </c>
      <c r="D697" s="13">
        <v>0</v>
      </c>
      <c r="E697" s="13">
        <v>1</v>
      </c>
      <c r="F697" s="13">
        <v>30</v>
      </c>
      <c r="G697" s="13">
        <v>57</v>
      </c>
      <c r="H697" s="13" t="str" cm="1">
        <f t="array" ref="H697">_xlfn.IFS(G697&lt;=20,"0-20",G697&lt;=30,"20-30",G697&lt;=40,"30-40",G697&lt;=50,"50-60",G697&lt;=60,"60-70",G697&lt;=70,"70-80",G697&lt;=80,"80-90")</f>
        <v>60-70</v>
      </c>
      <c r="I697" s="13">
        <v>2682</v>
      </c>
      <c r="J697" s="13" t="str" cm="1">
        <f t="array" ref="J697">_xlfn.IFS(K697=1,"Divorciado",L697=1,"Casado",M697=1,"Solteiro",N697=1,"Juntos",O697=1,"Viuvo")</f>
        <v>Solteiro</v>
      </c>
      <c r="K697" s="13">
        <v>0</v>
      </c>
      <c r="L697" s="13">
        <v>0</v>
      </c>
      <c r="M697" s="13">
        <v>1</v>
      </c>
      <c r="N697" s="13">
        <v>0</v>
      </c>
      <c r="O697" s="13">
        <v>0</v>
      </c>
      <c r="P697" s="13">
        <v>0</v>
      </c>
      <c r="Q697" s="13">
        <v>0</v>
      </c>
      <c r="R697" s="13">
        <v>0</v>
      </c>
      <c r="S697" s="13">
        <v>1</v>
      </c>
      <c r="T697" s="13">
        <v>0</v>
      </c>
      <c r="U697" s="13">
        <v>420</v>
      </c>
      <c r="V697" s="13" t="str" cm="1">
        <f t="array" ref="V697">_xlfn.IFS(U697&lt;=250,"0-R$250",U697&lt;=500,"251-R$500",U697&lt;=750,"501-R$750",U697&lt;=1000,"751-R$1000",U697&lt;=1250,"1001-R$1250",U697&lt;=1500,"1251-R$1500")</f>
        <v>251-R$500</v>
      </c>
      <c r="W697" s="13">
        <v>15</v>
      </c>
      <c r="X697" s="13" t="str" cm="1">
        <f t="array" ref="X697">_xlfn.IFS(W697 = 0, "0", W697&lt;=20, "até R$20",W697&lt;=40, "21 - R$40",W697&lt;=60, "41- R$60",W697&lt;=80, "61 - R$80", W697&lt;=100, "81 - R$100",W697&lt;=120, "101 - R$120",W697&lt;=140, "121 - R$140", W697&lt;=160, "141- R$160", W697&lt;=180, "161 - R$180", W697&lt;=200, "181-R$194")</f>
        <v>até R$20</v>
      </c>
      <c r="Y697" s="13">
        <v>186</v>
      </c>
      <c r="Z697" s="13">
        <v>151</v>
      </c>
      <c r="AA697" s="13">
        <v>38</v>
      </c>
      <c r="AB697" s="13">
        <v>15</v>
      </c>
      <c r="AC697" s="13">
        <v>3</v>
      </c>
      <c r="AD697" s="13">
        <v>5</v>
      </c>
      <c r="AE697" s="13">
        <v>3</v>
      </c>
      <c r="AF697" s="13">
        <v>13</v>
      </c>
      <c r="AG697" s="13">
        <v>3</v>
      </c>
      <c r="AH697" s="13">
        <v>0</v>
      </c>
      <c r="AI697" s="13">
        <v>0</v>
      </c>
      <c r="AJ697" s="13">
        <v>0</v>
      </c>
      <c r="AK697" s="13">
        <v>0</v>
      </c>
      <c r="AL697" s="13">
        <v>0</v>
      </c>
      <c r="AM697" s="13">
        <v>0</v>
      </c>
      <c r="AN697" s="13">
        <v>0</v>
      </c>
      <c r="AO697" s="14">
        <v>0</v>
      </c>
      <c r="AP697" s="13">
        <v>3</v>
      </c>
      <c r="AQ697" s="13">
        <v>11</v>
      </c>
      <c r="AR697" s="15">
        <v>795</v>
      </c>
      <c r="AS697" s="15">
        <v>810</v>
      </c>
    </row>
    <row r="698" spans="1:45" x14ac:dyDescent="0.25">
      <c r="A698">
        <v>1543</v>
      </c>
      <c r="B698" s="11">
        <f t="shared" si="10"/>
        <v>75315</v>
      </c>
      <c r="C698" s="16">
        <v>753150</v>
      </c>
      <c r="D698" s="17">
        <v>0</v>
      </c>
      <c r="E698" s="17">
        <v>1</v>
      </c>
      <c r="F698" s="17">
        <v>14</v>
      </c>
      <c r="G698" s="17">
        <v>66</v>
      </c>
      <c r="H698" s="13" t="str" cm="1">
        <f t="array" ref="H698">_xlfn.IFS(G698&lt;=20,"0-20",G698&lt;=30,"20-30",G698&lt;=40,"30-40",G698&lt;=50,"50-60",G698&lt;=60,"60-70",G698&lt;=70,"70-80",G698&lt;=80,"80-90")</f>
        <v>70-80</v>
      </c>
      <c r="I698" s="17">
        <v>2234</v>
      </c>
      <c r="J698" s="13" t="str" cm="1">
        <f t="array" ref="J698">_xlfn.IFS(K698=1,"Divorciado",L698=1,"Casado",M698=1,"Solteiro",N698=1,"Juntos",O698=1,"Viuvo")</f>
        <v>Juntos</v>
      </c>
      <c r="K698" s="17">
        <v>0</v>
      </c>
      <c r="L698" s="17">
        <v>0</v>
      </c>
      <c r="M698" s="17">
        <v>0</v>
      </c>
      <c r="N698" s="17">
        <v>1</v>
      </c>
      <c r="O698" s="17">
        <v>0</v>
      </c>
      <c r="P698" s="17">
        <v>0</v>
      </c>
      <c r="Q698" s="17">
        <v>0</v>
      </c>
      <c r="R698" s="17">
        <v>1</v>
      </c>
      <c r="S698" s="17">
        <v>0</v>
      </c>
      <c r="T698" s="17">
        <v>0</v>
      </c>
      <c r="U698" s="17">
        <v>459</v>
      </c>
      <c r="V698" s="13" t="str" cm="1">
        <f t="array" ref="V698">_xlfn.IFS(U698&lt;=250,"0-R$250",U698&lt;=500,"251-R$500",U698&lt;=750,"501-R$750",U698&lt;=1000,"751-R$1000",U698&lt;=1250,"1001-R$1250",U698&lt;=1500,"1251-R$1500")</f>
        <v>251-R$500</v>
      </c>
      <c r="W698" s="17">
        <v>15</v>
      </c>
      <c r="X698" s="13" t="str" cm="1">
        <f t="array" ref="X698">_xlfn.IFS(W698 = 0, "0", W698&lt;=20, "até R$20",W698&lt;=40, "21 - R$40",W698&lt;=60, "41- R$60",W698&lt;=80, "61 - R$80", W698&lt;=100, "81 - R$100",W698&lt;=120, "101 - R$120",W698&lt;=140, "121 - R$140", W698&lt;=160, "141- R$160", W698&lt;=180, "161 - R$180", W698&lt;=200, "181-R$194")</f>
        <v>até R$20</v>
      </c>
      <c r="Y698" s="17">
        <v>171</v>
      </c>
      <c r="Z698" s="17">
        <v>142</v>
      </c>
      <c r="AA698" s="17">
        <v>23</v>
      </c>
      <c r="AB698" s="17">
        <v>31</v>
      </c>
      <c r="AC698" s="17">
        <v>2</v>
      </c>
      <c r="AD698" s="17">
        <v>5</v>
      </c>
      <c r="AE698" s="17">
        <v>4</v>
      </c>
      <c r="AF698" s="17">
        <v>12</v>
      </c>
      <c r="AG698" s="17">
        <v>2</v>
      </c>
      <c r="AH698" s="17">
        <v>0</v>
      </c>
      <c r="AI698" s="17">
        <v>0</v>
      </c>
      <c r="AJ698" s="17">
        <v>0</v>
      </c>
      <c r="AK698" s="17">
        <v>0</v>
      </c>
      <c r="AL698" s="17">
        <v>0</v>
      </c>
      <c r="AM698" s="17">
        <v>0</v>
      </c>
      <c r="AN698" s="17">
        <v>0</v>
      </c>
      <c r="AO698" s="18">
        <v>0</v>
      </c>
      <c r="AP698" s="17">
        <v>3</v>
      </c>
      <c r="AQ698" s="17">
        <v>11</v>
      </c>
      <c r="AR698" s="19">
        <v>779</v>
      </c>
      <c r="AS698" s="19">
        <v>810</v>
      </c>
    </row>
    <row r="699" spans="1:45" x14ac:dyDescent="0.25">
      <c r="A699">
        <v>1988</v>
      </c>
      <c r="B699" s="11">
        <f t="shared" si="10"/>
        <v>34445</v>
      </c>
      <c r="C699" s="12">
        <v>344450</v>
      </c>
      <c r="D699" s="13">
        <v>0</v>
      </c>
      <c r="E699" s="13">
        <v>0</v>
      </c>
      <c r="F699" s="13">
        <v>92</v>
      </c>
      <c r="G699" s="13">
        <v>39</v>
      </c>
      <c r="H699" s="13" t="str" cm="1">
        <f t="array" ref="H699">_xlfn.IFS(G699&lt;=20,"0-20",G699&lt;=30,"20-30",G699&lt;=40,"30-40",G699&lt;=50,"50-60",G699&lt;=60,"60-70",G699&lt;=70,"70-80",G699&lt;=80,"80-90")</f>
        <v>30-40</v>
      </c>
      <c r="I699" s="13">
        <v>2677</v>
      </c>
      <c r="J699" s="13" t="str" cm="1">
        <f t="array" ref="J699">_xlfn.IFS(K699=1,"Divorciado",L699=1,"Casado",M699=1,"Solteiro",N699=1,"Juntos",O699=1,"Viuvo")</f>
        <v>Casado</v>
      </c>
      <c r="K699" s="13">
        <v>0</v>
      </c>
      <c r="L699" s="13">
        <v>1</v>
      </c>
      <c r="M699" s="13">
        <v>0</v>
      </c>
      <c r="N699" s="13">
        <v>0</v>
      </c>
      <c r="O699" s="13">
        <v>0</v>
      </c>
      <c r="P699" s="13">
        <v>0</v>
      </c>
      <c r="Q699" s="13">
        <v>1</v>
      </c>
      <c r="R699" s="13">
        <v>0</v>
      </c>
      <c r="S699" s="13">
        <v>0</v>
      </c>
      <c r="T699" s="13">
        <v>0</v>
      </c>
      <c r="U699" s="13">
        <v>228</v>
      </c>
      <c r="V699" s="13" t="str" cm="1">
        <f t="array" ref="V699">_xlfn.IFS(U699&lt;=250,"0-R$250",U699&lt;=500,"251-R$500",U699&lt;=750,"501-R$750",U699&lt;=1000,"751-R$1000",U699&lt;=1250,"1001-R$1250",U699&lt;=1500,"1251-R$1500")</f>
        <v>0-R$250</v>
      </c>
      <c r="W699" s="13">
        <v>122</v>
      </c>
      <c r="X699" s="13" t="str" cm="1">
        <f t="array" ref="X699">_xlfn.IFS(W699 = 0, "0", W699&lt;=20, "até R$20",W699&lt;=40, "21 - R$40",W699&lt;=60, "41- R$60",W699&lt;=80, "61 - R$80", W699&lt;=100, "81 - R$100",W699&lt;=120, "101 - R$120",W699&lt;=140, "121 - R$140", W699&lt;=160, "141- R$160", W699&lt;=180, "161 - R$180", W699&lt;=200, "181-R$194")</f>
        <v>121 - R$140</v>
      </c>
      <c r="Y699" s="13">
        <v>122</v>
      </c>
      <c r="Z699" s="13">
        <v>208</v>
      </c>
      <c r="AA699" s="13">
        <v>129</v>
      </c>
      <c r="AB699" s="13">
        <v>30</v>
      </c>
      <c r="AC699" s="13">
        <v>6</v>
      </c>
      <c r="AD699" s="13">
        <v>11</v>
      </c>
      <c r="AE699" s="13">
        <v>2</v>
      </c>
      <c r="AF699" s="13">
        <v>8</v>
      </c>
      <c r="AG699" s="13">
        <v>9</v>
      </c>
      <c r="AH699" s="13">
        <v>0</v>
      </c>
      <c r="AI699" s="13">
        <v>0</v>
      </c>
      <c r="AJ699" s="13">
        <v>0</v>
      </c>
      <c r="AK699" s="13">
        <v>0</v>
      </c>
      <c r="AL699" s="13">
        <v>0</v>
      </c>
      <c r="AM699" s="13">
        <v>0</v>
      </c>
      <c r="AN699" s="13">
        <v>0</v>
      </c>
      <c r="AO699" s="14">
        <v>0</v>
      </c>
      <c r="AP699" s="13">
        <v>3</v>
      </c>
      <c r="AQ699" s="13">
        <v>11</v>
      </c>
      <c r="AR699" s="15">
        <v>779</v>
      </c>
      <c r="AS699" s="15">
        <v>809</v>
      </c>
    </row>
    <row r="700" spans="1:45" x14ac:dyDescent="0.25">
      <c r="A700">
        <v>1335</v>
      </c>
      <c r="B700" s="11">
        <f t="shared" si="10"/>
        <v>69627</v>
      </c>
      <c r="C700" s="16">
        <v>696270</v>
      </c>
      <c r="D700" s="17">
        <v>0</v>
      </c>
      <c r="E700" s="17">
        <v>1</v>
      </c>
      <c r="F700" s="17">
        <v>35</v>
      </c>
      <c r="G700" s="17">
        <v>58</v>
      </c>
      <c r="H700" s="13" t="str" cm="1">
        <f t="array" ref="H700">_xlfn.IFS(G700&lt;=20,"0-20",G700&lt;=30,"20-30",G700&lt;=40,"30-40",G700&lt;=50,"50-60",G700&lt;=60,"60-70",G700&lt;=70,"70-80",G700&lt;=80,"80-90")</f>
        <v>60-70</v>
      </c>
      <c r="I700" s="17">
        <v>2628</v>
      </c>
      <c r="J700" s="13" t="str" cm="1">
        <f t="array" ref="J700">_xlfn.IFS(K700=1,"Divorciado",L700=1,"Casado",M700=1,"Solteiro",N700=1,"Juntos",O700=1,"Viuvo")</f>
        <v>Solteiro</v>
      </c>
      <c r="K700" s="17">
        <v>0</v>
      </c>
      <c r="L700" s="17">
        <v>0</v>
      </c>
      <c r="M700" s="17">
        <v>1</v>
      </c>
      <c r="N700" s="17">
        <v>0</v>
      </c>
      <c r="O700" s="17">
        <v>0</v>
      </c>
      <c r="P700" s="17">
        <v>0</v>
      </c>
      <c r="Q700" s="17">
        <v>0</v>
      </c>
      <c r="R700" s="17">
        <v>1</v>
      </c>
      <c r="S700" s="17">
        <v>0</v>
      </c>
      <c r="T700" s="17">
        <v>0</v>
      </c>
      <c r="U700" s="17">
        <v>231</v>
      </c>
      <c r="V700" s="13" t="str" cm="1">
        <f t="array" ref="V700">_xlfn.IFS(U700&lt;=250,"0-R$250",U700&lt;=500,"251-R$500",U700&lt;=750,"501-R$750",U700&lt;=1000,"751-R$1000",U700&lt;=1250,"1001-R$1250",U700&lt;=1500,"1251-R$1500")</f>
        <v>0-R$250</v>
      </c>
      <c r="W700" s="17">
        <v>161</v>
      </c>
      <c r="X700" s="13" t="str" cm="1">
        <f t="array" ref="X700">_xlfn.IFS(W700 = 0, "0", W700&lt;=20, "até R$20",W700&lt;=40, "21 - R$40",W700&lt;=60, "41- R$60",W700&lt;=80, "61 - R$80", W700&lt;=100, "81 - R$100",W700&lt;=120, "101 - R$120",W700&lt;=140, "121 - R$140", W700&lt;=160, "141- R$160", W700&lt;=180, "161 - R$180", W700&lt;=200, "181-R$194")</f>
        <v>161 - R$180</v>
      </c>
      <c r="Y700" s="17">
        <v>215</v>
      </c>
      <c r="Z700" s="17">
        <v>171</v>
      </c>
      <c r="AA700" s="17">
        <v>30</v>
      </c>
      <c r="AB700" s="17">
        <v>53</v>
      </c>
      <c r="AC700" s="17">
        <v>2</v>
      </c>
      <c r="AD700" s="17">
        <v>8</v>
      </c>
      <c r="AE700" s="17">
        <v>2</v>
      </c>
      <c r="AF700" s="17">
        <v>11</v>
      </c>
      <c r="AG700" s="17">
        <v>5</v>
      </c>
      <c r="AH700" s="17">
        <v>0</v>
      </c>
      <c r="AI700" s="17">
        <v>0</v>
      </c>
      <c r="AJ700" s="17">
        <v>0</v>
      </c>
      <c r="AK700" s="17">
        <v>0</v>
      </c>
      <c r="AL700" s="17">
        <v>0</v>
      </c>
      <c r="AM700" s="17">
        <v>0</v>
      </c>
      <c r="AN700" s="17">
        <v>0</v>
      </c>
      <c r="AO700" s="18">
        <v>0</v>
      </c>
      <c r="AP700" s="17">
        <v>3</v>
      </c>
      <c r="AQ700" s="17">
        <v>11</v>
      </c>
      <c r="AR700" s="19">
        <v>755</v>
      </c>
      <c r="AS700" s="19">
        <v>808</v>
      </c>
    </row>
    <row r="701" spans="1:45" x14ac:dyDescent="0.25">
      <c r="A701">
        <v>101</v>
      </c>
      <c r="B701" s="11">
        <f t="shared" si="10"/>
        <v>89058</v>
      </c>
      <c r="C701" s="16">
        <v>890580</v>
      </c>
      <c r="D701" s="17">
        <v>0</v>
      </c>
      <c r="E701" s="17">
        <v>0</v>
      </c>
      <c r="F701" s="17">
        <v>18</v>
      </c>
      <c r="G701" s="17">
        <v>60</v>
      </c>
      <c r="H701" s="13" t="str" cm="1">
        <f t="array" ref="H701">_xlfn.IFS(G701&lt;=20,"0-20",G701&lt;=30,"20-30",G701&lt;=40,"30-40",G701&lt;=50,"50-60",G701&lt;=60,"60-70",G701&lt;=70,"70-80",G701&lt;=80,"80-90")</f>
        <v>60-70</v>
      </c>
      <c r="I701" s="17">
        <v>2728</v>
      </c>
      <c r="J701" s="13" t="str" cm="1">
        <f t="array" ref="J701">_xlfn.IFS(K701=1,"Divorciado",L701=1,"Casado",M701=1,"Solteiro",N701=1,"Juntos",O701=1,"Viuvo")</f>
        <v>Casado</v>
      </c>
      <c r="K701" s="17">
        <v>0</v>
      </c>
      <c r="L701" s="17">
        <v>1</v>
      </c>
      <c r="M701" s="17">
        <v>0</v>
      </c>
      <c r="N701" s="17">
        <v>0</v>
      </c>
      <c r="O701" s="17">
        <v>0</v>
      </c>
      <c r="P701" s="17">
        <v>0</v>
      </c>
      <c r="Q701" s="17">
        <v>0</v>
      </c>
      <c r="R701" s="17">
        <v>0</v>
      </c>
      <c r="S701" s="17">
        <v>1</v>
      </c>
      <c r="T701" s="17">
        <v>0</v>
      </c>
      <c r="U701" s="17">
        <v>454</v>
      </c>
      <c r="V701" s="13" t="str" cm="1">
        <f t="array" ref="V701">_xlfn.IFS(U701&lt;=250,"0-R$250",U701&lt;=500,"251-R$500",U701&lt;=750,"501-R$750",U701&lt;=1000,"751-R$1000",U701&lt;=1250,"1001-R$1250",U701&lt;=1500,"1251-R$1500")</f>
        <v>251-R$500</v>
      </c>
      <c r="W701" s="17">
        <v>194</v>
      </c>
      <c r="X701" s="13" t="str" cm="1">
        <f t="array" ref="X701">_xlfn.IFS(W701 = 0, "0", W701&lt;=20, "até R$20",W701&lt;=40, "21 - R$40",W701&lt;=60, "41- R$60",W701&lt;=80, "61 - R$80", W701&lt;=100, "81 - R$100",W701&lt;=120, "101 - R$120",W701&lt;=140, "121 - R$140", W701&lt;=160, "141- R$160", W701&lt;=180, "161 - R$180", W701&lt;=200, "181-R$194")</f>
        <v>181-R$194</v>
      </c>
      <c r="Y701" s="17">
        <v>106</v>
      </c>
      <c r="Z701" s="17">
        <v>31</v>
      </c>
      <c r="AA701" s="17">
        <v>22</v>
      </c>
      <c r="AB701" s="17">
        <v>43</v>
      </c>
      <c r="AC701" s="17">
        <v>1</v>
      </c>
      <c r="AD701" s="17">
        <v>5</v>
      </c>
      <c r="AE701" s="17">
        <v>4</v>
      </c>
      <c r="AF701" s="17">
        <v>4</v>
      </c>
      <c r="AG701" s="17">
        <v>2</v>
      </c>
      <c r="AH701" s="17">
        <v>0</v>
      </c>
      <c r="AI701" s="17">
        <v>0</v>
      </c>
      <c r="AJ701" s="17">
        <v>0</v>
      </c>
      <c r="AK701" s="17">
        <v>0</v>
      </c>
      <c r="AL701" s="17">
        <v>0</v>
      </c>
      <c r="AM701" s="17">
        <v>0</v>
      </c>
      <c r="AN701" s="17">
        <v>0</v>
      </c>
      <c r="AO701" s="18">
        <v>0</v>
      </c>
      <c r="AP701" s="17">
        <v>3</v>
      </c>
      <c r="AQ701" s="17">
        <v>11</v>
      </c>
      <c r="AR701" s="19">
        <v>764</v>
      </c>
      <c r="AS701" s="19">
        <v>807</v>
      </c>
    </row>
    <row r="702" spans="1:45" x14ac:dyDescent="0.25">
      <c r="A702">
        <v>320</v>
      </c>
      <c r="B702" s="11">
        <f t="shared" si="10"/>
        <v>62204</v>
      </c>
      <c r="C702" s="12">
        <v>622040</v>
      </c>
      <c r="D702" s="13">
        <v>0</v>
      </c>
      <c r="E702" s="13">
        <v>2</v>
      </c>
      <c r="F702" s="13">
        <v>38</v>
      </c>
      <c r="G702" s="13">
        <v>60</v>
      </c>
      <c r="H702" s="13" t="str" cm="1">
        <f t="array" ref="H702">_xlfn.IFS(G702&lt;=20,"0-20",G702&lt;=30,"20-30",G702&lt;=40,"30-40",G702&lt;=50,"50-60",G702&lt;=60,"60-70",G702&lt;=70,"70-80",G702&lt;=80,"80-90")</f>
        <v>60-70</v>
      </c>
      <c r="I702" s="13">
        <v>2814</v>
      </c>
      <c r="J702" s="13" t="str" cm="1">
        <f t="array" ref="J702">_xlfn.IFS(K702=1,"Divorciado",L702=1,"Casado",M702=1,"Solteiro",N702=1,"Juntos",O702=1,"Viuvo")</f>
        <v>Divorciado</v>
      </c>
      <c r="K702" s="13">
        <v>1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1</v>
      </c>
      <c r="S702" s="13">
        <v>0</v>
      </c>
      <c r="T702" s="13">
        <v>0</v>
      </c>
      <c r="U702" s="13">
        <v>317</v>
      </c>
      <c r="V702" s="13" t="str" cm="1">
        <f t="array" ref="V702">_xlfn.IFS(U702&lt;=250,"0-R$250",U702&lt;=500,"251-R$500",U702&lt;=750,"501-R$750",U702&lt;=1000,"751-R$1000",U702&lt;=1250,"1001-R$1250",U702&lt;=1500,"1251-R$1500")</f>
        <v>251-R$500</v>
      </c>
      <c r="W702" s="13">
        <v>46</v>
      </c>
      <c r="X702" s="13" t="str" cm="1">
        <f t="array" ref="X702">_xlfn.IFS(W702 = 0, "0", W702&lt;=20, "até R$20",W702&lt;=40, "21 - R$40",W702&lt;=60, "41- R$60",W702&lt;=80, "61 - R$80", W702&lt;=100, "81 - R$100",W702&lt;=120, "101 - R$120",W702&lt;=140, "121 - R$140", W702&lt;=160, "141- R$160", W702&lt;=180, "161 - R$180", W702&lt;=200, "181-R$194")</f>
        <v>41- R$60</v>
      </c>
      <c r="Y702" s="13">
        <v>247</v>
      </c>
      <c r="Z702" s="13">
        <v>151</v>
      </c>
      <c r="AA702" s="13">
        <v>46</v>
      </c>
      <c r="AB702" s="13">
        <v>139</v>
      </c>
      <c r="AC702" s="13">
        <v>1</v>
      </c>
      <c r="AD702" s="13">
        <v>4</v>
      </c>
      <c r="AE702" s="13">
        <v>5</v>
      </c>
      <c r="AF702" s="13">
        <v>12</v>
      </c>
      <c r="AG702" s="13">
        <v>3</v>
      </c>
      <c r="AH702" s="13">
        <v>0</v>
      </c>
      <c r="AI702" s="13">
        <v>0</v>
      </c>
      <c r="AJ702" s="13">
        <v>0</v>
      </c>
      <c r="AK702" s="13">
        <v>0</v>
      </c>
      <c r="AL702" s="13">
        <v>0</v>
      </c>
      <c r="AM702" s="13">
        <v>0</v>
      </c>
      <c r="AN702" s="13">
        <v>0</v>
      </c>
      <c r="AO702" s="14">
        <v>0</v>
      </c>
      <c r="AP702" s="13">
        <v>3</v>
      </c>
      <c r="AQ702" s="13">
        <v>11</v>
      </c>
      <c r="AR702" s="15">
        <v>668</v>
      </c>
      <c r="AS702" s="15">
        <v>807</v>
      </c>
    </row>
    <row r="703" spans="1:45" x14ac:dyDescent="0.25">
      <c r="A703">
        <v>547</v>
      </c>
      <c r="B703" s="11">
        <f t="shared" si="10"/>
        <v>62466</v>
      </c>
      <c r="C703" s="16">
        <v>624660</v>
      </c>
      <c r="D703" s="17">
        <v>0</v>
      </c>
      <c r="E703" s="17">
        <v>1</v>
      </c>
      <c r="F703" s="17">
        <v>13</v>
      </c>
      <c r="G703" s="17">
        <v>50</v>
      </c>
      <c r="H703" s="13" t="str" cm="1">
        <f t="array" ref="H703">_xlfn.IFS(G703&lt;=20,"0-20",G703&lt;=30,"20-30",G703&lt;=40,"30-40",G703&lt;=50,"50-60",G703&lt;=60,"60-70",G703&lt;=70,"70-80",G703&lt;=80,"80-90")</f>
        <v>50-60</v>
      </c>
      <c r="I703" s="17">
        <v>2324</v>
      </c>
      <c r="J703" s="13" t="str" cm="1">
        <f t="array" ref="J703">_xlfn.IFS(K703=1,"Divorciado",L703=1,"Casado",M703=1,"Solteiro",N703=1,"Juntos",O703=1,"Viuvo")</f>
        <v>Casado</v>
      </c>
      <c r="K703" s="17">
        <v>0</v>
      </c>
      <c r="L703" s="17">
        <v>1</v>
      </c>
      <c r="M703" s="17">
        <v>0</v>
      </c>
      <c r="N703" s="17">
        <v>0</v>
      </c>
      <c r="O703" s="17">
        <v>0</v>
      </c>
      <c r="P703" s="17">
        <v>1</v>
      </c>
      <c r="Q703" s="17">
        <v>0</v>
      </c>
      <c r="R703" s="17">
        <v>0</v>
      </c>
      <c r="S703" s="17">
        <v>0</v>
      </c>
      <c r="T703" s="17">
        <v>0</v>
      </c>
      <c r="U703" s="17">
        <v>129</v>
      </c>
      <c r="V703" s="13" t="str" cm="1">
        <f t="array" ref="V703">_xlfn.IFS(U703&lt;=250,"0-R$250",U703&lt;=500,"251-R$500",U703&lt;=750,"501-R$750",U703&lt;=1000,"751-R$1000",U703&lt;=1250,"1001-R$1250",U703&lt;=1500,"1251-R$1500")</f>
        <v>0-R$250</v>
      </c>
      <c r="W703" s="17">
        <v>129</v>
      </c>
      <c r="X703" s="13" t="str" cm="1">
        <f t="array" ref="X703">_xlfn.IFS(W703 = 0, "0", W703&lt;=20, "até R$20",W703&lt;=40, "21 - R$40",W703&lt;=60, "41- R$60",W703&lt;=80, "61 - R$80", W703&lt;=100, "81 - R$100",W703&lt;=120, "101 - R$120",W703&lt;=140, "121 - R$140", W703&lt;=160, "141- R$160", W703&lt;=180, "161 - R$180", W703&lt;=200, "181-R$194")</f>
        <v>121 - R$140</v>
      </c>
      <c r="Y703" s="17">
        <v>259</v>
      </c>
      <c r="Z703" s="17">
        <v>168</v>
      </c>
      <c r="AA703" s="17">
        <v>121</v>
      </c>
      <c r="AB703" s="17">
        <v>83</v>
      </c>
      <c r="AC703" s="17">
        <v>5</v>
      </c>
      <c r="AD703" s="17">
        <v>6</v>
      </c>
      <c r="AE703" s="17">
        <v>3</v>
      </c>
      <c r="AF703" s="17">
        <v>12</v>
      </c>
      <c r="AG703" s="17">
        <v>4</v>
      </c>
      <c r="AH703" s="17">
        <v>0</v>
      </c>
      <c r="AI703" s="17">
        <v>0</v>
      </c>
      <c r="AJ703" s="17">
        <v>0</v>
      </c>
      <c r="AK703" s="17">
        <v>0</v>
      </c>
      <c r="AL703" s="17">
        <v>0</v>
      </c>
      <c r="AM703" s="17">
        <v>0</v>
      </c>
      <c r="AN703" s="17">
        <v>0</v>
      </c>
      <c r="AO703" s="18">
        <v>0</v>
      </c>
      <c r="AP703" s="17">
        <v>3</v>
      </c>
      <c r="AQ703" s="17">
        <v>11</v>
      </c>
      <c r="AR703" s="19">
        <v>723</v>
      </c>
      <c r="AS703" s="19">
        <v>806</v>
      </c>
    </row>
    <row r="704" spans="1:45" x14ac:dyDescent="0.25">
      <c r="A704">
        <v>615</v>
      </c>
      <c r="B704" s="11">
        <f t="shared" si="10"/>
        <v>62466</v>
      </c>
      <c r="C704" s="16">
        <v>624660</v>
      </c>
      <c r="D704" s="17">
        <v>0</v>
      </c>
      <c r="E704" s="17">
        <v>1</v>
      </c>
      <c r="F704" s="17">
        <v>13</v>
      </c>
      <c r="G704" s="17">
        <v>50</v>
      </c>
      <c r="H704" s="13" t="str" cm="1">
        <f t="array" ref="H704">_xlfn.IFS(G704&lt;=20,"0-20",G704&lt;=30,"20-30",G704&lt;=40,"30-40",G704&lt;=50,"50-60",G704&lt;=60,"60-70",G704&lt;=70,"70-80",G704&lt;=80,"80-90")</f>
        <v>50-60</v>
      </c>
      <c r="I704" s="17">
        <v>2324</v>
      </c>
      <c r="J704" s="13" t="str" cm="1">
        <f t="array" ref="J704">_xlfn.IFS(K704=1,"Divorciado",L704=1,"Casado",M704=1,"Solteiro",N704=1,"Juntos",O704=1,"Viuvo")</f>
        <v>Casado</v>
      </c>
      <c r="K704" s="17">
        <v>0</v>
      </c>
      <c r="L704" s="17">
        <v>1</v>
      </c>
      <c r="M704" s="17">
        <v>0</v>
      </c>
      <c r="N704" s="17">
        <v>0</v>
      </c>
      <c r="O704" s="17">
        <v>0</v>
      </c>
      <c r="P704" s="17">
        <v>1</v>
      </c>
      <c r="Q704" s="17">
        <v>0</v>
      </c>
      <c r="R704" s="17">
        <v>0</v>
      </c>
      <c r="S704" s="17">
        <v>0</v>
      </c>
      <c r="T704" s="17">
        <v>0</v>
      </c>
      <c r="U704" s="17">
        <v>129</v>
      </c>
      <c r="V704" s="13" t="str" cm="1">
        <f t="array" ref="V704">_xlfn.IFS(U704&lt;=250,"0-R$250",U704&lt;=500,"251-R$500",U704&lt;=750,"501-R$750",U704&lt;=1000,"751-R$1000",U704&lt;=1250,"1001-R$1250",U704&lt;=1500,"1251-R$1500")</f>
        <v>0-R$250</v>
      </c>
      <c r="W704" s="17">
        <v>129</v>
      </c>
      <c r="X704" s="13" t="str" cm="1">
        <f t="array" ref="X704">_xlfn.IFS(W704 = 0, "0", W704&lt;=20, "até R$20",W704&lt;=40, "21 - R$40",W704&lt;=60, "41- R$60",W704&lt;=80, "61 - R$80", W704&lt;=100, "81 - R$100",W704&lt;=120, "101 - R$120",W704&lt;=140, "121 - R$140", W704&lt;=160, "141- R$160", W704&lt;=180, "161 - R$180", W704&lt;=200, "181-R$194")</f>
        <v>121 - R$140</v>
      </c>
      <c r="Y704" s="17">
        <v>259</v>
      </c>
      <c r="Z704" s="17">
        <v>168</v>
      </c>
      <c r="AA704" s="17">
        <v>121</v>
      </c>
      <c r="AB704" s="17">
        <v>83</v>
      </c>
      <c r="AC704" s="17">
        <v>5</v>
      </c>
      <c r="AD704" s="17">
        <v>6</v>
      </c>
      <c r="AE704" s="17">
        <v>3</v>
      </c>
      <c r="AF704" s="17">
        <v>12</v>
      </c>
      <c r="AG704" s="17">
        <v>4</v>
      </c>
      <c r="AH704" s="17">
        <v>0</v>
      </c>
      <c r="AI704" s="17">
        <v>0</v>
      </c>
      <c r="AJ704" s="17">
        <v>0</v>
      </c>
      <c r="AK704" s="17">
        <v>0</v>
      </c>
      <c r="AL704" s="17">
        <v>0</v>
      </c>
      <c r="AM704" s="17">
        <v>0</v>
      </c>
      <c r="AN704" s="17">
        <v>0</v>
      </c>
      <c r="AO704" s="18">
        <v>0</v>
      </c>
      <c r="AP704" s="17">
        <v>3</v>
      </c>
      <c r="AQ704" s="17">
        <v>11</v>
      </c>
      <c r="AR704" s="19">
        <v>723</v>
      </c>
      <c r="AS704" s="19">
        <v>806</v>
      </c>
    </row>
    <row r="705" spans="1:45" x14ac:dyDescent="0.25">
      <c r="A705">
        <v>1591</v>
      </c>
      <c r="B705" s="11">
        <f t="shared" si="10"/>
        <v>55434</v>
      </c>
      <c r="C705" s="16">
        <v>554340</v>
      </c>
      <c r="D705" s="17">
        <v>1</v>
      </c>
      <c r="E705" s="17">
        <v>0</v>
      </c>
      <c r="F705" s="17">
        <v>21</v>
      </c>
      <c r="G705" s="17">
        <v>36</v>
      </c>
      <c r="H705" s="13" t="str" cm="1">
        <f t="array" ref="H705">_xlfn.IFS(G705&lt;=20,"0-20",G705&lt;=30,"20-30",G705&lt;=40,"30-40",G705&lt;=50,"50-60",G705&lt;=60,"60-70",G705&lt;=70,"70-80",G705&lt;=80,"80-90")</f>
        <v>30-40</v>
      </c>
      <c r="I705" s="17">
        <v>2426</v>
      </c>
      <c r="J705" s="13" t="str" cm="1">
        <f t="array" ref="J705">_xlfn.IFS(K705=1,"Divorciado",L705=1,"Casado",M705=1,"Solteiro",N705=1,"Juntos",O705=1,"Viuvo")</f>
        <v>Casado</v>
      </c>
      <c r="K705" s="17">
        <v>0</v>
      </c>
      <c r="L705" s="17">
        <v>1</v>
      </c>
      <c r="M705" s="17">
        <v>0</v>
      </c>
      <c r="N705" s="17">
        <v>0</v>
      </c>
      <c r="O705" s="17">
        <v>0</v>
      </c>
      <c r="P705" s="17">
        <v>0</v>
      </c>
      <c r="Q705" s="17">
        <v>0</v>
      </c>
      <c r="R705" s="17">
        <v>1</v>
      </c>
      <c r="S705" s="17">
        <v>0</v>
      </c>
      <c r="T705" s="17">
        <v>0</v>
      </c>
      <c r="U705" s="17">
        <v>238</v>
      </c>
      <c r="V705" s="13" t="str" cm="1">
        <f t="array" ref="V705">_xlfn.IFS(U705&lt;=250,"0-R$250",U705&lt;=500,"251-R$500",U705&lt;=750,"501-R$750",U705&lt;=1000,"751-R$1000",U705&lt;=1250,"1001-R$1250",U705&lt;=1500,"1251-R$1500")</f>
        <v>0-R$250</v>
      </c>
      <c r="W705" s="17">
        <v>115</v>
      </c>
      <c r="X705" s="13" t="str" cm="1">
        <f t="array" ref="X705">_xlfn.IFS(W705 = 0, "0", W705&lt;=20, "até R$20",W705&lt;=40, "21 - R$40",W705&lt;=60, "41- R$60",W705&lt;=80, "61 - R$80", W705&lt;=100, "81 - R$100",W705&lt;=120, "101 - R$120",W705&lt;=140, "121 - R$140", W705&lt;=160, "141- R$160", W705&lt;=180, "161 - R$180", W705&lt;=200, "181-R$194")</f>
        <v>101 - R$120</v>
      </c>
      <c r="Y705" s="17">
        <v>215</v>
      </c>
      <c r="Z705" s="17">
        <v>169</v>
      </c>
      <c r="AA705" s="17">
        <v>69</v>
      </c>
      <c r="AB705" s="17">
        <v>76</v>
      </c>
      <c r="AC705" s="17">
        <v>3</v>
      </c>
      <c r="AD705" s="17">
        <v>5</v>
      </c>
      <c r="AE705" s="17">
        <v>3</v>
      </c>
      <c r="AF705" s="17">
        <v>13</v>
      </c>
      <c r="AG705" s="17">
        <v>4</v>
      </c>
      <c r="AH705" s="17">
        <v>0</v>
      </c>
      <c r="AI705" s="17">
        <v>0</v>
      </c>
      <c r="AJ705" s="17">
        <v>0</v>
      </c>
      <c r="AK705" s="17">
        <v>0</v>
      </c>
      <c r="AL705" s="17">
        <v>0</v>
      </c>
      <c r="AM705" s="17">
        <v>0</v>
      </c>
      <c r="AN705" s="17">
        <v>0</v>
      </c>
      <c r="AO705" s="18">
        <v>0</v>
      </c>
      <c r="AP705" s="17">
        <v>3</v>
      </c>
      <c r="AQ705" s="17">
        <v>11</v>
      </c>
      <c r="AR705" s="19">
        <v>730</v>
      </c>
      <c r="AS705" s="19">
        <v>806</v>
      </c>
    </row>
    <row r="706" spans="1:45" x14ac:dyDescent="0.25">
      <c r="A706">
        <v>445</v>
      </c>
      <c r="B706" s="11">
        <f t="shared" ref="B706:B769" si="11">C706/10</f>
        <v>70165</v>
      </c>
      <c r="C706" s="16">
        <v>701650</v>
      </c>
      <c r="D706" s="17">
        <v>0</v>
      </c>
      <c r="E706" s="17">
        <v>0</v>
      </c>
      <c r="F706" s="17">
        <v>60</v>
      </c>
      <c r="G706" s="17">
        <v>71</v>
      </c>
      <c r="H706" s="13" t="str" cm="1">
        <f t="array" ref="H706">_xlfn.IFS(G706&lt;=20,"0-20",G706&lt;=30,"20-30",G706&lt;=40,"30-40",G706&lt;=50,"50-60",G706&lt;=60,"60-70",G706&lt;=70,"70-80",G706&lt;=80,"80-90")</f>
        <v>80-90</v>
      </c>
      <c r="I706" s="17">
        <v>2439</v>
      </c>
      <c r="J706" s="13" t="str" cm="1">
        <f t="array" ref="J706">_xlfn.IFS(K706=1,"Divorciado",L706=1,"Casado",M706=1,"Solteiro",N706=1,"Juntos",O706=1,"Viuvo")</f>
        <v>Viuvo</v>
      </c>
      <c r="K706" s="17">
        <v>0</v>
      </c>
      <c r="L706" s="17">
        <v>0</v>
      </c>
      <c r="M706" s="17">
        <v>0</v>
      </c>
      <c r="N706" s="17">
        <v>0</v>
      </c>
      <c r="O706" s="17">
        <v>1</v>
      </c>
      <c r="P706" s="17">
        <v>0</v>
      </c>
      <c r="Q706" s="17">
        <v>0</v>
      </c>
      <c r="R706" s="17">
        <v>1</v>
      </c>
      <c r="S706" s="17">
        <v>0</v>
      </c>
      <c r="T706" s="17">
        <v>0</v>
      </c>
      <c r="U706" s="17">
        <v>161</v>
      </c>
      <c r="V706" s="13" t="str" cm="1">
        <f t="array" ref="V706">_xlfn.IFS(U706&lt;=250,"0-R$250",U706&lt;=500,"251-R$500",U706&lt;=750,"501-R$750",U706&lt;=1000,"751-R$1000",U706&lt;=1250,"1001-R$1250",U706&lt;=1500,"1251-R$1500")</f>
        <v>0-R$250</v>
      </c>
      <c r="W706" s="17">
        <v>0</v>
      </c>
      <c r="X706" s="13" t="str" cm="1">
        <f t="array" ref="X706">_xlfn.IFS(W706 = 0, "0", W706&lt;=20, "até R$20",W706&lt;=40, "21 - R$40",W706&lt;=60, "41- R$60",W706&lt;=80, "61 - R$80", W706&lt;=100, "81 - R$100",W706&lt;=120, "101 - R$120",W706&lt;=140, "121 - R$140", W706&lt;=160, "141- R$160", W706&lt;=180, "161 - R$180", W706&lt;=200, "181-R$194")</f>
        <v>0</v>
      </c>
      <c r="Y706" s="17">
        <v>253</v>
      </c>
      <c r="Z706" s="17">
        <v>199</v>
      </c>
      <c r="AA706" s="17">
        <v>191</v>
      </c>
      <c r="AB706" s="17">
        <v>122</v>
      </c>
      <c r="AC706" s="17">
        <v>1</v>
      </c>
      <c r="AD706" s="17">
        <v>3</v>
      </c>
      <c r="AE706" s="17">
        <v>7</v>
      </c>
      <c r="AF706" s="17">
        <v>11</v>
      </c>
      <c r="AG706" s="17">
        <v>1</v>
      </c>
      <c r="AH706" s="17">
        <v>0</v>
      </c>
      <c r="AI706" s="17">
        <v>0</v>
      </c>
      <c r="AJ706" s="17">
        <v>0</v>
      </c>
      <c r="AK706" s="17">
        <v>0</v>
      </c>
      <c r="AL706" s="17">
        <v>0</v>
      </c>
      <c r="AM706" s="17">
        <v>0</v>
      </c>
      <c r="AN706" s="17">
        <v>0</v>
      </c>
      <c r="AO706" s="18">
        <v>0</v>
      </c>
      <c r="AP706" s="17">
        <v>3</v>
      </c>
      <c r="AQ706" s="17">
        <v>11</v>
      </c>
      <c r="AR706" s="19">
        <v>682</v>
      </c>
      <c r="AS706" s="19">
        <v>804</v>
      </c>
    </row>
    <row r="707" spans="1:45" x14ac:dyDescent="0.25">
      <c r="A707">
        <v>264</v>
      </c>
      <c r="B707" s="11">
        <f t="shared" si="11"/>
        <v>77882</v>
      </c>
      <c r="C707" s="12">
        <v>778820</v>
      </c>
      <c r="D707" s="13">
        <v>0</v>
      </c>
      <c r="E707" s="13">
        <v>0</v>
      </c>
      <c r="F707" s="13">
        <v>29</v>
      </c>
      <c r="G707" s="13">
        <v>39</v>
      </c>
      <c r="H707" s="13" t="str" cm="1">
        <f t="array" ref="H707">_xlfn.IFS(G707&lt;=20,"0-20",G707&lt;=30,"20-30",G707&lt;=40,"30-40",G707&lt;=50,"50-60",G707&lt;=60,"60-70",G707&lt;=70,"70-80",G707&lt;=80,"80-90")</f>
        <v>30-40</v>
      </c>
      <c r="I707" s="13">
        <v>2219</v>
      </c>
      <c r="J707" s="13" t="str" cm="1">
        <f t="array" ref="J707">_xlfn.IFS(K707=1,"Divorciado",L707=1,"Casado",M707=1,"Solteiro",N707=1,"Juntos",O707=1,"Viuvo")</f>
        <v>Juntos</v>
      </c>
      <c r="K707" s="13">
        <v>0</v>
      </c>
      <c r="L707" s="13">
        <v>0</v>
      </c>
      <c r="M707" s="13">
        <v>0</v>
      </c>
      <c r="N707" s="13">
        <v>1</v>
      </c>
      <c r="O707" s="13">
        <v>0</v>
      </c>
      <c r="P707" s="13">
        <v>0</v>
      </c>
      <c r="Q707" s="13">
        <v>0</v>
      </c>
      <c r="R707" s="13">
        <v>0</v>
      </c>
      <c r="S707" s="13">
        <v>1</v>
      </c>
      <c r="T707" s="13">
        <v>0</v>
      </c>
      <c r="U707" s="13">
        <v>68</v>
      </c>
      <c r="V707" s="13" t="str" cm="1">
        <f t="array" ref="V707">_xlfn.IFS(U707&lt;=250,"0-R$250",U707&lt;=500,"251-R$500",U707&lt;=750,"501-R$750",U707&lt;=1000,"751-R$1000",U707&lt;=1250,"1001-R$1250",U707&lt;=1500,"1251-R$1500")</f>
        <v>0-R$250</v>
      </c>
      <c r="W707" s="13">
        <v>129</v>
      </c>
      <c r="X707" s="13" t="str" cm="1">
        <f t="array" ref="X707">_xlfn.IFS(W707 = 0, "0", W707&lt;=20, "até R$20",W707&lt;=40, "21 - R$40",W707&lt;=60, "41- R$60",W707&lt;=80, "61 - R$80", W707&lt;=100, "81 - R$100",W707&lt;=120, "101 - R$120",W707&lt;=140, "121 - R$140", W707&lt;=160, "141- R$160", W707&lt;=180, "161 - R$180", W707&lt;=200, "181-R$194")</f>
        <v>121 - R$140</v>
      </c>
      <c r="Y707" s="13">
        <v>396</v>
      </c>
      <c r="Z707" s="13">
        <v>188</v>
      </c>
      <c r="AA707" s="13">
        <v>22</v>
      </c>
      <c r="AB707" s="13">
        <v>15</v>
      </c>
      <c r="AC707" s="13">
        <v>1</v>
      </c>
      <c r="AD707" s="13">
        <v>3</v>
      </c>
      <c r="AE707" s="13">
        <v>3</v>
      </c>
      <c r="AF707" s="13">
        <v>5</v>
      </c>
      <c r="AG707" s="13">
        <v>1</v>
      </c>
      <c r="AH707" s="13">
        <v>0</v>
      </c>
      <c r="AI707" s="13">
        <v>0</v>
      </c>
      <c r="AJ707" s="13">
        <v>0</v>
      </c>
      <c r="AK707" s="13">
        <v>0</v>
      </c>
      <c r="AL707" s="13">
        <v>0</v>
      </c>
      <c r="AM707" s="13">
        <v>0</v>
      </c>
      <c r="AN707" s="13">
        <v>0</v>
      </c>
      <c r="AO707" s="14">
        <v>0</v>
      </c>
      <c r="AP707" s="13">
        <v>3</v>
      </c>
      <c r="AQ707" s="13">
        <v>11</v>
      </c>
      <c r="AR707" s="15">
        <v>788</v>
      </c>
      <c r="AS707" s="15">
        <v>803</v>
      </c>
    </row>
    <row r="708" spans="1:45" x14ac:dyDescent="0.25">
      <c r="A708">
        <v>1613</v>
      </c>
      <c r="B708" s="11">
        <f t="shared" si="11"/>
        <v>69755</v>
      </c>
      <c r="C708" s="16">
        <v>697550</v>
      </c>
      <c r="D708" s="17">
        <v>0</v>
      </c>
      <c r="E708" s="17">
        <v>0</v>
      </c>
      <c r="F708" s="17">
        <v>23</v>
      </c>
      <c r="G708" s="17">
        <v>75</v>
      </c>
      <c r="H708" s="13" t="str" cm="1">
        <f t="array" ref="H708">_xlfn.IFS(G708&lt;=20,"0-20",G708&lt;=30,"20-30",G708&lt;=40,"30-40",G708&lt;=50,"50-60",G708&lt;=60,"60-70",G708&lt;=70,"70-80",G708&lt;=80,"80-90")</f>
        <v>80-90</v>
      </c>
      <c r="I708" s="17">
        <v>2429</v>
      </c>
      <c r="J708" s="13" t="str" cm="1">
        <f t="array" ref="J708">_xlfn.IFS(K708=1,"Divorciado",L708=1,"Casado",M708=1,"Solteiro",N708=1,"Juntos",O708=1,"Viuvo")</f>
        <v>Casado</v>
      </c>
      <c r="K708" s="17">
        <v>0</v>
      </c>
      <c r="L708" s="17">
        <v>1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1</v>
      </c>
      <c r="S708" s="17">
        <v>0</v>
      </c>
      <c r="T708" s="17">
        <v>0</v>
      </c>
      <c r="U708" s="17">
        <v>217</v>
      </c>
      <c r="V708" s="13" t="str" cm="1">
        <f t="array" ref="V708">_xlfn.IFS(U708&lt;=250,"0-R$250",U708&lt;=500,"251-R$500",U708&lt;=750,"501-R$750",U708&lt;=1000,"751-R$1000",U708&lt;=1250,"1001-R$1250",U708&lt;=1500,"1251-R$1500")</f>
        <v>0-R$250</v>
      </c>
      <c r="W708" s="17">
        <v>77</v>
      </c>
      <c r="X708" s="13" t="str" cm="1">
        <f t="array" ref="X708">_xlfn.IFS(W708 = 0, "0", W708&lt;=20, "até R$20",W708&lt;=40, "21 - R$40",W708&lt;=60, "41- R$60",W708&lt;=80, "61 - R$80", W708&lt;=100, "81 - R$100",W708&lt;=120, "101 - R$120",W708&lt;=140, "121 - R$140", W708&lt;=160, "141- R$160", W708&lt;=180, "161 - R$180", W708&lt;=200, "181-R$194")</f>
        <v>61 - R$80</v>
      </c>
      <c r="Y708" s="17">
        <v>373</v>
      </c>
      <c r="Z708" s="17">
        <v>111</v>
      </c>
      <c r="AA708" s="17">
        <v>23</v>
      </c>
      <c r="AB708" s="17">
        <v>93</v>
      </c>
      <c r="AC708" s="17">
        <v>1</v>
      </c>
      <c r="AD708" s="17">
        <v>3</v>
      </c>
      <c r="AE708" s="17">
        <v>6</v>
      </c>
      <c r="AF708" s="17">
        <v>12</v>
      </c>
      <c r="AG708" s="17">
        <v>1</v>
      </c>
      <c r="AH708" s="17">
        <v>0</v>
      </c>
      <c r="AI708" s="17">
        <v>0</v>
      </c>
      <c r="AJ708" s="17">
        <v>0</v>
      </c>
      <c r="AK708" s="17">
        <v>0</v>
      </c>
      <c r="AL708" s="17">
        <v>0</v>
      </c>
      <c r="AM708" s="17">
        <v>0</v>
      </c>
      <c r="AN708" s="17">
        <v>0</v>
      </c>
      <c r="AO708" s="18">
        <v>0</v>
      </c>
      <c r="AP708" s="17">
        <v>3</v>
      </c>
      <c r="AQ708" s="17">
        <v>11</v>
      </c>
      <c r="AR708" s="19">
        <v>708</v>
      </c>
      <c r="AS708" s="19">
        <v>801</v>
      </c>
    </row>
    <row r="709" spans="1:45" x14ac:dyDescent="0.25">
      <c r="A709">
        <v>1909</v>
      </c>
      <c r="B709" s="11">
        <f t="shared" si="11"/>
        <v>75903</v>
      </c>
      <c r="C709" s="16">
        <v>759030</v>
      </c>
      <c r="D709" s="17">
        <v>0</v>
      </c>
      <c r="E709" s="17">
        <v>1</v>
      </c>
      <c r="F709" s="17">
        <v>50</v>
      </c>
      <c r="G709" s="17">
        <v>69</v>
      </c>
      <c r="H709" s="13" t="str" cm="1">
        <f t="array" ref="H709">_xlfn.IFS(G709&lt;=20,"0-20",G709&lt;=30,"20-30",G709&lt;=40,"30-40",G709&lt;=50,"50-60",G709&lt;=60,"60-70",G709&lt;=70,"70-80",G709&lt;=80,"80-90")</f>
        <v>70-80</v>
      </c>
      <c r="I709" s="17">
        <v>2606</v>
      </c>
      <c r="J709" s="13" t="str" cm="1">
        <f t="array" ref="J709">_xlfn.IFS(K709=1,"Divorciado",L709=1,"Casado",M709=1,"Solteiro",N709=1,"Juntos",O709=1,"Viuvo")</f>
        <v>Casado</v>
      </c>
      <c r="K709" s="17">
        <v>0</v>
      </c>
      <c r="L709" s="17">
        <v>1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1</v>
      </c>
      <c r="S709" s="17">
        <v>0</v>
      </c>
      <c r="T709" s="17">
        <v>0</v>
      </c>
      <c r="U709" s="17">
        <v>340</v>
      </c>
      <c r="V709" s="13" t="str" cm="1">
        <f t="array" ref="V709">_xlfn.IFS(U709&lt;=250,"0-R$250",U709&lt;=500,"251-R$500",U709&lt;=750,"501-R$750",U709&lt;=1000,"751-R$1000",U709&lt;=1250,"1001-R$1250",U709&lt;=1500,"1251-R$1500")</f>
        <v>251-R$500</v>
      </c>
      <c r="W709" s="17">
        <v>108</v>
      </c>
      <c r="X709" s="13" t="str" cm="1">
        <f t="array" ref="X709">_xlfn.IFS(W709 = 0, "0", W709&lt;=20, "até R$20",W709&lt;=40, "21 - R$40",W709&lt;=60, "41- R$60",W709&lt;=80, "61 - R$80", W709&lt;=100, "81 - R$100",W709&lt;=120, "101 - R$120",W709&lt;=140, "121 - R$140", W709&lt;=160, "141- R$160", W709&lt;=180, "161 - R$180", W709&lt;=200, "181-R$194")</f>
        <v>101 - R$120</v>
      </c>
      <c r="Y709" s="17">
        <v>185</v>
      </c>
      <c r="Z709" s="17">
        <v>130</v>
      </c>
      <c r="AA709" s="17">
        <v>38</v>
      </c>
      <c r="AB709" s="17">
        <v>100</v>
      </c>
      <c r="AC709" s="17">
        <v>2</v>
      </c>
      <c r="AD709" s="17">
        <v>6</v>
      </c>
      <c r="AE709" s="17">
        <v>6</v>
      </c>
      <c r="AF709" s="17">
        <v>9</v>
      </c>
      <c r="AG709" s="17">
        <v>3</v>
      </c>
      <c r="AH709" s="17">
        <v>0</v>
      </c>
      <c r="AI709" s="17">
        <v>0</v>
      </c>
      <c r="AJ709" s="17">
        <v>0</v>
      </c>
      <c r="AK709" s="17">
        <v>0</v>
      </c>
      <c r="AL709" s="17">
        <v>0</v>
      </c>
      <c r="AM709" s="17">
        <v>0</v>
      </c>
      <c r="AN709" s="17">
        <v>0</v>
      </c>
      <c r="AO709" s="18">
        <v>0</v>
      </c>
      <c r="AP709" s="17">
        <v>3</v>
      </c>
      <c r="AQ709" s="17">
        <v>11</v>
      </c>
      <c r="AR709" s="19">
        <v>701</v>
      </c>
      <c r="AS709" s="19">
        <v>801</v>
      </c>
    </row>
    <row r="710" spans="1:45" x14ac:dyDescent="0.25">
      <c r="A710">
        <v>1922</v>
      </c>
      <c r="B710" s="11">
        <f t="shared" si="11"/>
        <v>83891</v>
      </c>
      <c r="C710" s="12">
        <v>838910</v>
      </c>
      <c r="D710" s="13">
        <v>0</v>
      </c>
      <c r="E710" s="13">
        <v>1</v>
      </c>
      <c r="F710" s="13">
        <v>24</v>
      </c>
      <c r="G710" s="13">
        <v>46</v>
      </c>
      <c r="H710" s="13" t="str" cm="1">
        <f t="array" ref="H710">_xlfn.IFS(G710&lt;=20,"0-20",G710&lt;=30,"20-30",G710&lt;=40,"30-40",G710&lt;=50,"50-60",G710&lt;=60,"60-70",G710&lt;=70,"70-80",G710&lt;=80,"80-90")</f>
        <v>50-60</v>
      </c>
      <c r="I710" s="13">
        <v>2168</v>
      </c>
      <c r="J710" s="13" t="str" cm="1">
        <f t="array" ref="J710">_xlfn.IFS(K710=1,"Divorciado",L710=1,"Casado",M710=1,"Solteiro",N710=1,"Juntos",O710=1,"Viuvo")</f>
        <v>Casado</v>
      </c>
      <c r="K710" s="13">
        <v>0</v>
      </c>
      <c r="L710" s="13">
        <v>1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1</v>
      </c>
      <c r="T710" s="13">
        <v>0</v>
      </c>
      <c r="U710" s="13">
        <v>217</v>
      </c>
      <c r="V710" s="13" t="str" cm="1">
        <f t="array" ref="V710">_xlfn.IFS(U710&lt;=250,"0-R$250",U710&lt;=500,"251-R$500",U710&lt;=750,"501-R$750",U710&lt;=1000,"751-R$1000",U710&lt;=1250,"1001-R$1250",U710&lt;=1500,"1251-R$1500")</f>
        <v>0-R$250</v>
      </c>
      <c r="W710" s="13">
        <v>38</v>
      </c>
      <c r="X710" s="13" t="str" cm="1">
        <f t="array" ref="X710">_xlfn.IFS(W710 = 0, "0", W710&lt;=20, "até R$20",W710&lt;=40, "21 - R$40",W710&lt;=60, "41- R$60",W710&lt;=80, "61 - R$80", W710&lt;=100, "81 - R$100",W710&lt;=120, "101 - R$120",W710&lt;=140, "121 - R$140", W710&lt;=160, "141- R$160", W710&lt;=180, "161 - R$180", W710&lt;=200, "181-R$194")</f>
        <v>21 - R$40</v>
      </c>
      <c r="Y710" s="13">
        <v>350</v>
      </c>
      <c r="Z710" s="13">
        <v>111</v>
      </c>
      <c r="AA710" s="13">
        <v>85</v>
      </c>
      <c r="AB710" s="13">
        <v>15</v>
      </c>
      <c r="AC710" s="13">
        <v>1</v>
      </c>
      <c r="AD710" s="13">
        <v>4</v>
      </c>
      <c r="AE710" s="13">
        <v>7</v>
      </c>
      <c r="AF710" s="13">
        <v>10</v>
      </c>
      <c r="AG710" s="13">
        <v>1</v>
      </c>
      <c r="AH710" s="13">
        <v>0</v>
      </c>
      <c r="AI710" s="13">
        <v>0</v>
      </c>
      <c r="AJ710" s="13">
        <v>0</v>
      </c>
      <c r="AK710" s="13">
        <v>0</v>
      </c>
      <c r="AL710" s="13">
        <v>0</v>
      </c>
      <c r="AM710" s="13">
        <v>0</v>
      </c>
      <c r="AN710" s="13">
        <v>0</v>
      </c>
      <c r="AO710" s="14">
        <v>0</v>
      </c>
      <c r="AP710" s="13">
        <v>3</v>
      </c>
      <c r="AQ710" s="13">
        <v>11</v>
      </c>
      <c r="AR710" s="15">
        <v>786</v>
      </c>
      <c r="AS710" s="15">
        <v>801</v>
      </c>
    </row>
    <row r="711" spans="1:45" x14ac:dyDescent="0.25">
      <c r="A711">
        <v>920</v>
      </c>
      <c r="B711" s="11">
        <f t="shared" si="11"/>
        <v>60554</v>
      </c>
      <c r="C711" s="12">
        <v>605540</v>
      </c>
      <c r="D711" s="13">
        <v>1</v>
      </c>
      <c r="E711" s="13">
        <v>0</v>
      </c>
      <c r="F711" s="13">
        <v>8</v>
      </c>
      <c r="G711" s="13">
        <v>45</v>
      </c>
      <c r="H711" s="13" t="str" cm="1">
        <f t="array" ref="H711">_xlfn.IFS(G711&lt;=20,"0-20",G711&lt;=30,"20-30",G711&lt;=40,"30-40",G711&lt;=50,"50-60",G711&lt;=60,"60-70",G711&lt;=70,"70-80",G711&lt;=80,"80-90")</f>
        <v>50-60</v>
      </c>
      <c r="I711" s="13">
        <v>2483</v>
      </c>
      <c r="J711" s="13" t="str" cm="1">
        <f t="array" ref="J711">_xlfn.IFS(K711=1,"Divorciado",L711=1,"Casado",M711=1,"Solteiro",N711=1,"Juntos",O711=1,"Viuvo")</f>
        <v>Divorciado</v>
      </c>
      <c r="K711" s="13">
        <v>1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1</v>
      </c>
      <c r="U711" s="13">
        <v>588</v>
      </c>
      <c r="V711" s="13" t="str" cm="1">
        <f t="array" ref="V711">_xlfn.IFS(U711&lt;=250,"0-R$250",U711&lt;=500,"251-R$500",U711&lt;=750,"501-R$750",U711&lt;=1000,"751-R$1000",U711&lt;=1250,"1001-R$1250",U711&lt;=1500,"1251-R$1500")</f>
        <v>501-R$750</v>
      </c>
      <c r="W711" s="13">
        <v>7</v>
      </c>
      <c r="X711" s="13" t="str" cm="1">
        <f t="array" ref="X711">_xlfn.IFS(W711 = 0, "0", W711&lt;=20, "até R$20",W711&lt;=40, "21 - R$40",W711&lt;=60, "41- R$60",W711&lt;=80, "61 - R$80", W711&lt;=100, "81 - R$100",W711&lt;=120, "101 - R$120",W711&lt;=140, "121 - R$140", W711&lt;=160, "141- R$160", W711&lt;=180, "161 - R$180", W711&lt;=200, "181-R$194")</f>
        <v>até R$20</v>
      </c>
      <c r="Y711" s="13">
        <v>76</v>
      </c>
      <c r="Z711" s="13">
        <v>110</v>
      </c>
      <c r="AA711" s="13">
        <v>15</v>
      </c>
      <c r="AB711" s="13">
        <v>15</v>
      </c>
      <c r="AC711" s="13">
        <v>2</v>
      </c>
      <c r="AD711" s="13">
        <v>8</v>
      </c>
      <c r="AE711" s="13">
        <v>4</v>
      </c>
      <c r="AF711" s="13">
        <v>9</v>
      </c>
      <c r="AG711" s="13">
        <v>6</v>
      </c>
      <c r="AH711" s="13">
        <v>0</v>
      </c>
      <c r="AI711" s="13">
        <v>0</v>
      </c>
      <c r="AJ711" s="13">
        <v>0</v>
      </c>
      <c r="AK711" s="13">
        <v>0</v>
      </c>
      <c r="AL711" s="13">
        <v>0</v>
      </c>
      <c r="AM711" s="13">
        <v>0</v>
      </c>
      <c r="AN711" s="13">
        <v>0</v>
      </c>
      <c r="AO711" s="14">
        <v>0</v>
      </c>
      <c r="AP711" s="13">
        <v>3</v>
      </c>
      <c r="AQ711" s="13">
        <v>11</v>
      </c>
      <c r="AR711" s="15">
        <v>781</v>
      </c>
      <c r="AS711" s="15">
        <v>796</v>
      </c>
    </row>
    <row r="712" spans="1:45" x14ac:dyDescent="0.25">
      <c r="A712">
        <v>263</v>
      </c>
      <c r="B712" s="11">
        <f t="shared" si="11"/>
        <v>60714</v>
      </c>
      <c r="C712" s="16">
        <v>607140</v>
      </c>
      <c r="D712" s="17">
        <v>0</v>
      </c>
      <c r="E712" s="17">
        <v>0</v>
      </c>
      <c r="F712" s="17">
        <v>56</v>
      </c>
      <c r="G712" s="17">
        <v>64</v>
      </c>
      <c r="H712" s="13" t="str" cm="1">
        <f t="array" ref="H712">_xlfn.IFS(G712&lt;=20,"0-20",G712&lt;=30,"20-30",G712&lt;=40,"30-40",G712&lt;=50,"50-60",G712&lt;=60,"60-70",G712&lt;=70,"70-80",G712&lt;=80,"80-90")</f>
        <v>70-80</v>
      </c>
      <c r="I712" s="17">
        <v>2687</v>
      </c>
      <c r="J712" s="13" t="str" cm="1">
        <f t="array" ref="J712">_xlfn.IFS(K712=1,"Divorciado",L712=1,"Casado",M712=1,"Solteiro",N712=1,"Juntos",O712=1,"Viuvo")</f>
        <v>Solteiro</v>
      </c>
      <c r="K712" s="17">
        <v>0</v>
      </c>
      <c r="L712" s="17">
        <v>0</v>
      </c>
      <c r="M712" s="17">
        <v>1</v>
      </c>
      <c r="N712" s="17">
        <v>0</v>
      </c>
      <c r="O712" s="17">
        <v>0</v>
      </c>
      <c r="P712" s="17">
        <v>0</v>
      </c>
      <c r="Q712" s="17">
        <v>0</v>
      </c>
      <c r="R712" s="17">
        <v>1</v>
      </c>
      <c r="S712" s="17">
        <v>0</v>
      </c>
      <c r="T712" s="17">
        <v>0</v>
      </c>
      <c r="U712" s="17">
        <v>216</v>
      </c>
      <c r="V712" s="13" t="str" cm="1">
        <f t="array" ref="V712">_xlfn.IFS(U712&lt;=250,"0-R$250",U712&lt;=500,"251-R$500",U712&lt;=750,"501-R$750",U712&lt;=1000,"751-R$1000",U712&lt;=1250,"1001-R$1250",U712&lt;=1500,"1251-R$1500")</f>
        <v>0-R$250</v>
      </c>
      <c r="W712" s="17">
        <v>162</v>
      </c>
      <c r="X712" s="13" t="str" cm="1">
        <f t="array" ref="X712">_xlfn.IFS(W712 = 0, "0", W712&lt;=20, "até R$20",W712&lt;=40, "21 - R$40",W712&lt;=60, "41- R$60",W712&lt;=80, "61 - R$80", W712&lt;=100, "81 - R$100",W712&lt;=120, "101 - R$120",W712&lt;=140, "121 - R$140", W712&lt;=160, "141- R$160", W712&lt;=180, "161 - R$180", W712&lt;=200, "181-R$194")</f>
        <v>161 - R$180</v>
      </c>
      <c r="Y712" s="17">
        <v>224</v>
      </c>
      <c r="Z712" s="17">
        <v>101</v>
      </c>
      <c r="AA712" s="17">
        <v>92</v>
      </c>
      <c r="AB712" s="17">
        <v>162</v>
      </c>
      <c r="AC712" s="17">
        <v>2</v>
      </c>
      <c r="AD712" s="17">
        <v>7</v>
      </c>
      <c r="AE712" s="17">
        <v>4</v>
      </c>
      <c r="AF712" s="17">
        <v>10</v>
      </c>
      <c r="AG712" s="17">
        <v>5</v>
      </c>
      <c r="AH712" s="17">
        <v>0</v>
      </c>
      <c r="AI712" s="17">
        <v>0</v>
      </c>
      <c r="AJ712" s="17">
        <v>0</v>
      </c>
      <c r="AK712" s="17">
        <v>0</v>
      </c>
      <c r="AL712" s="17">
        <v>0</v>
      </c>
      <c r="AM712" s="17">
        <v>0</v>
      </c>
      <c r="AN712" s="17">
        <v>1</v>
      </c>
      <c r="AO712" s="18">
        <v>0</v>
      </c>
      <c r="AP712" s="17">
        <v>3</v>
      </c>
      <c r="AQ712" s="17">
        <v>11</v>
      </c>
      <c r="AR712" s="19">
        <v>633</v>
      </c>
      <c r="AS712" s="19">
        <v>795</v>
      </c>
    </row>
    <row r="713" spans="1:45" x14ac:dyDescent="0.25">
      <c r="A713">
        <v>2171</v>
      </c>
      <c r="B713" s="11">
        <f t="shared" si="11"/>
        <v>73807</v>
      </c>
      <c r="C713" s="16">
        <v>738070</v>
      </c>
      <c r="D713" s="17">
        <v>0</v>
      </c>
      <c r="E713" s="17">
        <v>1</v>
      </c>
      <c r="F713" s="17">
        <v>88</v>
      </c>
      <c r="G713" s="17">
        <v>42</v>
      </c>
      <c r="H713" s="13" t="str" cm="1">
        <f t="array" ref="H713">_xlfn.IFS(G713&lt;=20,"0-20",G713&lt;=30,"20-30",G713&lt;=40,"30-40",G713&lt;=50,"50-60",G713&lt;=60,"60-70",G713&lt;=70,"70-80",G713&lt;=80,"80-90")</f>
        <v>50-60</v>
      </c>
      <c r="I713" s="17">
        <v>2702</v>
      </c>
      <c r="J713" s="13" t="str" cm="1">
        <f t="array" ref="J713">_xlfn.IFS(K713=1,"Divorciado",L713=1,"Casado",M713=1,"Solteiro",N713=1,"Juntos",O713=1,"Viuvo")</f>
        <v>Casado</v>
      </c>
      <c r="K713" s="17">
        <v>0</v>
      </c>
      <c r="L713" s="17">
        <v>1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1</v>
      </c>
      <c r="S713" s="17">
        <v>0</v>
      </c>
      <c r="T713" s="17">
        <v>0</v>
      </c>
      <c r="U713" s="17">
        <v>366</v>
      </c>
      <c r="V713" s="13" t="str" cm="1">
        <f t="array" ref="V713">_xlfn.IFS(U713&lt;=250,"0-R$250",U713&lt;=500,"251-R$500",U713&lt;=750,"501-R$750",U713&lt;=1000,"751-R$1000",U713&lt;=1250,"1001-R$1250",U713&lt;=1500,"1251-R$1500")</f>
        <v>251-R$500</v>
      </c>
      <c r="W713" s="17">
        <v>124</v>
      </c>
      <c r="X713" s="13" t="str" cm="1">
        <f t="array" ref="X713">_xlfn.IFS(W713 = 0, "0", W713&lt;=20, "até R$20",W713&lt;=40, "21 - R$40",W713&lt;=60, "41- R$60",W713&lt;=80, "61 - R$80", W713&lt;=100, "81 - R$100",W713&lt;=120, "101 - R$120",W713&lt;=140, "121 - R$140", W713&lt;=160, "141- R$160", W713&lt;=180, "161 - R$180", W713&lt;=200, "181-R$194")</f>
        <v>121 - R$140</v>
      </c>
      <c r="Y713" s="17">
        <v>156</v>
      </c>
      <c r="Z713" s="17">
        <v>71</v>
      </c>
      <c r="AA713" s="17">
        <v>78</v>
      </c>
      <c r="AB713" s="17">
        <v>54</v>
      </c>
      <c r="AC713" s="17">
        <v>2</v>
      </c>
      <c r="AD713" s="17">
        <v>5</v>
      </c>
      <c r="AE713" s="17">
        <v>5</v>
      </c>
      <c r="AF713" s="17">
        <v>11</v>
      </c>
      <c r="AG713" s="17">
        <v>2</v>
      </c>
      <c r="AH713" s="17">
        <v>0</v>
      </c>
      <c r="AI713" s="17">
        <v>0</v>
      </c>
      <c r="AJ713" s="17">
        <v>0</v>
      </c>
      <c r="AK713" s="17">
        <v>0</v>
      </c>
      <c r="AL713" s="17">
        <v>0</v>
      </c>
      <c r="AM713" s="17">
        <v>0</v>
      </c>
      <c r="AN713" s="17">
        <v>0</v>
      </c>
      <c r="AO713" s="18">
        <v>0</v>
      </c>
      <c r="AP713" s="17">
        <v>3</v>
      </c>
      <c r="AQ713" s="17">
        <v>11</v>
      </c>
      <c r="AR713" s="19">
        <v>741</v>
      </c>
      <c r="AS713" s="19">
        <v>795</v>
      </c>
    </row>
    <row r="714" spans="1:45" x14ac:dyDescent="0.25">
      <c r="A714">
        <v>794</v>
      </c>
      <c r="B714" s="11">
        <f t="shared" si="11"/>
        <v>52750</v>
      </c>
      <c r="C714" s="12">
        <v>527500</v>
      </c>
      <c r="D714" s="13">
        <v>0</v>
      </c>
      <c r="E714" s="13">
        <v>1</v>
      </c>
      <c r="F714" s="13">
        <v>72</v>
      </c>
      <c r="G714" s="13">
        <v>65</v>
      </c>
      <c r="H714" s="13" t="str" cm="1">
        <f t="array" ref="H714">_xlfn.IFS(G714&lt;=20,"0-20",G714&lt;=30,"20-30",G714&lt;=40,"30-40",G714&lt;=50,"50-60",G714&lt;=60,"60-70",G714&lt;=70,"70-80",G714&lt;=80,"80-90")</f>
        <v>70-80</v>
      </c>
      <c r="I714" s="13">
        <v>2669</v>
      </c>
      <c r="J714" s="13" t="str" cm="1">
        <f t="array" ref="J714">_xlfn.IFS(K714=1,"Divorciado",L714=1,"Casado",M714=1,"Solteiro",N714=1,"Juntos",O714=1,"Viuvo")</f>
        <v>Casado</v>
      </c>
      <c r="K714" s="13">
        <v>0</v>
      </c>
      <c r="L714" s="13">
        <v>1</v>
      </c>
      <c r="M714" s="13">
        <v>0</v>
      </c>
      <c r="N714" s="13">
        <v>0</v>
      </c>
      <c r="O714" s="13">
        <v>0</v>
      </c>
      <c r="P714" s="13">
        <v>0</v>
      </c>
      <c r="Q714" s="13">
        <v>0</v>
      </c>
      <c r="R714" s="13">
        <v>0</v>
      </c>
      <c r="S714" s="13">
        <v>1</v>
      </c>
      <c r="T714" s="13">
        <v>0</v>
      </c>
      <c r="U714" s="13">
        <v>393</v>
      </c>
      <c r="V714" s="13" t="str" cm="1">
        <f t="array" ref="V714">_xlfn.IFS(U714&lt;=250,"0-R$250",U714&lt;=500,"251-R$500",U714&lt;=750,"501-R$750",U714&lt;=1000,"751-R$1000",U714&lt;=1250,"1001-R$1250",U714&lt;=1500,"1251-R$1500")</f>
        <v>251-R$500</v>
      </c>
      <c r="W714" s="13">
        <v>0</v>
      </c>
      <c r="X714" s="13" t="str" cm="1">
        <f t="array" ref="X714">_xlfn.IFS(W714 = 0, "0", W714&lt;=20, "até R$20",W714&lt;=40, "21 - R$40",W714&lt;=60, "41- R$60",W714&lt;=80, "61 - R$80", W714&lt;=100, "81 - R$100",W714&lt;=120, "101 - R$120",W714&lt;=140, "121 - R$140", W714&lt;=160, "141- R$160", W714&lt;=180, "161 - R$180", W714&lt;=200, "181-R$194")</f>
        <v>0</v>
      </c>
      <c r="Y714" s="13">
        <v>239</v>
      </c>
      <c r="Z714" s="13">
        <v>90</v>
      </c>
      <c r="AA714" s="13">
        <v>69</v>
      </c>
      <c r="AB714" s="13">
        <v>69</v>
      </c>
      <c r="AC714" s="13">
        <v>6</v>
      </c>
      <c r="AD714" s="13">
        <v>5</v>
      </c>
      <c r="AE714" s="13">
        <v>7</v>
      </c>
      <c r="AF714" s="13">
        <v>9</v>
      </c>
      <c r="AG714" s="13">
        <v>4</v>
      </c>
      <c r="AH714" s="13">
        <v>0</v>
      </c>
      <c r="AI714" s="13">
        <v>0</v>
      </c>
      <c r="AJ714" s="13">
        <v>0</v>
      </c>
      <c r="AK714" s="13">
        <v>0</v>
      </c>
      <c r="AL714" s="13">
        <v>0</v>
      </c>
      <c r="AM714" s="13">
        <v>0</v>
      </c>
      <c r="AN714" s="13">
        <v>0</v>
      </c>
      <c r="AO714" s="14">
        <v>0</v>
      </c>
      <c r="AP714" s="13">
        <v>3</v>
      </c>
      <c r="AQ714" s="13">
        <v>11</v>
      </c>
      <c r="AR714" s="15">
        <v>722</v>
      </c>
      <c r="AS714" s="15">
        <v>791</v>
      </c>
    </row>
    <row r="715" spans="1:45" x14ac:dyDescent="0.25">
      <c r="A715">
        <v>1216</v>
      </c>
      <c r="B715" s="11">
        <f t="shared" si="11"/>
        <v>64722</v>
      </c>
      <c r="C715" s="12">
        <v>647220</v>
      </c>
      <c r="D715" s="13">
        <v>1</v>
      </c>
      <c r="E715" s="13">
        <v>0</v>
      </c>
      <c r="F715" s="13">
        <v>47</v>
      </c>
      <c r="G715" s="13">
        <v>49</v>
      </c>
      <c r="H715" s="13" t="str" cm="1">
        <f t="array" ref="H715">_xlfn.IFS(G715&lt;=20,"0-20",G715&lt;=30,"20-30",G715&lt;=40,"30-40",G715&lt;=50,"50-60",G715&lt;=60,"60-70",G715&lt;=70,"70-80",G715&lt;=80,"80-90")</f>
        <v>50-60</v>
      </c>
      <c r="I715" s="13">
        <v>2193</v>
      </c>
      <c r="J715" s="13" t="str" cm="1">
        <f t="array" ref="J715">_xlfn.IFS(K715=1,"Divorciado",L715=1,"Casado",M715=1,"Solteiro",N715=1,"Juntos",O715=1,"Viuvo")</f>
        <v>Casado</v>
      </c>
      <c r="K715" s="13">
        <v>0</v>
      </c>
      <c r="L715" s="13">
        <v>1</v>
      </c>
      <c r="M715" s="13">
        <v>0</v>
      </c>
      <c r="N715" s="13">
        <v>0</v>
      </c>
      <c r="O715" s="13">
        <v>0</v>
      </c>
      <c r="P715" s="13">
        <v>0</v>
      </c>
      <c r="Q715" s="13">
        <v>0</v>
      </c>
      <c r="R715" s="13">
        <v>1</v>
      </c>
      <c r="S715" s="13">
        <v>0</v>
      </c>
      <c r="T715" s="13">
        <v>0</v>
      </c>
      <c r="U715" s="13">
        <v>303</v>
      </c>
      <c r="V715" s="13" t="str" cm="1">
        <f t="array" ref="V715">_xlfn.IFS(U715&lt;=250,"0-R$250",U715&lt;=500,"251-R$500",U715&lt;=750,"501-R$750",U715&lt;=1000,"751-R$1000",U715&lt;=1250,"1001-R$1250",U715&lt;=1500,"1251-R$1500")</f>
        <v>251-R$500</v>
      </c>
      <c r="W715" s="13">
        <v>0</v>
      </c>
      <c r="X715" s="13" t="str" cm="1">
        <f t="array" ref="X715">_xlfn.IFS(W715 = 0, "0", W715&lt;=20, "até R$20",W715&lt;=40, "21 - R$40",W715&lt;=60, "41- R$60",W715&lt;=80, "61 - R$80", W715&lt;=100, "81 - R$100",W715&lt;=120, "101 - R$120",W715&lt;=140, "121 - R$140", W715&lt;=160, "141- R$160", W715&lt;=180, "161 - R$180", W715&lt;=200, "181-R$194")</f>
        <v>0</v>
      </c>
      <c r="Y715" s="13">
        <v>280</v>
      </c>
      <c r="Z715" s="13">
        <v>60</v>
      </c>
      <c r="AA715" s="13">
        <v>147</v>
      </c>
      <c r="AB715" s="13">
        <v>15</v>
      </c>
      <c r="AC715" s="13">
        <v>4</v>
      </c>
      <c r="AD715" s="13">
        <v>8</v>
      </c>
      <c r="AE715" s="13">
        <v>2</v>
      </c>
      <c r="AF715" s="13">
        <v>11</v>
      </c>
      <c r="AG715" s="13">
        <v>6</v>
      </c>
      <c r="AH715" s="13">
        <v>0</v>
      </c>
      <c r="AI715" s="13">
        <v>0</v>
      </c>
      <c r="AJ715" s="13">
        <v>0</v>
      </c>
      <c r="AK715" s="13">
        <v>0</v>
      </c>
      <c r="AL715" s="13">
        <v>0</v>
      </c>
      <c r="AM715" s="13">
        <v>0</v>
      </c>
      <c r="AN715" s="13">
        <v>0</v>
      </c>
      <c r="AO715" s="14">
        <v>0</v>
      </c>
      <c r="AP715" s="13">
        <v>3</v>
      </c>
      <c r="AQ715" s="13">
        <v>11</v>
      </c>
      <c r="AR715" s="15">
        <v>775</v>
      </c>
      <c r="AS715" s="15">
        <v>790</v>
      </c>
    </row>
    <row r="716" spans="1:45" x14ac:dyDescent="0.25">
      <c r="A716">
        <v>1863</v>
      </c>
      <c r="B716" s="11">
        <f t="shared" si="11"/>
        <v>76532</v>
      </c>
      <c r="C716" s="16">
        <v>765320</v>
      </c>
      <c r="D716" s="17">
        <v>1</v>
      </c>
      <c r="E716" s="17">
        <v>1</v>
      </c>
      <c r="F716" s="17">
        <v>38</v>
      </c>
      <c r="G716" s="17">
        <v>45</v>
      </c>
      <c r="H716" s="13" t="str" cm="1">
        <f t="array" ref="H716">_xlfn.IFS(G716&lt;=20,"0-20",G716&lt;=30,"20-30",G716&lt;=40,"30-40",G716&lt;=50,"50-60",G716&lt;=60,"60-70",G716&lt;=70,"70-80",G716&lt;=80,"80-90")</f>
        <v>50-60</v>
      </c>
      <c r="I716" s="17">
        <v>2452</v>
      </c>
      <c r="J716" s="13" t="str" cm="1">
        <f t="array" ref="J716">_xlfn.IFS(K716=1,"Divorciado",L716=1,"Casado",M716=1,"Solteiro",N716=1,"Juntos",O716=1,"Viuvo")</f>
        <v>Juntos</v>
      </c>
      <c r="K716" s="17">
        <v>0</v>
      </c>
      <c r="L716" s="17">
        <v>0</v>
      </c>
      <c r="M716" s="17">
        <v>0</v>
      </c>
      <c r="N716" s="17">
        <v>1</v>
      </c>
      <c r="O716" s="17">
        <v>0</v>
      </c>
      <c r="P716" s="17">
        <v>0</v>
      </c>
      <c r="Q716" s="17">
        <v>0</v>
      </c>
      <c r="R716" s="17">
        <v>1</v>
      </c>
      <c r="S716" s="17">
        <v>0</v>
      </c>
      <c r="T716" s="17">
        <v>0</v>
      </c>
      <c r="U716" s="17">
        <v>355</v>
      </c>
      <c r="V716" s="13" t="str" cm="1">
        <f t="array" ref="V716">_xlfn.IFS(U716&lt;=250,"0-R$250",U716&lt;=500,"251-R$500",U716&lt;=750,"501-R$750",U716&lt;=1000,"751-R$1000",U716&lt;=1250,"1001-R$1250",U716&lt;=1500,"1251-R$1500")</f>
        <v>251-R$500</v>
      </c>
      <c r="W716" s="17">
        <v>30</v>
      </c>
      <c r="X716" s="13" t="str" cm="1">
        <f t="array" ref="X716">_xlfn.IFS(W716 = 0, "0", W716&lt;=20, "até R$20",W716&lt;=40, "21 - R$40",W716&lt;=60, "41- R$60",W716&lt;=80, "61 - R$80", W716&lt;=100, "81 - R$100",W716&lt;=120, "101 - R$120",W716&lt;=140, "121 - R$140", W716&lt;=160, "141- R$160", W716&lt;=180, "161 - R$180", W716&lt;=200, "181-R$194")</f>
        <v>21 - R$40</v>
      </c>
      <c r="Y716" s="17">
        <v>177</v>
      </c>
      <c r="Z716" s="17">
        <v>90</v>
      </c>
      <c r="AA716" s="17">
        <v>138</v>
      </c>
      <c r="AB716" s="17">
        <v>30</v>
      </c>
      <c r="AC716" s="17">
        <v>4</v>
      </c>
      <c r="AD716" s="17">
        <v>9</v>
      </c>
      <c r="AE716" s="17">
        <v>5</v>
      </c>
      <c r="AF716" s="17">
        <v>7</v>
      </c>
      <c r="AG716" s="17">
        <v>5</v>
      </c>
      <c r="AH716" s="17">
        <v>0</v>
      </c>
      <c r="AI716" s="17">
        <v>0</v>
      </c>
      <c r="AJ716" s="17">
        <v>0</v>
      </c>
      <c r="AK716" s="17">
        <v>0</v>
      </c>
      <c r="AL716" s="17">
        <v>0</v>
      </c>
      <c r="AM716" s="17">
        <v>0</v>
      </c>
      <c r="AN716" s="17">
        <v>0</v>
      </c>
      <c r="AO716" s="18">
        <v>0</v>
      </c>
      <c r="AP716" s="17">
        <v>3</v>
      </c>
      <c r="AQ716" s="17">
        <v>11</v>
      </c>
      <c r="AR716" s="19">
        <v>760</v>
      </c>
      <c r="AS716" s="19">
        <v>790</v>
      </c>
    </row>
    <row r="717" spans="1:45" x14ac:dyDescent="0.25">
      <c r="A717">
        <v>987</v>
      </c>
      <c r="B717" s="11">
        <f t="shared" si="11"/>
        <v>65569</v>
      </c>
      <c r="C717" s="16">
        <v>655690</v>
      </c>
      <c r="D717" s="17">
        <v>0</v>
      </c>
      <c r="E717" s="17">
        <v>1</v>
      </c>
      <c r="F717" s="17">
        <v>96</v>
      </c>
      <c r="G717" s="17">
        <v>67</v>
      </c>
      <c r="H717" s="13" t="str" cm="1">
        <f t="array" ref="H717">_xlfn.IFS(G717&lt;=20,"0-20",G717&lt;=30,"20-30",G717&lt;=40,"30-40",G717&lt;=50,"50-60",G717&lt;=60,"60-70",G717&lt;=70,"70-80",G717&lt;=80,"80-90")</f>
        <v>70-80</v>
      </c>
      <c r="I717" s="17">
        <v>2760</v>
      </c>
      <c r="J717" s="13" t="str" cm="1">
        <f t="array" ref="J717">_xlfn.IFS(K717=1,"Divorciado",L717=1,"Casado",M717=1,"Solteiro",N717=1,"Juntos",O717=1,"Viuvo")</f>
        <v>Casado</v>
      </c>
      <c r="K717" s="17">
        <v>0</v>
      </c>
      <c r="L717" s="17">
        <v>1</v>
      </c>
      <c r="M717" s="17">
        <v>0</v>
      </c>
      <c r="N717" s="17">
        <v>0</v>
      </c>
      <c r="O717" s="17">
        <v>0</v>
      </c>
      <c r="P717" s="17">
        <v>0</v>
      </c>
      <c r="Q717" s="17">
        <v>0</v>
      </c>
      <c r="R717" s="17">
        <v>0</v>
      </c>
      <c r="S717" s="17">
        <v>1</v>
      </c>
      <c r="T717" s="17">
        <v>0</v>
      </c>
      <c r="U717" s="17">
        <v>397</v>
      </c>
      <c r="V717" s="13" t="str" cm="1">
        <f t="array" ref="V717">_xlfn.IFS(U717&lt;=250,"0-R$250",U717&lt;=500,"251-R$500",U717&lt;=750,"501-R$750",U717&lt;=1000,"751-R$1000",U717&lt;=1250,"1001-R$1250",U717&lt;=1500,"1251-R$1500")</f>
        <v>251-R$500</v>
      </c>
      <c r="W717" s="17">
        <v>46</v>
      </c>
      <c r="X717" s="13" t="str" cm="1">
        <f t="array" ref="X717">_xlfn.IFS(W717 = 0, "0", W717&lt;=20, "até R$20",W717&lt;=40, "21 - R$40",W717&lt;=60, "41- R$60",W717&lt;=80, "61 - R$80", W717&lt;=100, "81 - R$100",W717&lt;=120, "101 - R$120",W717&lt;=140, "121 - R$140", W717&lt;=160, "141- R$160", W717&lt;=180, "161 - R$180", W717&lt;=200, "181-R$194")</f>
        <v>41- R$60</v>
      </c>
      <c r="Y717" s="17">
        <v>288</v>
      </c>
      <c r="Z717" s="17">
        <v>20</v>
      </c>
      <c r="AA717" s="17">
        <v>38</v>
      </c>
      <c r="AB717" s="17">
        <v>70</v>
      </c>
      <c r="AC717" s="17">
        <v>2</v>
      </c>
      <c r="AD717" s="17">
        <v>6</v>
      </c>
      <c r="AE717" s="17">
        <v>5</v>
      </c>
      <c r="AF717" s="17">
        <v>10</v>
      </c>
      <c r="AG717" s="17">
        <v>3</v>
      </c>
      <c r="AH717" s="17">
        <v>0</v>
      </c>
      <c r="AI717" s="17">
        <v>0</v>
      </c>
      <c r="AJ717" s="17">
        <v>0</v>
      </c>
      <c r="AK717" s="17">
        <v>0</v>
      </c>
      <c r="AL717" s="17">
        <v>0</v>
      </c>
      <c r="AM717" s="17">
        <v>0</v>
      </c>
      <c r="AN717" s="17">
        <v>0</v>
      </c>
      <c r="AO717" s="18">
        <v>0</v>
      </c>
      <c r="AP717" s="17">
        <v>3</v>
      </c>
      <c r="AQ717" s="17">
        <v>11</v>
      </c>
      <c r="AR717" s="19">
        <v>719</v>
      </c>
      <c r="AS717" s="19">
        <v>789</v>
      </c>
    </row>
    <row r="718" spans="1:45" x14ac:dyDescent="0.25">
      <c r="A718">
        <v>1234</v>
      </c>
      <c r="B718" s="11">
        <f t="shared" si="11"/>
        <v>74716</v>
      </c>
      <c r="C718" s="12">
        <v>747160</v>
      </c>
      <c r="D718" s="13">
        <v>0</v>
      </c>
      <c r="E718" s="13">
        <v>1</v>
      </c>
      <c r="F718" s="13">
        <v>92</v>
      </c>
      <c r="G718" s="13">
        <v>48</v>
      </c>
      <c r="H718" s="13" t="str" cm="1">
        <f t="array" ref="H718">_xlfn.IFS(G718&lt;=20,"0-20",G718&lt;=30,"20-30",G718&lt;=40,"30-40",G718&lt;=50,"50-60",G718&lt;=60,"60-70",G718&lt;=70,"70-80",G718&lt;=80,"80-90")</f>
        <v>50-60</v>
      </c>
      <c r="I718" s="13">
        <v>2449</v>
      </c>
      <c r="J718" s="13" t="str" cm="1">
        <f t="array" ref="J718">_xlfn.IFS(K718=1,"Divorciado",L718=1,"Casado",M718=1,"Solteiro",N718=1,"Juntos",O718=1,"Viuvo")</f>
        <v>Casado</v>
      </c>
      <c r="K718" s="13">
        <v>0</v>
      </c>
      <c r="L718" s="13">
        <v>1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1</v>
      </c>
      <c r="S718" s="13">
        <v>0</v>
      </c>
      <c r="T718" s="13">
        <v>0</v>
      </c>
      <c r="U718" s="13">
        <v>133</v>
      </c>
      <c r="V718" s="13" t="str" cm="1">
        <f t="array" ref="V718">_xlfn.IFS(U718&lt;=250,"0-R$250",U718&lt;=500,"251-R$500",U718&lt;=750,"501-R$750",U718&lt;=1000,"751-R$1000",U718&lt;=1250,"1001-R$1250",U718&lt;=1500,"1251-R$1500")</f>
        <v>0-R$250</v>
      </c>
      <c r="W718" s="13">
        <v>27</v>
      </c>
      <c r="X718" s="13" t="str" cm="1">
        <f t="array" ref="X718">_xlfn.IFS(W718 = 0, "0", W718&lt;=20, "até R$20",W718&lt;=40, "21 - R$40",W718&lt;=60, "41- R$60",W718&lt;=80, "61 - R$80", W718&lt;=100, "81 - R$100",W718&lt;=120, "101 - R$120",W718&lt;=140, "121 - R$140", W718&lt;=160, "141- R$160", W718&lt;=180, "161 - R$180", W718&lt;=200, "181-R$194")</f>
        <v>21 - R$40</v>
      </c>
      <c r="Y718" s="13">
        <v>421</v>
      </c>
      <c r="Z718" s="13">
        <v>13</v>
      </c>
      <c r="AA718" s="13">
        <v>195</v>
      </c>
      <c r="AB718" s="13">
        <v>71</v>
      </c>
      <c r="AC718" s="13">
        <v>2</v>
      </c>
      <c r="AD718" s="13">
        <v>7</v>
      </c>
      <c r="AE718" s="13">
        <v>3</v>
      </c>
      <c r="AF718" s="13">
        <v>5</v>
      </c>
      <c r="AG718" s="13">
        <v>4</v>
      </c>
      <c r="AH718" s="13">
        <v>0</v>
      </c>
      <c r="AI718" s="13">
        <v>0</v>
      </c>
      <c r="AJ718" s="13">
        <v>0</v>
      </c>
      <c r="AK718" s="13">
        <v>0</v>
      </c>
      <c r="AL718" s="13">
        <v>0</v>
      </c>
      <c r="AM718" s="13">
        <v>0</v>
      </c>
      <c r="AN718" s="13">
        <v>0</v>
      </c>
      <c r="AO718" s="14">
        <v>0</v>
      </c>
      <c r="AP718" s="13">
        <v>3</v>
      </c>
      <c r="AQ718" s="13">
        <v>11</v>
      </c>
      <c r="AR718" s="15">
        <v>718</v>
      </c>
      <c r="AS718" s="15">
        <v>789</v>
      </c>
    </row>
    <row r="719" spans="1:45" x14ac:dyDescent="0.25">
      <c r="A719">
        <v>285</v>
      </c>
      <c r="B719" s="11">
        <f t="shared" si="11"/>
        <v>68627</v>
      </c>
      <c r="C719" s="16">
        <v>686270</v>
      </c>
      <c r="D719" s="17">
        <v>0</v>
      </c>
      <c r="E719" s="17">
        <v>0</v>
      </c>
      <c r="F719" s="17">
        <v>45</v>
      </c>
      <c r="G719" s="17">
        <v>38</v>
      </c>
      <c r="H719" s="13" t="str" cm="1">
        <f t="array" ref="H719">_xlfn.IFS(G719&lt;=20,"0-20",G719&lt;=30,"20-30",G719&lt;=40,"30-40",G719&lt;=50,"50-60",G719&lt;=60,"60-70",G719&lt;=70,"70-80",G719&lt;=80,"80-90")</f>
        <v>30-40</v>
      </c>
      <c r="I719" s="17">
        <v>2692</v>
      </c>
      <c r="J719" s="13" t="str" cm="1">
        <f t="array" ref="J719">_xlfn.IFS(K719=1,"Divorciado",L719=1,"Casado",M719=1,"Solteiro",N719=1,"Juntos",O719=1,"Viuvo")</f>
        <v>Solteiro</v>
      </c>
      <c r="K719" s="17">
        <v>0</v>
      </c>
      <c r="L719" s="17">
        <v>0</v>
      </c>
      <c r="M719" s="17">
        <v>1</v>
      </c>
      <c r="N719" s="17">
        <v>0</v>
      </c>
      <c r="O719" s="17">
        <v>0</v>
      </c>
      <c r="P719" s="17">
        <v>0</v>
      </c>
      <c r="Q719" s="17">
        <v>0</v>
      </c>
      <c r="R719" s="17">
        <v>1</v>
      </c>
      <c r="S719" s="17">
        <v>0</v>
      </c>
      <c r="T719" s="17">
        <v>0</v>
      </c>
      <c r="U719" s="17">
        <v>395</v>
      </c>
      <c r="V719" s="13" t="str" cm="1">
        <f t="array" ref="V719">_xlfn.IFS(U719&lt;=250,"0-R$250",U719&lt;=500,"251-R$500",U719&lt;=750,"501-R$750",U719&lt;=1000,"751-R$1000",U719&lt;=1250,"1001-R$1250",U719&lt;=1500,"1251-R$1500")</f>
        <v>251-R$500</v>
      </c>
      <c r="W719" s="17">
        <v>15</v>
      </c>
      <c r="X719" s="13" t="str" cm="1">
        <f t="array" ref="X719">_xlfn.IFS(W719 = 0, "0", W719&lt;=20, "até R$20",W719&lt;=40, "21 - R$40",W719&lt;=60, "41- R$60",W719&lt;=80, "61 - R$80", W719&lt;=100, "81 - R$100",W719&lt;=120, "101 - R$120",W719&lt;=140, "121 - R$140", W719&lt;=160, "141- R$160", W719&lt;=180, "161 - R$180", W719&lt;=200, "181-R$194")</f>
        <v>até R$20</v>
      </c>
      <c r="Y719" s="17">
        <v>263</v>
      </c>
      <c r="Z719" s="17">
        <v>60</v>
      </c>
      <c r="AA719" s="17">
        <v>54</v>
      </c>
      <c r="AB719" s="17">
        <v>38</v>
      </c>
      <c r="AC719" s="17">
        <v>1</v>
      </c>
      <c r="AD719" s="17">
        <v>2</v>
      </c>
      <c r="AE719" s="17">
        <v>3</v>
      </c>
      <c r="AF719" s="17">
        <v>6</v>
      </c>
      <c r="AG719" s="17">
        <v>1</v>
      </c>
      <c r="AH719" s="17">
        <v>0</v>
      </c>
      <c r="AI719" s="17">
        <v>0</v>
      </c>
      <c r="AJ719" s="17">
        <v>0</v>
      </c>
      <c r="AK719" s="17">
        <v>0</v>
      </c>
      <c r="AL719" s="17">
        <v>0</v>
      </c>
      <c r="AM719" s="17">
        <v>0</v>
      </c>
      <c r="AN719" s="17">
        <v>0</v>
      </c>
      <c r="AO719" s="18">
        <v>0</v>
      </c>
      <c r="AP719" s="17">
        <v>3</v>
      </c>
      <c r="AQ719" s="17">
        <v>11</v>
      </c>
      <c r="AR719" s="19">
        <v>749</v>
      </c>
      <c r="AS719" s="19">
        <v>787</v>
      </c>
    </row>
    <row r="720" spans="1:45" x14ac:dyDescent="0.25">
      <c r="A720">
        <v>1632</v>
      </c>
      <c r="B720" s="11">
        <f t="shared" si="11"/>
        <v>62670</v>
      </c>
      <c r="C720" s="12">
        <v>626700</v>
      </c>
      <c r="D720" s="13">
        <v>0</v>
      </c>
      <c r="E720" s="13">
        <v>1</v>
      </c>
      <c r="F720" s="13">
        <v>57</v>
      </c>
      <c r="G720" s="13">
        <v>66</v>
      </c>
      <c r="H720" s="13" t="str" cm="1">
        <f t="array" ref="H720">_xlfn.IFS(G720&lt;=20,"0-20",G720&lt;=30,"20-30",G720&lt;=40,"30-40",G720&lt;=50,"50-60",G720&lt;=60,"60-70",G720&lt;=70,"70-80",G720&lt;=80,"80-90")</f>
        <v>70-80</v>
      </c>
      <c r="I720" s="13">
        <v>2306</v>
      </c>
      <c r="J720" s="13" t="str" cm="1">
        <f t="array" ref="J720">_xlfn.IFS(K720=1,"Divorciado",L720=1,"Casado",M720=1,"Solteiro",N720=1,"Juntos",O720=1,"Viuvo")</f>
        <v>Casado</v>
      </c>
      <c r="K720" s="13">
        <v>0</v>
      </c>
      <c r="L720" s="13">
        <v>1</v>
      </c>
      <c r="M720" s="13">
        <v>0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3">
        <v>0</v>
      </c>
      <c r="T720" s="13">
        <v>1</v>
      </c>
      <c r="U720" s="13">
        <v>539</v>
      </c>
      <c r="V720" s="13" t="str" cm="1">
        <f t="array" ref="V720">_xlfn.IFS(U720&lt;=250,"0-R$250",U720&lt;=500,"251-R$500",U720&lt;=750,"501-R$750",U720&lt;=1000,"751-R$1000",U720&lt;=1250,"1001-R$1250",U720&lt;=1500,"1251-R$1500")</f>
        <v>501-R$750</v>
      </c>
      <c r="W720" s="13">
        <v>30</v>
      </c>
      <c r="X720" s="13" t="str" cm="1">
        <f t="array" ref="X720">_xlfn.IFS(W720 = 0, "0", W720&lt;=20, "até R$20",W720&lt;=40, "21 - R$40",W720&lt;=60, "41- R$60",W720&lt;=80, "61 - R$80", W720&lt;=100, "81 - R$100",W720&lt;=120, "101 - R$120",W720&lt;=140, "121 - R$140", W720&lt;=160, "141- R$160", W720&lt;=180, "161 - R$180", W720&lt;=200, "181-R$194")</f>
        <v>21 - R$40</v>
      </c>
      <c r="Y720" s="13">
        <v>92</v>
      </c>
      <c r="Z720" s="13">
        <v>80</v>
      </c>
      <c r="AA720" s="13">
        <v>46</v>
      </c>
      <c r="AB720" s="13">
        <v>38</v>
      </c>
      <c r="AC720" s="13">
        <v>1</v>
      </c>
      <c r="AD720" s="13">
        <v>5</v>
      </c>
      <c r="AE720" s="13">
        <v>3</v>
      </c>
      <c r="AF720" s="13">
        <v>13</v>
      </c>
      <c r="AG720" s="13">
        <v>3</v>
      </c>
      <c r="AH720" s="13">
        <v>0</v>
      </c>
      <c r="AI720" s="13">
        <v>0</v>
      </c>
      <c r="AJ720" s="13">
        <v>0</v>
      </c>
      <c r="AK720" s="13">
        <v>0</v>
      </c>
      <c r="AL720" s="13">
        <v>0</v>
      </c>
      <c r="AM720" s="13">
        <v>0</v>
      </c>
      <c r="AN720" s="13">
        <v>0</v>
      </c>
      <c r="AO720" s="14">
        <v>0</v>
      </c>
      <c r="AP720" s="13">
        <v>3</v>
      </c>
      <c r="AQ720" s="13">
        <v>11</v>
      </c>
      <c r="AR720" s="15">
        <v>749</v>
      </c>
      <c r="AS720" s="15">
        <v>787</v>
      </c>
    </row>
    <row r="721" spans="1:45" x14ac:dyDescent="0.25">
      <c r="A721">
        <v>1293</v>
      </c>
      <c r="B721" s="11">
        <f t="shared" si="11"/>
        <v>74805</v>
      </c>
      <c r="C721" s="16">
        <v>748050</v>
      </c>
      <c r="D721" s="17">
        <v>0</v>
      </c>
      <c r="E721" s="17">
        <v>1</v>
      </c>
      <c r="F721" s="17">
        <v>14</v>
      </c>
      <c r="G721" s="17">
        <v>65</v>
      </c>
      <c r="H721" s="13" t="str" cm="1">
        <f t="array" ref="H721">_xlfn.IFS(G721&lt;=20,"0-20",G721&lt;=30,"20-30",G721&lt;=40,"30-40",G721&lt;=50,"50-60",G721&lt;=60,"60-70",G721&lt;=70,"70-80",G721&lt;=80,"80-90")</f>
        <v>70-80</v>
      </c>
      <c r="I721" s="17">
        <v>2394</v>
      </c>
      <c r="J721" s="13" t="str" cm="1">
        <f t="array" ref="J721">_xlfn.IFS(K721=1,"Divorciado",L721=1,"Casado",M721=1,"Solteiro",N721=1,"Juntos",O721=1,"Viuvo")</f>
        <v>Juntos</v>
      </c>
      <c r="K721" s="17">
        <v>0</v>
      </c>
      <c r="L721" s="17">
        <v>0</v>
      </c>
      <c r="M721" s="17">
        <v>0</v>
      </c>
      <c r="N721" s="17">
        <v>1</v>
      </c>
      <c r="O721" s="17">
        <v>0</v>
      </c>
      <c r="P721" s="17">
        <v>1</v>
      </c>
      <c r="Q721" s="17">
        <v>0</v>
      </c>
      <c r="R721" s="17">
        <v>0</v>
      </c>
      <c r="S721" s="17">
        <v>0</v>
      </c>
      <c r="T721" s="17">
        <v>0</v>
      </c>
      <c r="U721" s="17">
        <v>209</v>
      </c>
      <c r="V721" s="13" t="str" cm="1">
        <f t="array" ref="V721">_xlfn.IFS(U721&lt;=250,"0-R$250",U721&lt;=500,"251-R$500",U721&lt;=750,"501-R$750",U721&lt;=1000,"751-R$1000",U721&lt;=1250,"1001-R$1250",U721&lt;=1500,"1251-R$1500")</f>
        <v>0-R$250</v>
      </c>
      <c r="W721" s="17">
        <v>162</v>
      </c>
      <c r="X721" s="13" t="str" cm="1">
        <f t="array" ref="X721">_xlfn.IFS(W721 = 0, "0", W721&lt;=20, "até R$20",W721&lt;=40, "21 - R$40",W721&lt;=60, "41- R$60",W721&lt;=80, "61 - R$80", W721&lt;=100, "81 - R$100",W721&lt;=120, "101 - R$120",W721&lt;=140, "121 - R$140", W721&lt;=160, "141- R$160", W721&lt;=180, "161 - R$180", W721&lt;=200, "181-R$194")</f>
        <v>161 - R$180</v>
      </c>
      <c r="Y721" s="17">
        <v>209</v>
      </c>
      <c r="Z721" s="17">
        <v>41</v>
      </c>
      <c r="AA721" s="17">
        <v>162</v>
      </c>
      <c r="AB721" s="17">
        <v>37</v>
      </c>
      <c r="AC721" s="17">
        <v>5</v>
      </c>
      <c r="AD721" s="17">
        <v>4</v>
      </c>
      <c r="AE721" s="17">
        <v>7</v>
      </c>
      <c r="AF721" s="17">
        <v>10</v>
      </c>
      <c r="AG721" s="17">
        <v>2</v>
      </c>
      <c r="AH721" s="17">
        <v>0</v>
      </c>
      <c r="AI721" s="17">
        <v>0</v>
      </c>
      <c r="AJ721" s="17">
        <v>0</v>
      </c>
      <c r="AK721" s="17">
        <v>0</v>
      </c>
      <c r="AL721" s="17">
        <v>0</v>
      </c>
      <c r="AM721" s="17">
        <v>0</v>
      </c>
      <c r="AN721" s="17">
        <v>0</v>
      </c>
      <c r="AO721" s="18">
        <v>0</v>
      </c>
      <c r="AP721" s="17">
        <v>3</v>
      </c>
      <c r="AQ721" s="17">
        <v>11</v>
      </c>
      <c r="AR721" s="19">
        <v>746</v>
      </c>
      <c r="AS721" s="19">
        <v>783</v>
      </c>
    </row>
    <row r="722" spans="1:45" x14ac:dyDescent="0.25">
      <c r="A722">
        <v>1386</v>
      </c>
      <c r="B722" s="11">
        <f t="shared" si="11"/>
        <v>69389</v>
      </c>
      <c r="C722" s="12">
        <v>693890</v>
      </c>
      <c r="D722" s="13">
        <v>0</v>
      </c>
      <c r="E722" s="13">
        <v>1</v>
      </c>
      <c r="F722" s="13">
        <v>17</v>
      </c>
      <c r="G722" s="13">
        <v>43</v>
      </c>
      <c r="H722" s="13" t="str" cm="1">
        <f t="array" ref="H722">_xlfn.IFS(G722&lt;=20,"0-20",G722&lt;=30,"20-30",G722&lt;=40,"30-40",G722&lt;=50,"50-60",G722&lt;=60,"60-70",G722&lt;=70,"70-80",G722&lt;=80,"80-90")</f>
        <v>50-60</v>
      </c>
      <c r="I722" s="13">
        <v>2798</v>
      </c>
      <c r="J722" s="13" t="str" cm="1">
        <f t="array" ref="J722">_xlfn.IFS(K722=1,"Divorciado",L722=1,"Casado",M722=1,"Solteiro",N722=1,"Juntos",O722=1,"Viuvo")</f>
        <v>Casado</v>
      </c>
      <c r="K722" s="13">
        <v>0</v>
      </c>
      <c r="L722" s="13">
        <v>1</v>
      </c>
      <c r="M722" s="13">
        <v>0</v>
      </c>
      <c r="N722" s="13">
        <v>0</v>
      </c>
      <c r="O722" s="13">
        <v>0</v>
      </c>
      <c r="P722" s="13">
        <v>0</v>
      </c>
      <c r="Q722" s="13">
        <v>0</v>
      </c>
      <c r="R722" s="13">
        <v>0</v>
      </c>
      <c r="S722" s="13">
        <v>0</v>
      </c>
      <c r="T722" s="13">
        <v>1</v>
      </c>
      <c r="U722" s="13">
        <v>422</v>
      </c>
      <c r="V722" s="13" t="str" cm="1">
        <f t="array" ref="V722">_xlfn.IFS(U722&lt;=250,"0-R$250",U722&lt;=500,"251-R$500",U722&lt;=750,"501-R$750",U722&lt;=1000,"751-R$1000",U722&lt;=1250,"1001-R$1250",U722&lt;=1500,"1251-R$1500")</f>
        <v>251-R$500</v>
      </c>
      <c r="W722" s="13">
        <v>7</v>
      </c>
      <c r="X722" s="13" t="str" cm="1">
        <f t="array" ref="X722">_xlfn.IFS(W722 = 0, "0", W722&lt;=20, "até R$20",W722&lt;=40, "21 - R$40",W722&lt;=60, "41- R$60",W722&lt;=80, "61 - R$80", W722&lt;=100, "81 - R$100",W722&lt;=120, "101 - R$120",W722&lt;=140, "121 - R$140", W722&lt;=160, "141- R$160", W722&lt;=180, "161 - R$180", W722&lt;=200, "181-R$194")</f>
        <v>até R$20</v>
      </c>
      <c r="Y722" s="13">
        <v>238</v>
      </c>
      <c r="Z722" s="13">
        <v>69</v>
      </c>
      <c r="AA722" s="13">
        <v>46</v>
      </c>
      <c r="AB722" s="13">
        <v>15</v>
      </c>
      <c r="AC722" s="13">
        <v>1</v>
      </c>
      <c r="AD722" s="13">
        <v>7</v>
      </c>
      <c r="AE722" s="13">
        <v>2</v>
      </c>
      <c r="AF722" s="13">
        <v>12</v>
      </c>
      <c r="AG722" s="13">
        <v>4</v>
      </c>
      <c r="AH722" s="13">
        <v>0</v>
      </c>
      <c r="AI722" s="13">
        <v>0</v>
      </c>
      <c r="AJ722" s="13">
        <v>0</v>
      </c>
      <c r="AK722" s="13">
        <v>0</v>
      </c>
      <c r="AL722" s="13">
        <v>0</v>
      </c>
      <c r="AM722" s="13">
        <v>0</v>
      </c>
      <c r="AN722" s="13">
        <v>0</v>
      </c>
      <c r="AO722" s="14">
        <v>0</v>
      </c>
      <c r="AP722" s="13">
        <v>3</v>
      </c>
      <c r="AQ722" s="13">
        <v>11</v>
      </c>
      <c r="AR722" s="15">
        <v>767</v>
      </c>
      <c r="AS722" s="15">
        <v>782</v>
      </c>
    </row>
    <row r="723" spans="1:45" x14ac:dyDescent="0.25">
      <c r="A723">
        <v>2204</v>
      </c>
      <c r="B723" s="11">
        <f t="shared" si="11"/>
        <v>69245</v>
      </c>
      <c r="C723" s="12">
        <v>692450</v>
      </c>
      <c r="D723" s="13">
        <v>0</v>
      </c>
      <c r="E723" s="13">
        <v>1</v>
      </c>
      <c r="F723" s="13">
        <v>8</v>
      </c>
      <c r="G723" s="13">
        <v>64</v>
      </c>
      <c r="H723" s="13" t="str" cm="1">
        <f t="array" ref="H723">_xlfn.IFS(G723&lt;=20,"0-20",G723&lt;=30,"20-30",G723&lt;=40,"30-40",G723&lt;=50,"50-60",G723&lt;=60,"60-70",G723&lt;=70,"70-80",G723&lt;=80,"80-90")</f>
        <v>70-80</v>
      </c>
      <c r="I723" s="13">
        <v>2315</v>
      </c>
      <c r="J723" s="13" t="str" cm="1">
        <f t="array" ref="J723">_xlfn.IFS(K723=1,"Divorciado",L723=1,"Casado",M723=1,"Solteiro",N723=1,"Juntos",O723=1,"Viuvo")</f>
        <v>Juntos</v>
      </c>
      <c r="K723" s="13">
        <v>0</v>
      </c>
      <c r="L723" s="13">
        <v>0</v>
      </c>
      <c r="M723" s="13">
        <v>0</v>
      </c>
      <c r="N723" s="13">
        <v>1</v>
      </c>
      <c r="O723" s="13">
        <v>0</v>
      </c>
      <c r="P723" s="13">
        <v>0</v>
      </c>
      <c r="Q723" s="13">
        <v>0</v>
      </c>
      <c r="R723" s="13">
        <v>0</v>
      </c>
      <c r="S723" s="13">
        <v>1</v>
      </c>
      <c r="T723" s="13">
        <v>0</v>
      </c>
      <c r="U723" s="13">
        <v>428</v>
      </c>
      <c r="V723" s="13" t="str" cm="1">
        <f t="array" ref="V723">_xlfn.IFS(U723&lt;=250,"0-R$250",U723&lt;=500,"251-R$500",U723&lt;=750,"501-R$750",U723&lt;=1000,"751-R$1000",U723&lt;=1250,"1001-R$1250",U723&lt;=1500,"1251-R$1500")</f>
        <v>251-R$500</v>
      </c>
      <c r="W723" s="13">
        <v>30</v>
      </c>
      <c r="X723" s="13" t="str" cm="1">
        <f t="array" ref="X723">_xlfn.IFS(W723 = 0, "0", W723&lt;=20, "até R$20",W723&lt;=40, "21 - R$40",W723&lt;=60, "41- R$60",W723&lt;=80, "61 - R$80", W723&lt;=100, "81 - R$100",W723&lt;=120, "101 - R$120",W723&lt;=140, "121 - R$140", W723&lt;=160, "141- R$160", W723&lt;=180, "161 - R$180", W723&lt;=200, "181-R$194")</f>
        <v>21 - R$40</v>
      </c>
      <c r="Y723" s="13">
        <v>214</v>
      </c>
      <c r="Z723" s="13">
        <v>80</v>
      </c>
      <c r="AA723" s="13">
        <v>30</v>
      </c>
      <c r="AB723" s="13">
        <v>61</v>
      </c>
      <c r="AC723" s="13">
        <v>2</v>
      </c>
      <c r="AD723" s="13">
        <v>6</v>
      </c>
      <c r="AE723" s="13">
        <v>5</v>
      </c>
      <c r="AF723" s="13">
        <v>10</v>
      </c>
      <c r="AG723" s="13">
        <v>3</v>
      </c>
      <c r="AH723" s="13">
        <v>0</v>
      </c>
      <c r="AI723" s="13">
        <v>0</v>
      </c>
      <c r="AJ723" s="13">
        <v>0</v>
      </c>
      <c r="AK723" s="13">
        <v>0</v>
      </c>
      <c r="AL723" s="13">
        <v>0</v>
      </c>
      <c r="AM723" s="13">
        <v>0</v>
      </c>
      <c r="AN723" s="13">
        <v>0</v>
      </c>
      <c r="AO723" s="14">
        <v>0</v>
      </c>
      <c r="AP723" s="13">
        <v>3</v>
      </c>
      <c r="AQ723" s="13">
        <v>11</v>
      </c>
      <c r="AR723" s="15">
        <v>721</v>
      </c>
      <c r="AS723" s="15">
        <v>782</v>
      </c>
    </row>
    <row r="724" spans="1:45" x14ac:dyDescent="0.25">
      <c r="A724">
        <v>1285</v>
      </c>
      <c r="B724" s="11">
        <f t="shared" si="11"/>
        <v>60894</v>
      </c>
      <c r="C724" s="16">
        <v>608940</v>
      </c>
      <c r="D724" s="17">
        <v>0</v>
      </c>
      <c r="E724" s="17">
        <v>1</v>
      </c>
      <c r="F724" s="17">
        <v>61</v>
      </c>
      <c r="G724" s="17">
        <v>54</v>
      </c>
      <c r="H724" s="13" t="str" cm="1">
        <f t="array" ref="H724">_xlfn.IFS(G724&lt;=20,"0-20",G724&lt;=30,"20-30",G724&lt;=40,"30-40",G724&lt;=50,"50-60",G724&lt;=60,"60-70",G724&lt;=70,"70-80",G724&lt;=80,"80-90")</f>
        <v>60-70</v>
      </c>
      <c r="I724" s="17">
        <v>2525</v>
      </c>
      <c r="J724" s="13" t="str" cm="1">
        <f t="array" ref="J724">_xlfn.IFS(K724=1,"Divorciado",L724=1,"Casado",M724=1,"Solteiro",N724=1,"Juntos",O724=1,"Viuvo")</f>
        <v>Juntos</v>
      </c>
      <c r="K724" s="17">
        <v>0</v>
      </c>
      <c r="L724" s="17">
        <v>0</v>
      </c>
      <c r="M724" s="17">
        <v>0</v>
      </c>
      <c r="N724" s="17">
        <v>1</v>
      </c>
      <c r="O724" s="17">
        <v>0</v>
      </c>
      <c r="P724" s="17">
        <v>0</v>
      </c>
      <c r="Q724" s="17">
        <v>0</v>
      </c>
      <c r="R724" s="17">
        <v>1</v>
      </c>
      <c r="S724" s="17">
        <v>0</v>
      </c>
      <c r="T724" s="17">
        <v>0</v>
      </c>
      <c r="U724" s="17">
        <v>606</v>
      </c>
      <c r="V724" s="13" t="str" cm="1">
        <f t="array" ref="V724">_xlfn.IFS(U724&lt;=250,"0-R$250",U724&lt;=500,"251-R$500",U724&lt;=750,"501-R$750",U724&lt;=1000,"751-R$1000",U724&lt;=1250,"1001-R$1250",U724&lt;=1500,"1251-R$1500")</f>
        <v>501-R$750</v>
      </c>
      <c r="W724" s="17">
        <v>7</v>
      </c>
      <c r="X724" s="13" t="str" cm="1">
        <f t="array" ref="X724">_xlfn.IFS(W724 = 0, "0", W724&lt;=20, "até R$20",W724&lt;=40, "21 - R$40",W724&lt;=60, "41- R$60",W724&lt;=80, "61 - R$80", W724&lt;=100, "81 - R$100",W724&lt;=120, "101 - R$120",W724&lt;=140, "121 - R$140", W724&lt;=160, "141- R$160", W724&lt;=180, "161 - R$180", W724&lt;=200, "181-R$194")</f>
        <v>até R$20</v>
      </c>
      <c r="Y724" s="17">
        <v>155</v>
      </c>
      <c r="Z724" s="17">
        <v>10</v>
      </c>
      <c r="AA724" s="17">
        <v>0</v>
      </c>
      <c r="AB724" s="17">
        <v>54</v>
      </c>
      <c r="AC724" s="17">
        <v>5</v>
      </c>
      <c r="AD724" s="17">
        <v>10</v>
      </c>
      <c r="AE724" s="17">
        <v>3</v>
      </c>
      <c r="AF724" s="17">
        <v>8</v>
      </c>
      <c r="AG724" s="17">
        <v>7</v>
      </c>
      <c r="AH724" s="17">
        <v>0</v>
      </c>
      <c r="AI724" s="17">
        <v>0</v>
      </c>
      <c r="AJ724" s="17">
        <v>0</v>
      </c>
      <c r="AK724" s="17">
        <v>0</v>
      </c>
      <c r="AL724" s="17">
        <v>0</v>
      </c>
      <c r="AM724" s="17">
        <v>0</v>
      </c>
      <c r="AN724" s="17">
        <v>0</v>
      </c>
      <c r="AO724" s="18">
        <v>0</v>
      </c>
      <c r="AP724" s="17">
        <v>3</v>
      </c>
      <c r="AQ724" s="17">
        <v>11</v>
      </c>
      <c r="AR724" s="19">
        <v>724</v>
      </c>
      <c r="AS724" s="19">
        <v>778</v>
      </c>
    </row>
    <row r="725" spans="1:45" x14ac:dyDescent="0.25">
      <c r="A725">
        <v>67</v>
      </c>
      <c r="B725" s="11">
        <f t="shared" si="11"/>
        <v>65031</v>
      </c>
      <c r="C725" s="16">
        <v>650310</v>
      </c>
      <c r="D725" s="17">
        <v>0</v>
      </c>
      <c r="E725" s="17">
        <v>1</v>
      </c>
      <c r="F725" s="17">
        <v>29</v>
      </c>
      <c r="G725" s="17">
        <v>61</v>
      </c>
      <c r="H725" s="13" t="str" cm="1">
        <f t="array" ref="H725">_xlfn.IFS(G725&lt;=20,"0-20",G725&lt;=30,"20-30",G725&lt;=40,"30-40",G725&lt;=50,"50-60",G725&lt;=60,"60-70",G725&lt;=70,"70-80",G725&lt;=80,"80-90")</f>
        <v>70-80</v>
      </c>
      <c r="I725" s="17">
        <v>2628</v>
      </c>
      <c r="J725" s="13" t="str" cm="1">
        <f t="array" ref="J725">_xlfn.IFS(K725=1,"Divorciado",L725=1,"Casado",M725=1,"Solteiro",N725=1,"Juntos",O725=1,"Viuvo")</f>
        <v>Casado</v>
      </c>
      <c r="K725" s="17">
        <v>0</v>
      </c>
      <c r="L725" s="17">
        <v>1</v>
      </c>
      <c r="M725" s="17">
        <v>0</v>
      </c>
      <c r="N725" s="17">
        <v>0</v>
      </c>
      <c r="O725" s="17">
        <v>0</v>
      </c>
      <c r="P725" s="17">
        <v>0</v>
      </c>
      <c r="Q725" s="17">
        <v>0</v>
      </c>
      <c r="R725" s="17">
        <v>1</v>
      </c>
      <c r="S725" s="17">
        <v>0</v>
      </c>
      <c r="T725" s="17">
        <v>0</v>
      </c>
      <c r="U725" s="17">
        <v>258</v>
      </c>
      <c r="V725" s="13" t="str" cm="1">
        <f t="array" ref="V725">_xlfn.IFS(U725&lt;=250,"0-R$250",U725&lt;=500,"251-R$500",U725&lt;=750,"501-R$750",U725&lt;=1000,"751-R$1000",U725&lt;=1250,"1001-R$1250",U725&lt;=1500,"1251-R$1500")</f>
        <v>251-R$500</v>
      </c>
      <c r="W725" s="17">
        <v>107</v>
      </c>
      <c r="X725" s="13" t="str" cm="1">
        <f t="array" ref="X725">_xlfn.IFS(W725 = 0, "0", W725&lt;=20, "até R$20",W725&lt;=40, "21 - R$40",W725&lt;=60, "41- R$60",W725&lt;=80, "61 - R$80", W725&lt;=100, "81 - R$100",W725&lt;=120, "101 - R$120",W725&lt;=140, "121 - R$140", W725&lt;=160, "141- R$160", W725&lt;=180, "161 - R$180", W725&lt;=200, "181-R$194")</f>
        <v>101 - R$120</v>
      </c>
      <c r="Y725" s="17">
        <v>291</v>
      </c>
      <c r="Z725" s="17">
        <v>84</v>
      </c>
      <c r="AA725" s="17">
        <v>37</v>
      </c>
      <c r="AB725" s="17">
        <v>86</v>
      </c>
      <c r="AC725" s="17">
        <v>4</v>
      </c>
      <c r="AD725" s="17">
        <v>10</v>
      </c>
      <c r="AE725" s="17">
        <v>3</v>
      </c>
      <c r="AF725" s="17">
        <v>13</v>
      </c>
      <c r="AG725" s="17">
        <v>7</v>
      </c>
      <c r="AH725" s="17">
        <v>0</v>
      </c>
      <c r="AI725" s="17">
        <v>0</v>
      </c>
      <c r="AJ725" s="17">
        <v>0</v>
      </c>
      <c r="AK725" s="17">
        <v>0</v>
      </c>
      <c r="AL725" s="17">
        <v>0</v>
      </c>
      <c r="AM725" s="17">
        <v>0</v>
      </c>
      <c r="AN725" s="17">
        <v>0</v>
      </c>
      <c r="AO725" s="18">
        <v>0</v>
      </c>
      <c r="AP725" s="17">
        <v>3</v>
      </c>
      <c r="AQ725" s="17">
        <v>11</v>
      </c>
      <c r="AR725" s="19">
        <v>691</v>
      </c>
      <c r="AS725" s="19">
        <v>777</v>
      </c>
    </row>
    <row r="726" spans="1:45" x14ac:dyDescent="0.25">
      <c r="A726">
        <v>266</v>
      </c>
      <c r="B726" s="11">
        <f t="shared" si="11"/>
        <v>63841</v>
      </c>
      <c r="C726" s="12">
        <v>638410</v>
      </c>
      <c r="D726" s="13">
        <v>0</v>
      </c>
      <c r="E726" s="13">
        <v>1</v>
      </c>
      <c r="F726" s="13">
        <v>64</v>
      </c>
      <c r="G726" s="13">
        <v>52</v>
      </c>
      <c r="H726" s="13" t="str" cm="1">
        <f t="array" ref="H726">_xlfn.IFS(G726&lt;=20,"0-20",G726&lt;=30,"20-30",G726&lt;=40,"30-40",G726&lt;=50,"50-60",G726&lt;=60,"60-70",G726&lt;=70,"70-80",G726&lt;=80,"80-90")</f>
        <v>60-70</v>
      </c>
      <c r="I726" s="13">
        <v>2593</v>
      </c>
      <c r="J726" s="13" t="str" cm="1">
        <f t="array" ref="J726">_xlfn.IFS(K726=1,"Divorciado",L726=1,"Casado",M726=1,"Solteiro",N726=1,"Juntos",O726=1,"Viuvo")</f>
        <v>Divorciado</v>
      </c>
      <c r="K726" s="13">
        <v>1</v>
      </c>
      <c r="L726" s="13">
        <v>0</v>
      </c>
      <c r="M726" s="13">
        <v>0</v>
      </c>
      <c r="N726" s="13">
        <v>0</v>
      </c>
      <c r="O726" s="13">
        <v>0</v>
      </c>
      <c r="P726" s="13">
        <v>0</v>
      </c>
      <c r="Q726" s="13">
        <v>0</v>
      </c>
      <c r="R726" s="13">
        <v>0</v>
      </c>
      <c r="S726" s="13">
        <v>1</v>
      </c>
      <c r="T726" s="13">
        <v>0</v>
      </c>
      <c r="U726" s="13">
        <v>635</v>
      </c>
      <c r="V726" s="13" t="str" cm="1">
        <f t="array" ref="V726">_xlfn.IFS(U726&lt;=250,"0-R$250",U726&lt;=500,"251-R$500",U726&lt;=750,"501-R$750",U726&lt;=1000,"751-R$1000",U726&lt;=1250,"1001-R$1250",U726&lt;=1500,"1251-R$1500")</f>
        <v>501-R$750</v>
      </c>
      <c r="W726" s="13">
        <v>15</v>
      </c>
      <c r="X726" s="13" t="str" cm="1">
        <f t="array" ref="X726">_xlfn.IFS(W726 = 0, "0", W726&lt;=20, "até R$20",W726&lt;=40, "21 - R$40",W726&lt;=60, "41- R$60",W726&lt;=80, "61 - R$80", W726&lt;=100, "81 - R$100",W726&lt;=120, "101 - R$120",W726&lt;=140, "121 - R$140", W726&lt;=160, "141- R$160", W726&lt;=180, "161 - R$180", W726&lt;=200, "181-R$194")</f>
        <v>até R$20</v>
      </c>
      <c r="Y726" s="13">
        <v>100</v>
      </c>
      <c r="Z726" s="13">
        <v>20</v>
      </c>
      <c r="AA726" s="13">
        <v>7</v>
      </c>
      <c r="AB726" s="13">
        <v>131</v>
      </c>
      <c r="AC726" s="13">
        <v>1</v>
      </c>
      <c r="AD726" s="13">
        <v>9</v>
      </c>
      <c r="AE726" s="13">
        <v>3</v>
      </c>
      <c r="AF726" s="13">
        <v>9</v>
      </c>
      <c r="AG726" s="13">
        <v>6</v>
      </c>
      <c r="AH726" s="13">
        <v>0</v>
      </c>
      <c r="AI726" s="13">
        <v>0</v>
      </c>
      <c r="AJ726" s="13">
        <v>0</v>
      </c>
      <c r="AK726" s="13">
        <v>0</v>
      </c>
      <c r="AL726" s="13">
        <v>0</v>
      </c>
      <c r="AM726" s="13">
        <v>0</v>
      </c>
      <c r="AN726" s="13">
        <v>0</v>
      </c>
      <c r="AO726" s="14">
        <v>0</v>
      </c>
      <c r="AP726" s="13">
        <v>3</v>
      </c>
      <c r="AQ726" s="13">
        <v>11</v>
      </c>
      <c r="AR726" s="15">
        <v>646</v>
      </c>
      <c r="AS726" s="15">
        <v>777</v>
      </c>
    </row>
    <row r="727" spans="1:45" x14ac:dyDescent="0.25">
      <c r="A727">
        <v>1176</v>
      </c>
      <c r="B727" s="11">
        <f t="shared" si="11"/>
        <v>63841</v>
      </c>
      <c r="C727" s="12">
        <v>638410</v>
      </c>
      <c r="D727" s="13">
        <v>0</v>
      </c>
      <c r="E727" s="13">
        <v>1</v>
      </c>
      <c r="F727" s="13">
        <v>64</v>
      </c>
      <c r="G727" s="13">
        <v>52</v>
      </c>
      <c r="H727" s="13" t="str" cm="1">
        <f t="array" ref="H727">_xlfn.IFS(G727&lt;=20,"0-20",G727&lt;=30,"20-30",G727&lt;=40,"30-40",G727&lt;=50,"50-60",G727&lt;=60,"60-70",G727&lt;=70,"70-80",G727&lt;=80,"80-90")</f>
        <v>60-70</v>
      </c>
      <c r="I727" s="13">
        <v>2593</v>
      </c>
      <c r="J727" s="13" t="str" cm="1">
        <f t="array" ref="J727">_xlfn.IFS(K727=1,"Divorciado",L727=1,"Casado",M727=1,"Solteiro",N727=1,"Juntos",O727=1,"Viuvo")</f>
        <v>Divorciado</v>
      </c>
      <c r="K727" s="13">
        <v>1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1</v>
      </c>
      <c r="T727" s="13">
        <v>0</v>
      </c>
      <c r="U727" s="13">
        <v>635</v>
      </c>
      <c r="V727" s="13" t="str" cm="1">
        <f t="array" ref="V727">_xlfn.IFS(U727&lt;=250,"0-R$250",U727&lt;=500,"251-R$500",U727&lt;=750,"501-R$750",U727&lt;=1000,"751-R$1000",U727&lt;=1250,"1001-R$1250",U727&lt;=1500,"1251-R$1500")</f>
        <v>501-R$750</v>
      </c>
      <c r="W727" s="13">
        <v>15</v>
      </c>
      <c r="X727" s="13" t="str" cm="1">
        <f t="array" ref="X727">_xlfn.IFS(W727 = 0, "0", W727&lt;=20, "até R$20",W727&lt;=40, "21 - R$40",W727&lt;=60, "41- R$60",W727&lt;=80, "61 - R$80", W727&lt;=100, "81 - R$100",W727&lt;=120, "101 - R$120",W727&lt;=140, "121 - R$140", W727&lt;=160, "141- R$160", W727&lt;=180, "161 - R$180", W727&lt;=200, "181-R$194")</f>
        <v>até R$20</v>
      </c>
      <c r="Y727" s="13">
        <v>100</v>
      </c>
      <c r="Z727" s="13">
        <v>20</v>
      </c>
      <c r="AA727" s="13">
        <v>7</v>
      </c>
      <c r="AB727" s="13">
        <v>131</v>
      </c>
      <c r="AC727" s="13">
        <v>1</v>
      </c>
      <c r="AD727" s="13">
        <v>9</v>
      </c>
      <c r="AE727" s="13">
        <v>3</v>
      </c>
      <c r="AF727" s="13">
        <v>9</v>
      </c>
      <c r="AG727" s="13">
        <v>6</v>
      </c>
      <c r="AH727" s="13">
        <v>0</v>
      </c>
      <c r="AI727" s="13">
        <v>0</v>
      </c>
      <c r="AJ727" s="13">
        <v>0</v>
      </c>
      <c r="AK727" s="13">
        <v>0</v>
      </c>
      <c r="AL727" s="13">
        <v>0</v>
      </c>
      <c r="AM727" s="13">
        <v>0</v>
      </c>
      <c r="AN727" s="13">
        <v>0</v>
      </c>
      <c r="AO727" s="14">
        <v>0</v>
      </c>
      <c r="AP727" s="13">
        <v>3</v>
      </c>
      <c r="AQ727" s="13">
        <v>11</v>
      </c>
      <c r="AR727" s="15">
        <v>646</v>
      </c>
      <c r="AS727" s="15">
        <v>777</v>
      </c>
    </row>
    <row r="728" spans="1:45" x14ac:dyDescent="0.25">
      <c r="A728">
        <v>1374</v>
      </c>
      <c r="B728" s="11">
        <f t="shared" si="11"/>
        <v>63841</v>
      </c>
      <c r="C728" s="12">
        <v>638410</v>
      </c>
      <c r="D728" s="13">
        <v>0</v>
      </c>
      <c r="E728" s="13">
        <v>1</v>
      </c>
      <c r="F728" s="13">
        <v>64</v>
      </c>
      <c r="G728" s="13">
        <v>52</v>
      </c>
      <c r="H728" s="13" t="str" cm="1">
        <f t="array" ref="H728">_xlfn.IFS(G728&lt;=20,"0-20",G728&lt;=30,"20-30",G728&lt;=40,"30-40",G728&lt;=50,"50-60",G728&lt;=60,"60-70",G728&lt;=70,"70-80",G728&lt;=80,"80-90")</f>
        <v>60-70</v>
      </c>
      <c r="I728" s="13">
        <v>2593</v>
      </c>
      <c r="J728" s="13" t="str" cm="1">
        <f t="array" ref="J728">_xlfn.IFS(K728=1,"Divorciado",L728=1,"Casado",M728=1,"Solteiro",N728=1,"Juntos",O728=1,"Viuvo")</f>
        <v>Divorciado</v>
      </c>
      <c r="K728" s="13">
        <v>1</v>
      </c>
      <c r="L728" s="13">
        <v>0</v>
      </c>
      <c r="M728" s="13">
        <v>0</v>
      </c>
      <c r="N728" s="13">
        <v>0</v>
      </c>
      <c r="O728" s="13">
        <v>0</v>
      </c>
      <c r="P728" s="13">
        <v>0</v>
      </c>
      <c r="Q728" s="13">
        <v>0</v>
      </c>
      <c r="R728" s="13">
        <v>0</v>
      </c>
      <c r="S728" s="13">
        <v>1</v>
      </c>
      <c r="T728" s="13">
        <v>0</v>
      </c>
      <c r="U728" s="13">
        <v>635</v>
      </c>
      <c r="V728" s="13" t="str" cm="1">
        <f t="array" ref="V728">_xlfn.IFS(U728&lt;=250,"0-R$250",U728&lt;=500,"251-R$500",U728&lt;=750,"501-R$750",U728&lt;=1000,"751-R$1000",U728&lt;=1250,"1001-R$1250",U728&lt;=1500,"1251-R$1500")</f>
        <v>501-R$750</v>
      </c>
      <c r="W728" s="13">
        <v>15</v>
      </c>
      <c r="X728" s="13" t="str" cm="1">
        <f t="array" ref="X728">_xlfn.IFS(W728 = 0, "0", W728&lt;=20, "até R$20",W728&lt;=40, "21 - R$40",W728&lt;=60, "41- R$60",W728&lt;=80, "61 - R$80", W728&lt;=100, "81 - R$100",W728&lt;=120, "101 - R$120",W728&lt;=140, "121 - R$140", W728&lt;=160, "141- R$160", W728&lt;=180, "161 - R$180", W728&lt;=200, "181-R$194")</f>
        <v>até R$20</v>
      </c>
      <c r="Y728" s="13">
        <v>100</v>
      </c>
      <c r="Z728" s="13">
        <v>20</v>
      </c>
      <c r="AA728" s="13">
        <v>7</v>
      </c>
      <c r="AB728" s="13">
        <v>131</v>
      </c>
      <c r="AC728" s="13">
        <v>1</v>
      </c>
      <c r="AD728" s="13">
        <v>9</v>
      </c>
      <c r="AE728" s="13">
        <v>3</v>
      </c>
      <c r="AF728" s="13">
        <v>9</v>
      </c>
      <c r="AG728" s="13">
        <v>6</v>
      </c>
      <c r="AH728" s="13">
        <v>0</v>
      </c>
      <c r="AI728" s="13">
        <v>0</v>
      </c>
      <c r="AJ728" s="13">
        <v>0</v>
      </c>
      <c r="AK728" s="13">
        <v>0</v>
      </c>
      <c r="AL728" s="13">
        <v>0</v>
      </c>
      <c r="AM728" s="13">
        <v>0</v>
      </c>
      <c r="AN728" s="13">
        <v>0</v>
      </c>
      <c r="AO728" s="14">
        <v>0</v>
      </c>
      <c r="AP728" s="13">
        <v>3</v>
      </c>
      <c r="AQ728" s="13">
        <v>11</v>
      </c>
      <c r="AR728" s="15">
        <v>646</v>
      </c>
      <c r="AS728" s="15">
        <v>777</v>
      </c>
    </row>
    <row r="729" spans="1:45" x14ac:dyDescent="0.25">
      <c r="A729">
        <v>1492</v>
      </c>
      <c r="B729" s="11">
        <f t="shared" si="11"/>
        <v>55759</v>
      </c>
      <c r="C729" s="12">
        <v>557590</v>
      </c>
      <c r="D729" s="13">
        <v>0</v>
      </c>
      <c r="E729" s="13">
        <v>1</v>
      </c>
      <c r="F729" s="13">
        <v>84</v>
      </c>
      <c r="G729" s="13">
        <v>58</v>
      </c>
      <c r="H729" s="13" t="str" cm="1">
        <f t="array" ref="H729">_xlfn.IFS(G729&lt;=20,"0-20",G729&lt;=30,"20-30",G729&lt;=40,"30-40",G729&lt;=50,"50-60",G729&lt;=60,"60-70",G729&lt;=70,"70-80",G729&lt;=80,"80-90")</f>
        <v>60-70</v>
      </c>
      <c r="I729" s="13">
        <v>2737</v>
      </c>
      <c r="J729" s="13" t="str" cm="1">
        <f t="array" ref="J729">_xlfn.IFS(K729=1,"Divorciado",L729=1,"Casado",M729=1,"Solteiro",N729=1,"Juntos",O729=1,"Viuvo")</f>
        <v>Casado</v>
      </c>
      <c r="K729" s="13">
        <v>0</v>
      </c>
      <c r="L729" s="13">
        <v>1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1</v>
      </c>
      <c r="S729" s="13">
        <v>0</v>
      </c>
      <c r="T729" s="13">
        <v>0</v>
      </c>
      <c r="U729" s="13">
        <v>675</v>
      </c>
      <c r="V729" s="13" t="str" cm="1">
        <f t="array" ref="V729">_xlfn.IFS(U729&lt;=250,"0-R$250",U729&lt;=500,"251-R$500",U729&lt;=750,"501-R$750",U729&lt;=1000,"751-R$1000",U729&lt;=1250,"1001-R$1250",U729&lt;=1500,"1251-R$1500")</f>
        <v>501-R$750</v>
      </c>
      <c r="W729" s="13">
        <v>0</v>
      </c>
      <c r="X729" s="13" t="str" cm="1">
        <f t="array" ref="X729">_xlfn.IFS(W729 = 0, "0", W729&lt;=20, "até R$20",W729&lt;=40, "21 - R$40",W729&lt;=60, "41- R$60",W729&lt;=80, "61 - R$80", W729&lt;=100, "81 - R$100",W729&lt;=120, "101 - R$120",W729&lt;=140, "121 - R$140", W729&lt;=160, "141- R$160", W729&lt;=180, "161 - R$180", W729&lt;=200, "181-R$194")</f>
        <v>0</v>
      </c>
      <c r="Y729" s="13">
        <v>85</v>
      </c>
      <c r="Z729" s="13">
        <v>10</v>
      </c>
      <c r="AA729" s="13">
        <v>7</v>
      </c>
      <c r="AB729" s="13">
        <v>77</v>
      </c>
      <c r="AC729" s="13">
        <v>5</v>
      </c>
      <c r="AD729" s="13">
        <v>10</v>
      </c>
      <c r="AE729" s="13">
        <v>3</v>
      </c>
      <c r="AF729" s="13">
        <v>8</v>
      </c>
      <c r="AG729" s="13">
        <v>8</v>
      </c>
      <c r="AH729" s="13">
        <v>0</v>
      </c>
      <c r="AI729" s="13">
        <v>0</v>
      </c>
      <c r="AJ729" s="13">
        <v>0</v>
      </c>
      <c r="AK729" s="13">
        <v>0</v>
      </c>
      <c r="AL729" s="13">
        <v>0</v>
      </c>
      <c r="AM729" s="13">
        <v>0</v>
      </c>
      <c r="AN729" s="13">
        <v>0</v>
      </c>
      <c r="AO729" s="14">
        <v>0</v>
      </c>
      <c r="AP729" s="13">
        <v>3</v>
      </c>
      <c r="AQ729" s="13">
        <v>11</v>
      </c>
      <c r="AR729" s="15">
        <v>700</v>
      </c>
      <c r="AS729" s="15">
        <v>777</v>
      </c>
    </row>
    <row r="730" spans="1:45" x14ac:dyDescent="0.25">
      <c r="A730">
        <v>1719</v>
      </c>
      <c r="B730" s="11">
        <f t="shared" si="11"/>
        <v>58086</v>
      </c>
      <c r="C730" s="16">
        <v>580860</v>
      </c>
      <c r="D730" s="17">
        <v>0</v>
      </c>
      <c r="E730" s="17">
        <v>1</v>
      </c>
      <c r="F730" s="17">
        <v>80</v>
      </c>
      <c r="G730" s="17">
        <v>51</v>
      </c>
      <c r="H730" s="13" t="str" cm="1">
        <f t="array" ref="H730">_xlfn.IFS(G730&lt;=20,"0-20",G730&lt;=30,"20-30",G730&lt;=40,"30-40",G730&lt;=50,"50-60",G730&lt;=60,"60-70",G730&lt;=70,"70-80",G730&lt;=80,"80-90")</f>
        <v>60-70</v>
      </c>
      <c r="I730" s="17">
        <v>2684</v>
      </c>
      <c r="J730" s="13" t="str" cm="1">
        <f t="array" ref="J730">_xlfn.IFS(K730=1,"Divorciado",L730=1,"Casado",M730=1,"Solteiro",N730=1,"Juntos",O730=1,"Viuvo")</f>
        <v>Divorciado</v>
      </c>
      <c r="K730" s="17">
        <v>1</v>
      </c>
      <c r="L730" s="17">
        <v>0</v>
      </c>
      <c r="M730" s="17">
        <v>0</v>
      </c>
      <c r="N730" s="17">
        <v>0</v>
      </c>
      <c r="O730" s="17">
        <v>0</v>
      </c>
      <c r="P730" s="17">
        <v>0</v>
      </c>
      <c r="Q730" s="17">
        <v>0</v>
      </c>
      <c r="R730" s="17">
        <v>0</v>
      </c>
      <c r="S730" s="17">
        <v>0</v>
      </c>
      <c r="T730" s="17">
        <v>1</v>
      </c>
      <c r="U730" s="17">
        <v>708</v>
      </c>
      <c r="V730" s="13" t="str" cm="1">
        <f t="array" ref="V730">_xlfn.IFS(U730&lt;=250,"0-R$250",U730&lt;=500,"251-R$500",U730&lt;=750,"501-R$750",U730&lt;=1000,"751-R$1000",U730&lt;=1250,"1001-R$1250",U730&lt;=1500,"1251-R$1500")</f>
        <v>501-R$750</v>
      </c>
      <c r="W730" s="17">
        <v>7</v>
      </c>
      <c r="X730" s="13" t="str" cm="1">
        <f t="array" ref="X730">_xlfn.IFS(W730 = 0, "0", W730&lt;=20, "até R$20",W730&lt;=40, "21 - R$40",W730&lt;=60, "41- R$60",W730&lt;=80, "61 - R$80", W730&lt;=100, "81 - R$100",W730&lt;=120, "101 - R$120",W730&lt;=140, "121 - R$140", W730&lt;=160, "141- R$160", W730&lt;=180, "161 - R$180", W730&lt;=200, "181-R$194")</f>
        <v>até R$20</v>
      </c>
      <c r="Y730" s="17">
        <v>62</v>
      </c>
      <c r="Z730" s="17">
        <v>0</v>
      </c>
      <c r="AA730" s="17">
        <v>0</v>
      </c>
      <c r="AB730" s="17">
        <v>15</v>
      </c>
      <c r="AC730" s="17">
        <v>2</v>
      </c>
      <c r="AD730" s="17">
        <v>11</v>
      </c>
      <c r="AE730" s="17">
        <v>3</v>
      </c>
      <c r="AF730" s="17">
        <v>7</v>
      </c>
      <c r="AG730" s="17">
        <v>8</v>
      </c>
      <c r="AH730" s="17">
        <v>0</v>
      </c>
      <c r="AI730" s="17">
        <v>0</v>
      </c>
      <c r="AJ730" s="17">
        <v>0</v>
      </c>
      <c r="AK730" s="17">
        <v>0</v>
      </c>
      <c r="AL730" s="17">
        <v>0</v>
      </c>
      <c r="AM730" s="17">
        <v>0</v>
      </c>
      <c r="AN730" s="17">
        <v>0</v>
      </c>
      <c r="AO730" s="18">
        <v>0</v>
      </c>
      <c r="AP730" s="17">
        <v>3</v>
      </c>
      <c r="AQ730" s="17">
        <v>11</v>
      </c>
      <c r="AR730" s="19">
        <v>762</v>
      </c>
      <c r="AS730" s="19">
        <v>777</v>
      </c>
    </row>
    <row r="731" spans="1:45" x14ac:dyDescent="0.25">
      <c r="A731">
        <v>1912</v>
      </c>
      <c r="B731" s="11">
        <f t="shared" si="11"/>
        <v>54356</v>
      </c>
      <c r="C731" s="12">
        <v>543560</v>
      </c>
      <c r="D731" s="13">
        <v>0</v>
      </c>
      <c r="E731" s="13">
        <v>1</v>
      </c>
      <c r="F731" s="13">
        <v>62</v>
      </c>
      <c r="G731" s="13">
        <v>71</v>
      </c>
      <c r="H731" s="13" t="str" cm="1">
        <f t="array" ref="H731">_xlfn.IFS(G731&lt;=20,"0-20",G731&lt;=30,"20-30",G731&lt;=40,"30-40",G731&lt;=50,"50-60",G731&lt;=60,"60-70",G731&lt;=70,"70-80",G731&lt;=80,"80-90")</f>
        <v>80-90</v>
      </c>
      <c r="I731" s="13">
        <v>2746</v>
      </c>
      <c r="J731" s="13" t="str" cm="1">
        <f t="array" ref="J731">_xlfn.IFS(K731=1,"Divorciado",L731=1,"Casado",M731=1,"Solteiro",N731=1,"Juntos",O731=1,"Viuvo")</f>
        <v>Viuvo</v>
      </c>
      <c r="K731" s="13">
        <v>0</v>
      </c>
      <c r="L731" s="13">
        <v>0</v>
      </c>
      <c r="M731" s="13">
        <v>0</v>
      </c>
      <c r="N731" s="13">
        <v>0</v>
      </c>
      <c r="O731" s="13">
        <v>1</v>
      </c>
      <c r="P731" s="13">
        <v>0</v>
      </c>
      <c r="Q731" s="13">
        <v>0</v>
      </c>
      <c r="R731" s="13">
        <v>0</v>
      </c>
      <c r="S731" s="13">
        <v>0</v>
      </c>
      <c r="T731" s="13">
        <v>1</v>
      </c>
      <c r="U731" s="13">
        <v>710</v>
      </c>
      <c r="V731" s="13" t="str" cm="1">
        <f t="array" ref="V731">_xlfn.IFS(U731&lt;=250,"0-R$250",U731&lt;=500,"251-R$500",U731&lt;=750,"501-R$750",U731&lt;=1000,"751-R$1000",U731&lt;=1250,"1001-R$1250",U731&lt;=1500,"1251-R$1500")</f>
        <v>501-R$750</v>
      </c>
      <c r="W731" s="13">
        <v>15</v>
      </c>
      <c r="X731" s="13" t="str" cm="1">
        <f t="array" ref="X731">_xlfn.IFS(W731 = 0, "0", W731&lt;=20, "até R$20",W731&lt;=40, "21 - R$40",W731&lt;=60, "41- R$60",W731&lt;=80, "61 - R$80", W731&lt;=100, "81 - R$100",W731&lt;=120, "101 - R$120",W731&lt;=140, "121 - R$140", W731&lt;=160, "141- R$160", W731&lt;=180, "161 - R$180", W731&lt;=200, "181-R$194")</f>
        <v>até R$20</v>
      </c>
      <c r="Y731" s="13">
        <v>30</v>
      </c>
      <c r="Z731" s="13">
        <v>20</v>
      </c>
      <c r="AA731" s="13">
        <v>0</v>
      </c>
      <c r="AB731" s="13">
        <v>0</v>
      </c>
      <c r="AC731" s="13">
        <v>3</v>
      </c>
      <c r="AD731" s="13">
        <v>11</v>
      </c>
      <c r="AE731" s="13">
        <v>2</v>
      </c>
      <c r="AF731" s="13">
        <v>8</v>
      </c>
      <c r="AG731" s="13">
        <v>8</v>
      </c>
      <c r="AH731" s="13">
        <v>0</v>
      </c>
      <c r="AI731" s="13">
        <v>0</v>
      </c>
      <c r="AJ731" s="13">
        <v>0</v>
      </c>
      <c r="AK731" s="13">
        <v>0</v>
      </c>
      <c r="AL731" s="13">
        <v>0</v>
      </c>
      <c r="AM731" s="13">
        <v>0</v>
      </c>
      <c r="AN731" s="13">
        <v>1</v>
      </c>
      <c r="AO731" s="14">
        <v>0</v>
      </c>
      <c r="AP731" s="13">
        <v>3</v>
      </c>
      <c r="AQ731" s="13">
        <v>11</v>
      </c>
      <c r="AR731" s="15">
        <v>775</v>
      </c>
      <c r="AS731" s="15">
        <v>775</v>
      </c>
    </row>
    <row r="732" spans="1:45" x14ac:dyDescent="0.25">
      <c r="A732">
        <v>662</v>
      </c>
      <c r="B732" s="11">
        <f t="shared" si="11"/>
        <v>68118</v>
      </c>
      <c r="C732" s="12">
        <v>681180</v>
      </c>
      <c r="D732" s="13">
        <v>0</v>
      </c>
      <c r="E732" s="13">
        <v>1</v>
      </c>
      <c r="F732" s="13">
        <v>51</v>
      </c>
      <c r="G732" s="13">
        <v>57</v>
      </c>
      <c r="H732" s="13" t="str" cm="1">
        <f t="array" ref="H732">_xlfn.IFS(G732&lt;=20,"0-20",G732&lt;=30,"20-30",G732&lt;=40,"30-40",G732&lt;=50,"50-60",G732&lt;=60,"60-70",G732&lt;=70,"70-80",G732&lt;=80,"80-90")</f>
        <v>60-70</v>
      </c>
      <c r="I732" s="13">
        <v>2413</v>
      </c>
      <c r="J732" s="13" t="str" cm="1">
        <f t="array" ref="J732">_xlfn.IFS(K732=1,"Divorciado",L732=1,"Casado",M732=1,"Solteiro",N732=1,"Juntos",O732=1,"Viuvo")</f>
        <v>Divorciado</v>
      </c>
      <c r="K732" s="13">
        <v>1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1</v>
      </c>
      <c r="S732" s="13">
        <v>0</v>
      </c>
      <c r="T732" s="13">
        <v>0</v>
      </c>
      <c r="U732" s="13">
        <v>595</v>
      </c>
      <c r="V732" s="13" t="str" cm="1">
        <f t="array" ref="V732">_xlfn.IFS(U732&lt;=250,"0-R$250",U732&lt;=500,"251-R$500",U732&lt;=750,"501-R$750",U732&lt;=1000,"751-R$1000",U732&lt;=1250,"1001-R$1250",U732&lt;=1500,"1251-R$1500")</f>
        <v>501-R$750</v>
      </c>
      <c r="W732" s="13">
        <v>23</v>
      </c>
      <c r="X732" s="13" t="str" cm="1">
        <f t="array" ref="X732">_xlfn.IFS(W732 = 0, "0", W732&lt;=20, "até R$20",W732&lt;=40, "21 - R$40",W732&lt;=60, "41- R$60",W732&lt;=80, "61 - R$80", W732&lt;=100, "81 - R$100",W732&lt;=120, "101 - R$120",W732&lt;=140, "121 - R$140", W732&lt;=160, "141- R$160", W732&lt;=180, "161 - R$180", W732&lt;=200, "181-R$194")</f>
        <v>21 - R$40</v>
      </c>
      <c r="Y732" s="13">
        <v>123</v>
      </c>
      <c r="Z732" s="13">
        <v>10</v>
      </c>
      <c r="AA732" s="13">
        <v>23</v>
      </c>
      <c r="AB732" s="13">
        <v>154</v>
      </c>
      <c r="AC732" s="13">
        <v>2</v>
      </c>
      <c r="AD732" s="13">
        <v>8</v>
      </c>
      <c r="AE732" s="13">
        <v>9</v>
      </c>
      <c r="AF732" s="13">
        <v>4</v>
      </c>
      <c r="AG732" s="13">
        <v>6</v>
      </c>
      <c r="AH732" s="13">
        <v>0</v>
      </c>
      <c r="AI732" s="13">
        <v>0</v>
      </c>
      <c r="AJ732" s="13">
        <v>0</v>
      </c>
      <c r="AK732" s="13">
        <v>0</v>
      </c>
      <c r="AL732" s="13">
        <v>0</v>
      </c>
      <c r="AM732" s="13">
        <v>0</v>
      </c>
      <c r="AN732" s="13">
        <v>0</v>
      </c>
      <c r="AO732" s="14">
        <v>0</v>
      </c>
      <c r="AP732" s="13">
        <v>3</v>
      </c>
      <c r="AQ732" s="13">
        <v>11</v>
      </c>
      <c r="AR732" s="15">
        <v>620</v>
      </c>
      <c r="AS732" s="15">
        <v>774</v>
      </c>
    </row>
    <row r="733" spans="1:45" x14ac:dyDescent="0.25">
      <c r="A733">
        <v>1235</v>
      </c>
      <c r="B733" s="11">
        <f t="shared" si="11"/>
        <v>68118</v>
      </c>
      <c r="C733" s="16">
        <v>681180</v>
      </c>
      <c r="D733" s="17">
        <v>0</v>
      </c>
      <c r="E733" s="17">
        <v>1</v>
      </c>
      <c r="F733" s="17">
        <v>51</v>
      </c>
      <c r="G733" s="17">
        <v>57</v>
      </c>
      <c r="H733" s="13" t="str" cm="1">
        <f t="array" ref="H733">_xlfn.IFS(G733&lt;=20,"0-20",G733&lt;=30,"20-30",G733&lt;=40,"30-40",G733&lt;=50,"50-60",G733&lt;=60,"60-70",G733&lt;=70,"70-80",G733&lt;=80,"80-90")</f>
        <v>60-70</v>
      </c>
      <c r="I733" s="17">
        <v>2413</v>
      </c>
      <c r="J733" s="13" t="str" cm="1">
        <f t="array" ref="J733">_xlfn.IFS(K733=1,"Divorciado",L733=1,"Casado",M733=1,"Solteiro",N733=1,"Juntos",O733=1,"Viuvo")</f>
        <v>Divorciado</v>
      </c>
      <c r="K733" s="17">
        <v>1</v>
      </c>
      <c r="L733" s="17">
        <v>0</v>
      </c>
      <c r="M733" s="17">
        <v>0</v>
      </c>
      <c r="N733" s="17">
        <v>0</v>
      </c>
      <c r="O733" s="17">
        <v>0</v>
      </c>
      <c r="P733" s="17">
        <v>0</v>
      </c>
      <c r="Q733" s="17">
        <v>0</v>
      </c>
      <c r="R733" s="17">
        <v>1</v>
      </c>
      <c r="S733" s="17">
        <v>0</v>
      </c>
      <c r="T733" s="17">
        <v>0</v>
      </c>
      <c r="U733" s="17">
        <v>595</v>
      </c>
      <c r="V733" s="13" t="str" cm="1">
        <f t="array" ref="V733">_xlfn.IFS(U733&lt;=250,"0-R$250",U733&lt;=500,"251-R$500",U733&lt;=750,"501-R$750",U733&lt;=1000,"751-R$1000",U733&lt;=1250,"1001-R$1250",U733&lt;=1500,"1251-R$1500")</f>
        <v>501-R$750</v>
      </c>
      <c r="W733" s="17">
        <v>23</v>
      </c>
      <c r="X733" s="13" t="str" cm="1">
        <f t="array" ref="X733">_xlfn.IFS(W733 = 0, "0", W733&lt;=20, "até R$20",W733&lt;=40, "21 - R$40",W733&lt;=60, "41- R$60",W733&lt;=80, "61 - R$80", W733&lt;=100, "81 - R$100",W733&lt;=120, "101 - R$120",W733&lt;=140, "121 - R$140", W733&lt;=160, "141- R$160", W733&lt;=180, "161 - R$180", W733&lt;=200, "181-R$194")</f>
        <v>21 - R$40</v>
      </c>
      <c r="Y733" s="17">
        <v>123</v>
      </c>
      <c r="Z733" s="17">
        <v>10</v>
      </c>
      <c r="AA733" s="17">
        <v>23</v>
      </c>
      <c r="AB733" s="17">
        <v>154</v>
      </c>
      <c r="AC733" s="17">
        <v>2</v>
      </c>
      <c r="AD733" s="17">
        <v>8</v>
      </c>
      <c r="AE733" s="17">
        <v>9</v>
      </c>
      <c r="AF733" s="17">
        <v>4</v>
      </c>
      <c r="AG733" s="17">
        <v>6</v>
      </c>
      <c r="AH733" s="17">
        <v>0</v>
      </c>
      <c r="AI733" s="17">
        <v>0</v>
      </c>
      <c r="AJ733" s="17">
        <v>0</v>
      </c>
      <c r="AK733" s="17">
        <v>0</v>
      </c>
      <c r="AL733" s="17">
        <v>0</v>
      </c>
      <c r="AM733" s="17">
        <v>0</v>
      </c>
      <c r="AN733" s="17">
        <v>0</v>
      </c>
      <c r="AO733" s="18">
        <v>0</v>
      </c>
      <c r="AP733" s="17">
        <v>3</v>
      </c>
      <c r="AQ733" s="17">
        <v>11</v>
      </c>
      <c r="AR733" s="19">
        <v>620</v>
      </c>
      <c r="AS733" s="19">
        <v>774</v>
      </c>
    </row>
    <row r="734" spans="1:45" x14ac:dyDescent="0.25">
      <c r="A734">
        <v>1344</v>
      </c>
      <c r="B734" s="11">
        <f t="shared" si="11"/>
        <v>59601</v>
      </c>
      <c r="C734" s="12">
        <v>596010</v>
      </c>
      <c r="D734" s="13">
        <v>0</v>
      </c>
      <c r="E734" s="13">
        <v>1</v>
      </c>
      <c r="F734" s="13">
        <v>14</v>
      </c>
      <c r="G734" s="13">
        <v>43</v>
      </c>
      <c r="H734" s="13" t="str" cm="1">
        <f t="array" ref="H734">_xlfn.IFS(G734&lt;=20,"0-20",G734&lt;=30,"20-30",G734&lt;=40,"30-40",G734&lt;=50,"50-60",G734&lt;=60,"60-70",G734&lt;=70,"70-80",G734&lt;=80,"80-90")</f>
        <v>50-60</v>
      </c>
      <c r="I734" s="13">
        <v>2498</v>
      </c>
      <c r="J734" s="13" t="str" cm="1">
        <f t="array" ref="J734">_xlfn.IFS(K734=1,"Divorciado",L734=1,"Casado",M734=1,"Solteiro",N734=1,"Juntos",O734=1,"Viuvo")</f>
        <v>Divorciado</v>
      </c>
      <c r="K734" s="13">
        <v>1</v>
      </c>
      <c r="L734" s="13">
        <v>0</v>
      </c>
      <c r="M734" s="13">
        <v>0</v>
      </c>
      <c r="N734" s="13">
        <v>0</v>
      </c>
      <c r="O734" s="13">
        <v>0</v>
      </c>
      <c r="P734" s="13">
        <v>1</v>
      </c>
      <c r="Q734" s="13">
        <v>0</v>
      </c>
      <c r="R734" s="13">
        <v>0</v>
      </c>
      <c r="S734" s="13">
        <v>0</v>
      </c>
      <c r="T734" s="13">
        <v>0</v>
      </c>
      <c r="U734" s="13">
        <v>691</v>
      </c>
      <c r="V734" s="13" t="str" cm="1">
        <f t="array" ref="V734">_xlfn.IFS(U734&lt;=250,"0-R$250",U734&lt;=500,"251-R$500",U734&lt;=750,"501-R$750",U734&lt;=1000,"751-R$1000",U734&lt;=1250,"1001-R$1250",U734&lt;=1500,"1251-R$1500")</f>
        <v>501-R$750</v>
      </c>
      <c r="W734" s="13">
        <v>7</v>
      </c>
      <c r="X734" s="13" t="str" cm="1">
        <f t="array" ref="X734">_xlfn.IFS(W734 = 0, "0", W734&lt;=20, "até R$20",W734&lt;=40, "21 - R$40",W734&lt;=60, "41- R$60",W734&lt;=80, "61 - R$80", W734&lt;=100, "81 - R$100",W734&lt;=120, "101 - R$120",W734&lt;=140, "121 - R$140", W734&lt;=160, "141- R$160", W734&lt;=180, "161 - R$180", W734&lt;=200, "181-R$194")</f>
        <v>até R$20</v>
      </c>
      <c r="Y734" s="13">
        <v>69</v>
      </c>
      <c r="Z734" s="13">
        <v>0</v>
      </c>
      <c r="AA734" s="13">
        <v>7</v>
      </c>
      <c r="AB734" s="13">
        <v>23</v>
      </c>
      <c r="AC734" s="13">
        <v>4</v>
      </c>
      <c r="AD734" s="13">
        <v>2</v>
      </c>
      <c r="AE734" s="13">
        <v>2</v>
      </c>
      <c r="AF734" s="13">
        <v>7</v>
      </c>
      <c r="AG734" s="13">
        <v>8</v>
      </c>
      <c r="AH734" s="13">
        <v>0</v>
      </c>
      <c r="AI734" s="13">
        <v>0</v>
      </c>
      <c r="AJ734" s="13">
        <v>1</v>
      </c>
      <c r="AK734" s="13">
        <v>0</v>
      </c>
      <c r="AL734" s="13">
        <v>0</v>
      </c>
      <c r="AM734" s="13">
        <v>0</v>
      </c>
      <c r="AN734" s="13">
        <v>0</v>
      </c>
      <c r="AO734" s="14">
        <v>1</v>
      </c>
      <c r="AP734" s="13">
        <v>3</v>
      </c>
      <c r="AQ734" s="13">
        <v>11</v>
      </c>
      <c r="AR734" s="15">
        <v>751</v>
      </c>
      <c r="AS734" s="15">
        <v>774</v>
      </c>
    </row>
    <row r="735" spans="1:45" x14ac:dyDescent="0.25">
      <c r="A735">
        <v>1371</v>
      </c>
      <c r="B735" s="11">
        <f t="shared" si="11"/>
        <v>63915</v>
      </c>
      <c r="C735" s="16">
        <v>639150</v>
      </c>
      <c r="D735" s="17">
        <v>0</v>
      </c>
      <c r="E735" s="17">
        <v>2</v>
      </c>
      <c r="F735" s="17">
        <v>2</v>
      </c>
      <c r="G735" s="17">
        <v>64</v>
      </c>
      <c r="H735" s="13" t="str" cm="1">
        <f t="array" ref="H735">_xlfn.IFS(G735&lt;=20,"0-20",G735&lt;=30,"20-30",G735&lt;=40,"30-40",G735&lt;=50,"50-60",G735&lt;=60,"60-70",G735&lt;=70,"70-80",G735&lt;=80,"80-90")</f>
        <v>70-80</v>
      </c>
      <c r="I735" s="17">
        <v>2493</v>
      </c>
      <c r="J735" s="13" t="str" cm="1">
        <f t="array" ref="J735">_xlfn.IFS(K735=1,"Divorciado",L735=1,"Casado",M735=1,"Solteiro",N735=1,"Juntos",O735=1,"Viuvo")</f>
        <v>Casado</v>
      </c>
      <c r="K735" s="17">
        <v>0</v>
      </c>
      <c r="L735" s="17">
        <v>1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1</v>
      </c>
      <c r="T735" s="17">
        <v>0</v>
      </c>
      <c r="U735" s="17">
        <v>622</v>
      </c>
      <c r="V735" s="13" t="str" cm="1">
        <f t="array" ref="V735">_xlfn.IFS(U735&lt;=250,"0-R$250",U735&lt;=500,"251-R$500",U735&lt;=750,"501-R$750",U735&lt;=1000,"751-R$1000",U735&lt;=1250,"1001-R$1250",U735&lt;=1500,"1251-R$1500")</f>
        <v>501-R$750</v>
      </c>
      <c r="W735" s="17">
        <v>7</v>
      </c>
      <c r="X735" s="13" t="str" cm="1">
        <f t="array" ref="X735">_xlfn.IFS(W735 = 0, "0", W735&lt;=20, "até R$20",W735&lt;=40, "21 - R$40",W735&lt;=60, "41- R$60",W735&lt;=80, "61 - R$80", W735&lt;=100, "81 - R$100",W735&lt;=120, "101 - R$120",W735&lt;=140, "121 - R$140", W735&lt;=160, "141- R$160", W735&lt;=180, "161 - R$180", W735&lt;=200, "181-R$194")</f>
        <v>até R$20</v>
      </c>
      <c r="Y735" s="17">
        <v>115</v>
      </c>
      <c r="Z735" s="17">
        <v>30</v>
      </c>
      <c r="AA735" s="17">
        <v>0</v>
      </c>
      <c r="AB735" s="17">
        <v>15</v>
      </c>
      <c r="AC735" s="17">
        <v>2</v>
      </c>
      <c r="AD735" s="17">
        <v>6</v>
      </c>
      <c r="AE735" s="17">
        <v>3</v>
      </c>
      <c r="AF735" s="17">
        <v>12</v>
      </c>
      <c r="AG735" s="17">
        <v>5</v>
      </c>
      <c r="AH735" s="17">
        <v>0</v>
      </c>
      <c r="AI735" s="17">
        <v>0</v>
      </c>
      <c r="AJ735" s="17">
        <v>0</v>
      </c>
      <c r="AK735" s="17">
        <v>0</v>
      </c>
      <c r="AL735" s="17">
        <v>0</v>
      </c>
      <c r="AM735" s="17">
        <v>0</v>
      </c>
      <c r="AN735" s="17">
        <v>0</v>
      </c>
      <c r="AO735" s="18">
        <v>0</v>
      </c>
      <c r="AP735" s="17">
        <v>3</v>
      </c>
      <c r="AQ735" s="17">
        <v>11</v>
      </c>
      <c r="AR735" s="19">
        <v>759</v>
      </c>
      <c r="AS735" s="19">
        <v>774</v>
      </c>
    </row>
    <row r="736" spans="1:45" x14ac:dyDescent="0.25">
      <c r="A736">
        <v>477</v>
      </c>
      <c r="B736" s="11">
        <f t="shared" si="11"/>
        <v>58308</v>
      </c>
      <c r="C736" s="16">
        <v>583080</v>
      </c>
      <c r="D736" s="17">
        <v>0</v>
      </c>
      <c r="E736" s="17">
        <v>1</v>
      </c>
      <c r="F736" s="17">
        <v>77</v>
      </c>
      <c r="G736" s="17">
        <v>56</v>
      </c>
      <c r="H736" s="13" t="str" cm="1">
        <f t="array" ref="H736">_xlfn.IFS(G736&lt;=20,"0-20",G736&lt;=30,"20-30",G736&lt;=40,"30-40",G736&lt;=50,"50-60",G736&lt;=60,"60-70",G736&lt;=70,"70-80",G736&lt;=80,"80-90")</f>
        <v>60-70</v>
      </c>
      <c r="I736" s="17">
        <v>2692</v>
      </c>
      <c r="J736" s="13" t="str" cm="1">
        <f t="array" ref="J736">_xlfn.IFS(K736=1,"Divorciado",L736=1,"Casado",M736=1,"Solteiro",N736=1,"Juntos",O736=1,"Viuvo")</f>
        <v>Solteiro</v>
      </c>
      <c r="K736" s="17">
        <v>0</v>
      </c>
      <c r="L736" s="17">
        <v>0</v>
      </c>
      <c r="M736" s="17">
        <v>1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1</v>
      </c>
      <c r="T736" s="17">
        <v>0</v>
      </c>
      <c r="U736" s="17">
        <v>691</v>
      </c>
      <c r="V736" s="13" t="str" cm="1">
        <f t="array" ref="V736">_xlfn.IFS(U736&lt;=250,"0-R$250",U736&lt;=500,"251-R$500",U736&lt;=750,"501-R$750",U736&lt;=1000,"751-R$1000",U736&lt;=1250,"1001-R$1250",U736&lt;=1500,"1251-R$1500")</f>
        <v>501-R$750</v>
      </c>
      <c r="W736" s="17">
        <v>0</v>
      </c>
      <c r="X736" s="13" t="str" cm="1">
        <f t="array" ref="X736">_xlfn.IFS(W736 = 0, "0", W736&lt;=20, "até R$20",W736&lt;=40, "21 - R$40",W736&lt;=60, "41- R$60",W736&lt;=80, "61 - R$80", W736&lt;=100, "81 - R$100",W736&lt;=120, "101 - R$120",W736&lt;=140, "121 - R$140", W736&lt;=160, "141- R$160", W736&lt;=180, "161 - R$180", W736&lt;=200, "181-R$194")</f>
        <v>0</v>
      </c>
      <c r="Y736" s="17">
        <v>69</v>
      </c>
      <c r="Z736" s="17">
        <v>10</v>
      </c>
      <c r="AA736" s="17">
        <v>0</v>
      </c>
      <c r="AB736" s="17">
        <v>130</v>
      </c>
      <c r="AC736" s="17">
        <v>4</v>
      </c>
      <c r="AD736" s="17">
        <v>2</v>
      </c>
      <c r="AE736" s="17">
        <v>6</v>
      </c>
      <c r="AF736" s="17">
        <v>3</v>
      </c>
      <c r="AG736" s="17">
        <v>8</v>
      </c>
      <c r="AH736" s="17">
        <v>0</v>
      </c>
      <c r="AI736" s="17">
        <v>0</v>
      </c>
      <c r="AJ736" s="17">
        <v>0</v>
      </c>
      <c r="AK736" s="17">
        <v>0</v>
      </c>
      <c r="AL736" s="17">
        <v>0</v>
      </c>
      <c r="AM736" s="17">
        <v>0</v>
      </c>
      <c r="AN736" s="17">
        <v>0</v>
      </c>
      <c r="AO736" s="18">
        <v>0</v>
      </c>
      <c r="AP736" s="17">
        <v>3</v>
      </c>
      <c r="AQ736" s="17">
        <v>11</v>
      </c>
      <c r="AR736" s="19">
        <v>640</v>
      </c>
      <c r="AS736" s="19">
        <v>770</v>
      </c>
    </row>
    <row r="737" spans="1:45" x14ac:dyDescent="0.25">
      <c r="A737">
        <v>1694</v>
      </c>
      <c r="B737" s="11">
        <f t="shared" si="11"/>
        <v>55424</v>
      </c>
      <c r="C737" s="12">
        <v>554240</v>
      </c>
      <c r="D737" s="13">
        <v>0</v>
      </c>
      <c r="E737" s="13">
        <v>1</v>
      </c>
      <c r="F737" s="13">
        <v>6</v>
      </c>
      <c r="G737" s="13">
        <v>44</v>
      </c>
      <c r="H737" s="13" t="str" cm="1">
        <f t="array" ref="H737">_xlfn.IFS(G737&lt;=20,"0-20",G737&lt;=30,"20-30",G737&lt;=40,"30-40",G737&lt;=50,"50-60",G737&lt;=60,"60-70",G737&lt;=70,"70-80",G737&lt;=80,"80-90")</f>
        <v>50-60</v>
      </c>
      <c r="I737" s="13">
        <v>2740</v>
      </c>
      <c r="J737" s="13" t="str" cm="1">
        <f t="array" ref="J737">_xlfn.IFS(K737=1,"Divorciado",L737=1,"Casado",M737=1,"Solteiro",N737=1,"Juntos",O737=1,"Viuvo")</f>
        <v>Casado</v>
      </c>
      <c r="K737" s="13">
        <v>0</v>
      </c>
      <c r="L737" s="13">
        <v>1</v>
      </c>
      <c r="M737" s="13">
        <v>0</v>
      </c>
      <c r="N737" s="13">
        <v>0</v>
      </c>
      <c r="O737" s="13">
        <v>0</v>
      </c>
      <c r="P737" s="13">
        <v>0</v>
      </c>
      <c r="Q737" s="13">
        <v>0</v>
      </c>
      <c r="R737" s="13">
        <v>0</v>
      </c>
      <c r="S737" s="13">
        <v>0</v>
      </c>
      <c r="T737" s="13">
        <v>1</v>
      </c>
      <c r="U737" s="13">
        <v>462</v>
      </c>
      <c r="V737" s="13" t="str" cm="1">
        <f t="array" ref="V737">_xlfn.IFS(U737&lt;=250,"0-R$250",U737&lt;=500,"251-R$500",U737&lt;=750,"501-R$750",U737&lt;=1000,"751-R$1000",U737&lt;=1250,"1001-R$1250",U737&lt;=1500,"1251-R$1500")</f>
        <v>251-R$500</v>
      </c>
      <c r="W737" s="13">
        <v>61</v>
      </c>
      <c r="X737" s="13" t="str" cm="1">
        <f t="array" ref="X737">_xlfn.IFS(W737 = 0, "0", W737&lt;=20, "até R$20",W737&lt;=40, "21 - R$40",W737&lt;=60, "41- R$60",W737&lt;=80, "61 - R$80", W737&lt;=100, "81 - R$100",W737&lt;=120, "101 - R$120",W737&lt;=140, "121 - R$140", W737&lt;=160, "141- R$160", W737&lt;=180, "161 - R$180", W737&lt;=200, "181-R$194")</f>
        <v>61 - R$80</v>
      </c>
      <c r="Y737" s="13">
        <v>184</v>
      </c>
      <c r="Z737" s="13">
        <v>10</v>
      </c>
      <c r="AA737" s="13">
        <v>53</v>
      </c>
      <c r="AB737" s="13">
        <v>107</v>
      </c>
      <c r="AC737" s="13">
        <v>4</v>
      </c>
      <c r="AD737" s="13">
        <v>7</v>
      </c>
      <c r="AE737" s="13">
        <v>5</v>
      </c>
      <c r="AF737" s="13">
        <v>9</v>
      </c>
      <c r="AG737" s="13">
        <v>6</v>
      </c>
      <c r="AH737" s="13">
        <v>0</v>
      </c>
      <c r="AI737" s="13">
        <v>1</v>
      </c>
      <c r="AJ737" s="13">
        <v>0</v>
      </c>
      <c r="AK737" s="13">
        <v>0</v>
      </c>
      <c r="AL737" s="13">
        <v>0</v>
      </c>
      <c r="AM737" s="13">
        <v>0</v>
      </c>
      <c r="AN737" s="13">
        <v>1</v>
      </c>
      <c r="AO737" s="14">
        <v>1</v>
      </c>
      <c r="AP737" s="13">
        <v>3</v>
      </c>
      <c r="AQ737" s="13">
        <v>11</v>
      </c>
      <c r="AR737" s="15">
        <v>663</v>
      </c>
      <c r="AS737" s="15">
        <v>770</v>
      </c>
    </row>
    <row r="738" spans="1:45" x14ac:dyDescent="0.25">
      <c r="A738">
        <v>1314</v>
      </c>
      <c r="B738" s="11">
        <f t="shared" si="11"/>
        <v>88097</v>
      </c>
      <c r="C738" s="12">
        <v>880970</v>
      </c>
      <c r="D738" s="13">
        <v>1</v>
      </c>
      <c r="E738" s="13">
        <v>0</v>
      </c>
      <c r="F738" s="13">
        <v>24</v>
      </c>
      <c r="G738" s="13">
        <v>42</v>
      </c>
      <c r="H738" s="13" t="str" cm="1">
        <f t="array" ref="H738">_xlfn.IFS(G738&lt;=20,"0-20",G738&lt;=30,"20-30",G738&lt;=40,"30-40",G738&lt;=50,"50-60",G738&lt;=60,"60-70",G738&lt;=70,"70-80",G738&lt;=80,"80-90")</f>
        <v>50-60</v>
      </c>
      <c r="I738" s="13">
        <v>2839</v>
      </c>
      <c r="J738" s="13" t="str" cm="1">
        <f t="array" ref="J738">_xlfn.IFS(K738=1,"Divorciado",L738=1,"Casado",M738=1,"Solteiro",N738=1,"Juntos",O738=1,"Viuvo")</f>
        <v>Casado</v>
      </c>
      <c r="K738" s="13">
        <v>0</v>
      </c>
      <c r="L738" s="13">
        <v>1</v>
      </c>
      <c r="M738" s="13">
        <v>0</v>
      </c>
      <c r="N738" s="13">
        <v>0</v>
      </c>
      <c r="O738" s="13">
        <v>0</v>
      </c>
      <c r="P738" s="13">
        <v>0</v>
      </c>
      <c r="Q738" s="13">
        <v>0</v>
      </c>
      <c r="R738" s="13">
        <v>0</v>
      </c>
      <c r="S738" s="13">
        <v>1</v>
      </c>
      <c r="T738" s="13">
        <v>0</v>
      </c>
      <c r="U738" s="13">
        <v>163</v>
      </c>
      <c r="V738" s="13" t="str" cm="1">
        <f t="array" ref="V738">_xlfn.IFS(U738&lt;=250,"0-R$250",U738&lt;=500,"251-R$500",U738&lt;=750,"501-R$750",U738&lt;=1000,"751-R$1000",U738&lt;=1250,"1001-R$1250",U738&lt;=1500,"1251-R$1500")</f>
        <v>0-R$250</v>
      </c>
      <c r="W738" s="13">
        <v>0</v>
      </c>
      <c r="X738" s="13" t="str" cm="1">
        <f t="array" ref="X738">_xlfn.IFS(W738 = 0, "0", W738&lt;=20, "até R$20",W738&lt;=40, "21 - R$40",W738&lt;=60, "41- R$60",W738&lt;=80, "61 - R$80", W738&lt;=100, "81 - R$100",W738&lt;=120, "101 - R$120",W738&lt;=140, "121 - R$140", W738&lt;=160, "141- R$160", W738&lt;=180, "161 - R$180", W738&lt;=200, "181-R$194")</f>
        <v>0</v>
      </c>
      <c r="Y738" s="13">
        <v>480</v>
      </c>
      <c r="Z738" s="13">
        <v>0</v>
      </c>
      <c r="AA738" s="13">
        <v>126</v>
      </c>
      <c r="AB738" s="13">
        <v>75</v>
      </c>
      <c r="AC738" s="13">
        <v>1</v>
      </c>
      <c r="AD738" s="13">
        <v>6</v>
      </c>
      <c r="AE738" s="13">
        <v>5</v>
      </c>
      <c r="AF738" s="13">
        <v>8</v>
      </c>
      <c r="AG738" s="13">
        <v>9</v>
      </c>
      <c r="AH738" s="13">
        <v>0</v>
      </c>
      <c r="AI738" s="13">
        <v>0</v>
      </c>
      <c r="AJ738" s="13">
        <v>1</v>
      </c>
      <c r="AK738" s="13">
        <v>1</v>
      </c>
      <c r="AL738" s="13">
        <v>1</v>
      </c>
      <c r="AM738" s="13">
        <v>0</v>
      </c>
      <c r="AN738" s="13">
        <v>1</v>
      </c>
      <c r="AO738" s="14">
        <v>3</v>
      </c>
      <c r="AP738" s="13">
        <v>3</v>
      </c>
      <c r="AQ738" s="13">
        <v>11</v>
      </c>
      <c r="AR738" s="15">
        <v>694</v>
      </c>
      <c r="AS738" s="15">
        <v>769</v>
      </c>
    </row>
    <row r="739" spans="1:45" x14ac:dyDescent="0.25">
      <c r="A739">
        <v>1662</v>
      </c>
      <c r="B739" s="11">
        <f t="shared" si="11"/>
        <v>56534</v>
      </c>
      <c r="C739" s="12">
        <v>565340</v>
      </c>
      <c r="D739" s="13">
        <v>0</v>
      </c>
      <c r="E739" s="13">
        <v>1</v>
      </c>
      <c r="F739" s="13">
        <v>35</v>
      </c>
      <c r="G739" s="13">
        <v>52</v>
      </c>
      <c r="H739" s="13" t="str" cm="1">
        <f t="array" ref="H739">_xlfn.IFS(G739&lt;=20,"0-20",G739&lt;=30,"20-30",G739&lt;=40,"30-40",G739&lt;=50,"50-60",G739&lt;=60,"60-70",G739&lt;=70,"70-80",G739&lt;=80,"80-90")</f>
        <v>60-70</v>
      </c>
      <c r="I739" s="13">
        <v>2500</v>
      </c>
      <c r="J739" s="13" t="str" cm="1">
        <f t="array" ref="J739">_xlfn.IFS(K739=1,"Divorciado",L739=1,"Casado",M739=1,"Solteiro",N739=1,"Juntos",O739=1,"Viuvo")</f>
        <v>Juntos</v>
      </c>
      <c r="K739" s="13">
        <v>0</v>
      </c>
      <c r="L739" s="13">
        <v>0</v>
      </c>
      <c r="M739" s="13">
        <v>0</v>
      </c>
      <c r="N739" s="13">
        <v>1</v>
      </c>
      <c r="O739" s="13">
        <v>0</v>
      </c>
      <c r="P739" s="13">
        <v>0</v>
      </c>
      <c r="Q739" s="13">
        <v>0</v>
      </c>
      <c r="R739" s="13">
        <v>1</v>
      </c>
      <c r="S739" s="13">
        <v>0</v>
      </c>
      <c r="T739" s="13">
        <v>0</v>
      </c>
      <c r="U739" s="13">
        <v>691</v>
      </c>
      <c r="V739" s="13" t="str" cm="1">
        <f t="array" ref="V739">_xlfn.IFS(U739&lt;=250,"0-R$250",U739&lt;=500,"251-R$500",U739&lt;=750,"501-R$750",U739&lt;=1000,"751-R$1000",U739&lt;=1250,"1001-R$1250",U739&lt;=1500,"1251-R$1500")</f>
        <v>501-R$750</v>
      </c>
      <c r="W739" s="13">
        <v>7</v>
      </c>
      <c r="X739" s="13" t="str" cm="1">
        <f t="array" ref="X739">_xlfn.IFS(W739 = 0, "0", W739&lt;=20, "até R$20",W739&lt;=40, "21 - R$40",W739&lt;=60, "41- R$60",W739&lt;=80, "61 - R$80", W739&lt;=100, "81 - R$100",W739&lt;=120, "101 - R$120",W739&lt;=140, "121 - R$140", W739&lt;=160, "141- R$160", W739&lt;=180, "161 - R$180", W739&lt;=200, "181-R$194")</f>
        <v>até R$20</v>
      </c>
      <c r="Y739" s="13">
        <v>61</v>
      </c>
      <c r="Z739" s="13">
        <v>10</v>
      </c>
      <c r="AA739" s="13">
        <v>0</v>
      </c>
      <c r="AB739" s="13">
        <v>46</v>
      </c>
      <c r="AC739" s="13">
        <v>4</v>
      </c>
      <c r="AD739" s="13">
        <v>10</v>
      </c>
      <c r="AE739" s="13">
        <v>4</v>
      </c>
      <c r="AF739" s="13">
        <v>7</v>
      </c>
      <c r="AG739" s="13">
        <v>8</v>
      </c>
      <c r="AH739" s="13">
        <v>0</v>
      </c>
      <c r="AI739" s="13">
        <v>0</v>
      </c>
      <c r="AJ739" s="13">
        <v>1</v>
      </c>
      <c r="AK739" s="13">
        <v>0</v>
      </c>
      <c r="AL739" s="13">
        <v>0</v>
      </c>
      <c r="AM739" s="13">
        <v>1</v>
      </c>
      <c r="AN739" s="13">
        <v>1</v>
      </c>
      <c r="AO739" s="14">
        <v>2</v>
      </c>
      <c r="AP739" s="13">
        <v>3</v>
      </c>
      <c r="AQ739" s="13">
        <v>11</v>
      </c>
      <c r="AR739" s="15">
        <v>723</v>
      </c>
      <c r="AS739" s="15">
        <v>769</v>
      </c>
    </row>
    <row r="740" spans="1:45" x14ac:dyDescent="0.25">
      <c r="A740">
        <v>2112</v>
      </c>
      <c r="B740" s="11">
        <f t="shared" si="11"/>
        <v>65333</v>
      </c>
      <c r="C740" s="12">
        <v>653330</v>
      </c>
      <c r="D740" s="13">
        <v>0</v>
      </c>
      <c r="E740" s="13">
        <v>1</v>
      </c>
      <c r="F740" s="13">
        <v>58</v>
      </c>
      <c r="G740" s="13">
        <v>47</v>
      </c>
      <c r="H740" s="13" t="str" cm="1">
        <f t="array" ref="H740">_xlfn.IFS(G740&lt;=20,"0-20",G740&lt;=30,"20-30",G740&lt;=40,"30-40",G740&lt;=50,"50-60",G740&lt;=60,"60-70",G740&lt;=70,"70-80",G740&lt;=80,"80-90")</f>
        <v>50-60</v>
      </c>
      <c r="I740" s="13">
        <v>2322</v>
      </c>
      <c r="J740" s="13" t="str" cm="1">
        <f t="array" ref="J740">_xlfn.IFS(K740=1,"Divorciado",L740=1,"Casado",M740=1,"Solteiro",N740=1,"Juntos",O740=1,"Viuvo")</f>
        <v>Solteiro</v>
      </c>
      <c r="K740" s="13">
        <v>0</v>
      </c>
      <c r="L740" s="13">
        <v>0</v>
      </c>
      <c r="M740" s="13">
        <v>1</v>
      </c>
      <c r="N740" s="13">
        <v>0</v>
      </c>
      <c r="O740" s="13">
        <v>0</v>
      </c>
      <c r="P740" s="13">
        <v>0</v>
      </c>
      <c r="Q740" s="13">
        <v>0</v>
      </c>
      <c r="R740" s="13">
        <v>1</v>
      </c>
      <c r="S740" s="13">
        <v>0</v>
      </c>
      <c r="T740" s="13">
        <v>0</v>
      </c>
      <c r="U740" s="13">
        <v>654</v>
      </c>
      <c r="V740" s="13" t="str" cm="1">
        <f t="array" ref="V740">_xlfn.IFS(U740&lt;=250,"0-R$250",U740&lt;=500,"251-R$500",U740&lt;=750,"501-R$750",U740&lt;=1000,"751-R$1000",U740&lt;=1250,"1001-R$1250",U740&lt;=1500,"1251-R$1500")</f>
        <v>501-R$750</v>
      </c>
      <c r="W740" s="13">
        <v>7</v>
      </c>
      <c r="X740" s="13" t="str" cm="1">
        <f t="array" ref="X740">_xlfn.IFS(W740 = 0, "0", W740&lt;=20, "até R$20",W740&lt;=40, "21 - R$40",W740&lt;=60, "41- R$60",W740&lt;=80, "61 - R$80", W740&lt;=100, "81 - R$100",W740&lt;=120, "101 - R$120",W740&lt;=140, "121 - R$140", W740&lt;=160, "141- R$160", W740&lt;=180, "161 - R$180", W740&lt;=200, "181-R$194")</f>
        <v>até R$20</v>
      </c>
      <c r="Y740" s="13">
        <v>92</v>
      </c>
      <c r="Z740" s="13">
        <v>0</v>
      </c>
      <c r="AA740" s="13">
        <v>15</v>
      </c>
      <c r="AB740" s="13">
        <v>30</v>
      </c>
      <c r="AC740" s="13">
        <v>7</v>
      </c>
      <c r="AD740" s="13">
        <v>9</v>
      </c>
      <c r="AE740" s="13">
        <v>4</v>
      </c>
      <c r="AF740" s="13">
        <v>8</v>
      </c>
      <c r="AG740" s="13">
        <v>6</v>
      </c>
      <c r="AH740" s="13">
        <v>0</v>
      </c>
      <c r="AI740" s="13">
        <v>0</v>
      </c>
      <c r="AJ740" s="13">
        <v>1</v>
      </c>
      <c r="AK740" s="13">
        <v>1</v>
      </c>
      <c r="AL740" s="13">
        <v>0</v>
      </c>
      <c r="AM740" s="13">
        <v>0</v>
      </c>
      <c r="AN740" s="13">
        <v>0</v>
      </c>
      <c r="AO740" s="14">
        <v>2</v>
      </c>
      <c r="AP740" s="13">
        <v>3</v>
      </c>
      <c r="AQ740" s="13">
        <v>11</v>
      </c>
      <c r="AR740" s="15">
        <v>738</v>
      </c>
      <c r="AS740" s="15">
        <v>768</v>
      </c>
    </row>
    <row r="741" spans="1:45" x14ac:dyDescent="0.25">
      <c r="A741">
        <v>329</v>
      </c>
      <c r="B741" s="11">
        <f t="shared" si="11"/>
        <v>82623</v>
      </c>
      <c r="C741" s="16">
        <v>826230</v>
      </c>
      <c r="D741" s="17">
        <v>0</v>
      </c>
      <c r="E741" s="17">
        <v>0</v>
      </c>
      <c r="F741" s="17">
        <v>58</v>
      </c>
      <c r="G741" s="17">
        <v>68</v>
      </c>
      <c r="H741" s="13" t="str" cm="1">
        <f t="array" ref="H741">_xlfn.IFS(G741&lt;=20,"0-20",G741&lt;=30,"20-30",G741&lt;=40,"30-40",G741&lt;=50,"50-60",G741&lt;=60,"60-70",G741&lt;=70,"70-80",G741&lt;=80,"80-90")</f>
        <v>70-80</v>
      </c>
      <c r="I741" s="17">
        <v>2390</v>
      </c>
      <c r="J741" s="13" t="str" cm="1">
        <f t="array" ref="J741">_xlfn.IFS(K741=1,"Divorciado",L741=1,"Casado",M741=1,"Solteiro",N741=1,"Juntos",O741=1,"Viuvo")</f>
        <v>Divorciado</v>
      </c>
      <c r="K741" s="17">
        <v>1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1</v>
      </c>
      <c r="S741" s="17">
        <v>0</v>
      </c>
      <c r="T741" s="17">
        <v>0</v>
      </c>
      <c r="U741" s="17">
        <v>204</v>
      </c>
      <c r="V741" s="13" t="str" cm="1">
        <f t="array" ref="V741">_xlfn.IFS(U741&lt;=250,"0-R$250",U741&lt;=500,"251-R$500",U741&lt;=750,"501-R$750",U741&lt;=1000,"751-R$1000",U741&lt;=1250,"1001-R$1250",U741&lt;=1500,"1251-R$1500")</f>
        <v>0-R$250</v>
      </c>
      <c r="W741" s="17">
        <v>34</v>
      </c>
      <c r="X741" s="13" t="str" cm="1">
        <f t="array" ref="X741">_xlfn.IFS(W741 = 0, "0", W741&lt;=20, "até R$20",W741&lt;=40, "21 - R$40",W741&lt;=60, "41- R$60",W741&lt;=80, "61 - R$80", W741&lt;=100, "81 - R$100",W741&lt;=120, "101 - R$120",W741&lt;=140, "121 - R$140", W741&lt;=160, "141- R$160", W741&lt;=180, "161 - R$180", W741&lt;=200, "181-R$194")</f>
        <v>21 - R$40</v>
      </c>
      <c r="Y741" s="17">
        <v>204</v>
      </c>
      <c r="Z741" s="17">
        <v>172</v>
      </c>
      <c r="AA741" s="17">
        <v>153</v>
      </c>
      <c r="AB741" s="17">
        <v>173</v>
      </c>
      <c r="AC741" s="17">
        <v>1</v>
      </c>
      <c r="AD741" s="17">
        <v>2</v>
      </c>
      <c r="AE741" s="17">
        <v>9</v>
      </c>
      <c r="AF741" s="17">
        <v>4</v>
      </c>
      <c r="AG741" s="17">
        <v>1</v>
      </c>
      <c r="AH741" s="17">
        <v>0</v>
      </c>
      <c r="AI741" s="17">
        <v>0</v>
      </c>
      <c r="AJ741" s="17">
        <v>0</v>
      </c>
      <c r="AK741" s="17">
        <v>0</v>
      </c>
      <c r="AL741" s="17">
        <v>0</v>
      </c>
      <c r="AM741" s="17">
        <v>0</v>
      </c>
      <c r="AN741" s="17">
        <v>0</v>
      </c>
      <c r="AO741" s="18">
        <v>0</v>
      </c>
      <c r="AP741" s="17">
        <v>3</v>
      </c>
      <c r="AQ741" s="17">
        <v>11</v>
      </c>
      <c r="AR741" s="19">
        <v>594</v>
      </c>
      <c r="AS741" s="19">
        <v>767</v>
      </c>
    </row>
    <row r="742" spans="1:45" x14ac:dyDescent="0.25">
      <c r="A742">
        <v>1620</v>
      </c>
      <c r="B742" s="11">
        <f t="shared" si="11"/>
        <v>75774</v>
      </c>
      <c r="C742" s="12">
        <v>757740</v>
      </c>
      <c r="D742" s="13">
        <v>1</v>
      </c>
      <c r="E742" s="13">
        <v>0</v>
      </c>
      <c r="F742" s="13">
        <v>27</v>
      </c>
      <c r="G742" s="13">
        <v>39</v>
      </c>
      <c r="H742" s="13" t="str" cm="1">
        <f t="array" ref="H742">_xlfn.IFS(G742&lt;=20,"0-20",G742&lt;=30,"20-30",G742&lt;=40,"30-40",G742&lt;=50,"50-60",G742&lt;=60,"60-70",G742&lt;=70,"70-80",G742&lt;=80,"80-90")</f>
        <v>30-40</v>
      </c>
      <c r="I742" s="13">
        <v>2217</v>
      </c>
      <c r="J742" s="13" t="str" cm="1">
        <f t="array" ref="J742">_xlfn.IFS(K742=1,"Divorciado",L742=1,"Casado",M742=1,"Solteiro",N742=1,"Juntos",O742=1,"Viuvo")</f>
        <v>Juntos</v>
      </c>
      <c r="K742" s="13">
        <v>0</v>
      </c>
      <c r="L742" s="13">
        <v>0</v>
      </c>
      <c r="M742" s="13">
        <v>0</v>
      </c>
      <c r="N742" s="13">
        <v>1</v>
      </c>
      <c r="O742" s="13">
        <v>0</v>
      </c>
      <c r="P742" s="13">
        <v>1</v>
      </c>
      <c r="Q742" s="13">
        <v>0</v>
      </c>
      <c r="R742" s="13">
        <v>0</v>
      </c>
      <c r="S742" s="13">
        <v>0</v>
      </c>
      <c r="T742" s="13">
        <v>0</v>
      </c>
      <c r="U742" s="13">
        <v>340</v>
      </c>
      <c r="V742" s="13" t="str" cm="1">
        <f t="array" ref="V742">_xlfn.IFS(U742&lt;=250,"0-R$250",U742&lt;=500,"251-R$500",U742&lt;=750,"501-R$750",U742&lt;=1000,"751-R$1000",U742&lt;=1250,"1001-R$1250",U742&lt;=1500,"1251-R$1500")</f>
        <v>251-R$500</v>
      </c>
      <c r="W742" s="13">
        <v>21</v>
      </c>
      <c r="X742" s="13" t="str" cm="1">
        <f t="array" ref="X742">_xlfn.IFS(W742 = 0, "0", W742&lt;=20, "até R$20",W742&lt;=40, "21 - R$40",W742&lt;=60, "41- R$60",W742&lt;=80, "61 - R$80", W742&lt;=100, "81 - R$100",W742&lt;=120, "101 - R$120",W742&lt;=140, "121 - R$140", W742&lt;=160, "141- R$160", W742&lt;=180, "161 - R$180", W742&lt;=200, "181-R$194")</f>
        <v>21 - R$40</v>
      </c>
      <c r="Y742" s="13">
        <v>134</v>
      </c>
      <c r="Z742" s="13">
        <v>258</v>
      </c>
      <c r="AA742" s="13">
        <v>14</v>
      </c>
      <c r="AB742" s="13">
        <v>56</v>
      </c>
      <c r="AC742" s="13">
        <v>1</v>
      </c>
      <c r="AD742" s="13">
        <v>7</v>
      </c>
      <c r="AE742" s="13">
        <v>5</v>
      </c>
      <c r="AF742" s="13">
        <v>8</v>
      </c>
      <c r="AG742" s="13">
        <v>4</v>
      </c>
      <c r="AH742" s="13">
        <v>0</v>
      </c>
      <c r="AI742" s="13">
        <v>0</v>
      </c>
      <c r="AJ742" s="13">
        <v>0</v>
      </c>
      <c r="AK742" s="13">
        <v>0</v>
      </c>
      <c r="AL742" s="13">
        <v>0</v>
      </c>
      <c r="AM742" s="13">
        <v>0</v>
      </c>
      <c r="AN742" s="13">
        <v>0</v>
      </c>
      <c r="AO742" s="14">
        <v>0</v>
      </c>
      <c r="AP742" s="13">
        <v>3</v>
      </c>
      <c r="AQ742" s="13">
        <v>11</v>
      </c>
      <c r="AR742" s="15">
        <v>711</v>
      </c>
      <c r="AS742" s="15">
        <v>767</v>
      </c>
    </row>
    <row r="743" spans="1:45" x14ac:dyDescent="0.25">
      <c r="A743">
        <v>1774</v>
      </c>
      <c r="B743" s="11">
        <f t="shared" si="11"/>
        <v>75774</v>
      </c>
      <c r="C743" s="12">
        <v>757740</v>
      </c>
      <c r="D743" s="13">
        <v>1</v>
      </c>
      <c r="E743" s="13">
        <v>0</v>
      </c>
      <c r="F743" s="13">
        <v>27</v>
      </c>
      <c r="G743" s="13">
        <v>39</v>
      </c>
      <c r="H743" s="13" t="str" cm="1">
        <f t="array" ref="H743">_xlfn.IFS(G743&lt;=20,"0-20",G743&lt;=30,"20-30",G743&lt;=40,"30-40",G743&lt;=50,"50-60",G743&lt;=60,"60-70",G743&lt;=70,"70-80",G743&lt;=80,"80-90")</f>
        <v>30-40</v>
      </c>
      <c r="I743" s="13">
        <v>2217</v>
      </c>
      <c r="J743" s="13" t="str" cm="1">
        <f t="array" ref="J743">_xlfn.IFS(K743=1,"Divorciado",L743=1,"Casado",M743=1,"Solteiro",N743=1,"Juntos",O743=1,"Viuvo")</f>
        <v>Juntos</v>
      </c>
      <c r="K743" s="13">
        <v>0</v>
      </c>
      <c r="L743" s="13">
        <v>0</v>
      </c>
      <c r="M743" s="13">
        <v>0</v>
      </c>
      <c r="N743" s="13">
        <v>1</v>
      </c>
      <c r="O743" s="13">
        <v>0</v>
      </c>
      <c r="P743" s="13">
        <v>1</v>
      </c>
      <c r="Q743" s="13">
        <v>0</v>
      </c>
      <c r="R743" s="13">
        <v>0</v>
      </c>
      <c r="S743" s="13">
        <v>0</v>
      </c>
      <c r="T743" s="13">
        <v>0</v>
      </c>
      <c r="U743" s="13">
        <v>340</v>
      </c>
      <c r="V743" s="13" t="str" cm="1">
        <f t="array" ref="V743">_xlfn.IFS(U743&lt;=250,"0-R$250",U743&lt;=500,"251-R$500",U743&lt;=750,"501-R$750",U743&lt;=1000,"751-R$1000",U743&lt;=1250,"1001-R$1250",U743&lt;=1500,"1251-R$1500")</f>
        <v>251-R$500</v>
      </c>
      <c r="W743" s="13">
        <v>21</v>
      </c>
      <c r="X743" s="13" t="str" cm="1">
        <f t="array" ref="X743">_xlfn.IFS(W743 = 0, "0", W743&lt;=20, "até R$20",W743&lt;=40, "21 - R$40",W743&lt;=60, "41- R$60",W743&lt;=80, "61 - R$80", W743&lt;=100, "81 - R$100",W743&lt;=120, "101 - R$120",W743&lt;=140, "121 - R$140", W743&lt;=160, "141- R$160", W743&lt;=180, "161 - R$180", W743&lt;=200, "181-R$194")</f>
        <v>21 - R$40</v>
      </c>
      <c r="Y743" s="13">
        <v>134</v>
      </c>
      <c r="Z743" s="13">
        <v>258</v>
      </c>
      <c r="AA743" s="13">
        <v>14</v>
      </c>
      <c r="AB743" s="13">
        <v>56</v>
      </c>
      <c r="AC743" s="13">
        <v>1</v>
      </c>
      <c r="AD743" s="13">
        <v>7</v>
      </c>
      <c r="AE743" s="13">
        <v>5</v>
      </c>
      <c r="AF743" s="13">
        <v>8</v>
      </c>
      <c r="AG743" s="13">
        <v>4</v>
      </c>
      <c r="AH743" s="13">
        <v>0</v>
      </c>
      <c r="AI743" s="13">
        <v>0</v>
      </c>
      <c r="AJ743" s="13">
        <v>0</v>
      </c>
      <c r="AK743" s="13">
        <v>0</v>
      </c>
      <c r="AL743" s="13">
        <v>0</v>
      </c>
      <c r="AM743" s="13">
        <v>0</v>
      </c>
      <c r="AN743" s="13">
        <v>0</v>
      </c>
      <c r="AO743" s="14">
        <v>0</v>
      </c>
      <c r="AP743" s="13">
        <v>3</v>
      </c>
      <c r="AQ743" s="13">
        <v>11</v>
      </c>
      <c r="AR743" s="15">
        <v>711</v>
      </c>
      <c r="AS743" s="15">
        <v>767</v>
      </c>
    </row>
    <row r="744" spans="1:45" x14ac:dyDescent="0.25">
      <c r="A744">
        <v>1207</v>
      </c>
      <c r="B744" s="11">
        <f t="shared" si="11"/>
        <v>61284</v>
      </c>
      <c r="C744" s="16">
        <v>612840</v>
      </c>
      <c r="D744" s="17">
        <v>0</v>
      </c>
      <c r="E744" s="17">
        <v>0</v>
      </c>
      <c r="F744" s="17">
        <v>76</v>
      </c>
      <c r="G744" s="17">
        <v>65</v>
      </c>
      <c r="H744" s="13" t="str" cm="1">
        <f t="array" ref="H744">_xlfn.IFS(G744&lt;=20,"0-20",G744&lt;=30,"20-30",G744&lt;=40,"30-40",G744&lt;=50,"50-60",G744&lt;=60,"60-70",G744&lt;=70,"70-80",G744&lt;=80,"80-90")</f>
        <v>70-80</v>
      </c>
      <c r="I744" s="17">
        <v>2419</v>
      </c>
      <c r="J744" s="13" t="str" cm="1">
        <f t="array" ref="J744">_xlfn.IFS(K744=1,"Divorciado",L744=1,"Casado",M744=1,"Solteiro",N744=1,"Juntos",O744=1,"Viuvo")</f>
        <v>Solteiro</v>
      </c>
      <c r="K744" s="17">
        <v>0</v>
      </c>
      <c r="L744" s="17">
        <v>0</v>
      </c>
      <c r="M744" s="17">
        <v>1</v>
      </c>
      <c r="N744" s="17">
        <v>0</v>
      </c>
      <c r="O744" s="17">
        <v>0</v>
      </c>
      <c r="P744" s="17">
        <v>0</v>
      </c>
      <c r="Q744" s="17">
        <v>0</v>
      </c>
      <c r="R744" s="17">
        <v>0</v>
      </c>
      <c r="S744" s="17">
        <v>0</v>
      </c>
      <c r="T744" s="17">
        <v>1</v>
      </c>
      <c r="U744" s="17">
        <v>618</v>
      </c>
      <c r="V744" s="13" t="str" cm="1">
        <f t="array" ref="V744">_xlfn.IFS(U744&lt;=250,"0-R$250",U744&lt;=500,"251-R$500",U744&lt;=750,"501-R$750",U744&lt;=1000,"751-R$1000",U744&lt;=1250,"1001-R$1250",U744&lt;=1500,"1251-R$1500")</f>
        <v>501-R$750</v>
      </c>
      <c r="W744" s="17">
        <v>15</v>
      </c>
      <c r="X744" s="13" t="str" cm="1">
        <f t="array" ref="X744">_xlfn.IFS(W744 = 0, "0", W744&lt;=20, "até R$20",W744&lt;=40, "21 - R$40",W744&lt;=60, "41- R$60",W744&lt;=80, "61 - R$80", W744&lt;=100, "81 - R$100",W744&lt;=120, "101 - R$120",W744&lt;=140, "121 - R$140", W744&lt;=160, "141- R$160", W744&lt;=180, "161 - R$180", W744&lt;=200, "181-R$194")</f>
        <v>até R$20</v>
      </c>
      <c r="Y744" s="17">
        <v>106</v>
      </c>
      <c r="Z744" s="17">
        <v>20</v>
      </c>
      <c r="AA744" s="17">
        <v>7</v>
      </c>
      <c r="AB744" s="17">
        <v>45</v>
      </c>
      <c r="AC744" s="17">
        <v>1</v>
      </c>
      <c r="AD744" s="17">
        <v>11</v>
      </c>
      <c r="AE744" s="17">
        <v>2</v>
      </c>
      <c r="AF744" s="17">
        <v>8</v>
      </c>
      <c r="AG744" s="17">
        <v>6</v>
      </c>
      <c r="AH744" s="17">
        <v>0</v>
      </c>
      <c r="AI744" s="17">
        <v>0</v>
      </c>
      <c r="AJ744" s="17">
        <v>1</v>
      </c>
      <c r="AK744" s="17">
        <v>0</v>
      </c>
      <c r="AL744" s="17">
        <v>0</v>
      </c>
      <c r="AM744" s="17">
        <v>0</v>
      </c>
      <c r="AN744" s="17">
        <v>0</v>
      </c>
      <c r="AO744" s="18">
        <v>1</v>
      </c>
      <c r="AP744" s="17">
        <v>3</v>
      </c>
      <c r="AQ744" s="17">
        <v>11</v>
      </c>
      <c r="AR744" s="19">
        <v>721</v>
      </c>
      <c r="AS744" s="19">
        <v>766</v>
      </c>
    </row>
    <row r="745" spans="1:45" x14ac:dyDescent="0.25">
      <c r="A745">
        <v>1641</v>
      </c>
      <c r="B745" s="11">
        <f t="shared" si="11"/>
        <v>63246</v>
      </c>
      <c r="C745" s="16">
        <v>632460</v>
      </c>
      <c r="D745" s="17">
        <v>0</v>
      </c>
      <c r="E745" s="17">
        <v>2</v>
      </c>
      <c r="F745" s="17">
        <v>60</v>
      </c>
      <c r="G745" s="17">
        <v>53</v>
      </c>
      <c r="H745" s="13" t="str" cm="1">
        <f t="array" ref="H745">_xlfn.IFS(G745&lt;=20,"0-20",G745&lt;=30,"20-30",G745&lt;=40,"30-40",G745&lt;=50,"50-60",G745&lt;=60,"60-70",G745&lt;=70,"70-80",G745&lt;=80,"80-90")</f>
        <v>60-70</v>
      </c>
      <c r="I745" s="17">
        <v>2472</v>
      </c>
      <c r="J745" s="13" t="str" cm="1">
        <f t="array" ref="J745">_xlfn.IFS(K745=1,"Divorciado",L745=1,"Casado",M745=1,"Solteiro",N745=1,"Juntos",O745=1,"Viuvo")</f>
        <v>Casado</v>
      </c>
      <c r="K745" s="17">
        <v>0</v>
      </c>
      <c r="L745" s="17">
        <v>1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1</v>
      </c>
      <c r="U745" s="17">
        <v>593</v>
      </c>
      <c r="V745" s="13" t="str" cm="1">
        <f t="array" ref="V745">_xlfn.IFS(U745&lt;=250,"0-R$250",U745&lt;=500,"251-R$500",U745&lt;=750,"501-R$750",U745&lt;=1000,"751-R$1000",U745&lt;=1250,"1001-R$1250",U745&lt;=1500,"1251-R$1500")</f>
        <v>501-R$750</v>
      </c>
      <c r="W745" s="17">
        <v>30</v>
      </c>
      <c r="X745" s="13" t="str" cm="1">
        <f t="array" ref="X745">_xlfn.IFS(W745 = 0, "0", W745&lt;=20, "até R$20",W745&lt;=40, "21 - R$40",W745&lt;=60, "41- R$60",W745&lt;=80, "61 - R$80", W745&lt;=100, "81 - R$100",W745&lt;=120, "101 - R$120",W745&lt;=140, "121 - R$140", W745&lt;=160, "141- R$160", W745&lt;=180, "161 - R$180", W745&lt;=200, "181-R$194")</f>
        <v>21 - R$40</v>
      </c>
      <c r="Y745" s="17">
        <v>91</v>
      </c>
      <c r="Z745" s="17">
        <v>29</v>
      </c>
      <c r="AA745" s="17">
        <v>22</v>
      </c>
      <c r="AB745" s="17">
        <v>7</v>
      </c>
      <c r="AC745" s="17">
        <v>1</v>
      </c>
      <c r="AD745" s="17">
        <v>6</v>
      </c>
      <c r="AE745" s="17">
        <v>3</v>
      </c>
      <c r="AF745" s="17">
        <v>12</v>
      </c>
      <c r="AG745" s="17">
        <v>4</v>
      </c>
      <c r="AH745" s="17">
        <v>0</v>
      </c>
      <c r="AI745" s="17">
        <v>0</v>
      </c>
      <c r="AJ745" s="17">
        <v>0</v>
      </c>
      <c r="AK745" s="17">
        <v>0</v>
      </c>
      <c r="AL745" s="17">
        <v>0</v>
      </c>
      <c r="AM745" s="17">
        <v>0</v>
      </c>
      <c r="AN745" s="17">
        <v>0</v>
      </c>
      <c r="AO745" s="18">
        <v>0</v>
      </c>
      <c r="AP745" s="17">
        <v>3</v>
      </c>
      <c r="AQ745" s="17">
        <v>11</v>
      </c>
      <c r="AR745" s="19">
        <v>758</v>
      </c>
      <c r="AS745" s="19">
        <v>765</v>
      </c>
    </row>
    <row r="746" spans="1:45" x14ac:dyDescent="0.25">
      <c r="A746">
        <v>262</v>
      </c>
      <c r="B746" s="11">
        <f t="shared" si="11"/>
        <v>66313</v>
      </c>
      <c r="C746" s="12">
        <v>663130</v>
      </c>
      <c r="D746" s="13">
        <v>0</v>
      </c>
      <c r="E746" s="13">
        <v>1</v>
      </c>
      <c r="F746" s="13">
        <v>86</v>
      </c>
      <c r="G746" s="13">
        <v>57</v>
      </c>
      <c r="H746" s="13" t="str" cm="1">
        <f t="array" ref="H746">_xlfn.IFS(G746&lt;=20,"0-20",G746&lt;=30,"20-30",G746&lt;=40,"30-40",G746&lt;=50,"50-60",G746&lt;=60,"60-70",G746&lt;=70,"70-80",G746&lt;=80,"80-90")</f>
        <v>60-70</v>
      </c>
      <c r="I746" s="13">
        <v>2445</v>
      </c>
      <c r="J746" s="13" t="str" cm="1">
        <f t="array" ref="J746">_xlfn.IFS(K746=1,"Divorciado",L746=1,"Casado",M746=1,"Solteiro",N746=1,"Juntos",O746=1,"Viuvo")</f>
        <v>Juntos</v>
      </c>
      <c r="K746" s="13">
        <v>0</v>
      </c>
      <c r="L746" s="13">
        <v>0</v>
      </c>
      <c r="M746" s="13">
        <v>0</v>
      </c>
      <c r="N746" s="13">
        <v>1</v>
      </c>
      <c r="O746" s="13">
        <v>0</v>
      </c>
      <c r="P746" s="13">
        <v>0</v>
      </c>
      <c r="Q746" s="13">
        <v>0</v>
      </c>
      <c r="R746" s="13">
        <v>0</v>
      </c>
      <c r="S746" s="13">
        <v>0</v>
      </c>
      <c r="T746" s="13">
        <v>1</v>
      </c>
      <c r="U746" s="13">
        <v>625</v>
      </c>
      <c r="V746" s="13" t="str" cm="1">
        <f t="array" ref="V746">_xlfn.IFS(U746&lt;=250,"0-R$250",U746&lt;=500,"251-R$500",U746&lt;=750,"501-R$750",U746&lt;=1000,"751-R$1000",U746&lt;=1250,"1001-R$1250",U746&lt;=1500,"1251-R$1500")</f>
        <v>501-R$750</v>
      </c>
      <c r="W746" s="13">
        <v>7</v>
      </c>
      <c r="X746" s="13" t="str" cm="1">
        <f t="array" ref="X746">_xlfn.IFS(W746 = 0, "0", W746&lt;=20, "até R$20",W746&lt;=40, "21 - R$40",W746&lt;=60, "41- R$60",W746&lt;=80, "61 - R$80", W746&lt;=100, "81 - R$100",W746&lt;=120, "101 - R$120",W746&lt;=140, "121 - R$140", W746&lt;=160, "141- R$160", W746&lt;=180, "161 - R$180", W746&lt;=200, "181-R$194")</f>
        <v>até R$20</v>
      </c>
      <c r="Y746" s="13">
        <v>99</v>
      </c>
      <c r="Z746" s="13">
        <v>10</v>
      </c>
      <c r="AA746" s="13">
        <v>22</v>
      </c>
      <c r="AB746" s="13">
        <v>7</v>
      </c>
      <c r="AC746" s="13">
        <v>2</v>
      </c>
      <c r="AD746" s="13">
        <v>6</v>
      </c>
      <c r="AE746" s="13">
        <v>3</v>
      </c>
      <c r="AF746" s="13">
        <v>12</v>
      </c>
      <c r="AG746" s="13">
        <v>4</v>
      </c>
      <c r="AH746" s="13">
        <v>0</v>
      </c>
      <c r="AI746" s="13">
        <v>0</v>
      </c>
      <c r="AJ746" s="13">
        <v>0</v>
      </c>
      <c r="AK746" s="13">
        <v>0</v>
      </c>
      <c r="AL746" s="13">
        <v>0</v>
      </c>
      <c r="AM746" s="13">
        <v>0</v>
      </c>
      <c r="AN746" s="13">
        <v>0</v>
      </c>
      <c r="AO746" s="14">
        <v>0</v>
      </c>
      <c r="AP746" s="13">
        <v>3</v>
      </c>
      <c r="AQ746" s="13">
        <v>11</v>
      </c>
      <c r="AR746" s="15">
        <v>756</v>
      </c>
      <c r="AS746" s="15">
        <v>763</v>
      </c>
    </row>
    <row r="747" spans="1:45" x14ac:dyDescent="0.25">
      <c r="A747">
        <v>1520</v>
      </c>
      <c r="B747" s="11">
        <f t="shared" si="11"/>
        <v>51983</v>
      </c>
      <c r="C747" s="12">
        <v>519830</v>
      </c>
      <c r="D747" s="13">
        <v>0</v>
      </c>
      <c r="E747" s="13">
        <v>1</v>
      </c>
      <c r="F747" s="13">
        <v>95</v>
      </c>
      <c r="G747" s="13">
        <v>56</v>
      </c>
      <c r="H747" s="13" t="str" cm="1">
        <f t="array" ref="H747">_xlfn.IFS(G747&lt;=20,"0-20",G747&lt;=30,"20-30",G747&lt;=40,"30-40",G747&lt;=50,"50-60",G747&lt;=60,"60-70",G747&lt;=70,"70-80",G747&lt;=80,"80-90")</f>
        <v>60-70</v>
      </c>
      <c r="I747" s="13">
        <v>2826</v>
      </c>
      <c r="J747" s="13" t="str" cm="1">
        <f t="array" ref="J747">_xlfn.IFS(K747=1,"Divorciado",L747=1,"Casado",M747=1,"Solteiro",N747=1,"Juntos",O747=1,"Viuvo")</f>
        <v>Divorciado</v>
      </c>
      <c r="K747" s="13">
        <v>1</v>
      </c>
      <c r="L747" s="13">
        <v>0</v>
      </c>
      <c r="M747" s="13">
        <v>0</v>
      </c>
      <c r="N747" s="13">
        <v>0</v>
      </c>
      <c r="O747" s="13">
        <v>0</v>
      </c>
      <c r="P747" s="13">
        <v>0</v>
      </c>
      <c r="Q747" s="13">
        <v>0</v>
      </c>
      <c r="R747" s="13">
        <v>1</v>
      </c>
      <c r="S747" s="13">
        <v>0</v>
      </c>
      <c r="T747" s="13">
        <v>0</v>
      </c>
      <c r="U747" s="13">
        <v>631</v>
      </c>
      <c r="V747" s="13" t="str" cm="1">
        <f t="array" ref="V747">_xlfn.IFS(U747&lt;=250,"0-R$250",U747&lt;=500,"251-R$500",U747&lt;=750,"501-R$750",U747&lt;=1000,"751-R$1000",U747&lt;=1250,"1001-R$1250",U747&lt;=1500,"1251-R$1500")</f>
        <v>501-R$750</v>
      </c>
      <c r="W747" s="13">
        <v>0</v>
      </c>
      <c r="X747" s="13" t="str" cm="1">
        <f t="array" ref="X747">_xlfn.IFS(W747 = 0, "0", W747&lt;=20, "até R$20",W747&lt;=40, "21 - R$40",W747&lt;=60, "41- R$60",W747&lt;=80, "61 - R$80", W747&lt;=100, "81 - R$100",W747&lt;=120, "101 - R$120",W747&lt;=140, "121 - R$140", W747&lt;=160, "141- R$160", W747&lt;=180, "161 - R$180", W747&lt;=200, "181-R$194")</f>
        <v>0</v>
      </c>
      <c r="Y747" s="13">
        <v>115</v>
      </c>
      <c r="Z747" s="13">
        <v>10</v>
      </c>
      <c r="AA747" s="13">
        <v>7</v>
      </c>
      <c r="AB747" s="13">
        <v>30</v>
      </c>
      <c r="AC747" s="13">
        <v>3</v>
      </c>
      <c r="AD747" s="13">
        <v>9</v>
      </c>
      <c r="AE747" s="13">
        <v>2</v>
      </c>
      <c r="AF747" s="13">
        <v>10</v>
      </c>
      <c r="AG747" s="13">
        <v>7</v>
      </c>
      <c r="AH747" s="13">
        <v>0</v>
      </c>
      <c r="AI747" s="13">
        <v>0</v>
      </c>
      <c r="AJ747" s="13">
        <v>0</v>
      </c>
      <c r="AK747" s="13">
        <v>0</v>
      </c>
      <c r="AL747" s="13">
        <v>0</v>
      </c>
      <c r="AM747" s="13">
        <v>0</v>
      </c>
      <c r="AN747" s="13">
        <v>0</v>
      </c>
      <c r="AO747" s="14">
        <v>0</v>
      </c>
      <c r="AP747" s="13">
        <v>3</v>
      </c>
      <c r="AQ747" s="13">
        <v>11</v>
      </c>
      <c r="AR747" s="15">
        <v>733</v>
      </c>
      <c r="AS747" s="15">
        <v>763</v>
      </c>
    </row>
    <row r="748" spans="1:45" x14ac:dyDescent="0.25">
      <c r="A748">
        <v>1328</v>
      </c>
      <c r="B748" s="11">
        <f t="shared" si="11"/>
        <v>62061</v>
      </c>
      <c r="C748" s="12">
        <v>620610</v>
      </c>
      <c r="D748" s="13">
        <v>0</v>
      </c>
      <c r="E748" s="13">
        <v>1</v>
      </c>
      <c r="F748" s="13">
        <v>12</v>
      </c>
      <c r="G748" s="13">
        <v>44</v>
      </c>
      <c r="H748" s="13" t="str" cm="1">
        <f t="array" ref="H748">_xlfn.IFS(G748&lt;=20,"0-20",G748&lt;=30,"20-30",G748&lt;=40,"30-40",G748&lt;=50,"50-60",G748&lt;=60,"60-70",G748&lt;=70,"70-80",G748&lt;=80,"80-90")</f>
        <v>50-60</v>
      </c>
      <c r="I748" s="13">
        <v>2461</v>
      </c>
      <c r="J748" s="13" t="str" cm="1">
        <f t="array" ref="J748">_xlfn.IFS(K748=1,"Divorciado",L748=1,"Casado",M748=1,"Solteiro",N748=1,"Juntos",O748=1,"Viuvo")</f>
        <v>Juntos</v>
      </c>
      <c r="K748" s="13">
        <v>0</v>
      </c>
      <c r="L748" s="13">
        <v>0</v>
      </c>
      <c r="M748" s="13">
        <v>0</v>
      </c>
      <c r="N748" s="13">
        <v>1</v>
      </c>
      <c r="O748" s="13">
        <v>0</v>
      </c>
      <c r="P748" s="13">
        <v>0</v>
      </c>
      <c r="Q748" s="13">
        <v>0</v>
      </c>
      <c r="R748" s="13">
        <v>1</v>
      </c>
      <c r="S748" s="13">
        <v>0</v>
      </c>
      <c r="T748" s="13">
        <v>0</v>
      </c>
      <c r="U748" s="13">
        <v>641</v>
      </c>
      <c r="V748" s="13" t="str" cm="1">
        <f t="array" ref="V748">_xlfn.IFS(U748&lt;=250,"0-R$250",U748&lt;=500,"251-R$500",U748&lt;=750,"501-R$750",U748&lt;=1000,"751-R$1000",U748&lt;=1250,"1001-R$1250",U748&lt;=1500,"1251-R$1500")</f>
        <v>501-R$750</v>
      </c>
      <c r="W748" s="13">
        <v>7</v>
      </c>
      <c r="X748" s="13" t="str" cm="1">
        <f t="array" ref="X748">_xlfn.IFS(W748 = 0, "0", W748&lt;=20, "até R$20",W748&lt;=40, "21 - R$40",W748&lt;=60, "41- R$60",W748&lt;=80, "61 - R$80", W748&lt;=100, "81 - R$100",W748&lt;=120, "101 - R$120",W748&lt;=140, "121 - R$140", W748&lt;=160, "141- R$160", W748&lt;=180, "161 - R$180", W748&lt;=200, "181-R$194")</f>
        <v>até R$20</v>
      </c>
      <c r="Y748" s="13">
        <v>84</v>
      </c>
      <c r="Z748" s="13">
        <v>0</v>
      </c>
      <c r="AA748" s="13">
        <v>30</v>
      </c>
      <c r="AB748" s="13">
        <v>38</v>
      </c>
      <c r="AC748" s="13">
        <v>3</v>
      </c>
      <c r="AD748" s="13">
        <v>10</v>
      </c>
      <c r="AE748" s="13">
        <v>4</v>
      </c>
      <c r="AF748" s="13">
        <v>7</v>
      </c>
      <c r="AG748" s="13">
        <v>6</v>
      </c>
      <c r="AH748" s="13">
        <v>0</v>
      </c>
      <c r="AI748" s="13">
        <v>0</v>
      </c>
      <c r="AJ748" s="13">
        <v>1</v>
      </c>
      <c r="AK748" s="13">
        <v>0</v>
      </c>
      <c r="AL748" s="13">
        <v>0</v>
      </c>
      <c r="AM748" s="13">
        <v>0</v>
      </c>
      <c r="AN748" s="13">
        <v>0</v>
      </c>
      <c r="AO748" s="14">
        <v>1</v>
      </c>
      <c r="AP748" s="13">
        <v>3</v>
      </c>
      <c r="AQ748" s="13">
        <v>11</v>
      </c>
      <c r="AR748" s="15">
        <v>724</v>
      </c>
      <c r="AS748" s="15">
        <v>762</v>
      </c>
    </row>
    <row r="749" spans="1:45" x14ac:dyDescent="0.25">
      <c r="A749">
        <v>546</v>
      </c>
      <c r="B749" s="11">
        <f t="shared" si="11"/>
        <v>71499</v>
      </c>
      <c r="C749" s="12">
        <v>714990</v>
      </c>
      <c r="D749" s="13">
        <v>0</v>
      </c>
      <c r="E749" s="13">
        <v>1</v>
      </c>
      <c r="F749" s="13">
        <v>12</v>
      </c>
      <c r="G749" s="13">
        <v>49</v>
      </c>
      <c r="H749" s="13" t="str" cm="1">
        <f t="array" ref="H749">_xlfn.IFS(G749&lt;=20,"0-20",G749&lt;=30,"20-30",G749&lt;=40,"30-40",G749&lt;=50,"50-60",G749&lt;=60,"60-70",G749&lt;=70,"70-80",G749&lt;=80,"80-90")</f>
        <v>50-60</v>
      </c>
      <c r="I749" s="13">
        <v>2528</v>
      </c>
      <c r="J749" s="13" t="str" cm="1">
        <f t="array" ref="J749">_xlfn.IFS(K749=1,"Divorciado",L749=1,"Casado",M749=1,"Solteiro",N749=1,"Juntos",O749=1,"Viuvo")</f>
        <v>Juntos</v>
      </c>
      <c r="K749" s="13">
        <v>0</v>
      </c>
      <c r="L749" s="13">
        <v>0</v>
      </c>
      <c r="M749" s="13">
        <v>0</v>
      </c>
      <c r="N749" s="13">
        <v>1</v>
      </c>
      <c r="O749" s="13">
        <v>0</v>
      </c>
      <c r="P749" s="13">
        <v>0</v>
      </c>
      <c r="Q749" s="13">
        <v>0</v>
      </c>
      <c r="R749" s="13">
        <v>0</v>
      </c>
      <c r="S749" s="13">
        <v>1</v>
      </c>
      <c r="T749" s="13">
        <v>0</v>
      </c>
      <c r="U749" s="13">
        <v>465</v>
      </c>
      <c r="V749" s="13" t="str" cm="1">
        <f t="array" ref="V749">_xlfn.IFS(U749&lt;=250,"0-R$250",U749&lt;=500,"251-R$500",U749&lt;=750,"501-R$750",U749&lt;=1000,"751-R$1000",U749&lt;=1250,"1001-R$1250",U749&lt;=1500,"1251-R$1500")</f>
        <v>251-R$500</v>
      </c>
      <c r="W749" s="13">
        <v>25</v>
      </c>
      <c r="X749" s="13" t="str" cm="1">
        <f t="array" ref="X749">_xlfn.IFS(W749 = 0, "0", W749&lt;=20, "até R$20",W749&lt;=40, "21 - R$40",W749&lt;=60, "41- R$60",W749&lt;=80, "61 - R$80", W749&lt;=100, "81 - R$100",W749&lt;=120, "101 - R$120",W749&lt;=140, "121 - R$140", W749&lt;=160, "141- R$160", W749&lt;=180, "161 - R$180", W749&lt;=200, "181-R$194")</f>
        <v>21 - R$40</v>
      </c>
      <c r="Y749" s="13">
        <v>132</v>
      </c>
      <c r="Z749" s="13">
        <v>136</v>
      </c>
      <c r="AA749" s="13">
        <v>0</v>
      </c>
      <c r="AB749" s="13">
        <v>37</v>
      </c>
      <c r="AC749" s="13">
        <v>2</v>
      </c>
      <c r="AD749" s="13">
        <v>8</v>
      </c>
      <c r="AE749" s="13">
        <v>3</v>
      </c>
      <c r="AF749" s="13">
        <v>13</v>
      </c>
      <c r="AG749" s="13">
        <v>4</v>
      </c>
      <c r="AH749" s="13">
        <v>0</v>
      </c>
      <c r="AI749" s="13">
        <v>0</v>
      </c>
      <c r="AJ749" s="13">
        <v>0</v>
      </c>
      <c r="AK749" s="13">
        <v>0</v>
      </c>
      <c r="AL749" s="13">
        <v>0</v>
      </c>
      <c r="AM749" s="13">
        <v>0</v>
      </c>
      <c r="AN749" s="13">
        <v>0</v>
      </c>
      <c r="AO749" s="14">
        <v>0</v>
      </c>
      <c r="AP749" s="13">
        <v>3</v>
      </c>
      <c r="AQ749" s="13">
        <v>11</v>
      </c>
      <c r="AR749" s="15">
        <v>721</v>
      </c>
      <c r="AS749" s="15">
        <v>758</v>
      </c>
    </row>
    <row r="750" spans="1:45" x14ac:dyDescent="0.25">
      <c r="A750">
        <v>1869</v>
      </c>
      <c r="B750" s="11">
        <f t="shared" si="11"/>
        <v>69719</v>
      </c>
      <c r="C750" s="16">
        <v>697190</v>
      </c>
      <c r="D750" s="17">
        <v>0</v>
      </c>
      <c r="E750" s="17">
        <v>0</v>
      </c>
      <c r="F750" s="17">
        <v>99</v>
      </c>
      <c r="G750" s="17">
        <v>46</v>
      </c>
      <c r="H750" s="13" t="str" cm="1">
        <f t="array" ref="H750">_xlfn.IFS(G750&lt;=20,"0-20",G750&lt;=30,"20-30",G750&lt;=40,"30-40",G750&lt;=50,"50-60",G750&lt;=60,"60-70",G750&lt;=70,"70-80",G750&lt;=80,"80-90")</f>
        <v>50-60</v>
      </c>
      <c r="I750" s="17">
        <v>2193</v>
      </c>
      <c r="J750" s="13" t="str" cm="1">
        <f t="array" ref="J750">_xlfn.IFS(K750=1,"Divorciado",L750=1,"Casado",M750=1,"Solteiro",N750=1,"Juntos",O750=1,"Viuvo")</f>
        <v>Solteiro</v>
      </c>
      <c r="K750" s="17">
        <v>0</v>
      </c>
      <c r="L750" s="17">
        <v>0</v>
      </c>
      <c r="M750" s="17">
        <v>1</v>
      </c>
      <c r="N750" s="17">
        <v>0</v>
      </c>
      <c r="O750" s="17">
        <v>0</v>
      </c>
      <c r="P750" s="17">
        <v>0</v>
      </c>
      <c r="Q750" s="17">
        <v>0</v>
      </c>
      <c r="R750" s="17">
        <v>1</v>
      </c>
      <c r="S750" s="17">
        <v>0</v>
      </c>
      <c r="T750" s="17">
        <v>0</v>
      </c>
      <c r="U750" s="17">
        <v>273</v>
      </c>
      <c r="V750" s="13" t="str" cm="1">
        <f t="array" ref="V750">_xlfn.IFS(U750&lt;=250,"0-R$250",U750&lt;=500,"251-R$500",U750&lt;=750,"501-R$750",U750&lt;=1000,"751-R$1000",U750&lt;=1250,"1001-R$1250",U750&lt;=1500,"1251-R$1500")</f>
        <v>251-R$500</v>
      </c>
      <c r="W750" s="17">
        <v>86</v>
      </c>
      <c r="X750" s="13" t="str" cm="1">
        <f t="array" ref="X750">_xlfn.IFS(W750 = 0, "0", W750&lt;=20, "até R$20",W750&lt;=40, "21 - R$40",W750&lt;=60, "41- R$60",W750&lt;=80, "61 - R$80", W750&lt;=100, "81 - R$100",W750&lt;=120, "101 - R$120",W750&lt;=140, "121 - R$140", W750&lt;=160, "141- R$160", W750&lt;=180, "161 - R$180", W750&lt;=200, "181-R$194")</f>
        <v>81 - R$100</v>
      </c>
      <c r="Y750" s="17">
        <v>208</v>
      </c>
      <c r="Z750" s="17">
        <v>177</v>
      </c>
      <c r="AA750" s="17">
        <v>14</v>
      </c>
      <c r="AB750" s="17">
        <v>43</v>
      </c>
      <c r="AC750" s="17">
        <v>1</v>
      </c>
      <c r="AD750" s="17">
        <v>2</v>
      </c>
      <c r="AE750" s="17">
        <v>3</v>
      </c>
      <c r="AF750" s="17">
        <v>5</v>
      </c>
      <c r="AG750" s="17">
        <v>1</v>
      </c>
      <c r="AH750" s="17">
        <v>0</v>
      </c>
      <c r="AI750" s="17">
        <v>0</v>
      </c>
      <c r="AJ750" s="17">
        <v>0</v>
      </c>
      <c r="AK750" s="17">
        <v>0</v>
      </c>
      <c r="AL750" s="17">
        <v>0</v>
      </c>
      <c r="AM750" s="17">
        <v>0</v>
      </c>
      <c r="AN750" s="17">
        <v>0</v>
      </c>
      <c r="AO750" s="18">
        <v>0</v>
      </c>
      <c r="AP750" s="17">
        <v>3</v>
      </c>
      <c r="AQ750" s="17">
        <v>11</v>
      </c>
      <c r="AR750" s="19">
        <v>715</v>
      </c>
      <c r="AS750" s="19">
        <v>758</v>
      </c>
    </row>
    <row r="751" spans="1:45" x14ac:dyDescent="0.25">
      <c r="A751">
        <v>689</v>
      </c>
      <c r="B751" s="11">
        <f t="shared" si="11"/>
        <v>66375</v>
      </c>
      <c r="C751" s="16">
        <v>663750</v>
      </c>
      <c r="D751" s="17">
        <v>0</v>
      </c>
      <c r="E751" s="17">
        <v>1</v>
      </c>
      <c r="F751" s="17">
        <v>96</v>
      </c>
      <c r="G751" s="17">
        <v>72</v>
      </c>
      <c r="H751" s="13" t="str" cm="1">
        <f t="array" ref="H751">_xlfn.IFS(G751&lt;=20,"0-20",G751&lt;=30,"20-30",G751&lt;=40,"30-40",G751&lt;=50,"50-60",G751&lt;=60,"60-70",G751&lt;=70,"70-80",G751&lt;=80,"80-90")</f>
        <v>80-90</v>
      </c>
      <c r="I751" s="17">
        <v>2379</v>
      </c>
      <c r="J751" s="13" t="str" cm="1">
        <f t="array" ref="J751">_xlfn.IFS(K751=1,"Divorciado",L751=1,"Casado",M751=1,"Solteiro",N751=1,"Juntos",O751=1,"Viuvo")</f>
        <v>Juntos</v>
      </c>
      <c r="K751" s="17">
        <v>0</v>
      </c>
      <c r="L751" s="17">
        <v>0</v>
      </c>
      <c r="M751" s="17">
        <v>0</v>
      </c>
      <c r="N751" s="17">
        <v>1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1</v>
      </c>
      <c r="U751" s="17">
        <v>712</v>
      </c>
      <c r="V751" s="13" t="str" cm="1">
        <f t="array" ref="V751">_xlfn.IFS(U751&lt;=250,"0-R$250",U751&lt;=500,"251-R$500",U751&lt;=750,"501-R$750",U751&lt;=1000,"751-R$1000",U751&lt;=1250,"1001-R$1250",U751&lt;=1500,"1251-R$1500")</f>
        <v>501-R$750</v>
      </c>
      <c r="W751" s="17">
        <v>0</v>
      </c>
      <c r="X751" s="13" t="str" cm="1">
        <f t="array" ref="X751">_xlfn.IFS(W751 = 0, "0", W751&lt;=20, "até R$20",W751&lt;=40, "21 - R$40",W751&lt;=60, "41- R$60",W751&lt;=80, "61 - R$80", W751&lt;=100, "81 - R$100",W751&lt;=120, "101 - R$120",W751&lt;=140, "121 - R$140", W751&lt;=160, "141- R$160", W751&lt;=180, "161 - R$180", W751&lt;=200, "181-R$194")</f>
        <v>0</v>
      </c>
      <c r="Y751" s="17">
        <v>45</v>
      </c>
      <c r="Z751" s="17">
        <v>0</v>
      </c>
      <c r="AA751" s="17">
        <v>0</v>
      </c>
      <c r="AB751" s="17">
        <v>191</v>
      </c>
      <c r="AC751" s="17">
        <v>3</v>
      </c>
      <c r="AD751" s="17">
        <v>2</v>
      </c>
      <c r="AE751" s="17">
        <v>4</v>
      </c>
      <c r="AF751" s="17">
        <v>5</v>
      </c>
      <c r="AG751" s="17">
        <v>7</v>
      </c>
      <c r="AH751" s="17">
        <v>0</v>
      </c>
      <c r="AI751" s="17">
        <v>1</v>
      </c>
      <c r="AJ751" s="17">
        <v>0</v>
      </c>
      <c r="AK751" s="17">
        <v>0</v>
      </c>
      <c r="AL751" s="17">
        <v>0</v>
      </c>
      <c r="AM751" s="17">
        <v>0</v>
      </c>
      <c r="AN751" s="17">
        <v>0</v>
      </c>
      <c r="AO751" s="18">
        <v>1</v>
      </c>
      <c r="AP751" s="17">
        <v>3</v>
      </c>
      <c r="AQ751" s="17">
        <v>11</v>
      </c>
      <c r="AR751" s="19">
        <v>566</v>
      </c>
      <c r="AS751" s="19">
        <v>757</v>
      </c>
    </row>
    <row r="752" spans="1:45" x14ac:dyDescent="0.25">
      <c r="A752">
        <v>90</v>
      </c>
      <c r="B752" s="11">
        <f t="shared" si="11"/>
        <v>78497</v>
      </c>
      <c r="C752" s="12">
        <v>784970</v>
      </c>
      <c r="D752" s="13">
        <v>0</v>
      </c>
      <c r="E752" s="13">
        <v>0</v>
      </c>
      <c r="F752" s="13">
        <v>44</v>
      </c>
      <c r="G752" s="13">
        <v>69</v>
      </c>
      <c r="H752" s="13" t="str" cm="1">
        <f t="array" ref="H752">_xlfn.IFS(G752&lt;=20,"0-20",G752&lt;=30,"20-30",G752&lt;=40,"30-40",G752&lt;=50,"50-60",G752&lt;=60,"60-70",G752&lt;=70,"70-80",G752&lt;=80,"80-90")</f>
        <v>70-80</v>
      </c>
      <c r="I752" s="13">
        <v>2369</v>
      </c>
      <c r="J752" s="13" t="str" cm="1">
        <f t="array" ref="J752">_xlfn.IFS(K752=1,"Divorciado",L752=1,"Casado",M752=1,"Solteiro",N752=1,"Juntos",O752=1,"Viuvo")</f>
        <v>Casado</v>
      </c>
      <c r="K752" s="13">
        <v>0</v>
      </c>
      <c r="L752" s="13">
        <v>1</v>
      </c>
      <c r="M752" s="13">
        <v>0</v>
      </c>
      <c r="N752" s="13">
        <v>0</v>
      </c>
      <c r="O752" s="13">
        <v>0</v>
      </c>
      <c r="P752" s="13">
        <v>1</v>
      </c>
      <c r="Q752" s="13">
        <v>0</v>
      </c>
      <c r="R752" s="13">
        <v>0</v>
      </c>
      <c r="S752" s="13">
        <v>0</v>
      </c>
      <c r="T752" s="13">
        <v>0</v>
      </c>
      <c r="U752" s="13">
        <v>207</v>
      </c>
      <c r="V752" s="13" t="str" cm="1">
        <f t="array" ref="V752">_xlfn.IFS(U752&lt;=250,"0-R$250",U752&lt;=500,"251-R$500",U752&lt;=750,"501-R$750",U752&lt;=1000,"751-R$1000",U752&lt;=1250,"1001-R$1250",U752&lt;=1500,"1251-R$1500")</f>
        <v>0-R$250</v>
      </c>
      <c r="W752" s="13">
        <v>26</v>
      </c>
      <c r="X752" s="13" t="str" cm="1">
        <f t="array" ref="X752">_xlfn.IFS(W752 = 0, "0", W752&lt;=20, "até R$20",W752&lt;=40, "21 - R$40",W752&lt;=60, "41- R$60",W752&lt;=80, "61 - R$80", W752&lt;=100, "81 - R$100",W752&lt;=120, "101 - R$120",W752&lt;=140, "121 - R$140", W752&lt;=160, "141- R$160", W752&lt;=180, "161 - R$180", W752&lt;=200, "181-R$194")</f>
        <v>21 - R$40</v>
      </c>
      <c r="Y752" s="13">
        <v>447</v>
      </c>
      <c r="Z752" s="13">
        <v>75</v>
      </c>
      <c r="AA752" s="13">
        <v>0</v>
      </c>
      <c r="AB752" s="13">
        <v>223</v>
      </c>
      <c r="AC752" s="13">
        <v>1</v>
      </c>
      <c r="AD752" s="13">
        <v>5</v>
      </c>
      <c r="AE752" s="13">
        <v>7</v>
      </c>
      <c r="AF752" s="13">
        <v>12</v>
      </c>
      <c r="AG752" s="13">
        <v>2</v>
      </c>
      <c r="AH752" s="13">
        <v>0</v>
      </c>
      <c r="AI752" s="13">
        <v>0</v>
      </c>
      <c r="AJ752" s="13">
        <v>0</v>
      </c>
      <c r="AK752" s="13">
        <v>0</v>
      </c>
      <c r="AL752" s="13">
        <v>1</v>
      </c>
      <c r="AM752" s="13">
        <v>0</v>
      </c>
      <c r="AN752" s="13">
        <v>0</v>
      </c>
      <c r="AO752" s="14">
        <v>1</v>
      </c>
      <c r="AP752" s="13">
        <v>3</v>
      </c>
      <c r="AQ752" s="13">
        <v>11</v>
      </c>
      <c r="AR752" s="15">
        <v>532</v>
      </c>
      <c r="AS752" s="15">
        <v>755</v>
      </c>
    </row>
    <row r="753" spans="1:45" x14ac:dyDescent="0.25">
      <c r="A753">
        <v>168</v>
      </c>
      <c r="B753" s="11">
        <f t="shared" si="11"/>
        <v>78497</v>
      </c>
      <c r="C753" s="12">
        <v>784970</v>
      </c>
      <c r="D753" s="13">
        <v>0</v>
      </c>
      <c r="E753" s="13">
        <v>0</v>
      </c>
      <c r="F753" s="13">
        <v>44</v>
      </c>
      <c r="G753" s="13">
        <v>69</v>
      </c>
      <c r="H753" s="13" t="str" cm="1">
        <f t="array" ref="H753">_xlfn.IFS(G753&lt;=20,"0-20",G753&lt;=30,"20-30",G753&lt;=40,"30-40",G753&lt;=50,"50-60",G753&lt;=60,"60-70",G753&lt;=70,"70-80",G753&lt;=80,"80-90")</f>
        <v>70-80</v>
      </c>
      <c r="I753" s="13">
        <v>2369</v>
      </c>
      <c r="J753" s="13" t="str" cm="1">
        <f t="array" ref="J753">_xlfn.IFS(K753=1,"Divorciado",L753=1,"Casado",M753=1,"Solteiro",N753=1,"Juntos",O753=1,"Viuvo")</f>
        <v>Casado</v>
      </c>
      <c r="K753" s="13">
        <v>0</v>
      </c>
      <c r="L753" s="13">
        <v>1</v>
      </c>
      <c r="M753" s="13">
        <v>0</v>
      </c>
      <c r="N753" s="13">
        <v>0</v>
      </c>
      <c r="O753" s="13">
        <v>0</v>
      </c>
      <c r="P753" s="13">
        <v>1</v>
      </c>
      <c r="Q753" s="13">
        <v>0</v>
      </c>
      <c r="R753" s="13">
        <v>0</v>
      </c>
      <c r="S753" s="13">
        <v>0</v>
      </c>
      <c r="T753" s="13">
        <v>0</v>
      </c>
      <c r="U753" s="13">
        <v>207</v>
      </c>
      <c r="V753" s="13" t="str" cm="1">
        <f t="array" ref="V753">_xlfn.IFS(U753&lt;=250,"0-R$250",U753&lt;=500,"251-R$500",U753&lt;=750,"501-R$750",U753&lt;=1000,"751-R$1000",U753&lt;=1250,"1001-R$1250",U753&lt;=1500,"1251-R$1500")</f>
        <v>0-R$250</v>
      </c>
      <c r="W753" s="13">
        <v>26</v>
      </c>
      <c r="X753" s="13" t="str" cm="1">
        <f t="array" ref="X753">_xlfn.IFS(W753 = 0, "0", W753&lt;=20, "até R$20",W753&lt;=40, "21 - R$40",W753&lt;=60, "41- R$60",W753&lt;=80, "61 - R$80", W753&lt;=100, "81 - R$100",W753&lt;=120, "101 - R$120",W753&lt;=140, "121 - R$140", W753&lt;=160, "141- R$160", W753&lt;=180, "161 - R$180", W753&lt;=200, "181-R$194")</f>
        <v>21 - R$40</v>
      </c>
      <c r="Y753" s="13">
        <v>447</v>
      </c>
      <c r="Z753" s="13">
        <v>75</v>
      </c>
      <c r="AA753" s="13">
        <v>0</v>
      </c>
      <c r="AB753" s="13">
        <v>223</v>
      </c>
      <c r="AC753" s="13">
        <v>1</v>
      </c>
      <c r="AD753" s="13">
        <v>5</v>
      </c>
      <c r="AE753" s="13">
        <v>7</v>
      </c>
      <c r="AF753" s="13">
        <v>12</v>
      </c>
      <c r="AG753" s="13">
        <v>2</v>
      </c>
      <c r="AH753" s="13">
        <v>0</v>
      </c>
      <c r="AI753" s="13">
        <v>0</v>
      </c>
      <c r="AJ753" s="13">
        <v>0</v>
      </c>
      <c r="AK753" s="13">
        <v>0</v>
      </c>
      <c r="AL753" s="13">
        <v>1</v>
      </c>
      <c r="AM753" s="13">
        <v>0</v>
      </c>
      <c r="AN753" s="13">
        <v>0</v>
      </c>
      <c r="AO753" s="14">
        <v>1</v>
      </c>
      <c r="AP753" s="13">
        <v>3</v>
      </c>
      <c r="AQ753" s="13">
        <v>11</v>
      </c>
      <c r="AR753" s="15">
        <v>532</v>
      </c>
      <c r="AS753" s="15">
        <v>755</v>
      </c>
    </row>
    <row r="754" spans="1:45" x14ac:dyDescent="0.25">
      <c r="A754">
        <v>1539</v>
      </c>
      <c r="B754" s="11">
        <f t="shared" si="11"/>
        <v>79865</v>
      </c>
      <c r="C754" s="16">
        <v>798650</v>
      </c>
      <c r="D754" s="17">
        <v>0</v>
      </c>
      <c r="E754" s="17">
        <v>1</v>
      </c>
      <c r="F754" s="17">
        <v>12</v>
      </c>
      <c r="G754" s="17">
        <v>66</v>
      </c>
      <c r="H754" s="13" t="str" cm="1">
        <f t="array" ref="H754">_xlfn.IFS(G754&lt;=20,"0-20",G754&lt;=30,"20-30",G754&lt;=40,"30-40",G754&lt;=50,"50-60",G754&lt;=60,"60-70",G754&lt;=70,"70-80",G754&lt;=80,"80-90")</f>
        <v>70-80</v>
      </c>
      <c r="I754" s="17">
        <v>2170</v>
      </c>
      <c r="J754" s="13" t="str" cm="1">
        <f t="array" ref="J754">_xlfn.IFS(K754=1,"Divorciado",L754=1,"Casado",M754=1,"Solteiro",N754=1,"Juntos",O754=1,"Viuvo")</f>
        <v>Divorciado</v>
      </c>
      <c r="K754" s="17">
        <v>1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1</v>
      </c>
      <c r="S754" s="17">
        <v>0</v>
      </c>
      <c r="T754" s="17">
        <v>0</v>
      </c>
      <c r="U754" s="17">
        <v>71</v>
      </c>
      <c r="V754" s="13" t="str" cm="1">
        <f t="array" ref="V754">_xlfn.IFS(U754&lt;=250,"0-R$250",U754&lt;=500,"251-R$500",U754&lt;=750,"501-R$750",U754&lt;=1000,"751-R$1000",U754&lt;=1250,"1001-R$1250",U754&lt;=1500,"1251-R$1500")</f>
        <v>0-R$250</v>
      </c>
      <c r="W754" s="17">
        <v>99</v>
      </c>
      <c r="X754" s="13" t="str" cm="1">
        <f t="array" ref="X754">_xlfn.IFS(W754 = 0, "0", W754&lt;=20, "até R$20",W754&lt;=40, "21 - R$40",W754&lt;=60, "41- R$60",W754&lt;=80, "61 - R$80", W754&lt;=100, "81 - R$100",W754&lt;=120, "101 - R$120",W754&lt;=140, "121 - R$140", W754&lt;=160, "141- R$160", W754&lt;=180, "161 - R$180", W754&lt;=200, "181-R$194")</f>
        <v>81 - R$100</v>
      </c>
      <c r="Y754" s="17">
        <v>278</v>
      </c>
      <c r="Z754" s="17">
        <v>185</v>
      </c>
      <c r="AA754" s="17">
        <v>121</v>
      </c>
      <c r="AB754" s="17">
        <v>38</v>
      </c>
      <c r="AC754" s="17">
        <v>1</v>
      </c>
      <c r="AD754" s="17">
        <v>5</v>
      </c>
      <c r="AE754" s="17">
        <v>10</v>
      </c>
      <c r="AF754" s="17">
        <v>5</v>
      </c>
      <c r="AG754" s="17">
        <v>1</v>
      </c>
      <c r="AH754" s="17">
        <v>0</v>
      </c>
      <c r="AI754" s="17">
        <v>0</v>
      </c>
      <c r="AJ754" s="17">
        <v>0</v>
      </c>
      <c r="AK754" s="17">
        <v>0</v>
      </c>
      <c r="AL754" s="17">
        <v>0</v>
      </c>
      <c r="AM754" s="17">
        <v>0</v>
      </c>
      <c r="AN754" s="17">
        <v>0</v>
      </c>
      <c r="AO754" s="18">
        <v>0</v>
      </c>
      <c r="AP754" s="17">
        <v>3</v>
      </c>
      <c r="AQ754" s="17">
        <v>11</v>
      </c>
      <c r="AR754" s="19">
        <v>716</v>
      </c>
      <c r="AS754" s="19">
        <v>754</v>
      </c>
    </row>
    <row r="755" spans="1:45" x14ac:dyDescent="0.25">
      <c r="A755">
        <v>1383</v>
      </c>
      <c r="B755" s="11">
        <f t="shared" si="11"/>
        <v>67087</v>
      </c>
      <c r="C755" s="16">
        <v>670870</v>
      </c>
      <c r="D755" s="17">
        <v>0</v>
      </c>
      <c r="E755" s="17">
        <v>1</v>
      </c>
      <c r="F755" s="17">
        <v>40</v>
      </c>
      <c r="G755" s="17">
        <v>67</v>
      </c>
      <c r="H755" s="13" t="str" cm="1">
        <f t="array" ref="H755">_xlfn.IFS(G755&lt;=20,"0-20",G755&lt;=30,"20-30",G755&lt;=40,"30-40",G755&lt;=50,"50-60",G755&lt;=60,"60-70",G755&lt;=70,"70-80",G755&lt;=80,"80-90")</f>
        <v>70-80</v>
      </c>
      <c r="I755" s="17">
        <v>2353</v>
      </c>
      <c r="J755" s="13" t="str" cm="1">
        <f t="array" ref="J755">_xlfn.IFS(K755=1,"Divorciado",L755=1,"Casado",M755=1,"Solteiro",N755=1,"Juntos",O755=1,"Viuvo")</f>
        <v>Casado</v>
      </c>
      <c r="K755" s="17">
        <v>0</v>
      </c>
      <c r="L755" s="17">
        <v>1</v>
      </c>
      <c r="M755" s="17">
        <v>0</v>
      </c>
      <c r="N755" s="17">
        <v>0</v>
      </c>
      <c r="O755" s="17">
        <v>0</v>
      </c>
      <c r="P755" s="17">
        <v>0</v>
      </c>
      <c r="Q755" s="17">
        <v>0</v>
      </c>
      <c r="R755" s="17">
        <v>0</v>
      </c>
      <c r="S755" s="17">
        <v>1</v>
      </c>
      <c r="T755" s="17">
        <v>0</v>
      </c>
      <c r="U755" s="17">
        <v>329</v>
      </c>
      <c r="V755" s="13" t="str" cm="1">
        <f t="array" ref="V755">_xlfn.IFS(U755&lt;=250,"0-R$250",U755&lt;=500,"251-R$500",U755&lt;=750,"501-R$750",U755&lt;=1000,"751-R$1000",U755&lt;=1250,"1001-R$1250",U755&lt;=1500,"1251-R$1500")</f>
        <v>251-R$500</v>
      </c>
      <c r="W755" s="17">
        <v>35</v>
      </c>
      <c r="X755" s="13" t="str" cm="1">
        <f t="array" ref="X755">_xlfn.IFS(W755 = 0, "0", W755&lt;=20, "até R$20",W755&lt;=40, "21 - R$40",W755&lt;=60, "41- R$60",W755&lt;=80, "61 - R$80", W755&lt;=100, "81 - R$100",W755&lt;=120, "101 - R$120",W755&lt;=140, "121 - R$140", W755&lt;=160, "141- R$160", W755&lt;=180, "161 - R$180", W755&lt;=200, "181-R$194")</f>
        <v>21 - R$40</v>
      </c>
      <c r="Y755" s="17">
        <v>222</v>
      </c>
      <c r="Z755" s="17">
        <v>130</v>
      </c>
      <c r="AA755" s="17">
        <v>35</v>
      </c>
      <c r="AB755" s="17">
        <v>43</v>
      </c>
      <c r="AC755" s="17">
        <v>2</v>
      </c>
      <c r="AD755" s="17">
        <v>7</v>
      </c>
      <c r="AE755" s="17">
        <v>5</v>
      </c>
      <c r="AF755" s="17">
        <v>8</v>
      </c>
      <c r="AG755" s="17">
        <v>4</v>
      </c>
      <c r="AH755" s="17">
        <v>0</v>
      </c>
      <c r="AI755" s="17">
        <v>0</v>
      </c>
      <c r="AJ755" s="17">
        <v>0</v>
      </c>
      <c r="AK755" s="17">
        <v>0</v>
      </c>
      <c r="AL755" s="17">
        <v>0</v>
      </c>
      <c r="AM755" s="17">
        <v>0</v>
      </c>
      <c r="AN755" s="17">
        <v>0</v>
      </c>
      <c r="AO755" s="18">
        <v>0</v>
      </c>
      <c r="AP755" s="17">
        <v>3</v>
      </c>
      <c r="AQ755" s="17">
        <v>11</v>
      </c>
      <c r="AR755" s="19">
        <v>708</v>
      </c>
      <c r="AS755" s="19">
        <v>751</v>
      </c>
    </row>
    <row r="756" spans="1:45" x14ac:dyDescent="0.25">
      <c r="A756">
        <v>1203</v>
      </c>
      <c r="B756" s="11">
        <f t="shared" si="11"/>
        <v>77297</v>
      </c>
      <c r="C756" s="16">
        <v>772970</v>
      </c>
      <c r="D756" s="17">
        <v>0</v>
      </c>
      <c r="E756" s="17">
        <v>0</v>
      </c>
      <c r="F756" s="17">
        <v>84</v>
      </c>
      <c r="G756" s="17">
        <v>63</v>
      </c>
      <c r="H756" s="13" t="str" cm="1">
        <f t="array" ref="H756">_xlfn.IFS(G756&lt;=20,"0-20",G756&lt;=30,"20-30",G756&lt;=40,"30-40",G756&lt;=50,"50-60",G756&lt;=60,"60-70",G756&lt;=70,"70-80",G756&lt;=80,"80-90")</f>
        <v>70-80</v>
      </c>
      <c r="I756" s="17">
        <v>2678</v>
      </c>
      <c r="J756" s="13" t="str" cm="1">
        <f t="array" ref="J756">_xlfn.IFS(K756=1,"Divorciado",L756=1,"Casado",M756=1,"Solteiro",N756=1,"Juntos",O756=1,"Viuvo")</f>
        <v>Divorciado</v>
      </c>
      <c r="K756" s="17">
        <v>1</v>
      </c>
      <c r="L756" s="17">
        <v>0</v>
      </c>
      <c r="M756" s="17">
        <v>0</v>
      </c>
      <c r="N756" s="17">
        <v>0</v>
      </c>
      <c r="O756" s="17">
        <v>0</v>
      </c>
      <c r="P756" s="17">
        <v>1</v>
      </c>
      <c r="Q756" s="17">
        <v>0</v>
      </c>
      <c r="R756" s="17">
        <v>0</v>
      </c>
      <c r="S756" s="17">
        <v>0</v>
      </c>
      <c r="T756" s="17">
        <v>0</v>
      </c>
      <c r="U756" s="17">
        <v>408</v>
      </c>
      <c r="V756" s="13" t="str" cm="1">
        <f t="array" ref="V756">_xlfn.IFS(U756&lt;=250,"0-R$250",U756&lt;=500,"251-R$500",U756&lt;=750,"501-R$750",U756&lt;=1000,"751-R$1000",U756&lt;=1250,"1001-R$1250",U756&lt;=1500,"1251-R$1500")</f>
        <v>251-R$500</v>
      </c>
      <c r="W756" s="17">
        <v>61</v>
      </c>
      <c r="X756" s="13" t="str" cm="1">
        <f t="array" ref="X756">_xlfn.IFS(W756 = 0, "0", W756&lt;=20, "até R$20",W756&lt;=40, "21 - R$40",W756&lt;=60, "41- R$60",W756&lt;=80, "61 - R$80", W756&lt;=100, "81 - R$100",W756&lt;=120, "101 - R$120",W756&lt;=140, "121 - R$140", W756&lt;=160, "141- R$160", W756&lt;=180, "161 - R$180", W756&lt;=200, "181-R$194")</f>
        <v>61 - R$80</v>
      </c>
      <c r="Y756" s="17">
        <v>109</v>
      </c>
      <c r="Z756" s="17">
        <v>48</v>
      </c>
      <c r="AA756" s="17">
        <v>122</v>
      </c>
      <c r="AB756" s="17">
        <v>41</v>
      </c>
      <c r="AC756" s="17">
        <v>1</v>
      </c>
      <c r="AD756" s="17">
        <v>5</v>
      </c>
      <c r="AE756" s="17">
        <v>7</v>
      </c>
      <c r="AF756" s="17">
        <v>9</v>
      </c>
      <c r="AG756" s="17">
        <v>4</v>
      </c>
      <c r="AH756" s="17">
        <v>0</v>
      </c>
      <c r="AI756" s="17">
        <v>0</v>
      </c>
      <c r="AJ756" s="17">
        <v>0</v>
      </c>
      <c r="AK756" s="17">
        <v>0</v>
      </c>
      <c r="AL756" s="17">
        <v>1</v>
      </c>
      <c r="AM756" s="17">
        <v>0</v>
      </c>
      <c r="AN756" s="17">
        <v>0</v>
      </c>
      <c r="AO756" s="18">
        <v>1</v>
      </c>
      <c r="AP756" s="17">
        <v>3</v>
      </c>
      <c r="AQ756" s="17">
        <v>11</v>
      </c>
      <c r="AR756" s="19">
        <v>707</v>
      </c>
      <c r="AS756" s="19">
        <v>748</v>
      </c>
    </row>
    <row r="757" spans="1:45" x14ac:dyDescent="0.25">
      <c r="A757">
        <v>1970</v>
      </c>
      <c r="B757" s="11">
        <f t="shared" si="11"/>
        <v>96547</v>
      </c>
      <c r="C757" s="12">
        <v>965470</v>
      </c>
      <c r="D757" s="13">
        <v>0</v>
      </c>
      <c r="E757" s="13">
        <v>0</v>
      </c>
      <c r="F757" s="13">
        <v>4</v>
      </c>
      <c r="G757" s="13">
        <v>40</v>
      </c>
      <c r="H757" s="13" t="str" cm="1">
        <f t="array" ref="H757">_xlfn.IFS(G757&lt;=20,"0-20",G757&lt;=30,"20-30",G757&lt;=40,"30-40",G757&lt;=50,"50-60",G757&lt;=60,"60-70",G757&lt;=70,"70-80",G757&lt;=80,"80-90")</f>
        <v>30-40</v>
      </c>
      <c r="I757" s="13">
        <v>2196</v>
      </c>
      <c r="J757" s="13" t="str" cm="1">
        <f t="array" ref="J757">_xlfn.IFS(K757=1,"Divorciado",L757=1,"Casado",M757=1,"Solteiro",N757=1,"Juntos",O757=1,"Viuvo")</f>
        <v>Casado</v>
      </c>
      <c r="K757" s="13">
        <v>0</v>
      </c>
      <c r="L757" s="13">
        <v>1</v>
      </c>
      <c r="M757" s="13">
        <v>0</v>
      </c>
      <c r="N757" s="13">
        <v>0</v>
      </c>
      <c r="O757" s="13">
        <v>0</v>
      </c>
      <c r="P757" s="13">
        <v>1</v>
      </c>
      <c r="Q757" s="13">
        <v>0</v>
      </c>
      <c r="R757" s="13">
        <v>0</v>
      </c>
      <c r="S757" s="13">
        <v>0</v>
      </c>
      <c r="T757" s="13">
        <v>0</v>
      </c>
      <c r="U757" s="13">
        <v>448</v>
      </c>
      <c r="V757" s="13" t="str" cm="1">
        <f t="array" ref="V757">_xlfn.IFS(U757&lt;=250,"0-R$250",U757&lt;=500,"251-R$500",U757&lt;=750,"501-R$750",U757&lt;=1000,"751-R$1000",U757&lt;=1250,"1001-R$1250",U757&lt;=1500,"1251-R$1500")</f>
        <v>251-R$500</v>
      </c>
      <c r="W757" s="13">
        <v>21</v>
      </c>
      <c r="X757" s="13" t="str" cm="1">
        <f t="array" ref="X757">_xlfn.IFS(W757 = 0, "0", W757&lt;=20, "até R$20",W757&lt;=40, "21 - R$40",W757&lt;=60, "41- R$60",W757&lt;=80, "61 - R$80", W757&lt;=100, "81 - R$100",W757&lt;=120, "101 - R$120",W757&lt;=140, "121 - R$140", W757&lt;=160, "141- R$160", W757&lt;=180, "161 - R$180", W757&lt;=200, "181-R$194")</f>
        <v>21 - R$40</v>
      </c>
      <c r="Y757" s="13">
        <v>125</v>
      </c>
      <c r="Z757" s="13">
        <v>52</v>
      </c>
      <c r="AA757" s="13">
        <v>101</v>
      </c>
      <c r="AB757" s="13">
        <v>62</v>
      </c>
      <c r="AC757" s="13">
        <v>0</v>
      </c>
      <c r="AD757" s="13">
        <v>7</v>
      </c>
      <c r="AE757" s="13">
        <v>6</v>
      </c>
      <c r="AF757" s="13">
        <v>8</v>
      </c>
      <c r="AG757" s="13">
        <v>2</v>
      </c>
      <c r="AH757" s="13">
        <v>0</v>
      </c>
      <c r="AI757" s="13">
        <v>1</v>
      </c>
      <c r="AJ757" s="13">
        <v>0</v>
      </c>
      <c r="AK757" s="13">
        <v>1</v>
      </c>
      <c r="AL757" s="13">
        <v>1</v>
      </c>
      <c r="AM757" s="13">
        <v>0</v>
      </c>
      <c r="AN757" s="13">
        <v>1</v>
      </c>
      <c r="AO757" s="14">
        <v>3</v>
      </c>
      <c r="AP757" s="13">
        <v>3</v>
      </c>
      <c r="AQ757" s="13">
        <v>11</v>
      </c>
      <c r="AR757" s="15">
        <v>685</v>
      </c>
      <c r="AS757" s="15">
        <v>747</v>
      </c>
    </row>
    <row r="758" spans="1:45" x14ac:dyDescent="0.25">
      <c r="A758">
        <v>1101</v>
      </c>
      <c r="B758" s="11">
        <f t="shared" si="11"/>
        <v>70566</v>
      </c>
      <c r="C758" s="16">
        <v>705660</v>
      </c>
      <c r="D758" s="17">
        <v>0</v>
      </c>
      <c r="E758" s="17">
        <v>1</v>
      </c>
      <c r="F758" s="17">
        <v>4</v>
      </c>
      <c r="G758" s="17">
        <v>52</v>
      </c>
      <c r="H758" s="13" t="str" cm="1">
        <f t="array" ref="H758">_xlfn.IFS(G758&lt;=20,"0-20",G758&lt;=30,"20-30",G758&lt;=40,"30-40",G758&lt;=50,"50-60",G758&lt;=60,"60-70",G758&lt;=70,"70-80",G758&lt;=80,"80-90")</f>
        <v>60-70</v>
      </c>
      <c r="I758" s="17">
        <v>2425</v>
      </c>
      <c r="J758" s="13" t="str" cm="1">
        <f t="array" ref="J758">_xlfn.IFS(K758=1,"Divorciado",L758=1,"Casado",M758=1,"Solteiro",N758=1,"Juntos",O758=1,"Viuvo")</f>
        <v>Solteiro</v>
      </c>
      <c r="K758" s="17">
        <v>0</v>
      </c>
      <c r="L758" s="17">
        <v>0</v>
      </c>
      <c r="M758" s="17">
        <v>1</v>
      </c>
      <c r="N758" s="17">
        <v>0</v>
      </c>
      <c r="O758" s="17">
        <v>0</v>
      </c>
      <c r="P758" s="17">
        <v>0</v>
      </c>
      <c r="Q758" s="17">
        <v>0</v>
      </c>
      <c r="R758" s="17">
        <v>1</v>
      </c>
      <c r="S758" s="17">
        <v>0</v>
      </c>
      <c r="T758" s="17">
        <v>0</v>
      </c>
      <c r="U758" s="17">
        <v>381</v>
      </c>
      <c r="V758" s="13" t="str" cm="1">
        <f t="array" ref="V758">_xlfn.IFS(U758&lt;=250,"0-R$250",U758&lt;=500,"251-R$500",U758&lt;=750,"501-R$750",U758&lt;=1000,"751-R$1000",U758&lt;=1250,"1001-R$1250",U758&lt;=1500,"1251-R$1500")</f>
        <v>251-R$500</v>
      </c>
      <c r="W758" s="17">
        <v>28</v>
      </c>
      <c r="X758" s="13" t="str" cm="1">
        <f t="array" ref="X758">_xlfn.IFS(W758 = 0, "0", W758&lt;=20, "até R$20",W758&lt;=40, "21 - R$40",W758&lt;=60, "41- R$60",W758&lt;=80, "61 - R$80", W758&lt;=100, "81 - R$100",W758&lt;=120, "101 - R$120",W758&lt;=140, "121 - R$140", W758&lt;=160, "141- R$160", W758&lt;=180, "161 - R$180", W758&lt;=200, "181-R$194")</f>
        <v>21 - R$40</v>
      </c>
      <c r="Y758" s="17">
        <v>215</v>
      </c>
      <c r="Z758" s="17">
        <v>84</v>
      </c>
      <c r="AA758" s="17">
        <v>28</v>
      </c>
      <c r="AB758" s="17">
        <v>21</v>
      </c>
      <c r="AC758" s="17">
        <v>2</v>
      </c>
      <c r="AD758" s="17">
        <v>6</v>
      </c>
      <c r="AE758" s="17">
        <v>5</v>
      </c>
      <c r="AF758" s="17">
        <v>9</v>
      </c>
      <c r="AG758" s="17">
        <v>3</v>
      </c>
      <c r="AH758" s="17">
        <v>0</v>
      </c>
      <c r="AI758" s="17">
        <v>0</v>
      </c>
      <c r="AJ758" s="17">
        <v>0</v>
      </c>
      <c r="AK758" s="17">
        <v>0</v>
      </c>
      <c r="AL758" s="17">
        <v>0</v>
      </c>
      <c r="AM758" s="17">
        <v>0</v>
      </c>
      <c r="AN758" s="17">
        <v>0</v>
      </c>
      <c r="AO758" s="18">
        <v>0</v>
      </c>
      <c r="AP758" s="17">
        <v>3</v>
      </c>
      <c r="AQ758" s="17">
        <v>11</v>
      </c>
      <c r="AR758" s="19">
        <v>715</v>
      </c>
      <c r="AS758" s="19">
        <v>736</v>
      </c>
    </row>
    <row r="759" spans="1:45" x14ac:dyDescent="0.25">
      <c r="A759">
        <v>974</v>
      </c>
      <c r="B759" s="11">
        <f t="shared" si="11"/>
        <v>64449</v>
      </c>
      <c r="C759" s="12">
        <v>644490</v>
      </c>
      <c r="D759" s="13">
        <v>1</v>
      </c>
      <c r="E759" s="13">
        <v>0</v>
      </c>
      <c r="F759" s="13">
        <v>70</v>
      </c>
      <c r="G759" s="13">
        <v>31</v>
      </c>
      <c r="H759" s="13" t="str" cm="1">
        <f t="array" ref="H759">_xlfn.IFS(G759&lt;=20,"0-20",G759&lt;=30,"20-30",G759&lt;=40,"30-40",G759&lt;=50,"50-60",G759&lt;=60,"60-70",G759&lt;=70,"70-80",G759&lt;=80,"80-90")</f>
        <v>30-40</v>
      </c>
      <c r="I759" s="13">
        <v>2290</v>
      </c>
      <c r="J759" s="13" t="str" cm="1">
        <f t="array" ref="J759">_xlfn.IFS(K759=1,"Divorciado",L759=1,"Casado",M759=1,"Solteiro",N759=1,"Juntos",O759=1,"Viuvo")</f>
        <v>Solteiro</v>
      </c>
      <c r="K759" s="13">
        <v>0</v>
      </c>
      <c r="L759" s="13">
        <v>0</v>
      </c>
      <c r="M759" s="13">
        <v>1</v>
      </c>
      <c r="N759" s="13">
        <v>0</v>
      </c>
      <c r="O759" s="13">
        <v>0</v>
      </c>
      <c r="P759" s="13">
        <v>0</v>
      </c>
      <c r="Q759" s="13">
        <v>0</v>
      </c>
      <c r="R759" s="13">
        <v>1</v>
      </c>
      <c r="S759" s="13">
        <v>0</v>
      </c>
      <c r="T759" s="13">
        <v>0</v>
      </c>
      <c r="U759" s="13">
        <v>218</v>
      </c>
      <c r="V759" s="13" t="str" cm="1">
        <f t="array" ref="V759">_xlfn.IFS(U759&lt;=250,"0-R$250",U759&lt;=500,"251-R$500",U759&lt;=750,"501-R$750",U759&lt;=1000,"751-R$1000",U759&lt;=1250,"1001-R$1250",U759&lt;=1500,"1251-R$1500")</f>
        <v>0-R$250</v>
      </c>
      <c r="W759" s="13">
        <v>63</v>
      </c>
      <c r="X759" s="13" t="str" cm="1">
        <f t="array" ref="X759">_xlfn.IFS(W759 = 0, "0", W759&lt;=20, "até R$20",W759&lt;=40, "21 - R$40",W759&lt;=60, "41- R$60",W759&lt;=80, "61 - R$80", W759&lt;=100, "81 - R$100",W759&lt;=120, "101 - R$120",W759&lt;=140, "121 - R$140", W759&lt;=160, "141- R$160", W759&lt;=180, "161 - R$180", W759&lt;=200, "181-R$194")</f>
        <v>61 - R$80</v>
      </c>
      <c r="Y759" s="13">
        <v>282</v>
      </c>
      <c r="Z759" s="13">
        <v>137</v>
      </c>
      <c r="AA759" s="13">
        <v>35</v>
      </c>
      <c r="AB759" s="13">
        <v>70</v>
      </c>
      <c r="AC759" s="13">
        <v>4</v>
      </c>
      <c r="AD759" s="13">
        <v>5</v>
      </c>
      <c r="AE759" s="13">
        <v>3</v>
      </c>
      <c r="AF759" s="13">
        <v>12</v>
      </c>
      <c r="AG759" s="13">
        <v>4</v>
      </c>
      <c r="AH759" s="13">
        <v>0</v>
      </c>
      <c r="AI759" s="13">
        <v>0</v>
      </c>
      <c r="AJ759" s="13">
        <v>0</v>
      </c>
      <c r="AK759" s="13">
        <v>0</v>
      </c>
      <c r="AL759" s="13">
        <v>0</v>
      </c>
      <c r="AM759" s="13">
        <v>0</v>
      </c>
      <c r="AN759" s="13">
        <v>0</v>
      </c>
      <c r="AO759" s="14">
        <v>0</v>
      </c>
      <c r="AP759" s="13">
        <v>3</v>
      </c>
      <c r="AQ759" s="13">
        <v>11</v>
      </c>
      <c r="AR759" s="15">
        <v>665</v>
      </c>
      <c r="AS759" s="15">
        <v>735</v>
      </c>
    </row>
    <row r="760" spans="1:45" x14ac:dyDescent="0.25">
      <c r="A760">
        <v>3</v>
      </c>
      <c r="B760" s="11">
        <f t="shared" si="11"/>
        <v>71613</v>
      </c>
      <c r="C760" s="16">
        <v>716130</v>
      </c>
      <c r="D760" s="17">
        <v>0</v>
      </c>
      <c r="E760" s="17">
        <v>0</v>
      </c>
      <c r="F760" s="17">
        <v>26</v>
      </c>
      <c r="G760" s="17">
        <v>55</v>
      </c>
      <c r="H760" s="13" t="str" cm="1">
        <f t="array" ref="H760">_xlfn.IFS(G760&lt;=20,"0-20",G760&lt;=30,"20-30",G760&lt;=40,"30-40",G760&lt;=50,"50-60",G760&lt;=60,"60-70",G760&lt;=70,"70-80",G760&lt;=80,"80-90")</f>
        <v>60-70</v>
      </c>
      <c r="I760" s="17">
        <v>2471</v>
      </c>
      <c r="J760" s="13" t="str" cm="1">
        <f t="array" ref="J760">_xlfn.IFS(K760=1,"Divorciado",L760=1,"Casado",M760=1,"Solteiro",N760=1,"Juntos",O760=1,"Viuvo")</f>
        <v>Juntos</v>
      </c>
      <c r="K760" s="17">
        <v>0</v>
      </c>
      <c r="L760" s="17">
        <v>0</v>
      </c>
      <c r="M760" s="17">
        <v>0</v>
      </c>
      <c r="N760" s="17">
        <v>1</v>
      </c>
      <c r="O760" s="17">
        <v>0</v>
      </c>
      <c r="P760" s="17">
        <v>0</v>
      </c>
      <c r="Q760" s="17">
        <v>0</v>
      </c>
      <c r="R760" s="17">
        <v>1</v>
      </c>
      <c r="S760" s="17">
        <v>0</v>
      </c>
      <c r="T760" s="17">
        <v>0</v>
      </c>
      <c r="U760" s="17">
        <v>426</v>
      </c>
      <c r="V760" s="13" t="str" cm="1">
        <f t="array" ref="V760">_xlfn.IFS(U760&lt;=250,"0-R$250",U760&lt;=500,"251-R$500",U760&lt;=750,"501-R$750",U760&lt;=1000,"751-R$1000",U760&lt;=1250,"1001-R$1250",U760&lt;=1500,"1251-R$1500")</f>
        <v>251-R$500</v>
      </c>
      <c r="W760" s="17">
        <v>49</v>
      </c>
      <c r="X760" s="13" t="str" cm="1">
        <f t="array" ref="X760">_xlfn.IFS(W760 = 0, "0", W760&lt;=20, "até R$20",W760&lt;=40, "21 - R$40",W760&lt;=60, "41- R$60",W760&lt;=80, "61 - R$80", W760&lt;=100, "81 - R$100",W760&lt;=120, "101 - R$120",W760&lt;=140, "121 - R$140", W760&lt;=160, "141- R$160", W760&lt;=180, "161 - R$180", W760&lt;=200, "181-R$194")</f>
        <v>41- R$60</v>
      </c>
      <c r="Y760" s="17">
        <v>127</v>
      </c>
      <c r="Z760" s="17">
        <v>111</v>
      </c>
      <c r="AA760" s="17">
        <v>21</v>
      </c>
      <c r="AB760" s="17">
        <v>42</v>
      </c>
      <c r="AC760" s="17">
        <v>1</v>
      </c>
      <c r="AD760" s="17">
        <v>8</v>
      </c>
      <c r="AE760" s="17">
        <v>2</v>
      </c>
      <c r="AF760" s="17">
        <v>10</v>
      </c>
      <c r="AG760" s="17">
        <v>4</v>
      </c>
      <c r="AH760" s="17">
        <v>0</v>
      </c>
      <c r="AI760" s="17">
        <v>0</v>
      </c>
      <c r="AJ760" s="17">
        <v>0</v>
      </c>
      <c r="AK760" s="17">
        <v>0</v>
      </c>
      <c r="AL760" s="17">
        <v>0</v>
      </c>
      <c r="AM760" s="17">
        <v>0</v>
      </c>
      <c r="AN760" s="17">
        <v>0</v>
      </c>
      <c r="AO760" s="18">
        <v>0</v>
      </c>
      <c r="AP760" s="17">
        <v>3</v>
      </c>
      <c r="AQ760" s="17">
        <v>11</v>
      </c>
      <c r="AR760" s="19">
        <v>692</v>
      </c>
      <c r="AS760" s="19">
        <v>734</v>
      </c>
    </row>
    <row r="761" spans="1:45" x14ac:dyDescent="0.25">
      <c r="A761">
        <v>1723</v>
      </c>
      <c r="B761" s="11">
        <f t="shared" si="11"/>
        <v>69901</v>
      </c>
      <c r="C761" s="16">
        <v>699010</v>
      </c>
      <c r="D761" s="17">
        <v>0</v>
      </c>
      <c r="E761" s="17">
        <v>1</v>
      </c>
      <c r="F761" s="17">
        <v>95</v>
      </c>
      <c r="G761" s="17">
        <v>51</v>
      </c>
      <c r="H761" s="13" t="str" cm="1">
        <f t="array" ref="H761">_xlfn.IFS(G761&lt;=20,"0-20",G761&lt;=30,"20-30",G761&lt;=40,"30-40",G761&lt;=50,"50-60",G761&lt;=60,"60-70",G761&lt;=70,"70-80",G761&lt;=80,"80-90")</f>
        <v>60-70</v>
      </c>
      <c r="I761" s="17">
        <v>2555</v>
      </c>
      <c r="J761" s="13" t="str" cm="1">
        <f t="array" ref="J761">_xlfn.IFS(K761=1,"Divorciado",L761=1,"Casado",M761=1,"Solteiro",N761=1,"Juntos",O761=1,"Viuvo")</f>
        <v>Divorciado</v>
      </c>
      <c r="K761" s="17">
        <v>1</v>
      </c>
      <c r="L761" s="17">
        <v>0</v>
      </c>
      <c r="M761" s="17">
        <v>0</v>
      </c>
      <c r="N761" s="17">
        <v>0</v>
      </c>
      <c r="O761" s="17">
        <v>0</v>
      </c>
      <c r="P761" s="17">
        <v>0</v>
      </c>
      <c r="Q761" s="17">
        <v>0</v>
      </c>
      <c r="R761" s="17">
        <v>1</v>
      </c>
      <c r="S761" s="17">
        <v>0</v>
      </c>
      <c r="T761" s="17">
        <v>0</v>
      </c>
      <c r="U761" s="17">
        <v>312</v>
      </c>
      <c r="V761" s="13" t="str" cm="1">
        <f t="array" ref="V761">_xlfn.IFS(U761&lt;=250,"0-R$250",U761&lt;=500,"251-R$500",U761&lt;=750,"501-R$750",U761&lt;=1000,"751-R$1000",U761&lt;=1250,"1001-R$1250",U761&lt;=1500,"1251-R$1500")</f>
        <v>251-R$500</v>
      </c>
      <c r="W761" s="17">
        <v>21</v>
      </c>
      <c r="X761" s="13" t="str" cm="1">
        <f t="array" ref="X761">_xlfn.IFS(W761 = 0, "0", W761&lt;=20, "até R$20",W761&lt;=40, "21 - R$40",W761&lt;=60, "41- R$60",W761&lt;=80, "61 - R$80", W761&lt;=100, "81 - R$100",W761&lt;=120, "101 - R$120",W761&lt;=140, "121 - R$140", W761&lt;=160, "141- R$160", W761&lt;=180, "161 - R$180", W761&lt;=200, "181-R$194")</f>
        <v>21 - R$40</v>
      </c>
      <c r="Y761" s="17">
        <v>206</v>
      </c>
      <c r="Z761" s="17">
        <v>102</v>
      </c>
      <c r="AA761" s="17">
        <v>92</v>
      </c>
      <c r="AB761" s="17">
        <v>149</v>
      </c>
      <c r="AC761" s="17">
        <v>3</v>
      </c>
      <c r="AD761" s="17">
        <v>7</v>
      </c>
      <c r="AE761" s="17">
        <v>3</v>
      </c>
      <c r="AF761" s="17">
        <v>10</v>
      </c>
      <c r="AG761" s="17">
        <v>5</v>
      </c>
      <c r="AH761" s="17">
        <v>0</v>
      </c>
      <c r="AI761" s="17">
        <v>0</v>
      </c>
      <c r="AJ761" s="17">
        <v>0</v>
      </c>
      <c r="AK761" s="17">
        <v>0</v>
      </c>
      <c r="AL761" s="17">
        <v>0</v>
      </c>
      <c r="AM761" s="17">
        <v>0</v>
      </c>
      <c r="AN761" s="17">
        <v>0</v>
      </c>
      <c r="AO761" s="18">
        <v>0</v>
      </c>
      <c r="AP761" s="17">
        <v>3</v>
      </c>
      <c r="AQ761" s="17">
        <v>11</v>
      </c>
      <c r="AR761" s="19">
        <v>584</v>
      </c>
      <c r="AS761" s="19">
        <v>733</v>
      </c>
    </row>
    <row r="762" spans="1:45" x14ac:dyDescent="0.25">
      <c r="A762">
        <v>777</v>
      </c>
      <c r="B762" s="11">
        <f t="shared" si="11"/>
        <v>70421</v>
      </c>
      <c r="C762" s="16">
        <v>704210</v>
      </c>
      <c r="D762" s="17">
        <v>0</v>
      </c>
      <c r="E762" s="17">
        <v>1</v>
      </c>
      <c r="F762" s="17">
        <v>98</v>
      </c>
      <c r="G762" s="17">
        <v>66</v>
      </c>
      <c r="H762" s="13" t="str" cm="1">
        <f t="array" ref="H762">_xlfn.IFS(G762&lt;=20,"0-20",G762&lt;=30,"20-30",G762&lt;=40,"30-40",G762&lt;=50,"50-60",G762&lt;=60,"60-70",G762&lt;=70,"70-80",G762&lt;=80,"80-90")</f>
        <v>70-80</v>
      </c>
      <c r="I762" s="17">
        <v>2160</v>
      </c>
      <c r="J762" s="13" t="str" cm="1">
        <f t="array" ref="J762">_xlfn.IFS(K762=1,"Divorciado",L762=1,"Casado",M762=1,"Solteiro",N762=1,"Juntos",O762=1,"Viuvo")</f>
        <v>Casado</v>
      </c>
      <c r="K762" s="17">
        <v>0</v>
      </c>
      <c r="L762" s="17">
        <v>1</v>
      </c>
      <c r="M762" s="17">
        <v>0</v>
      </c>
      <c r="N762" s="17">
        <v>0</v>
      </c>
      <c r="O762" s="17">
        <v>0</v>
      </c>
      <c r="P762" s="17">
        <v>0</v>
      </c>
      <c r="Q762" s="17">
        <v>0</v>
      </c>
      <c r="R762" s="17">
        <v>0</v>
      </c>
      <c r="S762" s="17">
        <v>0</v>
      </c>
      <c r="T762" s="17">
        <v>1</v>
      </c>
      <c r="U762" s="17">
        <v>479</v>
      </c>
      <c r="V762" s="13" t="str" cm="1">
        <f t="array" ref="V762">_xlfn.IFS(U762&lt;=250,"0-R$250",U762&lt;=500,"251-R$500",U762&lt;=750,"501-R$750",U762&lt;=1000,"751-R$1000",U762&lt;=1250,"1001-R$1250",U762&lt;=1500,"1251-R$1500")</f>
        <v>251-R$500</v>
      </c>
      <c r="W762" s="17">
        <v>28</v>
      </c>
      <c r="X762" s="13" t="str" cm="1">
        <f t="array" ref="X762">_xlfn.IFS(W762 = 0, "0", W762&lt;=20, "até R$20",W762&lt;=40, "21 - R$40",W762&lt;=60, "41- R$60",W762&lt;=80, "61 - R$80", W762&lt;=100, "81 - R$100",W762&lt;=120, "101 - R$120",W762&lt;=140, "121 - R$140", W762&lt;=160, "141- R$160", W762&lt;=180, "161 - R$180", W762&lt;=200, "181-R$194")</f>
        <v>21 - R$40</v>
      </c>
      <c r="Y762" s="17">
        <v>136</v>
      </c>
      <c r="Z762" s="17">
        <v>75</v>
      </c>
      <c r="AA762" s="17">
        <v>14</v>
      </c>
      <c r="AB762" s="17">
        <v>35</v>
      </c>
      <c r="AC762" s="17">
        <v>3</v>
      </c>
      <c r="AD762" s="17">
        <v>10</v>
      </c>
      <c r="AE762" s="17">
        <v>3</v>
      </c>
      <c r="AF762" s="17">
        <v>7</v>
      </c>
      <c r="AG762" s="17">
        <v>6</v>
      </c>
      <c r="AH762" s="17">
        <v>0</v>
      </c>
      <c r="AI762" s="17">
        <v>0</v>
      </c>
      <c r="AJ762" s="17">
        <v>0</v>
      </c>
      <c r="AK762" s="17">
        <v>0</v>
      </c>
      <c r="AL762" s="17">
        <v>0</v>
      </c>
      <c r="AM762" s="17">
        <v>0</v>
      </c>
      <c r="AN762" s="17">
        <v>0</v>
      </c>
      <c r="AO762" s="18">
        <v>0</v>
      </c>
      <c r="AP762" s="17">
        <v>3</v>
      </c>
      <c r="AQ762" s="17">
        <v>11</v>
      </c>
      <c r="AR762" s="19">
        <v>697</v>
      </c>
      <c r="AS762" s="19">
        <v>732</v>
      </c>
    </row>
    <row r="763" spans="1:45" x14ac:dyDescent="0.25">
      <c r="A763">
        <v>1941</v>
      </c>
      <c r="B763" s="11">
        <f t="shared" si="11"/>
        <v>64474</v>
      </c>
      <c r="C763" s="16">
        <v>644740</v>
      </c>
      <c r="D763" s="17">
        <v>0</v>
      </c>
      <c r="E763" s="17">
        <v>1</v>
      </c>
      <c r="F763" s="17">
        <v>59</v>
      </c>
      <c r="G763" s="17">
        <v>48</v>
      </c>
      <c r="H763" s="13" t="str" cm="1">
        <f t="array" ref="H763">_xlfn.IFS(G763&lt;=20,"0-20",G763&lt;=30,"20-30",G763&lt;=40,"30-40",G763&lt;=50,"50-60",G763&lt;=60,"60-70",G763&lt;=70,"70-80",G763&lt;=80,"80-90")</f>
        <v>50-60</v>
      </c>
      <c r="I763" s="17">
        <v>2409</v>
      </c>
      <c r="J763" s="13" t="str" cm="1">
        <f t="array" ref="J763">_xlfn.IFS(K763=1,"Divorciado",L763=1,"Casado",M763=1,"Solteiro",N763=1,"Juntos",O763=1,"Viuvo")</f>
        <v>Juntos</v>
      </c>
      <c r="K763" s="17">
        <v>0</v>
      </c>
      <c r="L763" s="17">
        <v>0</v>
      </c>
      <c r="M763" s="17">
        <v>0</v>
      </c>
      <c r="N763" s="17">
        <v>1</v>
      </c>
      <c r="O763" s="17">
        <v>0</v>
      </c>
      <c r="P763" s="17">
        <v>0</v>
      </c>
      <c r="Q763" s="17">
        <v>0</v>
      </c>
      <c r="R763" s="17">
        <v>1</v>
      </c>
      <c r="S763" s="17">
        <v>0</v>
      </c>
      <c r="T763" s="17">
        <v>0</v>
      </c>
      <c r="U763" s="17">
        <v>381</v>
      </c>
      <c r="V763" s="13" t="str" cm="1">
        <f t="array" ref="V763">_xlfn.IFS(U763&lt;=250,"0-R$250",U763&lt;=500,"251-R$500",U763&lt;=750,"501-R$750",U763&lt;=1000,"751-R$1000",U763&lt;=1250,"1001-R$1250",U763&lt;=1500,"1251-R$1500")</f>
        <v>251-R$500</v>
      </c>
      <c r="W763" s="17">
        <v>35</v>
      </c>
      <c r="X763" s="13" t="str" cm="1">
        <f t="array" ref="X763">_xlfn.IFS(W763 = 0, "0", W763&lt;=20, "até R$20",W763&lt;=40, "21 - R$40",W763&lt;=60, "41- R$60",W763&lt;=80, "61 - R$80", W763&lt;=100, "81 - R$100",W763&lt;=120, "101 - R$120",W763&lt;=140, "121 - R$140", W763&lt;=160, "141- R$160", W763&lt;=180, "161 - R$180", W763&lt;=200, "181-R$194")</f>
        <v>21 - R$40</v>
      </c>
      <c r="Y763" s="17">
        <v>172</v>
      </c>
      <c r="Z763" s="17">
        <v>56</v>
      </c>
      <c r="AA763" s="17">
        <v>86</v>
      </c>
      <c r="AB763" s="17">
        <v>93</v>
      </c>
      <c r="AC763" s="17">
        <v>2</v>
      </c>
      <c r="AD763" s="17">
        <v>8</v>
      </c>
      <c r="AE763" s="17">
        <v>2</v>
      </c>
      <c r="AF763" s="17">
        <v>10</v>
      </c>
      <c r="AG763" s="17">
        <v>5</v>
      </c>
      <c r="AH763" s="17">
        <v>0</v>
      </c>
      <c r="AI763" s="17">
        <v>0</v>
      </c>
      <c r="AJ763" s="17">
        <v>0</v>
      </c>
      <c r="AK763" s="17">
        <v>0</v>
      </c>
      <c r="AL763" s="17">
        <v>0</v>
      </c>
      <c r="AM763" s="17">
        <v>0</v>
      </c>
      <c r="AN763" s="17">
        <v>0</v>
      </c>
      <c r="AO763" s="18">
        <v>0</v>
      </c>
      <c r="AP763" s="17">
        <v>3</v>
      </c>
      <c r="AQ763" s="17">
        <v>11</v>
      </c>
      <c r="AR763" s="19">
        <v>637</v>
      </c>
      <c r="AS763" s="19">
        <v>730</v>
      </c>
    </row>
    <row r="764" spans="1:45" x14ac:dyDescent="0.25">
      <c r="A764">
        <v>468</v>
      </c>
      <c r="B764" s="11">
        <f t="shared" si="11"/>
        <v>83151</v>
      </c>
      <c r="C764" s="12">
        <v>831510</v>
      </c>
      <c r="D764" s="13">
        <v>0</v>
      </c>
      <c r="E764" s="13">
        <v>0</v>
      </c>
      <c r="F764" s="13">
        <v>93</v>
      </c>
      <c r="G764" s="13">
        <v>60</v>
      </c>
      <c r="H764" s="13" t="str" cm="1">
        <f t="array" ref="H764">_xlfn.IFS(G764&lt;=20,"0-20",G764&lt;=30,"20-30",G764&lt;=40,"30-40",G764&lt;=50,"50-60",G764&lt;=60,"60-70",G764&lt;=70,"70-80",G764&lt;=80,"80-90")</f>
        <v>60-70</v>
      </c>
      <c r="I764" s="13">
        <v>2786</v>
      </c>
      <c r="J764" s="13" t="str" cm="1">
        <f t="array" ref="J764">_xlfn.IFS(K764=1,"Divorciado",L764=1,"Casado",M764=1,"Solteiro",N764=1,"Juntos",O764=1,"Viuvo")</f>
        <v>Juntos</v>
      </c>
      <c r="K764" s="13">
        <v>0</v>
      </c>
      <c r="L764" s="13">
        <v>0</v>
      </c>
      <c r="M764" s="13">
        <v>0</v>
      </c>
      <c r="N764" s="13">
        <v>1</v>
      </c>
      <c r="O764" s="13">
        <v>0</v>
      </c>
      <c r="P764" s="13">
        <v>0</v>
      </c>
      <c r="Q764" s="13">
        <v>0</v>
      </c>
      <c r="R764" s="13">
        <v>0</v>
      </c>
      <c r="S764" s="13">
        <v>1</v>
      </c>
      <c r="T764" s="13">
        <v>0</v>
      </c>
      <c r="U764" s="13">
        <v>407</v>
      </c>
      <c r="V764" s="13" t="str" cm="1">
        <f t="array" ref="V764">_xlfn.IFS(U764&lt;=250,"0-R$250",U764&lt;=500,"251-R$500",U764&lt;=750,"501-R$750",U764&lt;=1000,"751-R$1000",U764&lt;=1250,"1001-R$1250",U764&lt;=1500,"1251-R$1500")</f>
        <v>251-R$500</v>
      </c>
      <c r="W764" s="13">
        <v>28</v>
      </c>
      <c r="X764" s="13" t="str" cm="1">
        <f t="array" ref="X764">_xlfn.IFS(W764 = 0, "0", W764&lt;=20, "até R$20",W764&lt;=40, "21 - R$40",W764&lt;=60, "41- R$60",W764&lt;=80, "61 - R$80", W764&lt;=100, "81 - R$100",W764&lt;=120, "101 - R$120",W764&lt;=140, "121 - R$140", W764&lt;=160, "141- R$160", W764&lt;=180, "161 - R$180", W764&lt;=200, "181-R$194")</f>
        <v>21 - R$40</v>
      </c>
      <c r="Y764" s="13">
        <v>100</v>
      </c>
      <c r="Z764" s="13">
        <v>120</v>
      </c>
      <c r="AA764" s="13">
        <v>74</v>
      </c>
      <c r="AB764" s="13">
        <v>18</v>
      </c>
      <c r="AC764" s="13">
        <v>1</v>
      </c>
      <c r="AD764" s="13">
        <v>5</v>
      </c>
      <c r="AE764" s="13">
        <v>9</v>
      </c>
      <c r="AF764" s="13">
        <v>4</v>
      </c>
      <c r="AG764" s="13">
        <v>3</v>
      </c>
      <c r="AH764" s="13">
        <v>0</v>
      </c>
      <c r="AI764" s="13">
        <v>0</v>
      </c>
      <c r="AJ764" s="13">
        <v>0</v>
      </c>
      <c r="AK764" s="13">
        <v>0</v>
      </c>
      <c r="AL764" s="13">
        <v>0</v>
      </c>
      <c r="AM764" s="13">
        <v>0</v>
      </c>
      <c r="AN764" s="13">
        <v>0</v>
      </c>
      <c r="AO764" s="14">
        <v>0</v>
      </c>
      <c r="AP764" s="13">
        <v>3</v>
      </c>
      <c r="AQ764" s="13">
        <v>11</v>
      </c>
      <c r="AR764" s="15">
        <v>711</v>
      </c>
      <c r="AS764" s="15">
        <v>729</v>
      </c>
    </row>
    <row r="765" spans="1:45" x14ac:dyDescent="0.25">
      <c r="A765">
        <v>1623</v>
      </c>
      <c r="B765" s="11">
        <f t="shared" si="11"/>
        <v>58684</v>
      </c>
      <c r="C765" s="16">
        <v>586840</v>
      </c>
      <c r="D765" s="17">
        <v>0</v>
      </c>
      <c r="E765" s="17">
        <v>0</v>
      </c>
      <c r="F765" s="17">
        <v>71</v>
      </c>
      <c r="G765" s="17">
        <v>39</v>
      </c>
      <c r="H765" s="13" t="str" cm="1">
        <f t="array" ref="H765">_xlfn.IFS(G765&lt;=20,"0-20",G765&lt;=30,"20-30",G765&lt;=40,"30-40",G765&lt;=50,"50-60",G765&lt;=60,"60-70",G765&lt;=70,"70-80",G765&lt;=80,"80-90")</f>
        <v>30-40</v>
      </c>
      <c r="I765" s="17">
        <v>2172</v>
      </c>
      <c r="J765" s="13" t="str" cm="1">
        <f t="array" ref="J765">_xlfn.IFS(K765=1,"Divorciado",L765=1,"Casado",M765=1,"Solteiro",N765=1,"Juntos",O765=1,"Viuvo")</f>
        <v>Solteiro</v>
      </c>
      <c r="K765" s="17">
        <v>0</v>
      </c>
      <c r="L765" s="17">
        <v>0</v>
      </c>
      <c r="M765" s="17">
        <v>1</v>
      </c>
      <c r="N765" s="17">
        <v>0</v>
      </c>
      <c r="O765" s="17">
        <v>0</v>
      </c>
      <c r="P765" s="17">
        <v>0</v>
      </c>
      <c r="Q765" s="17">
        <v>0</v>
      </c>
      <c r="R765" s="17">
        <v>1</v>
      </c>
      <c r="S765" s="17">
        <v>0</v>
      </c>
      <c r="T765" s="17">
        <v>0</v>
      </c>
      <c r="U765" s="17">
        <v>479</v>
      </c>
      <c r="V765" s="13" t="str" cm="1">
        <f t="array" ref="V765">_xlfn.IFS(U765&lt;=250,"0-R$250",U765&lt;=500,"251-R$500",U765&lt;=750,"501-R$750",U765&lt;=1000,"751-R$1000",U765&lt;=1250,"1001-R$1250",U765&lt;=1500,"1251-R$1500")</f>
        <v>251-R$500</v>
      </c>
      <c r="W765" s="17">
        <v>35</v>
      </c>
      <c r="X765" s="13" t="str" cm="1">
        <f t="array" ref="X765">_xlfn.IFS(W765 = 0, "0", W765&lt;=20, "até R$20",W765&lt;=40, "21 - R$40",W765&lt;=60, "41- R$60",W765&lt;=80, "61 - R$80", W765&lt;=100, "81 - R$100",W765&lt;=120, "101 - R$120",W765&lt;=140, "121 - R$140", W765&lt;=160, "141- R$160", W765&lt;=180, "161 - R$180", W765&lt;=200, "181-R$194")</f>
        <v>21 - R$40</v>
      </c>
      <c r="Y765" s="17">
        <v>179</v>
      </c>
      <c r="Z765" s="17">
        <v>28</v>
      </c>
      <c r="AA765" s="17">
        <v>7</v>
      </c>
      <c r="AB765" s="17">
        <v>85</v>
      </c>
      <c r="AC765" s="17">
        <v>1</v>
      </c>
      <c r="AD765" s="17">
        <v>5</v>
      </c>
      <c r="AE765" s="17">
        <v>3</v>
      </c>
      <c r="AF765" s="17">
        <v>12</v>
      </c>
      <c r="AG765" s="17">
        <v>2</v>
      </c>
      <c r="AH765" s="17">
        <v>0</v>
      </c>
      <c r="AI765" s="17">
        <v>0</v>
      </c>
      <c r="AJ765" s="17">
        <v>1</v>
      </c>
      <c r="AK765" s="17">
        <v>0</v>
      </c>
      <c r="AL765" s="17">
        <v>0</v>
      </c>
      <c r="AM765" s="17">
        <v>0</v>
      </c>
      <c r="AN765" s="17">
        <v>0</v>
      </c>
      <c r="AO765" s="18">
        <v>1</v>
      </c>
      <c r="AP765" s="17">
        <v>3</v>
      </c>
      <c r="AQ765" s="17">
        <v>11</v>
      </c>
      <c r="AR765" s="19">
        <v>643</v>
      </c>
      <c r="AS765" s="19">
        <v>728</v>
      </c>
    </row>
    <row r="766" spans="1:45" x14ac:dyDescent="0.25">
      <c r="A766">
        <v>1672</v>
      </c>
      <c r="B766" s="11">
        <f t="shared" si="11"/>
        <v>86580</v>
      </c>
      <c r="C766" s="12">
        <v>865800</v>
      </c>
      <c r="D766" s="13">
        <v>0</v>
      </c>
      <c r="E766" s="13">
        <v>0</v>
      </c>
      <c r="F766" s="13">
        <v>72</v>
      </c>
      <c r="G766" s="13">
        <v>37</v>
      </c>
      <c r="H766" s="13" t="str" cm="1">
        <f t="array" ref="H766">_xlfn.IFS(G766&lt;=20,"0-20",G766&lt;=30,"20-30",G766&lt;=40,"30-40",G766&lt;=50,"50-60",G766&lt;=60,"60-70",G766&lt;=70,"70-80",G766&lt;=80,"80-90")</f>
        <v>30-40</v>
      </c>
      <c r="I766" s="13">
        <v>2646</v>
      </c>
      <c r="J766" s="13" t="str" cm="1">
        <f t="array" ref="J766">_xlfn.IFS(K766=1,"Divorciado",L766=1,"Casado",M766=1,"Solteiro",N766=1,"Juntos",O766=1,"Viuvo")</f>
        <v>Casado</v>
      </c>
      <c r="K766" s="13">
        <v>0</v>
      </c>
      <c r="L766" s="13">
        <v>1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0</v>
      </c>
      <c r="S766" s="13">
        <v>0</v>
      </c>
      <c r="T766" s="13">
        <v>1</v>
      </c>
      <c r="U766" s="13">
        <v>532</v>
      </c>
      <c r="V766" s="13" t="str" cm="1">
        <f t="array" ref="V766">_xlfn.IFS(U766&lt;=250,"0-R$250",U766&lt;=500,"251-R$500",U766&lt;=750,"501-R$750",U766&lt;=1000,"751-R$1000",U766&lt;=1250,"1001-R$1250",U766&lt;=1500,"1251-R$1500")</f>
        <v>501-R$750</v>
      </c>
      <c r="W766" s="13">
        <v>21</v>
      </c>
      <c r="X766" s="13" t="str" cm="1">
        <f t="array" ref="X766">_xlfn.IFS(W766 = 0, "0", W766&lt;=20, "até R$20",W766&lt;=40, "21 - R$40",W766&lt;=60, "41- R$60",W766&lt;=80, "61 - R$80", W766&lt;=100, "81 - R$100",W766&lt;=120, "101 - R$120",W766&lt;=140, "121 - R$140", W766&lt;=160, "141- R$160", W766&lt;=180, "161 - R$180", W766&lt;=200, "181-R$194")</f>
        <v>21 - R$40</v>
      </c>
      <c r="Y766" s="13">
        <v>127</v>
      </c>
      <c r="Z766" s="13">
        <v>26</v>
      </c>
      <c r="AA766" s="13">
        <v>20</v>
      </c>
      <c r="AB766" s="13">
        <v>20</v>
      </c>
      <c r="AC766" s="13">
        <v>0</v>
      </c>
      <c r="AD766" s="13">
        <v>4</v>
      </c>
      <c r="AE766" s="13">
        <v>2</v>
      </c>
      <c r="AF766" s="13">
        <v>5</v>
      </c>
      <c r="AG766" s="13">
        <v>1</v>
      </c>
      <c r="AH766" s="13">
        <v>0</v>
      </c>
      <c r="AI766" s="13">
        <v>0</v>
      </c>
      <c r="AJ766" s="13">
        <v>0</v>
      </c>
      <c r="AK766" s="13">
        <v>1</v>
      </c>
      <c r="AL766" s="13">
        <v>0</v>
      </c>
      <c r="AM766" s="13">
        <v>0</v>
      </c>
      <c r="AN766" s="13">
        <v>0</v>
      </c>
      <c r="AO766" s="14">
        <v>1</v>
      </c>
      <c r="AP766" s="13">
        <v>3</v>
      </c>
      <c r="AQ766" s="13">
        <v>11</v>
      </c>
      <c r="AR766" s="15">
        <v>706</v>
      </c>
      <c r="AS766" s="15">
        <v>726</v>
      </c>
    </row>
    <row r="767" spans="1:45" x14ac:dyDescent="0.25">
      <c r="A767">
        <v>483</v>
      </c>
      <c r="B767" s="11">
        <f t="shared" si="11"/>
        <v>65275</v>
      </c>
      <c r="C767" s="16">
        <v>652750</v>
      </c>
      <c r="D767" s="17">
        <v>0</v>
      </c>
      <c r="E767" s="17">
        <v>0</v>
      </c>
      <c r="F767" s="17">
        <v>9</v>
      </c>
      <c r="G767" s="17">
        <v>76</v>
      </c>
      <c r="H767" s="13" t="str" cm="1">
        <f t="array" ref="H767">_xlfn.IFS(G767&lt;=20,"0-20",G767&lt;=30,"20-30",G767&lt;=40,"30-40",G767&lt;=50,"50-60",G767&lt;=60,"60-70",G767&lt;=70,"70-80",G767&lt;=80,"80-90")</f>
        <v>80-90</v>
      </c>
      <c r="I767" s="17">
        <v>2611</v>
      </c>
      <c r="J767" s="13" t="str" cm="1">
        <f t="array" ref="J767">_xlfn.IFS(K767=1,"Divorciado",L767=1,"Casado",M767=1,"Solteiro",N767=1,"Juntos",O767=1,"Viuvo")</f>
        <v>Casado</v>
      </c>
      <c r="K767" s="17">
        <v>0</v>
      </c>
      <c r="L767" s="17">
        <v>1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1</v>
      </c>
      <c r="S767" s="17">
        <v>0</v>
      </c>
      <c r="T767" s="17">
        <v>0</v>
      </c>
      <c r="U767" s="17">
        <v>388</v>
      </c>
      <c r="V767" s="13" t="str" cm="1">
        <f t="array" ref="V767">_xlfn.IFS(U767&lt;=250,"0-R$250",U767&lt;=500,"251-R$500",U767&lt;=750,"501-R$750",U767&lt;=1000,"751-R$1000",U767&lt;=1250,"1001-R$1250",U767&lt;=1500,"1251-R$1500")</f>
        <v>251-R$500</v>
      </c>
      <c r="W767" s="17">
        <v>14</v>
      </c>
      <c r="X767" s="13" t="str" cm="1">
        <f t="array" ref="X767">_xlfn.IFS(W767 = 0, "0", W767&lt;=20, "até R$20",W767&lt;=40, "21 - R$40",W767&lt;=60, "41- R$60",W767&lt;=80, "61 - R$80", W767&lt;=100, "81 - R$100",W767&lt;=120, "101 - R$120",W767&lt;=140, "121 - R$140", W767&lt;=160, "141- R$160", W767&lt;=180, "161 - R$180", W767&lt;=200, "181-R$194")</f>
        <v>até R$20</v>
      </c>
      <c r="Y767" s="17">
        <v>218</v>
      </c>
      <c r="Z767" s="17">
        <v>91</v>
      </c>
      <c r="AA767" s="17">
        <v>14</v>
      </c>
      <c r="AB767" s="17">
        <v>21</v>
      </c>
      <c r="AC767" s="17">
        <v>1</v>
      </c>
      <c r="AD767" s="17">
        <v>4</v>
      </c>
      <c r="AE767" s="17">
        <v>3</v>
      </c>
      <c r="AF767" s="17">
        <v>13</v>
      </c>
      <c r="AG767" s="17">
        <v>2</v>
      </c>
      <c r="AH767" s="17">
        <v>0</v>
      </c>
      <c r="AI767" s="17">
        <v>0</v>
      </c>
      <c r="AJ767" s="17">
        <v>0</v>
      </c>
      <c r="AK767" s="17">
        <v>0</v>
      </c>
      <c r="AL767" s="17">
        <v>0</v>
      </c>
      <c r="AM767" s="17">
        <v>0</v>
      </c>
      <c r="AN767" s="17">
        <v>0</v>
      </c>
      <c r="AO767" s="18">
        <v>0</v>
      </c>
      <c r="AP767" s="17">
        <v>3</v>
      </c>
      <c r="AQ767" s="17">
        <v>11</v>
      </c>
      <c r="AR767" s="19">
        <v>704</v>
      </c>
      <c r="AS767" s="19">
        <v>725</v>
      </c>
    </row>
    <row r="768" spans="1:45" x14ac:dyDescent="0.25">
      <c r="A768">
        <v>2006</v>
      </c>
      <c r="B768" s="11">
        <f t="shared" si="11"/>
        <v>67225</v>
      </c>
      <c r="C768" s="12">
        <v>672250</v>
      </c>
      <c r="D768" s="13">
        <v>0</v>
      </c>
      <c r="E768" s="13">
        <v>1</v>
      </c>
      <c r="F768" s="13">
        <v>4</v>
      </c>
      <c r="G768" s="13">
        <v>65</v>
      </c>
      <c r="H768" s="13" t="str" cm="1">
        <f t="array" ref="H768">_xlfn.IFS(G768&lt;=20,"0-20",G768&lt;=30,"20-30",G768&lt;=40,"30-40",G768&lt;=50,"50-60",G768&lt;=60,"60-70",G768&lt;=70,"70-80",G768&lt;=80,"80-90")</f>
        <v>70-80</v>
      </c>
      <c r="I768" s="13">
        <v>2374</v>
      </c>
      <c r="J768" s="13" t="str" cm="1">
        <f t="array" ref="J768">_xlfn.IFS(K768=1,"Divorciado",L768=1,"Casado",M768=1,"Solteiro",N768=1,"Juntos",O768=1,"Viuvo")</f>
        <v>Casado</v>
      </c>
      <c r="K768" s="13">
        <v>0</v>
      </c>
      <c r="L768" s="13">
        <v>1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1</v>
      </c>
      <c r="S768" s="13">
        <v>0</v>
      </c>
      <c r="T768" s="13">
        <v>0</v>
      </c>
      <c r="U768" s="13">
        <v>315</v>
      </c>
      <c r="V768" s="13" t="str" cm="1">
        <f t="array" ref="V768">_xlfn.IFS(U768&lt;=250,"0-R$250",U768&lt;=500,"251-R$500",U768&lt;=750,"501-R$750",U768&lt;=1000,"751-R$1000",U768&lt;=1250,"1001-R$1250",U768&lt;=1500,"1251-R$1500")</f>
        <v>251-R$500</v>
      </c>
      <c r="W768" s="13">
        <v>35</v>
      </c>
      <c r="X768" s="13" t="str" cm="1">
        <f t="array" ref="X768">_xlfn.IFS(W768 = 0, "0", W768&lt;=20, "até R$20",W768&lt;=40, "21 - R$40",W768&lt;=60, "41- R$60",W768&lt;=80, "61 - R$80", W768&lt;=100, "81 - R$100",W768&lt;=120, "101 - R$120",W768&lt;=140, "121 - R$140", W768&lt;=160, "141- R$160", W768&lt;=180, "161 - R$180", W768&lt;=200, "181-R$194")</f>
        <v>21 - R$40</v>
      </c>
      <c r="Y768" s="13">
        <v>322</v>
      </c>
      <c r="Z768" s="13">
        <v>46</v>
      </c>
      <c r="AA768" s="13">
        <v>7</v>
      </c>
      <c r="AB768" s="13">
        <v>143</v>
      </c>
      <c r="AC768" s="13">
        <v>3</v>
      </c>
      <c r="AD768" s="13">
        <v>7</v>
      </c>
      <c r="AE768" s="13">
        <v>2</v>
      </c>
      <c r="AF768" s="13">
        <v>11</v>
      </c>
      <c r="AG768" s="13">
        <v>5</v>
      </c>
      <c r="AH768" s="13">
        <v>0</v>
      </c>
      <c r="AI768" s="13">
        <v>0</v>
      </c>
      <c r="AJ768" s="13">
        <v>0</v>
      </c>
      <c r="AK768" s="13">
        <v>0</v>
      </c>
      <c r="AL768" s="13">
        <v>0</v>
      </c>
      <c r="AM768" s="13">
        <v>0</v>
      </c>
      <c r="AN768" s="13">
        <v>0</v>
      </c>
      <c r="AO768" s="14">
        <v>0</v>
      </c>
      <c r="AP768" s="13">
        <v>3</v>
      </c>
      <c r="AQ768" s="13">
        <v>11</v>
      </c>
      <c r="AR768" s="15">
        <v>582</v>
      </c>
      <c r="AS768" s="15">
        <v>725</v>
      </c>
    </row>
    <row r="769" spans="1:45" x14ac:dyDescent="0.25">
      <c r="A769">
        <v>274</v>
      </c>
      <c r="B769" s="11">
        <f t="shared" si="11"/>
        <v>50898</v>
      </c>
      <c r="C769" s="12">
        <v>508980</v>
      </c>
      <c r="D769" s="13">
        <v>1</v>
      </c>
      <c r="E769" s="13">
        <v>1</v>
      </c>
      <c r="F769" s="13">
        <v>88</v>
      </c>
      <c r="G769" s="13">
        <v>64</v>
      </c>
      <c r="H769" s="13" t="str" cm="1">
        <f t="array" ref="H769">_xlfn.IFS(G769&lt;=20,"0-20",G769&lt;=30,"20-30",G769&lt;=40,"30-40",G769&lt;=50,"50-60",G769&lt;=60,"60-70",G769&lt;=70,"70-80",G769&lt;=80,"80-90")</f>
        <v>70-80</v>
      </c>
      <c r="I769" s="13">
        <v>2696</v>
      </c>
      <c r="J769" s="13" t="str" cm="1">
        <f t="array" ref="J769">_xlfn.IFS(K769=1,"Divorciado",L769=1,"Casado",M769=1,"Solteiro",N769=1,"Juntos",O769=1,"Viuvo")</f>
        <v>Juntos</v>
      </c>
      <c r="K769" s="13">
        <v>0</v>
      </c>
      <c r="L769" s="13">
        <v>0</v>
      </c>
      <c r="M769" s="13">
        <v>0</v>
      </c>
      <c r="N769" s="13">
        <v>1</v>
      </c>
      <c r="O769" s="13">
        <v>0</v>
      </c>
      <c r="P769" s="13">
        <v>0</v>
      </c>
      <c r="Q769" s="13">
        <v>0</v>
      </c>
      <c r="R769" s="13">
        <v>0</v>
      </c>
      <c r="S769" s="13">
        <v>1</v>
      </c>
      <c r="T769" s="13">
        <v>0</v>
      </c>
      <c r="U769" s="13">
        <v>285</v>
      </c>
      <c r="V769" s="13" t="str" cm="1">
        <f t="array" ref="V769">_xlfn.IFS(U769&lt;=250,"0-R$250",U769&lt;=500,"251-R$500",U769&lt;=750,"501-R$750",U769&lt;=1000,"751-R$1000",U769&lt;=1250,"1001-R$1250",U769&lt;=1500,"1251-R$1500")</f>
        <v>251-R$500</v>
      </c>
      <c r="W769" s="13">
        <v>28</v>
      </c>
      <c r="X769" s="13" t="str" cm="1">
        <f t="array" ref="X769">_xlfn.IFS(W769 = 0, "0", W769&lt;=20, "até R$20",W769&lt;=40, "21 - R$40",W769&lt;=60, "41- R$60",W769&lt;=80, "61 - R$80", W769&lt;=100, "81 - R$100",W769&lt;=120, "101 - R$120",W769&lt;=140, "121 - R$140", W769&lt;=160, "141- R$160", W769&lt;=180, "161 - R$180", W769&lt;=200, "181-R$194")</f>
        <v>21 - R$40</v>
      </c>
      <c r="Y769" s="13">
        <v>242</v>
      </c>
      <c r="Z769" s="13">
        <v>55</v>
      </c>
      <c r="AA769" s="13">
        <v>114</v>
      </c>
      <c r="AB769" s="13">
        <v>135</v>
      </c>
      <c r="AC769" s="13">
        <v>13</v>
      </c>
      <c r="AD769" s="13">
        <v>6</v>
      </c>
      <c r="AE769" s="13">
        <v>2</v>
      </c>
      <c r="AF769" s="13">
        <v>12</v>
      </c>
      <c r="AG769" s="13">
        <v>5</v>
      </c>
      <c r="AH769" s="13">
        <v>0</v>
      </c>
      <c r="AI769" s="13">
        <v>0</v>
      </c>
      <c r="AJ769" s="13">
        <v>0</v>
      </c>
      <c r="AK769" s="13">
        <v>0</v>
      </c>
      <c r="AL769" s="13">
        <v>0</v>
      </c>
      <c r="AM769" s="13">
        <v>0</v>
      </c>
      <c r="AN769" s="13">
        <v>0</v>
      </c>
      <c r="AO769" s="14">
        <v>0</v>
      </c>
      <c r="AP769" s="13">
        <v>3</v>
      </c>
      <c r="AQ769" s="13">
        <v>11</v>
      </c>
      <c r="AR769" s="15">
        <v>589</v>
      </c>
      <c r="AS769" s="15">
        <v>724</v>
      </c>
    </row>
    <row r="770" spans="1:45" x14ac:dyDescent="0.25">
      <c r="A770">
        <v>1278</v>
      </c>
      <c r="B770" s="11">
        <f t="shared" ref="B770:B833" si="12">C770/10</f>
        <v>57811</v>
      </c>
      <c r="C770" s="12">
        <v>578110</v>
      </c>
      <c r="D770" s="13">
        <v>0</v>
      </c>
      <c r="E770" s="13">
        <v>1</v>
      </c>
      <c r="F770" s="13">
        <v>49</v>
      </c>
      <c r="G770" s="13">
        <v>54</v>
      </c>
      <c r="H770" s="13" t="str" cm="1">
        <f t="array" ref="H770">_xlfn.IFS(G770&lt;=20,"0-20",G770&lt;=30,"20-30",G770&lt;=40,"30-40",G770&lt;=50,"50-60",G770&lt;=60,"60-70",G770&lt;=70,"70-80",G770&lt;=80,"80-90")</f>
        <v>60-70</v>
      </c>
      <c r="I770" s="13">
        <v>2529</v>
      </c>
      <c r="J770" s="13" t="str" cm="1">
        <f t="array" ref="J770">_xlfn.IFS(K770=1,"Divorciado",L770=1,"Casado",M770=1,"Solteiro",N770=1,"Juntos",O770=1,"Viuvo")</f>
        <v>Juntos</v>
      </c>
      <c r="K770" s="13">
        <v>0</v>
      </c>
      <c r="L770" s="13">
        <v>0</v>
      </c>
      <c r="M770" s="13">
        <v>0</v>
      </c>
      <c r="N770" s="13">
        <v>1</v>
      </c>
      <c r="O770" s="13">
        <v>0</v>
      </c>
      <c r="P770" s="13">
        <v>0</v>
      </c>
      <c r="Q770" s="13">
        <v>0</v>
      </c>
      <c r="R770" s="13">
        <v>1</v>
      </c>
      <c r="S770" s="13">
        <v>0</v>
      </c>
      <c r="T770" s="13">
        <v>0</v>
      </c>
      <c r="U770" s="13">
        <v>545</v>
      </c>
      <c r="V770" s="13" t="str" cm="1">
        <f t="array" ref="V770">_xlfn.IFS(U770&lt;=250,"0-R$250",U770&lt;=500,"251-R$500",U770&lt;=750,"501-R$750",U770&lt;=1000,"751-R$1000",U770&lt;=1250,"1001-R$1250",U770&lt;=1500,"1251-R$1500")</f>
        <v>501-R$750</v>
      </c>
      <c r="W770" s="13">
        <v>7</v>
      </c>
      <c r="X770" s="13" t="str" cm="1">
        <f t="array" ref="X770">_xlfn.IFS(W770 = 0, "0", W770&lt;=20, "até R$20",W770&lt;=40, "21 - R$40",W770&lt;=60, "41- R$60",W770&lt;=80, "61 - R$80", W770&lt;=100, "81 - R$100",W770&lt;=120, "101 - R$120",W770&lt;=140, "121 - R$140", W770&lt;=160, "141- R$160", W770&lt;=180, "161 - R$180", W770&lt;=200, "181-R$194")</f>
        <v>até R$20</v>
      </c>
      <c r="Y770" s="13">
        <v>114</v>
      </c>
      <c r="Z770" s="13">
        <v>37</v>
      </c>
      <c r="AA770" s="13">
        <v>21</v>
      </c>
      <c r="AB770" s="13">
        <v>78</v>
      </c>
      <c r="AC770" s="13">
        <v>5</v>
      </c>
      <c r="AD770" s="13">
        <v>7</v>
      </c>
      <c r="AE770" s="13">
        <v>2</v>
      </c>
      <c r="AF770" s="13">
        <v>11</v>
      </c>
      <c r="AG770" s="13">
        <v>5</v>
      </c>
      <c r="AH770" s="13">
        <v>0</v>
      </c>
      <c r="AI770" s="13">
        <v>0</v>
      </c>
      <c r="AJ770" s="13">
        <v>1</v>
      </c>
      <c r="AK770" s="13">
        <v>0</v>
      </c>
      <c r="AL770" s="13">
        <v>0</v>
      </c>
      <c r="AM770" s="13">
        <v>0</v>
      </c>
      <c r="AN770" s="13">
        <v>0</v>
      </c>
      <c r="AO770" s="14">
        <v>1</v>
      </c>
      <c r="AP770" s="13">
        <v>3</v>
      </c>
      <c r="AQ770" s="13">
        <v>11</v>
      </c>
      <c r="AR770" s="15">
        <v>646</v>
      </c>
      <c r="AS770" s="15">
        <v>724</v>
      </c>
    </row>
    <row r="771" spans="1:45" x14ac:dyDescent="0.25">
      <c r="A771">
        <v>1896</v>
      </c>
      <c r="B771" s="11">
        <f t="shared" si="12"/>
        <v>70932</v>
      </c>
      <c r="C771" s="12">
        <v>709320</v>
      </c>
      <c r="D771" s="13">
        <v>0</v>
      </c>
      <c r="E771" s="13">
        <v>1</v>
      </c>
      <c r="F771" s="13">
        <v>57</v>
      </c>
      <c r="G771" s="13">
        <v>48</v>
      </c>
      <c r="H771" s="13" t="str" cm="1">
        <f t="array" ref="H771">_xlfn.IFS(G771&lt;=20,"0-20",G771&lt;=30,"20-30",G771&lt;=40,"30-40",G771&lt;=50,"50-60",G771&lt;=60,"60-70",G771&lt;=70,"70-80",G771&lt;=80,"80-90")</f>
        <v>50-60</v>
      </c>
      <c r="I771" s="13">
        <v>2320</v>
      </c>
      <c r="J771" s="13" t="str" cm="1">
        <f t="array" ref="J771">_xlfn.IFS(K771=1,"Divorciado",L771=1,"Casado",M771=1,"Solteiro",N771=1,"Juntos",O771=1,"Viuvo")</f>
        <v>Casado</v>
      </c>
      <c r="K771" s="13">
        <v>0</v>
      </c>
      <c r="L771" s="13">
        <v>1</v>
      </c>
      <c r="M771" s="13">
        <v>0</v>
      </c>
      <c r="N771" s="13">
        <v>0</v>
      </c>
      <c r="O771" s="13">
        <v>0</v>
      </c>
      <c r="P771" s="13">
        <v>1</v>
      </c>
      <c r="Q771" s="13">
        <v>0</v>
      </c>
      <c r="R771" s="13">
        <v>0</v>
      </c>
      <c r="S771" s="13">
        <v>0</v>
      </c>
      <c r="T771" s="13">
        <v>0</v>
      </c>
      <c r="U771" s="13">
        <v>200</v>
      </c>
      <c r="V771" s="13" t="str" cm="1">
        <f t="array" ref="V771">_xlfn.IFS(U771&lt;=250,"0-R$250",U771&lt;=500,"251-R$500",U771&lt;=750,"501-R$750",U771&lt;=1000,"751-R$1000",U771&lt;=1250,"1001-R$1250",U771&lt;=1500,"1251-R$1500")</f>
        <v>0-R$250</v>
      </c>
      <c r="W771" s="13">
        <v>193</v>
      </c>
      <c r="X771" s="13" t="str" cm="1">
        <f t="array" ref="X771">_xlfn.IFS(W771 = 0, "0", W771&lt;=20, "até R$20",W771&lt;=40, "21 - R$40",W771&lt;=60, "41- R$60",W771&lt;=80, "61 - R$80", W771&lt;=100, "81 - R$100",W771&lt;=120, "101 - R$120",W771&lt;=140, "121 - R$140", W771&lt;=160, "141- R$160", W771&lt;=180, "161 - R$180", W771&lt;=200, "181-R$194")</f>
        <v>181-R$194</v>
      </c>
      <c r="Y771" s="13">
        <v>100</v>
      </c>
      <c r="Z771" s="13">
        <v>46</v>
      </c>
      <c r="AA771" s="13">
        <v>185</v>
      </c>
      <c r="AB771" s="13">
        <v>185</v>
      </c>
      <c r="AC771" s="13">
        <v>2</v>
      </c>
      <c r="AD771" s="13">
        <v>6</v>
      </c>
      <c r="AE771" s="13">
        <v>2</v>
      </c>
      <c r="AF771" s="13">
        <v>12</v>
      </c>
      <c r="AG771" s="13">
        <v>3</v>
      </c>
      <c r="AH771" s="13">
        <v>0</v>
      </c>
      <c r="AI771" s="13">
        <v>0</v>
      </c>
      <c r="AJ771" s="13">
        <v>0</v>
      </c>
      <c r="AK771" s="13">
        <v>0</v>
      </c>
      <c r="AL771" s="13">
        <v>0</v>
      </c>
      <c r="AM771" s="13">
        <v>0</v>
      </c>
      <c r="AN771" s="13">
        <v>0</v>
      </c>
      <c r="AO771" s="14">
        <v>0</v>
      </c>
      <c r="AP771" s="13">
        <v>3</v>
      </c>
      <c r="AQ771" s="13">
        <v>11</v>
      </c>
      <c r="AR771" s="15">
        <v>539</v>
      </c>
      <c r="AS771" s="15">
        <v>724</v>
      </c>
    </row>
    <row r="772" spans="1:45" x14ac:dyDescent="0.25">
      <c r="A772">
        <v>2126</v>
      </c>
      <c r="B772" s="11">
        <f t="shared" si="12"/>
        <v>58482</v>
      </c>
      <c r="C772" s="12">
        <v>584820</v>
      </c>
      <c r="D772" s="13">
        <v>0</v>
      </c>
      <c r="E772" s="13">
        <v>1</v>
      </c>
      <c r="F772" s="13">
        <v>59</v>
      </c>
      <c r="G772" s="13">
        <v>65</v>
      </c>
      <c r="H772" s="13" t="str" cm="1">
        <f t="array" ref="H772">_xlfn.IFS(G772&lt;=20,"0-20",G772&lt;=30,"20-30",G772&lt;=40,"30-40",G772&lt;=50,"50-60",G772&lt;=60,"60-70",G772&lt;=70,"70-80",G772&lt;=80,"80-90")</f>
        <v>70-80</v>
      </c>
      <c r="I772" s="13">
        <v>2268</v>
      </c>
      <c r="J772" s="13" t="str" cm="1">
        <f t="array" ref="J772">_xlfn.IFS(K772=1,"Divorciado",L772=1,"Casado",M772=1,"Solteiro",N772=1,"Juntos",O772=1,"Viuvo")</f>
        <v>Casado</v>
      </c>
      <c r="K772" s="13">
        <v>0</v>
      </c>
      <c r="L772" s="13">
        <v>1</v>
      </c>
      <c r="M772" s="13">
        <v>0</v>
      </c>
      <c r="N772" s="13">
        <v>0</v>
      </c>
      <c r="O772" s="13">
        <v>0</v>
      </c>
      <c r="P772" s="13">
        <v>0</v>
      </c>
      <c r="Q772" s="13">
        <v>0</v>
      </c>
      <c r="R772" s="13">
        <v>0</v>
      </c>
      <c r="S772" s="13">
        <v>0</v>
      </c>
      <c r="T772" s="13">
        <v>1</v>
      </c>
      <c r="U772" s="13">
        <v>576</v>
      </c>
      <c r="V772" s="13" t="str" cm="1">
        <f t="array" ref="V772">_xlfn.IFS(U772&lt;=250,"0-R$250",U772&lt;=500,"251-R$500",U772&lt;=750,"501-R$750",U772&lt;=1000,"751-R$1000",U772&lt;=1250,"1001-R$1250",U772&lt;=1500,"1251-R$1500")</f>
        <v>501-R$750</v>
      </c>
      <c r="W772" s="13">
        <v>7</v>
      </c>
      <c r="X772" s="13" t="str" cm="1">
        <f t="array" ref="X772">_xlfn.IFS(W772 = 0, "0", W772&lt;=20, "até R$20",W772&lt;=40, "21 - R$40",W772&lt;=60, "41- R$60",W772&lt;=80, "61 - R$80", W772&lt;=100, "81 - R$100",W772&lt;=120, "101 - R$120",W772&lt;=140, "121 - R$140", W772&lt;=160, "141- R$160", W772&lt;=180, "161 - R$180", W772&lt;=200, "181-R$194")</f>
        <v>até R$20</v>
      </c>
      <c r="Y772" s="13">
        <v>115</v>
      </c>
      <c r="Z772" s="13">
        <v>19</v>
      </c>
      <c r="AA772" s="13">
        <v>7</v>
      </c>
      <c r="AB772" s="13">
        <v>7</v>
      </c>
      <c r="AC772" s="13">
        <v>2</v>
      </c>
      <c r="AD772" s="13">
        <v>7</v>
      </c>
      <c r="AE772" s="13">
        <v>4</v>
      </c>
      <c r="AF772" s="13">
        <v>9</v>
      </c>
      <c r="AG772" s="13">
        <v>6</v>
      </c>
      <c r="AH772" s="13">
        <v>0</v>
      </c>
      <c r="AI772" s="13">
        <v>0</v>
      </c>
      <c r="AJ772" s="13">
        <v>1</v>
      </c>
      <c r="AK772" s="13">
        <v>0</v>
      </c>
      <c r="AL772" s="13">
        <v>0</v>
      </c>
      <c r="AM772" s="13">
        <v>0</v>
      </c>
      <c r="AN772" s="13">
        <v>0</v>
      </c>
      <c r="AO772" s="14">
        <v>1</v>
      </c>
      <c r="AP772" s="13">
        <v>3</v>
      </c>
      <c r="AQ772" s="13">
        <v>11</v>
      </c>
      <c r="AR772" s="15">
        <v>717</v>
      </c>
      <c r="AS772" s="15">
        <v>724</v>
      </c>
    </row>
    <row r="773" spans="1:45" x14ac:dyDescent="0.25">
      <c r="A773">
        <v>403</v>
      </c>
      <c r="B773" s="11">
        <f t="shared" si="12"/>
        <v>49505</v>
      </c>
      <c r="C773" s="16">
        <v>495050</v>
      </c>
      <c r="D773" s="17">
        <v>1</v>
      </c>
      <c r="E773" s="17">
        <v>1</v>
      </c>
      <c r="F773" s="17">
        <v>4</v>
      </c>
      <c r="G773" s="17">
        <v>49</v>
      </c>
      <c r="H773" s="13" t="str" cm="1">
        <f t="array" ref="H773">_xlfn.IFS(G773&lt;=20,"0-20",G773&lt;=30,"20-30",G773&lt;=40,"30-40",G773&lt;=50,"50-60",G773&lt;=60,"60-70",G773&lt;=70,"70-80",G773&lt;=80,"80-90")</f>
        <v>50-60</v>
      </c>
      <c r="I773" s="17">
        <v>2640</v>
      </c>
      <c r="J773" s="13" t="str" cm="1">
        <f t="array" ref="J773">_xlfn.IFS(K773=1,"Divorciado",L773=1,"Casado",M773=1,"Solteiro",N773=1,"Juntos",O773=1,"Viuvo")</f>
        <v>Casado</v>
      </c>
      <c r="K773" s="17">
        <v>0</v>
      </c>
      <c r="L773" s="17">
        <v>1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1</v>
      </c>
      <c r="T773" s="17">
        <v>0</v>
      </c>
      <c r="U773" s="17">
        <v>604</v>
      </c>
      <c r="V773" s="13" t="str" cm="1">
        <f t="array" ref="V773">_xlfn.IFS(U773&lt;=250,"0-R$250",U773&lt;=500,"251-R$500",U773&lt;=750,"501-R$750",U773&lt;=1000,"751-R$1000",U773&lt;=1250,"1001-R$1250",U773&lt;=1500,"1251-R$1500")</f>
        <v>501-R$750</v>
      </c>
      <c r="W773" s="17">
        <v>0</v>
      </c>
      <c r="X773" s="13" t="str" cm="1">
        <f t="array" ref="X773">_xlfn.IFS(W773 = 0, "0", W773&lt;=20, "até R$20",W773&lt;=40, "21 - R$40",W773&lt;=60, "41- R$60",W773&lt;=80, "61 - R$80", W773&lt;=100, "81 - R$100",W773&lt;=120, "101 - R$120",W773&lt;=140, "121 - R$140", W773&lt;=160, "141- R$160", W773&lt;=180, "161 - R$180", W773&lt;=200, "181-R$194")</f>
        <v>0</v>
      </c>
      <c r="Y773" s="17">
        <v>100</v>
      </c>
      <c r="Z773" s="17">
        <v>19</v>
      </c>
      <c r="AA773" s="17">
        <v>0</v>
      </c>
      <c r="AB773" s="17">
        <v>28</v>
      </c>
      <c r="AC773" s="17">
        <v>9</v>
      </c>
      <c r="AD773" s="17">
        <v>10</v>
      </c>
      <c r="AE773" s="17">
        <v>2</v>
      </c>
      <c r="AF773" s="17">
        <v>8</v>
      </c>
      <c r="AG773" s="17">
        <v>8</v>
      </c>
      <c r="AH773" s="17">
        <v>0</v>
      </c>
      <c r="AI773" s="17">
        <v>0</v>
      </c>
      <c r="AJ773" s="17">
        <v>0</v>
      </c>
      <c r="AK773" s="17">
        <v>0</v>
      </c>
      <c r="AL773" s="17">
        <v>0</v>
      </c>
      <c r="AM773" s="17">
        <v>0</v>
      </c>
      <c r="AN773" s="17">
        <v>0</v>
      </c>
      <c r="AO773" s="18">
        <v>0</v>
      </c>
      <c r="AP773" s="17">
        <v>3</v>
      </c>
      <c r="AQ773" s="17">
        <v>11</v>
      </c>
      <c r="AR773" s="19">
        <v>695</v>
      </c>
      <c r="AS773" s="19">
        <v>723</v>
      </c>
    </row>
    <row r="774" spans="1:45" x14ac:dyDescent="0.25">
      <c r="A774">
        <v>1791</v>
      </c>
      <c r="B774" s="11">
        <f t="shared" si="12"/>
        <v>58582</v>
      </c>
      <c r="C774" s="16">
        <v>585820</v>
      </c>
      <c r="D774" s="17">
        <v>0</v>
      </c>
      <c r="E774" s="17">
        <v>1</v>
      </c>
      <c r="F774" s="17">
        <v>15</v>
      </c>
      <c r="G774" s="17">
        <v>38</v>
      </c>
      <c r="H774" s="13" t="str" cm="1">
        <f t="array" ref="H774">_xlfn.IFS(G774&lt;=20,"0-20",G774&lt;=30,"20-30",G774&lt;=40,"30-40",G774&lt;=50,"50-60",G774&lt;=60,"60-70",G774&lt;=70,"70-80",G774&lt;=80,"80-90")</f>
        <v>30-40</v>
      </c>
      <c r="I774" s="17">
        <v>2433</v>
      </c>
      <c r="J774" s="13" t="str" cm="1">
        <f t="array" ref="J774">_xlfn.IFS(K774=1,"Divorciado",L774=1,"Casado",M774=1,"Solteiro",N774=1,"Juntos",O774=1,"Viuvo")</f>
        <v>Juntos</v>
      </c>
      <c r="K774" s="17">
        <v>0</v>
      </c>
      <c r="L774" s="17">
        <v>0</v>
      </c>
      <c r="M774" s="17">
        <v>0</v>
      </c>
      <c r="N774" s="17">
        <v>1</v>
      </c>
      <c r="O774" s="17">
        <v>0</v>
      </c>
      <c r="P774" s="17">
        <v>1</v>
      </c>
      <c r="Q774" s="17">
        <v>0</v>
      </c>
      <c r="R774" s="17">
        <v>0</v>
      </c>
      <c r="S774" s="17">
        <v>0</v>
      </c>
      <c r="T774" s="17">
        <v>0</v>
      </c>
      <c r="U774" s="17">
        <v>402</v>
      </c>
      <c r="V774" s="13" t="str" cm="1">
        <f t="array" ref="V774">_xlfn.IFS(U774&lt;=250,"0-R$250",U774&lt;=500,"251-R$500",U774&lt;=750,"501-R$750",U774&lt;=1000,"751-R$1000",U774&lt;=1250,"1001-R$1250",U774&lt;=1500,"1251-R$1500")</f>
        <v>251-R$500</v>
      </c>
      <c r="W774" s="17">
        <v>35</v>
      </c>
      <c r="X774" s="13" t="str" cm="1">
        <f t="array" ref="X774">_xlfn.IFS(W774 = 0, "0", W774&lt;=20, "até R$20",W774&lt;=40, "21 - R$40",W774&lt;=60, "41- R$60",W774&lt;=80, "61 - R$80", W774&lt;=100, "81 - R$100",W774&lt;=120, "101 - R$120",W774&lt;=140, "121 - R$140", W774&lt;=160, "141- R$160", W774&lt;=180, "161 - R$180", W774&lt;=200, "181-R$194")</f>
        <v>21 - R$40</v>
      </c>
      <c r="Y774" s="17">
        <v>106</v>
      </c>
      <c r="Z774" s="17">
        <v>101</v>
      </c>
      <c r="AA774" s="17">
        <v>77</v>
      </c>
      <c r="AB774" s="17">
        <v>42</v>
      </c>
      <c r="AC774" s="17">
        <v>2</v>
      </c>
      <c r="AD774" s="17">
        <v>9</v>
      </c>
      <c r="AE774" s="17">
        <v>2</v>
      </c>
      <c r="AF774" s="17">
        <v>9</v>
      </c>
      <c r="AG774" s="17">
        <v>5</v>
      </c>
      <c r="AH774" s="17">
        <v>0</v>
      </c>
      <c r="AI774" s="17">
        <v>0</v>
      </c>
      <c r="AJ774" s="17">
        <v>1</v>
      </c>
      <c r="AK774" s="17">
        <v>0</v>
      </c>
      <c r="AL774" s="17">
        <v>0</v>
      </c>
      <c r="AM774" s="17">
        <v>0</v>
      </c>
      <c r="AN774" s="17">
        <v>0</v>
      </c>
      <c r="AO774" s="18">
        <v>1</v>
      </c>
      <c r="AP774" s="17">
        <v>3</v>
      </c>
      <c r="AQ774" s="17">
        <v>11</v>
      </c>
      <c r="AR774" s="19">
        <v>679</v>
      </c>
      <c r="AS774" s="19">
        <v>721</v>
      </c>
    </row>
    <row r="775" spans="1:45" x14ac:dyDescent="0.25">
      <c r="A775">
        <v>585</v>
      </c>
      <c r="B775" s="11">
        <f t="shared" si="12"/>
        <v>62807</v>
      </c>
      <c r="C775" s="16">
        <v>628070</v>
      </c>
      <c r="D775" s="17">
        <v>0</v>
      </c>
      <c r="E775" s="17">
        <v>1</v>
      </c>
      <c r="F775" s="17">
        <v>83</v>
      </c>
      <c r="G775" s="17">
        <v>60</v>
      </c>
      <c r="H775" s="13" t="str" cm="1">
        <f t="array" ref="H775">_xlfn.IFS(G775&lt;=20,"0-20",G775&lt;=30,"20-30",G775&lt;=40,"30-40",G775&lt;=50,"50-60",G775&lt;=60,"60-70",G775&lt;=70,"70-80",G775&lt;=80,"80-90")</f>
        <v>60-70</v>
      </c>
      <c r="I775" s="17">
        <v>2826</v>
      </c>
      <c r="J775" s="13" t="str" cm="1">
        <f t="array" ref="J775">_xlfn.IFS(K775=1,"Divorciado",L775=1,"Casado",M775=1,"Solteiro",N775=1,"Juntos",O775=1,"Viuvo")</f>
        <v>Juntos</v>
      </c>
      <c r="K775" s="17">
        <v>0</v>
      </c>
      <c r="L775" s="17">
        <v>0</v>
      </c>
      <c r="M775" s="17">
        <v>0</v>
      </c>
      <c r="N775" s="17">
        <v>1</v>
      </c>
      <c r="O775" s="17">
        <v>0</v>
      </c>
      <c r="P775" s="17">
        <v>0</v>
      </c>
      <c r="Q775" s="17">
        <v>0</v>
      </c>
      <c r="R775" s="17">
        <v>1</v>
      </c>
      <c r="S775" s="17">
        <v>0</v>
      </c>
      <c r="T775" s="17">
        <v>0</v>
      </c>
      <c r="U775" s="17">
        <v>526</v>
      </c>
      <c r="V775" s="13" t="str" cm="1">
        <f t="array" ref="V775">_xlfn.IFS(U775&lt;=250,"0-R$250",U775&lt;=500,"251-R$500",U775&lt;=750,"501-R$750",U775&lt;=1000,"751-R$1000",U775&lt;=1250,"1001-R$1250",U775&lt;=1500,"1251-R$1500")</f>
        <v>501-R$750</v>
      </c>
      <c r="W775" s="17">
        <v>28</v>
      </c>
      <c r="X775" s="13" t="str" cm="1">
        <f t="array" ref="X775">_xlfn.IFS(W775 = 0, "0", W775&lt;=20, "até R$20",W775&lt;=40, "21 - R$40",W775&lt;=60, "41- R$60",W775&lt;=80, "61 - R$80", W775&lt;=100, "81 - R$100",W775&lt;=120, "101 - R$120",W775&lt;=140, "121 - R$140", W775&lt;=160, "141- R$160", W775&lt;=180, "161 - R$180", W775&lt;=200, "181-R$194")</f>
        <v>21 - R$40</v>
      </c>
      <c r="Y775" s="17">
        <v>135</v>
      </c>
      <c r="Z775" s="17">
        <v>10</v>
      </c>
      <c r="AA775" s="17">
        <v>21</v>
      </c>
      <c r="AB775" s="17">
        <v>99</v>
      </c>
      <c r="AC775" s="17">
        <v>3</v>
      </c>
      <c r="AD775" s="17">
        <v>5</v>
      </c>
      <c r="AE775" s="17">
        <v>3</v>
      </c>
      <c r="AF775" s="17">
        <v>12</v>
      </c>
      <c r="AG775" s="17">
        <v>5</v>
      </c>
      <c r="AH775" s="17">
        <v>0</v>
      </c>
      <c r="AI775" s="17">
        <v>0</v>
      </c>
      <c r="AJ775" s="17">
        <v>0</v>
      </c>
      <c r="AK775" s="17">
        <v>0</v>
      </c>
      <c r="AL775" s="17">
        <v>0</v>
      </c>
      <c r="AM775" s="17">
        <v>0</v>
      </c>
      <c r="AN775" s="17">
        <v>0</v>
      </c>
      <c r="AO775" s="18">
        <v>0</v>
      </c>
      <c r="AP775" s="17">
        <v>3</v>
      </c>
      <c r="AQ775" s="17">
        <v>11</v>
      </c>
      <c r="AR775" s="19">
        <v>621</v>
      </c>
      <c r="AS775" s="19">
        <v>720</v>
      </c>
    </row>
    <row r="776" spans="1:45" x14ac:dyDescent="0.25">
      <c r="A776">
        <v>1457</v>
      </c>
      <c r="B776" s="11">
        <f t="shared" si="12"/>
        <v>62807</v>
      </c>
      <c r="C776" s="16">
        <v>628070</v>
      </c>
      <c r="D776" s="17">
        <v>0</v>
      </c>
      <c r="E776" s="17">
        <v>1</v>
      </c>
      <c r="F776" s="17">
        <v>83</v>
      </c>
      <c r="G776" s="17">
        <v>60</v>
      </c>
      <c r="H776" s="13" t="str" cm="1">
        <f t="array" ref="H776">_xlfn.IFS(G776&lt;=20,"0-20",G776&lt;=30,"20-30",G776&lt;=40,"30-40",G776&lt;=50,"50-60",G776&lt;=60,"60-70",G776&lt;=70,"70-80",G776&lt;=80,"80-90")</f>
        <v>60-70</v>
      </c>
      <c r="I776" s="17">
        <v>2826</v>
      </c>
      <c r="J776" s="13" t="str" cm="1">
        <f t="array" ref="J776">_xlfn.IFS(K776=1,"Divorciado",L776=1,"Casado",M776=1,"Solteiro",N776=1,"Juntos",O776=1,"Viuvo")</f>
        <v>Juntos</v>
      </c>
      <c r="K776" s="17">
        <v>0</v>
      </c>
      <c r="L776" s="17">
        <v>0</v>
      </c>
      <c r="M776" s="17">
        <v>0</v>
      </c>
      <c r="N776" s="17">
        <v>1</v>
      </c>
      <c r="O776" s="17">
        <v>0</v>
      </c>
      <c r="P776" s="17">
        <v>0</v>
      </c>
      <c r="Q776" s="17">
        <v>0</v>
      </c>
      <c r="R776" s="17">
        <v>1</v>
      </c>
      <c r="S776" s="17">
        <v>0</v>
      </c>
      <c r="T776" s="17">
        <v>0</v>
      </c>
      <c r="U776" s="17">
        <v>526</v>
      </c>
      <c r="V776" s="13" t="str" cm="1">
        <f t="array" ref="V776">_xlfn.IFS(U776&lt;=250,"0-R$250",U776&lt;=500,"251-R$500",U776&lt;=750,"501-R$750",U776&lt;=1000,"751-R$1000",U776&lt;=1250,"1001-R$1250",U776&lt;=1500,"1251-R$1500")</f>
        <v>501-R$750</v>
      </c>
      <c r="W776" s="17">
        <v>28</v>
      </c>
      <c r="X776" s="13" t="str" cm="1">
        <f t="array" ref="X776">_xlfn.IFS(W776 = 0, "0", W776&lt;=20, "até R$20",W776&lt;=40, "21 - R$40",W776&lt;=60, "41- R$60",W776&lt;=80, "61 - R$80", W776&lt;=100, "81 - R$100",W776&lt;=120, "101 - R$120",W776&lt;=140, "121 - R$140", W776&lt;=160, "141- R$160", W776&lt;=180, "161 - R$180", W776&lt;=200, "181-R$194")</f>
        <v>21 - R$40</v>
      </c>
      <c r="Y776" s="17">
        <v>135</v>
      </c>
      <c r="Z776" s="17">
        <v>10</v>
      </c>
      <c r="AA776" s="17">
        <v>21</v>
      </c>
      <c r="AB776" s="17">
        <v>99</v>
      </c>
      <c r="AC776" s="17">
        <v>3</v>
      </c>
      <c r="AD776" s="17">
        <v>5</v>
      </c>
      <c r="AE776" s="17">
        <v>3</v>
      </c>
      <c r="AF776" s="17">
        <v>12</v>
      </c>
      <c r="AG776" s="17">
        <v>5</v>
      </c>
      <c r="AH776" s="17">
        <v>0</v>
      </c>
      <c r="AI776" s="17">
        <v>0</v>
      </c>
      <c r="AJ776" s="17">
        <v>0</v>
      </c>
      <c r="AK776" s="17">
        <v>0</v>
      </c>
      <c r="AL776" s="17">
        <v>0</v>
      </c>
      <c r="AM776" s="17">
        <v>0</v>
      </c>
      <c r="AN776" s="17">
        <v>0</v>
      </c>
      <c r="AO776" s="18">
        <v>0</v>
      </c>
      <c r="AP776" s="17">
        <v>3</v>
      </c>
      <c r="AQ776" s="17">
        <v>11</v>
      </c>
      <c r="AR776" s="19">
        <v>621</v>
      </c>
      <c r="AS776" s="19">
        <v>720</v>
      </c>
    </row>
    <row r="777" spans="1:45" x14ac:dyDescent="0.25">
      <c r="A777">
        <v>1798</v>
      </c>
      <c r="B777" s="11">
        <f t="shared" si="12"/>
        <v>63967</v>
      </c>
      <c r="C777" s="12">
        <v>639670</v>
      </c>
      <c r="D777" s="13">
        <v>0</v>
      </c>
      <c r="E777" s="13">
        <v>1</v>
      </c>
      <c r="F777" s="13">
        <v>57</v>
      </c>
      <c r="G777" s="13">
        <v>52</v>
      </c>
      <c r="H777" s="13" t="str" cm="1">
        <f t="array" ref="H777">_xlfn.IFS(G777&lt;=20,"0-20",G777&lt;=30,"20-30",G777&lt;=40,"30-40",G777&lt;=50,"50-60",G777&lt;=60,"60-70",G777&lt;=70,"70-80",G777&lt;=80,"80-90")</f>
        <v>60-70</v>
      </c>
      <c r="I777" s="13">
        <v>2483</v>
      </c>
      <c r="J777" s="13" t="str" cm="1">
        <f t="array" ref="J777">_xlfn.IFS(K777=1,"Divorciado",L777=1,"Casado",M777=1,"Solteiro",N777=1,"Juntos",O777=1,"Viuvo")</f>
        <v>Casado</v>
      </c>
      <c r="K777" s="13">
        <v>0</v>
      </c>
      <c r="L777" s="13">
        <v>1</v>
      </c>
      <c r="M777" s="13">
        <v>0</v>
      </c>
      <c r="N777" s="13">
        <v>0</v>
      </c>
      <c r="O777" s="13">
        <v>0</v>
      </c>
      <c r="P777" s="13">
        <v>0</v>
      </c>
      <c r="Q777" s="13">
        <v>0</v>
      </c>
      <c r="R777" s="13">
        <v>1</v>
      </c>
      <c r="S777" s="13">
        <v>0</v>
      </c>
      <c r="T777" s="13">
        <v>0</v>
      </c>
      <c r="U777" s="13">
        <v>387</v>
      </c>
      <c r="V777" s="13" t="str" cm="1">
        <f t="array" ref="V777">_xlfn.IFS(U777&lt;=250,"0-R$250",U777&lt;=500,"251-R$500",U777&lt;=750,"501-R$750",U777&lt;=1000,"751-R$1000",U777&lt;=1250,"1001-R$1250",U777&lt;=1500,"1251-R$1500")</f>
        <v>251-R$500</v>
      </c>
      <c r="W777" s="13">
        <v>84</v>
      </c>
      <c r="X777" s="13" t="str" cm="1">
        <f t="array" ref="X777">_xlfn.IFS(W777 = 0, "0", W777&lt;=20, "até R$20",W777&lt;=40, "21 - R$40",W777&lt;=60, "41- R$60",W777&lt;=80, "61 - R$80", W777&lt;=100, "81 - R$100",W777&lt;=120, "101 - R$120",W777&lt;=140, "121 - R$140", W777&lt;=160, "141- R$160", W777&lt;=180, "161 - R$180", W777&lt;=200, "181-R$194")</f>
        <v>81 - R$100</v>
      </c>
      <c r="Y777" s="13">
        <v>141</v>
      </c>
      <c r="Z777" s="13">
        <v>73</v>
      </c>
      <c r="AA777" s="13">
        <v>35</v>
      </c>
      <c r="AB777" s="13">
        <v>162</v>
      </c>
      <c r="AC777" s="13">
        <v>3</v>
      </c>
      <c r="AD777" s="13">
        <v>4</v>
      </c>
      <c r="AE777" s="13">
        <v>4</v>
      </c>
      <c r="AF777" s="13">
        <v>12</v>
      </c>
      <c r="AG777" s="13">
        <v>2</v>
      </c>
      <c r="AH777" s="13">
        <v>0</v>
      </c>
      <c r="AI777" s="13">
        <v>0</v>
      </c>
      <c r="AJ777" s="13">
        <v>0</v>
      </c>
      <c r="AK777" s="13">
        <v>0</v>
      </c>
      <c r="AL777" s="13">
        <v>0</v>
      </c>
      <c r="AM777" s="13">
        <v>0</v>
      </c>
      <c r="AN777" s="13">
        <v>0</v>
      </c>
      <c r="AO777" s="14">
        <v>0</v>
      </c>
      <c r="AP777" s="13">
        <v>3</v>
      </c>
      <c r="AQ777" s="13">
        <v>11</v>
      </c>
      <c r="AR777" s="15">
        <v>558</v>
      </c>
      <c r="AS777" s="15">
        <v>720</v>
      </c>
    </row>
    <row r="778" spans="1:45" x14ac:dyDescent="0.25">
      <c r="A778">
        <v>420</v>
      </c>
      <c r="B778" s="11">
        <f t="shared" si="12"/>
        <v>67272</v>
      </c>
      <c r="C778" s="12">
        <v>672720</v>
      </c>
      <c r="D778" s="13">
        <v>0</v>
      </c>
      <c r="E778" s="13">
        <v>1</v>
      </c>
      <c r="F778" s="13">
        <v>12</v>
      </c>
      <c r="G778" s="13">
        <v>54</v>
      </c>
      <c r="H778" s="13" t="str" cm="1">
        <f t="array" ref="H778">_xlfn.IFS(G778&lt;=20,"0-20",G778&lt;=30,"20-30",G778&lt;=40,"30-40",G778&lt;=50,"50-60",G778&lt;=60,"60-70",G778&lt;=70,"70-80",G778&lt;=80,"80-90")</f>
        <v>60-70</v>
      </c>
      <c r="I778" s="13">
        <v>2349</v>
      </c>
      <c r="J778" s="13" t="str" cm="1">
        <f t="array" ref="J778">_xlfn.IFS(K778=1,"Divorciado",L778=1,"Casado",M778=1,"Solteiro",N778=1,"Juntos",O778=1,"Viuvo")</f>
        <v>Divorciado</v>
      </c>
      <c r="K778" s="13">
        <v>1</v>
      </c>
      <c r="L778" s="13">
        <v>0</v>
      </c>
      <c r="M778" s="13">
        <v>0</v>
      </c>
      <c r="N778" s="13">
        <v>0</v>
      </c>
      <c r="O778" s="13">
        <v>0</v>
      </c>
      <c r="P778" s="13">
        <v>0</v>
      </c>
      <c r="Q778" s="13">
        <v>0</v>
      </c>
      <c r="R778" s="13">
        <v>1</v>
      </c>
      <c r="S778" s="13">
        <v>0</v>
      </c>
      <c r="T778" s="13">
        <v>0</v>
      </c>
      <c r="U778" s="13">
        <v>357</v>
      </c>
      <c r="V778" s="13" t="str" cm="1">
        <f t="array" ref="V778">_xlfn.IFS(U778&lt;=250,"0-R$250",U778&lt;=500,"251-R$500",U778&lt;=750,"501-R$750",U778&lt;=1000,"751-R$1000",U778&lt;=1250,"1001-R$1250",U778&lt;=1500,"1251-R$1500")</f>
        <v>251-R$500</v>
      </c>
      <c r="W778" s="13">
        <v>35</v>
      </c>
      <c r="X778" s="13" t="str" cm="1">
        <f t="array" ref="X778">_xlfn.IFS(W778 = 0, "0", W778&lt;=20, "até R$20",W778&lt;=40, "21 - R$40",W778&lt;=60, "41- R$60",W778&lt;=80, "61 - R$80", W778&lt;=100, "81 - R$100",W778&lt;=120, "101 - R$120",W778&lt;=140, "121 - R$140", W778&lt;=160, "141- R$160", W778&lt;=180, "161 - R$180", W778&lt;=200, "181-R$194")</f>
        <v>21 - R$40</v>
      </c>
      <c r="Y778" s="13">
        <v>271</v>
      </c>
      <c r="Z778" s="13">
        <v>28</v>
      </c>
      <c r="AA778" s="13">
        <v>28</v>
      </c>
      <c r="AB778" s="13">
        <v>14</v>
      </c>
      <c r="AC778" s="13">
        <v>3</v>
      </c>
      <c r="AD778" s="13">
        <v>6</v>
      </c>
      <c r="AE778" s="13">
        <v>2</v>
      </c>
      <c r="AF778" s="13">
        <v>12</v>
      </c>
      <c r="AG778" s="13">
        <v>5</v>
      </c>
      <c r="AH778" s="13">
        <v>0</v>
      </c>
      <c r="AI778" s="13">
        <v>0</v>
      </c>
      <c r="AJ778" s="13">
        <v>0</v>
      </c>
      <c r="AK778" s="13">
        <v>0</v>
      </c>
      <c r="AL778" s="13">
        <v>0</v>
      </c>
      <c r="AM778" s="13">
        <v>0</v>
      </c>
      <c r="AN778" s="13">
        <v>0</v>
      </c>
      <c r="AO778" s="14">
        <v>0</v>
      </c>
      <c r="AP778" s="13">
        <v>3</v>
      </c>
      <c r="AQ778" s="13">
        <v>11</v>
      </c>
      <c r="AR778" s="15">
        <v>705</v>
      </c>
      <c r="AS778" s="15">
        <v>719</v>
      </c>
    </row>
    <row r="779" spans="1:45" x14ac:dyDescent="0.25">
      <c r="A779">
        <v>58</v>
      </c>
      <c r="B779" s="11">
        <f t="shared" si="12"/>
        <v>61823</v>
      </c>
      <c r="C779" s="12">
        <v>618230</v>
      </c>
      <c r="D779" s="13">
        <v>0</v>
      </c>
      <c r="E779" s="13">
        <v>1</v>
      </c>
      <c r="F779" s="13">
        <v>26</v>
      </c>
      <c r="G779" s="13">
        <v>68</v>
      </c>
      <c r="H779" s="13" t="str" cm="1">
        <f t="array" ref="H779">_xlfn.IFS(G779&lt;=20,"0-20",G779&lt;=30,"20-30",G779&lt;=40,"30-40",G779&lt;=50,"50-60",G779&lt;=60,"60-70",G779&lt;=70,"70-80",G779&lt;=80,"80-90")</f>
        <v>70-80</v>
      </c>
      <c r="I779" s="13">
        <v>2655</v>
      </c>
      <c r="J779" s="13" t="str" cm="1">
        <f t="array" ref="J779">_xlfn.IFS(K779=1,"Divorciado",L779=1,"Casado",M779=1,"Solteiro",N779=1,"Juntos",O779=1,"Viuvo")</f>
        <v>Solteiro</v>
      </c>
      <c r="K779" s="13">
        <v>0</v>
      </c>
      <c r="L779" s="13">
        <v>0</v>
      </c>
      <c r="M779" s="13">
        <v>1</v>
      </c>
      <c r="N779" s="13">
        <v>0</v>
      </c>
      <c r="O779" s="13">
        <v>0</v>
      </c>
      <c r="P779" s="13">
        <v>0</v>
      </c>
      <c r="Q779" s="13">
        <v>0</v>
      </c>
      <c r="R779" s="13">
        <v>1</v>
      </c>
      <c r="S779" s="13">
        <v>0</v>
      </c>
      <c r="T779" s="13">
        <v>0</v>
      </c>
      <c r="U779" s="13">
        <v>523</v>
      </c>
      <c r="V779" s="13" t="str" cm="1">
        <f t="array" ref="V779">_xlfn.IFS(U779&lt;=250,"0-R$250",U779&lt;=500,"251-R$500",U779&lt;=750,"501-R$750",U779&lt;=1000,"751-R$1000",U779&lt;=1250,"1001-R$1250",U779&lt;=1500,"1251-R$1500")</f>
        <v>501-R$750</v>
      </c>
      <c r="W779" s="13">
        <v>7</v>
      </c>
      <c r="X779" s="13" t="str" cm="1">
        <f t="array" ref="X779">_xlfn.IFS(W779 = 0, "0", W779&lt;=20, "até R$20",W779&lt;=40, "21 - R$40",W779&lt;=60, "41- R$60",W779&lt;=80, "61 - R$80", W779&lt;=100, "81 - R$100",W779&lt;=120, "101 - R$120",W779&lt;=140, "121 - R$140", W779&lt;=160, "141- R$160", W779&lt;=180, "161 - R$180", W779&lt;=200, "181-R$194")</f>
        <v>até R$20</v>
      </c>
      <c r="Y779" s="13">
        <v>134</v>
      </c>
      <c r="Z779" s="13">
        <v>37</v>
      </c>
      <c r="AA779" s="13">
        <v>14</v>
      </c>
      <c r="AB779" s="13">
        <v>169</v>
      </c>
      <c r="AC779" s="13">
        <v>4</v>
      </c>
      <c r="AD779" s="13">
        <v>8</v>
      </c>
      <c r="AE779" s="13">
        <v>2</v>
      </c>
      <c r="AF779" s="13">
        <v>10</v>
      </c>
      <c r="AG779" s="13">
        <v>7</v>
      </c>
      <c r="AH779" s="13">
        <v>0</v>
      </c>
      <c r="AI779" s="13">
        <v>0</v>
      </c>
      <c r="AJ779" s="13">
        <v>0</v>
      </c>
      <c r="AK779" s="13">
        <v>0</v>
      </c>
      <c r="AL779" s="13">
        <v>0</v>
      </c>
      <c r="AM779" s="13">
        <v>0</v>
      </c>
      <c r="AN779" s="13">
        <v>0</v>
      </c>
      <c r="AO779" s="14">
        <v>0</v>
      </c>
      <c r="AP779" s="13">
        <v>3</v>
      </c>
      <c r="AQ779" s="13">
        <v>11</v>
      </c>
      <c r="AR779" s="15">
        <v>546</v>
      </c>
      <c r="AS779" s="15">
        <v>715</v>
      </c>
    </row>
    <row r="780" spans="1:45" x14ac:dyDescent="0.25">
      <c r="A780">
        <v>1078</v>
      </c>
      <c r="B780" s="11">
        <f t="shared" si="12"/>
        <v>80910</v>
      </c>
      <c r="C780" s="12">
        <v>809100</v>
      </c>
      <c r="D780" s="13">
        <v>0</v>
      </c>
      <c r="E780" s="13">
        <v>0</v>
      </c>
      <c r="F780" s="13">
        <v>71</v>
      </c>
      <c r="G780" s="13">
        <v>34</v>
      </c>
      <c r="H780" s="13" t="str" cm="1">
        <f t="array" ref="H780">_xlfn.IFS(G780&lt;=20,"0-20",G780&lt;=30,"20-30",G780&lt;=40,"30-40",G780&lt;=50,"50-60",G780&lt;=60,"60-70",G780&lt;=70,"70-80",G780&lt;=80,"80-90")</f>
        <v>30-40</v>
      </c>
      <c r="I780" s="13">
        <v>2765</v>
      </c>
      <c r="J780" s="13" t="str" cm="1">
        <f t="array" ref="J780">_xlfn.IFS(K780=1,"Divorciado",L780=1,"Casado",M780=1,"Solteiro",N780=1,"Juntos",O780=1,"Viuvo")</f>
        <v>Solteiro</v>
      </c>
      <c r="K780" s="13">
        <v>0</v>
      </c>
      <c r="L780" s="13">
        <v>0</v>
      </c>
      <c r="M780" s="13">
        <v>1</v>
      </c>
      <c r="N780" s="13">
        <v>0</v>
      </c>
      <c r="O780" s="13">
        <v>0</v>
      </c>
      <c r="P780" s="13">
        <v>1</v>
      </c>
      <c r="Q780" s="13">
        <v>0</v>
      </c>
      <c r="R780" s="13">
        <v>0</v>
      </c>
      <c r="S780" s="13">
        <v>0</v>
      </c>
      <c r="T780" s="13">
        <v>0</v>
      </c>
      <c r="U780" s="13">
        <v>160</v>
      </c>
      <c r="V780" s="13" t="str" cm="1">
        <f t="array" ref="V780">_xlfn.IFS(U780&lt;=250,"0-R$250",U780&lt;=500,"251-R$500",U780&lt;=750,"501-R$750",U780&lt;=1000,"751-R$1000",U780&lt;=1250,"1001-R$1250",U780&lt;=1500,"1251-R$1500")</f>
        <v>0-R$250</v>
      </c>
      <c r="W780" s="13">
        <v>80</v>
      </c>
      <c r="X780" s="13" t="str" cm="1">
        <f t="array" ref="X780">_xlfn.IFS(W780 = 0, "0", W780&lt;=20, "até R$20",W780&lt;=40, "21 - R$40",W780&lt;=60, "41- R$60",W780&lt;=80, "61 - R$80", W780&lt;=100, "81 - R$100",W780&lt;=120, "101 - R$120",W780&lt;=140, "121 - R$140", W780&lt;=160, "141- R$160", W780&lt;=180, "161 - R$180", W780&lt;=200, "181-R$194")</f>
        <v>61 - R$80</v>
      </c>
      <c r="Y780" s="13">
        <v>369</v>
      </c>
      <c r="Z780" s="13">
        <v>67</v>
      </c>
      <c r="AA780" s="13">
        <v>39</v>
      </c>
      <c r="AB780" s="13">
        <v>41</v>
      </c>
      <c r="AC780" s="13">
        <v>1</v>
      </c>
      <c r="AD780" s="13">
        <v>3</v>
      </c>
      <c r="AE780" s="13">
        <v>3</v>
      </c>
      <c r="AF780" s="13">
        <v>8</v>
      </c>
      <c r="AG780" s="13">
        <v>1</v>
      </c>
      <c r="AH780" s="13">
        <v>0</v>
      </c>
      <c r="AI780" s="13">
        <v>0</v>
      </c>
      <c r="AJ780" s="13">
        <v>0</v>
      </c>
      <c r="AK780" s="13">
        <v>0</v>
      </c>
      <c r="AL780" s="13">
        <v>0</v>
      </c>
      <c r="AM780" s="13">
        <v>0</v>
      </c>
      <c r="AN780" s="13">
        <v>0</v>
      </c>
      <c r="AO780" s="14">
        <v>0</v>
      </c>
      <c r="AP780" s="13">
        <v>3</v>
      </c>
      <c r="AQ780" s="13">
        <v>11</v>
      </c>
      <c r="AR780" s="15">
        <v>674</v>
      </c>
      <c r="AS780" s="15">
        <v>715</v>
      </c>
    </row>
    <row r="781" spans="1:45" x14ac:dyDescent="0.25">
      <c r="A781">
        <v>1466</v>
      </c>
      <c r="B781" s="11">
        <f t="shared" si="12"/>
        <v>60585</v>
      </c>
      <c r="C781" s="12">
        <v>605850</v>
      </c>
      <c r="D781" s="13">
        <v>1</v>
      </c>
      <c r="E781" s="13">
        <v>1</v>
      </c>
      <c r="F781" s="13">
        <v>17</v>
      </c>
      <c r="G781" s="13">
        <v>49</v>
      </c>
      <c r="H781" s="13" t="str" cm="1">
        <f t="array" ref="H781">_xlfn.IFS(G781&lt;=20,"0-20",G781&lt;=30,"20-30",G781&lt;=40,"30-40",G781&lt;=50,"50-60",G781&lt;=60,"60-70",G781&lt;=70,"70-80",G781&lt;=80,"80-90")</f>
        <v>50-60</v>
      </c>
      <c r="I781" s="13">
        <v>2529</v>
      </c>
      <c r="J781" s="13" t="str" cm="1">
        <f t="array" ref="J781">_xlfn.IFS(K781=1,"Divorciado",L781=1,"Casado",M781=1,"Solteiro",N781=1,"Juntos",O781=1,"Viuvo")</f>
        <v>Casado</v>
      </c>
      <c r="K781" s="13">
        <v>0</v>
      </c>
      <c r="L781" s="13">
        <v>1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1</v>
      </c>
      <c r="U781" s="13">
        <v>267</v>
      </c>
      <c r="V781" s="13" t="str" cm="1">
        <f t="array" ref="V781">_xlfn.IFS(U781&lt;=250,"0-R$250",U781&lt;=500,"251-R$500",U781&lt;=750,"501-R$750",U781&lt;=1000,"751-R$1000",U781&lt;=1250,"1001-R$1250",U781&lt;=1500,"1251-R$1500")</f>
        <v>251-R$500</v>
      </c>
      <c r="W781" s="13">
        <v>42</v>
      </c>
      <c r="X781" s="13" t="str" cm="1">
        <f t="array" ref="X781">_xlfn.IFS(W781 = 0, "0", W781&lt;=20, "até R$20",W781&lt;=40, "21 - R$40",W781&lt;=60, "41- R$60",W781&lt;=80, "61 - R$80", W781&lt;=100, "81 - R$100",W781&lt;=120, "101 - R$120",W781&lt;=140, "121 - R$140", W781&lt;=160, "141- R$160", W781&lt;=180, "161 - R$180", W781&lt;=200, "181-R$194")</f>
        <v>41- R$60</v>
      </c>
      <c r="Y781" s="13">
        <v>309</v>
      </c>
      <c r="Z781" s="13">
        <v>55</v>
      </c>
      <c r="AA781" s="13">
        <v>42</v>
      </c>
      <c r="AB781" s="13">
        <v>21</v>
      </c>
      <c r="AC781" s="13">
        <v>10</v>
      </c>
      <c r="AD781" s="13">
        <v>7</v>
      </c>
      <c r="AE781" s="13">
        <v>4</v>
      </c>
      <c r="AF781" s="13">
        <v>9</v>
      </c>
      <c r="AG781" s="13">
        <v>5</v>
      </c>
      <c r="AH781" s="13">
        <v>0</v>
      </c>
      <c r="AI781" s="13">
        <v>0</v>
      </c>
      <c r="AJ781" s="13">
        <v>0</v>
      </c>
      <c r="AK781" s="13">
        <v>0</v>
      </c>
      <c r="AL781" s="13">
        <v>0</v>
      </c>
      <c r="AM781" s="13">
        <v>0</v>
      </c>
      <c r="AN781" s="13">
        <v>1</v>
      </c>
      <c r="AO781" s="14">
        <v>0</v>
      </c>
      <c r="AP781" s="13">
        <v>3</v>
      </c>
      <c r="AQ781" s="13">
        <v>11</v>
      </c>
      <c r="AR781" s="15">
        <v>694</v>
      </c>
      <c r="AS781" s="15">
        <v>715</v>
      </c>
    </row>
    <row r="782" spans="1:45" x14ac:dyDescent="0.25">
      <c r="A782">
        <v>702</v>
      </c>
      <c r="B782" s="11">
        <f t="shared" si="12"/>
        <v>59111</v>
      </c>
      <c r="C782" s="12">
        <v>591110</v>
      </c>
      <c r="D782" s="13">
        <v>0</v>
      </c>
      <c r="E782" s="13">
        <v>0</v>
      </c>
      <c r="F782" s="13">
        <v>90</v>
      </c>
      <c r="G782" s="13">
        <v>66</v>
      </c>
      <c r="H782" s="13" t="str" cm="1">
        <f t="array" ref="H782">_xlfn.IFS(G782&lt;=20,"0-20",G782&lt;=30,"20-30",G782&lt;=40,"30-40",G782&lt;=50,"50-60",G782&lt;=60,"60-70",G782&lt;=70,"70-80",G782&lt;=80,"80-90")</f>
        <v>70-80</v>
      </c>
      <c r="I782" s="13">
        <v>2582</v>
      </c>
      <c r="J782" s="13" t="str" cm="1">
        <f t="array" ref="J782">_xlfn.IFS(K782=1,"Divorciado",L782=1,"Casado",M782=1,"Solteiro",N782=1,"Juntos",O782=1,"Viuvo")</f>
        <v>Casado</v>
      </c>
      <c r="K782" s="13">
        <v>0</v>
      </c>
      <c r="L782" s="13">
        <v>1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1</v>
      </c>
      <c r="S782" s="13">
        <v>0</v>
      </c>
      <c r="T782" s="13">
        <v>0</v>
      </c>
      <c r="U782" s="13">
        <v>524</v>
      </c>
      <c r="V782" s="13" t="str" cm="1">
        <f t="array" ref="V782">_xlfn.IFS(U782&lt;=250,"0-R$250",U782&lt;=500,"251-R$500",U782&lt;=750,"501-R$750",U782&lt;=1000,"751-R$1000",U782&lt;=1250,"1001-R$1250",U782&lt;=1500,"1251-R$1500")</f>
        <v>501-R$750</v>
      </c>
      <c r="W782" s="13">
        <v>0</v>
      </c>
      <c r="X782" s="13" t="str" cm="1">
        <f t="array" ref="X782">_xlfn.IFS(W782 = 0, "0", W782&lt;=20, "até R$20",W782&lt;=40, "21 - R$40",W782&lt;=60, "41- R$60",W782&lt;=80, "61 - R$80", W782&lt;=100, "81 - R$100",W782&lt;=120, "101 - R$120",W782&lt;=140, "121 - R$140", W782&lt;=160, "141- R$160", W782&lt;=180, "161 - R$180", W782&lt;=200, "181-R$194")</f>
        <v>0</v>
      </c>
      <c r="Y782" s="13">
        <v>134</v>
      </c>
      <c r="Z782" s="13">
        <v>28</v>
      </c>
      <c r="AA782" s="13">
        <v>28</v>
      </c>
      <c r="AB782" s="13">
        <v>155</v>
      </c>
      <c r="AC782" s="13">
        <v>1</v>
      </c>
      <c r="AD782" s="13">
        <v>11</v>
      </c>
      <c r="AE782" s="13">
        <v>1</v>
      </c>
      <c r="AF782" s="13">
        <v>8</v>
      </c>
      <c r="AG782" s="13">
        <v>7</v>
      </c>
      <c r="AH782" s="13">
        <v>0</v>
      </c>
      <c r="AI782" s="13">
        <v>0</v>
      </c>
      <c r="AJ782" s="13">
        <v>0</v>
      </c>
      <c r="AK782" s="13">
        <v>0</v>
      </c>
      <c r="AL782" s="13">
        <v>0</v>
      </c>
      <c r="AM782" s="13">
        <v>0</v>
      </c>
      <c r="AN782" s="13">
        <v>0</v>
      </c>
      <c r="AO782" s="14">
        <v>0</v>
      </c>
      <c r="AP782" s="13">
        <v>3</v>
      </c>
      <c r="AQ782" s="13">
        <v>11</v>
      </c>
      <c r="AR782" s="15">
        <v>559</v>
      </c>
      <c r="AS782" s="15">
        <v>714</v>
      </c>
    </row>
    <row r="783" spans="1:45" x14ac:dyDescent="0.25">
      <c r="A783">
        <v>1380</v>
      </c>
      <c r="B783" s="11">
        <f t="shared" si="12"/>
        <v>44511</v>
      </c>
      <c r="C783" s="12">
        <v>445110</v>
      </c>
      <c r="D783" s="13">
        <v>1</v>
      </c>
      <c r="E783" s="13">
        <v>0</v>
      </c>
      <c r="F783" s="13">
        <v>39</v>
      </c>
      <c r="G783" s="13">
        <v>50</v>
      </c>
      <c r="H783" s="13" t="str" cm="1">
        <f t="array" ref="H783">_xlfn.IFS(G783&lt;=20,"0-20",G783&lt;=30,"20-30",G783&lt;=40,"30-40",G783&lt;=50,"50-60",G783&lt;=60,"60-70",G783&lt;=70,"70-80",G783&lt;=80,"80-90")</f>
        <v>50-60</v>
      </c>
      <c r="I783" s="13">
        <v>2784</v>
      </c>
      <c r="J783" s="13" t="str" cm="1">
        <f t="array" ref="J783">_xlfn.IFS(K783=1,"Divorciado",L783=1,"Casado",M783=1,"Solteiro",N783=1,"Juntos",O783=1,"Viuvo")</f>
        <v>Casado</v>
      </c>
      <c r="K783" s="13">
        <v>0</v>
      </c>
      <c r="L783" s="13">
        <v>1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1</v>
      </c>
      <c r="T783" s="13">
        <v>0</v>
      </c>
      <c r="U783" s="13">
        <v>513</v>
      </c>
      <c r="V783" s="13" t="str" cm="1">
        <f t="array" ref="V783">_xlfn.IFS(U783&lt;=250,"0-R$250",U783&lt;=500,"251-R$500",U783&lt;=750,"501-R$750",U783&lt;=1000,"751-R$1000",U783&lt;=1250,"1001-R$1250",U783&lt;=1500,"1251-R$1500")</f>
        <v>501-R$750</v>
      </c>
      <c r="W783" s="13">
        <v>7</v>
      </c>
      <c r="X783" s="13" t="str" cm="1">
        <f t="array" ref="X783">_xlfn.IFS(W783 = 0, "0", W783&lt;=20, "até R$20",W783&lt;=40, "21 - R$40",W783&lt;=60, "41- R$60",W783&lt;=80, "61 - R$80", W783&lt;=100, "81 - R$100",W783&lt;=120, "101 - R$120",W783&lt;=140, "121 - R$140", W783&lt;=160, "141- R$160", W783&lt;=180, "161 - R$180", W783&lt;=200, "181-R$194")</f>
        <v>até R$20</v>
      </c>
      <c r="Y783" s="13">
        <v>133</v>
      </c>
      <c r="Z783" s="13">
        <v>46</v>
      </c>
      <c r="AA783" s="13">
        <v>14</v>
      </c>
      <c r="AB783" s="13">
        <v>14</v>
      </c>
      <c r="AC783" s="13">
        <v>6</v>
      </c>
      <c r="AD783" s="13">
        <v>8</v>
      </c>
      <c r="AE783" s="13">
        <v>4</v>
      </c>
      <c r="AF783" s="13">
        <v>8</v>
      </c>
      <c r="AG783" s="13">
        <v>8</v>
      </c>
      <c r="AH783" s="13">
        <v>0</v>
      </c>
      <c r="AI783" s="13">
        <v>0</v>
      </c>
      <c r="AJ783" s="13">
        <v>0</v>
      </c>
      <c r="AK783" s="13">
        <v>0</v>
      </c>
      <c r="AL783" s="13">
        <v>0</v>
      </c>
      <c r="AM783" s="13">
        <v>0</v>
      </c>
      <c r="AN783" s="13">
        <v>0</v>
      </c>
      <c r="AO783" s="14">
        <v>0</v>
      </c>
      <c r="AP783" s="13">
        <v>3</v>
      </c>
      <c r="AQ783" s="13">
        <v>11</v>
      </c>
      <c r="AR783" s="15">
        <v>699</v>
      </c>
      <c r="AS783" s="15">
        <v>713</v>
      </c>
    </row>
    <row r="784" spans="1:45" x14ac:dyDescent="0.25">
      <c r="A784">
        <v>799</v>
      </c>
      <c r="B784" s="11">
        <f t="shared" si="12"/>
        <v>65685</v>
      </c>
      <c r="C784" s="16">
        <v>656850</v>
      </c>
      <c r="D784" s="17">
        <v>0</v>
      </c>
      <c r="E784" s="17">
        <v>1</v>
      </c>
      <c r="F784" s="17">
        <v>54</v>
      </c>
      <c r="G784" s="17">
        <v>48</v>
      </c>
      <c r="H784" s="13" t="str" cm="1">
        <f t="array" ref="H784">_xlfn.IFS(G784&lt;=20,"0-20",G784&lt;=30,"20-30",G784&lt;=40,"30-40",G784&lt;=50,"50-60",G784&lt;=60,"60-70",G784&lt;=70,"70-80",G784&lt;=80,"80-90")</f>
        <v>50-60</v>
      </c>
      <c r="I784" s="17">
        <v>2251</v>
      </c>
      <c r="J784" s="13" t="str" cm="1">
        <f t="array" ref="J784">_xlfn.IFS(K784=1,"Divorciado",L784=1,"Casado",M784=1,"Solteiro",N784=1,"Juntos",O784=1,"Viuvo")</f>
        <v>Casado</v>
      </c>
      <c r="K784" s="17">
        <v>0</v>
      </c>
      <c r="L784" s="17">
        <v>1</v>
      </c>
      <c r="M784" s="17">
        <v>0</v>
      </c>
      <c r="N784" s="17">
        <v>0</v>
      </c>
      <c r="O784" s="17">
        <v>0</v>
      </c>
      <c r="P784" s="17">
        <v>0</v>
      </c>
      <c r="Q784" s="17">
        <v>0</v>
      </c>
      <c r="R784" s="17">
        <v>1</v>
      </c>
      <c r="S784" s="17">
        <v>0</v>
      </c>
      <c r="T784" s="17">
        <v>0</v>
      </c>
      <c r="U784" s="17">
        <v>642</v>
      </c>
      <c r="V784" s="13" t="str" cm="1">
        <f t="array" ref="V784">_xlfn.IFS(U784&lt;=250,"0-R$250",U784&lt;=500,"251-R$500",U784&lt;=750,"501-R$750",U784&lt;=1000,"751-R$1000",U784&lt;=1250,"1001-R$1250",U784&lt;=1500,"1251-R$1500")</f>
        <v>501-R$750</v>
      </c>
      <c r="W784" s="17">
        <v>14</v>
      </c>
      <c r="X784" s="13" t="str" cm="1">
        <f t="array" ref="X784">_xlfn.IFS(W784 = 0, "0", W784&lt;=20, "até R$20",W784&lt;=40, "21 - R$40",W784&lt;=60, "41- R$60",W784&lt;=80, "61 - R$80", W784&lt;=100, "81 - R$100",W784&lt;=120, "101 - R$120",W784&lt;=140, "121 - R$140", W784&lt;=160, "141- R$160", W784&lt;=180, "161 - R$180", W784&lt;=200, "181-R$194")</f>
        <v>até R$20</v>
      </c>
      <c r="Y784" s="17">
        <v>49</v>
      </c>
      <c r="Z784" s="17">
        <v>0</v>
      </c>
      <c r="AA784" s="17">
        <v>7</v>
      </c>
      <c r="AB784" s="17">
        <v>57</v>
      </c>
      <c r="AC784" s="17">
        <v>1</v>
      </c>
      <c r="AD784" s="17">
        <v>9</v>
      </c>
      <c r="AE784" s="17">
        <v>2</v>
      </c>
      <c r="AF784" s="17">
        <v>9</v>
      </c>
      <c r="AG784" s="17">
        <v>5</v>
      </c>
      <c r="AH784" s="17">
        <v>0</v>
      </c>
      <c r="AI784" s="17">
        <v>0</v>
      </c>
      <c r="AJ784" s="17">
        <v>0</v>
      </c>
      <c r="AK784" s="17">
        <v>0</v>
      </c>
      <c r="AL784" s="17">
        <v>0</v>
      </c>
      <c r="AM784" s="17">
        <v>0</v>
      </c>
      <c r="AN784" s="17">
        <v>0</v>
      </c>
      <c r="AO784" s="18">
        <v>0</v>
      </c>
      <c r="AP784" s="17">
        <v>3</v>
      </c>
      <c r="AQ784" s="17">
        <v>11</v>
      </c>
      <c r="AR784" s="19">
        <v>655</v>
      </c>
      <c r="AS784" s="19">
        <v>712</v>
      </c>
    </row>
    <row r="785" spans="1:45" x14ac:dyDescent="0.25">
      <c r="A785">
        <v>1377</v>
      </c>
      <c r="B785" s="11">
        <f t="shared" si="12"/>
        <v>65685</v>
      </c>
      <c r="C785" s="16">
        <v>656850</v>
      </c>
      <c r="D785" s="17">
        <v>0</v>
      </c>
      <c r="E785" s="17">
        <v>1</v>
      </c>
      <c r="F785" s="17">
        <v>54</v>
      </c>
      <c r="G785" s="17">
        <v>48</v>
      </c>
      <c r="H785" s="13" t="str" cm="1">
        <f t="array" ref="H785">_xlfn.IFS(G785&lt;=20,"0-20",G785&lt;=30,"20-30",G785&lt;=40,"30-40",G785&lt;=50,"50-60",G785&lt;=60,"60-70",G785&lt;=70,"70-80",G785&lt;=80,"80-90")</f>
        <v>50-60</v>
      </c>
      <c r="I785" s="17">
        <v>2251</v>
      </c>
      <c r="J785" s="13" t="str" cm="1">
        <f t="array" ref="J785">_xlfn.IFS(K785=1,"Divorciado",L785=1,"Casado",M785=1,"Solteiro",N785=1,"Juntos",O785=1,"Viuvo")</f>
        <v>Casado</v>
      </c>
      <c r="K785" s="17">
        <v>0</v>
      </c>
      <c r="L785" s="17">
        <v>1</v>
      </c>
      <c r="M785" s="17">
        <v>0</v>
      </c>
      <c r="N785" s="17">
        <v>0</v>
      </c>
      <c r="O785" s="17">
        <v>0</v>
      </c>
      <c r="P785" s="17">
        <v>0</v>
      </c>
      <c r="Q785" s="17">
        <v>0</v>
      </c>
      <c r="R785" s="17">
        <v>1</v>
      </c>
      <c r="S785" s="17">
        <v>0</v>
      </c>
      <c r="T785" s="17">
        <v>0</v>
      </c>
      <c r="U785" s="17">
        <v>642</v>
      </c>
      <c r="V785" s="13" t="str" cm="1">
        <f t="array" ref="V785">_xlfn.IFS(U785&lt;=250,"0-R$250",U785&lt;=500,"251-R$500",U785&lt;=750,"501-R$750",U785&lt;=1000,"751-R$1000",U785&lt;=1250,"1001-R$1250",U785&lt;=1500,"1251-R$1500")</f>
        <v>501-R$750</v>
      </c>
      <c r="W785" s="17">
        <v>14</v>
      </c>
      <c r="X785" s="13" t="str" cm="1">
        <f t="array" ref="X785">_xlfn.IFS(W785 = 0, "0", W785&lt;=20, "até R$20",W785&lt;=40, "21 - R$40",W785&lt;=60, "41- R$60",W785&lt;=80, "61 - R$80", W785&lt;=100, "81 - R$100",W785&lt;=120, "101 - R$120",W785&lt;=140, "121 - R$140", W785&lt;=160, "141- R$160", W785&lt;=180, "161 - R$180", W785&lt;=200, "181-R$194")</f>
        <v>até R$20</v>
      </c>
      <c r="Y785" s="17">
        <v>49</v>
      </c>
      <c r="Z785" s="17">
        <v>0</v>
      </c>
      <c r="AA785" s="17">
        <v>7</v>
      </c>
      <c r="AB785" s="17">
        <v>57</v>
      </c>
      <c r="AC785" s="17">
        <v>1</v>
      </c>
      <c r="AD785" s="17">
        <v>9</v>
      </c>
      <c r="AE785" s="17">
        <v>2</v>
      </c>
      <c r="AF785" s="17">
        <v>9</v>
      </c>
      <c r="AG785" s="17">
        <v>5</v>
      </c>
      <c r="AH785" s="17">
        <v>0</v>
      </c>
      <c r="AI785" s="17">
        <v>0</v>
      </c>
      <c r="AJ785" s="17">
        <v>0</v>
      </c>
      <c r="AK785" s="17">
        <v>0</v>
      </c>
      <c r="AL785" s="17">
        <v>0</v>
      </c>
      <c r="AM785" s="17">
        <v>0</v>
      </c>
      <c r="AN785" s="17">
        <v>0</v>
      </c>
      <c r="AO785" s="18">
        <v>0</v>
      </c>
      <c r="AP785" s="17">
        <v>3</v>
      </c>
      <c r="AQ785" s="17">
        <v>11</v>
      </c>
      <c r="AR785" s="19">
        <v>655</v>
      </c>
      <c r="AS785" s="19">
        <v>712</v>
      </c>
    </row>
    <row r="786" spans="1:45" x14ac:dyDescent="0.25">
      <c r="A786">
        <v>1501</v>
      </c>
      <c r="B786" s="11">
        <f t="shared" si="12"/>
        <v>58597</v>
      </c>
      <c r="C786" s="16">
        <v>585970</v>
      </c>
      <c r="D786" s="17">
        <v>1</v>
      </c>
      <c r="E786" s="17">
        <v>1</v>
      </c>
      <c r="F786" s="17">
        <v>20</v>
      </c>
      <c r="G786" s="17">
        <v>44</v>
      </c>
      <c r="H786" s="13" t="str" cm="1">
        <f t="array" ref="H786">_xlfn.IFS(G786&lt;=20,"0-20",G786&lt;=30,"20-30",G786&lt;=40,"30-40",G786&lt;=50,"50-60",G786&lt;=60,"60-70",G786&lt;=70,"70-80",G786&lt;=80,"80-90")</f>
        <v>50-60</v>
      </c>
      <c r="I786" s="17">
        <v>2745</v>
      </c>
      <c r="J786" s="13" t="str" cm="1">
        <f t="array" ref="J786">_xlfn.IFS(K786=1,"Divorciado",L786=1,"Casado",M786=1,"Solteiro",N786=1,"Juntos",O786=1,"Viuvo")</f>
        <v>Casado</v>
      </c>
      <c r="K786" s="17">
        <v>0</v>
      </c>
      <c r="L786" s="17">
        <v>1</v>
      </c>
      <c r="M786" s="17">
        <v>0</v>
      </c>
      <c r="N786" s="17">
        <v>0</v>
      </c>
      <c r="O786" s="17">
        <v>0</v>
      </c>
      <c r="P786" s="17">
        <v>0</v>
      </c>
      <c r="Q786" s="17">
        <v>0</v>
      </c>
      <c r="R786" s="17">
        <v>1</v>
      </c>
      <c r="S786" s="17">
        <v>0</v>
      </c>
      <c r="T786" s="17">
        <v>0</v>
      </c>
      <c r="U786" s="17">
        <v>490</v>
      </c>
      <c r="V786" s="13" t="str" cm="1">
        <f t="array" ref="V786">_xlfn.IFS(U786&lt;=250,"0-R$250",U786&lt;=500,"251-R$500",U786&lt;=750,"501-R$750",U786&lt;=1000,"751-R$1000",U786&lt;=1250,"1001-R$1250",U786&lt;=1500,"1251-R$1500")</f>
        <v>251-R$500</v>
      </c>
      <c r="W786" s="17">
        <v>0</v>
      </c>
      <c r="X786" s="13" t="str" cm="1">
        <f t="array" ref="X786">_xlfn.IFS(W786 = 0, "0", W786&lt;=20, "até R$20",W786&lt;=40, "21 - R$40",W786&lt;=60, "41- R$60",W786&lt;=80, "61 - R$80", W786&lt;=100, "81 - R$100",W786&lt;=120, "101 - R$120",W786&lt;=140, "121 - R$140", W786&lt;=160, "141- R$160", W786&lt;=180, "161 - R$180", W786&lt;=200, "181-R$194")</f>
        <v>0</v>
      </c>
      <c r="Y786" s="17">
        <v>184</v>
      </c>
      <c r="Z786" s="17">
        <v>10</v>
      </c>
      <c r="AA786" s="17">
        <v>28</v>
      </c>
      <c r="AB786" s="17">
        <v>21</v>
      </c>
      <c r="AC786" s="17">
        <v>12</v>
      </c>
      <c r="AD786" s="17">
        <v>7</v>
      </c>
      <c r="AE786" s="17">
        <v>4</v>
      </c>
      <c r="AF786" s="17">
        <v>9</v>
      </c>
      <c r="AG786" s="17">
        <v>7</v>
      </c>
      <c r="AH786" s="17">
        <v>0</v>
      </c>
      <c r="AI786" s="17">
        <v>0</v>
      </c>
      <c r="AJ786" s="17">
        <v>0</v>
      </c>
      <c r="AK786" s="17">
        <v>0</v>
      </c>
      <c r="AL786" s="17">
        <v>0</v>
      </c>
      <c r="AM786" s="17">
        <v>0</v>
      </c>
      <c r="AN786" s="17">
        <v>0</v>
      </c>
      <c r="AO786" s="18">
        <v>0</v>
      </c>
      <c r="AP786" s="17">
        <v>3</v>
      </c>
      <c r="AQ786" s="17">
        <v>11</v>
      </c>
      <c r="AR786" s="19">
        <v>691</v>
      </c>
      <c r="AS786" s="19">
        <v>712</v>
      </c>
    </row>
    <row r="787" spans="1:45" x14ac:dyDescent="0.25">
      <c r="A787">
        <v>1984</v>
      </c>
      <c r="B787" s="11">
        <f t="shared" si="12"/>
        <v>65814</v>
      </c>
      <c r="C787" s="12">
        <v>658140</v>
      </c>
      <c r="D787" s="13">
        <v>0</v>
      </c>
      <c r="E787" s="13">
        <v>1</v>
      </c>
      <c r="F787" s="13">
        <v>90</v>
      </c>
      <c r="G787" s="13">
        <v>54</v>
      </c>
      <c r="H787" s="13" t="str" cm="1">
        <f t="array" ref="H787">_xlfn.IFS(G787&lt;=20,"0-20",G787&lt;=30,"20-30",G787&lt;=40,"30-40",G787&lt;=50,"50-60",G787&lt;=60,"60-70",G787&lt;=70,"70-80",G787&lt;=80,"80-90")</f>
        <v>60-70</v>
      </c>
      <c r="I787" s="13">
        <v>2278</v>
      </c>
      <c r="J787" s="13" t="str" cm="1">
        <f t="array" ref="J787">_xlfn.IFS(K787=1,"Divorciado",L787=1,"Casado",M787=1,"Solteiro",N787=1,"Juntos",O787=1,"Viuvo")</f>
        <v>Juntos</v>
      </c>
      <c r="K787" s="13">
        <v>0</v>
      </c>
      <c r="L787" s="13">
        <v>0</v>
      </c>
      <c r="M787" s="13">
        <v>0</v>
      </c>
      <c r="N787" s="13">
        <v>1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1</v>
      </c>
      <c r="U787" s="13">
        <v>561</v>
      </c>
      <c r="V787" s="13" t="str" cm="1">
        <f t="array" ref="V787">_xlfn.IFS(U787&lt;=250,"0-R$250",U787&lt;=500,"251-R$500",U787&lt;=750,"501-R$750",U787&lt;=1000,"751-R$1000",U787&lt;=1250,"1001-R$1250",U787&lt;=1500,"1251-R$1500")</f>
        <v>501-R$750</v>
      </c>
      <c r="W787" s="13">
        <v>14</v>
      </c>
      <c r="X787" s="13" t="str" cm="1">
        <f t="array" ref="X787">_xlfn.IFS(W787 = 0, "0", W787&lt;=20, "até R$20",W787&lt;=40, "21 - R$40",W787&lt;=60, "41- R$60",W787&lt;=80, "61 - R$80", W787&lt;=100, "81 - R$100",W787&lt;=120, "101 - R$120",W787&lt;=140, "121 - R$140", W787&lt;=160, "141- R$160", W787&lt;=180, "161 - R$180", W787&lt;=200, "181-R$194")</f>
        <v>até R$20</v>
      </c>
      <c r="Y787" s="13">
        <v>113</v>
      </c>
      <c r="Z787" s="13">
        <v>10</v>
      </c>
      <c r="AA787" s="13">
        <v>14</v>
      </c>
      <c r="AB787" s="13">
        <v>35</v>
      </c>
      <c r="AC787" s="13">
        <v>3</v>
      </c>
      <c r="AD787" s="13">
        <v>8</v>
      </c>
      <c r="AE787" s="13">
        <v>2</v>
      </c>
      <c r="AF787" s="13">
        <v>10</v>
      </c>
      <c r="AG787" s="13">
        <v>5</v>
      </c>
      <c r="AH787" s="13">
        <v>0</v>
      </c>
      <c r="AI787" s="13">
        <v>0</v>
      </c>
      <c r="AJ787" s="13">
        <v>0</v>
      </c>
      <c r="AK787" s="13">
        <v>0</v>
      </c>
      <c r="AL787" s="13">
        <v>0</v>
      </c>
      <c r="AM787" s="13">
        <v>0</v>
      </c>
      <c r="AN787" s="13">
        <v>0</v>
      </c>
      <c r="AO787" s="14">
        <v>0</v>
      </c>
      <c r="AP787" s="13">
        <v>3</v>
      </c>
      <c r="AQ787" s="13">
        <v>11</v>
      </c>
      <c r="AR787" s="15">
        <v>677</v>
      </c>
      <c r="AS787" s="15">
        <v>712</v>
      </c>
    </row>
    <row r="788" spans="1:45" x14ac:dyDescent="0.25">
      <c r="A788">
        <v>1053</v>
      </c>
      <c r="B788" s="11">
        <f t="shared" si="12"/>
        <v>59925</v>
      </c>
      <c r="C788" s="16">
        <v>599250</v>
      </c>
      <c r="D788" s="17">
        <v>0</v>
      </c>
      <c r="E788" s="17">
        <v>1</v>
      </c>
      <c r="F788" s="17">
        <v>83</v>
      </c>
      <c r="G788" s="17">
        <v>65</v>
      </c>
      <c r="H788" s="13" t="str" cm="1">
        <f t="array" ref="H788">_xlfn.IFS(G788&lt;=20,"0-20",G788&lt;=30,"20-30",G788&lt;=40,"30-40",G788&lt;=50,"50-60",G788&lt;=60,"60-70",G788&lt;=70,"70-80",G788&lt;=80,"80-90")</f>
        <v>70-80</v>
      </c>
      <c r="I788" s="17">
        <v>2735</v>
      </c>
      <c r="J788" s="13" t="str" cm="1">
        <f t="array" ref="J788">_xlfn.IFS(K788=1,"Divorciado",L788=1,"Casado",M788=1,"Solteiro",N788=1,"Juntos",O788=1,"Viuvo")</f>
        <v>Juntos</v>
      </c>
      <c r="K788" s="17">
        <v>0</v>
      </c>
      <c r="L788" s="17">
        <v>0</v>
      </c>
      <c r="M788" s="17">
        <v>0</v>
      </c>
      <c r="N788" s="17">
        <v>1</v>
      </c>
      <c r="O788" s="17">
        <v>0</v>
      </c>
      <c r="P788" s="17">
        <v>0</v>
      </c>
      <c r="Q788" s="17">
        <v>0</v>
      </c>
      <c r="R788" s="17">
        <v>1</v>
      </c>
      <c r="S788" s="17">
        <v>0</v>
      </c>
      <c r="T788" s="17">
        <v>0</v>
      </c>
      <c r="U788" s="17">
        <v>473</v>
      </c>
      <c r="V788" s="13" t="str" cm="1">
        <f t="array" ref="V788">_xlfn.IFS(U788&lt;=250,"0-R$250",U788&lt;=500,"251-R$500",U788&lt;=750,"501-R$750",U788&lt;=1000,"751-R$1000",U788&lt;=1250,"1001-R$1250",U788&lt;=1500,"1251-R$1500")</f>
        <v>251-R$500</v>
      </c>
      <c r="W788" s="17">
        <v>21</v>
      </c>
      <c r="X788" s="13" t="str" cm="1">
        <f t="array" ref="X788">_xlfn.IFS(W788 = 0, "0", W788&lt;=20, "até R$20",W788&lt;=40, "21 - R$40",W788&lt;=60, "41- R$60",W788&lt;=80, "61 - R$80", W788&lt;=100, "81 - R$100",W788&lt;=120, "101 - R$120",W788&lt;=140, "121 - R$140", W788&lt;=160, "141- R$160", W788&lt;=180, "161 - R$180", W788&lt;=200, "181-R$194")</f>
        <v>21 - R$40</v>
      </c>
      <c r="Y788" s="17">
        <v>176</v>
      </c>
      <c r="Z788" s="17">
        <v>19</v>
      </c>
      <c r="AA788" s="17">
        <v>21</v>
      </c>
      <c r="AB788" s="17">
        <v>56</v>
      </c>
      <c r="AC788" s="17">
        <v>3</v>
      </c>
      <c r="AD788" s="17">
        <v>9</v>
      </c>
      <c r="AE788" s="17">
        <v>2</v>
      </c>
      <c r="AF788" s="17">
        <v>9</v>
      </c>
      <c r="AG788" s="17">
        <v>6</v>
      </c>
      <c r="AH788" s="17">
        <v>0</v>
      </c>
      <c r="AI788" s="17">
        <v>0</v>
      </c>
      <c r="AJ788" s="17">
        <v>0</v>
      </c>
      <c r="AK788" s="17">
        <v>0</v>
      </c>
      <c r="AL788" s="17">
        <v>0</v>
      </c>
      <c r="AM788" s="17">
        <v>0</v>
      </c>
      <c r="AN788" s="17">
        <v>0</v>
      </c>
      <c r="AO788" s="18">
        <v>0</v>
      </c>
      <c r="AP788" s="17">
        <v>3</v>
      </c>
      <c r="AQ788" s="17">
        <v>11</v>
      </c>
      <c r="AR788" s="19">
        <v>654</v>
      </c>
      <c r="AS788" s="19">
        <v>710</v>
      </c>
    </row>
    <row r="789" spans="1:45" x14ac:dyDescent="0.25">
      <c r="A789">
        <v>378</v>
      </c>
      <c r="B789" s="11">
        <f t="shared" si="12"/>
        <v>70777</v>
      </c>
      <c r="C789" s="12">
        <v>707770</v>
      </c>
      <c r="D789" s="13">
        <v>0</v>
      </c>
      <c r="E789" s="13">
        <v>1</v>
      </c>
      <c r="F789" s="13">
        <v>80</v>
      </c>
      <c r="G789" s="13">
        <v>52</v>
      </c>
      <c r="H789" s="13" t="str" cm="1">
        <f t="array" ref="H789">_xlfn.IFS(G789&lt;=20,"0-20",G789&lt;=30,"20-30",G789&lt;=40,"30-40",G789&lt;=50,"50-60",G789&lt;=60,"60-70",G789&lt;=70,"70-80",G789&lt;=80,"80-90")</f>
        <v>60-70</v>
      </c>
      <c r="I789" s="13">
        <v>2283</v>
      </c>
      <c r="J789" s="13" t="str" cm="1">
        <f t="array" ref="J789">_xlfn.IFS(K789=1,"Divorciado",L789=1,"Casado",M789=1,"Solteiro",N789=1,"Juntos",O789=1,"Viuvo")</f>
        <v>Casado</v>
      </c>
      <c r="K789" s="13">
        <v>0</v>
      </c>
      <c r="L789" s="13">
        <v>1</v>
      </c>
      <c r="M789" s="13">
        <v>0</v>
      </c>
      <c r="N789" s="13">
        <v>0</v>
      </c>
      <c r="O789" s="13">
        <v>0</v>
      </c>
      <c r="P789" s="13">
        <v>0</v>
      </c>
      <c r="Q789" s="13">
        <v>0</v>
      </c>
      <c r="R789" s="13">
        <v>0</v>
      </c>
      <c r="S789" s="13">
        <v>1</v>
      </c>
      <c r="T789" s="13">
        <v>0</v>
      </c>
      <c r="U789" s="13">
        <v>554</v>
      </c>
      <c r="V789" s="13" t="str" cm="1">
        <f t="array" ref="V789">_xlfn.IFS(U789&lt;=250,"0-R$250",U789&lt;=500,"251-R$500",U789&lt;=750,"501-R$750",U789&lt;=1000,"751-R$1000",U789&lt;=1250,"1001-R$1250",U789&lt;=1500,"1251-R$1500")</f>
        <v>501-R$750</v>
      </c>
      <c r="W789" s="13">
        <v>35</v>
      </c>
      <c r="X789" s="13" t="str" cm="1">
        <f t="array" ref="X789">_xlfn.IFS(W789 = 0, "0", W789&lt;=20, "até R$20",W789&lt;=40, "21 - R$40",W789&lt;=60, "41- R$60",W789&lt;=80, "61 - R$80", W789&lt;=100, "81 - R$100",W789&lt;=120, "101 - R$120",W789&lt;=140, "121 - R$140", W789&lt;=160, "141- R$160", W789&lt;=180, "161 - R$180", W789&lt;=200, "181-R$194")</f>
        <v>21 - R$40</v>
      </c>
      <c r="Y789" s="13">
        <v>113</v>
      </c>
      <c r="Z789" s="13">
        <v>0</v>
      </c>
      <c r="AA789" s="13">
        <v>7</v>
      </c>
      <c r="AB789" s="13">
        <v>78</v>
      </c>
      <c r="AC789" s="13">
        <v>3</v>
      </c>
      <c r="AD789" s="13">
        <v>5</v>
      </c>
      <c r="AE789" s="13">
        <v>3</v>
      </c>
      <c r="AF789" s="13">
        <v>12</v>
      </c>
      <c r="AG789" s="13">
        <v>3</v>
      </c>
      <c r="AH789" s="13">
        <v>0</v>
      </c>
      <c r="AI789" s="13">
        <v>0</v>
      </c>
      <c r="AJ789" s="13">
        <v>0</v>
      </c>
      <c r="AK789" s="13">
        <v>0</v>
      </c>
      <c r="AL789" s="13">
        <v>0</v>
      </c>
      <c r="AM789" s="13">
        <v>0</v>
      </c>
      <c r="AN789" s="13">
        <v>0</v>
      </c>
      <c r="AO789" s="14">
        <v>0</v>
      </c>
      <c r="AP789" s="13">
        <v>3</v>
      </c>
      <c r="AQ789" s="13">
        <v>11</v>
      </c>
      <c r="AR789" s="15">
        <v>631</v>
      </c>
      <c r="AS789" s="15">
        <v>709</v>
      </c>
    </row>
    <row r="790" spans="1:45" x14ac:dyDescent="0.25">
      <c r="A790">
        <v>105</v>
      </c>
      <c r="B790" s="11">
        <f t="shared" si="12"/>
        <v>86037</v>
      </c>
      <c r="C790" s="16">
        <v>860370</v>
      </c>
      <c r="D790" s="17">
        <v>0</v>
      </c>
      <c r="E790" s="17">
        <v>0</v>
      </c>
      <c r="F790" s="17">
        <v>95</v>
      </c>
      <c r="G790" s="17">
        <v>29</v>
      </c>
      <c r="H790" s="13" t="str" cm="1">
        <f t="array" ref="H790">_xlfn.IFS(G790&lt;=20,"0-20",G790&lt;=30,"20-30",G790&lt;=40,"30-40",G790&lt;=50,"50-60",G790&lt;=60,"60-70",G790&lt;=70,"70-80",G790&lt;=80,"80-90")</f>
        <v>20-30</v>
      </c>
      <c r="I790" s="17">
        <v>2702</v>
      </c>
      <c r="J790" s="13" t="str" cm="1">
        <f t="array" ref="J790">_xlfn.IFS(K790=1,"Divorciado",L790=1,"Casado",M790=1,"Solteiro",N790=1,"Juntos",O790=1,"Viuvo")</f>
        <v>Solteiro</v>
      </c>
      <c r="K790" s="17">
        <v>0</v>
      </c>
      <c r="L790" s="17">
        <v>0</v>
      </c>
      <c r="M790" s="17">
        <v>1</v>
      </c>
      <c r="N790" s="17">
        <v>0</v>
      </c>
      <c r="O790" s="17">
        <v>0</v>
      </c>
      <c r="P790" s="17">
        <v>0</v>
      </c>
      <c r="Q790" s="17">
        <v>0</v>
      </c>
      <c r="R790" s="17">
        <v>1</v>
      </c>
      <c r="S790" s="17">
        <v>0</v>
      </c>
      <c r="T790" s="17">
        <v>0</v>
      </c>
      <c r="U790" s="17">
        <v>490</v>
      </c>
      <c r="V790" s="13" t="str" cm="1">
        <f t="array" ref="V790">_xlfn.IFS(U790&lt;=250,"0-R$250",U790&lt;=500,"251-R$500",U790&lt;=750,"501-R$750",U790&lt;=1000,"751-R$1000",U790&lt;=1250,"1001-R$1250",U790&lt;=1500,"1251-R$1500")</f>
        <v>251-R$500</v>
      </c>
      <c r="W790" s="17">
        <v>44</v>
      </c>
      <c r="X790" s="13" t="str" cm="1">
        <f t="array" ref="X790">_xlfn.IFS(W790 = 0, "0", W790&lt;=20, "até R$20",W790&lt;=40, "21 - R$40",W790&lt;=60, "41- R$60",W790&lt;=80, "61 - R$80", W790&lt;=100, "81 - R$100",W790&lt;=120, "101 - R$120",W790&lt;=140, "121 - R$140", W790&lt;=160, "141- R$160", W790&lt;=180, "161 - R$180", W790&lt;=200, "181-R$194")</f>
        <v>41- R$60</v>
      </c>
      <c r="Y790" s="17">
        <v>125</v>
      </c>
      <c r="Z790" s="17">
        <v>29</v>
      </c>
      <c r="AA790" s="17">
        <v>20</v>
      </c>
      <c r="AB790" s="17">
        <v>22</v>
      </c>
      <c r="AC790" s="17">
        <v>1</v>
      </c>
      <c r="AD790" s="17">
        <v>6</v>
      </c>
      <c r="AE790" s="17">
        <v>7</v>
      </c>
      <c r="AF790" s="17">
        <v>11</v>
      </c>
      <c r="AG790" s="17">
        <v>3</v>
      </c>
      <c r="AH790" s="17">
        <v>0</v>
      </c>
      <c r="AI790" s="17">
        <v>0</v>
      </c>
      <c r="AJ790" s="17">
        <v>1</v>
      </c>
      <c r="AK790" s="17">
        <v>1</v>
      </c>
      <c r="AL790" s="17">
        <v>0</v>
      </c>
      <c r="AM790" s="17">
        <v>0</v>
      </c>
      <c r="AN790" s="17">
        <v>1</v>
      </c>
      <c r="AO790" s="18">
        <v>2</v>
      </c>
      <c r="AP790" s="17">
        <v>3</v>
      </c>
      <c r="AQ790" s="17">
        <v>11</v>
      </c>
      <c r="AR790" s="19">
        <v>686</v>
      </c>
      <c r="AS790" s="19">
        <v>708</v>
      </c>
    </row>
    <row r="791" spans="1:45" x14ac:dyDescent="0.25">
      <c r="A791">
        <v>772</v>
      </c>
      <c r="B791" s="11">
        <f t="shared" si="12"/>
        <v>82017</v>
      </c>
      <c r="C791" s="12">
        <v>820170</v>
      </c>
      <c r="D791" s="13">
        <v>0</v>
      </c>
      <c r="E791" s="13">
        <v>0</v>
      </c>
      <c r="F791" s="13">
        <v>58</v>
      </c>
      <c r="G791" s="13">
        <v>63</v>
      </c>
      <c r="H791" s="13" t="str" cm="1">
        <f t="array" ref="H791">_xlfn.IFS(G791&lt;=20,"0-20",G791&lt;=30,"20-30",G791&lt;=40,"30-40",G791&lt;=50,"50-60",G791&lt;=60,"60-70",G791&lt;=70,"70-80",G791&lt;=80,"80-90")</f>
        <v>70-80</v>
      </c>
      <c r="I791" s="13">
        <v>2758</v>
      </c>
      <c r="J791" s="13" t="str" cm="1">
        <f t="array" ref="J791">_xlfn.IFS(K791=1,"Divorciado",L791=1,"Casado",M791=1,"Solteiro",N791=1,"Juntos",O791=1,"Viuvo")</f>
        <v>Casado</v>
      </c>
      <c r="K791" s="13">
        <v>0</v>
      </c>
      <c r="L791" s="13">
        <v>1</v>
      </c>
      <c r="M791" s="13">
        <v>0</v>
      </c>
      <c r="N791" s="13">
        <v>0</v>
      </c>
      <c r="O791" s="13">
        <v>0</v>
      </c>
      <c r="P791" s="13">
        <v>0</v>
      </c>
      <c r="Q791" s="13">
        <v>0</v>
      </c>
      <c r="R791" s="13">
        <v>0</v>
      </c>
      <c r="S791" s="13">
        <v>0</v>
      </c>
      <c r="T791" s="13">
        <v>1</v>
      </c>
      <c r="U791" s="13">
        <v>184</v>
      </c>
      <c r="V791" s="13" t="str" cm="1">
        <f t="array" ref="V791">_xlfn.IFS(U791&lt;=250,"0-R$250",U791&lt;=500,"251-R$500",U791&lt;=750,"501-R$750",U791&lt;=1000,"751-R$1000",U791&lt;=1250,"1001-R$1250",U791&lt;=1500,"1251-R$1500")</f>
        <v>0-R$250</v>
      </c>
      <c r="W791" s="13">
        <v>23</v>
      </c>
      <c r="X791" s="13" t="str" cm="1">
        <f t="array" ref="X791">_xlfn.IFS(W791 = 0, "0", W791&lt;=20, "até R$20",W791&lt;=40, "21 - R$40",W791&lt;=60, "41- R$60",W791&lt;=80, "61 - R$80", W791&lt;=100, "81 - R$100",W791&lt;=120, "101 - R$120",W791&lt;=140, "121 - R$140", W791&lt;=160, "141- R$160", W791&lt;=180, "161 - R$180", W791&lt;=200, "181-R$194")</f>
        <v>21 - R$40</v>
      </c>
      <c r="Y791" s="13">
        <v>446</v>
      </c>
      <c r="Z791" s="13">
        <v>30</v>
      </c>
      <c r="AA791" s="13">
        <v>23</v>
      </c>
      <c r="AB791" s="13">
        <v>23</v>
      </c>
      <c r="AC791" s="13">
        <v>1</v>
      </c>
      <c r="AD791" s="13">
        <v>5</v>
      </c>
      <c r="AE791" s="13">
        <v>4</v>
      </c>
      <c r="AF791" s="13">
        <v>7</v>
      </c>
      <c r="AG791" s="13">
        <v>2</v>
      </c>
      <c r="AH791" s="13">
        <v>0</v>
      </c>
      <c r="AI791" s="13">
        <v>0</v>
      </c>
      <c r="AJ791" s="13">
        <v>1</v>
      </c>
      <c r="AK791" s="13">
        <v>1</v>
      </c>
      <c r="AL791" s="13">
        <v>1</v>
      </c>
      <c r="AM791" s="13">
        <v>0</v>
      </c>
      <c r="AN791" s="13">
        <v>1</v>
      </c>
      <c r="AO791" s="14">
        <v>3</v>
      </c>
      <c r="AP791" s="13">
        <v>3</v>
      </c>
      <c r="AQ791" s="13">
        <v>11</v>
      </c>
      <c r="AR791" s="15">
        <v>683</v>
      </c>
      <c r="AS791" s="15">
        <v>706</v>
      </c>
    </row>
    <row r="792" spans="1:45" x14ac:dyDescent="0.25">
      <c r="A792">
        <v>1868</v>
      </c>
      <c r="B792" s="11">
        <f t="shared" si="12"/>
        <v>61671</v>
      </c>
      <c r="C792" s="12">
        <v>616710</v>
      </c>
      <c r="D792" s="13">
        <v>0</v>
      </c>
      <c r="E792" s="13">
        <v>1</v>
      </c>
      <c r="F792" s="13">
        <v>23</v>
      </c>
      <c r="G792" s="13">
        <v>52</v>
      </c>
      <c r="H792" s="13" t="str" cm="1">
        <f t="array" ref="H792">_xlfn.IFS(G792&lt;=20,"0-20",G792&lt;=30,"20-30",G792&lt;=40,"30-40",G792&lt;=50,"50-60",G792&lt;=60,"60-70",G792&lt;=70,"70-80",G792&lt;=80,"80-90")</f>
        <v>60-70</v>
      </c>
      <c r="I792" s="13">
        <v>2185</v>
      </c>
      <c r="J792" s="13" t="str" cm="1">
        <f t="array" ref="J792">_xlfn.IFS(K792=1,"Divorciado",L792=1,"Casado",M792=1,"Solteiro",N792=1,"Juntos",O792=1,"Viuvo")</f>
        <v>Divorciado</v>
      </c>
      <c r="K792" s="13">
        <v>1</v>
      </c>
      <c r="L792" s="13">
        <v>0</v>
      </c>
      <c r="M792" s="13">
        <v>0</v>
      </c>
      <c r="N792" s="13">
        <v>0</v>
      </c>
      <c r="O792" s="13">
        <v>0</v>
      </c>
      <c r="P792" s="13">
        <v>0</v>
      </c>
      <c r="Q792" s="13">
        <v>0</v>
      </c>
      <c r="R792" s="13">
        <v>1</v>
      </c>
      <c r="S792" s="13">
        <v>0</v>
      </c>
      <c r="T792" s="13">
        <v>0</v>
      </c>
      <c r="U792" s="13">
        <v>641</v>
      </c>
      <c r="V792" s="13" t="str" cm="1">
        <f t="array" ref="V792">_xlfn.IFS(U792&lt;=250,"0-R$250",U792&lt;=500,"251-R$500",U792&lt;=750,"501-R$750",U792&lt;=1000,"751-R$1000",U792&lt;=1250,"1001-R$1250",U792&lt;=1500,"1251-R$1500")</f>
        <v>501-R$750</v>
      </c>
      <c r="W792" s="13">
        <v>7</v>
      </c>
      <c r="X792" s="13" t="str" cm="1">
        <f t="array" ref="X792">_xlfn.IFS(W792 = 0, "0", W792&lt;=20, "até R$20",W792&lt;=40, "21 - R$40",W792&lt;=60, "41- R$60",W792&lt;=80, "61 - R$80", W792&lt;=100, "81 - R$100",W792&lt;=120, "101 - R$120",W792&lt;=140, "121 - R$140", W792&lt;=160, "141- R$160", W792&lt;=180, "161 - R$180", W792&lt;=200, "181-R$194")</f>
        <v>até R$20</v>
      </c>
      <c r="Y792" s="13">
        <v>56</v>
      </c>
      <c r="Z792" s="13">
        <v>0</v>
      </c>
      <c r="AA792" s="13">
        <v>0</v>
      </c>
      <c r="AB792" s="13">
        <v>28</v>
      </c>
      <c r="AC792" s="13">
        <v>8</v>
      </c>
      <c r="AD792" s="13">
        <v>10</v>
      </c>
      <c r="AE792" s="13">
        <v>4</v>
      </c>
      <c r="AF792" s="13">
        <v>6</v>
      </c>
      <c r="AG792" s="13">
        <v>8</v>
      </c>
      <c r="AH792" s="13">
        <v>0</v>
      </c>
      <c r="AI792" s="13">
        <v>0</v>
      </c>
      <c r="AJ792" s="13">
        <v>1</v>
      </c>
      <c r="AK792" s="13">
        <v>0</v>
      </c>
      <c r="AL792" s="13">
        <v>1</v>
      </c>
      <c r="AM792" s="13">
        <v>0</v>
      </c>
      <c r="AN792" s="13">
        <v>0</v>
      </c>
      <c r="AO792" s="14">
        <v>2</v>
      </c>
      <c r="AP792" s="13">
        <v>3</v>
      </c>
      <c r="AQ792" s="13">
        <v>11</v>
      </c>
      <c r="AR792" s="15">
        <v>676</v>
      </c>
      <c r="AS792" s="15">
        <v>704</v>
      </c>
    </row>
    <row r="793" spans="1:45" x14ac:dyDescent="0.25">
      <c r="A793">
        <v>2142</v>
      </c>
      <c r="B793" s="11">
        <f t="shared" si="12"/>
        <v>65210</v>
      </c>
      <c r="C793" s="12">
        <v>652100</v>
      </c>
      <c r="D793" s="13">
        <v>0</v>
      </c>
      <c r="E793" s="13">
        <v>1</v>
      </c>
      <c r="F793" s="13">
        <v>25</v>
      </c>
      <c r="G793" s="13">
        <v>65</v>
      </c>
      <c r="H793" s="13" t="str" cm="1">
        <f t="array" ref="H793">_xlfn.IFS(G793&lt;=20,"0-20",G793&lt;=30,"20-30",G793&lt;=40,"30-40",G793&lt;=50,"50-60",G793&lt;=60,"60-70",G793&lt;=70,"70-80",G793&lt;=80,"80-90")</f>
        <v>70-80</v>
      </c>
      <c r="I793" s="13">
        <v>2270</v>
      </c>
      <c r="J793" s="13" t="str" cm="1">
        <f t="array" ref="J793">_xlfn.IFS(K793=1,"Divorciado",L793=1,"Casado",M793=1,"Solteiro",N793=1,"Juntos",O793=1,"Viuvo")</f>
        <v>Casado</v>
      </c>
      <c r="K793" s="13">
        <v>0</v>
      </c>
      <c r="L793" s="13">
        <v>1</v>
      </c>
      <c r="M793" s="13">
        <v>0</v>
      </c>
      <c r="N793" s="13">
        <v>0</v>
      </c>
      <c r="O793" s="13">
        <v>0</v>
      </c>
      <c r="P793" s="13">
        <v>0</v>
      </c>
      <c r="Q793" s="13">
        <v>0</v>
      </c>
      <c r="R793" s="13">
        <v>1</v>
      </c>
      <c r="S793" s="13">
        <v>0</v>
      </c>
      <c r="T793" s="13">
        <v>0</v>
      </c>
      <c r="U793" s="13">
        <v>626</v>
      </c>
      <c r="V793" s="13" t="str" cm="1">
        <f t="array" ref="V793">_xlfn.IFS(U793&lt;=250,"0-R$250",U793&lt;=500,"251-R$500",U793&lt;=750,"501-R$750",U793&lt;=1000,"751-R$1000",U793&lt;=1250,"1001-R$1250",U793&lt;=1500,"1251-R$1500")</f>
        <v>501-R$750</v>
      </c>
      <c r="W793" s="13">
        <v>0</v>
      </c>
      <c r="X793" s="13" t="str" cm="1">
        <f t="array" ref="X793">_xlfn.IFS(W793 = 0, "0", W793&lt;=20, "até R$20",W793&lt;=40, "21 - R$40",W793&lt;=60, "41- R$60",W793&lt;=80, "61 - R$80", W793&lt;=100, "81 - R$100",W793&lt;=120, "101 - R$120",W793&lt;=140, "121 - R$140", W793&lt;=160, "141- R$160", W793&lt;=180, "161 - R$180", W793&lt;=200, "181-R$194")</f>
        <v>0</v>
      </c>
      <c r="Y793" s="13">
        <v>70</v>
      </c>
      <c r="Z793" s="13">
        <v>0</v>
      </c>
      <c r="AA793" s="13">
        <v>7</v>
      </c>
      <c r="AB793" s="13">
        <v>28</v>
      </c>
      <c r="AC793" s="13">
        <v>2</v>
      </c>
      <c r="AD793" s="13">
        <v>9</v>
      </c>
      <c r="AE793" s="13">
        <v>3</v>
      </c>
      <c r="AF793" s="13">
        <v>8</v>
      </c>
      <c r="AG793" s="13">
        <v>6</v>
      </c>
      <c r="AH793" s="13">
        <v>0</v>
      </c>
      <c r="AI793" s="13">
        <v>0</v>
      </c>
      <c r="AJ793" s="13">
        <v>1</v>
      </c>
      <c r="AK793" s="13">
        <v>0</v>
      </c>
      <c r="AL793" s="13">
        <v>1</v>
      </c>
      <c r="AM793" s="13">
        <v>0</v>
      </c>
      <c r="AN793" s="13">
        <v>0</v>
      </c>
      <c r="AO793" s="14">
        <v>2</v>
      </c>
      <c r="AP793" s="13">
        <v>3</v>
      </c>
      <c r="AQ793" s="13">
        <v>11</v>
      </c>
      <c r="AR793" s="15">
        <v>675</v>
      </c>
      <c r="AS793" s="15">
        <v>703</v>
      </c>
    </row>
    <row r="794" spans="1:45" x14ac:dyDescent="0.25">
      <c r="A794">
        <v>6</v>
      </c>
      <c r="B794" s="11">
        <f t="shared" si="12"/>
        <v>62513</v>
      </c>
      <c r="C794" s="12">
        <v>625130</v>
      </c>
      <c r="D794" s="13">
        <v>0</v>
      </c>
      <c r="E794" s="13">
        <v>1</v>
      </c>
      <c r="F794" s="13">
        <v>16</v>
      </c>
      <c r="G794" s="13">
        <v>53</v>
      </c>
      <c r="H794" s="13" t="str" cm="1">
        <f t="array" ref="H794">_xlfn.IFS(G794&lt;=20,"0-20",G794&lt;=30,"20-30",G794&lt;=40,"30-40",G794&lt;=50,"50-60",G794&lt;=60,"60-70",G794&lt;=70,"70-80",G794&lt;=80,"80-90")</f>
        <v>60-70</v>
      </c>
      <c r="I794" s="13">
        <v>2452</v>
      </c>
      <c r="J794" s="13" t="str" cm="1">
        <f t="array" ref="J794">_xlfn.IFS(K794=1,"Divorciado",L794=1,"Casado",M794=1,"Solteiro",N794=1,"Juntos",O794=1,"Viuvo")</f>
        <v>Juntos</v>
      </c>
      <c r="K794" s="13">
        <v>0</v>
      </c>
      <c r="L794" s="13">
        <v>0</v>
      </c>
      <c r="M794" s="13">
        <v>0</v>
      </c>
      <c r="N794" s="13">
        <v>1</v>
      </c>
      <c r="O794" s="13">
        <v>0</v>
      </c>
      <c r="P794" s="13">
        <v>0</v>
      </c>
      <c r="Q794" s="13">
        <v>0</v>
      </c>
      <c r="R794" s="13">
        <v>0</v>
      </c>
      <c r="S794" s="13">
        <v>1</v>
      </c>
      <c r="T794" s="13">
        <v>0</v>
      </c>
      <c r="U794" s="13">
        <v>520</v>
      </c>
      <c r="V794" s="13" t="str" cm="1">
        <f t="array" ref="V794">_xlfn.IFS(U794&lt;=250,"0-R$250",U794&lt;=500,"251-R$500",U794&lt;=750,"501-R$750",U794&lt;=1000,"751-R$1000",U794&lt;=1250,"1001-R$1250",U794&lt;=1500,"1251-R$1500")</f>
        <v>501-R$750</v>
      </c>
      <c r="W794" s="13">
        <v>42</v>
      </c>
      <c r="X794" s="13" t="str" cm="1">
        <f t="array" ref="X794">_xlfn.IFS(W794 = 0, "0", W794&lt;=20, "até R$20",W794&lt;=40, "21 - R$40",W794&lt;=60, "41- R$60",W794&lt;=80, "61 - R$80", W794&lt;=100, "81 - R$100",W794&lt;=120, "101 - R$120",W794&lt;=140, "121 - R$140", W794&lt;=160, "141- R$160", W794&lt;=180, "161 - R$180", W794&lt;=200, "181-R$194")</f>
        <v>41- R$60</v>
      </c>
      <c r="Y794" s="13">
        <v>98</v>
      </c>
      <c r="Z794" s="13">
        <v>0</v>
      </c>
      <c r="AA794" s="13">
        <v>42</v>
      </c>
      <c r="AB794" s="13">
        <v>14</v>
      </c>
      <c r="AC794" s="13">
        <v>2</v>
      </c>
      <c r="AD794" s="13">
        <v>6</v>
      </c>
      <c r="AE794" s="13">
        <v>4</v>
      </c>
      <c r="AF794" s="13">
        <v>10</v>
      </c>
      <c r="AG794" s="13">
        <v>6</v>
      </c>
      <c r="AH794" s="13">
        <v>0</v>
      </c>
      <c r="AI794" s="13">
        <v>0</v>
      </c>
      <c r="AJ794" s="13">
        <v>0</v>
      </c>
      <c r="AK794" s="13">
        <v>0</v>
      </c>
      <c r="AL794" s="13">
        <v>0</v>
      </c>
      <c r="AM794" s="13">
        <v>0</v>
      </c>
      <c r="AN794" s="13">
        <v>0</v>
      </c>
      <c r="AO794" s="14">
        <v>0</v>
      </c>
      <c r="AP794" s="13">
        <v>3</v>
      </c>
      <c r="AQ794" s="13">
        <v>11</v>
      </c>
      <c r="AR794" s="15">
        <v>688</v>
      </c>
      <c r="AS794" s="15">
        <v>702</v>
      </c>
    </row>
    <row r="795" spans="1:45" x14ac:dyDescent="0.25">
      <c r="A795">
        <v>79</v>
      </c>
      <c r="B795" s="11">
        <f t="shared" si="12"/>
        <v>81361</v>
      </c>
      <c r="C795" s="16">
        <v>813610</v>
      </c>
      <c r="D795" s="17">
        <v>0</v>
      </c>
      <c r="E795" s="17">
        <v>0</v>
      </c>
      <c r="F795" s="17">
        <v>18</v>
      </c>
      <c r="G795" s="17">
        <v>33</v>
      </c>
      <c r="H795" s="13" t="str" cm="1">
        <f t="array" ref="H795">_xlfn.IFS(G795&lt;=20,"0-20",G795&lt;=30,"20-30",G795&lt;=40,"30-40",G795&lt;=50,"50-60",G795&lt;=60,"60-70",G795&lt;=70,"70-80",G795&lt;=80,"80-90")</f>
        <v>30-40</v>
      </c>
      <c r="I795" s="17">
        <v>2283</v>
      </c>
      <c r="J795" s="13" t="str" cm="1">
        <f t="array" ref="J795">_xlfn.IFS(K795=1,"Divorciado",L795=1,"Casado",M795=1,"Solteiro",N795=1,"Juntos",O795=1,"Viuvo")</f>
        <v>Divorciado</v>
      </c>
      <c r="K795" s="17">
        <v>1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1</v>
      </c>
      <c r="S795" s="17">
        <v>0</v>
      </c>
      <c r="T795" s="17">
        <v>0</v>
      </c>
      <c r="U795" s="17">
        <v>163</v>
      </c>
      <c r="V795" s="13" t="str" cm="1">
        <f t="array" ref="V795">_xlfn.IFS(U795&lt;=250,"0-R$250",U795&lt;=500,"251-R$500",U795&lt;=750,"501-R$750",U795&lt;=1000,"751-R$1000",U795&lt;=1250,"1001-R$1250",U795&lt;=1500,"1251-R$1500")</f>
        <v>0-R$250</v>
      </c>
      <c r="W795" s="17">
        <v>23</v>
      </c>
      <c r="X795" s="13" t="str" cm="1">
        <f t="array" ref="X795">_xlfn.IFS(W795 = 0, "0", W795&lt;=20, "até R$20",W795&lt;=40, "21 - R$40",W795&lt;=60, "41- R$60",W795&lt;=80, "61 - R$80", W795&lt;=100, "81 - R$100",W795&lt;=120, "101 - R$120",W795&lt;=140, "121 - R$140", W795&lt;=160, "141- R$160", W795&lt;=180, "161 - R$180", W795&lt;=200, "181-R$194")</f>
        <v>21 - R$40</v>
      </c>
      <c r="Y795" s="17">
        <v>424</v>
      </c>
      <c r="Z795" s="17">
        <v>27</v>
      </c>
      <c r="AA795" s="17">
        <v>65</v>
      </c>
      <c r="AB795" s="17">
        <v>76</v>
      </c>
      <c r="AC795" s="17">
        <v>1</v>
      </c>
      <c r="AD795" s="17">
        <v>3</v>
      </c>
      <c r="AE795" s="17">
        <v>10</v>
      </c>
      <c r="AF795" s="17">
        <v>13</v>
      </c>
      <c r="AG795" s="17">
        <v>1</v>
      </c>
      <c r="AH795" s="17">
        <v>0</v>
      </c>
      <c r="AI795" s="17">
        <v>0</v>
      </c>
      <c r="AJ795" s="17">
        <v>0</v>
      </c>
      <c r="AK795" s="17">
        <v>0</v>
      </c>
      <c r="AL795" s="17">
        <v>0</v>
      </c>
      <c r="AM795" s="17">
        <v>0</v>
      </c>
      <c r="AN795" s="17">
        <v>0</v>
      </c>
      <c r="AO795" s="18">
        <v>0</v>
      </c>
      <c r="AP795" s="17">
        <v>3</v>
      </c>
      <c r="AQ795" s="17">
        <v>11</v>
      </c>
      <c r="AR795" s="19">
        <v>626</v>
      </c>
      <c r="AS795" s="19">
        <v>702</v>
      </c>
    </row>
    <row r="796" spans="1:45" x14ac:dyDescent="0.25">
      <c r="A796">
        <v>502</v>
      </c>
      <c r="B796" s="11">
        <f t="shared" si="12"/>
        <v>71367</v>
      </c>
      <c r="C796" s="12">
        <v>713670</v>
      </c>
      <c r="D796" s="13">
        <v>0</v>
      </c>
      <c r="E796" s="13">
        <v>0</v>
      </c>
      <c r="F796" s="13">
        <v>24</v>
      </c>
      <c r="G796" s="13">
        <v>61</v>
      </c>
      <c r="H796" s="13" t="str" cm="1">
        <f t="array" ref="H796">_xlfn.IFS(G796&lt;=20,"0-20",G796&lt;=30,"20-30",G796&lt;=40,"30-40",G796&lt;=50,"50-60",G796&lt;=60,"60-70",G796&lt;=70,"70-80",G796&lt;=80,"80-90")</f>
        <v>70-80</v>
      </c>
      <c r="I796" s="13">
        <v>2469</v>
      </c>
      <c r="J796" s="13" t="str" cm="1">
        <f t="array" ref="J796">_xlfn.IFS(K796=1,"Divorciado",L796=1,"Casado",M796=1,"Solteiro",N796=1,"Juntos",O796=1,"Viuvo")</f>
        <v>Juntos</v>
      </c>
      <c r="K796" s="13">
        <v>0</v>
      </c>
      <c r="L796" s="13">
        <v>0</v>
      </c>
      <c r="M796" s="13">
        <v>0</v>
      </c>
      <c r="N796" s="13">
        <v>1</v>
      </c>
      <c r="O796" s="13">
        <v>0</v>
      </c>
      <c r="P796" s="13">
        <v>0</v>
      </c>
      <c r="Q796" s="13">
        <v>0</v>
      </c>
      <c r="R796" s="13">
        <v>1</v>
      </c>
      <c r="S796" s="13">
        <v>0</v>
      </c>
      <c r="T796" s="13">
        <v>0</v>
      </c>
      <c r="U796" s="13">
        <v>227</v>
      </c>
      <c r="V796" s="13" t="str" cm="1">
        <f t="array" ref="V796">_xlfn.IFS(U796&lt;=250,"0-R$250",U796&lt;=500,"251-R$500",U796&lt;=750,"501-R$750",U796&lt;=1000,"751-R$1000",U796&lt;=1250,"1001-R$1250",U796&lt;=1500,"1251-R$1500")</f>
        <v>0-R$250</v>
      </c>
      <c r="W796" s="13">
        <v>23</v>
      </c>
      <c r="X796" s="13" t="str" cm="1">
        <f t="array" ref="X796">_xlfn.IFS(W796 = 0, "0", W796&lt;=20, "até R$20",W796&lt;=40, "21 - R$40",W796&lt;=60, "41- R$60",W796&lt;=80, "61 - R$80", W796&lt;=100, "81 - R$100",W796&lt;=120, "101 - R$120",W796&lt;=140, "121 - R$140", W796&lt;=160, "141- R$160", W796&lt;=180, "161 - R$180", W796&lt;=200, "181-R$194")</f>
        <v>21 - R$40</v>
      </c>
      <c r="Y796" s="13">
        <v>389</v>
      </c>
      <c r="Z796" s="13">
        <v>42</v>
      </c>
      <c r="AA796" s="13">
        <v>21</v>
      </c>
      <c r="AB796" s="13">
        <v>75</v>
      </c>
      <c r="AC796" s="13">
        <v>1</v>
      </c>
      <c r="AD796" s="13">
        <v>4</v>
      </c>
      <c r="AE796" s="13">
        <v>5</v>
      </c>
      <c r="AF796" s="13">
        <v>7</v>
      </c>
      <c r="AG796" s="13">
        <v>2</v>
      </c>
      <c r="AH796" s="13">
        <v>0</v>
      </c>
      <c r="AI796" s="13">
        <v>0</v>
      </c>
      <c r="AJ796" s="13">
        <v>0</v>
      </c>
      <c r="AK796" s="13">
        <v>0</v>
      </c>
      <c r="AL796" s="13">
        <v>0</v>
      </c>
      <c r="AM796" s="13">
        <v>0</v>
      </c>
      <c r="AN796" s="13">
        <v>0</v>
      </c>
      <c r="AO796" s="14">
        <v>0</v>
      </c>
      <c r="AP796" s="13">
        <v>3</v>
      </c>
      <c r="AQ796" s="13">
        <v>11</v>
      </c>
      <c r="AR796" s="15">
        <v>627</v>
      </c>
      <c r="AS796" s="15">
        <v>702</v>
      </c>
    </row>
    <row r="797" spans="1:45" x14ac:dyDescent="0.25">
      <c r="A797">
        <v>1073</v>
      </c>
      <c r="B797" s="11">
        <f t="shared" si="12"/>
        <v>71367</v>
      </c>
      <c r="C797" s="16">
        <v>713670</v>
      </c>
      <c r="D797" s="17">
        <v>0</v>
      </c>
      <c r="E797" s="17">
        <v>0</v>
      </c>
      <c r="F797" s="17">
        <v>24</v>
      </c>
      <c r="G797" s="17">
        <v>61</v>
      </c>
      <c r="H797" s="13" t="str" cm="1">
        <f t="array" ref="H797">_xlfn.IFS(G797&lt;=20,"0-20",G797&lt;=30,"20-30",G797&lt;=40,"30-40",G797&lt;=50,"50-60",G797&lt;=60,"60-70",G797&lt;=70,"70-80",G797&lt;=80,"80-90")</f>
        <v>70-80</v>
      </c>
      <c r="I797" s="17">
        <v>2469</v>
      </c>
      <c r="J797" s="13" t="str" cm="1">
        <f t="array" ref="J797">_xlfn.IFS(K797=1,"Divorciado",L797=1,"Casado",M797=1,"Solteiro",N797=1,"Juntos",O797=1,"Viuvo")</f>
        <v>Juntos</v>
      </c>
      <c r="K797" s="17">
        <v>0</v>
      </c>
      <c r="L797" s="17">
        <v>0</v>
      </c>
      <c r="M797" s="17">
        <v>0</v>
      </c>
      <c r="N797" s="17">
        <v>1</v>
      </c>
      <c r="O797" s="17">
        <v>0</v>
      </c>
      <c r="P797" s="17">
        <v>0</v>
      </c>
      <c r="Q797" s="17">
        <v>0</v>
      </c>
      <c r="R797" s="17">
        <v>1</v>
      </c>
      <c r="S797" s="17">
        <v>0</v>
      </c>
      <c r="T797" s="17">
        <v>0</v>
      </c>
      <c r="U797" s="17">
        <v>227</v>
      </c>
      <c r="V797" s="13" t="str" cm="1">
        <f t="array" ref="V797">_xlfn.IFS(U797&lt;=250,"0-R$250",U797&lt;=500,"251-R$500",U797&lt;=750,"501-R$750",U797&lt;=1000,"751-R$1000",U797&lt;=1250,"1001-R$1250",U797&lt;=1500,"1251-R$1500")</f>
        <v>0-R$250</v>
      </c>
      <c r="W797" s="17">
        <v>23</v>
      </c>
      <c r="X797" s="13" t="str" cm="1">
        <f t="array" ref="X797">_xlfn.IFS(W797 = 0, "0", W797&lt;=20, "até R$20",W797&lt;=40, "21 - R$40",W797&lt;=60, "41- R$60",W797&lt;=80, "61 - R$80", W797&lt;=100, "81 - R$100",W797&lt;=120, "101 - R$120",W797&lt;=140, "121 - R$140", W797&lt;=160, "141- R$160", W797&lt;=180, "161 - R$180", W797&lt;=200, "181-R$194")</f>
        <v>21 - R$40</v>
      </c>
      <c r="Y797" s="17">
        <v>389</v>
      </c>
      <c r="Z797" s="17">
        <v>42</v>
      </c>
      <c r="AA797" s="17">
        <v>21</v>
      </c>
      <c r="AB797" s="17">
        <v>75</v>
      </c>
      <c r="AC797" s="17">
        <v>1</v>
      </c>
      <c r="AD797" s="17">
        <v>4</v>
      </c>
      <c r="AE797" s="17">
        <v>5</v>
      </c>
      <c r="AF797" s="17">
        <v>7</v>
      </c>
      <c r="AG797" s="17">
        <v>2</v>
      </c>
      <c r="AH797" s="17">
        <v>0</v>
      </c>
      <c r="AI797" s="17">
        <v>0</v>
      </c>
      <c r="AJ797" s="17">
        <v>0</v>
      </c>
      <c r="AK797" s="17">
        <v>0</v>
      </c>
      <c r="AL797" s="17">
        <v>0</v>
      </c>
      <c r="AM797" s="17">
        <v>0</v>
      </c>
      <c r="AN797" s="17">
        <v>0</v>
      </c>
      <c r="AO797" s="18">
        <v>0</v>
      </c>
      <c r="AP797" s="17">
        <v>3</v>
      </c>
      <c r="AQ797" s="17">
        <v>11</v>
      </c>
      <c r="AR797" s="19">
        <v>627</v>
      </c>
      <c r="AS797" s="19">
        <v>702</v>
      </c>
    </row>
    <row r="798" spans="1:45" x14ac:dyDescent="0.25">
      <c r="A798">
        <v>1560</v>
      </c>
      <c r="B798" s="11">
        <f t="shared" si="12"/>
        <v>81361</v>
      </c>
      <c r="C798" s="12">
        <v>813610</v>
      </c>
      <c r="D798" s="13">
        <v>0</v>
      </c>
      <c r="E798" s="13">
        <v>0</v>
      </c>
      <c r="F798" s="13">
        <v>18</v>
      </c>
      <c r="G798" s="13">
        <v>33</v>
      </c>
      <c r="H798" s="13" t="str" cm="1">
        <f t="array" ref="H798">_xlfn.IFS(G798&lt;=20,"0-20",G798&lt;=30,"20-30",G798&lt;=40,"30-40",G798&lt;=50,"50-60",G798&lt;=60,"60-70",G798&lt;=70,"70-80",G798&lt;=80,"80-90")</f>
        <v>30-40</v>
      </c>
      <c r="I798" s="13">
        <v>2283</v>
      </c>
      <c r="J798" s="13" t="str" cm="1">
        <f t="array" ref="J798">_xlfn.IFS(K798=1,"Divorciado",L798=1,"Casado",M798=1,"Solteiro",N798=1,"Juntos",O798=1,"Viuvo")</f>
        <v>Divorciado</v>
      </c>
      <c r="K798" s="13">
        <v>1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1</v>
      </c>
      <c r="S798" s="13">
        <v>0</v>
      </c>
      <c r="T798" s="13">
        <v>0</v>
      </c>
      <c r="U798" s="13">
        <v>163</v>
      </c>
      <c r="V798" s="13" t="str" cm="1">
        <f t="array" ref="V798">_xlfn.IFS(U798&lt;=250,"0-R$250",U798&lt;=500,"251-R$500",U798&lt;=750,"501-R$750",U798&lt;=1000,"751-R$1000",U798&lt;=1250,"1001-R$1250",U798&lt;=1500,"1251-R$1500")</f>
        <v>0-R$250</v>
      </c>
      <c r="W798" s="13">
        <v>23</v>
      </c>
      <c r="X798" s="13" t="str" cm="1">
        <f t="array" ref="X798">_xlfn.IFS(W798 = 0, "0", W798&lt;=20, "até R$20",W798&lt;=40, "21 - R$40",W798&lt;=60, "41- R$60",W798&lt;=80, "61 - R$80", W798&lt;=100, "81 - R$100",W798&lt;=120, "101 - R$120",W798&lt;=140, "121 - R$140", W798&lt;=160, "141- R$160", W798&lt;=180, "161 - R$180", W798&lt;=200, "181-R$194")</f>
        <v>21 - R$40</v>
      </c>
      <c r="Y798" s="13">
        <v>424</v>
      </c>
      <c r="Z798" s="13">
        <v>27</v>
      </c>
      <c r="AA798" s="13">
        <v>65</v>
      </c>
      <c r="AB798" s="13">
        <v>76</v>
      </c>
      <c r="AC798" s="13">
        <v>1</v>
      </c>
      <c r="AD798" s="13">
        <v>3</v>
      </c>
      <c r="AE798" s="13">
        <v>10</v>
      </c>
      <c r="AF798" s="13">
        <v>13</v>
      </c>
      <c r="AG798" s="13">
        <v>1</v>
      </c>
      <c r="AH798" s="13">
        <v>0</v>
      </c>
      <c r="AI798" s="13">
        <v>0</v>
      </c>
      <c r="AJ798" s="13">
        <v>0</v>
      </c>
      <c r="AK798" s="13">
        <v>0</v>
      </c>
      <c r="AL798" s="13">
        <v>0</v>
      </c>
      <c r="AM798" s="13">
        <v>0</v>
      </c>
      <c r="AN798" s="13">
        <v>1</v>
      </c>
      <c r="AO798" s="14">
        <v>0</v>
      </c>
      <c r="AP798" s="13">
        <v>3</v>
      </c>
      <c r="AQ798" s="13">
        <v>11</v>
      </c>
      <c r="AR798" s="15">
        <v>626</v>
      </c>
      <c r="AS798" s="15">
        <v>702</v>
      </c>
    </row>
    <row r="799" spans="1:45" x14ac:dyDescent="0.25">
      <c r="A799">
        <v>828</v>
      </c>
      <c r="B799" s="11">
        <f t="shared" si="12"/>
        <v>55284</v>
      </c>
      <c r="C799" s="12">
        <v>552840</v>
      </c>
      <c r="D799" s="13">
        <v>0</v>
      </c>
      <c r="E799" s="13">
        <v>1</v>
      </c>
      <c r="F799" s="13">
        <v>60</v>
      </c>
      <c r="G799" s="13">
        <v>64</v>
      </c>
      <c r="H799" s="13" t="str" cm="1">
        <f t="array" ref="H799">_xlfn.IFS(G799&lt;=20,"0-20",G799&lt;=30,"20-30",G799&lt;=40,"30-40",G799&lt;=50,"50-60",G799&lt;=60,"60-70",G799&lt;=70,"70-80",G799&lt;=80,"80-90")</f>
        <v>70-80</v>
      </c>
      <c r="I799" s="13">
        <v>2711</v>
      </c>
      <c r="J799" s="13" t="str" cm="1">
        <f t="array" ref="J799">_xlfn.IFS(K799=1,"Divorciado",L799=1,"Casado",M799=1,"Solteiro",N799=1,"Juntos",O799=1,"Viuvo")</f>
        <v>Solteiro</v>
      </c>
      <c r="K799" s="13">
        <v>0</v>
      </c>
      <c r="L799" s="13">
        <v>0</v>
      </c>
      <c r="M799" s="13">
        <v>1</v>
      </c>
      <c r="N799" s="13">
        <v>0</v>
      </c>
      <c r="O799" s="13">
        <v>0</v>
      </c>
      <c r="P799" s="13">
        <v>0</v>
      </c>
      <c r="Q799" s="13">
        <v>0</v>
      </c>
      <c r="R799" s="13">
        <v>0</v>
      </c>
      <c r="S799" s="13">
        <v>1</v>
      </c>
      <c r="T799" s="13">
        <v>0</v>
      </c>
      <c r="U799" s="13">
        <v>547</v>
      </c>
      <c r="V799" s="13" t="str" cm="1">
        <f t="array" ref="V799">_xlfn.IFS(U799&lt;=250,"0-R$250",U799&lt;=500,"251-R$500",U799&lt;=750,"501-R$750",U799&lt;=1000,"751-R$1000",U799&lt;=1250,"1001-R$1250",U799&lt;=1500,"1251-R$1500")</f>
        <v>501-R$750</v>
      </c>
      <c r="W799" s="13">
        <v>7</v>
      </c>
      <c r="X799" s="13" t="str" cm="1">
        <f t="array" ref="X799">_xlfn.IFS(W799 = 0, "0", W799&lt;=20, "até R$20",W799&lt;=40, "21 - R$40",W799&lt;=60, "41- R$60",W799&lt;=80, "61 - R$80", W799&lt;=100, "81 - R$100",W799&lt;=120, "101 - R$120",W799&lt;=140, "121 - R$140", W799&lt;=160, "141- R$160", W799&lt;=180, "161 - R$180", W799&lt;=200, "181-R$194")</f>
        <v>até R$20</v>
      </c>
      <c r="Y799" s="13">
        <v>140</v>
      </c>
      <c r="Z799" s="13">
        <v>0</v>
      </c>
      <c r="AA799" s="13">
        <v>7</v>
      </c>
      <c r="AB799" s="13">
        <v>63</v>
      </c>
      <c r="AC799" s="13">
        <v>3</v>
      </c>
      <c r="AD799" s="13">
        <v>7</v>
      </c>
      <c r="AE799" s="13">
        <v>5</v>
      </c>
      <c r="AF799" s="13">
        <v>8</v>
      </c>
      <c r="AG799" s="13">
        <v>5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3">
        <v>0</v>
      </c>
      <c r="AN799" s="13">
        <v>0</v>
      </c>
      <c r="AO799" s="14">
        <v>0</v>
      </c>
      <c r="AP799" s="13">
        <v>3</v>
      </c>
      <c r="AQ799" s="13">
        <v>11</v>
      </c>
      <c r="AR799" s="15">
        <v>638</v>
      </c>
      <c r="AS799" s="15">
        <v>701</v>
      </c>
    </row>
    <row r="800" spans="1:45" x14ac:dyDescent="0.25">
      <c r="A800">
        <v>210</v>
      </c>
      <c r="B800" s="11">
        <f t="shared" si="12"/>
        <v>77622</v>
      </c>
      <c r="C800" s="12">
        <v>776220</v>
      </c>
      <c r="D800" s="13">
        <v>0</v>
      </c>
      <c r="E800" s="13">
        <v>2</v>
      </c>
      <c r="F800" s="13">
        <v>3</v>
      </c>
      <c r="G800" s="13">
        <v>50</v>
      </c>
      <c r="H800" s="13" t="str" cm="1">
        <f t="array" ref="H800">_xlfn.IFS(G800&lt;=20,"0-20",G800&lt;=30,"20-30",G800&lt;=40,"30-40",G800&lt;=50,"50-60",G800&lt;=60,"60-70",G800&lt;=70,"70-80",G800&lt;=80,"80-90")</f>
        <v>50-60</v>
      </c>
      <c r="I800" s="13">
        <v>2235</v>
      </c>
      <c r="J800" s="13" t="str" cm="1">
        <f t="array" ref="J800">_xlfn.IFS(K800=1,"Divorciado",L800=1,"Casado",M800=1,"Solteiro",N800=1,"Juntos",O800=1,"Viuvo")</f>
        <v>Juntos</v>
      </c>
      <c r="K800" s="13">
        <v>0</v>
      </c>
      <c r="L800" s="13">
        <v>0</v>
      </c>
      <c r="M800" s="13">
        <v>0</v>
      </c>
      <c r="N800" s="13">
        <v>1</v>
      </c>
      <c r="O800" s="13">
        <v>0</v>
      </c>
      <c r="P800" s="13">
        <v>0</v>
      </c>
      <c r="Q800" s="13">
        <v>0</v>
      </c>
      <c r="R800" s="13">
        <v>0</v>
      </c>
      <c r="S800" s="13">
        <v>0</v>
      </c>
      <c r="T800" s="13">
        <v>1</v>
      </c>
      <c r="U800" s="13">
        <v>520</v>
      </c>
      <c r="V800" s="13" t="str" cm="1">
        <f t="array" ref="V800">_xlfn.IFS(U800&lt;=250,"0-R$250",U800&lt;=500,"251-R$500",U800&lt;=750,"501-R$750",U800&lt;=1000,"751-R$1000",U800&lt;=1250,"1001-R$1250",U800&lt;=1500,"1251-R$1500")</f>
        <v>501-R$750</v>
      </c>
      <c r="W800" s="13">
        <v>7</v>
      </c>
      <c r="X800" s="13" t="str" cm="1">
        <f t="array" ref="X800">_xlfn.IFS(W800 = 0, "0", W800&lt;=20, "até R$20",W800&lt;=40, "21 - R$40",W800&lt;=60, "41- R$60",W800&lt;=80, "61 - R$80", W800&lt;=100, "81 - R$100",W800&lt;=120, "101 - R$120",W800&lt;=140, "121 - R$140", W800&lt;=160, "141- R$160", W800&lt;=180, "161 - R$180", W800&lt;=200, "181-R$194")</f>
        <v>até R$20</v>
      </c>
      <c r="Y800" s="13">
        <v>154</v>
      </c>
      <c r="Z800" s="13">
        <v>19</v>
      </c>
      <c r="AA800" s="13">
        <v>0</v>
      </c>
      <c r="AB800" s="13">
        <v>14</v>
      </c>
      <c r="AC800" s="13">
        <v>2</v>
      </c>
      <c r="AD800" s="13">
        <v>6</v>
      </c>
      <c r="AE800" s="13">
        <v>3</v>
      </c>
      <c r="AF800" s="13">
        <v>11</v>
      </c>
      <c r="AG800" s="13">
        <v>3</v>
      </c>
      <c r="AH800" s="13">
        <v>0</v>
      </c>
      <c r="AI800" s="13">
        <v>0</v>
      </c>
      <c r="AJ800" s="13">
        <v>0</v>
      </c>
      <c r="AK800" s="13">
        <v>0</v>
      </c>
      <c r="AL800" s="13">
        <v>0</v>
      </c>
      <c r="AM800" s="13">
        <v>0</v>
      </c>
      <c r="AN800" s="13">
        <v>0</v>
      </c>
      <c r="AO800" s="14">
        <v>0</v>
      </c>
      <c r="AP800" s="13">
        <v>3</v>
      </c>
      <c r="AQ800" s="13">
        <v>11</v>
      </c>
      <c r="AR800" s="15">
        <v>686</v>
      </c>
      <c r="AS800" s="15">
        <v>700</v>
      </c>
    </row>
    <row r="801" spans="1:45" x14ac:dyDescent="0.25">
      <c r="A801">
        <v>288</v>
      </c>
      <c r="B801" s="11">
        <f t="shared" si="12"/>
        <v>58821</v>
      </c>
      <c r="C801" s="12">
        <v>588210</v>
      </c>
      <c r="D801" s="13">
        <v>0</v>
      </c>
      <c r="E801" s="13">
        <v>1</v>
      </c>
      <c r="F801" s="13">
        <v>44</v>
      </c>
      <c r="G801" s="13">
        <v>64</v>
      </c>
      <c r="H801" s="13" t="str" cm="1">
        <f t="array" ref="H801">_xlfn.IFS(G801&lt;=20,"0-20",G801&lt;=30,"20-30",G801&lt;=40,"30-40",G801&lt;=50,"50-60",G801&lt;=60,"60-70",G801&lt;=70,"70-80",G801&lt;=80,"80-90")</f>
        <v>70-80</v>
      </c>
      <c r="I801" s="13">
        <v>2419</v>
      </c>
      <c r="J801" s="13" t="str" cm="1">
        <f t="array" ref="J801">_xlfn.IFS(K801=1,"Divorciado",L801=1,"Casado",M801=1,"Solteiro",N801=1,"Juntos",O801=1,"Viuvo")</f>
        <v>Juntos</v>
      </c>
      <c r="K801" s="13">
        <v>0</v>
      </c>
      <c r="L801" s="13">
        <v>0</v>
      </c>
      <c r="M801" s="13">
        <v>0</v>
      </c>
      <c r="N801" s="13">
        <v>1</v>
      </c>
      <c r="O801" s="13">
        <v>0</v>
      </c>
      <c r="P801" s="13">
        <v>1</v>
      </c>
      <c r="Q801" s="13">
        <v>0</v>
      </c>
      <c r="R801" s="13">
        <v>0</v>
      </c>
      <c r="S801" s="13">
        <v>0</v>
      </c>
      <c r="T801" s="13">
        <v>0</v>
      </c>
      <c r="U801" s="13">
        <v>513</v>
      </c>
      <c r="V801" s="13" t="str" cm="1">
        <f t="array" ref="V801">_xlfn.IFS(U801&lt;=250,"0-R$250",U801&lt;=500,"251-R$500",U801&lt;=750,"501-R$750",U801&lt;=1000,"751-R$1000",U801&lt;=1250,"1001-R$1250",U801&lt;=1500,"1251-R$1500")</f>
        <v>501-R$750</v>
      </c>
      <c r="W801" s="13">
        <v>14</v>
      </c>
      <c r="X801" s="13" t="str" cm="1">
        <f t="array" ref="X801">_xlfn.IFS(W801 = 0, "0", W801&lt;=20, "até R$20",W801&lt;=40, "21 - R$40",W801&lt;=60, "41- R$60",W801&lt;=80, "61 - R$80", W801&lt;=100, "81 - R$100",W801&lt;=120, "101 - R$120",W801&lt;=140, "121 - R$140", W801&lt;=160, "141- R$160", W801&lt;=180, "161 - R$180", W801&lt;=200, "181-R$194")</f>
        <v>até R$20</v>
      </c>
      <c r="Y801" s="13">
        <v>154</v>
      </c>
      <c r="Z801" s="13">
        <v>19</v>
      </c>
      <c r="AA801" s="13">
        <v>0</v>
      </c>
      <c r="AB801" s="13">
        <v>28</v>
      </c>
      <c r="AC801" s="13">
        <v>1</v>
      </c>
      <c r="AD801" s="13">
        <v>9</v>
      </c>
      <c r="AE801" s="13">
        <v>2</v>
      </c>
      <c r="AF801" s="13">
        <v>9</v>
      </c>
      <c r="AG801" s="13">
        <v>6</v>
      </c>
      <c r="AH801" s="13">
        <v>0</v>
      </c>
      <c r="AI801" s="13">
        <v>0</v>
      </c>
      <c r="AJ801" s="13">
        <v>0</v>
      </c>
      <c r="AK801" s="13">
        <v>0</v>
      </c>
      <c r="AL801" s="13">
        <v>0</v>
      </c>
      <c r="AM801" s="13">
        <v>0</v>
      </c>
      <c r="AN801" s="13">
        <v>0</v>
      </c>
      <c r="AO801" s="14">
        <v>0</v>
      </c>
      <c r="AP801" s="13">
        <v>3</v>
      </c>
      <c r="AQ801" s="13">
        <v>11</v>
      </c>
      <c r="AR801" s="15">
        <v>672</v>
      </c>
      <c r="AS801" s="15">
        <v>700</v>
      </c>
    </row>
    <row r="802" spans="1:45" x14ac:dyDescent="0.25">
      <c r="A802">
        <v>681</v>
      </c>
      <c r="B802" s="11">
        <f t="shared" si="12"/>
        <v>78901</v>
      </c>
      <c r="C802" s="16">
        <v>789010</v>
      </c>
      <c r="D802" s="17">
        <v>0</v>
      </c>
      <c r="E802" s="17">
        <v>1</v>
      </c>
      <c r="F802" s="17">
        <v>99</v>
      </c>
      <c r="G802" s="17">
        <v>47</v>
      </c>
      <c r="H802" s="13" t="str" cm="1">
        <f t="array" ref="H802">_xlfn.IFS(G802&lt;=20,"0-20",G802&lt;=30,"20-30",G802&lt;=40,"30-40",G802&lt;=50,"50-60",G802&lt;=60,"60-70",G802&lt;=70,"70-80",G802&lt;=80,"80-90")</f>
        <v>50-60</v>
      </c>
      <c r="I802" s="17">
        <v>2444</v>
      </c>
      <c r="J802" s="13" t="str" cm="1">
        <f t="array" ref="J802">_xlfn.IFS(K802=1,"Divorciado",L802=1,"Casado",M802=1,"Solteiro",N802=1,"Juntos",O802=1,"Viuvo")</f>
        <v>Divorciado</v>
      </c>
      <c r="K802" s="17">
        <v>1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1</v>
      </c>
      <c r="S802" s="17">
        <v>0</v>
      </c>
      <c r="T802" s="17">
        <v>0</v>
      </c>
      <c r="U802" s="17">
        <v>321</v>
      </c>
      <c r="V802" s="13" t="str" cm="1">
        <f t="array" ref="V802">_xlfn.IFS(U802&lt;=250,"0-R$250",U802&lt;=500,"251-R$500",U802&lt;=750,"501-R$750",U802&lt;=1000,"751-R$1000",U802&lt;=1250,"1001-R$1250",U802&lt;=1500,"1251-R$1500")</f>
        <v>251-R$500</v>
      </c>
      <c r="W802" s="17">
        <v>11</v>
      </c>
      <c r="X802" s="13" t="str" cm="1">
        <f t="array" ref="X802">_xlfn.IFS(W802 = 0, "0", W802&lt;=20, "até R$20",W802&lt;=40, "21 - R$40",W802&lt;=60, "41- R$60",W802&lt;=80, "61 - R$80", W802&lt;=100, "81 - R$100",W802&lt;=120, "101 - R$120",W802&lt;=140, "121 - R$140", W802&lt;=160, "141- R$160", W802&lt;=180, "161 - R$180", W802&lt;=200, "181-R$194")</f>
        <v>até R$20</v>
      </c>
      <c r="Y802" s="17">
        <v>309</v>
      </c>
      <c r="Z802" s="17">
        <v>33</v>
      </c>
      <c r="AA802" s="17">
        <v>26</v>
      </c>
      <c r="AB802" s="17">
        <v>34</v>
      </c>
      <c r="AC802" s="17">
        <v>3</v>
      </c>
      <c r="AD802" s="17">
        <v>9</v>
      </c>
      <c r="AE802" s="17">
        <v>3</v>
      </c>
      <c r="AF802" s="17">
        <v>5</v>
      </c>
      <c r="AG802" s="17">
        <v>4</v>
      </c>
      <c r="AH802" s="17">
        <v>0</v>
      </c>
      <c r="AI802" s="17">
        <v>0</v>
      </c>
      <c r="AJ802" s="17">
        <v>0</v>
      </c>
      <c r="AK802" s="17">
        <v>0</v>
      </c>
      <c r="AL802" s="17">
        <v>0</v>
      </c>
      <c r="AM802" s="17">
        <v>0</v>
      </c>
      <c r="AN802" s="17">
        <v>0</v>
      </c>
      <c r="AO802" s="18">
        <v>0</v>
      </c>
      <c r="AP802" s="17">
        <v>3</v>
      </c>
      <c r="AQ802" s="17">
        <v>11</v>
      </c>
      <c r="AR802" s="19">
        <v>666</v>
      </c>
      <c r="AS802" s="19">
        <v>700</v>
      </c>
    </row>
    <row r="803" spans="1:45" x14ac:dyDescent="0.25">
      <c r="A803">
        <v>1611</v>
      </c>
      <c r="B803" s="11">
        <f t="shared" si="12"/>
        <v>59821</v>
      </c>
      <c r="C803" s="16">
        <v>598210</v>
      </c>
      <c r="D803" s="17">
        <v>0</v>
      </c>
      <c r="E803" s="17">
        <v>1</v>
      </c>
      <c r="F803" s="17">
        <v>11</v>
      </c>
      <c r="G803" s="17">
        <v>65</v>
      </c>
      <c r="H803" s="13" t="str" cm="1">
        <f t="array" ref="H803">_xlfn.IFS(G803&lt;=20,"0-20",G803&lt;=30,"20-30",G803&lt;=40,"30-40",G803&lt;=50,"50-60",G803&lt;=60,"60-70",G803&lt;=70,"70-80",G803&lt;=80,"80-90")</f>
        <v>70-80</v>
      </c>
      <c r="I803" s="17">
        <v>2602</v>
      </c>
      <c r="J803" s="13" t="str" cm="1">
        <f t="array" ref="J803">_xlfn.IFS(K803=1,"Divorciado",L803=1,"Casado",M803=1,"Solteiro",N803=1,"Juntos",O803=1,"Viuvo")</f>
        <v>Casado</v>
      </c>
      <c r="K803" s="17">
        <v>0</v>
      </c>
      <c r="L803" s="17">
        <v>1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1</v>
      </c>
      <c r="U803" s="17">
        <v>629</v>
      </c>
      <c r="V803" s="13" t="str" cm="1">
        <f t="array" ref="V803">_xlfn.IFS(U803&lt;=250,"0-R$250",U803&lt;=500,"251-R$500",U803&lt;=750,"501-R$750",U803&lt;=1000,"751-R$1000",U803&lt;=1250,"1001-R$1250",U803&lt;=1500,"1251-R$1500")</f>
        <v>501-R$750</v>
      </c>
      <c r="W803" s="17">
        <v>0</v>
      </c>
      <c r="X803" s="13" t="str" cm="1">
        <f t="array" ref="X803">_xlfn.IFS(W803 = 0, "0", W803&lt;=20, "até R$20",W803&lt;=40, "21 - R$40",W803&lt;=60, "41- R$60",W803&lt;=80, "61 - R$80", W803&lt;=100, "81 - R$100",W803&lt;=120, "101 - R$120",W803&lt;=140, "121 - R$140", W803&lt;=160, "141- R$160", W803&lt;=180, "161 - R$180", W803&lt;=200, "181-R$194")</f>
        <v>0</v>
      </c>
      <c r="Y803" s="17">
        <v>70</v>
      </c>
      <c r="Z803" s="17">
        <v>0</v>
      </c>
      <c r="AA803" s="17">
        <v>0</v>
      </c>
      <c r="AB803" s="17">
        <v>35</v>
      </c>
      <c r="AC803" s="17">
        <v>6</v>
      </c>
      <c r="AD803" s="17">
        <v>11</v>
      </c>
      <c r="AE803" s="17">
        <v>2</v>
      </c>
      <c r="AF803" s="17">
        <v>7</v>
      </c>
      <c r="AG803" s="17">
        <v>8</v>
      </c>
      <c r="AH803" s="17">
        <v>0</v>
      </c>
      <c r="AI803" s="17">
        <v>0</v>
      </c>
      <c r="AJ803" s="17">
        <v>0</v>
      </c>
      <c r="AK803" s="17">
        <v>0</v>
      </c>
      <c r="AL803" s="17">
        <v>0</v>
      </c>
      <c r="AM803" s="17">
        <v>0</v>
      </c>
      <c r="AN803" s="17">
        <v>0</v>
      </c>
      <c r="AO803" s="18">
        <v>0</v>
      </c>
      <c r="AP803" s="17">
        <v>3</v>
      </c>
      <c r="AQ803" s="17">
        <v>11</v>
      </c>
      <c r="AR803" s="19">
        <v>664</v>
      </c>
      <c r="AS803" s="19">
        <v>699</v>
      </c>
    </row>
    <row r="804" spans="1:45" x14ac:dyDescent="0.25">
      <c r="A804">
        <v>793</v>
      </c>
      <c r="B804" s="11">
        <f t="shared" si="12"/>
        <v>73170</v>
      </c>
      <c r="C804" s="16">
        <v>731700</v>
      </c>
      <c r="D804" s="17">
        <v>0</v>
      </c>
      <c r="E804" s="17">
        <v>0</v>
      </c>
      <c r="F804" s="17">
        <v>1</v>
      </c>
      <c r="G804" s="17">
        <v>45</v>
      </c>
      <c r="H804" s="13" t="str" cm="1">
        <f t="array" ref="H804">_xlfn.IFS(G804&lt;=20,"0-20",G804&lt;=30,"20-30",G804&lt;=40,"30-40",G804&lt;=50,"50-60",G804&lt;=60,"60-70",G804&lt;=70,"70-80",G804&lt;=80,"80-90")</f>
        <v>50-60</v>
      </c>
      <c r="I804" s="17">
        <v>2188</v>
      </c>
      <c r="J804" s="13" t="str" cm="1">
        <f t="array" ref="J804">_xlfn.IFS(K804=1,"Divorciado",L804=1,"Casado",M804=1,"Solteiro",N804=1,"Juntos",O804=1,"Viuvo")</f>
        <v>Solteiro</v>
      </c>
      <c r="K804" s="17">
        <v>0</v>
      </c>
      <c r="L804" s="17">
        <v>0</v>
      </c>
      <c r="M804" s="17">
        <v>1</v>
      </c>
      <c r="N804" s="17">
        <v>0</v>
      </c>
      <c r="O804" s="17">
        <v>0</v>
      </c>
      <c r="P804" s="17">
        <v>0</v>
      </c>
      <c r="Q804" s="17">
        <v>0</v>
      </c>
      <c r="R804" s="17">
        <v>1</v>
      </c>
      <c r="S804" s="17">
        <v>0</v>
      </c>
      <c r="T804" s="17">
        <v>0</v>
      </c>
      <c r="U804" s="17">
        <v>184</v>
      </c>
      <c r="V804" s="13" t="str" cm="1">
        <f t="array" ref="V804">_xlfn.IFS(U804&lt;=250,"0-R$250",U804&lt;=500,"251-R$500",U804&lt;=750,"501-R$750",U804&lt;=1000,"751-R$1000",U804&lt;=1250,"1001-R$1250",U804&lt;=1500,"1251-R$1500")</f>
        <v>0-R$250</v>
      </c>
      <c r="W804" s="17">
        <v>174</v>
      </c>
      <c r="X804" s="13" t="str" cm="1">
        <f t="array" ref="X804">_xlfn.IFS(W804 = 0, "0", W804&lt;=20, "até R$20",W804&lt;=40, "21 - R$40",W804&lt;=60, "41- R$60",W804&lt;=80, "61 - R$80", W804&lt;=100, "81 - R$100",W804&lt;=120, "101 - R$120",W804&lt;=140, "121 - R$140", W804&lt;=160, "141- R$160", W804&lt;=180, "161 - R$180", W804&lt;=200, "181-R$194")</f>
        <v>161 - R$180</v>
      </c>
      <c r="Y804" s="17">
        <v>256</v>
      </c>
      <c r="Z804" s="17">
        <v>50</v>
      </c>
      <c r="AA804" s="17">
        <v>30</v>
      </c>
      <c r="AB804" s="17">
        <v>32</v>
      </c>
      <c r="AC804" s="17">
        <v>1</v>
      </c>
      <c r="AD804" s="17">
        <v>5</v>
      </c>
      <c r="AE804" s="17">
        <v>4</v>
      </c>
      <c r="AF804" s="17">
        <v>6</v>
      </c>
      <c r="AG804" s="17">
        <v>2</v>
      </c>
      <c r="AH804" s="17">
        <v>0</v>
      </c>
      <c r="AI804" s="17">
        <v>0</v>
      </c>
      <c r="AJ804" s="17">
        <v>0</v>
      </c>
      <c r="AK804" s="17">
        <v>0</v>
      </c>
      <c r="AL804" s="17">
        <v>0</v>
      </c>
      <c r="AM804" s="17">
        <v>0</v>
      </c>
      <c r="AN804" s="17">
        <v>0</v>
      </c>
      <c r="AO804" s="18">
        <v>0</v>
      </c>
      <c r="AP804" s="17">
        <v>3</v>
      </c>
      <c r="AQ804" s="17">
        <v>11</v>
      </c>
      <c r="AR804" s="19">
        <v>662</v>
      </c>
      <c r="AS804" s="19">
        <v>694</v>
      </c>
    </row>
    <row r="805" spans="1:45" x14ac:dyDescent="0.25">
      <c r="A805">
        <v>1683</v>
      </c>
      <c r="B805" s="11">
        <f t="shared" si="12"/>
        <v>64813</v>
      </c>
      <c r="C805" s="16">
        <v>648130</v>
      </c>
      <c r="D805" s="17">
        <v>1</v>
      </c>
      <c r="E805" s="17">
        <v>0</v>
      </c>
      <c r="F805" s="17">
        <v>81</v>
      </c>
      <c r="G805" s="17">
        <v>42</v>
      </c>
      <c r="H805" s="13" t="str" cm="1">
        <f t="array" ref="H805">_xlfn.IFS(G805&lt;=20,"0-20",G805&lt;=30,"20-30",G805&lt;=40,"30-40",G805&lt;=50,"50-60",G805&lt;=60,"60-70",G805&lt;=70,"70-80",G805&lt;=80,"80-90")</f>
        <v>50-60</v>
      </c>
      <c r="I805" s="17">
        <v>2337</v>
      </c>
      <c r="J805" s="13" t="str" cm="1">
        <f t="array" ref="J805">_xlfn.IFS(K805=1,"Divorciado",L805=1,"Casado",M805=1,"Solteiro",N805=1,"Juntos",O805=1,"Viuvo")</f>
        <v>Casado</v>
      </c>
      <c r="K805" s="17">
        <v>0</v>
      </c>
      <c r="L805" s="17">
        <v>1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1</v>
      </c>
      <c r="S805" s="17">
        <v>0</v>
      </c>
      <c r="T805" s="17">
        <v>0</v>
      </c>
      <c r="U805" s="17">
        <v>293</v>
      </c>
      <c r="V805" s="13" t="str" cm="1">
        <f t="array" ref="V805">_xlfn.IFS(U805&lt;=250,"0-R$250",U805&lt;=500,"251-R$500",U805&lt;=750,"501-R$750",U805&lt;=1000,"751-R$1000",U805&lt;=1250,"1001-R$1250",U805&lt;=1500,"1251-R$1500")</f>
        <v>251-R$500</v>
      </c>
      <c r="W805" s="17">
        <v>0</v>
      </c>
      <c r="X805" s="13" t="str" cm="1">
        <f t="array" ref="X805">_xlfn.IFS(W805 = 0, "0", W805&lt;=20, "até R$20",W805&lt;=40, "21 - R$40",W805&lt;=60, "41- R$60",W805&lt;=80, "61 - R$80", W805&lt;=100, "81 - R$100",W805&lt;=120, "101 - R$120",W805&lt;=140, "121 - R$140", W805&lt;=160, "141- R$160", W805&lt;=180, "161 - R$180", W805&lt;=200, "181-R$194")</f>
        <v>0</v>
      </c>
      <c r="Y805" s="17">
        <v>124</v>
      </c>
      <c r="Z805" s="17">
        <v>179</v>
      </c>
      <c r="AA805" s="17">
        <v>97</v>
      </c>
      <c r="AB805" s="17">
        <v>52</v>
      </c>
      <c r="AC805" s="17">
        <v>1</v>
      </c>
      <c r="AD805" s="17">
        <v>7</v>
      </c>
      <c r="AE805" s="17">
        <v>2</v>
      </c>
      <c r="AF805" s="17">
        <v>10</v>
      </c>
      <c r="AG805" s="17">
        <v>5</v>
      </c>
      <c r="AH805" s="17">
        <v>0</v>
      </c>
      <c r="AI805" s="17">
        <v>0</v>
      </c>
      <c r="AJ805" s="17">
        <v>0</v>
      </c>
      <c r="AK805" s="17">
        <v>0</v>
      </c>
      <c r="AL805" s="17">
        <v>0</v>
      </c>
      <c r="AM805" s="17">
        <v>0</v>
      </c>
      <c r="AN805" s="17">
        <v>0</v>
      </c>
      <c r="AO805" s="18">
        <v>0</v>
      </c>
      <c r="AP805" s="17">
        <v>3</v>
      </c>
      <c r="AQ805" s="17">
        <v>11</v>
      </c>
      <c r="AR805" s="19">
        <v>641</v>
      </c>
      <c r="AS805" s="19">
        <v>693</v>
      </c>
    </row>
    <row r="806" spans="1:45" x14ac:dyDescent="0.25">
      <c r="A806">
        <v>1670</v>
      </c>
      <c r="B806" s="11">
        <f t="shared" si="12"/>
        <v>62335</v>
      </c>
      <c r="C806" s="12">
        <v>623350</v>
      </c>
      <c r="D806" s="13">
        <v>0</v>
      </c>
      <c r="E806" s="13">
        <v>1</v>
      </c>
      <c r="F806" s="13">
        <v>87</v>
      </c>
      <c r="G806" s="13">
        <v>68</v>
      </c>
      <c r="H806" s="13" t="str" cm="1">
        <f t="array" ref="H806">_xlfn.IFS(G806&lt;=20,"0-20",G806&lt;=30,"20-30",G806&lt;=40,"30-40",G806&lt;=50,"50-60",G806&lt;=60,"60-70",G806&lt;=70,"70-80",G806&lt;=80,"80-90")</f>
        <v>70-80</v>
      </c>
      <c r="I806" s="13">
        <v>2561</v>
      </c>
      <c r="J806" s="13" t="str" cm="1">
        <f t="array" ref="J806">_xlfn.IFS(K806=1,"Divorciado",L806=1,"Casado",M806=1,"Solteiro",N806=1,"Juntos",O806=1,"Viuvo")</f>
        <v>Divorciado</v>
      </c>
      <c r="K806" s="13">
        <v>1</v>
      </c>
      <c r="L806" s="13">
        <v>0</v>
      </c>
      <c r="M806" s="13">
        <v>0</v>
      </c>
      <c r="N806" s="13">
        <v>0</v>
      </c>
      <c r="O806" s="13">
        <v>0</v>
      </c>
      <c r="P806" s="13">
        <v>0</v>
      </c>
      <c r="Q806" s="13">
        <v>0</v>
      </c>
      <c r="R806" s="13">
        <v>1</v>
      </c>
      <c r="S806" s="13">
        <v>0</v>
      </c>
      <c r="T806" s="13">
        <v>0</v>
      </c>
      <c r="U806" s="13">
        <v>243</v>
      </c>
      <c r="V806" s="13" t="str" cm="1">
        <f t="array" ref="V806">_xlfn.IFS(U806&lt;=250,"0-R$250",U806&lt;=500,"251-R$500",U806&lt;=750,"501-R$750",U806&lt;=1000,"751-R$1000",U806&lt;=1250,"1001-R$1250",U806&lt;=1500,"1251-R$1500")</f>
        <v>0-R$250</v>
      </c>
      <c r="W806" s="13">
        <v>131</v>
      </c>
      <c r="X806" s="13" t="str" cm="1">
        <f t="array" ref="X806">_xlfn.IFS(W806 = 0, "0", W806&lt;=20, "até R$20",W806&lt;=40, "21 - R$40",W806&lt;=60, "41- R$60",W806&lt;=80, "61 - R$80", W806&lt;=100, "81 - R$100",W806&lt;=120, "101 - R$120",W806&lt;=140, "121 - R$140", W806&lt;=160, "141- R$160", W806&lt;=180, "161 - R$180", W806&lt;=200, "181-R$194")</f>
        <v>121 - R$140</v>
      </c>
      <c r="Y806" s="13">
        <v>217</v>
      </c>
      <c r="Z806" s="13">
        <v>85</v>
      </c>
      <c r="AA806" s="13">
        <v>6</v>
      </c>
      <c r="AB806" s="13">
        <v>26</v>
      </c>
      <c r="AC806" s="13">
        <v>2</v>
      </c>
      <c r="AD806" s="13">
        <v>3</v>
      </c>
      <c r="AE806" s="13">
        <v>3</v>
      </c>
      <c r="AF806" s="13">
        <v>13</v>
      </c>
      <c r="AG806" s="13">
        <v>2</v>
      </c>
      <c r="AH806" s="13">
        <v>0</v>
      </c>
      <c r="AI806" s="13">
        <v>0</v>
      </c>
      <c r="AJ806" s="13">
        <v>0</v>
      </c>
      <c r="AK806" s="13">
        <v>0</v>
      </c>
      <c r="AL806" s="13">
        <v>0</v>
      </c>
      <c r="AM806" s="13">
        <v>0</v>
      </c>
      <c r="AN806" s="13">
        <v>0</v>
      </c>
      <c r="AO806" s="14">
        <v>0</v>
      </c>
      <c r="AP806" s="13">
        <v>3</v>
      </c>
      <c r="AQ806" s="13">
        <v>11</v>
      </c>
      <c r="AR806" s="15">
        <v>656</v>
      </c>
      <c r="AS806" s="15">
        <v>682</v>
      </c>
    </row>
    <row r="807" spans="1:45" x14ac:dyDescent="0.25">
      <c r="A807">
        <v>2044</v>
      </c>
      <c r="B807" s="11">
        <f t="shared" si="12"/>
        <v>71866</v>
      </c>
      <c r="C807" s="12">
        <v>718660</v>
      </c>
      <c r="D807" s="13">
        <v>0</v>
      </c>
      <c r="E807" s="13">
        <v>1</v>
      </c>
      <c r="F807" s="13">
        <v>85</v>
      </c>
      <c r="G807" s="13">
        <v>64</v>
      </c>
      <c r="H807" s="13" t="str" cm="1">
        <f t="array" ref="H807">_xlfn.IFS(G807&lt;=20,"0-20",G807&lt;=30,"20-30",G807&lt;=40,"30-40",G807&lt;=50,"50-60",G807&lt;=60,"60-70",G807&lt;=70,"70-80",G807&lt;=80,"80-90")</f>
        <v>70-80</v>
      </c>
      <c r="I807" s="13">
        <v>2345</v>
      </c>
      <c r="J807" s="13" t="str" cm="1">
        <f t="array" ref="J807">_xlfn.IFS(K807=1,"Divorciado",L807=1,"Casado",M807=1,"Solteiro",N807=1,"Juntos",O807=1,"Viuvo")</f>
        <v>Casado</v>
      </c>
      <c r="K807" s="13">
        <v>0</v>
      </c>
      <c r="L807" s="13">
        <v>1</v>
      </c>
      <c r="M807" s="13">
        <v>0</v>
      </c>
      <c r="N807" s="13">
        <v>0</v>
      </c>
      <c r="O807" s="13">
        <v>0</v>
      </c>
      <c r="P807" s="13">
        <v>0</v>
      </c>
      <c r="Q807" s="13">
        <v>0</v>
      </c>
      <c r="R807" s="13">
        <v>1</v>
      </c>
      <c r="S807" s="13">
        <v>0</v>
      </c>
      <c r="T807" s="13">
        <v>0</v>
      </c>
      <c r="U807" s="13">
        <v>184</v>
      </c>
      <c r="V807" s="13" t="str" cm="1">
        <f t="array" ref="V807">_xlfn.IFS(U807&lt;=250,"0-R$250",U807&lt;=500,"251-R$500",U807&lt;=750,"501-R$750",U807&lt;=1000,"751-R$1000",U807&lt;=1250,"1001-R$1250",U807&lt;=1500,"1251-R$1500")</f>
        <v>0-R$250</v>
      </c>
      <c r="W807" s="13">
        <v>178</v>
      </c>
      <c r="X807" s="13" t="str" cm="1">
        <f t="array" ref="X807">_xlfn.IFS(W807 = 0, "0", W807&lt;=20, "até R$20",W807&lt;=40, "21 - R$40",W807&lt;=60, "41- R$60",W807&lt;=80, "61 - R$80", W807&lt;=100, "81 - R$100",W807&lt;=120, "101 - R$120",W807&lt;=140, "121 - R$140", W807&lt;=160, "141- R$160", W807&lt;=180, "161 - R$180", W807&lt;=200, "181-R$194")</f>
        <v>161 - R$180</v>
      </c>
      <c r="Y807" s="13">
        <v>178</v>
      </c>
      <c r="Z807" s="13">
        <v>103</v>
      </c>
      <c r="AA807" s="13">
        <v>39</v>
      </c>
      <c r="AB807" s="13">
        <v>33</v>
      </c>
      <c r="AC807" s="13">
        <v>1</v>
      </c>
      <c r="AD807" s="13">
        <v>6</v>
      </c>
      <c r="AE807" s="13">
        <v>3</v>
      </c>
      <c r="AF807" s="13">
        <v>10</v>
      </c>
      <c r="AG807" s="13">
        <v>3</v>
      </c>
      <c r="AH807" s="13">
        <v>0</v>
      </c>
      <c r="AI807" s="13">
        <v>0</v>
      </c>
      <c r="AJ807" s="13">
        <v>0</v>
      </c>
      <c r="AK807" s="13">
        <v>0</v>
      </c>
      <c r="AL807" s="13">
        <v>0</v>
      </c>
      <c r="AM807" s="13">
        <v>0</v>
      </c>
      <c r="AN807" s="13">
        <v>0</v>
      </c>
      <c r="AO807" s="14">
        <v>0</v>
      </c>
      <c r="AP807" s="13">
        <v>3</v>
      </c>
      <c r="AQ807" s="13">
        <v>11</v>
      </c>
      <c r="AR807" s="15">
        <v>649</v>
      </c>
      <c r="AS807" s="15">
        <v>682</v>
      </c>
    </row>
    <row r="808" spans="1:45" x14ac:dyDescent="0.25">
      <c r="A808">
        <v>540</v>
      </c>
      <c r="B808" s="11">
        <f t="shared" si="12"/>
        <v>54880</v>
      </c>
      <c r="C808" s="12">
        <v>548800</v>
      </c>
      <c r="D808" s="13">
        <v>1</v>
      </c>
      <c r="E808" s="13">
        <v>0</v>
      </c>
      <c r="F808" s="13">
        <v>57</v>
      </c>
      <c r="G808" s="13">
        <v>42</v>
      </c>
      <c r="H808" s="13" t="str" cm="1">
        <f t="array" ref="H808">_xlfn.IFS(G808&lt;=20,"0-20",G808&lt;=30,"20-30",G808&lt;=40,"30-40",G808&lt;=50,"50-60",G808&lt;=60,"60-70",G808&lt;=70,"70-80",G808&lt;=80,"80-90")</f>
        <v>50-60</v>
      </c>
      <c r="I808" s="13">
        <v>2644</v>
      </c>
      <c r="J808" s="13" t="str" cm="1">
        <f t="array" ref="J808">_xlfn.IFS(K808=1,"Divorciado",L808=1,"Casado",M808=1,"Solteiro",N808=1,"Juntos",O808=1,"Viuvo")</f>
        <v>Solteiro</v>
      </c>
      <c r="K808" s="13">
        <v>0</v>
      </c>
      <c r="L808" s="13">
        <v>0</v>
      </c>
      <c r="M808" s="13">
        <v>1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1</v>
      </c>
      <c r="U808" s="13">
        <v>308</v>
      </c>
      <c r="V808" s="13" t="str" cm="1">
        <f t="array" ref="V808">_xlfn.IFS(U808&lt;=250,"0-R$250",U808&lt;=500,"251-R$500",U808&lt;=750,"501-R$750",U808&lt;=1000,"751-R$1000",U808&lt;=1250,"1001-R$1250",U808&lt;=1500,"1251-R$1500")</f>
        <v>251-R$500</v>
      </c>
      <c r="W808" s="13">
        <v>85</v>
      </c>
      <c r="X808" s="13" t="str" cm="1">
        <f t="array" ref="X808">_xlfn.IFS(W808 = 0, "0", W808&lt;=20, "até R$20",W808&lt;=40, "21 - R$40",W808&lt;=60, "41- R$60",W808&lt;=80, "61 - R$80", W808&lt;=100, "81 - R$100",W808&lt;=120, "101 - R$120",W808&lt;=140, "121 - R$140", W808&lt;=160, "141- R$160", W808&lt;=180, "161 - R$180", W808&lt;=200, "181-R$194")</f>
        <v>81 - R$100</v>
      </c>
      <c r="Y808" s="13">
        <v>137</v>
      </c>
      <c r="Z808" s="13">
        <v>102</v>
      </c>
      <c r="AA808" s="13">
        <v>45</v>
      </c>
      <c r="AB808" s="13">
        <v>118</v>
      </c>
      <c r="AC808" s="13">
        <v>2</v>
      </c>
      <c r="AD808" s="13">
        <v>6</v>
      </c>
      <c r="AE808" s="13">
        <v>2</v>
      </c>
      <c r="AF808" s="13">
        <v>11</v>
      </c>
      <c r="AG808" s="13">
        <v>5</v>
      </c>
      <c r="AH808" s="13">
        <v>0</v>
      </c>
      <c r="AI808" s="13">
        <v>0</v>
      </c>
      <c r="AJ808" s="13">
        <v>0</v>
      </c>
      <c r="AK808" s="13">
        <v>0</v>
      </c>
      <c r="AL808" s="13">
        <v>0</v>
      </c>
      <c r="AM808" s="13">
        <v>0</v>
      </c>
      <c r="AN808" s="13">
        <v>0</v>
      </c>
      <c r="AO808" s="14">
        <v>0</v>
      </c>
      <c r="AP808" s="13">
        <v>3</v>
      </c>
      <c r="AQ808" s="13">
        <v>11</v>
      </c>
      <c r="AR808" s="15">
        <v>559</v>
      </c>
      <c r="AS808" s="15">
        <v>677</v>
      </c>
    </row>
    <row r="809" spans="1:45" x14ac:dyDescent="0.25">
      <c r="A809">
        <v>1182</v>
      </c>
      <c r="B809" s="11">
        <f t="shared" si="12"/>
        <v>58113</v>
      </c>
      <c r="C809" s="12">
        <v>581130</v>
      </c>
      <c r="D809" s="13">
        <v>0</v>
      </c>
      <c r="E809" s="13">
        <v>1</v>
      </c>
      <c r="F809" s="13">
        <v>66</v>
      </c>
      <c r="G809" s="13">
        <v>61</v>
      </c>
      <c r="H809" s="13" t="str" cm="1">
        <f t="array" ref="H809">_xlfn.IFS(G809&lt;=20,"0-20",G809&lt;=30,"20-30",G809&lt;=40,"30-40",G809&lt;=50,"50-60",G809&lt;=60,"60-70",G809&lt;=70,"70-80",G809&lt;=80,"80-90")</f>
        <v>70-80</v>
      </c>
      <c r="I809" s="13">
        <v>2679</v>
      </c>
      <c r="J809" s="13" t="str" cm="1">
        <f t="array" ref="J809">_xlfn.IFS(K809=1,"Divorciado",L809=1,"Casado",M809=1,"Solteiro",N809=1,"Juntos",O809=1,"Viuvo")</f>
        <v>Casado</v>
      </c>
      <c r="K809" s="13">
        <v>0</v>
      </c>
      <c r="L809" s="13">
        <v>1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1</v>
      </c>
      <c r="S809" s="13">
        <v>0</v>
      </c>
      <c r="T809" s="13">
        <v>0</v>
      </c>
      <c r="U809" s="13">
        <v>221</v>
      </c>
      <c r="V809" s="13" t="str" cm="1">
        <f t="array" ref="V809">_xlfn.IFS(U809&lt;=250,"0-R$250",U809&lt;=500,"251-R$500",U809&lt;=750,"501-R$750",U809&lt;=1000,"751-R$1000",U809&lt;=1250,"1001-R$1250",U809&lt;=1500,"1251-R$1500")</f>
        <v>0-R$250</v>
      </c>
      <c r="W809" s="13">
        <v>104</v>
      </c>
      <c r="X809" s="13" t="str" cm="1">
        <f t="array" ref="X809">_xlfn.IFS(W809 = 0, "0", W809&lt;=20, "até R$20",W809&lt;=40, "21 - R$40",W809&lt;=60, "41- R$60",W809&lt;=80, "61 - R$80", W809&lt;=100, "81 - R$100",W809&lt;=120, "101 - R$120",W809&lt;=140, "121 - R$140", W809&lt;=160, "141- R$160", W809&lt;=180, "161 - R$180", W809&lt;=200, "181-R$194")</f>
        <v>101 - R$120</v>
      </c>
      <c r="Y809" s="13">
        <v>169</v>
      </c>
      <c r="Z809" s="13">
        <v>102</v>
      </c>
      <c r="AA809" s="13">
        <v>78</v>
      </c>
      <c r="AB809" s="13">
        <v>84</v>
      </c>
      <c r="AC809" s="13">
        <v>3</v>
      </c>
      <c r="AD809" s="13">
        <v>9</v>
      </c>
      <c r="AE809" s="13">
        <v>2</v>
      </c>
      <c r="AF809" s="13">
        <v>8</v>
      </c>
      <c r="AG809" s="13">
        <v>7</v>
      </c>
      <c r="AH809" s="13">
        <v>1</v>
      </c>
      <c r="AI809" s="13">
        <v>0</v>
      </c>
      <c r="AJ809" s="13">
        <v>0</v>
      </c>
      <c r="AK809" s="13">
        <v>0</v>
      </c>
      <c r="AL809" s="13">
        <v>0</v>
      </c>
      <c r="AM809" s="13">
        <v>0</v>
      </c>
      <c r="AN809" s="13">
        <v>0</v>
      </c>
      <c r="AO809" s="14">
        <v>0</v>
      </c>
      <c r="AP809" s="13">
        <v>3</v>
      </c>
      <c r="AQ809" s="13">
        <v>11</v>
      </c>
      <c r="AR809" s="15">
        <v>590</v>
      </c>
      <c r="AS809" s="15">
        <v>674</v>
      </c>
    </row>
    <row r="810" spans="1:45" x14ac:dyDescent="0.25">
      <c r="A810">
        <v>919</v>
      </c>
      <c r="B810" s="11">
        <f t="shared" si="12"/>
        <v>55239</v>
      </c>
      <c r="C810" s="16">
        <v>552390</v>
      </c>
      <c r="D810" s="17">
        <v>0</v>
      </c>
      <c r="E810" s="17">
        <v>1</v>
      </c>
      <c r="F810" s="17">
        <v>59</v>
      </c>
      <c r="G810" s="17">
        <v>49</v>
      </c>
      <c r="H810" s="13" t="str" cm="1">
        <f t="array" ref="H810">_xlfn.IFS(G810&lt;=20,"0-20",G810&lt;=30,"20-30",G810&lt;=40,"30-40",G810&lt;=50,"50-60",G810&lt;=60,"60-70",G810&lt;=70,"70-80",G810&lt;=80,"80-90")</f>
        <v>50-60</v>
      </c>
      <c r="I810" s="17">
        <v>2509</v>
      </c>
      <c r="J810" s="13" t="str" cm="1">
        <f t="array" ref="J810">_xlfn.IFS(K810=1,"Divorciado",L810=1,"Casado",M810=1,"Solteiro",N810=1,"Juntos",O810=1,"Viuvo")</f>
        <v>Solteiro</v>
      </c>
      <c r="K810" s="17">
        <v>0</v>
      </c>
      <c r="L810" s="17">
        <v>0</v>
      </c>
      <c r="M810" s="17">
        <v>1</v>
      </c>
      <c r="N810" s="17">
        <v>0</v>
      </c>
      <c r="O810" s="17">
        <v>0</v>
      </c>
      <c r="P810" s="17">
        <v>0</v>
      </c>
      <c r="Q810" s="17">
        <v>0</v>
      </c>
      <c r="R810" s="17">
        <v>1</v>
      </c>
      <c r="S810" s="17">
        <v>0</v>
      </c>
      <c r="T810" s="17">
        <v>0</v>
      </c>
      <c r="U810" s="17">
        <v>371</v>
      </c>
      <c r="V810" s="13" t="str" cm="1">
        <f t="array" ref="V810">_xlfn.IFS(U810&lt;=250,"0-R$250",U810&lt;=500,"251-R$500",U810&lt;=750,"501-R$750",U810&lt;=1000,"751-R$1000",U810&lt;=1250,"1001-R$1250",U810&lt;=1500,"1251-R$1500")</f>
        <v>251-R$500</v>
      </c>
      <c r="W810" s="17">
        <v>17</v>
      </c>
      <c r="X810" s="13" t="str" cm="1">
        <f t="array" ref="X810">_xlfn.IFS(W810 = 0, "0", W810&lt;=20, "até R$20",W810&lt;=40, "21 - R$40",W810&lt;=60, "41- R$60",W810&lt;=80, "61 - R$80", W810&lt;=100, "81 - R$100",W810&lt;=120, "101 - R$120",W810&lt;=140, "121 - R$140", W810&lt;=160, "141- R$160", W810&lt;=180, "161 - R$180", W810&lt;=200, "181-R$194")</f>
        <v>até R$20</v>
      </c>
      <c r="Y810" s="17">
        <v>238</v>
      </c>
      <c r="Z810" s="17">
        <v>23</v>
      </c>
      <c r="AA810" s="17">
        <v>24</v>
      </c>
      <c r="AB810" s="17">
        <v>106</v>
      </c>
      <c r="AC810" s="17">
        <v>3</v>
      </c>
      <c r="AD810" s="17">
        <v>7</v>
      </c>
      <c r="AE810" s="17">
        <v>5</v>
      </c>
      <c r="AF810" s="17">
        <v>11</v>
      </c>
      <c r="AG810" s="17">
        <v>5</v>
      </c>
      <c r="AH810" s="17">
        <v>0</v>
      </c>
      <c r="AI810" s="17">
        <v>0</v>
      </c>
      <c r="AJ810" s="17">
        <v>0</v>
      </c>
      <c r="AK810" s="17">
        <v>0</v>
      </c>
      <c r="AL810" s="17">
        <v>0</v>
      </c>
      <c r="AM810" s="17">
        <v>0</v>
      </c>
      <c r="AN810" s="17">
        <v>0</v>
      </c>
      <c r="AO810" s="18">
        <v>0</v>
      </c>
      <c r="AP810" s="17">
        <v>3</v>
      </c>
      <c r="AQ810" s="17">
        <v>11</v>
      </c>
      <c r="AR810" s="19">
        <v>567</v>
      </c>
      <c r="AS810" s="19">
        <v>673</v>
      </c>
    </row>
    <row r="811" spans="1:45" x14ac:dyDescent="0.25">
      <c r="A811">
        <v>493</v>
      </c>
      <c r="B811" s="11">
        <f t="shared" si="12"/>
        <v>61250</v>
      </c>
      <c r="C811" s="16">
        <v>612500</v>
      </c>
      <c r="D811" s="17">
        <v>0</v>
      </c>
      <c r="E811" s="17">
        <v>1</v>
      </c>
      <c r="F811" s="17">
        <v>49</v>
      </c>
      <c r="G811" s="17">
        <v>61</v>
      </c>
      <c r="H811" s="13" t="str" cm="1">
        <f t="array" ref="H811">_xlfn.IFS(G811&lt;=20,"0-20",G811&lt;=30,"20-30",G811&lt;=40,"30-40",G811&lt;=50,"50-60",G811&lt;=60,"60-70",G811&lt;=70,"70-80",G811&lt;=80,"80-90")</f>
        <v>70-80</v>
      </c>
      <c r="I811" s="17">
        <v>2719</v>
      </c>
      <c r="J811" s="13" t="str" cm="1">
        <f t="array" ref="J811">_xlfn.IFS(K811=1,"Divorciado",L811=1,"Casado",M811=1,"Solteiro",N811=1,"Juntos",O811=1,"Viuvo")</f>
        <v>Divorciado</v>
      </c>
      <c r="K811" s="17">
        <v>1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1</v>
      </c>
      <c r="S811" s="17">
        <v>0</v>
      </c>
      <c r="T811" s="17">
        <v>0</v>
      </c>
      <c r="U811" s="17">
        <v>382</v>
      </c>
      <c r="V811" s="13" t="str" cm="1">
        <f t="array" ref="V811">_xlfn.IFS(U811&lt;=250,"0-R$250",U811&lt;=500,"251-R$500",U811&lt;=750,"501-R$750",U811&lt;=1000,"751-R$1000",U811&lt;=1250,"1001-R$1250",U811&lt;=1500,"1251-R$1500")</f>
        <v>251-R$500</v>
      </c>
      <c r="W811" s="17">
        <v>138</v>
      </c>
      <c r="X811" s="13" t="str" cm="1">
        <f t="array" ref="X811">_xlfn.IFS(W811 = 0, "0", W811&lt;=20, "até R$20",W811&lt;=40, "21 - R$40",W811&lt;=60, "41- R$60",W811&lt;=80, "61 - R$80", W811&lt;=100, "81 - R$100",W811&lt;=120, "101 - R$120",W811&lt;=140, "121 - R$140", W811&lt;=160, "141- R$160", W811&lt;=180, "161 - R$180", W811&lt;=200, "181-R$194")</f>
        <v>121 - R$140</v>
      </c>
      <c r="Y811" s="17">
        <v>65</v>
      </c>
      <c r="Z811" s="17">
        <v>60</v>
      </c>
      <c r="AA811" s="17">
        <v>26</v>
      </c>
      <c r="AB811" s="17">
        <v>59</v>
      </c>
      <c r="AC811" s="17">
        <v>6</v>
      </c>
      <c r="AD811" s="17">
        <v>5</v>
      </c>
      <c r="AE811" s="17">
        <v>2</v>
      </c>
      <c r="AF811" s="17">
        <v>12</v>
      </c>
      <c r="AG811" s="17">
        <v>5</v>
      </c>
      <c r="AH811" s="17">
        <v>0</v>
      </c>
      <c r="AI811" s="17">
        <v>0</v>
      </c>
      <c r="AJ811" s="17">
        <v>0</v>
      </c>
      <c r="AK811" s="17">
        <v>0</v>
      </c>
      <c r="AL811" s="17">
        <v>0</v>
      </c>
      <c r="AM811" s="17">
        <v>0</v>
      </c>
      <c r="AN811" s="17">
        <v>0</v>
      </c>
      <c r="AO811" s="18">
        <v>0</v>
      </c>
      <c r="AP811" s="17">
        <v>3</v>
      </c>
      <c r="AQ811" s="17">
        <v>11</v>
      </c>
      <c r="AR811" s="19">
        <v>612</v>
      </c>
      <c r="AS811" s="19">
        <v>671</v>
      </c>
    </row>
    <row r="812" spans="1:45" x14ac:dyDescent="0.25">
      <c r="A812">
        <v>1583</v>
      </c>
      <c r="B812" s="11">
        <f t="shared" si="12"/>
        <v>51250</v>
      </c>
      <c r="C812" s="16">
        <v>512500</v>
      </c>
      <c r="D812" s="17">
        <v>1</v>
      </c>
      <c r="E812" s="17">
        <v>0</v>
      </c>
      <c r="F812" s="17">
        <v>28</v>
      </c>
      <c r="G812" s="17">
        <v>30</v>
      </c>
      <c r="H812" s="13" t="str" cm="1">
        <f t="array" ref="H812">_xlfn.IFS(G812&lt;=20,"0-20",G812&lt;=30,"20-30",G812&lt;=40,"30-40",G812&lt;=50,"50-60",G812&lt;=60,"60-70",G812&lt;=70,"70-80",G812&lt;=80,"80-90")</f>
        <v>20-30</v>
      </c>
      <c r="I812" s="17">
        <v>2615</v>
      </c>
      <c r="J812" s="13" t="str" cm="1">
        <f t="array" ref="J812">_xlfn.IFS(K812=1,"Divorciado",L812=1,"Casado",M812=1,"Solteiro",N812=1,"Juntos",O812=1,"Viuvo")</f>
        <v>Solteiro</v>
      </c>
      <c r="K812" s="17">
        <v>0</v>
      </c>
      <c r="L812" s="17">
        <v>0</v>
      </c>
      <c r="M812" s="17">
        <v>1</v>
      </c>
      <c r="N812" s="17">
        <v>0</v>
      </c>
      <c r="O812" s="17">
        <v>0</v>
      </c>
      <c r="P812" s="17">
        <v>1</v>
      </c>
      <c r="Q812" s="17">
        <v>0</v>
      </c>
      <c r="R812" s="17">
        <v>0</v>
      </c>
      <c r="S812" s="17">
        <v>0</v>
      </c>
      <c r="T812" s="17">
        <v>0</v>
      </c>
      <c r="U812" s="17">
        <v>342</v>
      </c>
      <c r="V812" s="13" t="str" cm="1">
        <f t="array" ref="V812">_xlfn.IFS(U812&lt;=250,"0-R$250",U812&lt;=500,"251-R$500",U812&lt;=750,"501-R$750",U812&lt;=1000,"751-R$1000",U812&lt;=1250,"1001-R$1250",U812&lt;=1500,"1251-R$1500")</f>
        <v>251-R$500</v>
      </c>
      <c r="W812" s="17">
        <v>32</v>
      </c>
      <c r="X812" s="13" t="str" cm="1">
        <f t="array" ref="X812">_xlfn.IFS(W812 = 0, "0", W812&lt;=20, "até R$20",W812&lt;=40, "21 - R$40",W812&lt;=60, "41- R$60",W812&lt;=80, "61 - R$80", W812&lt;=100, "81 - R$100",W812&lt;=120, "101 - R$120",W812&lt;=140, "121 - R$140", W812&lt;=160, "141- R$160", W812&lt;=180, "161 - R$180", W812&lt;=200, "181-R$194")</f>
        <v>21 - R$40</v>
      </c>
      <c r="Y812" s="17">
        <v>230</v>
      </c>
      <c r="Z812" s="17">
        <v>34</v>
      </c>
      <c r="AA812" s="17">
        <v>32</v>
      </c>
      <c r="AB812" s="17">
        <v>40</v>
      </c>
      <c r="AC812" s="17">
        <v>5</v>
      </c>
      <c r="AD812" s="17">
        <v>10</v>
      </c>
      <c r="AE812" s="17">
        <v>5</v>
      </c>
      <c r="AF812" s="17">
        <v>4</v>
      </c>
      <c r="AG812" s="17">
        <v>9</v>
      </c>
      <c r="AH812" s="17">
        <v>0</v>
      </c>
      <c r="AI812" s="17">
        <v>1</v>
      </c>
      <c r="AJ812" s="17">
        <v>0</v>
      </c>
      <c r="AK812" s="17">
        <v>0</v>
      </c>
      <c r="AL812" s="17">
        <v>0</v>
      </c>
      <c r="AM812" s="17">
        <v>0</v>
      </c>
      <c r="AN812" s="17">
        <v>0</v>
      </c>
      <c r="AO812" s="18">
        <v>1</v>
      </c>
      <c r="AP812" s="17">
        <v>3</v>
      </c>
      <c r="AQ812" s="17">
        <v>11</v>
      </c>
      <c r="AR812" s="19">
        <v>630</v>
      </c>
      <c r="AS812" s="19">
        <v>670</v>
      </c>
    </row>
    <row r="813" spans="1:45" x14ac:dyDescent="0.25">
      <c r="A813">
        <v>1270</v>
      </c>
      <c r="B813" s="11">
        <f t="shared" si="12"/>
        <v>52531</v>
      </c>
      <c r="C813" s="12">
        <v>525310</v>
      </c>
      <c r="D813" s="13">
        <v>0</v>
      </c>
      <c r="E813" s="13">
        <v>0</v>
      </c>
      <c r="F813" s="13">
        <v>68</v>
      </c>
      <c r="G813" s="13">
        <v>49</v>
      </c>
      <c r="H813" s="13" t="str" cm="1">
        <f t="array" ref="H813">_xlfn.IFS(G813&lt;=20,"0-20",G813&lt;=30,"20-30",G813&lt;=40,"30-40",G813&lt;=50,"50-60",G813&lt;=60,"60-70",G813&lt;=70,"70-80",G813&lt;=80,"80-90")</f>
        <v>50-60</v>
      </c>
      <c r="I813" s="13">
        <v>2705</v>
      </c>
      <c r="J813" s="13" t="str" cm="1">
        <f t="array" ref="J813">_xlfn.IFS(K813=1,"Divorciado",L813=1,"Casado",M813=1,"Solteiro",N813=1,"Juntos",O813=1,"Viuvo")</f>
        <v>Casado</v>
      </c>
      <c r="K813" s="13">
        <v>0</v>
      </c>
      <c r="L813" s="13">
        <v>1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1</v>
      </c>
      <c r="S813" s="13">
        <v>0</v>
      </c>
      <c r="T813" s="13">
        <v>0</v>
      </c>
      <c r="U813" s="13">
        <v>283</v>
      </c>
      <c r="V813" s="13" t="str" cm="1">
        <f t="array" ref="V813">_xlfn.IFS(U813&lt;=250,"0-R$250",U813&lt;=500,"251-R$500",U813&lt;=750,"501-R$750",U813&lt;=1000,"751-R$1000",U813&lt;=1250,"1001-R$1250",U813&lt;=1500,"1251-R$1500")</f>
        <v>251-R$500</v>
      </c>
      <c r="W813" s="13">
        <v>112</v>
      </c>
      <c r="X813" s="13" t="str" cm="1">
        <f t="array" ref="X813">_xlfn.IFS(W813 = 0, "0", W813&lt;=20, "até R$20",W813&lt;=40, "21 - R$40",W813&lt;=60, "41- R$60",W813&lt;=80, "61 - R$80", W813&lt;=100, "81 - R$100",W813&lt;=120, "101 - R$120",W813&lt;=140, "121 - R$140", W813&lt;=160, "141- R$160", W813&lt;=180, "161 - R$180", W813&lt;=200, "181-R$194")</f>
        <v>101 - R$120</v>
      </c>
      <c r="Y813" s="13">
        <v>151</v>
      </c>
      <c r="Z813" s="13">
        <v>51</v>
      </c>
      <c r="AA813" s="13">
        <v>72</v>
      </c>
      <c r="AB813" s="13">
        <v>125</v>
      </c>
      <c r="AC813" s="13">
        <v>2</v>
      </c>
      <c r="AD813" s="13">
        <v>7</v>
      </c>
      <c r="AE813" s="13">
        <v>2</v>
      </c>
      <c r="AF813" s="13">
        <v>10</v>
      </c>
      <c r="AG813" s="13">
        <v>6</v>
      </c>
      <c r="AH813" s="13">
        <v>0</v>
      </c>
      <c r="AI813" s="13">
        <v>0</v>
      </c>
      <c r="AJ813" s="13">
        <v>0</v>
      </c>
      <c r="AK813" s="13">
        <v>0</v>
      </c>
      <c r="AL813" s="13">
        <v>0</v>
      </c>
      <c r="AM813" s="13">
        <v>0</v>
      </c>
      <c r="AN813" s="13">
        <v>0</v>
      </c>
      <c r="AO813" s="14">
        <v>0</v>
      </c>
      <c r="AP813" s="13">
        <v>3</v>
      </c>
      <c r="AQ813" s="13">
        <v>11</v>
      </c>
      <c r="AR813" s="15">
        <v>544</v>
      </c>
      <c r="AS813" s="15">
        <v>669</v>
      </c>
    </row>
    <row r="814" spans="1:45" x14ac:dyDescent="0.25">
      <c r="A814">
        <v>751</v>
      </c>
      <c r="B814" s="11">
        <f t="shared" si="12"/>
        <v>72063</v>
      </c>
      <c r="C814" s="16">
        <v>720630</v>
      </c>
      <c r="D814" s="17">
        <v>0</v>
      </c>
      <c r="E814" s="17">
        <v>1</v>
      </c>
      <c r="F814" s="17">
        <v>3</v>
      </c>
      <c r="G814" s="17">
        <v>41</v>
      </c>
      <c r="H814" s="13" t="str" cm="1">
        <f t="array" ref="H814">_xlfn.IFS(G814&lt;=20,"0-20",G814&lt;=30,"20-30",G814&lt;=40,"30-40",G814&lt;=50,"50-60",G814&lt;=60,"60-70",G814&lt;=70,"70-80",G814&lt;=80,"80-90")</f>
        <v>50-60</v>
      </c>
      <c r="I814" s="17">
        <v>2520</v>
      </c>
      <c r="J814" s="13" t="str" cm="1">
        <f t="array" ref="J814">_xlfn.IFS(K814=1,"Divorciado",L814=1,"Casado",M814=1,"Solteiro",N814=1,"Juntos",O814=1,"Viuvo")</f>
        <v>Casado</v>
      </c>
      <c r="K814" s="17">
        <v>0</v>
      </c>
      <c r="L814" s="17">
        <v>1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1</v>
      </c>
      <c r="S814" s="17">
        <v>0</v>
      </c>
      <c r="T814" s="17">
        <v>0</v>
      </c>
      <c r="U814" s="17">
        <v>180</v>
      </c>
      <c r="V814" s="13" t="str" cm="1">
        <f t="array" ref="V814">_xlfn.IFS(U814&lt;=250,"0-R$250",U814&lt;=500,"251-R$500",U814&lt;=750,"501-R$750",U814&lt;=1000,"751-R$1000",U814&lt;=1250,"1001-R$1250",U814&lt;=1500,"1251-R$1500")</f>
        <v>0-R$250</v>
      </c>
      <c r="W814" s="17">
        <v>32</v>
      </c>
      <c r="X814" s="13" t="str" cm="1">
        <f t="array" ref="X814">_xlfn.IFS(W814 = 0, "0", W814&lt;=20, "até R$20",W814&lt;=40, "21 - R$40",W814&lt;=60, "41- R$60",W814&lt;=80, "61 - R$80", W814&lt;=100, "81 - R$100",W814&lt;=120, "101 - R$120",W814&lt;=140, "121 - R$140", W814&lt;=160, "141- R$160", W814&lt;=180, "161 - R$180", W814&lt;=200, "181-R$194")</f>
        <v>21 - R$40</v>
      </c>
      <c r="Y814" s="17">
        <v>348</v>
      </c>
      <c r="Z814" s="17">
        <v>76</v>
      </c>
      <c r="AA814" s="17">
        <v>32</v>
      </c>
      <c r="AB814" s="17">
        <v>90</v>
      </c>
      <c r="AC814" s="17">
        <v>2</v>
      </c>
      <c r="AD814" s="17">
        <v>5</v>
      </c>
      <c r="AE814" s="17">
        <v>2</v>
      </c>
      <c r="AF814" s="17">
        <v>12</v>
      </c>
      <c r="AG814" s="17">
        <v>2</v>
      </c>
      <c r="AH814" s="17">
        <v>0</v>
      </c>
      <c r="AI814" s="17">
        <v>0</v>
      </c>
      <c r="AJ814" s="17">
        <v>0</v>
      </c>
      <c r="AK814" s="17">
        <v>0</v>
      </c>
      <c r="AL814" s="17">
        <v>0</v>
      </c>
      <c r="AM814" s="17">
        <v>0</v>
      </c>
      <c r="AN814" s="17">
        <v>0</v>
      </c>
      <c r="AO814" s="18">
        <v>0</v>
      </c>
      <c r="AP814" s="17">
        <v>3</v>
      </c>
      <c r="AQ814" s="17">
        <v>11</v>
      </c>
      <c r="AR814" s="19">
        <v>578</v>
      </c>
      <c r="AS814" s="19">
        <v>668</v>
      </c>
    </row>
    <row r="815" spans="1:45" x14ac:dyDescent="0.25">
      <c r="A815">
        <v>1224</v>
      </c>
      <c r="B815" s="11">
        <f t="shared" si="12"/>
        <v>66000</v>
      </c>
      <c r="C815" s="12">
        <v>660000</v>
      </c>
      <c r="D815" s="13">
        <v>0</v>
      </c>
      <c r="E815" s="13">
        <v>0</v>
      </c>
      <c r="F815" s="13">
        <v>36</v>
      </c>
      <c r="G815" s="13">
        <v>73</v>
      </c>
      <c r="H815" s="13" t="str" cm="1">
        <f t="array" ref="H815">_xlfn.IFS(G815&lt;=20,"0-20",G815&lt;=30,"20-30",G815&lt;=40,"30-40",G815&lt;=50,"50-60",G815&lt;=60,"60-70",G815&lt;=70,"70-80",G815&lt;=80,"80-90")</f>
        <v>80-90</v>
      </c>
      <c r="I815" s="13">
        <v>2229</v>
      </c>
      <c r="J815" s="13" t="str" cm="1">
        <f t="array" ref="J815">_xlfn.IFS(K815=1,"Divorciado",L815=1,"Casado",M815=1,"Solteiro",N815=1,"Juntos",O815=1,"Viuvo")</f>
        <v>Juntos</v>
      </c>
      <c r="K815" s="13">
        <v>0</v>
      </c>
      <c r="L815" s="13">
        <v>0</v>
      </c>
      <c r="M815" s="13">
        <v>0</v>
      </c>
      <c r="N815" s="13">
        <v>1</v>
      </c>
      <c r="O815" s="13">
        <v>0</v>
      </c>
      <c r="P815" s="13">
        <v>0</v>
      </c>
      <c r="Q815" s="13">
        <v>0</v>
      </c>
      <c r="R815" s="13">
        <v>0</v>
      </c>
      <c r="S815" s="13">
        <v>1</v>
      </c>
      <c r="T815" s="13">
        <v>0</v>
      </c>
      <c r="U815" s="13">
        <v>244</v>
      </c>
      <c r="V815" s="13" t="str" cm="1">
        <f t="array" ref="V815">_xlfn.IFS(U815&lt;=250,"0-R$250",U815&lt;=500,"251-R$500",U815&lt;=750,"501-R$750",U815&lt;=1000,"751-R$1000",U815&lt;=1250,"1001-R$1250",U815&lt;=1500,"1251-R$1500")</f>
        <v>0-R$250</v>
      </c>
      <c r="W815" s="13">
        <v>51</v>
      </c>
      <c r="X815" s="13" t="str" cm="1">
        <f t="array" ref="X815">_xlfn.IFS(W815 = 0, "0", W815&lt;=20, "até R$20",W815&lt;=40, "21 - R$40",W815&lt;=60, "41- R$60",W815&lt;=80, "61 - R$80", W815&lt;=100, "81 - R$100",W815&lt;=120, "101 - R$120",W815&lt;=140, "121 - R$140", W815&lt;=160, "141- R$160", W815&lt;=180, "161 - R$180", W815&lt;=200, "181-R$194")</f>
        <v>41- R$60</v>
      </c>
      <c r="Y815" s="13">
        <v>270</v>
      </c>
      <c r="Z815" s="13">
        <v>101</v>
      </c>
      <c r="AA815" s="13">
        <v>0</v>
      </c>
      <c r="AB815" s="13">
        <v>45</v>
      </c>
      <c r="AC815" s="13">
        <v>1</v>
      </c>
      <c r="AD815" s="13">
        <v>1</v>
      </c>
      <c r="AE815" s="13">
        <v>3</v>
      </c>
      <c r="AF815" s="13">
        <v>5</v>
      </c>
      <c r="AG815" s="13">
        <v>1</v>
      </c>
      <c r="AH815" s="13">
        <v>0</v>
      </c>
      <c r="AI815" s="13">
        <v>0</v>
      </c>
      <c r="AJ815" s="13">
        <v>0</v>
      </c>
      <c r="AK815" s="13">
        <v>0</v>
      </c>
      <c r="AL815" s="13">
        <v>0</v>
      </c>
      <c r="AM815" s="13">
        <v>0</v>
      </c>
      <c r="AN815" s="13">
        <v>0</v>
      </c>
      <c r="AO815" s="14">
        <v>0</v>
      </c>
      <c r="AP815" s="13">
        <v>3</v>
      </c>
      <c r="AQ815" s="13">
        <v>11</v>
      </c>
      <c r="AR815" s="15">
        <v>621</v>
      </c>
      <c r="AS815" s="15">
        <v>666</v>
      </c>
    </row>
    <row r="816" spans="1:45" x14ac:dyDescent="0.25">
      <c r="A816">
        <v>1030</v>
      </c>
      <c r="B816" s="11">
        <f t="shared" si="12"/>
        <v>44529</v>
      </c>
      <c r="C816" s="12">
        <v>445290</v>
      </c>
      <c r="D816" s="13">
        <v>0</v>
      </c>
      <c r="E816" s="13">
        <v>1</v>
      </c>
      <c r="F816" s="13">
        <v>98</v>
      </c>
      <c r="G816" s="13">
        <v>54</v>
      </c>
      <c r="H816" s="13" t="str" cm="1">
        <f t="array" ref="H816">_xlfn.IFS(G816&lt;=20,"0-20",G816&lt;=30,"20-30",G816&lt;=40,"30-40",G816&lt;=50,"50-60",G816&lt;=60,"60-70",G816&lt;=70,"70-80",G816&lt;=80,"80-90")</f>
        <v>60-70</v>
      </c>
      <c r="I816" s="13">
        <v>2518</v>
      </c>
      <c r="J816" s="13" t="str" cm="1">
        <f t="array" ref="J816">_xlfn.IFS(K816=1,"Divorciado",L816=1,"Casado",M816=1,"Solteiro",N816=1,"Juntos",O816=1,"Viuvo")</f>
        <v>Casado</v>
      </c>
      <c r="K816" s="13">
        <v>0</v>
      </c>
      <c r="L816" s="13">
        <v>1</v>
      </c>
      <c r="M816" s="13">
        <v>0</v>
      </c>
      <c r="N816" s="13">
        <v>0</v>
      </c>
      <c r="O816" s="13">
        <v>0</v>
      </c>
      <c r="P816" s="13">
        <v>0</v>
      </c>
      <c r="Q816" s="13">
        <v>0</v>
      </c>
      <c r="R816" s="13">
        <v>1</v>
      </c>
      <c r="S816" s="13">
        <v>0</v>
      </c>
      <c r="T816" s="13">
        <v>0</v>
      </c>
      <c r="U816" s="13">
        <v>538</v>
      </c>
      <c r="V816" s="13" t="str" cm="1">
        <f t="array" ref="V816">_xlfn.IFS(U816&lt;=250,"0-R$250",U816&lt;=500,"251-R$500",U816&lt;=750,"501-R$750",U816&lt;=1000,"751-R$1000",U816&lt;=1250,"1001-R$1250",U816&lt;=1500,"1251-R$1500")</f>
        <v>501-R$750</v>
      </c>
      <c r="W816" s="13">
        <v>13</v>
      </c>
      <c r="X816" s="13" t="str" cm="1">
        <f t="array" ref="X816">_xlfn.IFS(W816 = 0, "0", W816&lt;=20, "até R$20",W816&lt;=40, "21 - R$40",W816&lt;=60, "41- R$60",W816&lt;=80, "61 - R$80", W816&lt;=100, "81 - R$100",W816&lt;=120, "101 - R$120",W816&lt;=140, "121 - R$140", W816&lt;=160, "141- R$160", W816&lt;=180, "161 - R$180", W816&lt;=200, "181-R$194")</f>
        <v>até R$20</v>
      </c>
      <c r="Y816" s="13">
        <v>91</v>
      </c>
      <c r="Z816" s="13">
        <v>17</v>
      </c>
      <c r="AA816" s="13">
        <v>6</v>
      </c>
      <c r="AB816" s="13">
        <v>26</v>
      </c>
      <c r="AC816" s="13">
        <v>6</v>
      </c>
      <c r="AD816" s="13">
        <v>6</v>
      </c>
      <c r="AE816" s="13">
        <v>2</v>
      </c>
      <c r="AF816" s="13">
        <v>11</v>
      </c>
      <c r="AG816" s="13">
        <v>5</v>
      </c>
      <c r="AH816" s="13">
        <v>0</v>
      </c>
      <c r="AI816" s="13">
        <v>0</v>
      </c>
      <c r="AJ816" s="13">
        <v>1</v>
      </c>
      <c r="AK816" s="13">
        <v>0</v>
      </c>
      <c r="AL816" s="13">
        <v>0</v>
      </c>
      <c r="AM816" s="13">
        <v>0</v>
      </c>
      <c r="AN816" s="13">
        <v>0</v>
      </c>
      <c r="AO816" s="14">
        <v>1</v>
      </c>
      <c r="AP816" s="13">
        <v>3</v>
      </c>
      <c r="AQ816" s="13">
        <v>11</v>
      </c>
      <c r="AR816" s="15">
        <v>639</v>
      </c>
      <c r="AS816" s="15">
        <v>665</v>
      </c>
    </row>
    <row r="817" spans="1:45" x14ac:dyDescent="0.25">
      <c r="A817">
        <v>838</v>
      </c>
      <c r="B817" s="11">
        <f t="shared" si="12"/>
        <v>55357</v>
      </c>
      <c r="C817" s="12">
        <v>553570</v>
      </c>
      <c r="D817" s="13">
        <v>2</v>
      </c>
      <c r="E817" s="13">
        <v>0</v>
      </c>
      <c r="F817" s="13">
        <v>66</v>
      </c>
      <c r="G817" s="13">
        <v>35</v>
      </c>
      <c r="H817" s="13" t="str" cm="1">
        <f t="array" ref="H817">_xlfn.IFS(G817&lt;=20,"0-20",G817&lt;=30,"20-30",G817&lt;=40,"30-40",G817&lt;=50,"50-60",G817&lt;=60,"60-70",G817&lt;=70,"70-80",G817&lt;=80,"80-90")</f>
        <v>30-40</v>
      </c>
      <c r="I817" s="13">
        <v>2654</v>
      </c>
      <c r="J817" s="13" t="str" cm="1">
        <f t="array" ref="J817">_xlfn.IFS(K817=1,"Divorciado",L817=1,"Casado",M817=1,"Solteiro",N817=1,"Juntos",O817=1,"Viuvo")</f>
        <v>Casado</v>
      </c>
      <c r="K817" s="13">
        <v>0</v>
      </c>
      <c r="L817" s="13">
        <v>1</v>
      </c>
      <c r="M817" s="13">
        <v>0</v>
      </c>
      <c r="N817" s="13">
        <v>0</v>
      </c>
      <c r="O817" s="13">
        <v>0</v>
      </c>
      <c r="P817" s="13">
        <v>0</v>
      </c>
      <c r="Q817" s="13">
        <v>0</v>
      </c>
      <c r="R817" s="13">
        <v>1</v>
      </c>
      <c r="S817" s="13">
        <v>0</v>
      </c>
      <c r="T817" s="13">
        <v>0</v>
      </c>
      <c r="U817" s="13">
        <v>374</v>
      </c>
      <c r="V817" s="13" t="str" cm="1">
        <f t="array" ref="V817">_xlfn.IFS(U817&lt;=250,"0-R$250",U817&lt;=500,"251-R$500",U817&lt;=750,"501-R$750",U817&lt;=1000,"751-R$1000",U817&lt;=1250,"1001-R$1250",U817&lt;=1500,"1251-R$1500")</f>
        <v>251-R$500</v>
      </c>
      <c r="W817" s="13">
        <v>64</v>
      </c>
      <c r="X817" s="13" t="str" cm="1">
        <f t="array" ref="X817">_xlfn.IFS(W817 = 0, "0", W817&lt;=20, "até R$20",W817&lt;=40, "21 - R$40",W817&lt;=60, "41- R$60",W817&lt;=80, "61 - R$80", W817&lt;=100, "81 - R$100",W817&lt;=120, "101 - R$120",W817&lt;=140, "121 - R$140", W817&lt;=160, "141- R$160", W817&lt;=180, "161 - R$180", W817&lt;=200, "181-R$194")</f>
        <v>61 - R$80</v>
      </c>
      <c r="Y817" s="13">
        <v>116</v>
      </c>
      <c r="Z817" s="13">
        <v>84</v>
      </c>
      <c r="AA817" s="13">
        <v>25</v>
      </c>
      <c r="AB817" s="13">
        <v>64</v>
      </c>
      <c r="AC817" s="13">
        <v>3</v>
      </c>
      <c r="AD817" s="13">
        <v>6</v>
      </c>
      <c r="AE817" s="13">
        <v>2</v>
      </c>
      <c r="AF817" s="13">
        <v>11</v>
      </c>
      <c r="AG817" s="13">
        <v>5</v>
      </c>
      <c r="AH817" s="13">
        <v>0</v>
      </c>
      <c r="AI817" s="13">
        <v>0</v>
      </c>
      <c r="AJ817" s="13">
        <v>0</v>
      </c>
      <c r="AK817" s="13">
        <v>0</v>
      </c>
      <c r="AL817" s="13">
        <v>0</v>
      </c>
      <c r="AM817" s="13">
        <v>0</v>
      </c>
      <c r="AN817" s="13">
        <v>0</v>
      </c>
      <c r="AO817" s="14">
        <v>0</v>
      </c>
      <c r="AP817" s="13">
        <v>3</v>
      </c>
      <c r="AQ817" s="13">
        <v>11</v>
      </c>
      <c r="AR817" s="15">
        <v>599</v>
      </c>
      <c r="AS817" s="15">
        <v>663</v>
      </c>
    </row>
    <row r="818" spans="1:45" x14ac:dyDescent="0.25">
      <c r="A818">
        <v>877</v>
      </c>
      <c r="B818" s="11">
        <f t="shared" si="12"/>
        <v>64090</v>
      </c>
      <c r="C818" s="16">
        <v>640900</v>
      </c>
      <c r="D818" s="17">
        <v>0</v>
      </c>
      <c r="E818" s="17">
        <v>1</v>
      </c>
      <c r="F818" s="17">
        <v>8</v>
      </c>
      <c r="G818" s="17">
        <v>64</v>
      </c>
      <c r="H818" s="13" t="str" cm="1">
        <f t="array" ref="H818">_xlfn.IFS(G818&lt;=20,"0-20",G818&lt;=30,"20-30",G818&lt;=40,"30-40",G818&lt;=50,"50-60",G818&lt;=60,"60-70",G818&lt;=70,"70-80",G818&lt;=80,"80-90")</f>
        <v>70-80</v>
      </c>
      <c r="I818" s="17">
        <v>2485</v>
      </c>
      <c r="J818" s="13" t="str" cm="1">
        <f t="array" ref="J818">_xlfn.IFS(K818=1,"Divorciado",L818=1,"Casado",M818=1,"Solteiro",N818=1,"Juntos",O818=1,"Viuvo")</f>
        <v>Juntos</v>
      </c>
      <c r="K818" s="17">
        <v>0</v>
      </c>
      <c r="L818" s="17">
        <v>0</v>
      </c>
      <c r="M818" s="17">
        <v>0</v>
      </c>
      <c r="N818" s="17">
        <v>1</v>
      </c>
      <c r="O818" s="17">
        <v>0</v>
      </c>
      <c r="P818" s="17">
        <v>0</v>
      </c>
      <c r="Q818" s="17">
        <v>0</v>
      </c>
      <c r="R818" s="17">
        <v>1</v>
      </c>
      <c r="S818" s="17">
        <v>0</v>
      </c>
      <c r="T818" s="17">
        <v>0</v>
      </c>
      <c r="U818" s="17">
        <v>316</v>
      </c>
      <c r="V818" s="13" t="str" cm="1">
        <f t="array" ref="V818">_xlfn.IFS(U818&lt;=250,"0-R$250",U818&lt;=500,"251-R$500",U818&lt;=750,"501-R$750",U818&lt;=1000,"751-R$1000",U818&lt;=1250,"1001-R$1250",U818&lt;=1500,"1251-R$1500")</f>
        <v>251-R$500</v>
      </c>
      <c r="W818" s="17">
        <v>58</v>
      </c>
      <c r="X818" s="13" t="str" cm="1">
        <f t="array" ref="X818">_xlfn.IFS(W818 = 0, "0", W818&lt;=20, "até R$20",W818&lt;=40, "21 - R$40",W818&lt;=60, "41- R$60",W818&lt;=80, "61 - R$80", W818&lt;=100, "81 - R$100",W818&lt;=120, "101 - R$120",W818&lt;=140, "121 - R$140", W818&lt;=160, "141- R$160", W818&lt;=180, "161 - R$180", W818&lt;=200, "181-R$194")</f>
        <v>41- R$60</v>
      </c>
      <c r="Y818" s="17">
        <v>161</v>
      </c>
      <c r="Z818" s="17">
        <v>76</v>
      </c>
      <c r="AA818" s="17">
        <v>51</v>
      </c>
      <c r="AB818" s="17">
        <v>135</v>
      </c>
      <c r="AC818" s="17">
        <v>1</v>
      </c>
      <c r="AD818" s="17">
        <v>6</v>
      </c>
      <c r="AE818" s="17">
        <v>9</v>
      </c>
      <c r="AF818" s="17">
        <v>4</v>
      </c>
      <c r="AG818" s="17">
        <v>5</v>
      </c>
      <c r="AH818" s="17">
        <v>0</v>
      </c>
      <c r="AI818" s="17">
        <v>0</v>
      </c>
      <c r="AJ818" s="17">
        <v>0</v>
      </c>
      <c r="AK818" s="17">
        <v>0</v>
      </c>
      <c r="AL818" s="17">
        <v>0</v>
      </c>
      <c r="AM818" s="17">
        <v>0</v>
      </c>
      <c r="AN818" s="17">
        <v>1</v>
      </c>
      <c r="AO818" s="18">
        <v>0</v>
      </c>
      <c r="AP818" s="17">
        <v>3</v>
      </c>
      <c r="AQ818" s="17">
        <v>11</v>
      </c>
      <c r="AR818" s="19">
        <v>527</v>
      </c>
      <c r="AS818" s="19">
        <v>662</v>
      </c>
    </row>
    <row r="819" spans="1:45" x14ac:dyDescent="0.25">
      <c r="A819">
        <v>1247</v>
      </c>
      <c r="B819" s="11">
        <f t="shared" si="12"/>
        <v>53378</v>
      </c>
      <c r="C819" s="16">
        <v>533780</v>
      </c>
      <c r="D819" s="17">
        <v>1</v>
      </c>
      <c r="E819" s="17">
        <v>1</v>
      </c>
      <c r="F819" s="17">
        <v>41</v>
      </c>
      <c r="G819" s="17">
        <v>57</v>
      </c>
      <c r="H819" s="13" t="str" cm="1">
        <f t="array" ref="H819">_xlfn.IFS(G819&lt;=20,"0-20",G819&lt;=30,"20-30",G819&lt;=40,"30-40",G819&lt;=50,"50-60",G819&lt;=60,"60-70",G819&lt;=70,"70-80",G819&lt;=80,"80-90")</f>
        <v>60-70</v>
      </c>
      <c r="I819" s="17">
        <v>2802</v>
      </c>
      <c r="J819" s="13" t="str" cm="1">
        <f t="array" ref="J819">_xlfn.IFS(K819=1,"Divorciado",L819=1,"Casado",M819=1,"Solteiro",N819=1,"Juntos",O819=1,"Viuvo")</f>
        <v>Casado</v>
      </c>
      <c r="K819" s="17">
        <v>0</v>
      </c>
      <c r="L819" s="17">
        <v>1</v>
      </c>
      <c r="M819" s="17">
        <v>0</v>
      </c>
      <c r="N819" s="17">
        <v>0</v>
      </c>
      <c r="O819" s="17">
        <v>0</v>
      </c>
      <c r="P819" s="17">
        <v>0</v>
      </c>
      <c r="Q819" s="17">
        <v>0</v>
      </c>
      <c r="R819" s="17">
        <v>0</v>
      </c>
      <c r="S819" s="17">
        <v>0</v>
      </c>
      <c r="T819" s="17">
        <v>1</v>
      </c>
      <c r="U819" s="17">
        <v>489</v>
      </c>
      <c r="V819" s="13" t="str" cm="1">
        <f t="array" ref="V819">_xlfn.IFS(U819&lt;=250,"0-R$250",U819&lt;=500,"251-R$500",U819&lt;=750,"501-R$750",U819&lt;=1000,"751-R$1000",U819&lt;=1250,"1001-R$1250",U819&lt;=1500,"1251-R$1500")</f>
        <v>251-R$500</v>
      </c>
      <c r="W819" s="17">
        <v>6</v>
      </c>
      <c r="X819" s="13" t="str" cm="1">
        <f t="array" ref="X819">_xlfn.IFS(W819 = 0, "0", W819&lt;=20, "até R$20",W819&lt;=40, "21 - R$40",W819&lt;=60, "41- R$60",W819&lt;=80, "61 - R$80", W819&lt;=100, "81 - R$100",W819&lt;=120, "101 - R$120",W819&lt;=140, "121 - R$140", W819&lt;=160, "141- R$160", W819&lt;=180, "161 - R$180", W819&lt;=200, "181-R$194")</f>
        <v>até R$20</v>
      </c>
      <c r="Y819" s="17">
        <v>152</v>
      </c>
      <c r="Z819" s="17">
        <v>8</v>
      </c>
      <c r="AA819" s="17">
        <v>6</v>
      </c>
      <c r="AB819" s="17">
        <v>132</v>
      </c>
      <c r="AC819" s="17">
        <v>10</v>
      </c>
      <c r="AD819" s="17">
        <v>9</v>
      </c>
      <c r="AE819" s="17">
        <v>4</v>
      </c>
      <c r="AF819" s="17">
        <v>6</v>
      </c>
      <c r="AG819" s="17">
        <v>8</v>
      </c>
      <c r="AH819" s="17">
        <v>0</v>
      </c>
      <c r="AI819" s="17">
        <v>0</v>
      </c>
      <c r="AJ819" s="17">
        <v>0</v>
      </c>
      <c r="AK819" s="17">
        <v>0</v>
      </c>
      <c r="AL819" s="17">
        <v>0</v>
      </c>
      <c r="AM819" s="17">
        <v>0</v>
      </c>
      <c r="AN819" s="17">
        <v>1</v>
      </c>
      <c r="AO819" s="18">
        <v>0</v>
      </c>
      <c r="AP819" s="17">
        <v>3</v>
      </c>
      <c r="AQ819" s="17">
        <v>11</v>
      </c>
      <c r="AR819" s="19">
        <v>529</v>
      </c>
      <c r="AS819" s="19">
        <v>661</v>
      </c>
    </row>
    <row r="820" spans="1:45" x14ac:dyDescent="0.25">
      <c r="A820">
        <v>2169</v>
      </c>
      <c r="B820" s="11">
        <f t="shared" si="12"/>
        <v>57731</v>
      </c>
      <c r="C820" s="16">
        <v>577310</v>
      </c>
      <c r="D820" s="17">
        <v>0</v>
      </c>
      <c r="E820" s="17">
        <v>1</v>
      </c>
      <c r="F820" s="17">
        <v>0</v>
      </c>
      <c r="G820" s="17">
        <v>51</v>
      </c>
      <c r="H820" s="13" t="str" cm="1">
        <f t="array" ref="H820">_xlfn.IFS(G820&lt;=20,"0-20",G820&lt;=30,"20-30",G820&lt;=40,"30-40",G820&lt;=50,"50-60",G820&lt;=60,"60-70",G820&lt;=70,"70-80",G820&lt;=80,"80-90")</f>
        <v>60-70</v>
      </c>
      <c r="I820" s="17">
        <v>2742</v>
      </c>
      <c r="J820" s="13" t="str" cm="1">
        <f t="array" ref="J820">_xlfn.IFS(K820=1,"Divorciado",L820=1,"Casado",M820=1,"Solteiro",N820=1,"Juntos",O820=1,"Viuvo")</f>
        <v>Solteiro</v>
      </c>
      <c r="K820" s="17">
        <v>0</v>
      </c>
      <c r="L820" s="17">
        <v>0</v>
      </c>
      <c r="M820" s="17">
        <v>1</v>
      </c>
      <c r="N820" s="17">
        <v>0</v>
      </c>
      <c r="O820" s="17">
        <v>0</v>
      </c>
      <c r="P820" s="17">
        <v>0</v>
      </c>
      <c r="Q820" s="17">
        <v>0</v>
      </c>
      <c r="R820" s="17">
        <v>1</v>
      </c>
      <c r="S820" s="17">
        <v>0</v>
      </c>
      <c r="T820" s="17">
        <v>0</v>
      </c>
      <c r="U820" s="17">
        <v>266</v>
      </c>
      <c r="V820" s="13" t="str" cm="1">
        <f t="array" ref="V820">_xlfn.IFS(U820&lt;=250,"0-R$250",U820&lt;=500,"251-R$500",U820&lt;=750,"501-R$750",U820&lt;=1000,"751-R$1000",U820&lt;=1250,"1001-R$1250",U820&lt;=1500,"1251-R$1500")</f>
        <v>251-R$500</v>
      </c>
      <c r="W820" s="17">
        <v>21</v>
      </c>
      <c r="X820" s="13" t="str" cm="1">
        <f t="array" ref="X820">_xlfn.IFS(W820 = 0, "0", W820&lt;=20, "até R$20",W820&lt;=40, "21 - R$40",W820&lt;=60, "41- R$60",W820&lt;=80, "61 - R$80", W820&lt;=100, "81 - R$100",W820&lt;=120, "101 - R$120",W820&lt;=140, "121 - R$140", W820&lt;=160, "141- R$160", W820&lt;=180, "161 - R$180", W820&lt;=200, "181-R$194")</f>
        <v>21 - R$40</v>
      </c>
      <c r="Y820" s="17">
        <v>300</v>
      </c>
      <c r="Z820" s="17">
        <v>65</v>
      </c>
      <c r="AA820" s="17">
        <v>8</v>
      </c>
      <c r="AB820" s="17">
        <v>44</v>
      </c>
      <c r="AC820" s="17">
        <v>4</v>
      </c>
      <c r="AD820" s="17">
        <v>8</v>
      </c>
      <c r="AE820" s="17">
        <v>8</v>
      </c>
      <c r="AF820" s="17">
        <v>6</v>
      </c>
      <c r="AG820" s="17">
        <v>6</v>
      </c>
      <c r="AH820" s="17">
        <v>0</v>
      </c>
      <c r="AI820" s="17">
        <v>0</v>
      </c>
      <c r="AJ820" s="17">
        <v>0</v>
      </c>
      <c r="AK820" s="17">
        <v>0</v>
      </c>
      <c r="AL820" s="17">
        <v>0</v>
      </c>
      <c r="AM820" s="17">
        <v>0</v>
      </c>
      <c r="AN820" s="17">
        <v>0</v>
      </c>
      <c r="AO820" s="18">
        <v>0</v>
      </c>
      <c r="AP820" s="17">
        <v>3</v>
      </c>
      <c r="AQ820" s="17">
        <v>11</v>
      </c>
      <c r="AR820" s="19">
        <v>616</v>
      </c>
      <c r="AS820" s="19">
        <v>660</v>
      </c>
    </row>
    <row r="821" spans="1:45" x14ac:dyDescent="0.25">
      <c r="A821">
        <v>1848</v>
      </c>
      <c r="B821" s="11">
        <f t="shared" si="12"/>
        <v>60200</v>
      </c>
      <c r="C821" s="12">
        <v>602000</v>
      </c>
      <c r="D821" s="13">
        <v>0</v>
      </c>
      <c r="E821" s="13">
        <v>1</v>
      </c>
      <c r="F821" s="13">
        <v>3</v>
      </c>
      <c r="G821" s="13">
        <v>72</v>
      </c>
      <c r="H821" s="13" t="str" cm="1">
        <f t="array" ref="H821">_xlfn.IFS(G821&lt;=20,"0-20",G821&lt;=30,"20-30",G821&lt;=40,"30-40",G821&lt;=50,"50-60",G821&lt;=60,"60-70",G821&lt;=70,"70-80",G821&lt;=80,"80-90")</f>
        <v>80-90</v>
      </c>
      <c r="I821" s="13">
        <v>2702</v>
      </c>
      <c r="J821" s="13" t="str" cm="1">
        <f t="array" ref="J821">_xlfn.IFS(K821=1,"Divorciado",L821=1,"Casado",M821=1,"Solteiro",N821=1,"Juntos",O821=1,"Viuvo")</f>
        <v>Solteiro</v>
      </c>
      <c r="K821" s="13">
        <v>0</v>
      </c>
      <c r="L821" s="13">
        <v>0</v>
      </c>
      <c r="M821" s="13">
        <v>1</v>
      </c>
      <c r="N821" s="13">
        <v>0</v>
      </c>
      <c r="O821" s="13">
        <v>0</v>
      </c>
      <c r="P821" s="13">
        <v>0</v>
      </c>
      <c r="Q821" s="13">
        <v>0</v>
      </c>
      <c r="R821" s="13">
        <v>0</v>
      </c>
      <c r="S821" s="13">
        <v>0</v>
      </c>
      <c r="T821" s="13">
        <v>1</v>
      </c>
      <c r="U821" s="13">
        <v>502</v>
      </c>
      <c r="V821" s="13" t="str" cm="1">
        <f t="array" ref="V821">_xlfn.IFS(U821&lt;=250,"0-R$250",U821&lt;=500,"251-R$500",U821&lt;=750,"501-R$750",U821&lt;=1000,"751-R$1000",U821&lt;=1250,"1001-R$1250",U821&lt;=1500,"1251-R$1500")</f>
        <v>501-R$750</v>
      </c>
      <c r="W821" s="13">
        <v>19</v>
      </c>
      <c r="X821" s="13" t="str" cm="1">
        <f t="array" ref="X821">_xlfn.IFS(W821 = 0, "0", W821&lt;=20, "até R$20",W821&lt;=40, "21 - R$40",W821&lt;=60, "41- R$60",W821&lt;=80, "61 - R$80", W821&lt;=100, "81 - R$100",W821&lt;=120, "101 - R$120",W821&lt;=140, "121 - R$140", W821&lt;=160, "141- R$160", W821&lt;=180, "161 - R$180", W821&lt;=200, "181-R$194")</f>
        <v>até R$20</v>
      </c>
      <c r="Y821" s="13">
        <v>132</v>
      </c>
      <c r="Z821" s="13">
        <v>0</v>
      </c>
      <c r="AA821" s="13">
        <v>6</v>
      </c>
      <c r="AB821" s="13">
        <v>26</v>
      </c>
      <c r="AC821" s="13">
        <v>6</v>
      </c>
      <c r="AD821" s="13">
        <v>6</v>
      </c>
      <c r="AE821" s="13">
        <v>2</v>
      </c>
      <c r="AF821" s="13">
        <v>11</v>
      </c>
      <c r="AG821" s="13">
        <v>6</v>
      </c>
      <c r="AH821" s="13">
        <v>0</v>
      </c>
      <c r="AI821" s="13">
        <v>0</v>
      </c>
      <c r="AJ821" s="13">
        <v>0</v>
      </c>
      <c r="AK821" s="13">
        <v>0</v>
      </c>
      <c r="AL821" s="13">
        <v>0</v>
      </c>
      <c r="AM821" s="13">
        <v>0</v>
      </c>
      <c r="AN821" s="13">
        <v>0</v>
      </c>
      <c r="AO821" s="14">
        <v>0</v>
      </c>
      <c r="AP821" s="13">
        <v>3</v>
      </c>
      <c r="AQ821" s="13">
        <v>11</v>
      </c>
      <c r="AR821" s="15">
        <v>633</v>
      </c>
      <c r="AS821" s="15">
        <v>659</v>
      </c>
    </row>
    <row r="822" spans="1:45" x14ac:dyDescent="0.25">
      <c r="A822">
        <v>661</v>
      </c>
      <c r="B822" s="11">
        <f t="shared" si="12"/>
        <v>65295</v>
      </c>
      <c r="C822" s="16">
        <v>652950</v>
      </c>
      <c r="D822" s="17">
        <v>0</v>
      </c>
      <c r="E822" s="17">
        <v>0</v>
      </c>
      <c r="F822" s="17">
        <v>19</v>
      </c>
      <c r="G822" s="17">
        <v>40</v>
      </c>
      <c r="H822" s="13" t="str" cm="1">
        <f t="array" ref="H822">_xlfn.IFS(G822&lt;=20,"0-20",G822&lt;=30,"20-30",G822&lt;=40,"30-40",G822&lt;=50,"50-60",G822&lt;=60,"60-70",G822&lt;=70,"70-80",G822&lt;=80,"80-90")</f>
        <v>30-40</v>
      </c>
      <c r="I822" s="17">
        <v>2347</v>
      </c>
      <c r="J822" s="13" t="str" cm="1">
        <f t="array" ref="J822">_xlfn.IFS(K822=1,"Divorciado",L822=1,"Casado",M822=1,"Solteiro",N822=1,"Juntos",O822=1,"Viuvo")</f>
        <v>Solteiro</v>
      </c>
      <c r="K822" s="17">
        <v>0</v>
      </c>
      <c r="L822" s="17">
        <v>0</v>
      </c>
      <c r="M822" s="17">
        <v>1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1</v>
      </c>
      <c r="U822" s="17">
        <v>365</v>
      </c>
      <c r="V822" s="13" t="str" cm="1">
        <f t="array" ref="V822">_xlfn.IFS(U822&lt;=250,"0-R$250",U822&lt;=500,"251-R$500",U822&lt;=750,"501-R$750",U822&lt;=1000,"751-R$1000",U822&lt;=1250,"1001-R$1250",U822&lt;=1500,"1251-R$1500")</f>
        <v>251-R$500</v>
      </c>
      <c r="W822" s="17">
        <v>32</v>
      </c>
      <c r="X822" s="13" t="str" cm="1">
        <f t="array" ref="X822">_xlfn.IFS(W822 = 0, "0", W822&lt;=20, "até R$20",W822&lt;=40, "21 - R$40",W822&lt;=60, "41- R$60",W822&lt;=80, "61 - R$80", W822&lt;=100, "81 - R$100",W822&lt;=120, "101 - R$120",W822&lt;=140, "121 - R$140", W822&lt;=160, "141- R$160", W822&lt;=180, "161 - R$180", W822&lt;=200, "181-R$194")</f>
        <v>21 - R$40</v>
      </c>
      <c r="Y822" s="17">
        <v>117</v>
      </c>
      <c r="Z822" s="17">
        <v>34</v>
      </c>
      <c r="AA822" s="17">
        <v>110</v>
      </c>
      <c r="AB822" s="17">
        <v>6</v>
      </c>
      <c r="AC822" s="17">
        <v>1</v>
      </c>
      <c r="AD822" s="17">
        <v>3</v>
      </c>
      <c r="AE822" s="17">
        <v>3</v>
      </c>
      <c r="AF822" s="17">
        <v>13</v>
      </c>
      <c r="AG822" s="17">
        <v>2</v>
      </c>
      <c r="AH822" s="17">
        <v>0</v>
      </c>
      <c r="AI822" s="17">
        <v>0</v>
      </c>
      <c r="AJ822" s="17">
        <v>0</v>
      </c>
      <c r="AK822" s="17">
        <v>0</v>
      </c>
      <c r="AL822" s="17">
        <v>0</v>
      </c>
      <c r="AM822" s="17">
        <v>0</v>
      </c>
      <c r="AN822" s="17">
        <v>0</v>
      </c>
      <c r="AO822" s="18">
        <v>0</v>
      </c>
      <c r="AP822" s="17">
        <v>3</v>
      </c>
      <c r="AQ822" s="17">
        <v>11</v>
      </c>
      <c r="AR822" s="19">
        <v>652</v>
      </c>
      <c r="AS822" s="19">
        <v>658</v>
      </c>
    </row>
    <row r="823" spans="1:45" x14ac:dyDescent="0.25">
      <c r="A823">
        <v>1904</v>
      </c>
      <c r="B823" s="11">
        <f t="shared" si="12"/>
        <v>62694</v>
      </c>
      <c r="C823" s="12">
        <v>626940</v>
      </c>
      <c r="D823" s="13">
        <v>1</v>
      </c>
      <c r="E823" s="13">
        <v>1</v>
      </c>
      <c r="F823" s="13">
        <v>29</v>
      </c>
      <c r="G823" s="13">
        <v>55</v>
      </c>
      <c r="H823" s="13" t="str" cm="1">
        <f t="array" ref="H823">_xlfn.IFS(G823&lt;=20,"0-20",G823&lt;=30,"20-30",G823&lt;=40,"30-40",G823&lt;=50,"50-60",G823&lt;=60,"60-70",G823&lt;=70,"70-80",G823&lt;=80,"80-90")</f>
        <v>60-70</v>
      </c>
      <c r="I823" s="13">
        <v>2536</v>
      </c>
      <c r="J823" s="13" t="str" cm="1">
        <f t="array" ref="J823">_xlfn.IFS(K823=1,"Divorciado",L823=1,"Casado",M823=1,"Solteiro",N823=1,"Juntos",O823=1,"Viuvo")</f>
        <v>Casado</v>
      </c>
      <c r="K823" s="13">
        <v>0</v>
      </c>
      <c r="L823" s="13">
        <v>1</v>
      </c>
      <c r="M823" s="13">
        <v>0</v>
      </c>
      <c r="N823" s="13">
        <v>0</v>
      </c>
      <c r="O823" s="13">
        <v>0</v>
      </c>
      <c r="P823" s="13">
        <v>0</v>
      </c>
      <c r="Q823" s="13">
        <v>0</v>
      </c>
      <c r="R823" s="13">
        <v>0</v>
      </c>
      <c r="S823" s="13">
        <v>1</v>
      </c>
      <c r="T823" s="13">
        <v>0</v>
      </c>
      <c r="U823" s="13">
        <v>379</v>
      </c>
      <c r="V823" s="13" t="str" cm="1">
        <f t="array" ref="V823">_xlfn.IFS(U823&lt;=250,"0-R$250",U823&lt;=500,"251-R$500",U823&lt;=750,"501-R$750",U823&lt;=1000,"751-R$1000",U823&lt;=1250,"1001-R$1250",U823&lt;=1500,"1251-R$1500")</f>
        <v>251-R$500</v>
      </c>
      <c r="W823" s="13">
        <v>6</v>
      </c>
      <c r="X823" s="13" t="str" cm="1">
        <f t="array" ref="X823">_xlfn.IFS(W823 = 0, "0", W823&lt;=20, "até R$20",W823&lt;=40, "21 - R$40",W823&lt;=60, "41- R$60",W823&lt;=80, "61 - R$80", W823&lt;=100, "81 - R$100",W823&lt;=120, "101 - R$120",W823&lt;=140, "121 - R$140", W823&lt;=160, "141- R$160", W823&lt;=180, "161 - R$180", W823&lt;=200, "181-R$194")</f>
        <v>até R$20</v>
      </c>
      <c r="Y823" s="13">
        <v>157</v>
      </c>
      <c r="Z823" s="13">
        <v>25</v>
      </c>
      <c r="AA823" s="13">
        <v>91</v>
      </c>
      <c r="AB823" s="13">
        <v>91</v>
      </c>
      <c r="AC823" s="13">
        <v>5</v>
      </c>
      <c r="AD823" s="13">
        <v>9</v>
      </c>
      <c r="AE823" s="13">
        <v>3</v>
      </c>
      <c r="AF823" s="13">
        <v>7</v>
      </c>
      <c r="AG823" s="13">
        <v>7</v>
      </c>
      <c r="AH823" s="13">
        <v>0</v>
      </c>
      <c r="AI823" s="13">
        <v>0</v>
      </c>
      <c r="AJ823" s="13">
        <v>0</v>
      </c>
      <c r="AK823" s="13">
        <v>0</v>
      </c>
      <c r="AL823" s="13">
        <v>0</v>
      </c>
      <c r="AM823" s="13">
        <v>0</v>
      </c>
      <c r="AN823" s="13">
        <v>0</v>
      </c>
      <c r="AO823" s="14">
        <v>0</v>
      </c>
      <c r="AP823" s="13">
        <v>3</v>
      </c>
      <c r="AQ823" s="13">
        <v>11</v>
      </c>
      <c r="AR823" s="15">
        <v>567</v>
      </c>
      <c r="AS823" s="15">
        <v>658</v>
      </c>
    </row>
    <row r="824" spans="1:45" x14ac:dyDescent="0.25">
      <c r="A824">
        <v>478</v>
      </c>
      <c r="B824" s="11">
        <f t="shared" si="12"/>
        <v>55614</v>
      </c>
      <c r="C824" s="12">
        <v>556140</v>
      </c>
      <c r="D824" s="13">
        <v>0</v>
      </c>
      <c r="E824" s="13">
        <v>0</v>
      </c>
      <c r="F824" s="13">
        <v>85</v>
      </c>
      <c r="G824" s="13">
        <v>76</v>
      </c>
      <c r="H824" s="13" t="str" cm="1">
        <f t="array" ref="H824">_xlfn.IFS(G824&lt;=20,"0-20",G824&lt;=30,"20-30",G824&lt;=40,"30-40",G824&lt;=50,"50-60",G824&lt;=60,"60-70",G824&lt;=70,"70-80",G824&lt;=80,"80-90")</f>
        <v>80-90</v>
      </c>
      <c r="I824" s="13">
        <v>2373</v>
      </c>
      <c r="J824" s="13" t="str" cm="1">
        <f t="array" ref="J824">_xlfn.IFS(K824=1,"Divorciado",L824=1,"Casado",M824=1,"Solteiro",N824=1,"Juntos",O824=1,"Viuvo")</f>
        <v>Divorciado</v>
      </c>
      <c r="K824" s="13">
        <v>1</v>
      </c>
      <c r="L824" s="13">
        <v>0</v>
      </c>
      <c r="M824" s="13">
        <v>0</v>
      </c>
      <c r="N824" s="13">
        <v>0</v>
      </c>
      <c r="O824" s="13">
        <v>0</v>
      </c>
      <c r="P824" s="13">
        <v>0</v>
      </c>
      <c r="Q824" s="13">
        <v>0</v>
      </c>
      <c r="R824" s="13">
        <v>0</v>
      </c>
      <c r="S824" s="13">
        <v>0</v>
      </c>
      <c r="T824" s="13">
        <v>1</v>
      </c>
      <c r="U824" s="13">
        <v>504</v>
      </c>
      <c r="V824" s="13" t="str" cm="1">
        <f t="array" ref="V824">_xlfn.IFS(U824&lt;=250,"0-R$250",U824&lt;=500,"251-R$500",U824&lt;=750,"501-R$750",U824&lt;=1000,"751-R$1000",U824&lt;=1250,"1001-R$1250",U824&lt;=1500,"1251-R$1500")</f>
        <v>501-R$750</v>
      </c>
      <c r="W824" s="13">
        <v>13</v>
      </c>
      <c r="X824" s="13" t="str" cm="1">
        <f t="array" ref="X824">_xlfn.IFS(W824 = 0, "0", W824&lt;=20, "até R$20",W824&lt;=40, "21 - R$40",W824&lt;=60, "41- R$60",W824&lt;=80, "61 - R$80", W824&lt;=100, "81 - R$100",W824&lt;=120, "101 - R$120",W824&lt;=140, "121 - R$140", W824&lt;=160, "141- R$160", W824&lt;=180, "161 - R$180", W824&lt;=200, "181-R$194")</f>
        <v>até R$20</v>
      </c>
      <c r="Y824" s="13">
        <v>131</v>
      </c>
      <c r="Z824" s="13">
        <v>8</v>
      </c>
      <c r="AA824" s="13">
        <v>0</v>
      </c>
      <c r="AB824" s="13">
        <v>26</v>
      </c>
      <c r="AC824" s="13">
        <v>1</v>
      </c>
      <c r="AD824" s="13">
        <v>9</v>
      </c>
      <c r="AE824" s="13">
        <v>4</v>
      </c>
      <c r="AF824" s="13">
        <v>6</v>
      </c>
      <c r="AG824" s="13">
        <v>7</v>
      </c>
      <c r="AH824" s="13">
        <v>0</v>
      </c>
      <c r="AI824" s="13">
        <v>0</v>
      </c>
      <c r="AJ824" s="13">
        <v>1</v>
      </c>
      <c r="AK824" s="13">
        <v>0</v>
      </c>
      <c r="AL824" s="13">
        <v>0</v>
      </c>
      <c r="AM824" s="13">
        <v>0</v>
      </c>
      <c r="AN824" s="13">
        <v>0</v>
      </c>
      <c r="AO824" s="14">
        <v>1</v>
      </c>
      <c r="AP824" s="13">
        <v>3</v>
      </c>
      <c r="AQ824" s="13">
        <v>11</v>
      </c>
      <c r="AR824" s="15">
        <v>630</v>
      </c>
      <c r="AS824" s="15">
        <v>656</v>
      </c>
    </row>
    <row r="825" spans="1:45" x14ac:dyDescent="0.25">
      <c r="A825">
        <v>1186</v>
      </c>
      <c r="B825" s="11">
        <f t="shared" si="12"/>
        <v>50965</v>
      </c>
      <c r="C825" s="12">
        <v>509650</v>
      </c>
      <c r="D825" s="13">
        <v>0</v>
      </c>
      <c r="E825" s="13">
        <v>1</v>
      </c>
      <c r="F825" s="13">
        <v>87</v>
      </c>
      <c r="G825" s="13">
        <v>64</v>
      </c>
      <c r="H825" s="13" t="str" cm="1">
        <f t="array" ref="H825">_xlfn.IFS(G825&lt;=20,"0-20",G825&lt;=30,"20-30",G825&lt;=40,"30-40",G825&lt;=50,"50-60",G825&lt;=60,"60-70",G825&lt;=70,"70-80",G825&lt;=80,"80-90")</f>
        <v>70-80</v>
      </c>
      <c r="I825" s="13">
        <v>2653</v>
      </c>
      <c r="J825" s="13" t="str" cm="1">
        <f t="array" ref="J825">_xlfn.IFS(K825=1,"Divorciado",L825=1,"Casado",M825=1,"Solteiro",N825=1,"Juntos",O825=1,"Viuvo")</f>
        <v>Casado</v>
      </c>
      <c r="K825" s="13">
        <v>0</v>
      </c>
      <c r="L825" s="13">
        <v>1</v>
      </c>
      <c r="M825" s="13">
        <v>0</v>
      </c>
      <c r="N825" s="13">
        <v>0</v>
      </c>
      <c r="O825" s="13">
        <v>0</v>
      </c>
      <c r="P825" s="13">
        <v>0</v>
      </c>
      <c r="Q825" s="13">
        <v>0</v>
      </c>
      <c r="R825" s="13">
        <v>0</v>
      </c>
      <c r="S825" s="13">
        <v>1</v>
      </c>
      <c r="T825" s="13">
        <v>0</v>
      </c>
      <c r="U825" s="13">
        <v>544</v>
      </c>
      <c r="V825" s="13" t="str" cm="1">
        <f t="array" ref="V825">_xlfn.IFS(U825&lt;=250,"0-R$250",U825&lt;=500,"251-R$500",U825&lt;=750,"501-R$750",U825&lt;=1000,"751-R$1000",U825&lt;=1250,"1001-R$1250",U825&lt;=1500,"1251-R$1500")</f>
        <v>501-R$750</v>
      </c>
      <c r="W825" s="13">
        <v>13</v>
      </c>
      <c r="X825" s="13" t="str" cm="1">
        <f t="array" ref="X825">_xlfn.IFS(W825 = 0, "0", W825&lt;=20, "até R$20",W825&lt;=40, "21 - R$40",W825&lt;=60, "41- R$60",W825&lt;=80, "61 - R$80", W825&lt;=100, "81 - R$100",W825&lt;=120, "101 - R$120",W825&lt;=140, "121 - R$140", W825&lt;=160, "141- R$160", W825&lt;=180, "161 - R$180", W825&lt;=200, "181-R$194")</f>
        <v>até R$20</v>
      </c>
      <c r="Y825" s="13">
        <v>85</v>
      </c>
      <c r="Z825" s="13">
        <v>8</v>
      </c>
      <c r="AA825" s="13">
        <v>6</v>
      </c>
      <c r="AB825" s="13">
        <v>29</v>
      </c>
      <c r="AC825" s="13">
        <v>3</v>
      </c>
      <c r="AD825" s="13">
        <v>10</v>
      </c>
      <c r="AE825" s="13">
        <v>4</v>
      </c>
      <c r="AF825" s="13">
        <v>5</v>
      </c>
      <c r="AG825" s="13">
        <v>8</v>
      </c>
      <c r="AH825" s="13">
        <v>0</v>
      </c>
      <c r="AI825" s="13">
        <v>1</v>
      </c>
      <c r="AJ825" s="13">
        <v>0</v>
      </c>
      <c r="AK825" s="13">
        <v>0</v>
      </c>
      <c r="AL825" s="13">
        <v>0</v>
      </c>
      <c r="AM825" s="13">
        <v>0</v>
      </c>
      <c r="AN825" s="13">
        <v>0</v>
      </c>
      <c r="AO825" s="14">
        <v>1</v>
      </c>
      <c r="AP825" s="13">
        <v>3</v>
      </c>
      <c r="AQ825" s="13">
        <v>11</v>
      </c>
      <c r="AR825" s="15">
        <v>627</v>
      </c>
      <c r="AS825" s="15">
        <v>656</v>
      </c>
    </row>
    <row r="826" spans="1:45" x14ac:dyDescent="0.25">
      <c r="A826">
        <v>710</v>
      </c>
      <c r="B826" s="11">
        <f t="shared" si="12"/>
        <v>89891</v>
      </c>
      <c r="C826" s="12">
        <v>898910</v>
      </c>
      <c r="D826" s="13">
        <v>0</v>
      </c>
      <c r="E826" s="13">
        <v>0</v>
      </c>
      <c r="F826" s="13">
        <v>17</v>
      </c>
      <c r="G826" s="13">
        <v>29</v>
      </c>
      <c r="H826" s="13" t="str" cm="1">
        <f t="array" ref="H826">_xlfn.IFS(G826&lt;=20,"0-20",G826&lt;=30,"20-30",G826&lt;=40,"30-40",G826&lt;=50,"50-60",G826&lt;=60,"60-70",G826&lt;=70,"70-80",G826&lt;=80,"80-90")</f>
        <v>20-30</v>
      </c>
      <c r="I826" s="13">
        <v>2599</v>
      </c>
      <c r="J826" s="13" t="str" cm="1">
        <f t="array" ref="J826">_xlfn.IFS(K826=1,"Divorciado",L826=1,"Casado",M826=1,"Solteiro",N826=1,"Juntos",O826=1,"Viuvo")</f>
        <v>Juntos</v>
      </c>
      <c r="K826" s="13">
        <v>0</v>
      </c>
      <c r="L826" s="13">
        <v>0</v>
      </c>
      <c r="M826" s="13">
        <v>0</v>
      </c>
      <c r="N826" s="13">
        <v>1</v>
      </c>
      <c r="O826" s="13">
        <v>0</v>
      </c>
      <c r="P826" s="13">
        <v>0</v>
      </c>
      <c r="Q826" s="13">
        <v>0</v>
      </c>
      <c r="R826" s="13">
        <v>1</v>
      </c>
      <c r="S826" s="13">
        <v>0</v>
      </c>
      <c r="T826" s="13">
        <v>0</v>
      </c>
      <c r="U826" s="13">
        <v>412</v>
      </c>
      <c r="V826" s="13" t="str" cm="1">
        <f t="array" ref="V826">_xlfn.IFS(U826&lt;=250,"0-R$250",U826&lt;=500,"251-R$500",U826&lt;=750,"501-R$750",U826&lt;=1000,"751-R$1000",U826&lt;=1250,"1001-R$1250",U826&lt;=1500,"1251-R$1500")</f>
        <v>251-R$500</v>
      </c>
      <c r="W826" s="13">
        <v>22</v>
      </c>
      <c r="X826" s="13" t="str" cm="1">
        <f t="array" ref="X826">_xlfn.IFS(W826 = 0, "0", W826&lt;=20, "até R$20",W826&lt;=40, "21 - R$40",W826&lt;=60, "41- R$60",W826&lt;=80, "61 - R$80", W826&lt;=100, "81 - R$100",W826&lt;=120, "101 - R$120",W826&lt;=140, "121 - R$140", W826&lt;=160, "141- R$160", W826&lt;=180, "161 - R$180", W826&lt;=200, "181-R$194")</f>
        <v>21 - R$40</v>
      </c>
      <c r="Y826" s="13">
        <v>132</v>
      </c>
      <c r="Z826" s="13">
        <v>59</v>
      </c>
      <c r="AA826" s="13">
        <v>28</v>
      </c>
      <c r="AB826" s="13">
        <v>183</v>
      </c>
      <c r="AC826" s="13">
        <v>1</v>
      </c>
      <c r="AD826" s="13">
        <v>11</v>
      </c>
      <c r="AE826" s="13">
        <v>6</v>
      </c>
      <c r="AF826" s="13">
        <v>8</v>
      </c>
      <c r="AG826" s="13">
        <v>4</v>
      </c>
      <c r="AH826" s="13">
        <v>0</v>
      </c>
      <c r="AI826" s="13">
        <v>0</v>
      </c>
      <c r="AJ826" s="13">
        <v>0</v>
      </c>
      <c r="AK826" s="13">
        <v>1</v>
      </c>
      <c r="AL826" s="13">
        <v>0</v>
      </c>
      <c r="AM826" s="13">
        <v>0</v>
      </c>
      <c r="AN826" s="13">
        <v>0</v>
      </c>
      <c r="AO826" s="14">
        <v>1</v>
      </c>
      <c r="AP826" s="13">
        <v>3</v>
      </c>
      <c r="AQ826" s="13">
        <v>11</v>
      </c>
      <c r="AR826" s="15">
        <v>470</v>
      </c>
      <c r="AS826" s="15">
        <v>653</v>
      </c>
    </row>
    <row r="827" spans="1:45" x14ac:dyDescent="0.25">
      <c r="A827">
        <v>1128</v>
      </c>
      <c r="B827" s="11">
        <f t="shared" si="12"/>
        <v>54450</v>
      </c>
      <c r="C827" s="12">
        <v>544500</v>
      </c>
      <c r="D827" s="13">
        <v>1</v>
      </c>
      <c r="E827" s="13">
        <v>1</v>
      </c>
      <c r="F827" s="13">
        <v>0</v>
      </c>
      <c r="G827" s="13">
        <v>64</v>
      </c>
      <c r="H827" s="13" t="str" cm="1">
        <f t="array" ref="H827">_xlfn.IFS(G827&lt;=20,"0-20",G827&lt;=30,"20-30",G827&lt;=40,"30-40",G827&lt;=50,"50-60",G827&lt;=60,"60-70",G827&lt;=70,"70-80",G827&lt;=80,"80-90")</f>
        <v>70-80</v>
      </c>
      <c r="I827" s="13">
        <v>2812</v>
      </c>
      <c r="J827" s="13" t="str" cm="1">
        <f t="array" ref="J827">_xlfn.IFS(K827=1,"Divorciado",L827=1,"Casado",M827=1,"Solteiro",N827=1,"Juntos",O827=1,"Viuvo")</f>
        <v>Juntos</v>
      </c>
      <c r="K827" s="13">
        <v>0</v>
      </c>
      <c r="L827" s="13">
        <v>0</v>
      </c>
      <c r="M827" s="13">
        <v>0</v>
      </c>
      <c r="N827" s="13">
        <v>1</v>
      </c>
      <c r="O827" s="13">
        <v>0</v>
      </c>
      <c r="P827" s="13">
        <v>0</v>
      </c>
      <c r="Q827" s="13">
        <v>0</v>
      </c>
      <c r="R827" s="13">
        <v>1</v>
      </c>
      <c r="S827" s="13">
        <v>0</v>
      </c>
      <c r="T827" s="13">
        <v>0</v>
      </c>
      <c r="U827" s="13">
        <v>454</v>
      </c>
      <c r="V827" s="13" t="str" cm="1">
        <f t="array" ref="V827">_xlfn.IFS(U827&lt;=250,"0-R$250",U827&lt;=500,"251-R$500",U827&lt;=750,"501-R$750",U827&lt;=1000,"751-R$1000",U827&lt;=1250,"1001-R$1250",U827&lt;=1500,"1251-R$1500")</f>
        <v>251-R$500</v>
      </c>
      <c r="W827" s="13">
        <v>0</v>
      </c>
      <c r="X827" s="13" t="str" cm="1">
        <f t="array" ref="X827">_xlfn.IFS(W827 = 0, "0", W827&lt;=20, "até R$20",W827&lt;=40, "21 - R$40",W827&lt;=60, "41- R$60",W827&lt;=80, "61 - R$80", W827&lt;=100, "81 - R$100",W827&lt;=120, "101 - R$120",W827&lt;=140, "121 - R$140", W827&lt;=160, "141- R$160", W827&lt;=180, "161 - R$180", W827&lt;=200, "181-R$194")</f>
        <v>0</v>
      </c>
      <c r="Y827" s="13">
        <v>171</v>
      </c>
      <c r="Z827" s="13">
        <v>8</v>
      </c>
      <c r="AA827" s="13">
        <v>19</v>
      </c>
      <c r="AB827" s="13">
        <v>32</v>
      </c>
      <c r="AC827" s="13">
        <v>12</v>
      </c>
      <c r="AD827" s="13">
        <v>9</v>
      </c>
      <c r="AE827" s="13">
        <v>2</v>
      </c>
      <c r="AF827" s="13">
        <v>8</v>
      </c>
      <c r="AG827" s="13">
        <v>8</v>
      </c>
      <c r="AH827" s="13">
        <v>0</v>
      </c>
      <c r="AI827" s="13">
        <v>0</v>
      </c>
      <c r="AJ827" s="13">
        <v>0</v>
      </c>
      <c r="AK827" s="13">
        <v>0</v>
      </c>
      <c r="AL827" s="13">
        <v>0</v>
      </c>
      <c r="AM827" s="13">
        <v>0</v>
      </c>
      <c r="AN827" s="13">
        <v>0</v>
      </c>
      <c r="AO827" s="14">
        <v>0</v>
      </c>
      <c r="AP827" s="13">
        <v>3</v>
      </c>
      <c r="AQ827" s="13">
        <v>11</v>
      </c>
      <c r="AR827" s="15">
        <v>620</v>
      </c>
      <c r="AS827" s="15">
        <v>652</v>
      </c>
    </row>
    <row r="828" spans="1:45" x14ac:dyDescent="0.25">
      <c r="A828">
        <v>1142</v>
      </c>
      <c r="B828" s="11">
        <f t="shared" si="12"/>
        <v>54450</v>
      </c>
      <c r="C828" s="12">
        <v>544500</v>
      </c>
      <c r="D828" s="13">
        <v>1</v>
      </c>
      <c r="E828" s="13">
        <v>1</v>
      </c>
      <c r="F828" s="13">
        <v>0</v>
      </c>
      <c r="G828" s="13">
        <v>64</v>
      </c>
      <c r="H828" s="13" t="str" cm="1">
        <f t="array" ref="H828">_xlfn.IFS(G828&lt;=20,"0-20",G828&lt;=30,"20-30",G828&lt;=40,"30-40",G828&lt;=50,"50-60",G828&lt;=60,"60-70",G828&lt;=70,"70-80",G828&lt;=80,"80-90")</f>
        <v>70-80</v>
      </c>
      <c r="I828" s="13">
        <v>2812</v>
      </c>
      <c r="J828" s="13" t="str" cm="1">
        <f t="array" ref="J828">_xlfn.IFS(K828=1,"Divorciado",L828=1,"Casado",M828=1,"Solteiro",N828=1,"Juntos",O828=1,"Viuvo")</f>
        <v>Juntos</v>
      </c>
      <c r="K828" s="13">
        <v>0</v>
      </c>
      <c r="L828" s="13">
        <v>0</v>
      </c>
      <c r="M828" s="13">
        <v>0</v>
      </c>
      <c r="N828" s="13">
        <v>1</v>
      </c>
      <c r="O828" s="13">
        <v>0</v>
      </c>
      <c r="P828" s="13">
        <v>0</v>
      </c>
      <c r="Q828" s="13">
        <v>0</v>
      </c>
      <c r="R828" s="13">
        <v>1</v>
      </c>
      <c r="S828" s="13">
        <v>0</v>
      </c>
      <c r="T828" s="13">
        <v>0</v>
      </c>
      <c r="U828" s="13">
        <v>454</v>
      </c>
      <c r="V828" s="13" t="str" cm="1">
        <f t="array" ref="V828">_xlfn.IFS(U828&lt;=250,"0-R$250",U828&lt;=500,"251-R$500",U828&lt;=750,"501-R$750",U828&lt;=1000,"751-R$1000",U828&lt;=1250,"1001-R$1250",U828&lt;=1500,"1251-R$1500")</f>
        <v>251-R$500</v>
      </c>
      <c r="W828" s="13">
        <v>0</v>
      </c>
      <c r="X828" s="13" t="str" cm="1">
        <f t="array" ref="X828">_xlfn.IFS(W828 = 0, "0", W828&lt;=20, "até R$20",W828&lt;=40, "21 - R$40",W828&lt;=60, "41- R$60",W828&lt;=80, "61 - R$80", W828&lt;=100, "81 - R$100",W828&lt;=120, "101 - R$120",W828&lt;=140, "121 - R$140", W828&lt;=160, "141- R$160", W828&lt;=180, "161 - R$180", W828&lt;=200, "181-R$194")</f>
        <v>0</v>
      </c>
      <c r="Y828" s="13">
        <v>171</v>
      </c>
      <c r="Z828" s="13">
        <v>8</v>
      </c>
      <c r="AA828" s="13">
        <v>19</v>
      </c>
      <c r="AB828" s="13">
        <v>32</v>
      </c>
      <c r="AC828" s="13">
        <v>12</v>
      </c>
      <c r="AD828" s="13">
        <v>9</v>
      </c>
      <c r="AE828" s="13">
        <v>2</v>
      </c>
      <c r="AF828" s="13">
        <v>8</v>
      </c>
      <c r="AG828" s="13">
        <v>8</v>
      </c>
      <c r="AH828" s="13">
        <v>0</v>
      </c>
      <c r="AI828" s="13">
        <v>0</v>
      </c>
      <c r="AJ828" s="13">
        <v>0</v>
      </c>
      <c r="AK828" s="13">
        <v>0</v>
      </c>
      <c r="AL828" s="13">
        <v>0</v>
      </c>
      <c r="AM828" s="13">
        <v>0</v>
      </c>
      <c r="AN828" s="13">
        <v>0</v>
      </c>
      <c r="AO828" s="14">
        <v>0</v>
      </c>
      <c r="AP828" s="13">
        <v>3</v>
      </c>
      <c r="AQ828" s="13">
        <v>11</v>
      </c>
      <c r="AR828" s="15">
        <v>620</v>
      </c>
      <c r="AS828" s="15">
        <v>652</v>
      </c>
    </row>
    <row r="829" spans="1:45" x14ac:dyDescent="0.25">
      <c r="A829">
        <v>2192</v>
      </c>
      <c r="B829" s="11">
        <f t="shared" si="12"/>
        <v>57642</v>
      </c>
      <c r="C829" s="12">
        <v>576420</v>
      </c>
      <c r="D829" s="13">
        <v>0</v>
      </c>
      <c r="E829" s="13">
        <v>1</v>
      </c>
      <c r="F829" s="13">
        <v>24</v>
      </c>
      <c r="G829" s="13">
        <v>50</v>
      </c>
      <c r="H829" s="13" t="str" cm="1">
        <f t="array" ref="H829">_xlfn.IFS(G829&lt;=20,"0-20",G829&lt;=30,"20-30",G829&lt;=40,"30-40",G829&lt;=50,"50-60",G829&lt;=60,"60-70",G829&lt;=70,"70-80",G829&lt;=80,"80-90")</f>
        <v>50-60</v>
      </c>
      <c r="I829" s="13">
        <v>2330</v>
      </c>
      <c r="J829" s="13" t="str" cm="1">
        <f t="array" ref="J829">_xlfn.IFS(K829=1,"Divorciado",L829=1,"Casado",M829=1,"Solteiro",N829=1,"Juntos",O829=1,"Viuvo")</f>
        <v>Solteiro</v>
      </c>
      <c r="K829" s="13">
        <v>0</v>
      </c>
      <c r="L829" s="13">
        <v>0</v>
      </c>
      <c r="M829" s="13">
        <v>1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1</v>
      </c>
      <c r="U829" s="13">
        <v>580</v>
      </c>
      <c r="V829" s="13" t="str" cm="1">
        <f t="array" ref="V829">_xlfn.IFS(U829&lt;=250,"0-R$250",U829&lt;=500,"251-R$500",U829&lt;=750,"501-R$750",U829&lt;=1000,"751-R$1000",U829&lt;=1250,"1001-R$1250",U829&lt;=1500,"1251-R$1500")</f>
        <v>501-R$750</v>
      </c>
      <c r="W829" s="13">
        <v>6</v>
      </c>
      <c r="X829" s="13" t="str" cm="1">
        <f t="array" ref="X829">_xlfn.IFS(W829 = 0, "0", W829&lt;=20, "até R$20",W829&lt;=40, "21 - R$40",W829&lt;=60, "41- R$60",W829&lt;=80, "61 - R$80", W829&lt;=100, "81 - R$100",W829&lt;=120, "101 - R$120",W829&lt;=140, "121 - R$140", W829&lt;=160, "141- R$160", W829&lt;=180, "161 - R$180", W829&lt;=200, "181-R$194")</f>
        <v>até R$20</v>
      </c>
      <c r="Y829" s="13">
        <v>58</v>
      </c>
      <c r="Z829" s="13">
        <v>8</v>
      </c>
      <c r="AA829" s="13">
        <v>0</v>
      </c>
      <c r="AB829" s="13">
        <v>27</v>
      </c>
      <c r="AC829" s="13">
        <v>3</v>
      </c>
      <c r="AD829" s="13">
        <v>7</v>
      </c>
      <c r="AE829" s="13">
        <v>6</v>
      </c>
      <c r="AF829" s="13">
        <v>6</v>
      </c>
      <c r="AG829" s="13">
        <v>4</v>
      </c>
      <c r="AH829" s="13">
        <v>0</v>
      </c>
      <c r="AI829" s="13">
        <v>1</v>
      </c>
      <c r="AJ829" s="13">
        <v>0</v>
      </c>
      <c r="AK829" s="13">
        <v>0</v>
      </c>
      <c r="AL829" s="13">
        <v>0</v>
      </c>
      <c r="AM829" s="13">
        <v>0</v>
      </c>
      <c r="AN829" s="13">
        <v>0</v>
      </c>
      <c r="AO829" s="14">
        <v>1</v>
      </c>
      <c r="AP829" s="13">
        <v>3</v>
      </c>
      <c r="AQ829" s="13">
        <v>11</v>
      </c>
      <c r="AR829" s="15">
        <v>625</v>
      </c>
      <c r="AS829" s="15">
        <v>652</v>
      </c>
    </row>
    <row r="830" spans="1:45" x14ac:dyDescent="0.25">
      <c r="A830">
        <v>479</v>
      </c>
      <c r="B830" s="11">
        <f t="shared" si="12"/>
        <v>59432</v>
      </c>
      <c r="C830" s="16">
        <v>594320</v>
      </c>
      <c r="D830" s="17">
        <v>0</v>
      </c>
      <c r="E830" s="17">
        <v>1</v>
      </c>
      <c r="F830" s="17">
        <v>88</v>
      </c>
      <c r="G830" s="17">
        <v>58</v>
      </c>
      <c r="H830" s="13" t="str" cm="1">
        <f t="array" ref="H830">_xlfn.IFS(G830&lt;=20,"0-20",G830&lt;=30,"20-30",G830&lt;=40,"30-40",G830&lt;=50,"50-60",G830&lt;=60,"60-70",G830&lt;=70,"70-80",G830&lt;=80,"80-90")</f>
        <v>60-70</v>
      </c>
      <c r="I830" s="17">
        <v>2601</v>
      </c>
      <c r="J830" s="13" t="str" cm="1">
        <f t="array" ref="J830">_xlfn.IFS(K830=1,"Divorciado",L830=1,"Casado",M830=1,"Solteiro",N830=1,"Juntos",O830=1,"Viuvo")</f>
        <v>Divorciado</v>
      </c>
      <c r="K830" s="17">
        <v>1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1</v>
      </c>
      <c r="T830" s="17">
        <v>0</v>
      </c>
      <c r="U830" s="17">
        <v>317</v>
      </c>
      <c r="V830" s="13" t="str" cm="1">
        <f t="array" ref="V830">_xlfn.IFS(U830&lt;=250,"0-R$250",U830&lt;=500,"251-R$500",U830&lt;=750,"501-R$750",U830&lt;=1000,"751-R$1000",U830&lt;=1250,"1001-R$1250",U830&lt;=1500,"1251-R$1500")</f>
        <v>251-R$500</v>
      </c>
      <c r="W830" s="17">
        <v>25</v>
      </c>
      <c r="X830" s="13" t="str" cm="1">
        <f t="array" ref="X830">_xlfn.IFS(W830 = 0, "0", W830&lt;=20, "até R$20",W830&lt;=40, "21 - R$40",W830&lt;=60, "41- R$60",W830&lt;=80, "61 - R$80", W830&lt;=100, "81 - R$100",W830&lt;=120, "101 - R$120",W830&lt;=140, "121 - R$140", W830&lt;=160, "141- R$160", W830&lt;=180, "161 - R$180", W830&lt;=200, "181-R$194")</f>
        <v>21 - R$40</v>
      </c>
      <c r="Y830" s="17">
        <v>265</v>
      </c>
      <c r="Z830" s="17">
        <v>25</v>
      </c>
      <c r="AA830" s="17">
        <v>19</v>
      </c>
      <c r="AB830" s="17">
        <v>12</v>
      </c>
      <c r="AC830" s="17">
        <v>3</v>
      </c>
      <c r="AD830" s="17">
        <v>5</v>
      </c>
      <c r="AE830" s="17">
        <v>3</v>
      </c>
      <c r="AF830" s="17">
        <v>11</v>
      </c>
      <c r="AG830" s="17">
        <v>5</v>
      </c>
      <c r="AH830" s="17">
        <v>0</v>
      </c>
      <c r="AI830" s="17">
        <v>0</v>
      </c>
      <c r="AJ830" s="17">
        <v>0</v>
      </c>
      <c r="AK830" s="17">
        <v>0</v>
      </c>
      <c r="AL830" s="17">
        <v>0</v>
      </c>
      <c r="AM830" s="17">
        <v>0</v>
      </c>
      <c r="AN830" s="17">
        <v>0</v>
      </c>
      <c r="AO830" s="18">
        <v>0</v>
      </c>
      <c r="AP830" s="17">
        <v>3</v>
      </c>
      <c r="AQ830" s="17">
        <v>11</v>
      </c>
      <c r="AR830" s="19">
        <v>639</v>
      </c>
      <c r="AS830" s="19">
        <v>651</v>
      </c>
    </row>
    <row r="831" spans="1:45" x14ac:dyDescent="0.25">
      <c r="A831">
        <v>1425</v>
      </c>
      <c r="B831" s="11">
        <f t="shared" si="12"/>
        <v>69401</v>
      </c>
      <c r="C831" s="16">
        <v>694010</v>
      </c>
      <c r="D831" s="17">
        <v>0</v>
      </c>
      <c r="E831" s="17">
        <v>1</v>
      </c>
      <c r="F831" s="17">
        <v>41</v>
      </c>
      <c r="G831" s="17">
        <v>47</v>
      </c>
      <c r="H831" s="13" t="str" cm="1">
        <f t="array" ref="H831">_xlfn.IFS(G831&lt;=20,"0-20",G831&lt;=30,"20-30",G831&lt;=40,"30-40",G831&lt;=50,"50-60",G831&lt;=60,"60-70",G831&lt;=70,"70-80",G831&lt;=80,"80-90")</f>
        <v>50-60</v>
      </c>
      <c r="I831" s="17">
        <v>2257</v>
      </c>
      <c r="J831" s="13" t="str" cm="1">
        <f t="array" ref="J831">_xlfn.IFS(K831=1,"Divorciado",L831=1,"Casado",M831=1,"Solteiro",N831=1,"Juntos",O831=1,"Viuvo")</f>
        <v>Juntos</v>
      </c>
      <c r="K831" s="17">
        <v>0</v>
      </c>
      <c r="L831" s="17">
        <v>0</v>
      </c>
      <c r="M831" s="17">
        <v>0</v>
      </c>
      <c r="N831" s="17">
        <v>1</v>
      </c>
      <c r="O831" s="17">
        <v>0</v>
      </c>
      <c r="P831" s="17">
        <v>1</v>
      </c>
      <c r="Q831" s="17">
        <v>0</v>
      </c>
      <c r="R831" s="17">
        <v>0</v>
      </c>
      <c r="S831" s="17">
        <v>0</v>
      </c>
      <c r="T831" s="17">
        <v>0</v>
      </c>
      <c r="U831" s="17">
        <v>399</v>
      </c>
      <c r="V831" s="13" t="str" cm="1">
        <f t="array" ref="V831">_xlfn.IFS(U831&lt;=250,"0-R$250",U831&lt;=500,"251-R$500",U831&lt;=750,"501-R$750",U831&lt;=1000,"751-R$1000",U831&lt;=1250,"1001-R$1250",U831&lt;=1500,"1251-R$1500")</f>
        <v>251-R$500</v>
      </c>
      <c r="W831" s="17">
        <v>27</v>
      </c>
      <c r="X831" s="13" t="str" cm="1">
        <f t="array" ref="X831">_xlfn.IFS(W831 = 0, "0", W831&lt;=20, "até R$20",W831&lt;=40, "21 - R$40",W831&lt;=60, "41- R$60",W831&lt;=80, "61 - R$80", W831&lt;=100, "81 - R$100",W831&lt;=120, "101 - R$120",W831&lt;=140, "121 - R$140", W831&lt;=160, "141- R$160", W831&lt;=180, "161 - R$180", W831&lt;=200, "181-R$194")</f>
        <v>21 - R$40</v>
      </c>
      <c r="Y831" s="17">
        <v>159</v>
      </c>
      <c r="Z831" s="17">
        <v>58</v>
      </c>
      <c r="AA831" s="17">
        <v>8</v>
      </c>
      <c r="AB831" s="17">
        <v>39</v>
      </c>
      <c r="AC831" s="17">
        <v>4</v>
      </c>
      <c r="AD831" s="17">
        <v>4</v>
      </c>
      <c r="AE831" s="17">
        <v>4</v>
      </c>
      <c r="AF831" s="17">
        <v>5</v>
      </c>
      <c r="AG831" s="17">
        <v>2</v>
      </c>
      <c r="AH831" s="17">
        <v>0</v>
      </c>
      <c r="AI831" s="17">
        <v>0</v>
      </c>
      <c r="AJ831" s="17">
        <v>0</v>
      </c>
      <c r="AK831" s="17">
        <v>0</v>
      </c>
      <c r="AL831" s="17">
        <v>0</v>
      </c>
      <c r="AM831" s="17">
        <v>0</v>
      </c>
      <c r="AN831" s="17">
        <v>0</v>
      </c>
      <c r="AO831" s="18">
        <v>0</v>
      </c>
      <c r="AP831" s="17">
        <v>3</v>
      </c>
      <c r="AQ831" s="17">
        <v>11</v>
      </c>
      <c r="AR831" s="19">
        <v>612</v>
      </c>
      <c r="AS831" s="19">
        <v>651</v>
      </c>
    </row>
    <row r="832" spans="1:45" x14ac:dyDescent="0.25">
      <c r="A832">
        <v>1290</v>
      </c>
      <c r="B832" s="11">
        <f t="shared" si="12"/>
        <v>65695</v>
      </c>
      <c r="C832" s="12">
        <v>656950</v>
      </c>
      <c r="D832" s="13">
        <v>0</v>
      </c>
      <c r="E832" s="13">
        <v>1</v>
      </c>
      <c r="F832" s="13">
        <v>50</v>
      </c>
      <c r="G832" s="13">
        <v>60</v>
      </c>
      <c r="H832" s="13" t="str" cm="1">
        <f t="array" ref="H832">_xlfn.IFS(G832&lt;=20,"0-20",G832&lt;=30,"20-30",G832&lt;=40,"30-40",G832&lt;=50,"50-60",G832&lt;=60,"60-70",G832&lt;=70,"70-80",G832&lt;=80,"80-90")</f>
        <v>60-70</v>
      </c>
      <c r="I832" s="13">
        <v>2308</v>
      </c>
      <c r="J832" s="13" t="str" cm="1">
        <f t="array" ref="J832">_xlfn.IFS(K832=1,"Divorciado",L832=1,"Casado",M832=1,"Solteiro",N832=1,"Juntos",O832=1,"Viuvo")</f>
        <v>Casado</v>
      </c>
      <c r="K832" s="13">
        <v>0</v>
      </c>
      <c r="L832" s="13">
        <v>1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1</v>
      </c>
      <c r="U832" s="13">
        <v>371</v>
      </c>
      <c r="V832" s="13" t="str" cm="1">
        <f t="array" ref="V832">_xlfn.IFS(U832&lt;=250,"0-R$250",U832&lt;=500,"251-R$500",U832&lt;=750,"501-R$750",U832&lt;=1000,"751-R$1000",U832&lt;=1250,"1001-R$1250",U832&lt;=1500,"1251-R$1500")</f>
        <v>251-R$500</v>
      </c>
      <c r="W832" s="13">
        <v>32</v>
      </c>
      <c r="X832" s="13" t="str" cm="1">
        <f t="array" ref="X832">_xlfn.IFS(W832 = 0, "0", W832&lt;=20, "até R$20",W832&lt;=40, "21 - R$40",W832&lt;=60, "41- R$60",W832&lt;=80, "61 - R$80", W832&lt;=100, "81 - R$100",W832&lt;=120, "101 - R$120",W832&lt;=140, "121 - R$140", W832&lt;=160, "141- R$160", W832&lt;=180, "161 - R$180", W832&lt;=200, "181-R$194")</f>
        <v>21 - R$40</v>
      </c>
      <c r="Y832" s="13">
        <v>189</v>
      </c>
      <c r="Z832" s="13">
        <v>0</v>
      </c>
      <c r="AA832" s="13">
        <v>58</v>
      </c>
      <c r="AB832" s="13">
        <v>6</v>
      </c>
      <c r="AC832" s="13">
        <v>2</v>
      </c>
      <c r="AD832" s="13">
        <v>5</v>
      </c>
      <c r="AE832" s="13">
        <v>4</v>
      </c>
      <c r="AF832" s="13">
        <v>10</v>
      </c>
      <c r="AG832" s="13">
        <v>4</v>
      </c>
      <c r="AH832" s="13">
        <v>0</v>
      </c>
      <c r="AI832" s="13">
        <v>0</v>
      </c>
      <c r="AJ832" s="13">
        <v>0</v>
      </c>
      <c r="AK832" s="13">
        <v>0</v>
      </c>
      <c r="AL832" s="13">
        <v>0</v>
      </c>
      <c r="AM832" s="13">
        <v>0</v>
      </c>
      <c r="AN832" s="13">
        <v>0</v>
      </c>
      <c r="AO832" s="14">
        <v>0</v>
      </c>
      <c r="AP832" s="13">
        <v>3</v>
      </c>
      <c r="AQ832" s="13">
        <v>11</v>
      </c>
      <c r="AR832" s="15">
        <v>644</v>
      </c>
      <c r="AS832" s="15">
        <v>650</v>
      </c>
    </row>
    <row r="833" spans="1:45" x14ac:dyDescent="0.25">
      <c r="A833">
        <v>1479</v>
      </c>
      <c r="B833" s="11">
        <f t="shared" si="12"/>
        <v>54108</v>
      </c>
      <c r="C833" s="16">
        <v>541080</v>
      </c>
      <c r="D833" s="17">
        <v>1</v>
      </c>
      <c r="E833" s="17">
        <v>1</v>
      </c>
      <c r="F833" s="17">
        <v>74</v>
      </c>
      <c r="G833" s="17">
        <v>47</v>
      </c>
      <c r="H833" s="13" t="str" cm="1">
        <f t="array" ref="H833">_xlfn.IFS(G833&lt;=20,"0-20",G833&lt;=30,"20-30",G833&lt;=40,"30-40",G833&lt;=50,"50-60",G833&lt;=60,"60-70",G833&lt;=70,"70-80",G833&lt;=80,"80-90")</f>
        <v>50-60</v>
      </c>
      <c r="I833" s="17">
        <v>2760</v>
      </c>
      <c r="J833" s="13" t="str" cm="1">
        <f t="array" ref="J833">_xlfn.IFS(K833=1,"Divorciado",L833=1,"Casado",M833=1,"Solteiro",N833=1,"Juntos",O833=1,"Viuvo")</f>
        <v>Casado</v>
      </c>
      <c r="K833" s="17">
        <v>0</v>
      </c>
      <c r="L833" s="17">
        <v>1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1</v>
      </c>
      <c r="T833" s="17">
        <v>0</v>
      </c>
      <c r="U833" s="17">
        <v>539</v>
      </c>
      <c r="V833" s="13" t="str" cm="1">
        <f t="array" ref="V833">_xlfn.IFS(U833&lt;=250,"0-R$250",U833&lt;=500,"251-R$500",U833&lt;=750,"501-R$750",U833&lt;=1000,"751-R$1000",U833&lt;=1250,"1001-R$1250",U833&lt;=1500,"1251-R$1500")</f>
        <v>501-R$750</v>
      </c>
      <c r="W833" s="17">
        <v>6</v>
      </c>
      <c r="X833" s="13" t="str" cm="1">
        <f t="array" ref="X833">_xlfn.IFS(W833 = 0, "0", W833&lt;=20, "até R$20",W833&lt;=40, "21 - R$40",W833&lt;=60, "41- R$60",W833&lt;=80, "61 - R$80", W833&lt;=100, "81 - R$100",W833&lt;=120, "101 - R$120",W833&lt;=140, "121 - R$140", W833&lt;=160, "141- R$160", W833&lt;=180, "161 - R$180", W833&lt;=200, "181-R$194")</f>
        <v>até R$20</v>
      </c>
      <c r="Y833" s="17">
        <v>91</v>
      </c>
      <c r="Z833" s="17">
        <v>8</v>
      </c>
      <c r="AA833" s="17">
        <v>6</v>
      </c>
      <c r="AB833" s="17">
        <v>97</v>
      </c>
      <c r="AC833" s="17">
        <v>13</v>
      </c>
      <c r="AD833" s="17">
        <v>8</v>
      </c>
      <c r="AE833" s="17">
        <v>2</v>
      </c>
      <c r="AF833" s="17">
        <v>9</v>
      </c>
      <c r="AG833" s="17">
        <v>8</v>
      </c>
      <c r="AH833" s="17">
        <v>0</v>
      </c>
      <c r="AI833" s="17">
        <v>0</v>
      </c>
      <c r="AJ833" s="17">
        <v>0</v>
      </c>
      <c r="AK833" s="17">
        <v>0</v>
      </c>
      <c r="AL833" s="17">
        <v>0</v>
      </c>
      <c r="AM833" s="17">
        <v>0</v>
      </c>
      <c r="AN833" s="17">
        <v>0</v>
      </c>
      <c r="AO833" s="18">
        <v>0</v>
      </c>
      <c r="AP833" s="17">
        <v>3</v>
      </c>
      <c r="AQ833" s="17">
        <v>11</v>
      </c>
      <c r="AR833" s="19">
        <v>553</v>
      </c>
      <c r="AS833" s="19">
        <v>650</v>
      </c>
    </row>
    <row r="834" spans="1:45" x14ac:dyDescent="0.25">
      <c r="A834">
        <v>120</v>
      </c>
      <c r="B834" s="11">
        <f t="shared" ref="B834:B897" si="13">C834/10</f>
        <v>77376</v>
      </c>
      <c r="C834" s="12">
        <v>773760</v>
      </c>
      <c r="D834" s="13">
        <v>1</v>
      </c>
      <c r="E834" s="13">
        <v>1</v>
      </c>
      <c r="F834" s="13">
        <v>72</v>
      </c>
      <c r="G834" s="13">
        <v>64</v>
      </c>
      <c r="H834" s="13" t="str" cm="1">
        <f t="array" ref="H834">_xlfn.IFS(G834&lt;=20,"0-20",G834&lt;=30,"20-30",G834&lt;=40,"30-40",G834&lt;=50,"50-60",G834&lt;=60,"60-70",G834&lt;=70,"70-80",G834&lt;=80,"80-90")</f>
        <v>70-80</v>
      </c>
      <c r="I834" s="13">
        <v>2209</v>
      </c>
      <c r="J834" s="13" t="str" cm="1">
        <f t="array" ref="J834">_xlfn.IFS(K834=1,"Divorciado",L834=1,"Casado",M834=1,"Solteiro",N834=1,"Juntos",O834=1,"Viuvo")</f>
        <v>Juntos</v>
      </c>
      <c r="K834" s="13">
        <v>0</v>
      </c>
      <c r="L834" s="13">
        <v>0</v>
      </c>
      <c r="M834" s="13">
        <v>0</v>
      </c>
      <c r="N834" s="13">
        <v>1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1</v>
      </c>
      <c r="U834" s="13">
        <v>492</v>
      </c>
      <c r="V834" s="13" t="str" cm="1">
        <f t="array" ref="V834">_xlfn.IFS(U834&lt;=250,"0-R$250",U834&lt;=500,"251-R$500",U834&lt;=750,"501-R$750",U834&lt;=1000,"751-R$1000",U834&lt;=1250,"1001-R$1250",U834&lt;=1500,"1251-R$1500")</f>
        <v>251-R$500</v>
      </c>
      <c r="W834" s="13">
        <v>19</v>
      </c>
      <c r="X834" s="13" t="str" cm="1">
        <f t="array" ref="X834">_xlfn.IFS(W834 = 0, "0", W834&lt;=20, "até R$20",W834&lt;=40, "21 - R$40",W834&lt;=60, "41- R$60",W834&lt;=80, "61 - R$80", W834&lt;=100, "81 - R$100",W834&lt;=120, "101 - R$120",W834&lt;=140, "121 - R$140", W834&lt;=160, "141- R$160", W834&lt;=180, "161 - R$180", W834&lt;=200, "181-R$194")</f>
        <v>até R$20</v>
      </c>
      <c r="Y834" s="13">
        <v>110</v>
      </c>
      <c r="Z834" s="13">
        <v>16</v>
      </c>
      <c r="AA834" s="13">
        <v>12</v>
      </c>
      <c r="AB834" s="13">
        <v>12</v>
      </c>
      <c r="AC834" s="13">
        <v>4</v>
      </c>
      <c r="AD834" s="13">
        <v>6</v>
      </c>
      <c r="AE834" s="13">
        <v>3</v>
      </c>
      <c r="AF834" s="13">
        <v>10</v>
      </c>
      <c r="AG834" s="13">
        <v>4</v>
      </c>
      <c r="AH834" s="13">
        <v>0</v>
      </c>
      <c r="AI834" s="13">
        <v>0</v>
      </c>
      <c r="AJ834" s="13">
        <v>0</v>
      </c>
      <c r="AK834" s="13">
        <v>0</v>
      </c>
      <c r="AL834" s="13">
        <v>0</v>
      </c>
      <c r="AM834" s="13">
        <v>0</v>
      </c>
      <c r="AN834" s="13">
        <v>0</v>
      </c>
      <c r="AO834" s="14">
        <v>0</v>
      </c>
      <c r="AP834" s="13">
        <v>3</v>
      </c>
      <c r="AQ834" s="13">
        <v>11</v>
      </c>
      <c r="AR834" s="15">
        <v>637</v>
      </c>
      <c r="AS834" s="15">
        <v>649</v>
      </c>
    </row>
    <row r="835" spans="1:45" x14ac:dyDescent="0.25">
      <c r="A835">
        <v>1678</v>
      </c>
      <c r="B835" s="11">
        <f t="shared" si="13"/>
        <v>55012</v>
      </c>
      <c r="C835" s="12">
        <v>550120</v>
      </c>
      <c r="D835" s="13">
        <v>0</v>
      </c>
      <c r="E835" s="13">
        <v>1</v>
      </c>
      <c r="F835" s="13">
        <v>85</v>
      </c>
      <c r="G835" s="13">
        <v>47</v>
      </c>
      <c r="H835" s="13" t="str" cm="1">
        <f t="array" ref="H835">_xlfn.IFS(G835&lt;=20,"0-20",G835&lt;=30,"20-30",G835&lt;=40,"30-40",G835&lt;=50,"50-60",G835&lt;=60,"60-70",G835&lt;=70,"70-80",G835&lt;=80,"80-90")</f>
        <v>50-60</v>
      </c>
      <c r="I835" s="13">
        <v>2259</v>
      </c>
      <c r="J835" s="13" t="str" cm="1">
        <f t="array" ref="J835">_xlfn.IFS(K835=1,"Divorciado",L835=1,"Casado",M835=1,"Solteiro",N835=1,"Juntos",O835=1,"Viuvo")</f>
        <v>Juntos</v>
      </c>
      <c r="K835" s="13">
        <v>0</v>
      </c>
      <c r="L835" s="13">
        <v>0</v>
      </c>
      <c r="M835" s="13">
        <v>0</v>
      </c>
      <c r="N835" s="13">
        <v>1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1</v>
      </c>
      <c r="U835" s="13">
        <v>582</v>
      </c>
      <c r="V835" s="13" t="str" cm="1">
        <f t="array" ref="V835">_xlfn.IFS(U835&lt;=250,"0-R$250",U835&lt;=500,"251-R$500",U835&lt;=750,"501-R$750",U835&lt;=1000,"751-R$1000",U835&lt;=1250,"1001-R$1250",U835&lt;=1500,"1251-R$1500")</f>
        <v>501-R$750</v>
      </c>
      <c r="W835" s="13">
        <v>0</v>
      </c>
      <c r="X835" s="13" t="str" cm="1">
        <f t="array" ref="X835">_xlfn.IFS(W835 = 0, "0", W835&lt;=20, "até R$20",W835&lt;=40, "21 - R$40",W835&lt;=60, "41- R$60",W835&lt;=80, "61 - R$80", W835&lt;=100, "81 - R$100",W835&lt;=120, "101 - R$120",W835&lt;=140, "121 - R$140", W835&lt;=160, "141- R$160", W835&lt;=180, "161 - R$180", W835&lt;=200, "181-R$194")</f>
        <v>0</v>
      </c>
      <c r="Y835" s="13">
        <v>65</v>
      </c>
      <c r="Z835" s="13">
        <v>0</v>
      </c>
      <c r="AA835" s="13">
        <v>0</v>
      </c>
      <c r="AB835" s="13">
        <v>13</v>
      </c>
      <c r="AC835" s="13">
        <v>6</v>
      </c>
      <c r="AD835" s="13">
        <v>8</v>
      </c>
      <c r="AE835" s="13">
        <v>2</v>
      </c>
      <c r="AF835" s="13">
        <v>9</v>
      </c>
      <c r="AG835" s="13">
        <v>5</v>
      </c>
      <c r="AH835" s="13">
        <v>0</v>
      </c>
      <c r="AI835" s="13">
        <v>0</v>
      </c>
      <c r="AJ835" s="13">
        <v>0</v>
      </c>
      <c r="AK835" s="13">
        <v>0</v>
      </c>
      <c r="AL835" s="13">
        <v>0</v>
      </c>
      <c r="AM835" s="13">
        <v>0</v>
      </c>
      <c r="AN835" s="13">
        <v>0</v>
      </c>
      <c r="AO835" s="14">
        <v>0</v>
      </c>
      <c r="AP835" s="13">
        <v>3</v>
      </c>
      <c r="AQ835" s="13">
        <v>11</v>
      </c>
      <c r="AR835" s="15">
        <v>634</v>
      </c>
      <c r="AS835" s="15">
        <v>647</v>
      </c>
    </row>
    <row r="836" spans="1:45" x14ac:dyDescent="0.25">
      <c r="A836">
        <v>471</v>
      </c>
      <c r="B836" s="11">
        <f t="shared" si="13"/>
        <v>60093</v>
      </c>
      <c r="C836" s="16">
        <v>600930</v>
      </c>
      <c r="D836" s="17">
        <v>0</v>
      </c>
      <c r="E836" s="17">
        <v>1</v>
      </c>
      <c r="F836" s="17">
        <v>92</v>
      </c>
      <c r="G836" s="17">
        <v>46</v>
      </c>
      <c r="H836" s="13" t="str" cm="1">
        <f t="array" ref="H836">_xlfn.IFS(G836&lt;=20,"0-20",G836&lt;=30,"20-30",G836&lt;=40,"30-40",G836&lt;=50,"50-60",G836&lt;=60,"60-70",G836&lt;=70,"70-80",G836&lt;=80,"80-90")</f>
        <v>50-60</v>
      </c>
      <c r="I836" s="17">
        <v>2527</v>
      </c>
      <c r="J836" s="13" t="str" cm="1">
        <f t="array" ref="J836">_xlfn.IFS(K836=1,"Divorciado",L836=1,"Casado",M836=1,"Solteiro",N836=1,"Juntos",O836=1,"Viuvo")</f>
        <v>Casado</v>
      </c>
      <c r="K836" s="17">
        <v>0</v>
      </c>
      <c r="L836" s="17">
        <v>1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1</v>
      </c>
      <c r="S836" s="17">
        <v>0</v>
      </c>
      <c r="T836" s="17">
        <v>0</v>
      </c>
      <c r="U836" s="17">
        <v>502</v>
      </c>
      <c r="V836" s="13" t="str" cm="1">
        <f t="array" ref="V836">_xlfn.IFS(U836&lt;=250,"0-R$250",U836&lt;=500,"251-R$500",U836&lt;=750,"501-R$750",U836&lt;=1000,"751-R$1000",U836&lt;=1250,"1001-R$1250",U836&lt;=1500,"1251-R$1500")</f>
        <v>501-R$750</v>
      </c>
      <c r="W836" s="17">
        <v>12</v>
      </c>
      <c r="X836" s="13" t="str" cm="1">
        <f t="array" ref="X836">_xlfn.IFS(W836 = 0, "0", W836&lt;=20, "até R$20",W836&lt;=40, "21 - R$40",W836&lt;=60, "41- R$60",W836&lt;=80, "61 - R$80", W836&lt;=100, "81 - R$100",W836&lt;=120, "101 - R$120",W836&lt;=140, "121 - R$140", W836&lt;=160, "141- R$160", W836&lt;=180, "161 - R$180", W836&lt;=200, "181-R$194")</f>
        <v>até R$20</v>
      </c>
      <c r="Y836" s="17">
        <v>109</v>
      </c>
      <c r="Z836" s="17">
        <v>16</v>
      </c>
      <c r="AA836" s="17">
        <v>6</v>
      </c>
      <c r="AB836" s="17">
        <v>90</v>
      </c>
      <c r="AC836" s="17">
        <v>2</v>
      </c>
      <c r="AD836" s="17">
        <v>7</v>
      </c>
      <c r="AE836" s="17">
        <v>2</v>
      </c>
      <c r="AF836" s="17">
        <v>10</v>
      </c>
      <c r="AG836" s="17">
        <v>6</v>
      </c>
      <c r="AH836" s="17">
        <v>0</v>
      </c>
      <c r="AI836" s="17">
        <v>0</v>
      </c>
      <c r="AJ836" s="17">
        <v>0</v>
      </c>
      <c r="AK836" s="17">
        <v>0</v>
      </c>
      <c r="AL836" s="17">
        <v>0</v>
      </c>
      <c r="AM836" s="17">
        <v>0</v>
      </c>
      <c r="AN836" s="17">
        <v>0</v>
      </c>
      <c r="AO836" s="18">
        <v>0</v>
      </c>
      <c r="AP836" s="17">
        <v>3</v>
      </c>
      <c r="AQ836" s="17">
        <v>11</v>
      </c>
      <c r="AR836" s="19">
        <v>555</v>
      </c>
      <c r="AS836" s="19">
        <v>645</v>
      </c>
    </row>
    <row r="837" spans="1:45" x14ac:dyDescent="0.25">
      <c r="A837">
        <v>68</v>
      </c>
      <c r="B837" s="11">
        <f t="shared" si="13"/>
        <v>60631</v>
      </c>
      <c r="C837" s="12">
        <v>606310</v>
      </c>
      <c r="D837" s="13">
        <v>1</v>
      </c>
      <c r="E837" s="13">
        <v>1</v>
      </c>
      <c r="F837" s="13">
        <v>88</v>
      </c>
      <c r="G837" s="13">
        <v>45</v>
      </c>
      <c r="H837" s="13" t="str" cm="1">
        <f t="array" ref="H837">_xlfn.IFS(G837&lt;=20,"0-20",G837&lt;=30,"20-30",G837&lt;=40,"30-40",G837&lt;=50,"50-60",G837&lt;=60,"60-70",G837&lt;=70,"70-80",G837&lt;=80,"80-90")</f>
        <v>50-60</v>
      </c>
      <c r="I837" s="13">
        <v>2609</v>
      </c>
      <c r="J837" s="13" t="str" cm="1">
        <f t="array" ref="J837">_xlfn.IFS(K837=1,"Divorciado",L837=1,"Casado",M837=1,"Solteiro",N837=1,"Juntos",O837=1,"Viuvo")</f>
        <v>Casado</v>
      </c>
      <c r="K837" s="13">
        <v>0</v>
      </c>
      <c r="L837" s="13">
        <v>1</v>
      </c>
      <c r="M837" s="13">
        <v>0</v>
      </c>
      <c r="N837" s="13">
        <v>0</v>
      </c>
      <c r="O837" s="13">
        <v>0</v>
      </c>
      <c r="P837" s="13">
        <v>0</v>
      </c>
      <c r="Q837" s="13">
        <v>0</v>
      </c>
      <c r="R837" s="13">
        <v>0</v>
      </c>
      <c r="S837" s="13">
        <v>0</v>
      </c>
      <c r="T837" s="13">
        <v>1</v>
      </c>
      <c r="U837" s="13">
        <v>565</v>
      </c>
      <c r="V837" s="13" t="str" cm="1">
        <f t="array" ref="V837">_xlfn.IFS(U837&lt;=250,"0-R$250",U837&lt;=500,"251-R$500",U837&lt;=750,"501-R$750",U837&lt;=1000,"751-R$1000",U837&lt;=1250,"1001-R$1250",U837&lt;=1500,"1251-R$1500")</f>
        <v>501-R$750</v>
      </c>
      <c r="W837" s="13">
        <v>6</v>
      </c>
      <c r="X837" s="13" t="str" cm="1">
        <f t="array" ref="X837">_xlfn.IFS(W837 = 0, "0", W837&lt;=20, "até R$20",W837&lt;=40, "21 - R$40",W837&lt;=60, "41- R$60",W837&lt;=80, "61 - R$80", W837&lt;=100, "81 - R$100",W837&lt;=120, "101 - R$120",W837&lt;=140, "121 - R$140", W837&lt;=160, "141- R$160", W837&lt;=180, "161 - R$180", W837&lt;=200, "181-R$194")</f>
        <v>até R$20</v>
      </c>
      <c r="Y837" s="13">
        <v>65</v>
      </c>
      <c r="Z837" s="13">
        <v>0</v>
      </c>
      <c r="AA837" s="13">
        <v>6</v>
      </c>
      <c r="AB837" s="13">
        <v>19</v>
      </c>
      <c r="AC837" s="13">
        <v>5</v>
      </c>
      <c r="AD837" s="13">
        <v>9</v>
      </c>
      <c r="AE837" s="13">
        <v>2</v>
      </c>
      <c r="AF837" s="13">
        <v>8</v>
      </c>
      <c r="AG837" s="13">
        <v>7</v>
      </c>
      <c r="AH837" s="13">
        <v>0</v>
      </c>
      <c r="AI837" s="13">
        <v>0</v>
      </c>
      <c r="AJ837" s="13">
        <v>1</v>
      </c>
      <c r="AK837" s="13">
        <v>0</v>
      </c>
      <c r="AL837" s="13">
        <v>0</v>
      </c>
      <c r="AM837" s="13">
        <v>0</v>
      </c>
      <c r="AN837" s="13">
        <v>0</v>
      </c>
      <c r="AO837" s="14">
        <v>1</v>
      </c>
      <c r="AP837" s="13">
        <v>3</v>
      </c>
      <c r="AQ837" s="13">
        <v>11</v>
      </c>
      <c r="AR837" s="15">
        <v>623</v>
      </c>
      <c r="AS837" s="15">
        <v>642</v>
      </c>
    </row>
    <row r="838" spans="1:45" x14ac:dyDescent="0.25">
      <c r="A838">
        <v>74</v>
      </c>
      <c r="B838" s="11">
        <f t="shared" si="13"/>
        <v>56046</v>
      </c>
      <c r="C838" s="12">
        <v>560460</v>
      </c>
      <c r="D838" s="13">
        <v>0</v>
      </c>
      <c r="E838" s="13">
        <v>0</v>
      </c>
      <c r="F838" s="13">
        <v>9</v>
      </c>
      <c r="G838" s="13">
        <v>55</v>
      </c>
      <c r="H838" s="13" t="str" cm="1">
        <f t="array" ref="H838">_xlfn.IFS(G838&lt;=20,"0-20",G838&lt;=30,"20-30",G838&lt;=40,"30-40",G838&lt;=50,"50-60",G838&lt;=60,"60-70",G838&lt;=70,"70-80",G838&lt;=80,"80-90")</f>
        <v>60-70</v>
      </c>
      <c r="I838" s="13">
        <v>2702</v>
      </c>
      <c r="J838" s="13" t="str" cm="1">
        <f t="array" ref="J838">_xlfn.IFS(K838=1,"Divorciado",L838=1,"Casado",M838=1,"Solteiro",N838=1,"Juntos",O838=1,"Viuvo")</f>
        <v>Juntos</v>
      </c>
      <c r="K838" s="13">
        <v>0</v>
      </c>
      <c r="L838" s="13">
        <v>0</v>
      </c>
      <c r="M838" s="13">
        <v>0</v>
      </c>
      <c r="N838" s="13">
        <v>1</v>
      </c>
      <c r="O838" s="13">
        <v>0</v>
      </c>
      <c r="P838" s="13">
        <v>0</v>
      </c>
      <c r="Q838" s="13">
        <v>0</v>
      </c>
      <c r="R838" s="13">
        <v>1</v>
      </c>
      <c r="S838" s="13">
        <v>0</v>
      </c>
      <c r="T838" s="13">
        <v>0</v>
      </c>
      <c r="U838" s="13">
        <v>577</v>
      </c>
      <c r="V838" s="13" t="str" cm="1">
        <f t="array" ref="V838">_xlfn.IFS(U838&lt;=250,"0-R$250",U838&lt;=500,"251-R$500",U838&lt;=750,"501-R$750",U838&lt;=1000,"751-R$1000",U838&lt;=1250,"1001-R$1250",U838&lt;=1500,"1251-R$1500")</f>
        <v>501-R$750</v>
      </c>
      <c r="W838" s="13">
        <v>0</v>
      </c>
      <c r="X838" s="13" t="str" cm="1">
        <f t="array" ref="X838">_xlfn.IFS(W838 = 0, "0", W838&lt;=20, "até R$20",W838&lt;=40, "21 - R$40",W838&lt;=60, "41- R$60",W838&lt;=80, "61 - R$80", W838&lt;=100, "81 - R$100",W838&lt;=120, "101 - R$120",W838&lt;=140, "121 - R$140", W838&lt;=160, "141- R$160", W838&lt;=180, "161 - R$180", W838&lt;=200, "181-R$194")</f>
        <v>0</v>
      </c>
      <c r="Y838" s="13">
        <v>64</v>
      </c>
      <c r="Z838" s="13">
        <v>0</v>
      </c>
      <c r="AA838" s="13">
        <v>0</v>
      </c>
      <c r="AB838" s="13">
        <v>51</v>
      </c>
      <c r="AC838" s="13">
        <v>2</v>
      </c>
      <c r="AD838" s="13">
        <v>10</v>
      </c>
      <c r="AE838" s="13">
        <v>1</v>
      </c>
      <c r="AF838" s="13">
        <v>8</v>
      </c>
      <c r="AG838" s="13">
        <v>8</v>
      </c>
      <c r="AH838" s="13">
        <v>0</v>
      </c>
      <c r="AI838" s="13">
        <v>1</v>
      </c>
      <c r="AJ838" s="13">
        <v>0</v>
      </c>
      <c r="AK838" s="13">
        <v>0</v>
      </c>
      <c r="AL838" s="13">
        <v>0</v>
      </c>
      <c r="AM838" s="13">
        <v>0</v>
      </c>
      <c r="AN838" s="13">
        <v>1</v>
      </c>
      <c r="AO838" s="14">
        <v>1</v>
      </c>
      <c r="AP838" s="13">
        <v>3</v>
      </c>
      <c r="AQ838" s="13">
        <v>11</v>
      </c>
      <c r="AR838" s="15">
        <v>590</v>
      </c>
      <c r="AS838" s="15">
        <v>641</v>
      </c>
    </row>
    <row r="839" spans="1:45" x14ac:dyDescent="0.25">
      <c r="A839">
        <v>1006</v>
      </c>
      <c r="B839" s="11">
        <f t="shared" si="13"/>
        <v>56320</v>
      </c>
      <c r="C839" s="12">
        <v>563200</v>
      </c>
      <c r="D839" s="13">
        <v>0</v>
      </c>
      <c r="E839" s="13">
        <v>1</v>
      </c>
      <c r="F839" s="13">
        <v>11</v>
      </c>
      <c r="G839" s="13">
        <v>53</v>
      </c>
      <c r="H839" s="13" t="str" cm="1">
        <f t="array" ref="H839">_xlfn.IFS(G839&lt;=20,"0-20",G839&lt;=30,"20-30",G839&lt;=40,"30-40",G839&lt;=50,"50-60",G839&lt;=60,"60-70",G839&lt;=70,"70-80",G839&lt;=80,"80-90")</f>
        <v>60-70</v>
      </c>
      <c r="I839" s="13">
        <v>2606</v>
      </c>
      <c r="J839" s="13" t="str" cm="1">
        <f t="array" ref="J839">_xlfn.IFS(K839=1,"Divorciado",L839=1,"Casado",M839=1,"Solteiro",N839=1,"Juntos",O839=1,"Viuvo")</f>
        <v>Casado</v>
      </c>
      <c r="K839" s="13">
        <v>0</v>
      </c>
      <c r="L839" s="13">
        <v>1</v>
      </c>
      <c r="M839" s="13">
        <v>0</v>
      </c>
      <c r="N839" s="13">
        <v>0</v>
      </c>
      <c r="O839" s="13">
        <v>0</v>
      </c>
      <c r="P839" s="13">
        <v>0</v>
      </c>
      <c r="Q839" s="13">
        <v>0</v>
      </c>
      <c r="R839" s="13">
        <v>0</v>
      </c>
      <c r="S839" s="13">
        <v>0</v>
      </c>
      <c r="T839" s="13">
        <v>1</v>
      </c>
      <c r="U839" s="13">
        <v>201</v>
      </c>
      <c r="V839" s="13" t="str" cm="1">
        <f t="array" ref="V839">_xlfn.IFS(U839&lt;=250,"0-R$250",U839&lt;=500,"251-R$500",U839&lt;=750,"501-R$750",U839&lt;=1000,"751-R$1000",U839&lt;=1250,"1001-R$1250",U839&lt;=1500,"1251-R$1500")</f>
        <v>0-R$250</v>
      </c>
      <c r="W839" s="13">
        <v>53</v>
      </c>
      <c r="X839" s="13" t="str" cm="1">
        <f t="array" ref="X839">_xlfn.IFS(W839 = 0, "0", W839&lt;=20, "até R$20",W839&lt;=40, "21 - R$40",W839&lt;=60, "41- R$60",W839&lt;=80, "61 - R$80", W839&lt;=100, "81 - R$100",W839&lt;=120, "101 - R$120",W839&lt;=140, "121 - R$140", W839&lt;=160, "141- R$160", W839&lt;=180, "161 - R$180", W839&lt;=200, "181-R$194")</f>
        <v>41- R$60</v>
      </c>
      <c r="Y839" s="13">
        <v>172</v>
      </c>
      <c r="Z839" s="13">
        <v>116</v>
      </c>
      <c r="AA839" s="13">
        <v>77</v>
      </c>
      <c r="AB839" s="13">
        <v>83</v>
      </c>
      <c r="AC839" s="13">
        <v>3</v>
      </c>
      <c r="AD839" s="13">
        <v>5</v>
      </c>
      <c r="AE839" s="13">
        <v>4</v>
      </c>
      <c r="AF839" s="13">
        <v>9</v>
      </c>
      <c r="AG839" s="13">
        <v>4</v>
      </c>
      <c r="AH839" s="13">
        <v>0</v>
      </c>
      <c r="AI839" s="13">
        <v>0</v>
      </c>
      <c r="AJ839" s="13">
        <v>0</v>
      </c>
      <c r="AK839" s="13">
        <v>0</v>
      </c>
      <c r="AL839" s="13">
        <v>0</v>
      </c>
      <c r="AM839" s="13">
        <v>0</v>
      </c>
      <c r="AN839" s="13">
        <v>0</v>
      </c>
      <c r="AO839" s="14">
        <v>0</v>
      </c>
      <c r="AP839" s="13">
        <v>3</v>
      </c>
      <c r="AQ839" s="13">
        <v>11</v>
      </c>
      <c r="AR839" s="15">
        <v>536</v>
      </c>
      <c r="AS839" s="15">
        <v>619</v>
      </c>
    </row>
    <row r="840" spans="1:45" x14ac:dyDescent="0.25">
      <c r="A840">
        <v>1043</v>
      </c>
      <c r="B840" s="11">
        <f t="shared" si="13"/>
        <v>42000</v>
      </c>
      <c r="C840" s="16">
        <v>420000</v>
      </c>
      <c r="D840" s="17">
        <v>0</v>
      </c>
      <c r="E840" s="17">
        <v>0</v>
      </c>
      <c r="F840" s="17">
        <v>23</v>
      </c>
      <c r="G840" s="17">
        <v>33</v>
      </c>
      <c r="H840" s="13" t="str" cm="1">
        <f t="array" ref="H840">_xlfn.IFS(G840&lt;=20,"0-20",G840&lt;=30,"20-30",G840&lt;=40,"30-40",G840&lt;=50,"50-60",G840&lt;=60,"60-70",G840&lt;=70,"70-80",G840&lt;=80,"80-90")</f>
        <v>30-40</v>
      </c>
      <c r="I840" s="17">
        <v>2694</v>
      </c>
      <c r="J840" s="13" t="str" cm="1">
        <f t="array" ref="J840">_xlfn.IFS(K840=1,"Divorciado",L840=1,"Casado",M840=1,"Solteiro",N840=1,"Juntos",O840=1,"Viuvo")</f>
        <v>Solteiro</v>
      </c>
      <c r="K840" s="17">
        <v>0</v>
      </c>
      <c r="L840" s="17">
        <v>0</v>
      </c>
      <c r="M840" s="17">
        <v>1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1</v>
      </c>
      <c r="U840" s="17">
        <v>124</v>
      </c>
      <c r="V840" s="13" t="str" cm="1">
        <f t="array" ref="V840">_xlfn.IFS(U840&lt;=250,"0-R$250",U840&lt;=500,"251-R$500",U840&lt;=750,"501-R$750",U840&lt;=1000,"751-R$1000",U840&lt;=1250,"1001-R$1250",U840&lt;=1500,"1251-R$1500")</f>
        <v>0-R$250</v>
      </c>
      <c r="W840" s="17">
        <v>83</v>
      </c>
      <c r="X840" s="13" t="str" cm="1">
        <f t="array" ref="X840">_xlfn.IFS(W840 = 0, "0", W840&lt;=20, "até R$20",W840&lt;=40, "21 - R$40",W840&lt;=60, "41- R$60",W840&lt;=80, "61 - R$80", W840&lt;=100, "81 - R$100",W840&lt;=120, "101 - R$120",W840&lt;=140, "121 - R$140", W840&lt;=160, "141- R$160", W840&lt;=180, "161 - R$180", W840&lt;=200, "181-R$194")</f>
        <v>81 - R$100</v>
      </c>
      <c r="Y840" s="17">
        <v>267</v>
      </c>
      <c r="Z840" s="17">
        <v>85</v>
      </c>
      <c r="AA840" s="17">
        <v>59</v>
      </c>
      <c r="AB840" s="17">
        <v>35</v>
      </c>
      <c r="AC840" s="17">
        <v>2</v>
      </c>
      <c r="AD840" s="17">
        <v>5</v>
      </c>
      <c r="AE840" s="17">
        <v>2</v>
      </c>
      <c r="AF840" s="17">
        <v>11</v>
      </c>
      <c r="AG840" s="17">
        <v>5</v>
      </c>
      <c r="AH840" s="17">
        <v>0</v>
      </c>
      <c r="AI840" s="17">
        <v>0</v>
      </c>
      <c r="AJ840" s="17">
        <v>0</v>
      </c>
      <c r="AK840" s="17">
        <v>0</v>
      </c>
      <c r="AL840" s="17">
        <v>0</v>
      </c>
      <c r="AM840" s="17">
        <v>0</v>
      </c>
      <c r="AN840" s="17">
        <v>1</v>
      </c>
      <c r="AO840" s="18">
        <v>0</v>
      </c>
      <c r="AP840" s="17">
        <v>3</v>
      </c>
      <c r="AQ840" s="17">
        <v>11</v>
      </c>
      <c r="AR840" s="19">
        <v>583</v>
      </c>
      <c r="AS840" s="19">
        <v>618</v>
      </c>
    </row>
    <row r="841" spans="1:45" x14ac:dyDescent="0.25">
      <c r="A841">
        <v>2046</v>
      </c>
      <c r="B841" s="11">
        <f t="shared" si="13"/>
        <v>42000</v>
      </c>
      <c r="C841" s="12">
        <v>420000</v>
      </c>
      <c r="D841" s="13">
        <v>0</v>
      </c>
      <c r="E841" s="13">
        <v>0</v>
      </c>
      <c r="F841" s="13">
        <v>23</v>
      </c>
      <c r="G841" s="13">
        <v>33</v>
      </c>
      <c r="H841" s="13" t="str" cm="1">
        <f t="array" ref="H841">_xlfn.IFS(G841&lt;=20,"0-20",G841&lt;=30,"20-30",G841&lt;=40,"30-40",G841&lt;=50,"50-60",G841&lt;=60,"60-70",G841&lt;=70,"70-80",G841&lt;=80,"80-90")</f>
        <v>30-40</v>
      </c>
      <c r="I841" s="13">
        <v>2694</v>
      </c>
      <c r="J841" s="13" t="str" cm="1">
        <f t="array" ref="J841">_xlfn.IFS(K841=1,"Divorciado",L841=1,"Casado",M841=1,"Solteiro",N841=1,"Juntos",O841=1,"Viuvo")</f>
        <v>Solteiro</v>
      </c>
      <c r="K841" s="13">
        <v>0</v>
      </c>
      <c r="L841" s="13">
        <v>0</v>
      </c>
      <c r="M841" s="13">
        <v>1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1</v>
      </c>
      <c r="U841" s="13">
        <v>124</v>
      </c>
      <c r="V841" s="13" t="str" cm="1">
        <f t="array" ref="V841">_xlfn.IFS(U841&lt;=250,"0-R$250",U841&lt;=500,"251-R$500",U841&lt;=750,"501-R$750",U841&lt;=1000,"751-R$1000",U841&lt;=1250,"1001-R$1250",U841&lt;=1500,"1251-R$1500")</f>
        <v>0-R$250</v>
      </c>
      <c r="W841" s="13">
        <v>83</v>
      </c>
      <c r="X841" s="13" t="str" cm="1">
        <f t="array" ref="X841">_xlfn.IFS(W841 = 0, "0", W841&lt;=20, "até R$20",W841&lt;=40, "21 - R$40",W841&lt;=60, "41- R$60",W841&lt;=80, "61 - R$80", W841&lt;=100, "81 - R$100",W841&lt;=120, "101 - R$120",W841&lt;=140, "121 - R$140", W841&lt;=160, "141- R$160", W841&lt;=180, "161 - R$180", W841&lt;=200, "181-R$194")</f>
        <v>81 - R$100</v>
      </c>
      <c r="Y841" s="13">
        <v>267</v>
      </c>
      <c r="Z841" s="13">
        <v>85</v>
      </c>
      <c r="AA841" s="13">
        <v>59</v>
      </c>
      <c r="AB841" s="13">
        <v>35</v>
      </c>
      <c r="AC841" s="13">
        <v>2</v>
      </c>
      <c r="AD841" s="13">
        <v>5</v>
      </c>
      <c r="AE841" s="13">
        <v>2</v>
      </c>
      <c r="AF841" s="13">
        <v>11</v>
      </c>
      <c r="AG841" s="13">
        <v>5</v>
      </c>
      <c r="AH841" s="13">
        <v>0</v>
      </c>
      <c r="AI841" s="13">
        <v>0</v>
      </c>
      <c r="AJ841" s="13">
        <v>0</v>
      </c>
      <c r="AK841" s="13">
        <v>0</v>
      </c>
      <c r="AL841" s="13">
        <v>0</v>
      </c>
      <c r="AM841" s="13">
        <v>0</v>
      </c>
      <c r="AN841" s="13">
        <v>1</v>
      </c>
      <c r="AO841" s="14">
        <v>0</v>
      </c>
      <c r="AP841" s="13">
        <v>3</v>
      </c>
      <c r="AQ841" s="13">
        <v>11</v>
      </c>
      <c r="AR841" s="15">
        <v>583</v>
      </c>
      <c r="AS841" s="15">
        <v>618</v>
      </c>
    </row>
    <row r="842" spans="1:45" x14ac:dyDescent="0.25">
      <c r="A842">
        <v>1851</v>
      </c>
      <c r="B842" s="11">
        <f t="shared" si="13"/>
        <v>33051</v>
      </c>
      <c r="C842" s="16">
        <v>330510</v>
      </c>
      <c r="D842" s="17">
        <v>0</v>
      </c>
      <c r="E842" s="17">
        <v>0</v>
      </c>
      <c r="F842" s="17">
        <v>15</v>
      </c>
      <c r="G842" s="17">
        <v>61</v>
      </c>
      <c r="H842" s="13" t="str" cm="1">
        <f t="array" ref="H842">_xlfn.IFS(G842&lt;=20,"0-20",G842&lt;=30,"20-30",G842&lt;=40,"30-40",G842&lt;=50,"50-60",G842&lt;=60,"60-70",G842&lt;=70,"70-80",G842&lt;=80,"80-90")</f>
        <v>70-80</v>
      </c>
      <c r="I842" s="17">
        <v>2841</v>
      </c>
      <c r="J842" s="13" t="str" cm="1">
        <f t="array" ref="J842">_xlfn.IFS(K842=1,"Divorciado",L842=1,"Casado",M842=1,"Solteiro",N842=1,"Juntos",O842=1,"Viuvo")</f>
        <v>Viuvo</v>
      </c>
      <c r="K842" s="17">
        <v>0</v>
      </c>
      <c r="L842" s="17">
        <v>0</v>
      </c>
      <c r="M842" s="17">
        <v>0</v>
      </c>
      <c r="N842" s="17">
        <v>0</v>
      </c>
      <c r="O842" s="17">
        <v>1</v>
      </c>
      <c r="P842" s="17">
        <v>0</v>
      </c>
      <c r="Q842" s="17">
        <v>0</v>
      </c>
      <c r="R842" s="17">
        <v>0</v>
      </c>
      <c r="S842" s="17">
        <v>1</v>
      </c>
      <c r="T842" s="17">
        <v>0</v>
      </c>
      <c r="U842" s="17">
        <v>100</v>
      </c>
      <c r="V842" s="13" t="str" cm="1">
        <f t="array" ref="V842">_xlfn.IFS(U842&lt;=250,"0-R$250",U842&lt;=500,"251-R$500",U842&lt;=750,"501-R$750",U842&lt;=1000,"751-R$1000",U842&lt;=1250,"1001-R$1250",U842&lt;=1500,"1251-R$1500")</f>
        <v>0-R$250</v>
      </c>
      <c r="W842" s="17">
        <v>71</v>
      </c>
      <c r="X842" s="13" t="str" cm="1">
        <f t="array" ref="X842">_xlfn.IFS(W842 = 0, "0", W842&lt;=20, "até R$20",W842&lt;=40, "21 - R$40",W842&lt;=60, "41- R$60",W842&lt;=80, "61 - R$80", W842&lt;=100, "81 - R$100",W842&lt;=120, "101 - R$120",W842&lt;=140, "121 - R$140", W842&lt;=160, "141- R$160", W842&lt;=180, "161 - R$180", W842&lt;=200, "181-R$194")</f>
        <v>61 - R$80</v>
      </c>
      <c r="Y842" s="17">
        <v>243</v>
      </c>
      <c r="Z842" s="17">
        <v>108</v>
      </c>
      <c r="AA842" s="17">
        <v>94</v>
      </c>
      <c r="AB842" s="17">
        <v>219</v>
      </c>
      <c r="AC842" s="17">
        <v>3</v>
      </c>
      <c r="AD842" s="17">
        <v>9</v>
      </c>
      <c r="AE842" s="17">
        <v>1</v>
      </c>
      <c r="AF842" s="17">
        <v>8</v>
      </c>
      <c r="AG842" s="17">
        <v>9</v>
      </c>
      <c r="AH842" s="17">
        <v>0</v>
      </c>
      <c r="AI842" s="17">
        <v>0</v>
      </c>
      <c r="AJ842" s="17">
        <v>0</v>
      </c>
      <c r="AK842" s="17">
        <v>0</v>
      </c>
      <c r="AL842" s="17">
        <v>0</v>
      </c>
      <c r="AM842" s="17">
        <v>0</v>
      </c>
      <c r="AN842" s="17">
        <v>1</v>
      </c>
      <c r="AO842" s="18">
        <v>0</v>
      </c>
      <c r="AP842" s="17">
        <v>3</v>
      </c>
      <c r="AQ842" s="17">
        <v>11</v>
      </c>
      <c r="AR842" s="19">
        <v>397</v>
      </c>
      <c r="AS842" s="19">
        <v>616</v>
      </c>
    </row>
    <row r="843" spans="1:45" x14ac:dyDescent="0.25">
      <c r="A843">
        <v>768</v>
      </c>
      <c r="B843" s="11">
        <f t="shared" si="13"/>
        <v>42564</v>
      </c>
      <c r="C843" s="12">
        <v>425640</v>
      </c>
      <c r="D843" s="13">
        <v>0</v>
      </c>
      <c r="E843" s="13">
        <v>1</v>
      </c>
      <c r="F843" s="13">
        <v>28</v>
      </c>
      <c r="G843" s="13">
        <v>52</v>
      </c>
      <c r="H843" s="13" t="str" cm="1">
        <f t="array" ref="H843">_xlfn.IFS(G843&lt;=20,"0-20",G843&lt;=30,"20-30",G843&lt;=40,"30-40",G843&lt;=50,"50-60",G843&lt;=60,"60-70",G843&lt;=70,"70-80",G843&lt;=80,"80-90")</f>
        <v>60-70</v>
      </c>
      <c r="I843" s="13">
        <v>2702</v>
      </c>
      <c r="J843" s="13" t="str" cm="1">
        <f t="array" ref="J843">_xlfn.IFS(K843=1,"Divorciado",L843=1,"Casado",M843=1,"Solteiro",N843=1,"Juntos",O843=1,"Viuvo")</f>
        <v>Divorciado</v>
      </c>
      <c r="K843" s="13">
        <v>1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1</v>
      </c>
      <c r="U843" s="13">
        <v>324</v>
      </c>
      <c r="V843" s="13" t="str" cm="1">
        <f t="array" ref="V843">_xlfn.IFS(U843&lt;=250,"0-R$250",U843&lt;=500,"251-R$500",U843&lt;=750,"501-R$750",U843&lt;=1000,"751-R$1000",U843&lt;=1250,"1001-R$1250",U843&lt;=1500,"1251-R$1500")</f>
        <v>251-R$500</v>
      </c>
      <c r="W843" s="13">
        <v>48</v>
      </c>
      <c r="X843" s="13" t="str" cm="1">
        <f t="array" ref="X843">_xlfn.IFS(W843 = 0, "0", W843&lt;=20, "até R$20",W843&lt;=40, "21 - R$40",W843&lt;=60, "41- R$60",W843&lt;=80, "61 - R$80", W843&lt;=100, "81 - R$100",W843&lt;=120, "101 - R$120",W843&lt;=140, "121 - R$140", W843&lt;=160, "141- R$160", W843&lt;=180, "161 - R$180", W843&lt;=200, "181-R$194")</f>
        <v>41- R$60</v>
      </c>
      <c r="Y843" s="13">
        <v>186</v>
      </c>
      <c r="Z843" s="13">
        <v>39</v>
      </c>
      <c r="AA843" s="13">
        <v>18</v>
      </c>
      <c r="AB843" s="13">
        <v>198</v>
      </c>
      <c r="AC843" s="13">
        <v>6</v>
      </c>
      <c r="AD843" s="13">
        <v>6</v>
      </c>
      <c r="AE843" s="13">
        <v>8</v>
      </c>
      <c r="AF843" s="13">
        <v>4</v>
      </c>
      <c r="AG843" s="13">
        <v>7</v>
      </c>
      <c r="AH843" s="13">
        <v>0</v>
      </c>
      <c r="AI843" s="13">
        <v>1</v>
      </c>
      <c r="AJ843" s="13">
        <v>0</v>
      </c>
      <c r="AK843" s="13">
        <v>0</v>
      </c>
      <c r="AL843" s="13">
        <v>0</v>
      </c>
      <c r="AM843" s="13">
        <v>0</v>
      </c>
      <c r="AN843" s="13">
        <v>1</v>
      </c>
      <c r="AO843" s="14">
        <v>1</v>
      </c>
      <c r="AP843" s="13">
        <v>3</v>
      </c>
      <c r="AQ843" s="13">
        <v>11</v>
      </c>
      <c r="AR843" s="15">
        <v>417</v>
      </c>
      <c r="AS843" s="15">
        <v>615</v>
      </c>
    </row>
    <row r="844" spans="1:45" x14ac:dyDescent="0.25">
      <c r="A844">
        <v>2012</v>
      </c>
      <c r="B844" s="11">
        <f t="shared" si="13"/>
        <v>60689</v>
      </c>
      <c r="C844" s="12">
        <v>606890</v>
      </c>
      <c r="D844" s="13">
        <v>0</v>
      </c>
      <c r="E844" s="13">
        <v>1</v>
      </c>
      <c r="F844" s="13">
        <v>23</v>
      </c>
      <c r="G844" s="13">
        <v>69</v>
      </c>
      <c r="H844" s="13" t="str" cm="1">
        <f t="array" ref="H844">_xlfn.IFS(G844&lt;=20,"0-20",G844&lt;=30,"20-30",G844&lt;=40,"30-40",G844&lt;=50,"50-60",G844&lt;=60,"60-70",G844&lt;=70,"70-80",G844&lt;=80,"80-90")</f>
        <v>70-80</v>
      </c>
      <c r="I844" s="13">
        <v>2552</v>
      </c>
      <c r="J844" s="13" t="str" cm="1">
        <f t="array" ref="J844">_xlfn.IFS(K844=1,"Divorciado",L844=1,"Casado",M844=1,"Solteiro",N844=1,"Juntos",O844=1,"Viuvo")</f>
        <v>Solteiro</v>
      </c>
      <c r="K844" s="13">
        <v>0</v>
      </c>
      <c r="L844" s="13">
        <v>0</v>
      </c>
      <c r="M844" s="13">
        <v>1</v>
      </c>
      <c r="N844" s="13">
        <v>0</v>
      </c>
      <c r="O844" s="13">
        <v>0</v>
      </c>
      <c r="P844" s="13">
        <v>0</v>
      </c>
      <c r="Q844" s="13">
        <v>0</v>
      </c>
      <c r="R844" s="13">
        <v>1</v>
      </c>
      <c r="S844" s="13">
        <v>0</v>
      </c>
      <c r="T844" s="13">
        <v>0</v>
      </c>
      <c r="U844" s="13">
        <v>240</v>
      </c>
      <c r="V844" s="13" t="str" cm="1">
        <f t="array" ref="V844">_xlfn.IFS(U844&lt;=250,"0-R$250",U844&lt;=500,"251-R$500",U844&lt;=750,"501-R$750",U844&lt;=1000,"751-R$1000",U844&lt;=1250,"1001-R$1250",U844&lt;=1500,"1251-R$1500")</f>
        <v>0-R$250</v>
      </c>
      <c r="W844" s="13">
        <v>90</v>
      </c>
      <c r="X844" s="13" t="str" cm="1">
        <f t="array" ref="X844">_xlfn.IFS(W844 = 0, "0", W844&lt;=20, "até R$20",W844&lt;=40, "21 - R$40",W844&lt;=60, "41- R$60",W844&lt;=80, "61 - R$80", W844&lt;=100, "81 - R$100",W844&lt;=120, "101 - R$120",W844&lt;=140, "121 - R$140", W844&lt;=160, "141- R$160", W844&lt;=180, "161 - R$180", W844&lt;=200, "181-R$194")</f>
        <v>81 - R$100</v>
      </c>
      <c r="Y844" s="13">
        <v>216</v>
      </c>
      <c r="Z844" s="13">
        <v>63</v>
      </c>
      <c r="AA844" s="13">
        <v>6</v>
      </c>
      <c r="AB844" s="13">
        <v>24</v>
      </c>
      <c r="AC844" s="13">
        <v>4</v>
      </c>
      <c r="AD844" s="13">
        <v>4</v>
      </c>
      <c r="AE844" s="13">
        <v>4</v>
      </c>
      <c r="AF844" s="13">
        <v>10</v>
      </c>
      <c r="AG844" s="13">
        <v>3</v>
      </c>
      <c r="AH844" s="13">
        <v>0</v>
      </c>
      <c r="AI844" s="13">
        <v>0</v>
      </c>
      <c r="AJ844" s="13">
        <v>0</v>
      </c>
      <c r="AK844" s="13">
        <v>0</v>
      </c>
      <c r="AL844" s="13">
        <v>0</v>
      </c>
      <c r="AM844" s="13">
        <v>0</v>
      </c>
      <c r="AN844" s="13">
        <v>0</v>
      </c>
      <c r="AO844" s="14">
        <v>0</v>
      </c>
      <c r="AP844" s="13">
        <v>3</v>
      </c>
      <c r="AQ844" s="13">
        <v>11</v>
      </c>
      <c r="AR844" s="15">
        <v>591</v>
      </c>
      <c r="AS844" s="15">
        <v>615</v>
      </c>
    </row>
    <row r="845" spans="1:45" x14ac:dyDescent="0.25">
      <c r="A845">
        <v>950</v>
      </c>
      <c r="B845" s="11">
        <f t="shared" si="13"/>
        <v>44010</v>
      </c>
      <c r="C845" s="12">
        <v>440100</v>
      </c>
      <c r="D845" s="13">
        <v>1</v>
      </c>
      <c r="E845" s="13">
        <v>0</v>
      </c>
      <c r="F845" s="13">
        <v>46</v>
      </c>
      <c r="G845" s="13">
        <v>40</v>
      </c>
      <c r="H845" s="13" t="str" cm="1">
        <f t="array" ref="H845">_xlfn.IFS(G845&lt;=20,"0-20",G845&lt;=30,"20-30",G845&lt;=40,"30-40",G845&lt;=50,"50-60",G845&lt;=60,"60-70",G845&lt;=70,"70-80",G845&lt;=80,"80-90")</f>
        <v>30-40</v>
      </c>
      <c r="I845" s="13">
        <v>2783</v>
      </c>
      <c r="J845" s="13" t="str" cm="1">
        <f t="array" ref="J845">_xlfn.IFS(K845=1,"Divorciado",L845=1,"Casado",M845=1,"Solteiro",N845=1,"Juntos",O845=1,"Viuvo")</f>
        <v>Juntos</v>
      </c>
      <c r="K845" s="13">
        <v>0</v>
      </c>
      <c r="L845" s="13">
        <v>0</v>
      </c>
      <c r="M845" s="13">
        <v>0</v>
      </c>
      <c r="N845" s="13">
        <v>1</v>
      </c>
      <c r="O845" s="13">
        <v>0</v>
      </c>
      <c r="P845" s="13">
        <v>0</v>
      </c>
      <c r="Q845" s="13">
        <v>0</v>
      </c>
      <c r="R845" s="13">
        <v>1</v>
      </c>
      <c r="S845" s="13">
        <v>0</v>
      </c>
      <c r="T845" s="13">
        <v>0</v>
      </c>
      <c r="U845" s="13">
        <v>186</v>
      </c>
      <c r="V845" s="13" t="str" cm="1">
        <f t="array" ref="V845">_xlfn.IFS(U845&lt;=250,"0-R$250",U845&lt;=500,"251-R$500",U845&lt;=750,"501-R$750",U845&lt;=1000,"751-R$1000",U845&lt;=1250,"1001-R$1250",U845&lt;=1500,"1251-R$1500")</f>
        <v>0-R$250</v>
      </c>
      <c r="W845" s="13">
        <v>36</v>
      </c>
      <c r="X845" s="13" t="str" cm="1">
        <f t="array" ref="X845">_xlfn.IFS(W845 = 0, "0", W845&lt;=20, "até R$20",W845&lt;=40, "21 - R$40",W845&lt;=60, "41- R$60",W845&lt;=80, "61 - R$80", W845&lt;=100, "81 - R$100",W845&lt;=120, "101 - R$120",W845&lt;=140, "121 - R$140", W845&lt;=160, "141- R$160", W845&lt;=180, "161 - R$180", W845&lt;=200, "181-R$194")</f>
        <v>21 - R$40</v>
      </c>
      <c r="Y845" s="13">
        <v>234</v>
      </c>
      <c r="Z845" s="13">
        <v>86</v>
      </c>
      <c r="AA845" s="13">
        <v>72</v>
      </c>
      <c r="AB845" s="13">
        <v>48</v>
      </c>
      <c r="AC845" s="13">
        <v>6</v>
      </c>
      <c r="AD845" s="13">
        <v>10</v>
      </c>
      <c r="AE845" s="13">
        <v>2</v>
      </c>
      <c r="AF845" s="13">
        <v>6</v>
      </c>
      <c r="AG845" s="13">
        <v>9</v>
      </c>
      <c r="AH845" s="13">
        <v>0</v>
      </c>
      <c r="AI845" s="13">
        <v>0</v>
      </c>
      <c r="AJ845" s="13">
        <v>0</v>
      </c>
      <c r="AK845" s="13">
        <v>0</v>
      </c>
      <c r="AL845" s="13">
        <v>0</v>
      </c>
      <c r="AM845" s="13">
        <v>0</v>
      </c>
      <c r="AN845" s="13">
        <v>0</v>
      </c>
      <c r="AO845" s="14">
        <v>0</v>
      </c>
      <c r="AP845" s="13">
        <v>3</v>
      </c>
      <c r="AQ845" s="13">
        <v>11</v>
      </c>
      <c r="AR845" s="15">
        <v>566</v>
      </c>
      <c r="AS845" s="15">
        <v>614</v>
      </c>
    </row>
    <row r="846" spans="1:45" x14ac:dyDescent="0.25">
      <c r="A846">
        <v>112</v>
      </c>
      <c r="B846" s="11">
        <f t="shared" si="13"/>
        <v>56129</v>
      </c>
      <c r="C846" s="12">
        <v>561290</v>
      </c>
      <c r="D846" s="13">
        <v>0</v>
      </c>
      <c r="E846" s="13">
        <v>1</v>
      </c>
      <c r="F846" s="13">
        <v>65</v>
      </c>
      <c r="G846" s="13">
        <v>67</v>
      </c>
      <c r="H846" s="13" t="str" cm="1">
        <f t="array" ref="H846">_xlfn.IFS(G846&lt;=20,"0-20",G846&lt;=30,"20-30",G846&lt;=40,"30-40",G846&lt;=50,"50-60",G846&lt;=60,"60-70",G846&lt;=70,"70-80",G846&lt;=80,"80-90")</f>
        <v>70-80</v>
      </c>
      <c r="I846" s="13">
        <v>2533</v>
      </c>
      <c r="J846" s="13" t="str" cm="1">
        <f t="array" ref="J846">_xlfn.IFS(K846=1,"Divorciado",L846=1,"Casado",M846=1,"Solteiro",N846=1,"Juntos",O846=1,"Viuvo")</f>
        <v>Juntos</v>
      </c>
      <c r="K846" s="13">
        <v>0</v>
      </c>
      <c r="L846" s="13">
        <v>0</v>
      </c>
      <c r="M846" s="13">
        <v>0</v>
      </c>
      <c r="N846" s="13">
        <v>1</v>
      </c>
      <c r="O846" s="13">
        <v>0</v>
      </c>
      <c r="P846" s="13">
        <v>0</v>
      </c>
      <c r="Q846" s="13">
        <v>0</v>
      </c>
      <c r="R846" s="13">
        <v>0</v>
      </c>
      <c r="S846" s="13">
        <v>1</v>
      </c>
      <c r="T846" s="13">
        <v>0</v>
      </c>
      <c r="U846" s="13">
        <v>320</v>
      </c>
      <c r="V846" s="13" t="str" cm="1">
        <f t="array" ref="V846">_xlfn.IFS(U846&lt;=250,"0-R$250",U846&lt;=500,"251-R$500",U846&lt;=750,"501-R$750",U846&lt;=1000,"751-R$1000",U846&lt;=1250,"1001-R$1250",U846&lt;=1500,"1251-R$1500")</f>
        <v>251-R$500</v>
      </c>
      <c r="W846" s="13">
        <v>48</v>
      </c>
      <c r="X846" s="13" t="str" cm="1">
        <f t="array" ref="X846">_xlfn.IFS(W846 = 0, "0", W846&lt;=20, "até R$20",W846&lt;=40, "21 - R$40",W846&lt;=60, "41- R$60",W846&lt;=80, "61 - R$80", W846&lt;=100, "81 - R$100",W846&lt;=120, "101 - R$120",W846&lt;=140, "121 - R$140", W846&lt;=160, "141- R$160", W846&lt;=180, "161 - R$180", W846&lt;=200, "181-R$194")</f>
        <v>41- R$60</v>
      </c>
      <c r="Y846" s="13">
        <v>133</v>
      </c>
      <c r="Z846" s="13">
        <v>39</v>
      </c>
      <c r="AA846" s="13">
        <v>72</v>
      </c>
      <c r="AB846" s="13">
        <v>48</v>
      </c>
      <c r="AC846" s="13">
        <v>4</v>
      </c>
      <c r="AD846" s="13">
        <v>6</v>
      </c>
      <c r="AE846" s="13">
        <v>2</v>
      </c>
      <c r="AF846" s="13">
        <v>10</v>
      </c>
      <c r="AG846" s="13">
        <v>4</v>
      </c>
      <c r="AH846" s="13">
        <v>0</v>
      </c>
      <c r="AI846" s="13">
        <v>0</v>
      </c>
      <c r="AJ846" s="13">
        <v>0</v>
      </c>
      <c r="AK846" s="13">
        <v>0</v>
      </c>
      <c r="AL846" s="13">
        <v>0</v>
      </c>
      <c r="AM846" s="13">
        <v>0</v>
      </c>
      <c r="AN846" s="13">
        <v>0</v>
      </c>
      <c r="AO846" s="14">
        <v>0</v>
      </c>
      <c r="AP846" s="13">
        <v>3</v>
      </c>
      <c r="AQ846" s="13">
        <v>11</v>
      </c>
      <c r="AR846" s="15">
        <v>564</v>
      </c>
      <c r="AS846" s="15">
        <v>612</v>
      </c>
    </row>
    <row r="847" spans="1:45" x14ac:dyDescent="0.25">
      <c r="A847">
        <v>1121</v>
      </c>
      <c r="B847" s="11">
        <f t="shared" si="13"/>
        <v>56129</v>
      </c>
      <c r="C847" s="16">
        <v>561290</v>
      </c>
      <c r="D847" s="17">
        <v>0</v>
      </c>
      <c r="E847" s="17">
        <v>1</v>
      </c>
      <c r="F847" s="17">
        <v>65</v>
      </c>
      <c r="G847" s="17">
        <v>67</v>
      </c>
      <c r="H847" s="13" t="str" cm="1">
        <f t="array" ref="H847">_xlfn.IFS(G847&lt;=20,"0-20",G847&lt;=30,"20-30",G847&lt;=40,"30-40",G847&lt;=50,"50-60",G847&lt;=60,"60-70",G847&lt;=70,"70-80",G847&lt;=80,"80-90")</f>
        <v>70-80</v>
      </c>
      <c r="I847" s="17">
        <v>2533</v>
      </c>
      <c r="J847" s="13" t="str" cm="1">
        <f t="array" ref="J847">_xlfn.IFS(K847=1,"Divorciado",L847=1,"Casado",M847=1,"Solteiro",N847=1,"Juntos",O847=1,"Viuvo")</f>
        <v>Juntos</v>
      </c>
      <c r="K847" s="17">
        <v>0</v>
      </c>
      <c r="L847" s="17">
        <v>0</v>
      </c>
      <c r="M847" s="17">
        <v>0</v>
      </c>
      <c r="N847" s="17">
        <v>1</v>
      </c>
      <c r="O847" s="17">
        <v>0</v>
      </c>
      <c r="P847" s="17">
        <v>0</v>
      </c>
      <c r="Q847" s="17">
        <v>0</v>
      </c>
      <c r="R847" s="17">
        <v>0</v>
      </c>
      <c r="S847" s="17">
        <v>1</v>
      </c>
      <c r="T847" s="17">
        <v>0</v>
      </c>
      <c r="U847" s="17">
        <v>320</v>
      </c>
      <c r="V847" s="13" t="str" cm="1">
        <f t="array" ref="V847">_xlfn.IFS(U847&lt;=250,"0-R$250",U847&lt;=500,"251-R$500",U847&lt;=750,"501-R$750",U847&lt;=1000,"751-R$1000",U847&lt;=1250,"1001-R$1250",U847&lt;=1500,"1251-R$1500")</f>
        <v>251-R$500</v>
      </c>
      <c r="W847" s="17">
        <v>48</v>
      </c>
      <c r="X847" s="13" t="str" cm="1">
        <f t="array" ref="X847">_xlfn.IFS(W847 = 0, "0", W847&lt;=20, "até R$20",W847&lt;=40, "21 - R$40",W847&lt;=60, "41- R$60",W847&lt;=80, "61 - R$80", W847&lt;=100, "81 - R$100",W847&lt;=120, "101 - R$120",W847&lt;=140, "121 - R$140", W847&lt;=160, "141- R$160", W847&lt;=180, "161 - R$180", W847&lt;=200, "181-R$194")</f>
        <v>41- R$60</v>
      </c>
      <c r="Y847" s="17">
        <v>133</v>
      </c>
      <c r="Z847" s="17">
        <v>39</v>
      </c>
      <c r="AA847" s="17">
        <v>72</v>
      </c>
      <c r="AB847" s="17">
        <v>48</v>
      </c>
      <c r="AC847" s="17">
        <v>4</v>
      </c>
      <c r="AD847" s="17">
        <v>6</v>
      </c>
      <c r="AE847" s="17">
        <v>2</v>
      </c>
      <c r="AF847" s="17">
        <v>10</v>
      </c>
      <c r="AG847" s="17">
        <v>4</v>
      </c>
      <c r="AH847" s="17">
        <v>0</v>
      </c>
      <c r="AI847" s="17">
        <v>0</v>
      </c>
      <c r="AJ847" s="17">
        <v>0</v>
      </c>
      <c r="AK847" s="17">
        <v>0</v>
      </c>
      <c r="AL847" s="17">
        <v>0</v>
      </c>
      <c r="AM847" s="17">
        <v>0</v>
      </c>
      <c r="AN847" s="17">
        <v>0</v>
      </c>
      <c r="AO847" s="18">
        <v>0</v>
      </c>
      <c r="AP847" s="17">
        <v>3</v>
      </c>
      <c r="AQ847" s="17">
        <v>11</v>
      </c>
      <c r="AR847" s="19">
        <v>564</v>
      </c>
      <c r="AS847" s="19">
        <v>612</v>
      </c>
    </row>
    <row r="848" spans="1:45" x14ac:dyDescent="0.25">
      <c r="A848">
        <v>1524</v>
      </c>
      <c r="B848" s="11">
        <f t="shared" si="13"/>
        <v>66033</v>
      </c>
      <c r="C848" s="12">
        <v>660330</v>
      </c>
      <c r="D848" s="13">
        <v>0</v>
      </c>
      <c r="E848" s="13">
        <v>1</v>
      </c>
      <c r="F848" s="13">
        <v>76</v>
      </c>
      <c r="G848" s="13">
        <v>63</v>
      </c>
      <c r="H848" s="13" t="str" cm="1">
        <f t="array" ref="H848">_xlfn.IFS(G848&lt;=20,"0-20",G848&lt;=30,"20-30",G848&lt;=40,"30-40",G848&lt;=50,"50-60",G848&lt;=60,"60-70",G848&lt;=70,"70-80",G848&lt;=80,"80-90")</f>
        <v>70-80</v>
      </c>
      <c r="I848" s="13">
        <v>2684</v>
      </c>
      <c r="J848" s="13" t="str" cm="1">
        <f t="array" ref="J848">_xlfn.IFS(K848=1,"Divorciado",L848=1,"Casado",M848=1,"Solteiro",N848=1,"Juntos",O848=1,"Viuvo")</f>
        <v>Viuvo</v>
      </c>
      <c r="K848" s="13">
        <v>0</v>
      </c>
      <c r="L848" s="13">
        <v>0</v>
      </c>
      <c r="M848" s="13">
        <v>0</v>
      </c>
      <c r="N848" s="13">
        <v>0</v>
      </c>
      <c r="O848" s="13">
        <v>1</v>
      </c>
      <c r="P848" s="13">
        <v>0</v>
      </c>
      <c r="Q848" s="13">
        <v>0</v>
      </c>
      <c r="R848" s="13">
        <v>1</v>
      </c>
      <c r="S848" s="13">
        <v>0</v>
      </c>
      <c r="T848" s="13">
        <v>0</v>
      </c>
      <c r="U848" s="13">
        <v>293</v>
      </c>
      <c r="V848" s="13" t="str" cm="1">
        <f t="array" ref="V848">_xlfn.IFS(U848&lt;=250,"0-R$250",U848&lt;=500,"251-R$500",U848&lt;=750,"501-R$750",U848&lt;=1000,"751-R$1000",U848&lt;=1250,"1001-R$1250",U848&lt;=1500,"1251-R$1500")</f>
        <v>251-R$500</v>
      </c>
      <c r="W848" s="13">
        <v>35</v>
      </c>
      <c r="X848" s="13" t="str" cm="1">
        <f t="array" ref="X848">_xlfn.IFS(W848 = 0, "0", W848&lt;=20, "até R$20",W848&lt;=40, "21 - R$40",W848&lt;=60, "41- R$60",W848&lt;=80, "61 - R$80", W848&lt;=100, "81 - R$100",W848&lt;=120, "101 - R$120",W848&lt;=140, "121 - R$140", W848&lt;=160, "141- R$160", W848&lt;=180, "161 - R$180", W848&lt;=200, "181-R$194")</f>
        <v>21 - R$40</v>
      </c>
      <c r="Y848" s="13">
        <v>179</v>
      </c>
      <c r="Z848" s="13">
        <v>46</v>
      </c>
      <c r="AA848" s="13">
        <v>59</v>
      </c>
      <c r="AB848" s="13">
        <v>65</v>
      </c>
      <c r="AC848" s="13">
        <v>2</v>
      </c>
      <c r="AD848" s="13">
        <v>8</v>
      </c>
      <c r="AE848" s="13">
        <v>3</v>
      </c>
      <c r="AF848" s="13">
        <v>7</v>
      </c>
      <c r="AG848" s="13">
        <v>7</v>
      </c>
      <c r="AH848" s="13">
        <v>0</v>
      </c>
      <c r="AI848" s="13">
        <v>0</v>
      </c>
      <c r="AJ848" s="13">
        <v>0</v>
      </c>
      <c r="AK848" s="13">
        <v>0</v>
      </c>
      <c r="AL848" s="13">
        <v>0</v>
      </c>
      <c r="AM848" s="13">
        <v>0</v>
      </c>
      <c r="AN848" s="13">
        <v>0</v>
      </c>
      <c r="AO848" s="14">
        <v>0</v>
      </c>
      <c r="AP848" s="13">
        <v>3</v>
      </c>
      <c r="AQ848" s="13">
        <v>11</v>
      </c>
      <c r="AR848" s="15">
        <v>547</v>
      </c>
      <c r="AS848" s="15">
        <v>612</v>
      </c>
    </row>
    <row r="849" spans="1:45" x14ac:dyDescent="0.25">
      <c r="A849">
        <v>655</v>
      </c>
      <c r="B849" s="11">
        <f t="shared" si="13"/>
        <v>77353</v>
      </c>
      <c r="C849" s="16">
        <v>773530</v>
      </c>
      <c r="D849" s="17">
        <v>0</v>
      </c>
      <c r="E849" s="17">
        <v>1</v>
      </c>
      <c r="F849" s="17">
        <v>38</v>
      </c>
      <c r="G849" s="17">
        <v>40</v>
      </c>
      <c r="H849" s="13" t="str" cm="1">
        <f t="array" ref="H849">_xlfn.IFS(G849&lt;=20,"0-20",G849&lt;=30,"20-30",G849&lt;=40,"30-40",G849&lt;=50,"50-60",G849&lt;=60,"60-70",G849&lt;=70,"70-80",G849&lt;=80,"80-90")</f>
        <v>30-40</v>
      </c>
      <c r="I849" s="17">
        <v>2354</v>
      </c>
      <c r="J849" s="13" t="str" cm="1">
        <f t="array" ref="J849">_xlfn.IFS(K849=1,"Divorciado",L849=1,"Casado",M849=1,"Solteiro",N849=1,"Juntos",O849=1,"Viuvo")</f>
        <v>Casado</v>
      </c>
      <c r="K849" s="17">
        <v>0</v>
      </c>
      <c r="L849" s="17">
        <v>1</v>
      </c>
      <c r="M849" s="17">
        <v>0</v>
      </c>
      <c r="N849" s="17">
        <v>0</v>
      </c>
      <c r="O849" s="17">
        <v>0</v>
      </c>
      <c r="P849" s="17">
        <v>0</v>
      </c>
      <c r="Q849" s="17">
        <v>0</v>
      </c>
      <c r="R849" s="17">
        <v>1</v>
      </c>
      <c r="S849" s="17">
        <v>0</v>
      </c>
      <c r="T849" s="17">
        <v>0</v>
      </c>
      <c r="U849" s="17">
        <v>275</v>
      </c>
      <c r="V849" s="13" t="str" cm="1">
        <f t="array" ref="V849">_xlfn.IFS(U849&lt;=250,"0-R$250",U849&lt;=500,"251-R$500",U849&lt;=750,"501-R$750",U849&lt;=1000,"751-R$1000",U849&lt;=1250,"1001-R$1250",U849&lt;=1500,"1251-R$1500")</f>
        <v>251-R$500</v>
      </c>
      <c r="W849" s="17">
        <v>59</v>
      </c>
      <c r="X849" s="13" t="str" cm="1">
        <f t="array" ref="X849">_xlfn.IFS(W849 = 0, "0", W849&lt;=20, "até R$20",W849&lt;=40, "21 - R$40",W849&lt;=60, "41- R$60",W849&lt;=80, "61 - R$80", W849&lt;=100, "81 - R$100",W849&lt;=120, "101 - R$120",W849&lt;=140, "121 - R$140", W849&lt;=160, "141- R$160", W849&lt;=180, "161 - R$180", W849&lt;=200, "181-R$194")</f>
        <v>41- R$60</v>
      </c>
      <c r="Y849" s="17">
        <v>107</v>
      </c>
      <c r="Z849" s="17">
        <v>69</v>
      </c>
      <c r="AA849" s="17">
        <v>101</v>
      </c>
      <c r="AB849" s="17">
        <v>59</v>
      </c>
      <c r="AC849" s="17">
        <v>2</v>
      </c>
      <c r="AD849" s="17">
        <v>6</v>
      </c>
      <c r="AE849" s="17">
        <v>4</v>
      </c>
      <c r="AF849" s="17">
        <v>8</v>
      </c>
      <c r="AG849" s="17">
        <v>4</v>
      </c>
      <c r="AH849" s="17">
        <v>0</v>
      </c>
      <c r="AI849" s="17">
        <v>0</v>
      </c>
      <c r="AJ849" s="17">
        <v>0</v>
      </c>
      <c r="AK849" s="17">
        <v>0</v>
      </c>
      <c r="AL849" s="17">
        <v>0</v>
      </c>
      <c r="AM849" s="17">
        <v>0</v>
      </c>
      <c r="AN849" s="17">
        <v>0</v>
      </c>
      <c r="AO849" s="18">
        <v>0</v>
      </c>
      <c r="AP849" s="17">
        <v>3</v>
      </c>
      <c r="AQ849" s="17">
        <v>11</v>
      </c>
      <c r="AR849" s="19">
        <v>552</v>
      </c>
      <c r="AS849" s="19">
        <v>611</v>
      </c>
    </row>
    <row r="850" spans="1:45" x14ac:dyDescent="0.25">
      <c r="A850">
        <v>667</v>
      </c>
      <c r="B850" s="11">
        <f t="shared" si="13"/>
        <v>66476</v>
      </c>
      <c r="C850" s="16">
        <v>664760</v>
      </c>
      <c r="D850" s="17">
        <v>0</v>
      </c>
      <c r="E850" s="17">
        <v>1</v>
      </c>
      <c r="F850" s="17">
        <v>99</v>
      </c>
      <c r="G850" s="17">
        <v>44</v>
      </c>
      <c r="H850" s="13" t="str" cm="1">
        <f t="array" ref="H850">_xlfn.IFS(G850&lt;=20,"0-20",G850&lt;=30,"20-30",G850&lt;=40,"30-40",G850&lt;=50,"50-60",G850&lt;=60,"60-70",G850&lt;=70,"70-80",G850&lt;=80,"80-90")</f>
        <v>50-60</v>
      </c>
      <c r="I850" s="17">
        <v>2638</v>
      </c>
      <c r="J850" s="13" t="str" cm="1">
        <f t="array" ref="J850">_xlfn.IFS(K850=1,"Divorciado",L850=1,"Casado",M850=1,"Solteiro",N850=1,"Juntos",O850=1,"Viuvo")</f>
        <v>Divorciado</v>
      </c>
      <c r="K850" s="17">
        <v>1</v>
      </c>
      <c r="L850" s="17">
        <v>0</v>
      </c>
      <c r="M850" s="17">
        <v>0</v>
      </c>
      <c r="N850" s="17">
        <v>0</v>
      </c>
      <c r="O850" s="17">
        <v>0</v>
      </c>
      <c r="P850" s="17">
        <v>0</v>
      </c>
      <c r="Q850" s="17">
        <v>0</v>
      </c>
      <c r="R850" s="17">
        <v>0</v>
      </c>
      <c r="S850" s="17">
        <v>0</v>
      </c>
      <c r="T850" s="17">
        <v>1</v>
      </c>
      <c r="U850" s="17">
        <v>372</v>
      </c>
      <c r="V850" s="13" t="str" cm="1">
        <f t="array" ref="V850">_xlfn.IFS(U850&lt;=250,"0-R$250",U850&lt;=500,"251-R$500",U850&lt;=750,"501-R$750",U850&lt;=1000,"751-R$1000",U850&lt;=1250,"1001-R$1250",U850&lt;=1500,"1251-R$1500")</f>
        <v>251-R$500</v>
      </c>
      <c r="W850" s="17">
        <v>18</v>
      </c>
      <c r="X850" s="13" t="str" cm="1">
        <f t="array" ref="X850">_xlfn.IFS(W850 = 0, "0", W850&lt;=20, "até R$20",W850&lt;=40, "21 - R$40",W850&lt;=60, "41- R$60",W850&lt;=80, "61 - R$80", W850&lt;=100, "81 - R$100",W850&lt;=120, "101 - R$120",W850&lt;=140, "121 - R$140", W850&lt;=160, "141- R$160", W850&lt;=180, "161 - R$180", W850&lt;=200, "181-R$194")</f>
        <v>até R$20</v>
      </c>
      <c r="Y850" s="17">
        <v>126</v>
      </c>
      <c r="Z850" s="17">
        <v>47</v>
      </c>
      <c r="AA850" s="17">
        <v>48</v>
      </c>
      <c r="AB850" s="17">
        <v>78</v>
      </c>
      <c r="AC850" s="17">
        <v>2</v>
      </c>
      <c r="AD850" s="17">
        <v>5</v>
      </c>
      <c r="AE850" s="17">
        <v>2</v>
      </c>
      <c r="AF850" s="17">
        <v>11</v>
      </c>
      <c r="AG850" s="17">
        <v>4</v>
      </c>
      <c r="AH850" s="17">
        <v>0</v>
      </c>
      <c r="AI850" s="17">
        <v>0</v>
      </c>
      <c r="AJ850" s="17">
        <v>0</v>
      </c>
      <c r="AK850" s="17">
        <v>0</v>
      </c>
      <c r="AL850" s="17">
        <v>0</v>
      </c>
      <c r="AM850" s="17">
        <v>0</v>
      </c>
      <c r="AN850" s="17">
        <v>0</v>
      </c>
      <c r="AO850" s="18">
        <v>0</v>
      </c>
      <c r="AP850" s="17">
        <v>3</v>
      </c>
      <c r="AQ850" s="17">
        <v>11</v>
      </c>
      <c r="AR850" s="19">
        <v>533</v>
      </c>
      <c r="AS850" s="19">
        <v>611</v>
      </c>
    </row>
    <row r="851" spans="1:45" x14ac:dyDescent="0.25">
      <c r="A851">
        <v>938</v>
      </c>
      <c r="B851" s="11">
        <f t="shared" si="13"/>
        <v>53700</v>
      </c>
      <c r="C851" s="12">
        <v>537000</v>
      </c>
      <c r="D851" s="13">
        <v>0</v>
      </c>
      <c r="E851" s="13">
        <v>1</v>
      </c>
      <c r="F851" s="13">
        <v>94</v>
      </c>
      <c r="G851" s="13">
        <v>68</v>
      </c>
      <c r="H851" s="13" t="str" cm="1">
        <f t="array" ref="H851">_xlfn.IFS(G851&lt;=20,"0-20",G851&lt;=30,"20-30",G851&lt;=40,"30-40",G851&lt;=50,"50-60",G851&lt;=60,"60-70",G851&lt;=70,"70-80",G851&lt;=80,"80-90")</f>
        <v>70-80</v>
      </c>
      <c r="I851" s="13">
        <v>2840</v>
      </c>
      <c r="J851" s="13" t="str" cm="1">
        <f t="array" ref="J851">_xlfn.IFS(K851=1,"Divorciado",L851=1,"Casado",M851=1,"Solteiro",N851=1,"Juntos",O851=1,"Viuvo")</f>
        <v>Solteiro</v>
      </c>
      <c r="K851" s="13">
        <v>0</v>
      </c>
      <c r="L851" s="13">
        <v>0</v>
      </c>
      <c r="M851" s="13">
        <v>1</v>
      </c>
      <c r="N851" s="13">
        <v>0</v>
      </c>
      <c r="O851" s="13">
        <v>0</v>
      </c>
      <c r="P851" s="13">
        <v>0</v>
      </c>
      <c r="Q851" s="13">
        <v>0</v>
      </c>
      <c r="R851" s="13">
        <v>1</v>
      </c>
      <c r="S851" s="13">
        <v>0</v>
      </c>
      <c r="T851" s="13">
        <v>0</v>
      </c>
      <c r="U851" s="13">
        <v>263</v>
      </c>
      <c r="V851" s="13" t="str" cm="1">
        <f t="array" ref="V851">_xlfn.IFS(U851&lt;=250,"0-R$250",U851&lt;=500,"251-R$500",U851&lt;=750,"501-R$750",U851&lt;=1000,"751-R$1000",U851&lt;=1250,"1001-R$1250",U851&lt;=1500,"1251-R$1500")</f>
        <v>251-R$500</v>
      </c>
      <c r="W851" s="13">
        <v>5</v>
      </c>
      <c r="X851" s="13" t="str" cm="1">
        <f t="array" ref="X851">_xlfn.IFS(W851 = 0, "0", W851&lt;=20, "até R$20",W851&lt;=40, "21 - R$40",W851&lt;=60, "41- R$60",W851&lt;=80, "61 - R$80", W851&lt;=100, "81 - R$100",W851&lt;=120, "101 - R$120",W851&lt;=140, "121 - R$140", W851&lt;=160, "141- R$160", W851&lt;=180, "161 - R$180", W851&lt;=200, "181-R$194")</f>
        <v>até R$20</v>
      </c>
      <c r="Y851" s="13">
        <v>233</v>
      </c>
      <c r="Z851" s="13">
        <v>69</v>
      </c>
      <c r="AA851" s="13">
        <v>41</v>
      </c>
      <c r="AB851" s="13">
        <v>83</v>
      </c>
      <c r="AC851" s="13">
        <v>4</v>
      </c>
      <c r="AD851" s="13">
        <v>5</v>
      </c>
      <c r="AE851" s="13">
        <v>5</v>
      </c>
      <c r="AF851" s="13">
        <v>8</v>
      </c>
      <c r="AG851" s="13">
        <v>5</v>
      </c>
      <c r="AH851" s="13">
        <v>0</v>
      </c>
      <c r="AI851" s="13">
        <v>0</v>
      </c>
      <c r="AJ851" s="13">
        <v>0</v>
      </c>
      <c r="AK851" s="13">
        <v>0</v>
      </c>
      <c r="AL851" s="13">
        <v>0</v>
      </c>
      <c r="AM851" s="13">
        <v>0</v>
      </c>
      <c r="AN851" s="13">
        <v>0</v>
      </c>
      <c r="AO851" s="14">
        <v>0</v>
      </c>
      <c r="AP851" s="13">
        <v>3</v>
      </c>
      <c r="AQ851" s="13">
        <v>11</v>
      </c>
      <c r="AR851" s="15">
        <v>528</v>
      </c>
      <c r="AS851" s="15">
        <v>611</v>
      </c>
    </row>
    <row r="852" spans="1:45" x14ac:dyDescent="0.25">
      <c r="A852">
        <v>528</v>
      </c>
      <c r="B852" s="11">
        <f t="shared" si="13"/>
        <v>54058</v>
      </c>
      <c r="C852" s="12">
        <v>540580</v>
      </c>
      <c r="D852" s="13">
        <v>0</v>
      </c>
      <c r="E852" s="13">
        <v>1</v>
      </c>
      <c r="F852" s="13">
        <v>56</v>
      </c>
      <c r="G852" s="13">
        <v>44</v>
      </c>
      <c r="H852" s="13" t="str" cm="1">
        <f t="array" ref="H852">_xlfn.IFS(G852&lt;=20,"0-20",G852&lt;=30,"20-30",G852&lt;=40,"30-40",G852&lt;=50,"50-60",G852&lt;=60,"60-70",G852&lt;=70,"70-80",G852&lt;=80,"80-90")</f>
        <v>50-60</v>
      </c>
      <c r="I852" s="13">
        <v>2549</v>
      </c>
      <c r="J852" s="13" t="str" cm="1">
        <f t="array" ref="J852">_xlfn.IFS(K852=1,"Divorciado",L852=1,"Casado",M852=1,"Solteiro",N852=1,"Juntos",O852=1,"Viuvo")</f>
        <v>Juntos</v>
      </c>
      <c r="K852" s="13">
        <v>0</v>
      </c>
      <c r="L852" s="13">
        <v>0</v>
      </c>
      <c r="M852" s="13">
        <v>0</v>
      </c>
      <c r="N852" s="13">
        <v>1</v>
      </c>
      <c r="O852" s="13">
        <v>0</v>
      </c>
      <c r="P852" s="13">
        <v>0</v>
      </c>
      <c r="Q852" s="13">
        <v>0</v>
      </c>
      <c r="R852" s="13">
        <v>1</v>
      </c>
      <c r="S852" s="13">
        <v>0</v>
      </c>
      <c r="T852" s="13">
        <v>0</v>
      </c>
      <c r="U852" s="13">
        <v>198</v>
      </c>
      <c r="V852" s="13" t="str" cm="1">
        <f t="array" ref="V852">_xlfn.IFS(U852&lt;=250,"0-R$250",U852&lt;=500,"251-R$500",U852&lt;=750,"501-R$750",U852&lt;=1000,"751-R$1000",U852&lt;=1250,"1001-R$1250",U852&lt;=1500,"1251-R$1500")</f>
        <v>0-R$250</v>
      </c>
      <c r="W852" s="13">
        <v>18</v>
      </c>
      <c r="X852" s="13" t="str" cm="1">
        <f t="array" ref="X852">_xlfn.IFS(W852 = 0, "0", W852&lt;=20, "até R$20",W852&lt;=40, "21 - R$40",W852&lt;=60, "41- R$60",W852&lt;=80, "61 - R$80", W852&lt;=100, "81 - R$100",W852&lt;=120, "101 - R$120",W852&lt;=140, "121 - R$140", W852&lt;=160, "141- R$160", W852&lt;=180, "161 - R$180", W852&lt;=200, "181-R$194")</f>
        <v>até R$20</v>
      </c>
      <c r="Y852" s="13">
        <v>252</v>
      </c>
      <c r="Z852" s="13">
        <v>32</v>
      </c>
      <c r="AA852" s="13">
        <v>108</v>
      </c>
      <c r="AB852" s="13">
        <v>54</v>
      </c>
      <c r="AC852" s="13">
        <v>2</v>
      </c>
      <c r="AD852" s="13">
        <v>4</v>
      </c>
      <c r="AE852" s="13">
        <v>6</v>
      </c>
      <c r="AF852" s="13">
        <v>8</v>
      </c>
      <c r="AG852" s="13">
        <v>3</v>
      </c>
      <c r="AH852" s="13">
        <v>0</v>
      </c>
      <c r="AI852" s="13">
        <v>0</v>
      </c>
      <c r="AJ852" s="13">
        <v>0</v>
      </c>
      <c r="AK852" s="13">
        <v>0</v>
      </c>
      <c r="AL852" s="13">
        <v>0</v>
      </c>
      <c r="AM852" s="13">
        <v>0</v>
      </c>
      <c r="AN852" s="13">
        <v>0</v>
      </c>
      <c r="AO852" s="14">
        <v>0</v>
      </c>
      <c r="AP852" s="13">
        <v>3</v>
      </c>
      <c r="AQ852" s="13">
        <v>11</v>
      </c>
      <c r="AR852" s="15">
        <v>554</v>
      </c>
      <c r="AS852" s="15">
        <v>608</v>
      </c>
    </row>
    <row r="853" spans="1:45" x14ac:dyDescent="0.25">
      <c r="A853">
        <v>1437</v>
      </c>
      <c r="B853" s="11">
        <f t="shared" si="13"/>
        <v>57957</v>
      </c>
      <c r="C853" s="16">
        <v>579570</v>
      </c>
      <c r="D853" s="17">
        <v>0</v>
      </c>
      <c r="E853" s="17">
        <v>1</v>
      </c>
      <c r="F853" s="17">
        <v>24</v>
      </c>
      <c r="G853" s="17">
        <v>61</v>
      </c>
      <c r="H853" s="13" t="str" cm="1">
        <f t="array" ref="H853">_xlfn.IFS(G853&lt;=20,"0-20",G853&lt;=30,"20-30",G853&lt;=40,"30-40",G853&lt;=50,"50-60",G853&lt;=60,"60-70",G853&lt;=70,"70-80",G853&lt;=80,"80-90")</f>
        <v>70-80</v>
      </c>
      <c r="I853" s="17">
        <v>2473</v>
      </c>
      <c r="J853" s="13" t="str" cm="1">
        <f t="array" ref="J853">_xlfn.IFS(K853=1,"Divorciado",L853=1,"Casado",M853=1,"Solteiro",N853=1,"Juntos",O853=1,"Viuvo")</f>
        <v>Juntos</v>
      </c>
      <c r="K853" s="17">
        <v>0</v>
      </c>
      <c r="L853" s="17">
        <v>0</v>
      </c>
      <c r="M853" s="17">
        <v>0</v>
      </c>
      <c r="N853" s="17">
        <v>1</v>
      </c>
      <c r="O853" s="17">
        <v>0</v>
      </c>
      <c r="P853" s="17">
        <v>0</v>
      </c>
      <c r="Q853" s="17">
        <v>0</v>
      </c>
      <c r="R853" s="17">
        <v>1</v>
      </c>
      <c r="S853" s="17">
        <v>0</v>
      </c>
      <c r="T853" s="17">
        <v>0</v>
      </c>
      <c r="U853" s="17">
        <v>290</v>
      </c>
      <c r="V853" s="13" t="str" cm="1">
        <f t="array" ref="V853">_xlfn.IFS(U853&lt;=250,"0-R$250",U853&lt;=500,"251-R$500",U853&lt;=750,"501-R$750",U853&lt;=1000,"751-R$1000",U853&lt;=1250,"1001-R$1250",U853&lt;=1500,"1251-R$1500")</f>
        <v>251-R$500</v>
      </c>
      <c r="W853" s="17">
        <v>59</v>
      </c>
      <c r="X853" s="13" t="str" cm="1">
        <f t="array" ref="X853">_xlfn.IFS(W853 = 0, "0", W853&lt;=20, "até R$20",W853&lt;=40, "21 - R$40",W853&lt;=60, "41- R$60",W853&lt;=80, "61 - R$80", W853&lt;=100, "81 - R$100",W853&lt;=120, "101 - R$120",W853&lt;=140, "121 - R$140", W853&lt;=160, "141- R$160", W853&lt;=180, "161 - R$180", W853&lt;=200, "181-R$194")</f>
        <v>41- R$60</v>
      </c>
      <c r="Y853" s="17">
        <v>177</v>
      </c>
      <c r="Z853" s="17">
        <v>77</v>
      </c>
      <c r="AA853" s="17">
        <v>5</v>
      </c>
      <c r="AB853" s="17">
        <v>29</v>
      </c>
      <c r="AC853" s="17">
        <v>7</v>
      </c>
      <c r="AD853" s="17">
        <v>4</v>
      </c>
      <c r="AE853" s="17">
        <v>6</v>
      </c>
      <c r="AF853" s="17">
        <v>8</v>
      </c>
      <c r="AG853" s="17">
        <v>3</v>
      </c>
      <c r="AH853" s="17">
        <v>1</v>
      </c>
      <c r="AI853" s="17">
        <v>0</v>
      </c>
      <c r="AJ853" s="17">
        <v>0</v>
      </c>
      <c r="AK853" s="17">
        <v>0</v>
      </c>
      <c r="AL853" s="17">
        <v>0</v>
      </c>
      <c r="AM853" s="17">
        <v>0</v>
      </c>
      <c r="AN853" s="17">
        <v>0</v>
      </c>
      <c r="AO853" s="18">
        <v>0</v>
      </c>
      <c r="AP853" s="17">
        <v>3</v>
      </c>
      <c r="AQ853" s="17">
        <v>11</v>
      </c>
      <c r="AR853" s="19">
        <v>579</v>
      </c>
      <c r="AS853" s="19">
        <v>608</v>
      </c>
    </row>
    <row r="854" spans="1:45" x14ac:dyDescent="0.25">
      <c r="A854">
        <v>679</v>
      </c>
      <c r="B854" s="11">
        <f t="shared" si="13"/>
        <v>45938</v>
      </c>
      <c r="C854" s="16">
        <v>459380</v>
      </c>
      <c r="D854" s="17">
        <v>0</v>
      </c>
      <c r="E854" s="17">
        <v>0</v>
      </c>
      <c r="F854" s="17">
        <v>46</v>
      </c>
      <c r="G854" s="17">
        <v>59</v>
      </c>
      <c r="H854" s="13" t="str" cm="1">
        <f t="array" ref="H854">_xlfn.IFS(G854&lt;=20,"0-20",G854&lt;=30,"20-30",G854&lt;=40,"30-40",G854&lt;=50,"50-60",G854&lt;=60,"60-70",G854&lt;=70,"70-80",G854&lt;=80,"80-90")</f>
        <v>60-70</v>
      </c>
      <c r="I854" s="17">
        <v>2397</v>
      </c>
      <c r="J854" s="13" t="str" cm="1">
        <f t="array" ref="J854">_xlfn.IFS(K854=1,"Divorciado",L854=1,"Casado",M854=1,"Solteiro",N854=1,"Juntos",O854=1,"Viuvo")</f>
        <v>Solteiro</v>
      </c>
      <c r="K854" s="17">
        <v>0</v>
      </c>
      <c r="L854" s="17">
        <v>0</v>
      </c>
      <c r="M854" s="17">
        <v>1</v>
      </c>
      <c r="N854" s="17">
        <v>0</v>
      </c>
      <c r="O854" s="17">
        <v>0</v>
      </c>
      <c r="P854" s="17">
        <v>0</v>
      </c>
      <c r="Q854" s="17">
        <v>0</v>
      </c>
      <c r="R854" s="17">
        <v>1</v>
      </c>
      <c r="S854" s="17">
        <v>0</v>
      </c>
      <c r="T854" s="17">
        <v>0</v>
      </c>
      <c r="U854" s="17">
        <v>273</v>
      </c>
      <c r="V854" s="13" t="str" cm="1">
        <f t="array" ref="V854">_xlfn.IFS(U854&lt;=250,"0-R$250",U854&lt;=500,"251-R$500",U854&lt;=750,"501-R$750",U854&lt;=1000,"751-R$1000",U854&lt;=1250,"1001-R$1250",U854&lt;=1500,"1251-R$1500")</f>
        <v>251-R$500</v>
      </c>
      <c r="W854" s="17">
        <v>11</v>
      </c>
      <c r="X854" s="13" t="str" cm="1">
        <f t="array" ref="X854">_xlfn.IFS(W854 = 0, "0", W854&lt;=20, "até R$20",W854&lt;=40, "21 - R$40",W854&lt;=60, "41- R$60",W854&lt;=80, "61 - R$80", W854&lt;=100, "81 - R$100",W854&lt;=120, "101 - R$120",W854&lt;=140, "121 - R$140", W854&lt;=160, "141- R$160", W854&lt;=180, "161 - R$180", W854&lt;=200, "181-R$194")</f>
        <v>até R$20</v>
      </c>
      <c r="Y854" s="17">
        <v>178</v>
      </c>
      <c r="Z854" s="17">
        <v>62</v>
      </c>
      <c r="AA854" s="17">
        <v>83</v>
      </c>
      <c r="AB854" s="17">
        <v>29</v>
      </c>
      <c r="AC854" s="17">
        <v>2</v>
      </c>
      <c r="AD854" s="17">
        <v>8</v>
      </c>
      <c r="AE854" s="17">
        <v>4</v>
      </c>
      <c r="AF854" s="17">
        <v>6</v>
      </c>
      <c r="AG854" s="17">
        <v>6</v>
      </c>
      <c r="AH854" s="17">
        <v>0</v>
      </c>
      <c r="AI854" s="17">
        <v>0</v>
      </c>
      <c r="AJ854" s="17">
        <v>0</v>
      </c>
      <c r="AK854" s="17">
        <v>0</v>
      </c>
      <c r="AL854" s="17">
        <v>0</v>
      </c>
      <c r="AM854" s="17">
        <v>0</v>
      </c>
      <c r="AN854" s="17">
        <v>0</v>
      </c>
      <c r="AO854" s="18">
        <v>0</v>
      </c>
      <c r="AP854" s="17">
        <v>3</v>
      </c>
      <c r="AQ854" s="17">
        <v>11</v>
      </c>
      <c r="AR854" s="19">
        <v>578</v>
      </c>
      <c r="AS854" s="19">
        <v>607</v>
      </c>
    </row>
    <row r="855" spans="1:45" x14ac:dyDescent="0.25">
      <c r="A855">
        <v>688</v>
      </c>
      <c r="B855" s="11">
        <f t="shared" si="13"/>
        <v>43185</v>
      </c>
      <c r="C855" s="12">
        <v>431850</v>
      </c>
      <c r="D855" s="13">
        <v>0</v>
      </c>
      <c r="E855" s="13">
        <v>1</v>
      </c>
      <c r="F855" s="13">
        <v>88</v>
      </c>
      <c r="G855" s="13">
        <v>69</v>
      </c>
      <c r="H855" s="13" t="str" cm="1">
        <f t="array" ref="H855">_xlfn.IFS(G855&lt;=20,"0-20",G855&lt;=30,"20-30",G855&lt;=40,"30-40",G855&lt;=50,"50-60",G855&lt;=60,"60-70",G855&lt;=70,"70-80",G855&lt;=80,"80-90")</f>
        <v>70-80</v>
      </c>
      <c r="I855" s="13">
        <v>2604</v>
      </c>
      <c r="J855" s="13" t="str" cm="1">
        <f t="array" ref="J855">_xlfn.IFS(K855=1,"Divorciado",L855=1,"Casado",M855=1,"Solteiro",N855=1,"Juntos",O855=1,"Viuvo")</f>
        <v>Divorciado</v>
      </c>
      <c r="K855" s="13">
        <v>1</v>
      </c>
      <c r="L855" s="13">
        <v>0</v>
      </c>
      <c r="M855" s="13">
        <v>0</v>
      </c>
      <c r="N855" s="13">
        <v>0</v>
      </c>
      <c r="O855" s="13">
        <v>0</v>
      </c>
      <c r="P855" s="13">
        <v>0</v>
      </c>
      <c r="Q855" s="13">
        <v>0</v>
      </c>
      <c r="R855" s="13">
        <v>1</v>
      </c>
      <c r="S855" s="13">
        <v>0</v>
      </c>
      <c r="T855" s="13">
        <v>0</v>
      </c>
      <c r="U855" s="13">
        <v>537</v>
      </c>
      <c r="V855" s="13" t="str" cm="1">
        <f t="array" ref="V855">_xlfn.IFS(U855&lt;=250,"0-R$250",U855&lt;=500,"251-R$500",U855&lt;=750,"501-R$750",U855&lt;=1000,"751-R$1000",U855&lt;=1250,"1001-R$1250",U855&lt;=1500,"1251-R$1500")</f>
        <v>501-R$750</v>
      </c>
      <c r="W855" s="13">
        <v>6</v>
      </c>
      <c r="X855" s="13" t="str" cm="1">
        <f t="array" ref="X855">_xlfn.IFS(W855 = 0, "0", W855&lt;=20, "até R$20",W855&lt;=40, "21 - R$40",W855&lt;=60, "41- R$60",W855&lt;=80, "61 - R$80", W855&lt;=100, "81 - R$100",W855&lt;=120, "101 - R$120",W855&lt;=140, "121 - R$140", W855&lt;=160, "141- R$160", W855&lt;=180, "161 - R$180", W855&lt;=200, "181-R$194")</f>
        <v>até R$20</v>
      </c>
      <c r="Y855" s="13">
        <v>42</v>
      </c>
      <c r="Z855" s="13">
        <v>16</v>
      </c>
      <c r="AA855" s="13">
        <v>6</v>
      </c>
      <c r="AB855" s="13">
        <v>30</v>
      </c>
      <c r="AC855" s="13">
        <v>2</v>
      </c>
      <c r="AD855" s="13">
        <v>9</v>
      </c>
      <c r="AE855" s="13">
        <v>3</v>
      </c>
      <c r="AF855" s="13">
        <v>6</v>
      </c>
      <c r="AG855" s="13">
        <v>8</v>
      </c>
      <c r="AH855" s="13">
        <v>0</v>
      </c>
      <c r="AI855" s="13">
        <v>0</v>
      </c>
      <c r="AJ855" s="13">
        <v>0</v>
      </c>
      <c r="AK855" s="13">
        <v>0</v>
      </c>
      <c r="AL855" s="13">
        <v>0</v>
      </c>
      <c r="AM855" s="13">
        <v>0</v>
      </c>
      <c r="AN855" s="13">
        <v>0</v>
      </c>
      <c r="AO855" s="14">
        <v>0</v>
      </c>
      <c r="AP855" s="13">
        <v>3</v>
      </c>
      <c r="AQ855" s="13">
        <v>11</v>
      </c>
      <c r="AR855" s="15">
        <v>577</v>
      </c>
      <c r="AS855" s="15">
        <v>607</v>
      </c>
    </row>
    <row r="856" spans="1:45" x14ac:dyDescent="0.25">
      <c r="A856">
        <v>57</v>
      </c>
      <c r="B856" s="11">
        <f t="shared" si="13"/>
        <v>66653</v>
      </c>
      <c r="C856" s="16">
        <v>666530</v>
      </c>
      <c r="D856" s="17">
        <v>1</v>
      </c>
      <c r="E856" s="17">
        <v>1</v>
      </c>
      <c r="F856" s="17">
        <v>18</v>
      </c>
      <c r="G856" s="17">
        <v>45</v>
      </c>
      <c r="H856" s="13" t="str" cm="1">
        <f t="array" ref="H856">_xlfn.IFS(G856&lt;=20,"0-20",G856&lt;=30,"20-30",G856&lt;=40,"30-40",G856&lt;=50,"50-60",G856&lt;=60,"60-70",G856&lt;=70,"70-80",G856&lt;=80,"80-90")</f>
        <v>50-60</v>
      </c>
      <c r="I856" s="17">
        <v>2819</v>
      </c>
      <c r="J856" s="13" t="str" cm="1">
        <f t="array" ref="J856">_xlfn.IFS(K856=1,"Divorciado",L856=1,"Casado",M856=1,"Solteiro",N856=1,"Juntos",O856=1,"Viuvo")</f>
        <v>Juntos</v>
      </c>
      <c r="K856" s="17">
        <v>0</v>
      </c>
      <c r="L856" s="17">
        <v>0</v>
      </c>
      <c r="M856" s="17">
        <v>0</v>
      </c>
      <c r="N856" s="17">
        <v>1</v>
      </c>
      <c r="O856" s="17">
        <v>0</v>
      </c>
      <c r="P856" s="17">
        <v>0</v>
      </c>
      <c r="Q856" s="17">
        <v>0</v>
      </c>
      <c r="R856" s="17">
        <v>1</v>
      </c>
      <c r="S856" s="17">
        <v>0</v>
      </c>
      <c r="T856" s="17">
        <v>0</v>
      </c>
      <c r="U856" s="17">
        <v>452</v>
      </c>
      <c r="V856" s="13" t="str" cm="1">
        <f t="array" ref="V856">_xlfn.IFS(U856&lt;=250,"0-R$250",U856&lt;=500,"251-R$500",U856&lt;=750,"501-R$750",U856&lt;=1000,"751-R$1000",U856&lt;=1250,"1001-R$1250",U856&lt;=1500,"1251-R$1500")</f>
        <v>251-R$500</v>
      </c>
      <c r="W856" s="17">
        <v>18</v>
      </c>
      <c r="X856" s="13" t="str" cm="1">
        <f t="array" ref="X856">_xlfn.IFS(W856 = 0, "0", W856&lt;=20, "até R$20",W856&lt;=40, "21 - R$40",W856&lt;=60, "41- R$60",W856&lt;=80, "61 - R$80", W856&lt;=100, "81 - R$100",W856&lt;=120, "101 - R$120",W856&lt;=140, "121 - R$140", W856&lt;=160, "141- R$160", W856&lt;=180, "161 - R$180", W856&lt;=200, "181-R$194")</f>
        <v>até R$20</v>
      </c>
      <c r="Y856" s="17">
        <v>102</v>
      </c>
      <c r="Z856" s="17">
        <v>16</v>
      </c>
      <c r="AA856" s="17">
        <v>18</v>
      </c>
      <c r="AB856" s="17">
        <v>6</v>
      </c>
      <c r="AC856" s="17">
        <v>4</v>
      </c>
      <c r="AD856" s="17">
        <v>4</v>
      </c>
      <c r="AE856" s="17">
        <v>2</v>
      </c>
      <c r="AF856" s="17">
        <v>12</v>
      </c>
      <c r="AG856" s="17">
        <v>3</v>
      </c>
      <c r="AH856" s="17">
        <v>0</v>
      </c>
      <c r="AI856" s="17">
        <v>0</v>
      </c>
      <c r="AJ856" s="17">
        <v>0</v>
      </c>
      <c r="AK856" s="17">
        <v>0</v>
      </c>
      <c r="AL856" s="17">
        <v>0</v>
      </c>
      <c r="AM856" s="17">
        <v>0</v>
      </c>
      <c r="AN856" s="17">
        <v>0</v>
      </c>
      <c r="AO856" s="18">
        <v>0</v>
      </c>
      <c r="AP856" s="17">
        <v>3</v>
      </c>
      <c r="AQ856" s="17">
        <v>11</v>
      </c>
      <c r="AR856" s="19">
        <v>600</v>
      </c>
      <c r="AS856" s="19">
        <v>606</v>
      </c>
    </row>
    <row r="857" spans="1:45" x14ac:dyDescent="0.25">
      <c r="A857">
        <v>745</v>
      </c>
      <c r="B857" s="11">
        <f t="shared" si="13"/>
        <v>75127</v>
      </c>
      <c r="C857" s="16">
        <v>751270</v>
      </c>
      <c r="D857" s="17">
        <v>0</v>
      </c>
      <c r="E857" s="17">
        <v>0</v>
      </c>
      <c r="F857" s="17">
        <v>92</v>
      </c>
      <c r="G857" s="17">
        <v>68</v>
      </c>
      <c r="H857" s="13" t="str" cm="1">
        <f t="array" ref="H857">_xlfn.IFS(G857&lt;=20,"0-20",G857&lt;=30,"20-30",G857&lt;=40,"30-40",G857&lt;=50,"50-60",G857&lt;=60,"60-70",G857&lt;=70,"70-80",G857&lt;=80,"80-90")</f>
        <v>70-80</v>
      </c>
      <c r="I857" s="17">
        <v>2197</v>
      </c>
      <c r="J857" s="13" t="str" cm="1">
        <f t="array" ref="J857">_xlfn.IFS(K857=1,"Divorciado",L857=1,"Casado",M857=1,"Solteiro",N857=1,"Juntos",O857=1,"Viuvo")</f>
        <v>Solteiro</v>
      </c>
      <c r="K857" s="17">
        <v>0</v>
      </c>
      <c r="L857" s="17">
        <v>0</v>
      </c>
      <c r="M857" s="17">
        <v>1</v>
      </c>
      <c r="N857" s="17">
        <v>0</v>
      </c>
      <c r="O857" s="17">
        <v>0</v>
      </c>
      <c r="P857" s="17">
        <v>0</v>
      </c>
      <c r="Q857" s="17">
        <v>0</v>
      </c>
      <c r="R857" s="17">
        <v>1</v>
      </c>
      <c r="S857" s="17">
        <v>0</v>
      </c>
      <c r="T857" s="17">
        <v>0</v>
      </c>
      <c r="U857" s="17">
        <v>203</v>
      </c>
      <c r="V857" s="13" t="str" cm="1">
        <f t="array" ref="V857">_xlfn.IFS(U857&lt;=250,"0-R$250",U857&lt;=500,"251-R$500",U857&lt;=750,"501-R$750",U857&lt;=1000,"751-R$1000",U857&lt;=1250,"1001-R$1250",U857&lt;=1500,"1251-R$1500")</f>
        <v>0-R$250</v>
      </c>
      <c r="W857" s="17">
        <v>35</v>
      </c>
      <c r="X857" s="13" t="str" cm="1">
        <f t="array" ref="X857">_xlfn.IFS(W857 = 0, "0", W857&lt;=20, "até R$20",W857&lt;=40, "21 - R$40",W857&lt;=60, "41- R$60",W857&lt;=80, "61 - R$80", W857&lt;=100, "81 - R$100",W857&lt;=120, "101 - R$120",W857&lt;=140, "121 - R$140", W857&lt;=160, "141- R$160", W857&lt;=180, "161 - R$180", W857&lt;=200, "181-R$194")</f>
        <v>21 - R$40</v>
      </c>
      <c r="Y857" s="17">
        <v>305</v>
      </c>
      <c r="Z857" s="17">
        <v>46</v>
      </c>
      <c r="AA857" s="17">
        <v>17</v>
      </c>
      <c r="AB857" s="17">
        <v>227</v>
      </c>
      <c r="AC857" s="17">
        <v>1</v>
      </c>
      <c r="AD857" s="17">
        <v>2</v>
      </c>
      <c r="AE857" s="17">
        <v>11</v>
      </c>
      <c r="AF857" s="17">
        <v>5</v>
      </c>
      <c r="AG857" s="17">
        <v>1</v>
      </c>
      <c r="AH857" s="17">
        <v>0</v>
      </c>
      <c r="AI857" s="17">
        <v>0</v>
      </c>
      <c r="AJ857" s="17">
        <v>0</v>
      </c>
      <c r="AK857" s="17">
        <v>0</v>
      </c>
      <c r="AL857" s="17">
        <v>0</v>
      </c>
      <c r="AM857" s="17">
        <v>0</v>
      </c>
      <c r="AN857" s="17">
        <v>0</v>
      </c>
      <c r="AO857" s="18">
        <v>0</v>
      </c>
      <c r="AP857" s="17">
        <v>3</v>
      </c>
      <c r="AQ857" s="17">
        <v>11</v>
      </c>
      <c r="AR857" s="19">
        <v>379</v>
      </c>
      <c r="AS857" s="19">
        <v>606</v>
      </c>
    </row>
    <row r="858" spans="1:45" x14ac:dyDescent="0.25">
      <c r="A858">
        <v>915</v>
      </c>
      <c r="B858" s="11">
        <f t="shared" si="13"/>
        <v>75127</v>
      </c>
      <c r="C858" s="16">
        <v>751270</v>
      </c>
      <c r="D858" s="17">
        <v>0</v>
      </c>
      <c r="E858" s="17">
        <v>0</v>
      </c>
      <c r="F858" s="17">
        <v>92</v>
      </c>
      <c r="G858" s="17">
        <v>68</v>
      </c>
      <c r="H858" s="13" t="str" cm="1">
        <f t="array" ref="H858">_xlfn.IFS(G858&lt;=20,"0-20",G858&lt;=30,"20-30",G858&lt;=40,"30-40",G858&lt;=50,"50-60",G858&lt;=60,"60-70",G858&lt;=70,"70-80",G858&lt;=80,"80-90")</f>
        <v>70-80</v>
      </c>
      <c r="I858" s="17">
        <v>2197</v>
      </c>
      <c r="J858" s="13" t="str" cm="1">
        <f t="array" ref="J858">_xlfn.IFS(K858=1,"Divorciado",L858=1,"Casado",M858=1,"Solteiro",N858=1,"Juntos",O858=1,"Viuvo")</f>
        <v>Solteiro</v>
      </c>
      <c r="K858" s="17">
        <v>0</v>
      </c>
      <c r="L858" s="17">
        <v>0</v>
      </c>
      <c r="M858" s="17">
        <v>1</v>
      </c>
      <c r="N858" s="17">
        <v>0</v>
      </c>
      <c r="O858" s="17">
        <v>0</v>
      </c>
      <c r="P858" s="17">
        <v>0</v>
      </c>
      <c r="Q858" s="17">
        <v>0</v>
      </c>
      <c r="R858" s="17">
        <v>1</v>
      </c>
      <c r="S858" s="17">
        <v>0</v>
      </c>
      <c r="T858" s="17">
        <v>0</v>
      </c>
      <c r="U858" s="17">
        <v>203</v>
      </c>
      <c r="V858" s="13" t="str" cm="1">
        <f t="array" ref="V858">_xlfn.IFS(U858&lt;=250,"0-R$250",U858&lt;=500,"251-R$500",U858&lt;=750,"501-R$750",U858&lt;=1000,"751-R$1000",U858&lt;=1250,"1001-R$1250",U858&lt;=1500,"1251-R$1500")</f>
        <v>0-R$250</v>
      </c>
      <c r="W858" s="17">
        <v>35</v>
      </c>
      <c r="X858" s="13" t="str" cm="1">
        <f t="array" ref="X858">_xlfn.IFS(W858 = 0, "0", W858&lt;=20, "até R$20",W858&lt;=40, "21 - R$40",W858&lt;=60, "41- R$60",W858&lt;=80, "61 - R$80", W858&lt;=100, "81 - R$100",W858&lt;=120, "101 - R$120",W858&lt;=140, "121 - R$140", W858&lt;=160, "141- R$160", W858&lt;=180, "161 - R$180", W858&lt;=200, "181-R$194")</f>
        <v>21 - R$40</v>
      </c>
      <c r="Y858" s="17">
        <v>305</v>
      </c>
      <c r="Z858" s="17">
        <v>46</v>
      </c>
      <c r="AA858" s="17">
        <v>17</v>
      </c>
      <c r="AB858" s="17">
        <v>227</v>
      </c>
      <c r="AC858" s="17">
        <v>1</v>
      </c>
      <c r="AD858" s="17">
        <v>2</v>
      </c>
      <c r="AE858" s="17">
        <v>11</v>
      </c>
      <c r="AF858" s="17">
        <v>5</v>
      </c>
      <c r="AG858" s="17">
        <v>1</v>
      </c>
      <c r="AH858" s="17">
        <v>0</v>
      </c>
      <c r="AI858" s="17">
        <v>0</v>
      </c>
      <c r="AJ858" s="17">
        <v>0</v>
      </c>
      <c r="AK858" s="17">
        <v>0</v>
      </c>
      <c r="AL858" s="17">
        <v>0</v>
      </c>
      <c r="AM858" s="17">
        <v>0</v>
      </c>
      <c r="AN858" s="17">
        <v>0</v>
      </c>
      <c r="AO858" s="18">
        <v>0</v>
      </c>
      <c r="AP858" s="17">
        <v>3</v>
      </c>
      <c r="AQ858" s="17">
        <v>11</v>
      </c>
      <c r="AR858" s="19">
        <v>379</v>
      </c>
      <c r="AS858" s="19">
        <v>606</v>
      </c>
    </row>
    <row r="859" spans="1:45" x14ac:dyDescent="0.25">
      <c r="A859">
        <v>1100</v>
      </c>
      <c r="B859" s="11">
        <f t="shared" si="13"/>
        <v>47025</v>
      </c>
      <c r="C859" s="12">
        <v>470250</v>
      </c>
      <c r="D859" s="13">
        <v>0</v>
      </c>
      <c r="E859" s="13">
        <v>1</v>
      </c>
      <c r="F859" s="13">
        <v>98</v>
      </c>
      <c r="G859" s="13">
        <v>42</v>
      </c>
      <c r="H859" s="13" t="str" cm="1">
        <f t="array" ref="H859">_xlfn.IFS(G859&lt;=20,"0-20",G859&lt;=30,"20-30",G859&lt;=40,"30-40",G859&lt;=50,"50-60",G859&lt;=60,"60-70",G859&lt;=70,"70-80",G859&lt;=80,"80-90")</f>
        <v>50-60</v>
      </c>
      <c r="I859" s="13">
        <v>2449</v>
      </c>
      <c r="J859" s="13" t="str" cm="1">
        <f t="array" ref="J859">_xlfn.IFS(K859=1,"Divorciado",L859=1,"Casado",M859=1,"Solteiro",N859=1,"Juntos",O859=1,"Viuvo")</f>
        <v>Casado</v>
      </c>
      <c r="K859" s="13">
        <v>0</v>
      </c>
      <c r="L859" s="13">
        <v>1</v>
      </c>
      <c r="M859" s="13">
        <v>0</v>
      </c>
      <c r="N859" s="13">
        <v>0</v>
      </c>
      <c r="O859" s="13">
        <v>0</v>
      </c>
      <c r="P859" s="13">
        <v>1</v>
      </c>
      <c r="Q859" s="13">
        <v>0</v>
      </c>
      <c r="R859" s="13">
        <v>0</v>
      </c>
      <c r="S859" s="13">
        <v>0</v>
      </c>
      <c r="T859" s="13">
        <v>0</v>
      </c>
      <c r="U859" s="13">
        <v>508</v>
      </c>
      <c r="V859" s="13" t="str" cm="1">
        <f t="array" ref="V859">_xlfn.IFS(U859&lt;=250,"0-R$250",U859&lt;=500,"251-R$500",U859&lt;=750,"501-R$750",U859&lt;=1000,"751-R$1000",U859&lt;=1250,"1001-R$1250",U859&lt;=1500,"1251-R$1500")</f>
        <v>501-R$750</v>
      </c>
      <c r="W859" s="13">
        <v>11</v>
      </c>
      <c r="X859" s="13" t="str" cm="1">
        <f t="array" ref="X859">_xlfn.IFS(W859 = 0, "0", W859&lt;=20, "até R$20",W859&lt;=40, "21 - R$40",W859&lt;=60, "41- R$60",W859&lt;=80, "61 - R$80", W859&lt;=100, "81 - R$100",W859&lt;=120, "101 - R$120",W859&lt;=140, "121 - R$140", W859&lt;=160, "141- R$160", W859&lt;=180, "161 - R$180", W859&lt;=200, "181-R$194")</f>
        <v>até R$20</v>
      </c>
      <c r="Y859" s="13">
        <v>59</v>
      </c>
      <c r="Z859" s="13">
        <v>23</v>
      </c>
      <c r="AA859" s="13">
        <v>5</v>
      </c>
      <c r="AB859" s="13">
        <v>29</v>
      </c>
      <c r="AC859" s="13">
        <v>5</v>
      </c>
      <c r="AD859" s="13">
        <v>11</v>
      </c>
      <c r="AE859" s="13">
        <v>1</v>
      </c>
      <c r="AF859" s="13">
        <v>6</v>
      </c>
      <c r="AG859" s="13">
        <v>9</v>
      </c>
      <c r="AH859" s="13">
        <v>0</v>
      </c>
      <c r="AI859" s="13">
        <v>0</v>
      </c>
      <c r="AJ859" s="13">
        <v>0</v>
      </c>
      <c r="AK859" s="13">
        <v>0</v>
      </c>
      <c r="AL859" s="13">
        <v>0</v>
      </c>
      <c r="AM859" s="13">
        <v>0</v>
      </c>
      <c r="AN859" s="13">
        <v>0</v>
      </c>
      <c r="AO859" s="14">
        <v>0</v>
      </c>
      <c r="AP859" s="13">
        <v>3</v>
      </c>
      <c r="AQ859" s="13">
        <v>11</v>
      </c>
      <c r="AR859" s="15">
        <v>577</v>
      </c>
      <c r="AS859" s="15">
        <v>606</v>
      </c>
    </row>
    <row r="860" spans="1:45" x14ac:dyDescent="0.25">
      <c r="A860">
        <v>922</v>
      </c>
      <c r="B860" s="11">
        <f t="shared" si="13"/>
        <v>56067</v>
      </c>
      <c r="C860" s="12">
        <v>560670</v>
      </c>
      <c r="D860" s="13">
        <v>0</v>
      </c>
      <c r="E860" s="13">
        <v>1</v>
      </c>
      <c r="F860" s="13">
        <v>51</v>
      </c>
      <c r="G860" s="13">
        <v>58</v>
      </c>
      <c r="H860" s="13" t="str" cm="1">
        <f t="array" ref="H860">_xlfn.IFS(G860&lt;=20,"0-20",G860&lt;=30,"20-30",G860&lt;=40,"30-40",G860&lt;=50,"50-60",G860&lt;=60,"60-70",G860&lt;=70,"70-80",G860&lt;=80,"80-90")</f>
        <v>60-70</v>
      </c>
      <c r="I860" s="13">
        <v>2503</v>
      </c>
      <c r="J860" s="13" t="str" cm="1">
        <f t="array" ref="J860">_xlfn.IFS(K860=1,"Divorciado",L860=1,"Casado",M860=1,"Solteiro",N860=1,"Juntos",O860=1,"Viuvo")</f>
        <v>Juntos</v>
      </c>
      <c r="K860" s="13">
        <v>0</v>
      </c>
      <c r="L860" s="13">
        <v>0</v>
      </c>
      <c r="M860" s="13">
        <v>0</v>
      </c>
      <c r="N860" s="13">
        <v>1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1</v>
      </c>
      <c r="U860" s="13">
        <v>517</v>
      </c>
      <c r="V860" s="13" t="str" cm="1">
        <f t="array" ref="V860">_xlfn.IFS(U860&lt;=250,"0-R$250",U860&lt;=500,"251-R$500",U860&lt;=750,"501-R$750",U860&lt;=1000,"751-R$1000",U860&lt;=1250,"1001-R$1250",U860&lt;=1500,"1251-R$1500")</f>
        <v>501-R$750</v>
      </c>
      <c r="W860" s="13">
        <v>12</v>
      </c>
      <c r="X860" s="13" t="str" cm="1">
        <f t="array" ref="X860">_xlfn.IFS(W860 = 0, "0", W860&lt;=20, "até R$20",W860&lt;=40, "21 - R$40",W860&lt;=60, "41- R$60",W860&lt;=80, "61 - R$80", W860&lt;=100, "81 - R$100",W860&lt;=120, "101 - R$120",W860&lt;=140, "121 - R$140", W860&lt;=160, "141- R$160", W860&lt;=180, "161 - R$180", W860&lt;=200, "181-R$194")</f>
        <v>até R$20</v>
      </c>
      <c r="Y860" s="13">
        <v>54</v>
      </c>
      <c r="Z860" s="13">
        <v>16</v>
      </c>
      <c r="AA860" s="13">
        <v>6</v>
      </c>
      <c r="AB860" s="13">
        <v>120</v>
      </c>
      <c r="AC860" s="13">
        <v>2</v>
      </c>
      <c r="AD860" s="13">
        <v>7</v>
      </c>
      <c r="AE860" s="13">
        <v>4</v>
      </c>
      <c r="AF860" s="13">
        <v>7</v>
      </c>
      <c r="AG860" s="13">
        <v>5</v>
      </c>
      <c r="AH860" s="13">
        <v>0</v>
      </c>
      <c r="AI860" s="13">
        <v>0</v>
      </c>
      <c r="AJ860" s="13">
        <v>0</v>
      </c>
      <c r="AK860" s="13">
        <v>0</v>
      </c>
      <c r="AL860" s="13">
        <v>0</v>
      </c>
      <c r="AM860" s="13">
        <v>0</v>
      </c>
      <c r="AN860" s="13">
        <v>0</v>
      </c>
      <c r="AO860" s="14">
        <v>0</v>
      </c>
      <c r="AP860" s="13">
        <v>3</v>
      </c>
      <c r="AQ860" s="13">
        <v>11</v>
      </c>
      <c r="AR860" s="15">
        <v>485</v>
      </c>
      <c r="AS860" s="15">
        <v>605</v>
      </c>
    </row>
    <row r="861" spans="1:45" x14ac:dyDescent="0.25">
      <c r="A861">
        <v>1337</v>
      </c>
      <c r="B861" s="11">
        <f t="shared" si="13"/>
        <v>62159</v>
      </c>
      <c r="C861" s="16">
        <v>621590</v>
      </c>
      <c r="D861" s="17">
        <v>0</v>
      </c>
      <c r="E861" s="17">
        <v>0</v>
      </c>
      <c r="F861" s="17">
        <v>68</v>
      </c>
      <c r="G861" s="17">
        <v>74</v>
      </c>
      <c r="H861" s="13" t="str" cm="1">
        <f t="array" ref="H861">_xlfn.IFS(G861&lt;=20,"0-20",G861&lt;=30,"20-30",G861&lt;=40,"30-40",G861&lt;=50,"50-60",G861&lt;=60,"60-70",G861&lt;=70,"70-80",G861&lt;=80,"80-90")</f>
        <v>80-90</v>
      </c>
      <c r="I861" s="17">
        <v>2221</v>
      </c>
      <c r="J861" s="13" t="str" cm="1">
        <f t="array" ref="J861">_xlfn.IFS(K861=1,"Divorciado",L861=1,"Casado",M861=1,"Solteiro",N861=1,"Juntos",O861=1,"Viuvo")</f>
        <v>Solteiro</v>
      </c>
      <c r="K861" s="17">
        <v>0</v>
      </c>
      <c r="L861" s="17">
        <v>0</v>
      </c>
      <c r="M861" s="17">
        <v>1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1</v>
      </c>
      <c r="U861" s="17">
        <v>182</v>
      </c>
      <c r="V861" s="13" t="str" cm="1">
        <f t="array" ref="V861">_xlfn.IFS(U861&lt;=250,"0-R$250",U861&lt;=500,"251-R$500",U861&lt;=750,"501-R$750",U861&lt;=1000,"751-R$1000",U861&lt;=1250,"1001-R$1250",U861&lt;=1500,"1251-R$1500")</f>
        <v>0-R$250</v>
      </c>
      <c r="W861" s="17">
        <v>17</v>
      </c>
      <c r="X861" s="13" t="str" cm="1">
        <f t="array" ref="X861">_xlfn.IFS(W861 = 0, "0", W861&lt;=20, "até R$20",W861&lt;=40, "21 - R$40",W861&lt;=60, "41- R$60",W861&lt;=80, "61 - R$80", W861&lt;=100, "81 - R$100",W861&lt;=120, "101 - R$120",W861&lt;=140, "121 - R$140", W861&lt;=160, "141- R$160", W861&lt;=180, "161 - R$180", W861&lt;=200, "181-R$194")</f>
        <v>até R$20</v>
      </c>
      <c r="Y861" s="17">
        <v>259</v>
      </c>
      <c r="Z861" s="17">
        <v>77</v>
      </c>
      <c r="AA861" s="17">
        <v>70</v>
      </c>
      <c r="AB861" s="17">
        <v>29</v>
      </c>
      <c r="AC861" s="17">
        <v>1</v>
      </c>
      <c r="AD861" s="17">
        <v>6</v>
      </c>
      <c r="AE861" s="17">
        <v>2</v>
      </c>
      <c r="AF861" s="17">
        <v>10</v>
      </c>
      <c r="AG861" s="17">
        <v>4</v>
      </c>
      <c r="AH861" s="17">
        <v>0</v>
      </c>
      <c r="AI861" s="17">
        <v>0</v>
      </c>
      <c r="AJ861" s="17">
        <v>0</v>
      </c>
      <c r="AK861" s="17">
        <v>0</v>
      </c>
      <c r="AL861" s="17">
        <v>0</v>
      </c>
      <c r="AM861" s="17">
        <v>0</v>
      </c>
      <c r="AN861" s="17">
        <v>0</v>
      </c>
      <c r="AO861" s="18">
        <v>0</v>
      </c>
      <c r="AP861" s="17">
        <v>3</v>
      </c>
      <c r="AQ861" s="17">
        <v>11</v>
      </c>
      <c r="AR861" s="19">
        <v>576</v>
      </c>
      <c r="AS861" s="19">
        <v>605</v>
      </c>
    </row>
    <row r="862" spans="1:45" x14ac:dyDescent="0.25">
      <c r="A862">
        <v>1734</v>
      </c>
      <c r="B862" s="11">
        <f t="shared" si="13"/>
        <v>77981</v>
      </c>
      <c r="C862" s="12">
        <v>779810</v>
      </c>
      <c r="D862" s="13">
        <v>1</v>
      </c>
      <c r="E862" s="13">
        <v>0</v>
      </c>
      <c r="F862" s="13">
        <v>78</v>
      </c>
      <c r="G862" s="13">
        <v>48</v>
      </c>
      <c r="H862" s="13" t="str" cm="1">
        <f t="array" ref="H862">_xlfn.IFS(G862&lt;=20,"0-20",G862&lt;=30,"20-30",G862&lt;=40,"30-40",G862&lt;=50,"50-60",G862&lt;=60,"60-70",G862&lt;=70,"70-80",G862&lt;=80,"80-90")</f>
        <v>50-60</v>
      </c>
      <c r="I862" s="13">
        <v>2558</v>
      </c>
      <c r="J862" s="13" t="str" cm="1">
        <f t="array" ref="J862">_xlfn.IFS(K862=1,"Divorciado",L862=1,"Casado",M862=1,"Solteiro",N862=1,"Juntos",O862=1,"Viuvo")</f>
        <v>Casado</v>
      </c>
      <c r="K862" s="13">
        <v>0</v>
      </c>
      <c r="L862" s="13">
        <v>1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1</v>
      </c>
      <c r="S862" s="13">
        <v>0</v>
      </c>
      <c r="T862" s="13">
        <v>0</v>
      </c>
      <c r="U862" s="13">
        <v>138</v>
      </c>
      <c r="V862" s="13" t="str" cm="1">
        <f t="array" ref="V862">_xlfn.IFS(U862&lt;=250,"0-R$250",U862&lt;=500,"251-R$500",U862&lt;=750,"501-R$750",U862&lt;=1000,"751-R$1000",U862&lt;=1250,"1001-R$1250",U862&lt;=1500,"1251-R$1500")</f>
        <v>0-R$250</v>
      </c>
      <c r="W862" s="13">
        <v>120</v>
      </c>
      <c r="X862" s="13" t="str" cm="1">
        <f t="array" ref="X862">_xlfn.IFS(W862 = 0, "0", W862&lt;=20, "até R$20",W862&lt;=40, "21 - R$40",W862&lt;=60, "41- R$60",W862&lt;=80, "61 - R$80", W862&lt;=100, "81 - R$100",W862&lt;=120, "101 - R$120",W862&lt;=140, "121 - R$140", W862&lt;=160, "141- R$160", W862&lt;=180, "161 - R$180", W862&lt;=200, "181-R$194")</f>
        <v>101 - R$120</v>
      </c>
      <c r="Y862" s="13">
        <v>204</v>
      </c>
      <c r="Z862" s="13">
        <v>16</v>
      </c>
      <c r="AA862" s="13">
        <v>126</v>
      </c>
      <c r="AB862" s="13">
        <v>60</v>
      </c>
      <c r="AC862" s="13">
        <v>3</v>
      </c>
      <c r="AD862" s="13">
        <v>7</v>
      </c>
      <c r="AE862" s="13">
        <v>4</v>
      </c>
      <c r="AF862" s="13">
        <v>7</v>
      </c>
      <c r="AG862" s="13">
        <v>5</v>
      </c>
      <c r="AH862" s="13">
        <v>0</v>
      </c>
      <c r="AI862" s="13">
        <v>0</v>
      </c>
      <c r="AJ862" s="13">
        <v>0</v>
      </c>
      <c r="AK862" s="13">
        <v>0</v>
      </c>
      <c r="AL862" s="13">
        <v>0</v>
      </c>
      <c r="AM862" s="13">
        <v>0</v>
      </c>
      <c r="AN862" s="13">
        <v>0</v>
      </c>
      <c r="AO862" s="14">
        <v>0</v>
      </c>
      <c r="AP862" s="13">
        <v>3</v>
      </c>
      <c r="AQ862" s="13">
        <v>11</v>
      </c>
      <c r="AR862" s="15">
        <v>544</v>
      </c>
      <c r="AS862" s="15">
        <v>604</v>
      </c>
    </row>
    <row r="863" spans="1:45" x14ac:dyDescent="0.25">
      <c r="A863">
        <v>305</v>
      </c>
      <c r="B863" s="11">
        <f t="shared" si="13"/>
        <v>64795</v>
      </c>
      <c r="C863" s="16">
        <v>647950</v>
      </c>
      <c r="D863" s="17">
        <v>0</v>
      </c>
      <c r="E863" s="17">
        <v>1</v>
      </c>
      <c r="F863" s="17">
        <v>23</v>
      </c>
      <c r="G863" s="17">
        <v>49</v>
      </c>
      <c r="H863" s="13" t="str" cm="1">
        <f t="array" ref="H863">_xlfn.IFS(G863&lt;=20,"0-20",G863&lt;=30,"20-30",G863&lt;=40,"30-40",G863&lt;=50,"50-60",G863&lt;=60,"60-70",G863&lt;=70,"70-80",G863&lt;=80,"80-90")</f>
        <v>50-60</v>
      </c>
      <c r="I863" s="17">
        <v>2687</v>
      </c>
      <c r="J863" s="13" t="str" cm="1">
        <f t="array" ref="J863">_xlfn.IFS(K863=1,"Divorciado",L863=1,"Casado",M863=1,"Solteiro",N863=1,"Juntos",O863=1,"Viuvo")</f>
        <v>Casado</v>
      </c>
      <c r="K863" s="17">
        <v>0</v>
      </c>
      <c r="L863" s="17">
        <v>1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1</v>
      </c>
      <c r="S863" s="17">
        <v>0</v>
      </c>
      <c r="T863" s="17">
        <v>0</v>
      </c>
      <c r="U863" s="17">
        <v>412</v>
      </c>
      <c r="V863" s="13" t="str" cm="1">
        <f t="array" ref="V863">_xlfn.IFS(U863&lt;=250,"0-R$250",U863&lt;=500,"251-R$500",U863&lt;=750,"501-R$750",U863&lt;=1000,"751-R$1000",U863&lt;=1250,"1001-R$1250",U863&lt;=1500,"1251-R$1500")</f>
        <v>251-R$500</v>
      </c>
      <c r="W863" s="17">
        <v>5</v>
      </c>
      <c r="X863" s="13" t="str" cm="1">
        <f t="array" ref="X863">_xlfn.IFS(W863 = 0, "0", W863&lt;=20, "até R$20",W863&lt;=40, "21 - R$40",W863&lt;=60, "41- R$60",W863&lt;=80, "61 - R$80", W863&lt;=100, "81 - R$100",W863&lt;=120, "101 - R$120",W863&lt;=140, "121 - R$140", W863&lt;=160, "141- R$160", W863&lt;=180, "161 - R$180", W863&lt;=200, "181-R$194")</f>
        <v>até R$20</v>
      </c>
      <c r="Y863" s="17">
        <v>119</v>
      </c>
      <c r="Z863" s="17">
        <v>38</v>
      </c>
      <c r="AA863" s="17">
        <v>29</v>
      </c>
      <c r="AB863" s="17">
        <v>77</v>
      </c>
      <c r="AC863" s="17">
        <v>3</v>
      </c>
      <c r="AD863" s="17">
        <v>3</v>
      </c>
      <c r="AE863" s="17">
        <v>3</v>
      </c>
      <c r="AF863" s="17">
        <v>12</v>
      </c>
      <c r="AG863" s="17">
        <v>2</v>
      </c>
      <c r="AH863" s="17">
        <v>0</v>
      </c>
      <c r="AI863" s="17">
        <v>0</v>
      </c>
      <c r="AJ863" s="17">
        <v>0</v>
      </c>
      <c r="AK863" s="17">
        <v>0</v>
      </c>
      <c r="AL863" s="17">
        <v>0</v>
      </c>
      <c r="AM863" s="17">
        <v>0</v>
      </c>
      <c r="AN863" s="17">
        <v>0</v>
      </c>
      <c r="AO863" s="18">
        <v>0</v>
      </c>
      <c r="AP863" s="17">
        <v>3</v>
      </c>
      <c r="AQ863" s="17">
        <v>11</v>
      </c>
      <c r="AR863" s="19">
        <v>526</v>
      </c>
      <c r="AS863" s="19">
        <v>603</v>
      </c>
    </row>
    <row r="864" spans="1:45" x14ac:dyDescent="0.25">
      <c r="A864">
        <v>59</v>
      </c>
      <c r="B864" s="11">
        <f t="shared" si="13"/>
        <v>67680</v>
      </c>
      <c r="C864" s="16">
        <v>676800</v>
      </c>
      <c r="D864" s="17">
        <v>0</v>
      </c>
      <c r="E864" s="17">
        <v>1</v>
      </c>
      <c r="F864" s="17">
        <v>8</v>
      </c>
      <c r="G864" s="17">
        <v>69</v>
      </c>
      <c r="H864" s="13" t="str" cm="1">
        <f t="array" ref="H864">_xlfn.IFS(G864&lt;=20,"0-20",G864&lt;=30,"20-30",G864&lt;=40,"30-40",G864&lt;=50,"50-60",G864&lt;=60,"60-70",G864&lt;=70,"70-80",G864&lt;=80,"80-90")</f>
        <v>70-80</v>
      </c>
      <c r="I864" s="17">
        <v>2542</v>
      </c>
      <c r="J864" s="13" t="str" cm="1">
        <f t="array" ref="J864">_xlfn.IFS(K864=1,"Divorciado",L864=1,"Casado",M864=1,"Solteiro",N864=1,"Juntos",O864=1,"Viuvo")</f>
        <v>Viuvo</v>
      </c>
      <c r="K864" s="17">
        <v>0</v>
      </c>
      <c r="L864" s="17">
        <v>0</v>
      </c>
      <c r="M864" s="17">
        <v>0</v>
      </c>
      <c r="N864" s="17">
        <v>0</v>
      </c>
      <c r="O864" s="17">
        <v>1</v>
      </c>
      <c r="P864" s="17">
        <v>0</v>
      </c>
      <c r="Q864" s="17">
        <v>0</v>
      </c>
      <c r="R864" s="17">
        <v>0</v>
      </c>
      <c r="S864" s="17">
        <v>0</v>
      </c>
      <c r="T864" s="17">
        <v>1</v>
      </c>
      <c r="U864" s="17">
        <v>546</v>
      </c>
      <c r="V864" s="13" t="str" cm="1">
        <f t="array" ref="V864">_xlfn.IFS(U864&lt;=250,"0-R$250",U864&lt;=500,"251-R$500",U864&lt;=750,"501-R$750",U864&lt;=1000,"751-R$1000",U864&lt;=1250,"1001-R$1250",U864&lt;=1500,"1251-R$1500")</f>
        <v>501-R$750</v>
      </c>
      <c r="W864" s="17">
        <v>0</v>
      </c>
      <c r="X864" s="13" t="str" cm="1">
        <f t="array" ref="X864">_xlfn.IFS(W864 = 0, "0", W864&lt;=20, "até R$20",W864&lt;=40, "21 - R$40",W864&lt;=60, "41- R$60",W864&lt;=80, "61 - R$80", W864&lt;=100, "81 - R$100",W864&lt;=120, "101 - R$120",W864&lt;=140, "121 - R$140", W864&lt;=160, "141- R$160", W864&lt;=180, "161 - R$180", W864&lt;=200, "181-R$194")</f>
        <v>0</v>
      </c>
      <c r="Y864" s="17">
        <v>48</v>
      </c>
      <c r="Z864" s="17">
        <v>0</v>
      </c>
      <c r="AA864" s="17">
        <v>6</v>
      </c>
      <c r="AB864" s="17">
        <v>6</v>
      </c>
      <c r="AC864" s="17">
        <v>1</v>
      </c>
      <c r="AD864" s="17">
        <v>7</v>
      </c>
      <c r="AE864" s="17">
        <v>3</v>
      </c>
      <c r="AF864" s="17">
        <v>8</v>
      </c>
      <c r="AG864" s="17">
        <v>5</v>
      </c>
      <c r="AH864" s="17">
        <v>0</v>
      </c>
      <c r="AI864" s="17">
        <v>0</v>
      </c>
      <c r="AJ864" s="17">
        <v>0</v>
      </c>
      <c r="AK864" s="17">
        <v>0</v>
      </c>
      <c r="AL864" s="17">
        <v>0</v>
      </c>
      <c r="AM864" s="17">
        <v>0</v>
      </c>
      <c r="AN864" s="17">
        <v>0</v>
      </c>
      <c r="AO864" s="18">
        <v>0</v>
      </c>
      <c r="AP864" s="17">
        <v>3</v>
      </c>
      <c r="AQ864" s="17">
        <v>11</v>
      </c>
      <c r="AR864" s="19">
        <v>594</v>
      </c>
      <c r="AS864" s="19">
        <v>600</v>
      </c>
    </row>
    <row r="865" spans="1:45" x14ac:dyDescent="0.25">
      <c r="A865">
        <v>571</v>
      </c>
      <c r="B865" s="11">
        <f t="shared" si="13"/>
        <v>61794</v>
      </c>
      <c r="C865" s="16">
        <v>617940</v>
      </c>
      <c r="D865" s="17">
        <v>0</v>
      </c>
      <c r="E865" s="17">
        <v>1</v>
      </c>
      <c r="F865" s="17">
        <v>74</v>
      </c>
      <c r="G865" s="17">
        <v>59</v>
      </c>
      <c r="H865" s="13" t="str" cm="1">
        <f t="array" ref="H865">_xlfn.IFS(G865&lt;=20,"0-20",G865&lt;=30,"20-30",G865&lt;=40,"30-40",G865&lt;=50,"50-60",G865&lt;=60,"60-70",G865&lt;=70,"70-80",G865&lt;=80,"80-90")</f>
        <v>60-70</v>
      </c>
      <c r="I865" s="17">
        <v>2447</v>
      </c>
      <c r="J865" s="13" t="str" cm="1">
        <f t="array" ref="J865">_xlfn.IFS(K865=1,"Divorciado",L865=1,"Casado",M865=1,"Solteiro",N865=1,"Juntos",O865=1,"Viuvo")</f>
        <v>Casado</v>
      </c>
      <c r="K865" s="17">
        <v>0</v>
      </c>
      <c r="L865" s="17">
        <v>1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1</v>
      </c>
      <c r="T865" s="17">
        <v>0</v>
      </c>
      <c r="U865" s="17">
        <v>264</v>
      </c>
      <c r="V865" s="13" t="str" cm="1">
        <f t="array" ref="V865">_xlfn.IFS(U865&lt;=250,"0-R$250",U865&lt;=500,"251-R$500",U865&lt;=750,"501-R$750",U865&lt;=1000,"751-R$1000",U865&lt;=1250,"1001-R$1250",U865&lt;=1500,"1251-R$1500")</f>
        <v>251-R$500</v>
      </c>
      <c r="W865" s="17">
        <v>47</v>
      </c>
      <c r="X865" s="13" t="str" cm="1">
        <f t="array" ref="X865">_xlfn.IFS(W865 = 0, "0", W865&lt;=20, "até R$20",W865&lt;=40, "21 - R$40",W865&lt;=60, "41- R$60",W865&lt;=80, "61 - R$80", W865&lt;=100, "81 - R$100",W865&lt;=120, "101 - R$120",W865&lt;=140, "121 - R$140", W865&lt;=160, "141- R$160", W865&lt;=180, "161 - R$180", W865&lt;=200, "181-R$194")</f>
        <v>41- R$60</v>
      </c>
      <c r="Y865" s="17">
        <v>188</v>
      </c>
      <c r="Z865" s="17">
        <v>54</v>
      </c>
      <c r="AA865" s="17">
        <v>47</v>
      </c>
      <c r="AB865" s="17">
        <v>11</v>
      </c>
      <c r="AC865" s="17">
        <v>2</v>
      </c>
      <c r="AD865" s="17">
        <v>4</v>
      </c>
      <c r="AE865" s="17">
        <v>4</v>
      </c>
      <c r="AF865" s="17">
        <v>10</v>
      </c>
      <c r="AG865" s="17">
        <v>2</v>
      </c>
      <c r="AH865" s="17">
        <v>0</v>
      </c>
      <c r="AI865" s="17">
        <v>0</v>
      </c>
      <c r="AJ865" s="17">
        <v>0</v>
      </c>
      <c r="AK865" s="17">
        <v>0</v>
      </c>
      <c r="AL865" s="17">
        <v>0</v>
      </c>
      <c r="AM865" s="17">
        <v>0</v>
      </c>
      <c r="AN865" s="17">
        <v>0</v>
      </c>
      <c r="AO865" s="18">
        <v>0</v>
      </c>
      <c r="AP865" s="17">
        <v>3</v>
      </c>
      <c r="AQ865" s="17">
        <v>11</v>
      </c>
      <c r="AR865" s="19">
        <v>589</v>
      </c>
      <c r="AS865" s="19">
        <v>600</v>
      </c>
    </row>
    <row r="866" spans="1:45" x14ac:dyDescent="0.25">
      <c r="A866">
        <v>2194</v>
      </c>
      <c r="B866" s="11">
        <f t="shared" si="13"/>
        <v>63777</v>
      </c>
      <c r="C866" s="12">
        <v>637770</v>
      </c>
      <c r="D866" s="13">
        <v>1</v>
      </c>
      <c r="E866" s="13">
        <v>1</v>
      </c>
      <c r="F866" s="13">
        <v>87</v>
      </c>
      <c r="G866" s="13">
        <v>41</v>
      </c>
      <c r="H866" s="13" t="str" cm="1">
        <f t="array" ref="H866">_xlfn.IFS(G866&lt;=20,"0-20",G866&lt;=30,"20-30",G866&lt;=40,"30-40",G866&lt;=50,"50-60",G866&lt;=60,"60-70",G866&lt;=70,"70-80",G866&lt;=80,"80-90")</f>
        <v>50-60</v>
      </c>
      <c r="I866" s="13">
        <v>2621</v>
      </c>
      <c r="J866" s="13" t="str" cm="1">
        <f t="array" ref="J866">_xlfn.IFS(K866=1,"Divorciado",L866=1,"Casado",M866=1,"Solteiro",N866=1,"Juntos",O866=1,"Viuvo")</f>
        <v>Casado</v>
      </c>
      <c r="K866" s="13">
        <v>0</v>
      </c>
      <c r="L866" s="13">
        <v>1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1</v>
      </c>
      <c r="S866" s="13">
        <v>0</v>
      </c>
      <c r="T866" s="13">
        <v>0</v>
      </c>
      <c r="U866" s="13">
        <v>457</v>
      </c>
      <c r="V866" s="13" t="str" cm="1">
        <f t="array" ref="V866">_xlfn.IFS(U866&lt;=250,"0-R$250",U866&lt;=500,"251-R$500",U866&lt;=750,"501-R$750",U866&lt;=1000,"751-R$1000",U866&lt;=1250,"1001-R$1250",U866&lt;=1500,"1251-R$1500")</f>
        <v>251-R$500</v>
      </c>
      <c r="W866" s="13">
        <v>5</v>
      </c>
      <c r="X866" s="13" t="str" cm="1">
        <f t="array" ref="X866">_xlfn.IFS(W866 = 0, "0", W866&lt;=20, "até R$20",W866&lt;=40, "21 - R$40",W866&lt;=60, "41- R$60",W866&lt;=80, "61 - R$80", W866&lt;=100, "81 - R$100",W866&lt;=120, "101 - R$120",W866&lt;=140, "121 - R$140", W866&lt;=160, "141- R$160", W866&lt;=180, "161 - R$180", W866&lt;=200, "181-R$194")</f>
        <v>até R$20</v>
      </c>
      <c r="Y866" s="13">
        <v>106</v>
      </c>
      <c r="Z866" s="13">
        <v>15</v>
      </c>
      <c r="AA866" s="13">
        <v>17</v>
      </c>
      <c r="AB866" s="13">
        <v>53</v>
      </c>
      <c r="AC866" s="13">
        <v>8</v>
      </c>
      <c r="AD866" s="13">
        <v>11</v>
      </c>
      <c r="AE866" s="13">
        <v>1</v>
      </c>
      <c r="AF866" s="13">
        <v>6</v>
      </c>
      <c r="AG866" s="13">
        <v>8</v>
      </c>
      <c r="AH866" s="13">
        <v>0</v>
      </c>
      <c r="AI866" s="13">
        <v>0</v>
      </c>
      <c r="AJ866" s="13">
        <v>0</v>
      </c>
      <c r="AK866" s="13">
        <v>0</v>
      </c>
      <c r="AL866" s="13">
        <v>0</v>
      </c>
      <c r="AM866" s="13">
        <v>0</v>
      </c>
      <c r="AN866" s="13">
        <v>0</v>
      </c>
      <c r="AO866" s="14">
        <v>0</v>
      </c>
      <c r="AP866" s="13">
        <v>3</v>
      </c>
      <c r="AQ866" s="13">
        <v>11</v>
      </c>
      <c r="AR866" s="15">
        <v>547</v>
      </c>
      <c r="AS866" s="15">
        <v>600</v>
      </c>
    </row>
    <row r="867" spans="1:45" x14ac:dyDescent="0.25">
      <c r="A867">
        <v>1441</v>
      </c>
      <c r="B867" s="11">
        <f t="shared" si="13"/>
        <v>49476</v>
      </c>
      <c r="C867" s="16">
        <v>494760</v>
      </c>
      <c r="D867" s="17">
        <v>0</v>
      </c>
      <c r="E867" s="17">
        <v>1</v>
      </c>
      <c r="F867" s="17">
        <v>29</v>
      </c>
      <c r="G867" s="17">
        <v>57</v>
      </c>
      <c r="H867" s="13" t="str" cm="1">
        <f t="array" ref="H867">_xlfn.IFS(G867&lt;=20,"0-20",G867&lt;=30,"20-30",G867&lt;=40,"30-40",G867&lt;=50,"50-60",G867&lt;=60,"60-70",G867&lt;=70,"70-80",G867&lt;=80,"80-90")</f>
        <v>60-70</v>
      </c>
      <c r="I867" s="17">
        <v>2533</v>
      </c>
      <c r="J867" s="13" t="str" cm="1">
        <f t="array" ref="J867">_xlfn.IFS(K867=1,"Divorciado",L867=1,"Casado",M867=1,"Solteiro",N867=1,"Juntos",O867=1,"Viuvo")</f>
        <v>Divorciado</v>
      </c>
      <c r="K867" s="17">
        <v>1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1</v>
      </c>
      <c r="T867" s="17">
        <v>0</v>
      </c>
      <c r="U867" s="17">
        <v>386</v>
      </c>
      <c r="V867" s="13" t="str" cm="1">
        <f t="array" ref="V867">_xlfn.IFS(U867&lt;=250,"0-R$250",U867&lt;=500,"251-R$500",U867&lt;=750,"501-R$750",U867&lt;=1000,"751-R$1000",U867&lt;=1250,"1001-R$1250",U867&lt;=1500,"1251-R$1500")</f>
        <v>251-R$500</v>
      </c>
      <c r="W867" s="17">
        <v>23</v>
      </c>
      <c r="X867" s="13" t="str" cm="1">
        <f t="array" ref="X867">_xlfn.IFS(W867 = 0, "0", W867&lt;=20, "até R$20",W867&lt;=40, "21 - R$40",W867&lt;=60, "41- R$60",W867&lt;=80, "61 - R$80", W867&lt;=100, "81 - R$100",W867&lt;=120, "101 - R$120",W867&lt;=140, "121 - R$140", W867&lt;=160, "141- R$160", W867&lt;=180, "161 - R$180", W867&lt;=200, "181-R$194")</f>
        <v>21 - R$40</v>
      </c>
      <c r="Y867" s="17">
        <v>95</v>
      </c>
      <c r="Z867" s="17">
        <v>54</v>
      </c>
      <c r="AA867" s="17">
        <v>41</v>
      </c>
      <c r="AB867" s="17">
        <v>196</v>
      </c>
      <c r="AC867" s="17">
        <v>4</v>
      </c>
      <c r="AD867" s="17">
        <v>2</v>
      </c>
      <c r="AE867" s="17">
        <v>11</v>
      </c>
      <c r="AF867" s="17">
        <v>5</v>
      </c>
      <c r="AG867" s="17">
        <v>2</v>
      </c>
      <c r="AH867" s="17">
        <v>0</v>
      </c>
      <c r="AI867" s="17">
        <v>0</v>
      </c>
      <c r="AJ867" s="17">
        <v>0</v>
      </c>
      <c r="AK867" s="17">
        <v>0</v>
      </c>
      <c r="AL867" s="17">
        <v>0</v>
      </c>
      <c r="AM867" s="17">
        <v>0</v>
      </c>
      <c r="AN867" s="17">
        <v>0</v>
      </c>
      <c r="AO867" s="18">
        <v>0</v>
      </c>
      <c r="AP867" s="17">
        <v>3</v>
      </c>
      <c r="AQ867" s="17">
        <v>11</v>
      </c>
      <c r="AR867" s="19">
        <v>403</v>
      </c>
      <c r="AS867" s="19">
        <v>599</v>
      </c>
    </row>
    <row r="868" spans="1:45" x14ac:dyDescent="0.25">
      <c r="A868">
        <v>946</v>
      </c>
      <c r="B868" s="11">
        <f t="shared" si="13"/>
        <v>54753</v>
      </c>
      <c r="C868" s="12">
        <v>547530</v>
      </c>
      <c r="D868" s="13">
        <v>0</v>
      </c>
      <c r="E868" s="13">
        <v>1</v>
      </c>
      <c r="F868" s="13">
        <v>87</v>
      </c>
      <c r="G868" s="13">
        <v>61</v>
      </c>
      <c r="H868" s="13" t="str" cm="1">
        <f t="array" ref="H868">_xlfn.IFS(G868&lt;=20,"0-20",G868&lt;=30,"20-30",G868&lt;=40,"30-40",G868&lt;=50,"50-60",G868&lt;=60,"60-70",G868&lt;=70,"70-80",G868&lt;=80,"80-90")</f>
        <v>70-80</v>
      </c>
      <c r="I868" s="13">
        <v>2449</v>
      </c>
      <c r="J868" s="13" t="str" cm="1">
        <f t="array" ref="J868">_xlfn.IFS(K868=1,"Divorciado",L868=1,"Casado",M868=1,"Solteiro",N868=1,"Juntos",O868=1,"Viuvo")</f>
        <v>Juntos</v>
      </c>
      <c r="K868" s="13">
        <v>0</v>
      </c>
      <c r="L868" s="13">
        <v>0</v>
      </c>
      <c r="M868" s="13">
        <v>0</v>
      </c>
      <c r="N868" s="13">
        <v>1</v>
      </c>
      <c r="O868" s="13">
        <v>0</v>
      </c>
      <c r="P868" s="13">
        <v>0</v>
      </c>
      <c r="Q868" s="13">
        <v>0</v>
      </c>
      <c r="R868" s="13">
        <v>1</v>
      </c>
      <c r="S868" s="13">
        <v>0</v>
      </c>
      <c r="T868" s="13">
        <v>0</v>
      </c>
      <c r="U868" s="13">
        <v>197</v>
      </c>
      <c r="V868" s="13" t="str" cm="1">
        <f t="array" ref="V868">_xlfn.IFS(U868&lt;=250,"0-R$250",U868&lt;=500,"251-R$500",U868&lt;=750,"501-R$750",U868&lt;=1000,"751-R$1000",U868&lt;=1250,"1001-R$1250",U868&lt;=1500,"1251-R$1500")</f>
        <v>0-R$250</v>
      </c>
      <c r="W868" s="13">
        <v>107</v>
      </c>
      <c r="X868" s="13" t="str" cm="1">
        <f t="array" ref="X868">_xlfn.IFS(W868 = 0, "0", W868&lt;=20, "até R$20",W868&lt;=40, "21 - R$40",W868&lt;=60, "41- R$60",W868&lt;=80, "61 - R$80", W868&lt;=100, "81 - R$100",W868&lt;=120, "101 - R$120",W868&lt;=140, "121 - R$140", W868&lt;=160, "141- R$160", W868&lt;=180, "161 - R$180", W868&lt;=200, "181-R$194")</f>
        <v>101 - R$120</v>
      </c>
      <c r="Y868" s="13">
        <v>227</v>
      </c>
      <c r="Z868" s="13">
        <v>7</v>
      </c>
      <c r="AA868" s="13">
        <v>59</v>
      </c>
      <c r="AB868" s="13">
        <v>131</v>
      </c>
      <c r="AC868" s="13">
        <v>3</v>
      </c>
      <c r="AD868" s="13">
        <v>5</v>
      </c>
      <c r="AE868" s="13">
        <v>2</v>
      </c>
      <c r="AF868" s="13">
        <v>11</v>
      </c>
      <c r="AG868" s="13">
        <v>4</v>
      </c>
      <c r="AH868" s="13">
        <v>0</v>
      </c>
      <c r="AI868" s="13">
        <v>0</v>
      </c>
      <c r="AJ868" s="13">
        <v>0</v>
      </c>
      <c r="AK868" s="13">
        <v>0</v>
      </c>
      <c r="AL868" s="13">
        <v>0</v>
      </c>
      <c r="AM868" s="13">
        <v>0</v>
      </c>
      <c r="AN868" s="13">
        <v>0</v>
      </c>
      <c r="AO868" s="14">
        <v>0</v>
      </c>
      <c r="AP868" s="13">
        <v>3</v>
      </c>
      <c r="AQ868" s="13">
        <v>11</v>
      </c>
      <c r="AR868" s="15">
        <v>466</v>
      </c>
      <c r="AS868" s="15">
        <v>597</v>
      </c>
    </row>
    <row r="869" spans="1:45" x14ac:dyDescent="0.25">
      <c r="A869">
        <v>1544</v>
      </c>
      <c r="B869" s="11">
        <f t="shared" si="13"/>
        <v>55517</v>
      </c>
      <c r="C869" s="12">
        <v>555170</v>
      </c>
      <c r="D869" s="13">
        <v>1</v>
      </c>
      <c r="E869" s="13">
        <v>1</v>
      </c>
      <c r="F869" s="13">
        <v>53</v>
      </c>
      <c r="G869" s="13">
        <v>70</v>
      </c>
      <c r="H869" s="13" t="str" cm="1">
        <f t="array" ref="H869">_xlfn.IFS(G869&lt;=20,"0-20",G869&lt;=30,"20-30",G869&lt;=40,"30-40",G869&lt;=50,"50-60",G869&lt;=60,"60-70",G869&lt;=70,"70-80",G869&lt;=80,"80-90")</f>
        <v>70-80</v>
      </c>
      <c r="I869" s="13">
        <v>2799</v>
      </c>
      <c r="J869" s="13" t="str" cm="1">
        <f t="array" ref="J869">_xlfn.IFS(K869=1,"Divorciado",L869=1,"Casado",M869=1,"Solteiro",N869=1,"Juntos",O869=1,"Viuvo")</f>
        <v>Casado</v>
      </c>
      <c r="K869" s="13">
        <v>0</v>
      </c>
      <c r="L869" s="13">
        <v>1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1</v>
      </c>
      <c r="U869" s="13">
        <v>483</v>
      </c>
      <c r="V869" s="13" t="str" cm="1">
        <f t="array" ref="V869">_xlfn.IFS(U869&lt;=250,"0-R$250",U869&lt;=500,"251-R$500",U869&lt;=750,"501-R$750",U869&lt;=1000,"751-R$1000",U869&lt;=1250,"1001-R$1250",U869&lt;=1500,"1251-R$1500")</f>
        <v>251-R$500</v>
      </c>
      <c r="W869" s="13">
        <v>0</v>
      </c>
      <c r="X869" s="13" t="str" cm="1">
        <f t="array" ref="X869">_xlfn.IFS(W869 = 0, "0", W869&lt;=20, "até R$20",W869&lt;=40, "21 - R$40",W869&lt;=60, "41- R$60",W869&lt;=80, "61 - R$80", W869&lt;=100, "81 - R$100",W869&lt;=120, "101 - R$120",W869&lt;=140, "121 - R$140", W869&lt;=160, "141- R$160", W869&lt;=180, "161 - R$180", W869&lt;=200, "181-R$194")</f>
        <v>0</v>
      </c>
      <c r="Y869" s="13">
        <v>108</v>
      </c>
      <c r="Z869" s="13">
        <v>0</v>
      </c>
      <c r="AA869" s="13">
        <v>6</v>
      </c>
      <c r="AB869" s="13">
        <v>36</v>
      </c>
      <c r="AC869" s="13">
        <v>5</v>
      </c>
      <c r="AD869" s="13">
        <v>11</v>
      </c>
      <c r="AE869" s="13">
        <v>1</v>
      </c>
      <c r="AF869" s="13">
        <v>6</v>
      </c>
      <c r="AG869" s="13">
        <v>9</v>
      </c>
      <c r="AH869" s="13">
        <v>0</v>
      </c>
      <c r="AI869" s="13">
        <v>0</v>
      </c>
      <c r="AJ869" s="13">
        <v>0</v>
      </c>
      <c r="AK869" s="13">
        <v>0</v>
      </c>
      <c r="AL869" s="13">
        <v>0</v>
      </c>
      <c r="AM869" s="13">
        <v>0</v>
      </c>
      <c r="AN869" s="13">
        <v>1</v>
      </c>
      <c r="AO869" s="14">
        <v>0</v>
      </c>
      <c r="AP869" s="13">
        <v>3</v>
      </c>
      <c r="AQ869" s="13">
        <v>11</v>
      </c>
      <c r="AR869" s="15">
        <v>561</v>
      </c>
      <c r="AS869" s="15">
        <v>597</v>
      </c>
    </row>
    <row r="870" spans="1:45" x14ac:dyDescent="0.25">
      <c r="A870">
        <v>1840</v>
      </c>
      <c r="B870" s="11">
        <f t="shared" si="13"/>
        <v>60208</v>
      </c>
      <c r="C870" s="12">
        <v>602080</v>
      </c>
      <c r="D870" s="13">
        <v>1</v>
      </c>
      <c r="E870" s="13">
        <v>1</v>
      </c>
      <c r="F870" s="13">
        <v>13</v>
      </c>
      <c r="G870" s="13">
        <v>47</v>
      </c>
      <c r="H870" s="13" t="str" cm="1">
        <f t="array" ref="H870">_xlfn.IFS(G870&lt;=20,"0-20",G870&lt;=30,"20-30",G870&lt;=40,"30-40",G870&lt;=50,"50-60",G870&lt;=60,"60-70",G870&lt;=70,"70-80",G870&lt;=80,"80-90")</f>
        <v>50-60</v>
      </c>
      <c r="I870" s="13">
        <v>2789</v>
      </c>
      <c r="J870" s="13" t="str" cm="1">
        <f t="array" ref="J870">_xlfn.IFS(K870=1,"Divorciado",L870=1,"Casado",M870=1,"Solteiro",N870=1,"Juntos",O870=1,"Viuvo")</f>
        <v>Viuvo</v>
      </c>
      <c r="K870" s="13">
        <v>0</v>
      </c>
      <c r="L870" s="13">
        <v>0</v>
      </c>
      <c r="M870" s="13">
        <v>0</v>
      </c>
      <c r="N870" s="13">
        <v>0</v>
      </c>
      <c r="O870" s="13">
        <v>1</v>
      </c>
      <c r="P870" s="13">
        <v>0</v>
      </c>
      <c r="Q870" s="13">
        <v>0</v>
      </c>
      <c r="R870" s="13">
        <v>1</v>
      </c>
      <c r="S870" s="13">
        <v>0</v>
      </c>
      <c r="T870" s="13">
        <v>0</v>
      </c>
      <c r="U870" s="13">
        <v>488</v>
      </c>
      <c r="V870" s="13" t="str" cm="1">
        <f t="array" ref="V870">_xlfn.IFS(U870&lt;=250,"0-R$250",U870&lt;=500,"251-R$500",U870&lt;=750,"501-R$750",U870&lt;=1000,"751-R$1000",U870&lt;=1250,"1001-R$1250",U870&lt;=1500,"1251-R$1500")</f>
        <v>251-R$500</v>
      </c>
      <c r="W870" s="13">
        <v>23</v>
      </c>
      <c r="X870" s="13" t="str" cm="1">
        <f t="array" ref="X870">_xlfn.IFS(W870 = 0, "0", W870&lt;=20, "até R$20",W870&lt;=40, "21 - R$40",W870&lt;=60, "41- R$60",W870&lt;=80, "61 - R$80", W870&lt;=100, "81 - R$100",W870&lt;=120, "101 - R$120",W870&lt;=140, "121 - R$140", W870&lt;=160, "141- R$160", W870&lt;=180, "161 - R$180", W870&lt;=200, "181-R$194")</f>
        <v>21 - R$40</v>
      </c>
      <c r="Y870" s="13">
        <v>71</v>
      </c>
      <c r="Z870" s="13">
        <v>15</v>
      </c>
      <c r="AA870" s="13">
        <v>0</v>
      </c>
      <c r="AB870" s="13">
        <v>59</v>
      </c>
      <c r="AC870" s="13">
        <v>11</v>
      </c>
      <c r="AD870" s="13">
        <v>8</v>
      </c>
      <c r="AE870" s="13">
        <v>3</v>
      </c>
      <c r="AF870" s="13">
        <v>7</v>
      </c>
      <c r="AG870" s="13">
        <v>7</v>
      </c>
      <c r="AH870" s="13">
        <v>0</v>
      </c>
      <c r="AI870" s="13">
        <v>0</v>
      </c>
      <c r="AJ870" s="13">
        <v>1</v>
      </c>
      <c r="AK870" s="13">
        <v>0</v>
      </c>
      <c r="AL870" s="13">
        <v>0</v>
      </c>
      <c r="AM870" s="13">
        <v>0</v>
      </c>
      <c r="AN870" s="13">
        <v>1</v>
      </c>
      <c r="AO870" s="14">
        <v>1</v>
      </c>
      <c r="AP870" s="13">
        <v>3</v>
      </c>
      <c r="AQ870" s="13">
        <v>11</v>
      </c>
      <c r="AR870" s="15">
        <v>538</v>
      </c>
      <c r="AS870" s="15">
        <v>597</v>
      </c>
    </row>
    <row r="871" spans="1:45" x14ac:dyDescent="0.25">
      <c r="A871">
        <v>123</v>
      </c>
      <c r="B871" s="11">
        <f t="shared" si="13"/>
        <v>73448</v>
      </c>
      <c r="C871" s="16">
        <v>734480</v>
      </c>
      <c r="D871" s="17">
        <v>0</v>
      </c>
      <c r="E871" s="17">
        <v>0</v>
      </c>
      <c r="F871" s="17">
        <v>10</v>
      </c>
      <c r="G871" s="17">
        <v>51</v>
      </c>
      <c r="H871" s="13" t="str" cm="1">
        <f t="array" ref="H871">_xlfn.IFS(G871&lt;=20,"0-20",G871&lt;=30,"20-30",G871&lt;=40,"30-40",G871&lt;=50,"50-60",G871&lt;=60,"60-70",G871&lt;=70,"70-80",G871&lt;=80,"80-90")</f>
        <v>60-70</v>
      </c>
      <c r="I871" s="17">
        <v>2298</v>
      </c>
      <c r="J871" s="13" t="str" cm="1">
        <f t="array" ref="J871">_xlfn.IFS(K871=1,"Divorciado",L871=1,"Casado",M871=1,"Solteiro",N871=1,"Juntos",O871=1,"Viuvo")</f>
        <v>Casado</v>
      </c>
      <c r="K871" s="17">
        <v>0</v>
      </c>
      <c r="L871" s="17">
        <v>1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1</v>
      </c>
      <c r="S871" s="17">
        <v>0</v>
      </c>
      <c r="T871" s="17">
        <v>0</v>
      </c>
      <c r="U871" s="17">
        <v>236</v>
      </c>
      <c r="V871" s="13" t="str" cm="1">
        <f t="array" ref="V871">_xlfn.IFS(U871&lt;=250,"0-R$250",U871&lt;=500,"251-R$500",U871&lt;=750,"501-R$750",U871&lt;=1000,"751-R$1000",U871&lt;=1250,"1001-R$1250",U871&lt;=1500,"1251-R$1500")</f>
        <v>0-R$250</v>
      </c>
      <c r="W871" s="17">
        <v>106</v>
      </c>
      <c r="X871" s="13" t="str" cm="1">
        <f t="array" ref="X871">_xlfn.IFS(W871 = 0, "0", W871&lt;=20, "até R$20",W871&lt;=40, "21 - R$40",W871&lt;=60, "41- R$60",W871&lt;=80, "61 - R$80", W871&lt;=100, "81 - R$100",W871&lt;=120, "101 - R$120",W871&lt;=140, "121 - R$140", W871&lt;=160, "141- R$160", W871&lt;=180, "161 - R$180", W871&lt;=200, "181-R$194")</f>
        <v>101 - R$120</v>
      </c>
      <c r="Y871" s="17">
        <v>189</v>
      </c>
      <c r="Z871" s="17">
        <v>23</v>
      </c>
      <c r="AA871" s="17">
        <v>41</v>
      </c>
      <c r="AB871" s="17">
        <v>130</v>
      </c>
      <c r="AC871" s="17">
        <v>1</v>
      </c>
      <c r="AD871" s="17">
        <v>7</v>
      </c>
      <c r="AE871" s="17">
        <v>2</v>
      </c>
      <c r="AF871" s="17">
        <v>9</v>
      </c>
      <c r="AG871" s="17">
        <v>4</v>
      </c>
      <c r="AH871" s="17">
        <v>0</v>
      </c>
      <c r="AI871" s="17">
        <v>0</v>
      </c>
      <c r="AJ871" s="17">
        <v>0</v>
      </c>
      <c r="AK871" s="17">
        <v>0</v>
      </c>
      <c r="AL871" s="17">
        <v>0</v>
      </c>
      <c r="AM871" s="17">
        <v>0</v>
      </c>
      <c r="AN871" s="17">
        <v>0</v>
      </c>
      <c r="AO871" s="18">
        <v>0</v>
      </c>
      <c r="AP871" s="17">
        <v>3</v>
      </c>
      <c r="AQ871" s="17">
        <v>11</v>
      </c>
      <c r="AR871" s="19">
        <v>465</v>
      </c>
      <c r="AS871" s="19">
        <v>595</v>
      </c>
    </row>
    <row r="872" spans="1:45" x14ac:dyDescent="0.25">
      <c r="A872">
        <v>345</v>
      </c>
      <c r="B872" s="11">
        <f t="shared" si="13"/>
        <v>62187</v>
      </c>
      <c r="C872" s="16">
        <v>621870</v>
      </c>
      <c r="D872" s="17">
        <v>0</v>
      </c>
      <c r="E872" s="17">
        <v>1</v>
      </c>
      <c r="F872" s="17">
        <v>38</v>
      </c>
      <c r="G872" s="17">
        <v>51</v>
      </c>
      <c r="H872" s="13" t="str" cm="1">
        <f t="array" ref="H872">_xlfn.IFS(G872&lt;=20,"0-20",G872&lt;=30,"20-30",G872&lt;=40,"30-40",G872&lt;=50,"50-60",G872&lt;=60,"60-70",G872&lt;=70,"70-80",G872&lt;=80,"80-90")</f>
        <v>60-70</v>
      </c>
      <c r="I872" s="17">
        <v>2258</v>
      </c>
      <c r="J872" s="13" t="str" cm="1">
        <f t="array" ref="J872">_xlfn.IFS(K872=1,"Divorciado",L872=1,"Casado",M872=1,"Solteiro",N872=1,"Juntos",O872=1,"Viuvo")</f>
        <v>Viuvo</v>
      </c>
      <c r="K872" s="17">
        <v>0</v>
      </c>
      <c r="L872" s="17">
        <v>0</v>
      </c>
      <c r="M872" s="17">
        <v>0</v>
      </c>
      <c r="N872" s="17">
        <v>0</v>
      </c>
      <c r="O872" s="17">
        <v>1</v>
      </c>
      <c r="P872" s="17">
        <v>0</v>
      </c>
      <c r="Q872" s="17">
        <v>0</v>
      </c>
      <c r="R872" s="17">
        <v>0</v>
      </c>
      <c r="S872" s="17">
        <v>0</v>
      </c>
      <c r="T872" s="17">
        <v>1</v>
      </c>
      <c r="U872" s="17">
        <v>512</v>
      </c>
      <c r="V872" s="13" t="str" cm="1">
        <f t="array" ref="V872">_xlfn.IFS(U872&lt;=250,"0-R$250",U872&lt;=500,"251-R$500",U872&lt;=750,"501-R$750",U872&lt;=1000,"751-R$1000",U872&lt;=1250,"1001-R$1250",U872&lt;=1500,"1251-R$1500")</f>
        <v>501-R$750</v>
      </c>
      <c r="W872" s="17">
        <v>0</v>
      </c>
      <c r="X872" s="13" t="str" cm="1">
        <f t="array" ref="X872">_xlfn.IFS(W872 = 0, "0", W872&lt;=20, "até R$20",W872&lt;=40, "21 - R$40",W872&lt;=60, "41- R$60",W872&lt;=80, "61 - R$80", W872&lt;=100, "81 - R$100",W872&lt;=120, "101 - R$120",W872&lt;=140, "121 - R$140", W872&lt;=160, "141- R$160", W872&lt;=180, "161 - R$180", W872&lt;=200, "181-R$194")</f>
        <v>0</v>
      </c>
      <c r="Y872" s="17">
        <v>83</v>
      </c>
      <c r="Z872" s="17">
        <v>0</v>
      </c>
      <c r="AA872" s="17">
        <v>0</v>
      </c>
      <c r="AB872" s="17">
        <v>41</v>
      </c>
      <c r="AC872" s="17">
        <v>3</v>
      </c>
      <c r="AD872" s="17">
        <v>6</v>
      </c>
      <c r="AE872" s="17">
        <v>2</v>
      </c>
      <c r="AF872" s="17">
        <v>10</v>
      </c>
      <c r="AG872" s="17">
        <v>4</v>
      </c>
      <c r="AH872" s="17">
        <v>0</v>
      </c>
      <c r="AI872" s="17">
        <v>0</v>
      </c>
      <c r="AJ872" s="17">
        <v>0</v>
      </c>
      <c r="AK872" s="17">
        <v>0</v>
      </c>
      <c r="AL872" s="17">
        <v>0</v>
      </c>
      <c r="AM872" s="17">
        <v>0</v>
      </c>
      <c r="AN872" s="17">
        <v>0</v>
      </c>
      <c r="AO872" s="18">
        <v>0</v>
      </c>
      <c r="AP872" s="17">
        <v>3</v>
      </c>
      <c r="AQ872" s="17">
        <v>11</v>
      </c>
      <c r="AR872" s="19">
        <v>554</v>
      </c>
      <c r="AS872" s="19">
        <v>595</v>
      </c>
    </row>
    <row r="873" spans="1:45" x14ac:dyDescent="0.25">
      <c r="A873">
        <v>1146</v>
      </c>
      <c r="B873" s="11">
        <f t="shared" si="13"/>
        <v>62710</v>
      </c>
      <c r="C873" s="12">
        <v>627100</v>
      </c>
      <c r="D873" s="13">
        <v>0</v>
      </c>
      <c r="E873" s="13">
        <v>1</v>
      </c>
      <c r="F873" s="13">
        <v>53</v>
      </c>
      <c r="G873" s="13">
        <v>48</v>
      </c>
      <c r="H873" s="13" t="str" cm="1">
        <f t="array" ref="H873">_xlfn.IFS(G873&lt;=20,"0-20",G873&lt;=30,"20-30",G873&lt;=40,"30-40",G873&lt;=50,"50-60",G873&lt;=60,"60-70",G873&lt;=70,"70-80",G873&lt;=80,"80-90")</f>
        <v>50-60</v>
      </c>
      <c r="I873" s="13">
        <v>2561</v>
      </c>
      <c r="J873" s="13" t="str" cm="1">
        <f t="array" ref="J873">_xlfn.IFS(K873=1,"Divorciado",L873=1,"Casado",M873=1,"Solteiro",N873=1,"Juntos",O873=1,"Viuvo")</f>
        <v>Casado</v>
      </c>
      <c r="K873" s="13">
        <v>0</v>
      </c>
      <c r="L873" s="13">
        <v>1</v>
      </c>
      <c r="M873" s="13">
        <v>0</v>
      </c>
      <c r="N873" s="13">
        <v>0</v>
      </c>
      <c r="O873" s="13">
        <v>0</v>
      </c>
      <c r="P873" s="13">
        <v>0</v>
      </c>
      <c r="Q873" s="13">
        <v>0</v>
      </c>
      <c r="R873" s="13">
        <v>1</v>
      </c>
      <c r="S873" s="13">
        <v>0</v>
      </c>
      <c r="T873" s="13">
        <v>0</v>
      </c>
      <c r="U873" s="13">
        <v>441</v>
      </c>
      <c r="V873" s="13" t="str" cm="1">
        <f t="array" ref="V873">_xlfn.IFS(U873&lt;=250,"0-R$250",U873&lt;=500,"251-R$500",U873&lt;=750,"501-R$750",U873&lt;=1000,"751-R$1000",U873&lt;=1250,"1001-R$1250",U873&lt;=1500,"1251-R$1500")</f>
        <v>251-R$500</v>
      </c>
      <c r="W873" s="13">
        <v>35</v>
      </c>
      <c r="X873" s="13" t="str" cm="1">
        <f t="array" ref="X873">_xlfn.IFS(W873 = 0, "0", W873&lt;=20, "até R$20",W873&lt;=40, "21 - R$40",W873&lt;=60, "41- R$60",W873&lt;=80, "61 - R$80", W873&lt;=100, "81 - R$100",W873&lt;=120, "101 - R$120",W873&lt;=140, "121 - R$140", W873&lt;=160, "141- R$160", W873&lt;=180, "161 - R$180", W873&lt;=200, "181-R$194")</f>
        <v>21 - R$40</v>
      </c>
      <c r="Y873" s="13">
        <v>83</v>
      </c>
      <c r="Z873" s="13">
        <v>7</v>
      </c>
      <c r="AA873" s="13">
        <v>29</v>
      </c>
      <c r="AB873" s="13">
        <v>11</v>
      </c>
      <c r="AC873" s="13">
        <v>4</v>
      </c>
      <c r="AD873" s="13">
        <v>4</v>
      </c>
      <c r="AE873" s="13">
        <v>2</v>
      </c>
      <c r="AF873" s="13">
        <v>12</v>
      </c>
      <c r="AG873" s="13">
        <v>4</v>
      </c>
      <c r="AH873" s="13">
        <v>0</v>
      </c>
      <c r="AI873" s="13">
        <v>0</v>
      </c>
      <c r="AJ873" s="13">
        <v>0</v>
      </c>
      <c r="AK873" s="13">
        <v>0</v>
      </c>
      <c r="AL873" s="13">
        <v>0</v>
      </c>
      <c r="AM873" s="13">
        <v>0</v>
      </c>
      <c r="AN873" s="13">
        <v>0</v>
      </c>
      <c r="AO873" s="14">
        <v>0</v>
      </c>
      <c r="AP873" s="13">
        <v>3</v>
      </c>
      <c r="AQ873" s="13">
        <v>11</v>
      </c>
      <c r="AR873" s="15">
        <v>584</v>
      </c>
      <c r="AS873" s="15">
        <v>595</v>
      </c>
    </row>
    <row r="874" spans="1:45" x14ac:dyDescent="0.25">
      <c r="A874">
        <v>1469</v>
      </c>
      <c r="B874" s="11">
        <f t="shared" si="13"/>
        <v>57867</v>
      </c>
      <c r="C874" s="16">
        <v>578670</v>
      </c>
      <c r="D874" s="17">
        <v>1</v>
      </c>
      <c r="E874" s="17">
        <v>0</v>
      </c>
      <c r="F874" s="17">
        <v>48</v>
      </c>
      <c r="G874" s="17">
        <v>42</v>
      </c>
      <c r="H874" s="13" t="str" cm="1">
        <f t="array" ref="H874">_xlfn.IFS(G874&lt;=20,"0-20",G874&lt;=30,"20-30",G874&lt;=40,"30-40",G874&lt;=50,"50-60",G874&lt;=60,"60-70",G874&lt;=70,"70-80",G874&lt;=80,"80-90")</f>
        <v>50-60</v>
      </c>
      <c r="I874" s="17">
        <v>2430</v>
      </c>
      <c r="J874" s="13" t="str" cm="1">
        <f t="array" ref="J874">_xlfn.IFS(K874=1,"Divorciado",L874=1,"Casado",M874=1,"Solteiro",N874=1,"Juntos",O874=1,"Viuvo")</f>
        <v>Juntos</v>
      </c>
      <c r="K874" s="17">
        <v>0</v>
      </c>
      <c r="L874" s="17">
        <v>0</v>
      </c>
      <c r="M874" s="17">
        <v>0</v>
      </c>
      <c r="N874" s="17">
        <v>1</v>
      </c>
      <c r="O874" s="17">
        <v>0</v>
      </c>
      <c r="P874" s="17">
        <v>0</v>
      </c>
      <c r="Q874" s="17">
        <v>0</v>
      </c>
      <c r="R874" s="17">
        <v>1</v>
      </c>
      <c r="S874" s="17">
        <v>0</v>
      </c>
      <c r="T874" s="17">
        <v>0</v>
      </c>
      <c r="U874" s="17">
        <v>344</v>
      </c>
      <c r="V874" s="13" t="str" cm="1">
        <f t="array" ref="V874">_xlfn.IFS(U874&lt;=250,"0-R$250",U874&lt;=500,"251-R$500",U874&lt;=750,"501-R$750",U874&lt;=1000,"751-R$1000",U874&lt;=1250,"1001-R$1250",U874&lt;=1500,"1251-R$1500")</f>
        <v>251-R$500</v>
      </c>
      <c r="W874" s="17">
        <v>35</v>
      </c>
      <c r="X874" s="13" t="str" cm="1">
        <f t="array" ref="X874">_xlfn.IFS(W874 = 0, "0", W874&lt;=20, "até R$20",W874&lt;=40, "21 - R$40",W874&lt;=60, "41- R$60",W874&lt;=80, "61 - R$80", W874&lt;=100, "81 - R$100",W874&lt;=120, "101 - R$120",W874&lt;=140, "121 - R$140", W874&lt;=160, "141- R$160", W874&lt;=180, "161 - R$180", W874&lt;=200, "181-R$194")</f>
        <v>21 - R$40</v>
      </c>
      <c r="Y874" s="17">
        <v>178</v>
      </c>
      <c r="Z874" s="17">
        <v>15</v>
      </c>
      <c r="AA874" s="17">
        <v>23</v>
      </c>
      <c r="AB874" s="17">
        <v>17</v>
      </c>
      <c r="AC874" s="17">
        <v>7</v>
      </c>
      <c r="AD874" s="17">
        <v>7</v>
      </c>
      <c r="AE874" s="17">
        <v>2</v>
      </c>
      <c r="AF874" s="17">
        <v>9</v>
      </c>
      <c r="AG874" s="17">
        <v>6</v>
      </c>
      <c r="AH874" s="17">
        <v>0</v>
      </c>
      <c r="AI874" s="17">
        <v>0</v>
      </c>
      <c r="AJ874" s="17">
        <v>0</v>
      </c>
      <c r="AK874" s="17">
        <v>0</v>
      </c>
      <c r="AL874" s="17">
        <v>0</v>
      </c>
      <c r="AM874" s="17">
        <v>0</v>
      </c>
      <c r="AN874" s="17">
        <v>0</v>
      </c>
      <c r="AO874" s="18">
        <v>0</v>
      </c>
      <c r="AP874" s="17">
        <v>3</v>
      </c>
      <c r="AQ874" s="17">
        <v>11</v>
      </c>
      <c r="AR874" s="19">
        <v>578</v>
      </c>
      <c r="AS874" s="19">
        <v>595</v>
      </c>
    </row>
    <row r="875" spans="1:45" x14ac:dyDescent="0.25">
      <c r="A875">
        <v>225</v>
      </c>
      <c r="B875" s="11">
        <f t="shared" si="13"/>
        <v>79761</v>
      </c>
      <c r="C875" s="16">
        <v>797610</v>
      </c>
      <c r="D875" s="17">
        <v>0</v>
      </c>
      <c r="E875" s="17">
        <v>1</v>
      </c>
      <c r="F875" s="17">
        <v>32</v>
      </c>
      <c r="G875" s="17">
        <v>62</v>
      </c>
      <c r="H875" s="13" t="str" cm="1">
        <f t="array" ref="H875">_xlfn.IFS(G875&lt;=20,"0-20",G875&lt;=30,"20-30",G875&lt;=40,"30-40",G875&lt;=50,"50-60",G875&lt;=60,"60-70",G875&lt;=70,"70-80",G875&lt;=80,"80-90")</f>
        <v>70-80</v>
      </c>
      <c r="I875" s="17">
        <v>2427</v>
      </c>
      <c r="J875" s="13" t="str" cm="1">
        <f t="array" ref="J875">_xlfn.IFS(K875=1,"Divorciado",L875=1,"Casado",M875=1,"Solteiro",N875=1,"Juntos",O875=1,"Viuvo")</f>
        <v>Solteiro</v>
      </c>
      <c r="K875" s="17">
        <v>0</v>
      </c>
      <c r="L875" s="17">
        <v>0</v>
      </c>
      <c r="M875" s="17">
        <v>1</v>
      </c>
      <c r="N875" s="17">
        <v>0</v>
      </c>
      <c r="O875" s="17">
        <v>0</v>
      </c>
      <c r="P875" s="17">
        <v>0</v>
      </c>
      <c r="Q875" s="17">
        <v>0</v>
      </c>
      <c r="R875" s="17">
        <v>0</v>
      </c>
      <c r="S875" s="17">
        <v>0</v>
      </c>
      <c r="T875" s="17">
        <v>1</v>
      </c>
      <c r="U875" s="17">
        <v>415</v>
      </c>
      <c r="V875" s="13" t="str" cm="1">
        <f t="array" ref="V875">_xlfn.IFS(U875&lt;=250,"0-R$250",U875&lt;=500,"251-R$500",U875&lt;=750,"501-R$750",U875&lt;=1000,"751-R$1000",U875&lt;=1250,"1001-R$1250",U875&lt;=1500,"1251-R$1500")</f>
        <v>251-R$500</v>
      </c>
      <c r="W875" s="17">
        <v>5</v>
      </c>
      <c r="X875" s="13" t="str" cm="1">
        <f t="array" ref="X875">_xlfn.IFS(W875 = 0, "0", W875&lt;=20, "até R$20",W875&lt;=40, "21 - R$40",W875&lt;=60, "41- R$60",W875&lt;=80, "61 - R$80", W875&lt;=100, "81 - R$100",W875&lt;=120, "101 - R$120",W875&lt;=140, "121 - R$140", W875&lt;=160, "141- R$160", W875&lt;=180, "161 - R$180", W875&lt;=200, "181-R$194")</f>
        <v>até R$20</v>
      </c>
      <c r="Y875" s="17">
        <v>124</v>
      </c>
      <c r="Z875" s="17">
        <v>15</v>
      </c>
      <c r="AA875" s="17">
        <v>35</v>
      </c>
      <c r="AB875" s="17">
        <v>11</v>
      </c>
      <c r="AC875" s="17">
        <v>1</v>
      </c>
      <c r="AD875" s="17">
        <v>5</v>
      </c>
      <c r="AE875" s="17">
        <v>2</v>
      </c>
      <c r="AF875" s="17">
        <v>11</v>
      </c>
      <c r="AG875" s="17">
        <v>3</v>
      </c>
      <c r="AH875" s="17">
        <v>0</v>
      </c>
      <c r="AI875" s="17">
        <v>0</v>
      </c>
      <c r="AJ875" s="17">
        <v>0</v>
      </c>
      <c r="AK875" s="17">
        <v>0</v>
      </c>
      <c r="AL875" s="17">
        <v>0</v>
      </c>
      <c r="AM875" s="17">
        <v>0</v>
      </c>
      <c r="AN875" s="17">
        <v>0</v>
      </c>
      <c r="AO875" s="18">
        <v>0</v>
      </c>
      <c r="AP875" s="17">
        <v>3</v>
      </c>
      <c r="AQ875" s="17">
        <v>11</v>
      </c>
      <c r="AR875" s="19">
        <v>583</v>
      </c>
      <c r="AS875" s="19">
        <v>594</v>
      </c>
    </row>
    <row r="876" spans="1:45" x14ac:dyDescent="0.25">
      <c r="A876">
        <v>642</v>
      </c>
      <c r="B876" s="11">
        <f t="shared" si="13"/>
        <v>56253</v>
      </c>
      <c r="C876" s="12">
        <v>562530</v>
      </c>
      <c r="D876" s="13">
        <v>0</v>
      </c>
      <c r="E876" s="13">
        <v>1</v>
      </c>
      <c r="F876" s="13">
        <v>83</v>
      </c>
      <c r="G876" s="13">
        <v>57</v>
      </c>
      <c r="H876" s="13" t="str" cm="1">
        <f t="array" ref="H876">_xlfn.IFS(G876&lt;=20,"0-20",G876&lt;=30,"20-30",G876&lt;=40,"30-40",G876&lt;=50,"50-60",G876&lt;=60,"60-70",G876&lt;=70,"70-80",G876&lt;=80,"80-90")</f>
        <v>60-70</v>
      </c>
      <c r="I876" s="13">
        <v>2728</v>
      </c>
      <c r="J876" s="13" t="str" cm="1">
        <f t="array" ref="J876">_xlfn.IFS(K876=1,"Divorciado",L876=1,"Casado",M876=1,"Solteiro",N876=1,"Juntos",O876=1,"Viuvo")</f>
        <v>Juntos</v>
      </c>
      <c r="K876" s="13">
        <v>0</v>
      </c>
      <c r="L876" s="13">
        <v>0</v>
      </c>
      <c r="M876" s="13">
        <v>0</v>
      </c>
      <c r="N876" s="13">
        <v>1</v>
      </c>
      <c r="O876" s="13">
        <v>0</v>
      </c>
      <c r="P876" s="13">
        <v>0</v>
      </c>
      <c r="Q876" s="13">
        <v>0</v>
      </c>
      <c r="R876" s="13">
        <v>1</v>
      </c>
      <c r="S876" s="13">
        <v>0</v>
      </c>
      <c r="T876" s="13">
        <v>0</v>
      </c>
      <c r="U876" s="13">
        <v>509</v>
      </c>
      <c r="V876" s="13" t="str" cm="1">
        <f t="array" ref="V876">_xlfn.IFS(U876&lt;=250,"0-R$250",U876&lt;=500,"251-R$500",U876&lt;=750,"501-R$750",U876&lt;=1000,"751-R$1000",U876&lt;=1250,"1001-R$1250",U876&lt;=1500,"1251-R$1500")</f>
        <v>501-R$750</v>
      </c>
      <c r="W876" s="13">
        <v>0</v>
      </c>
      <c r="X876" s="13" t="str" cm="1">
        <f t="array" ref="X876">_xlfn.IFS(W876 = 0, "0", W876&lt;=20, "até R$20",W876&lt;=40, "21 - R$40",W876&lt;=60, "41- R$60",W876&lt;=80, "61 - R$80", W876&lt;=100, "81 - R$100",W876&lt;=120, "101 - R$120",W876&lt;=140, "121 - R$140", W876&lt;=160, "141- R$160", W876&lt;=180, "161 - R$180", W876&lt;=200, "181-R$194")</f>
        <v>0</v>
      </c>
      <c r="Y876" s="13">
        <v>65</v>
      </c>
      <c r="Z876" s="13">
        <v>7</v>
      </c>
      <c r="AA876" s="13">
        <v>11</v>
      </c>
      <c r="AB876" s="13">
        <v>5</v>
      </c>
      <c r="AC876" s="13">
        <v>4</v>
      </c>
      <c r="AD876" s="13">
        <v>7</v>
      </c>
      <c r="AE876" s="13">
        <v>2</v>
      </c>
      <c r="AF876" s="13">
        <v>9</v>
      </c>
      <c r="AG876" s="13">
        <v>6</v>
      </c>
      <c r="AH876" s="13">
        <v>0</v>
      </c>
      <c r="AI876" s="13">
        <v>0</v>
      </c>
      <c r="AJ876" s="13">
        <v>0</v>
      </c>
      <c r="AK876" s="13">
        <v>0</v>
      </c>
      <c r="AL876" s="13">
        <v>0</v>
      </c>
      <c r="AM876" s="13">
        <v>0</v>
      </c>
      <c r="AN876" s="13">
        <v>0</v>
      </c>
      <c r="AO876" s="14">
        <v>0</v>
      </c>
      <c r="AP876" s="13">
        <v>3</v>
      </c>
      <c r="AQ876" s="13">
        <v>11</v>
      </c>
      <c r="AR876" s="15">
        <v>587</v>
      </c>
      <c r="AS876" s="15">
        <v>592</v>
      </c>
    </row>
    <row r="877" spans="1:45" x14ac:dyDescent="0.25">
      <c r="A877">
        <v>122</v>
      </c>
      <c r="B877" s="11">
        <f t="shared" si="13"/>
        <v>61331</v>
      </c>
      <c r="C877" s="12">
        <v>613310</v>
      </c>
      <c r="D877" s="13">
        <v>1</v>
      </c>
      <c r="E877" s="13">
        <v>1</v>
      </c>
      <c r="F877" s="13">
        <v>42</v>
      </c>
      <c r="G877" s="13">
        <v>62</v>
      </c>
      <c r="H877" s="13" t="str" cm="1">
        <f t="array" ref="H877">_xlfn.IFS(G877&lt;=20,"0-20",G877&lt;=30,"20-30",G877&lt;=40,"30-40",G877&lt;=50,"50-60",G877&lt;=60,"60-70",G877&lt;=70,"70-80",G877&lt;=80,"80-90")</f>
        <v>70-80</v>
      </c>
      <c r="I877" s="13">
        <v>2635</v>
      </c>
      <c r="J877" s="13" t="str" cm="1">
        <f t="array" ref="J877">_xlfn.IFS(K877=1,"Divorciado",L877=1,"Casado",M877=1,"Solteiro",N877=1,"Juntos",O877=1,"Viuvo")</f>
        <v>Solteiro</v>
      </c>
      <c r="K877" s="13">
        <v>0</v>
      </c>
      <c r="L877" s="13">
        <v>0</v>
      </c>
      <c r="M877" s="13">
        <v>1</v>
      </c>
      <c r="N877" s="13">
        <v>0</v>
      </c>
      <c r="O877" s="13">
        <v>0</v>
      </c>
      <c r="P877" s="13">
        <v>0</v>
      </c>
      <c r="Q877" s="13">
        <v>0</v>
      </c>
      <c r="R877" s="13">
        <v>0</v>
      </c>
      <c r="S877" s="13">
        <v>1</v>
      </c>
      <c r="T877" s="13">
        <v>0</v>
      </c>
      <c r="U877" s="13">
        <v>534</v>
      </c>
      <c r="V877" s="13" t="str" cm="1">
        <f t="array" ref="V877">_xlfn.IFS(U877&lt;=250,"0-R$250",U877&lt;=500,"251-R$500",U877&lt;=750,"501-R$750",U877&lt;=1000,"751-R$1000",U877&lt;=1250,"1001-R$1250",U877&lt;=1500,"1251-R$1500")</f>
        <v>501-R$750</v>
      </c>
      <c r="W877" s="13">
        <v>5</v>
      </c>
      <c r="X877" s="13" t="str" cm="1">
        <f t="array" ref="X877">_xlfn.IFS(W877 = 0, "0", W877&lt;=20, "até R$20",W877&lt;=40, "21 - R$40",W877&lt;=60, "41- R$60",W877&lt;=80, "61 - R$80", W877&lt;=100, "81 - R$100",W877&lt;=120, "101 - R$120",W877&lt;=140, "121 - R$140", W877&lt;=160, "141- R$160", W877&lt;=180, "161 - R$180", W877&lt;=200, "181-R$194")</f>
        <v>até R$20</v>
      </c>
      <c r="Y877" s="13">
        <v>47</v>
      </c>
      <c r="Z877" s="13">
        <v>0</v>
      </c>
      <c r="AA877" s="13">
        <v>5</v>
      </c>
      <c r="AB877" s="13">
        <v>41</v>
      </c>
      <c r="AC877" s="13">
        <v>5</v>
      </c>
      <c r="AD877" s="13">
        <v>11</v>
      </c>
      <c r="AE877" s="13">
        <v>1</v>
      </c>
      <c r="AF877" s="13">
        <v>6</v>
      </c>
      <c r="AG877" s="13">
        <v>8</v>
      </c>
      <c r="AH877" s="13">
        <v>0</v>
      </c>
      <c r="AI877" s="13">
        <v>0</v>
      </c>
      <c r="AJ877" s="13">
        <v>0</v>
      </c>
      <c r="AK877" s="13">
        <v>0</v>
      </c>
      <c r="AL877" s="13">
        <v>0</v>
      </c>
      <c r="AM877" s="13">
        <v>0</v>
      </c>
      <c r="AN877" s="13">
        <v>0</v>
      </c>
      <c r="AO877" s="14">
        <v>0</v>
      </c>
      <c r="AP877" s="13">
        <v>3</v>
      </c>
      <c r="AQ877" s="13">
        <v>11</v>
      </c>
      <c r="AR877" s="15">
        <v>550</v>
      </c>
      <c r="AS877" s="15">
        <v>591</v>
      </c>
    </row>
    <row r="878" spans="1:45" x14ac:dyDescent="0.25">
      <c r="A878">
        <v>682</v>
      </c>
      <c r="B878" s="11">
        <f t="shared" si="13"/>
        <v>71427</v>
      </c>
      <c r="C878" s="12">
        <v>714270</v>
      </c>
      <c r="D878" s="13">
        <v>2</v>
      </c>
      <c r="E878" s="13">
        <v>0</v>
      </c>
      <c r="F878" s="13">
        <v>26</v>
      </c>
      <c r="G878" s="13">
        <v>42</v>
      </c>
      <c r="H878" s="13" t="str" cm="1">
        <f t="array" ref="H878">_xlfn.IFS(G878&lt;=20,"0-20",G878&lt;=30,"20-30",G878&lt;=40,"30-40",G878&lt;=50,"50-60",G878&lt;=60,"60-70",G878&lt;=70,"70-80",G878&lt;=80,"80-90")</f>
        <v>50-60</v>
      </c>
      <c r="I878" s="13">
        <v>2268</v>
      </c>
      <c r="J878" s="13" t="str" cm="1">
        <f t="array" ref="J878">_xlfn.IFS(K878=1,"Divorciado",L878=1,"Casado",M878=1,"Solteiro",N878=1,"Juntos",O878=1,"Viuvo")</f>
        <v>Casado</v>
      </c>
      <c r="K878" s="13">
        <v>0</v>
      </c>
      <c r="L878" s="13">
        <v>1</v>
      </c>
      <c r="M878" s="13">
        <v>0</v>
      </c>
      <c r="N878" s="13">
        <v>0</v>
      </c>
      <c r="O878" s="13">
        <v>0</v>
      </c>
      <c r="P878" s="13">
        <v>0</v>
      </c>
      <c r="Q878" s="13">
        <v>0</v>
      </c>
      <c r="R878" s="13">
        <v>1</v>
      </c>
      <c r="S878" s="13">
        <v>0</v>
      </c>
      <c r="T878" s="13">
        <v>0</v>
      </c>
      <c r="U878" s="13">
        <v>212</v>
      </c>
      <c r="V878" s="13" t="str" cm="1">
        <f t="array" ref="V878">_xlfn.IFS(U878&lt;=250,"0-R$250",U878&lt;=500,"251-R$500",U878&lt;=750,"501-R$750",U878&lt;=1000,"751-R$1000",U878&lt;=1250,"1001-R$1250",U878&lt;=1500,"1251-R$1500")</f>
        <v>0-R$250</v>
      </c>
      <c r="W878" s="13">
        <v>123</v>
      </c>
      <c r="X878" s="13" t="str" cm="1">
        <f t="array" ref="X878">_xlfn.IFS(W878 = 0, "0", W878&lt;=20, "até R$20",W878&lt;=40, "21 - R$40",W878&lt;=60, "41- R$60",W878&lt;=80, "61 - R$80", W878&lt;=100, "81 - R$100",W878&lt;=120, "101 - R$120",W878&lt;=140, "121 - R$140", W878&lt;=160, "141- R$160", W878&lt;=180, "161 - R$180", W878&lt;=200, "181-R$194")</f>
        <v>121 - R$140</v>
      </c>
      <c r="Y878" s="13">
        <v>177</v>
      </c>
      <c r="Z878" s="13">
        <v>15</v>
      </c>
      <c r="AA878" s="13">
        <v>64</v>
      </c>
      <c r="AB878" s="13">
        <v>23</v>
      </c>
      <c r="AC878" s="13">
        <v>2</v>
      </c>
      <c r="AD878" s="13">
        <v>8</v>
      </c>
      <c r="AE878" s="13">
        <v>2</v>
      </c>
      <c r="AF878" s="13">
        <v>8</v>
      </c>
      <c r="AG878" s="13">
        <v>4</v>
      </c>
      <c r="AH878" s="13">
        <v>0</v>
      </c>
      <c r="AI878" s="13">
        <v>0</v>
      </c>
      <c r="AJ878" s="13">
        <v>0</v>
      </c>
      <c r="AK878" s="13">
        <v>0</v>
      </c>
      <c r="AL878" s="13">
        <v>0</v>
      </c>
      <c r="AM878" s="13">
        <v>0</v>
      </c>
      <c r="AN878" s="13">
        <v>0</v>
      </c>
      <c r="AO878" s="14">
        <v>0</v>
      </c>
      <c r="AP878" s="13">
        <v>3</v>
      </c>
      <c r="AQ878" s="13">
        <v>11</v>
      </c>
      <c r="AR878" s="15">
        <v>568</v>
      </c>
      <c r="AS878" s="15">
        <v>591</v>
      </c>
    </row>
    <row r="879" spans="1:45" x14ac:dyDescent="0.25">
      <c r="A879">
        <v>820</v>
      </c>
      <c r="B879" s="11">
        <f t="shared" si="13"/>
        <v>56628</v>
      </c>
      <c r="C879" s="12">
        <v>566280</v>
      </c>
      <c r="D879" s="13">
        <v>0</v>
      </c>
      <c r="E879" s="13">
        <v>1</v>
      </c>
      <c r="F879" s="13">
        <v>30</v>
      </c>
      <c r="G879" s="13">
        <v>43</v>
      </c>
      <c r="H879" s="13" t="str" cm="1">
        <f t="array" ref="H879">_xlfn.IFS(G879&lt;=20,"0-20",G879&lt;=30,"20-30",G879&lt;=40,"30-40",G879&lt;=50,"50-60",G879&lt;=60,"60-70",G879&lt;=70,"70-80",G879&lt;=80,"80-90")</f>
        <v>50-60</v>
      </c>
      <c r="I879" s="13">
        <v>2259</v>
      </c>
      <c r="J879" s="13" t="str" cm="1">
        <f t="array" ref="J879">_xlfn.IFS(K879=1,"Divorciado",L879=1,"Casado",M879=1,"Solteiro",N879=1,"Juntos",O879=1,"Viuvo")</f>
        <v>Solteiro</v>
      </c>
      <c r="K879" s="13">
        <v>0</v>
      </c>
      <c r="L879" s="13">
        <v>0</v>
      </c>
      <c r="M879" s="13">
        <v>1</v>
      </c>
      <c r="N879" s="13">
        <v>0</v>
      </c>
      <c r="O879" s="13">
        <v>0</v>
      </c>
      <c r="P879" s="13">
        <v>0</v>
      </c>
      <c r="Q879" s="13">
        <v>0</v>
      </c>
      <c r="R879" s="13">
        <v>1</v>
      </c>
      <c r="S879" s="13">
        <v>0</v>
      </c>
      <c r="T879" s="13">
        <v>0</v>
      </c>
      <c r="U879" s="13">
        <v>479</v>
      </c>
      <c r="V879" s="13" t="str" cm="1">
        <f t="array" ref="V879">_xlfn.IFS(U879&lt;=250,"0-R$250",U879&lt;=500,"251-R$500",U879&lt;=750,"501-R$750",U879&lt;=1000,"751-R$1000",U879&lt;=1250,"1001-R$1250",U879&lt;=1500,"1251-R$1500")</f>
        <v>251-R$500</v>
      </c>
      <c r="W879" s="13">
        <v>5</v>
      </c>
      <c r="X879" s="13" t="str" cm="1">
        <f t="array" ref="X879">_xlfn.IFS(W879 = 0, "0", W879&lt;=20, "até R$20",W879&lt;=40, "21 - R$40",W879&lt;=60, "41- R$60",W879&lt;=80, "61 - R$80", W879&lt;=100, "81 - R$100",W879&lt;=120, "101 - R$120",W879&lt;=140, "121 - R$140", W879&lt;=160, "141- R$160", W879&lt;=180, "161 - R$180", W879&lt;=200, "181-R$194")</f>
        <v>até R$20</v>
      </c>
      <c r="Y879" s="13">
        <v>82</v>
      </c>
      <c r="Z879" s="13">
        <v>7</v>
      </c>
      <c r="AA879" s="13">
        <v>17</v>
      </c>
      <c r="AB879" s="13">
        <v>171</v>
      </c>
      <c r="AC879" s="13">
        <v>2</v>
      </c>
      <c r="AD879" s="13">
        <v>7</v>
      </c>
      <c r="AE879" s="13">
        <v>6</v>
      </c>
      <c r="AF879" s="13">
        <v>5</v>
      </c>
      <c r="AG879" s="13">
        <v>5</v>
      </c>
      <c r="AH879" s="13">
        <v>0</v>
      </c>
      <c r="AI879" s="13">
        <v>1</v>
      </c>
      <c r="AJ879" s="13">
        <v>0</v>
      </c>
      <c r="AK879" s="13">
        <v>0</v>
      </c>
      <c r="AL879" s="13">
        <v>0</v>
      </c>
      <c r="AM879" s="13">
        <v>0</v>
      </c>
      <c r="AN879" s="13">
        <v>0</v>
      </c>
      <c r="AO879" s="14">
        <v>1</v>
      </c>
      <c r="AP879" s="13">
        <v>3</v>
      </c>
      <c r="AQ879" s="13">
        <v>11</v>
      </c>
      <c r="AR879" s="15">
        <v>419</v>
      </c>
      <c r="AS879" s="15">
        <v>590</v>
      </c>
    </row>
    <row r="880" spans="1:45" x14ac:dyDescent="0.25">
      <c r="A880">
        <v>309</v>
      </c>
      <c r="B880" s="11">
        <f t="shared" si="13"/>
        <v>40464</v>
      </c>
      <c r="C880" s="16">
        <v>404640</v>
      </c>
      <c r="D880" s="17">
        <v>0</v>
      </c>
      <c r="E880" s="17">
        <v>1</v>
      </c>
      <c r="F880" s="17">
        <v>78</v>
      </c>
      <c r="G880" s="17">
        <v>67</v>
      </c>
      <c r="H880" s="13" t="str" cm="1">
        <f t="array" ref="H880">_xlfn.IFS(G880&lt;=20,"0-20",G880&lt;=30,"20-30",G880&lt;=40,"30-40",G880&lt;=50,"50-60",G880&lt;=60,"60-70",G880&lt;=70,"70-80",G880&lt;=80,"80-90")</f>
        <v>70-80</v>
      </c>
      <c r="I880" s="17">
        <v>2693</v>
      </c>
      <c r="J880" s="13" t="str" cm="1">
        <f t="array" ref="J880">_xlfn.IFS(K880=1,"Divorciado",L880=1,"Casado",M880=1,"Solteiro",N880=1,"Juntos",O880=1,"Viuvo")</f>
        <v>Solteiro</v>
      </c>
      <c r="K880" s="17">
        <v>0</v>
      </c>
      <c r="L880" s="17">
        <v>0</v>
      </c>
      <c r="M880" s="17">
        <v>1</v>
      </c>
      <c r="N880" s="17">
        <v>0</v>
      </c>
      <c r="O880" s="17">
        <v>0</v>
      </c>
      <c r="P880" s="17">
        <v>0</v>
      </c>
      <c r="Q880" s="17">
        <v>0</v>
      </c>
      <c r="R880" s="17">
        <v>1</v>
      </c>
      <c r="S880" s="17">
        <v>0</v>
      </c>
      <c r="T880" s="17">
        <v>0</v>
      </c>
      <c r="U880" s="17">
        <v>424</v>
      </c>
      <c r="V880" s="13" t="str" cm="1">
        <f t="array" ref="V880">_xlfn.IFS(U880&lt;=250,"0-R$250",U880&lt;=500,"251-R$500",U880&lt;=750,"501-R$750",U880&lt;=1000,"751-R$1000",U880&lt;=1250,"1001-R$1250",U880&lt;=1500,"1251-R$1500")</f>
        <v>251-R$500</v>
      </c>
      <c r="W880" s="17">
        <v>17</v>
      </c>
      <c r="X880" s="13" t="str" cm="1">
        <f t="array" ref="X880">_xlfn.IFS(W880 = 0, "0", W880&lt;=20, "até R$20",W880&lt;=40, "21 - R$40",W880&lt;=60, "41- R$60",W880&lt;=80, "61 - R$80", W880&lt;=100, "81 - R$100",W880&lt;=120, "101 - R$120",W880&lt;=140, "121 - R$140", W880&lt;=160, "141- R$160", W880&lt;=180, "161 - R$180", W880&lt;=200, "181-R$194")</f>
        <v>até R$20</v>
      </c>
      <c r="Y880" s="17">
        <v>118</v>
      </c>
      <c r="Z880" s="17">
        <v>7</v>
      </c>
      <c r="AA880" s="17">
        <v>23</v>
      </c>
      <c r="AB880" s="17">
        <v>41</v>
      </c>
      <c r="AC880" s="17">
        <v>6</v>
      </c>
      <c r="AD880" s="17">
        <v>8</v>
      </c>
      <c r="AE880" s="17">
        <v>2</v>
      </c>
      <c r="AF880" s="17">
        <v>8</v>
      </c>
      <c r="AG880" s="17">
        <v>8</v>
      </c>
      <c r="AH880" s="17">
        <v>0</v>
      </c>
      <c r="AI880" s="17">
        <v>0</v>
      </c>
      <c r="AJ880" s="17">
        <v>0</v>
      </c>
      <c r="AK880" s="17">
        <v>0</v>
      </c>
      <c r="AL880" s="17">
        <v>0</v>
      </c>
      <c r="AM880" s="17">
        <v>0</v>
      </c>
      <c r="AN880" s="17">
        <v>0</v>
      </c>
      <c r="AO880" s="18">
        <v>0</v>
      </c>
      <c r="AP880" s="17">
        <v>3</v>
      </c>
      <c r="AQ880" s="17">
        <v>11</v>
      </c>
      <c r="AR880" s="19">
        <v>548</v>
      </c>
      <c r="AS880" s="19">
        <v>589</v>
      </c>
    </row>
    <row r="881" spans="1:45" x14ac:dyDescent="0.25">
      <c r="A881">
        <v>1665</v>
      </c>
      <c r="B881" s="11">
        <f t="shared" si="13"/>
        <v>49090</v>
      </c>
      <c r="C881" s="16">
        <v>490900</v>
      </c>
      <c r="D881" s="17">
        <v>0</v>
      </c>
      <c r="E881" s="17">
        <v>1</v>
      </c>
      <c r="F881" s="17">
        <v>45</v>
      </c>
      <c r="G881" s="17">
        <v>69</v>
      </c>
      <c r="H881" s="13" t="str" cm="1">
        <f t="array" ref="H881">_xlfn.IFS(G881&lt;=20,"0-20",G881&lt;=30,"20-30",G881&lt;=40,"30-40",G881&lt;=50,"50-60",G881&lt;=60,"60-70",G881&lt;=70,"70-80",G881&lt;=80,"80-90")</f>
        <v>70-80</v>
      </c>
      <c r="I881" s="17">
        <v>2504</v>
      </c>
      <c r="J881" s="13" t="str" cm="1">
        <f t="array" ref="J881">_xlfn.IFS(K881=1,"Divorciado",L881=1,"Casado",M881=1,"Solteiro",N881=1,"Juntos",O881=1,"Viuvo")</f>
        <v>Solteiro</v>
      </c>
      <c r="K881" s="17">
        <v>0</v>
      </c>
      <c r="L881" s="17">
        <v>0</v>
      </c>
      <c r="M881" s="17">
        <v>1</v>
      </c>
      <c r="N881" s="17">
        <v>0</v>
      </c>
      <c r="O881" s="17">
        <v>0</v>
      </c>
      <c r="P881" s="17">
        <v>0</v>
      </c>
      <c r="Q881" s="17">
        <v>0</v>
      </c>
      <c r="R881" s="17">
        <v>1</v>
      </c>
      <c r="S881" s="17">
        <v>0</v>
      </c>
      <c r="T881" s="17">
        <v>0</v>
      </c>
      <c r="U881" s="17">
        <v>494</v>
      </c>
      <c r="V881" s="13" t="str" cm="1">
        <f t="array" ref="V881">_xlfn.IFS(U881&lt;=250,"0-R$250",U881&lt;=500,"251-R$500",U881&lt;=750,"501-R$750",U881&lt;=1000,"751-R$1000",U881&lt;=1250,"1001-R$1250",U881&lt;=1500,"1251-R$1500")</f>
        <v>251-R$500</v>
      </c>
      <c r="W881" s="17">
        <v>5</v>
      </c>
      <c r="X881" s="13" t="str" cm="1">
        <f t="array" ref="X881">_xlfn.IFS(W881 = 0, "0", W881&lt;=20, "até R$20",W881&lt;=40, "21 - R$40",W881&lt;=60, "41- R$60",W881&lt;=80, "61 - R$80", W881&lt;=100, "81 - R$100",W881&lt;=120, "101 - R$120",W881&lt;=140, "121 - R$140", W881&lt;=160, "141- R$160", W881&lt;=180, "161 - R$180", W881&lt;=200, "181-R$194")</f>
        <v>até R$20</v>
      </c>
      <c r="Y881" s="17">
        <v>82</v>
      </c>
      <c r="Z881" s="17">
        <v>7</v>
      </c>
      <c r="AA881" s="17">
        <v>0</v>
      </c>
      <c r="AB881" s="17">
        <v>100</v>
      </c>
      <c r="AC881" s="17">
        <v>3</v>
      </c>
      <c r="AD881" s="17">
        <v>7</v>
      </c>
      <c r="AE881" s="17">
        <v>2</v>
      </c>
      <c r="AF881" s="17">
        <v>9</v>
      </c>
      <c r="AG881" s="17">
        <v>7</v>
      </c>
      <c r="AH881" s="17">
        <v>0</v>
      </c>
      <c r="AI881" s="17">
        <v>0</v>
      </c>
      <c r="AJ881" s="17">
        <v>0</v>
      </c>
      <c r="AK881" s="17">
        <v>0</v>
      </c>
      <c r="AL881" s="17">
        <v>0</v>
      </c>
      <c r="AM881" s="17">
        <v>0</v>
      </c>
      <c r="AN881" s="17">
        <v>0</v>
      </c>
      <c r="AO881" s="18">
        <v>0</v>
      </c>
      <c r="AP881" s="17">
        <v>3</v>
      </c>
      <c r="AQ881" s="17">
        <v>11</v>
      </c>
      <c r="AR881" s="19">
        <v>488</v>
      </c>
      <c r="AS881" s="19">
        <v>588</v>
      </c>
    </row>
    <row r="882" spans="1:45" x14ac:dyDescent="0.25">
      <c r="A882">
        <v>1238</v>
      </c>
      <c r="B882" s="11">
        <f t="shared" si="13"/>
        <v>74190</v>
      </c>
      <c r="C882" s="12">
        <v>741900</v>
      </c>
      <c r="D882" s="13">
        <v>0</v>
      </c>
      <c r="E882" s="13">
        <v>1</v>
      </c>
      <c r="F882" s="13">
        <v>49</v>
      </c>
      <c r="G882" s="13">
        <v>45</v>
      </c>
      <c r="H882" s="13" t="str" cm="1">
        <f t="array" ref="H882">_xlfn.IFS(G882&lt;=20,"0-20",G882&lt;=30,"20-30",G882&lt;=40,"30-40",G882&lt;=50,"50-60",G882&lt;=60,"60-70",G882&lt;=70,"70-80",G882&lt;=80,"80-90")</f>
        <v>50-60</v>
      </c>
      <c r="I882" s="13">
        <v>2207</v>
      </c>
      <c r="J882" s="13" t="str" cm="1">
        <f t="array" ref="J882">_xlfn.IFS(K882=1,"Divorciado",L882=1,"Casado",M882=1,"Solteiro",N882=1,"Juntos",O882=1,"Viuvo")</f>
        <v>Casado</v>
      </c>
      <c r="K882" s="13">
        <v>0</v>
      </c>
      <c r="L882" s="13">
        <v>1</v>
      </c>
      <c r="M882" s="13">
        <v>0</v>
      </c>
      <c r="N882" s="13">
        <v>0</v>
      </c>
      <c r="O882" s="13">
        <v>0</v>
      </c>
      <c r="P882" s="13">
        <v>0</v>
      </c>
      <c r="Q882" s="13">
        <v>0</v>
      </c>
      <c r="R882" s="13">
        <v>1</v>
      </c>
      <c r="S882" s="13">
        <v>0</v>
      </c>
      <c r="T882" s="13">
        <v>0</v>
      </c>
      <c r="U882" s="13">
        <v>151</v>
      </c>
      <c r="V882" s="13" t="str" cm="1">
        <f t="array" ref="V882">_xlfn.IFS(U882&lt;=250,"0-R$250",U882&lt;=500,"251-R$500",U882&lt;=750,"501-R$750",U882&lt;=1000,"751-R$1000",U882&lt;=1250,"1001-R$1250",U882&lt;=1500,"1251-R$1500")</f>
        <v>0-R$250</v>
      </c>
      <c r="W882" s="13">
        <v>81</v>
      </c>
      <c r="X882" s="13" t="str" cm="1">
        <f t="array" ref="X882">_xlfn.IFS(W882 = 0, "0", W882&lt;=20, "até R$20",W882&lt;=40, "21 - R$40",W882&lt;=60, "41- R$60",W882&lt;=80, "61 - R$80", W882&lt;=100, "81 - R$100",W882&lt;=120, "101 - R$120",W882&lt;=140, "121 - R$140", W882&lt;=160, "141- R$160", W882&lt;=180, "161 - R$180", W882&lt;=200, "181-R$194")</f>
        <v>81 - R$100</v>
      </c>
      <c r="Y882" s="13">
        <v>86</v>
      </c>
      <c r="Z882" s="13">
        <v>168</v>
      </c>
      <c r="AA882" s="13">
        <v>91</v>
      </c>
      <c r="AB882" s="13">
        <v>64</v>
      </c>
      <c r="AC882" s="13">
        <v>2</v>
      </c>
      <c r="AD882" s="13">
        <v>4</v>
      </c>
      <c r="AE882" s="13">
        <v>2</v>
      </c>
      <c r="AF882" s="13">
        <v>11</v>
      </c>
      <c r="AG882" s="13">
        <v>2</v>
      </c>
      <c r="AH882" s="13">
        <v>0</v>
      </c>
      <c r="AI882" s="13">
        <v>0</v>
      </c>
      <c r="AJ882" s="13">
        <v>0</v>
      </c>
      <c r="AK882" s="13">
        <v>0</v>
      </c>
      <c r="AL882" s="13">
        <v>0</v>
      </c>
      <c r="AM882" s="13">
        <v>0</v>
      </c>
      <c r="AN882" s="13">
        <v>0</v>
      </c>
      <c r="AO882" s="14">
        <v>0</v>
      </c>
      <c r="AP882" s="13">
        <v>3</v>
      </c>
      <c r="AQ882" s="13">
        <v>11</v>
      </c>
      <c r="AR882" s="15">
        <v>513</v>
      </c>
      <c r="AS882" s="15">
        <v>577</v>
      </c>
    </row>
    <row r="883" spans="1:45" x14ac:dyDescent="0.25">
      <c r="A883">
        <v>1397</v>
      </c>
      <c r="B883" s="11">
        <f t="shared" si="13"/>
        <v>65704</v>
      </c>
      <c r="C883" s="16">
        <v>657040</v>
      </c>
      <c r="D883" s="17">
        <v>0</v>
      </c>
      <c r="E883" s="17">
        <v>0</v>
      </c>
      <c r="F883" s="17">
        <v>18</v>
      </c>
      <c r="G883" s="17">
        <v>48</v>
      </c>
      <c r="H883" s="13" t="str" cm="1">
        <f t="array" ref="H883">_xlfn.IFS(G883&lt;=20,"0-20",G883&lt;=30,"20-30",G883&lt;=40,"30-40",G883&lt;=50,"50-60",G883&lt;=60,"60-70",G883&lt;=70,"70-80",G883&lt;=80,"80-90")</f>
        <v>50-60</v>
      </c>
      <c r="I883" s="17">
        <v>2418</v>
      </c>
      <c r="J883" s="13" t="str" cm="1">
        <f t="array" ref="J883">_xlfn.IFS(K883=1,"Divorciado",L883=1,"Casado",M883=1,"Solteiro",N883=1,"Juntos",O883=1,"Viuvo")</f>
        <v>Solteiro</v>
      </c>
      <c r="K883" s="17">
        <v>0</v>
      </c>
      <c r="L883" s="17">
        <v>0</v>
      </c>
      <c r="M883" s="17">
        <v>1</v>
      </c>
      <c r="N883" s="17">
        <v>0</v>
      </c>
      <c r="O883" s="17">
        <v>0</v>
      </c>
      <c r="P883" s="17">
        <v>1</v>
      </c>
      <c r="Q883" s="17">
        <v>0</v>
      </c>
      <c r="R883" s="17">
        <v>0</v>
      </c>
      <c r="S883" s="17">
        <v>0</v>
      </c>
      <c r="T883" s="17">
        <v>0</v>
      </c>
      <c r="U883" s="17">
        <v>279</v>
      </c>
      <c r="V883" s="13" t="str" cm="1">
        <f t="array" ref="V883">_xlfn.IFS(U883&lt;=250,"0-R$250",U883&lt;=500,"251-R$500",U883&lt;=750,"501-R$750",U883&lt;=1000,"751-R$1000",U883&lt;=1250,"1001-R$1250",U883&lt;=1500,"1251-R$1500")</f>
        <v>251-R$500</v>
      </c>
      <c r="W883" s="17">
        <v>172</v>
      </c>
      <c r="X883" s="13" t="str" cm="1">
        <f t="array" ref="X883">_xlfn.IFS(W883 = 0, "0", W883&lt;=20, "até R$20",W883&lt;=40, "21 - R$40",W883&lt;=60, "41- R$60",W883&lt;=80, "61 - R$80", W883&lt;=100, "81 - R$100",W883&lt;=120, "101 - R$120",W883&lt;=140, "121 - R$140", W883&lt;=160, "141- R$160", W883&lt;=180, "161 - R$180", W883&lt;=200, "181-R$194")</f>
        <v>161 - R$180</v>
      </c>
      <c r="Y883" s="17">
        <v>74</v>
      </c>
      <c r="Z883" s="17">
        <v>38</v>
      </c>
      <c r="AA883" s="17">
        <v>8</v>
      </c>
      <c r="AB883" s="17">
        <v>246</v>
      </c>
      <c r="AC883" s="17">
        <v>1</v>
      </c>
      <c r="AD883" s="17">
        <v>2</v>
      </c>
      <c r="AE883" s="17">
        <v>10</v>
      </c>
      <c r="AF883" s="17">
        <v>10</v>
      </c>
      <c r="AG883" s="17">
        <v>1</v>
      </c>
      <c r="AH883" s="17">
        <v>0</v>
      </c>
      <c r="AI883" s="17">
        <v>0</v>
      </c>
      <c r="AJ883" s="17">
        <v>0</v>
      </c>
      <c r="AK883" s="17">
        <v>0</v>
      </c>
      <c r="AL883" s="17">
        <v>0</v>
      </c>
      <c r="AM883" s="17">
        <v>0</v>
      </c>
      <c r="AN883" s="17">
        <v>0</v>
      </c>
      <c r="AO883" s="18">
        <v>0</v>
      </c>
      <c r="AP883" s="17">
        <v>3</v>
      </c>
      <c r="AQ883" s="17">
        <v>11</v>
      </c>
      <c r="AR883" s="19">
        <v>325</v>
      </c>
      <c r="AS883" s="19">
        <v>571</v>
      </c>
    </row>
    <row r="884" spans="1:45" x14ac:dyDescent="0.25">
      <c r="A884">
        <v>7</v>
      </c>
      <c r="B884" s="11">
        <f t="shared" si="13"/>
        <v>55635</v>
      </c>
      <c r="C884" s="16">
        <v>556350</v>
      </c>
      <c r="D884" s="17">
        <v>0</v>
      </c>
      <c r="E884" s="17">
        <v>1</v>
      </c>
      <c r="F884" s="17">
        <v>34</v>
      </c>
      <c r="G884" s="17">
        <v>49</v>
      </c>
      <c r="H884" s="13" t="str" cm="1">
        <f t="array" ref="H884">_xlfn.IFS(G884&lt;=20,"0-20",G884&lt;=30,"20-30",G884&lt;=40,"30-40",G884&lt;=50,"50-60",G884&lt;=60,"60-70",G884&lt;=70,"70-80",G884&lt;=80,"80-90")</f>
        <v>50-60</v>
      </c>
      <c r="I884" s="17">
        <v>2752</v>
      </c>
      <c r="J884" s="13" t="str" cm="1">
        <f t="array" ref="J884">_xlfn.IFS(K884=1,"Divorciado",L884=1,"Casado",M884=1,"Solteiro",N884=1,"Juntos",O884=1,"Viuvo")</f>
        <v>Divorciado</v>
      </c>
      <c r="K884" s="17">
        <v>1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1</v>
      </c>
      <c r="S884" s="17">
        <v>0</v>
      </c>
      <c r="T884" s="17">
        <v>0</v>
      </c>
      <c r="U884" s="17">
        <v>235</v>
      </c>
      <c r="V884" s="13" t="str" cm="1">
        <f t="array" ref="V884">_xlfn.IFS(U884&lt;=250,"0-R$250",U884&lt;=500,"251-R$500",U884&lt;=750,"501-R$750",U884&lt;=1000,"751-R$1000",U884&lt;=1250,"1001-R$1250",U884&lt;=1500,"1251-R$1500")</f>
        <v>0-R$250</v>
      </c>
      <c r="W884" s="17">
        <v>65</v>
      </c>
      <c r="X884" s="13" t="str" cm="1">
        <f t="array" ref="X884">_xlfn.IFS(W884 = 0, "0", W884&lt;=20, "até R$20",W884&lt;=40, "21 - R$40",W884&lt;=60, "41- R$60",W884&lt;=80, "61 - R$80", W884&lt;=100, "81 - R$100",W884&lt;=120, "101 - R$120",W884&lt;=140, "121 - R$140", W884&lt;=160, "141- R$160", W884&lt;=180, "161 - R$180", W884&lt;=200, "181-R$194")</f>
        <v>61 - R$80</v>
      </c>
      <c r="Y884" s="17">
        <v>164</v>
      </c>
      <c r="Z884" s="17">
        <v>50</v>
      </c>
      <c r="AA884" s="17">
        <v>49</v>
      </c>
      <c r="AB884" s="17">
        <v>27</v>
      </c>
      <c r="AC884" s="17">
        <v>4</v>
      </c>
      <c r="AD884" s="17">
        <v>7</v>
      </c>
      <c r="AE884" s="17">
        <v>3</v>
      </c>
      <c r="AF884" s="17">
        <v>7</v>
      </c>
      <c r="AG884" s="17">
        <v>6</v>
      </c>
      <c r="AH884" s="17">
        <v>0</v>
      </c>
      <c r="AI884" s="17">
        <v>0</v>
      </c>
      <c r="AJ884" s="17">
        <v>0</v>
      </c>
      <c r="AK884" s="17">
        <v>0</v>
      </c>
      <c r="AL884" s="17">
        <v>0</v>
      </c>
      <c r="AM884" s="17">
        <v>0</v>
      </c>
      <c r="AN884" s="17">
        <v>0</v>
      </c>
      <c r="AO884" s="18">
        <v>0</v>
      </c>
      <c r="AP884" s="17">
        <v>3</v>
      </c>
      <c r="AQ884" s="17">
        <v>11</v>
      </c>
      <c r="AR884" s="19">
        <v>536</v>
      </c>
      <c r="AS884" s="19">
        <v>563</v>
      </c>
    </row>
    <row r="885" spans="1:45" x14ac:dyDescent="0.25">
      <c r="A885">
        <v>1735</v>
      </c>
      <c r="B885" s="11">
        <f t="shared" si="13"/>
        <v>62905</v>
      </c>
      <c r="C885" s="16">
        <v>629050</v>
      </c>
      <c r="D885" s="17">
        <v>0</v>
      </c>
      <c r="E885" s="17">
        <v>1</v>
      </c>
      <c r="F885" s="17">
        <v>68</v>
      </c>
      <c r="G885" s="17">
        <v>56</v>
      </c>
      <c r="H885" s="13" t="str" cm="1">
        <f t="array" ref="H885">_xlfn.IFS(G885&lt;=20,"0-20",G885&lt;=30,"20-30",G885&lt;=40,"30-40",G885&lt;=50,"50-60",G885&lt;=60,"60-70",G885&lt;=70,"70-80",G885&lt;=80,"80-90")</f>
        <v>60-70</v>
      </c>
      <c r="I885" s="17">
        <v>2451</v>
      </c>
      <c r="J885" s="13" t="str" cm="1">
        <f t="array" ref="J885">_xlfn.IFS(K885=1,"Divorciado",L885=1,"Casado",M885=1,"Solteiro",N885=1,"Juntos",O885=1,"Viuvo")</f>
        <v>Casado</v>
      </c>
      <c r="K885" s="17">
        <v>0</v>
      </c>
      <c r="L885" s="17">
        <v>1</v>
      </c>
      <c r="M885" s="17">
        <v>0</v>
      </c>
      <c r="N885" s="17">
        <v>0</v>
      </c>
      <c r="O885" s="17">
        <v>0</v>
      </c>
      <c r="P885" s="17">
        <v>1</v>
      </c>
      <c r="Q885" s="17">
        <v>0</v>
      </c>
      <c r="R885" s="17">
        <v>0</v>
      </c>
      <c r="S885" s="17">
        <v>0</v>
      </c>
      <c r="T885" s="17">
        <v>0</v>
      </c>
      <c r="U885" s="17">
        <v>166</v>
      </c>
      <c r="V885" s="13" t="str" cm="1">
        <f t="array" ref="V885">_xlfn.IFS(U885&lt;=250,"0-R$250",U885&lt;=500,"251-R$500",U885&lt;=750,"501-R$750",U885&lt;=1000,"751-R$1000",U885&lt;=1250,"1001-R$1250",U885&lt;=1500,"1251-R$1500")</f>
        <v>0-R$250</v>
      </c>
      <c r="W885" s="17">
        <v>75</v>
      </c>
      <c r="X885" s="13" t="str" cm="1">
        <f t="array" ref="X885">_xlfn.IFS(W885 = 0, "0", W885&lt;=20, "até R$20",W885&lt;=40, "21 - R$40",W885&lt;=60, "41- R$60",W885&lt;=80, "61 - R$80", W885&lt;=100, "81 - R$100",W885&lt;=120, "101 - R$120",W885&lt;=140, "121 - R$140", W885&lt;=160, "141- R$160", W885&lt;=180, "161 - R$180", W885&lt;=200, "181-R$194")</f>
        <v>61 - R$80</v>
      </c>
      <c r="Y885" s="17">
        <v>96</v>
      </c>
      <c r="Z885" s="17">
        <v>119</v>
      </c>
      <c r="AA885" s="17">
        <v>107</v>
      </c>
      <c r="AB885" s="17">
        <v>59</v>
      </c>
      <c r="AC885" s="17">
        <v>3</v>
      </c>
      <c r="AD885" s="17">
        <v>7</v>
      </c>
      <c r="AE885" s="17">
        <v>2</v>
      </c>
      <c r="AF885" s="17">
        <v>8</v>
      </c>
      <c r="AG885" s="17">
        <v>4</v>
      </c>
      <c r="AH885" s="17">
        <v>0</v>
      </c>
      <c r="AI885" s="17">
        <v>0</v>
      </c>
      <c r="AJ885" s="17">
        <v>0</v>
      </c>
      <c r="AK885" s="17">
        <v>0</v>
      </c>
      <c r="AL885" s="17">
        <v>0</v>
      </c>
      <c r="AM885" s="17">
        <v>0</v>
      </c>
      <c r="AN885" s="17">
        <v>0</v>
      </c>
      <c r="AO885" s="18">
        <v>0</v>
      </c>
      <c r="AP885" s="17">
        <v>3</v>
      </c>
      <c r="AQ885" s="17">
        <v>11</v>
      </c>
      <c r="AR885" s="19">
        <v>504</v>
      </c>
      <c r="AS885" s="19">
        <v>563</v>
      </c>
    </row>
    <row r="886" spans="1:45" x14ac:dyDescent="0.25">
      <c r="A886">
        <v>1527</v>
      </c>
      <c r="B886" s="11">
        <f t="shared" si="13"/>
        <v>76800</v>
      </c>
      <c r="C886" s="16">
        <v>768000</v>
      </c>
      <c r="D886" s="17">
        <v>0</v>
      </c>
      <c r="E886" s="17">
        <v>0</v>
      </c>
      <c r="F886" s="17">
        <v>33</v>
      </c>
      <c r="G886" s="17">
        <v>55</v>
      </c>
      <c r="H886" s="13" t="str" cm="1">
        <f t="array" ref="H886">_xlfn.IFS(G886&lt;=20,"0-20",G886&lt;=30,"20-30",G886&lt;=40,"30-40",G886&lt;=50,"50-60",G886&lt;=60,"60-70",G886&lt;=70,"70-80",G886&lt;=80,"80-90")</f>
        <v>60-70</v>
      </c>
      <c r="I886" s="17">
        <v>2272</v>
      </c>
      <c r="J886" s="13" t="str" cm="1">
        <f t="array" ref="J886">_xlfn.IFS(K886=1,"Divorciado",L886=1,"Casado",M886=1,"Solteiro",N886=1,"Juntos",O886=1,"Viuvo")</f>
        <v>Casado</v>
      </c>
      <c r="K886" s="17">
        <v>0</v>
      </c>
      <c r="L886" s="17">
        <v>1</v>
      </c>
      <c r="M886" s="17">
        <v>0</v>
      </c>
      <c r="N886" s="17">
        <v>0</v>
      </c>
      <c r="O886" s="17">
        <v>0</v>
      </c>
      <c r="P886" s="17">
        <v>1</v>
      </c>
      <c r="Q886" s="17">
        <v>0</v>
      </c>
      <c r="R886" s="17">
        <v>0</v>
      </c>
      <c r="S886" s="17">
        <v>0</v>
      </c>
      <c r="T886" s="17">
        <v>0</v>
      </c>
      <c r="U886" s="17">
        <v>173</v>
      </c>
      <c r="V886" s="13" t="str" cm="1">
        <f t="array" ref="V886">_xlfn.IFS(U886&lt;=250,"0-R$250",U886&lt;=500,"251-R$500",U886&lt;=750,"501-R$750",U886&lt;=1000,"751-R$1000",U886&lt;=1250,"1001-R$1250",U886&lt;=1500,"1251-R$1500")</f>
        <v>0-R$250</v>
      </c>
      <c r="W886" s="17">
        <v>26</v>
      </c>
      <c r="X886" s="13" t="str" cm="1">
        <f t="array" ref="X886">_xlfn.IFS(W886 = 0, "0", W886&lt;=20, "até R$20",W886&lt;=40, "21 - R$40",W886&lt;=60, "41- R$60",W886&lt;=80, "61 - R$80", W886&lt;=100, "81 - R$100",W886&lt;=120, "101 - R$120",W886&lt;=140, "121 - R$140", W886&lt;=160, "141- R$160", W886&lt;=180, "161 - R$180", W886&lt;=200, "181-R$194")</f>
        <v>21 - R$40</v>
      </c>
      <c r="Y886" s="17">
        <v>255</v>
      </c>
      <c r="Z886" s="17">
        <v>35</v>
      </c>
      <c r="AA886" s="17">
        <v>71</v>
      </c>
      <c r="AB886" s="17">
        <v>81</v>
      </c>
      <c r="AC886" s="17">
        <v>1</v>
      </c>
      <c r="AD886" s="17">
        <v>4</v>
      </c>
      <c r="AE886" s="17">
        <v>4</v>
      </c>
      <c r="AF886" s="17">
        <v>7</v>
      </c>
      <c r="AG886" s="17">
        <v>1</v>
      </c>
      <c r="AH886" s="17">
        <v>0</v>
      </c>
      <c r="AI886" s="17">
        <v>0</v>
      </c>
      <c r="AJ886" s="17">
        <v>0</v>
      </c>
      <c r="AK886" s="17">
        <v>0</v>
      </c>
      <c r="AL886" s="17">
        <v>0</v>
      </c>
      <c r="AM886" s="17">
        <v>0</v>
      </c>
      <c r="AN886" s="17">
        <v>0</v>
      </c>
      <c r="AO886" s="18">
        <v>0</v>
      </c>
      <c r="AP886" s="17">
        <v>3</v>
      </c>
      <c r="AQ886" s="17">
        <v>11</v>
      </c>
      <c r="AR886" s="19">
        <v>479</v>
      </c>
      <c r="AS886" s="19">
        <v>560</v>
      </c>
    </row>
    <row r="887" spans="1:45" x14ac:dyDescent="0.25">
      <c r="A887">
        <v>1633</v>
      </c>
      <c r="B887" s="11">
        <f t="shared" si="13"/>
        <v>50334</v>
      </c>
      <c r="C887" s="16">
        <v>503340</v>
      </c>
      <c r="D887" s="17">
        <v>0</v>
      </c>
      <c r="E887" s="17">
        <v>1</v>
      </c>
      <c r="F887" s="17">
        <v>24</v>
      </c>
      <c r="G887" s="17">
        <v>48</v>
      </c>
      <c r="H887" s="13" t="str" cm="1">
        <f t="array" ref="H887">_xlfn.IFS(G887&lt;=20,"0-20",G887&lt;=30,"20-30",G887&lt;=40,"30-40",G887&lt;=50,"50-60",G887&lt;=60,"60-70",G887&lt;=70,"70-80",G887&lt;=80,"80-90")</f>
        <v>50-60</v>
      </c>
      <c r="I887" s="17">
        <v>2499</v>
      </c>
      <c r="J887" s="13" t="str" cm="1">
        <f t="array" ref="J887">_xlfn.IFS(K887=1,"Divorciado",L887=1,"Casado",M887=1,"Solteiro",N887=1,"Juntos",O887=1,"Viuvo")</f>
        <v>Juntos</v>
      </c>
      <c r="K887" s="17">
        <v>0</v>
      </c>
      <c r="L887" s="17">
        <v>0</v>
      </c>
      <c r="M887" s="17">
        <v>0</v>
      </c>
      <c r="N887" s="17">
        <v>1</v>
      </c>
      <c r="O887" s="17">
        <v>0</v>
      </c>
      <c r="P887" s="17">
        <v>1</v>
      </c>
      <c r="Q887" s="17">
        <v>0</v>
      </c>
      <c r="R887" s="17">
        <v>0</v>
      </c>
      <c r="S887" s="17">
        <v>0</v>
      </c>
      <c r="T887" s="17">
        <v>0</v>
      </c>
      <c r="U887" s="17">
        <v>284</v>
      </c>
      <c r="V887" s="13" t="str" cm="1">
        <f t="array" ref="V887">_xlfn.IFS(U887&lt;=250,"0-R$250",U887&lt;=500,"251-R$500",U887&lt;=750,"501-R$750",U887&lt;=1000,"751-R$1000",U887&lt;=1250,"1001-R$1250",U887&lt;=1500,"1251-R$1500")</f>
        <v>251-R$500</v>
      </c>
      <c r="W887" s="17">
        <v>16</v>
      </c>
      <c r="X887" s="13" t="str" cm="1">
        <f t="array" ref="X887">_xlfn.IFS(W887 = 0, "0", W887&lt;=20, "até R$20",W887&lt;=40, "21 - R$40",W887&lt;=60, "41- R$60",W887&lt;=80, "61 - R$80", W887&lt;=100, "81 - R$100",W887&lt;=120, "101 - R$120",W887&lt;=140, "121 - R$140", W887&lt;=160, "141- R$160", W887&lt;=180, "161 - R$180", W887&lt;=200, "181-R$194")</f>
        <v>até R$20</v>
      </c>
      <c r="Y887" s="17">
        <v>160</v>
      </c>
      <c r="Z887" s="17">
        <v>84</v>
      </c>
      <c r="AA887" s="17">
        <v>16</v>
      </c>
      <c r="AB887" s="17">
        <v>134</v>
      </c>
      <c r="AC887" s="17">
        <v>6</v>
      </c>
      <c r="AD887" s="17">
        <v>7</v>
      </c>
      <c r="AE887" s="17">
        <v>4</v>
      </c>
      <c r="AF887" s="17">
        <v>6</v>
      </c>
      <c r="AG887" s="17">
        <v>6</v>
      </c>
      <c r="AH887" s="17">
        <v>0</v>
      </c>
      <c r="AI887" s="17">
        <v>0</v>
      </c>
      <c r="AJ887" s="17">
        <v>0</v>
      </c>
      <c r="AK887" s="17">
        <v>0</v>
      </c>
      <c r="AL887" s="17">
        <v>0</v>
      </c>
      <c r="AM887" s="17">
        <v>0</v>
      </c>
      <c r="AN887" s="17">
        <v>0</v>
      </c>
      <c r="AO887" s="18">
        <v>0</v>
      </c>
      <c r="AP887" s="17">
        <v>3</v>
      </c>
      <c r="AQ887" s="17">
        <v>11</v>
      </c>
      <c r="AR887" s="19">
        <v>426</v>
      </c>
      <c r="AS887" s="19">
        <v>560</v>
      </c>
    </row>
    <row r="888" spans="1:45" x14ac:dyDescent="0.25">
      <c r="A888">
        <v>781</v>
      </c>
      <c r="B888" s="11">
        <f t="shared" si="13"/>
        <v>61872</v>
      </c>
      <c r="C888" s="16">
        <v>618720</v>
      </c>
      <c r="D888" s="17">
        <v>0</v>
      </c>
      <c r="E888" s="17">
        <v>1</v>
      </c>
      <c r="F888" s="17">
        <v>81</v>
      </c>
      <c r="G888" s="17">
        <v>50</v>
      </c>
      <c r="H888" s="13" t="str" cm="1">
        <f t="array" ref="H888">_xlfn.IFS(G888&lt;=20,"0-20",G888&lt;=30,"20-30",G888&lt;=40,"30-40",G888&lt;=50,"50-60",G888&lt;=60,"60-70",G888&lt;=70,"70-80",G888&lt;=80,"80-90")</f>
        <v>50-60</v>
      </c>
      <c r="I888" s="17">
        <v>2357</v>
      </c>
      <c r="J888" s="13" t="str" cm="1">
        <f t="array" ref="J888">_xlfn.IFS(K888=1,"Divorciado",L888=1,"Casado",M888=1,"Solteiro",N888=1,"Juntos",O888=1,"Viuvo")</f>
        <v>Casado</v>
      </c>
      <c r="K888" s="17">
        <v>0</v>
      </c>
      <c r="L888" s="17">
        <v>1</v>
      </c>
      <c r="M888" s="17">
        <v>0</v>
      </c>
      <c r="N888" s="17">
        <v>0</v>
      </c>
      <c r="O888" s="17">
        <v>0</v>
      </c>
      <c r="P888" s="17">
        <v>0</v>
      </c>
      <c r="Q888" s="17">
        <v>0</v>
      </c>
      <c r="R888" s="17">
        <v>0</v>
      </c>
      <c r="S888" s="17">
        <v>1</v>
      </c>
      <c r="T888" s="17">
        <v>0</v>
      </c>
      <c r="U888" s="17">
        <v>330</v>
      </c>
      <c r="V888" s="13" t="str" cm="1">
        <f t="array" ref="V888">_xlfn.IFS(U888&lt;=250,"0-R$250",U888&lt;=500,"251-R$500",U888&lt;=750,"501-R$750",U888&lt;=1000,"751-R$1000",U888&lt;=1250,"1001-R$1250",U888&lt;=1500,"1251-R$1500")</f>
        <v>251-R$500</v>
      </c>
      <c r="W888" s="17">
        <v>5</v>
      </c>
      <c r="X888" s="13" t="str" cm="1">
        <f t="array" ref="X888">_xlfn.IFS(W888 = 0, "0", W888&lt;=20, "até R$20",W888&lt;=40, "21 - R$40",W888&lt;=60, "41- R$60",W888&lt;=80, "61 - R$80", W888&lt;=100, "81 - R$100",W888&lt;=120, "101 - R$120",W888&lt;=140, "121 - R$140", W888&lt;=160, "141- R$160", W888&lt;=180, "161 - R$180", W888&lt;=200, "181-R$194")</f>
        <v>até R$20</v>
      </c>
      <c r="Y888" s="17">
        <v>159</v>
      </c>
      <c r="Z888" s="17">
        <v>36</v>
      </c>
      <c r="AA888" s="17">
        <v>27</v>
      </c>
      <c r="AB888" s="17">
        <v>16</v>
      </c>
      <c r="AC888" s="17">
        <v>4</v>
      </c>
      <c r="AD888" s="17">
        <v>4</v>
      </c>
      <c r="AE888" s="17">
        <v>4</v>
      </c>
      <c r="AF888" s="17">
        <v>9</v>
      </c>
      <c r="AG888" s="17">
        <v>4</v>
      </c>
      <c r="AH888" s="17">
        <v>0</v>
      </c>
      <c r="AI888" s="17">
        <v>0</v>
      </c>
      <c r="AJ888" s="17">
        <v>0</v>
      </c>
      <c r="AK888" s="17">
        <v>0</v>
      </c>
      <c r="AL888" s="17">
        <v>0</v>
      </c>
      <c r="AM888" s="17">
        <v>0</v>
      </c>
      <c r="AN888" s="17">
        <v>0</v>
      </c>
      <c r="AO888" s="18">
        <v>0</v>
      </c>
      <c r="AP888" s="17">
        <v>3</v>
      </c>
      <c r="AQ888" s="17">
        <v>11</v>
      </c>
      <c r="AR888" s="19">
        <v>541</v>
      </c>
      <c r="AS888" s="19">
        <v>557</v>
      </c>
    </row>
    <row r="889" spans="1:45" x14ac:dyDescent="0.25">
      <c r="A889">
        <v>1612</v>
      </c>
      <c r="B889" s="11">
        <f t="shared" si="13"/>
        <v>50002</v>
      </c>
      <c r="C889" s="12">
        <v>500020</v>
      </c>
      <c r="D889" s="13">
        <v>0</v>
      </c>
      <c r="E889" s="13">
        <v>1</v>
      </c>
      <c r="F889" s="13">
        <v>21</v>
      </c>
      <c r="G889" s="13">
        <v>66</v>
      </c>
      <c r="H889" s="13" t="str" cm="1">
        <f t="array" ref="H889">_xlfn.IFS(G889&lt;=20,"0-20",G889&lt;=30,"20-30",G889&lt;=40,"30-40",G889&lt;=50,"50-60",G889&lt;=60,"60-70",G889&lt;=70,"70-80",G889&lt;=80,"80-90")</f>
        <v>70-80</v>
      </c>
      <c r="I889" s="13">
        <v>2536</v>
      </c>
      <c r="J889" s="13" t="str" cm="1">
        <f t="array" ref="J889">_xlfn.IFS(K889=1,"Divorciado",L889=1,"Casado",M889=1,"Solteiro",N889=1,"Juntos",O889=1,"Viuvo")</f>
        <v>Divorciado</v>
      </c>
      <c r="K889" s="13">
        <v>1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1</v>
      </c>
      <c r="S889" s="13">
        <v>0</v>
      </c>
      <c r="T889" s="13">
        <v>0</v>
      </c>
      <c r="U889" s="13">
        <v>443</v>
      </c>
      <c r="V889" s="13" t="str" cm="1">
        <f t="array" ref="V889">_xlfn.IFS(U889&lt;=250,"0-R$250",U889&lt;=500,"251-R$500",U889&lt;=750,"501-R$750",U889&lt;=1000,"751-R$1000",U889&lt;=1250,"1001-R$1250",U889&lt;=1500,"1251-R$1500")</f>
        <v>251-R$500</v>
      </c>
      <c r="W889" s="13">
        <v>5</v>
      </c>
      <c r="X889" s="13" t="str" cm="1">
        <f t="array" ref="X889">_xlfn.IFS(W889 = 0, "0", W889&lt;=20, "até R$20",W889&lt;=40, "21 - R$40",W889&lt;=60, "41- R$60",W889&lt;=80, "61 - R$80", W889&lt;=100, "81 - R$100",W889&lt;=120, "101 - R$120",W889&lt;=140, "121 - R$140", W889&lt;=160, "141- R$160", W889&lt;=180, "161 - R$180", W889&lt;=200, "181-R$194")</f>
        <v>até R$20</v>
      </c>
      <c r="Y889" s="13">
        <v>71</v>
      </c>
      <c r="Z889" s="13">
        <v>21</v>
      </c>
      <c r="AA889" s="13">
        <v>16</v>
      </c>
      <c r="AB889" s="13">
        <v>82</v>
      </c>
      <c r="AC889" s="13">
        <v>2</v>
      </c>
      <c r="AD889" s="13">
        <v>8</v>
      </c>
      <c r="AE889" s="13">
        <v>2</v>
      </c>
      <c r="AF889" s="13">
        <v>7</v>
      </c>
      <c r="AG889" s="13">
        <v>7</v>
      </c>
      <c r="AH889" s="13">
        <v>0</v>
      </c>
      <c r="AI889" s="13">
        <v>0</v>
      </c>
      <c r="AJ889" s="13">
        <v>0</v>
      </c>
      <c r="AK889" s="13">
        <v>0</v>
      </c>
      <c r="AL889" s="13">
        <v>0</v>
      </c>
      <c r="AM889" s="13">
        <v>0</v>
      </c>
      <c r="AN889" s="13">
        <v>0</v>
      </c>
      <c r="AO889" s="14">
        <v>0</v>
      </c>
      <c r="AP889" s="13">
        <v>3</v>
      </c>
      <c r="AQ889" s="13">
        <v>11</v>
      </c>
      <c r="AR889" s="15">
        <v>474</v>
      </c>
      <c r="AS889" s="15">
        <v>556</v>
      </c>
    </row>
    <row r="890" spans="1:45" x14ac:dyDescent="0.25">
      <c r="A890">
        <v>349</v>
      </c>
      <c r="B890" s="11">
        <f t="shared" si="13"/>
        <v>54803</v>
      </c>
      <c r="C890" s="16">
        <v>548030</v>
      </c>
      <c r="D890" s="17">
        <v>0</v>
      </c>
      <c r="E890" s="17">
        <v>1</v>
      </c>
      <c r="F890" s="17">
        <v>65</v>
      </c>
      <c r="G890" s="17">
        <v>51</v>
      </c>
      <c r="H890" s="13" t="str" cm="1">
        <f t="array" ref="H890">_xlfn.IFS(G890&lt;=20,"0-20",G890&lt;=30,"20-30",G890&lt;=40,"30-40",G890&lt;=50,"50-60",G890&lt;=60,"60-70",G890&lt;=70,"70-80",G890&lt;=80,"80-90")</f>
        <v>60-70</v>
      </c>
      <c r="I890" s="17">
        <v>2836</v>
      </c>
      <c r="J890" s="13" t="str" cm="1">
        <f t="array" ref="J890">_xlfn.IFS(K890=1,"Divorciado",L890=1,"Casado",M890=1,"Solteiro",N890=1,"Juntos",O890=1,"Viuvo")</f>
        <v>Solteiro</v>
      </c>
      <c r="K890" s="17">
        <v>0</v>
      </c>
      <c r="L890" s="17">
        <v>0</v>
      </c>
      <c r="M890" s="17">
        <v>1</v>
      </c>
      <c r="N890" s="17">
        <v>0</v>
      </c>
      <c r="O890" s="17">
        <v>0</v>
      </c>
      <c r="P890" s="17">
        <v>0</v>
      </c>
      <c r="Q890" s="17">
        <v>0</v>
      </c>
      <c r="R890" s="17">
        <v>1</v>
      </c>
      <c r="S890" s="17">
        <v>0</v>
      </c>
      <c r="T890" s="17">
        <v>0</v>
      </c>
      <c r="U890" s="17">
        <v>404</v>
      </c>
      <c r="V890" s="13" t="str" cm="1">
        <f t="array" ref="V890">_xlfn.IFS(U890&lt;=250,"0-R$250",U890&lt;=500,"251-R$500",U890&lt;=750,"501-R$750",U890&lt;=1000,"751-R$1000",U890&lt;=1250,"1001-R$1250",U890&lt;=1500,"1251-R$1500")</f>
        <v>251-R$500</v>
      </c>
      <c r="W890" s="17">
        <v>0</v>
      </c>
      <c r="X890" s="13" t="str" cm="1">
        <f t="array" ref="X890">_xlfn.IFS(W890 = 0, "0", W890&lt;=20, "até R$20",W890&lt;=40, "21 - R$40",W890&lt;=60, "41- R$60",W890&lt;=80, "61 - R$80", W890&lt;=100, "81 - R$100",W890&lt;=120, "101 - R$120",W890&lt;=140, "121 - R$140", W890&lt;=160, "141- R$160", W890&lt;=180, "161 - R$180", W890&lt;=200, "181-R$194")</f>
        <v>0</v>
      </c>
      <c r="Y890" s="17">
        <v>92</v>
      </c>
      <c r="Z890" s="17">
        <v>28</v>
      </c>
      <c r="AA890" s="17">
        <v>27</v>
      </c>
      <c r="AB890" s="17">
        <v>142</v>
      </c>
      <c r="AC890" s="17">
        <v>2</v>
      </c>
      <c r="AD890" s="17">
        <v>6</v>
      </c>
      <c r="AE890" s="17">
        <v>2</v>
      </c>
      <c r="AF890" s="17">
        <v>9</v>
      </c>
      <c r="AG890" s="17">
        <v>4</v>
      </c>
      <c r="AH890" s="17">
        <v>0</v>
      </c>
      <c r="AI890" s="17">
        <v>0</v>
      </c>
      <c r="AJ890" s="17">
        <v>0</v>
      </c>
      <c r="AK890" s="17">
        <v>0</v>
      </c>
      <c r="AL890" s="17">
        <v>0</v>
      </c>
      <c r="AM890" s="17">
        <v>0</v>
      </c>
      <c r="AN890" s="17">
        <v>0</v>
      </c>
      <c r="AO890" s="18">
        <v>0</v>
      </c>
      <c r="AP890" s="17">
        <v>3</v>
      </c>
      <c r="AQ890" s="17">
        <v>11</v>
      </c>
      <c r="AR890" s="19">
        <v>409</v>
      </c>
      <c r="AS890" s="19">
        <v>551</v>
      </c>
    </row>
    <row r="891" spans="1:45" x14ac:dyDescent="0.25">
      <c r="A891">
        <v>2079</v>
      </c>
      <c r="B891" s="11">
        <f t="shared" si="13"/>
        <v>58275</v>
      </c>
      <c r="C891" s="16">
        <v>582750</v>
      </c>
      <c r="D891" s="17">
        <v>1</v>
      </c>
      <c r="E891" s="17">
        <v>1</v>
      </c>
      <c r="F891" s="17">
        <v>48</v>
      </c>
      <c r="G891" s="17">
        <v>65</v>
      </c>
      <c r="H891" s="13" t="str" cm="1">
        <f t="array" ref="H891">_xlfn.IFS(G891&lt;=20,"0-20",G891&lt;=30,"20-30",G891&lt;=40,"30-40",G891&lt;=50,"50-60",G891&lt;=60,"60-70",G891&lt;=70,"70-80",G891&lt;=80,"80-90")</f>
        <v>70-80</v>
      </c>
      <c r="I891" s="17">
        <v>2551</v>
      </c>
      <c r="J891" s="13" t="str" cm="1">
        <f t="array" ref="J891">_xlfn.IFS(K891=1,"Divorciado",L891=1,"Casado",M891=1,"Solteiro",N891=1,"Juntos",O891=1,"Viuvo")</f>
        <v>Viuvo</v>
      </c>
      <c r="K891" s="17">
        <v>0</v>
      </c>
      <c r="L891" s="17">
        <v>0</v>
      </c>
      <c r="M891" s="17">
        <v>0</v>
      </c>
      <c r="N891" s="17">
        <v>0</v>
      </c>
      <c r="O891" s="17">
        <v>1</v>
      </c>
      <c r="P891" s="17">
        <v>0</v>
      </c>
      <c r="Q891" s="17">
        <v>0</v>
      </c>
      <c r="R891" s="17">
        <v>1</v>
      </c>
      <c r="S891" s="17">
        <v>0</v>
      </c>
      <c r="T891" s="17">
        <v>0</v>
      </c>
      <c r="U891" s="17">
        <v>189</v>
      </c>
      <c r="V891" s="13" t="str" cm="1">
        <f t="array" ref="V891">_xlfn.IFS(U891&lt;=250,"0-R$250",U891&lt;=500,"251-R$500",U891&lt;=750,"501-R$750",U891&lt;=1000,"751-R$1000",U891&lt;=1250,"1001-R$1250",U891&lt;=1500,"1251-R$1500")</f>
        <v>0-R$250</v>
      </c>
      <c r="W891" s="17">
        <v>10</v>
      </c>
      <c r="X891" s="13" t="str" cm="1">
        <f t="array" ref="X891">_xlfn.IFS(W891 = 0, "0", W891&lt;=20, "até R$20",W891&lt;=40, "21 - R$40",W891&lt;=60, "41- R$60",W891&lt;=80, "61 - R$80", W891&lt;=100, "81 - R$100",W891&lt;=120, "101 - R$120",W891&lt;=140, "121 - R$140", W891&lt;=160, "141- R$160", W891&lt;=180, "161 - R$180", W891&lt;=200, "181-R$194")</f>
        <v>até R$20</v>
      </c>
      <c r="Y891" s="17">
        <v>253</v>
      </c>
      <c r="Z891" s="17">
        <v>56</v>
      </c>
      <c r="AA891" s="17">
        <v>43</v>
      </c>
      <c r="AB891" s="17">
        <v>64</v>
      </c>
      <c r="AC891" s="17">
        <v>6</v>
      </c>
      <c r="AD891" s="17">
        <v>8</v>
      </c>
      <c r="AE891" s="17">
        <v>2</v>
      </c>
      <c r="AF891" s="17">
        <v>7</v>
      </c>
      <c r="AG891" s="17">
        <v>7</v>
      </c>
      <c r="AH891" s="17">
        <v>0</v>
      </c>
      <c r="AI891" s="17">
        <v>0</v>
      </c>
      <c r="AJ891" s="17">
        <v>0</v>
      </c>
      <c r="AK891" s="17">
        <v>0</v>
      </c>
      <c r="AL891" s="17">
        <v>0</v>
      </c>
      <c r="AM891" s="17">
        <v>0</v>
      </c>
      <c r="AN891" s="17">
        <v>0</v>
      </c>
      <c r="AO891" s="18">
        <v>0</v>
      </c>
      <c r="AP891" s="17">
        <v>3</v>
      </c>
      <c r="AQ891" s="17">
        <v>11</v>
      </c>
      <c r="AR891" s="19">
        <v>487</v>
      </c>
      <c r="AS891" s="19">
        <v>551</v>
      </c>
    </row>
    <row r="892" spans="1:45" x14ac:dyDescent="0.25">
      <c r="A892">
        <v>927</v>
      </c>
      <c r="B892" s="11">
        <f t="shared" si="13"/>
        <v>57937</v>
      </c>
      <c r="C892" s="16">
        <v>579370</v>
      </c>
      <c r="D892" s="17">
        <v>0</v>
      </c>
      <c r="E892" s="17">
        <v>1</v>
      </c>
      <c r="F892" s="17">
        <v>56</v>
      </c>
      <c r="G892" s="17">
        <v>38</v>
      </c>
      <c r="H892" s="13" t="str" cm="1">
        <f t="array" ref="H892">_xlfn.IFS(G892&lt;=20,"0-20",G892&lt;=30,"20-30",G892&lt;=40,"30-40",G892&lt;=50,"50-60",G892&lt;=60,"60-70",G892&lt;=70,"70-80",G892&lt;=80,"80-90")</f>
        <v>30-40</v>
      </c>
      <c r="I892" s="17">
        <v>2292</v>
      </c>
      <c r="J892" s="13" t="str" cm="1">
        <f t="array" ref="J892">_xlfn.IFS(K892=1,"Divorciado",L892=1,"Casado",M892=1,"Solteiro",N892=1,"Juntos",O892=1,"Viuvo")</f>
        <v>Casado</v>
      </c>
      <c r="K892" s="17">
        <v>0</v>
      </c>
      <c r="L892" s="17">
        <v>1</v>
      </c>
      <c r="M892" s="17">
        <v>0</v>
      </c>
      <c r="N892" s="17">
        <v>0</v>
      </c>
      <c r="O892" s="17">
        <v>0</v>
      </c>
      <c r="P892" s="17">
        <v>1</v>
      </c>
      <c r="Q892" s="17">
        <v>0</v>
      </c>
      <c r="R892" s="17">
        <v>0</v>
      </c>
      <c r="S892" s="17">
        <v>0</v>
      </c>
      <c r="T892" s="17">
        <v>0</v>
      </c>
      <c r="U892" s="17">
        <v>261</v>
      </c>
      <c r="V892" s="13" t="str" cm="1">
        <f t="array" ref="V892">_xlfn.IFS(U892&lt;=250,"0-R$250",U892&lt;=500,"251-R$500",U892&lt;=750,"501-R$750",U892&lt;=1000,"751-R$1000",U892&lt;=1250,"1001-R$1250",U892&lt;=1500,"1251-R$1500")</f>
        <v>251-R$500</v>
      </c>
      <c r="W892" s="17">
        <v>42</v>
      </c>
      <c r="X892" s="13" t="str" cm="1">
        <f t="array" ref="X892">_xlfn.IFS(W892 = 0, "0", W892&lt;=20, "até R$20",W892&lt;=40, "21 - R$40",W892&lt;=60, "41- R$60",W892&lt;=80, "61 - R$80", W892&lt;=100, "81 - R$100",W892&lt;=120, "101 - R$120",W892&lt;=140, "121 - R$140", W892&lt;=160, "141- R$160", W892&lt;=180, "161 - R$180", W892&lt;=200, "181-R$194")</f>
        <v>41- R$60</v>
      </c>
      <c r="Y892" s="17">
        <v>144</v>
      </c>
      <c r="Z892" s="17">
        <v>55</v>
      </c>
      <c r="AA892" s="17">
        <v>48</v>
      </c>
      <c r="AB892" s="17">
        <v>133</v>
      </c>
      <c r="AC892" s="17">
        <v>3</v>
      </c>
      <c r="AD892" s="17">
        <v>4</v>
      </c>
      <c r="AE892" s="17">
        <v>4</v>
      </c>
      <c r="AF892" s="17">
        <v>9</v>
      </c>
      <c r="AG892" s="17">
        <v>3</v>
      </c>
      <c r="AH892" s="17">
        <v>0</v>
      </c>
      <c r="AI892" s="17">
        <v>0</v>
      </c>
      <c r="AJ892" s="17">
        <v>0</v>
      </c>
      <c r="AK892" s="17">
        <v>0</v>
      </c>
      <c r="AL892" s="17">
        <v>0</v>
      </c>
      <c r="AM892" s="17">
        <v>0</v>
      </c>
      <c r="AN892" s="17">
        <v>0</v>
      </c>
      <c r="AO892" s="18">
        <v>0</v>
      </c>
      <c r="AP892" s="17">
        <v>3</v>
      </c>
      <c r="AQ892" s="17">
        <v>11</v>
      </c>
      <c r="AR892" s="19">
        <v>417</v>
      </c>
      <c r="AS892" s="19">
        <v>550</v>
      </c>
    </row>
    <row r="893" spans="1:45" x14ac:dyDescent="0.25">
      <c r="A893">
        <v>1482</v>
      </c>
      <c r="B893" s="11">
        <f t="shared" si="13"/>
        <v>57136</v>
      </c>
      <c r="C893" s="12">
        <v>571360</v>
      </c>
      <c r="D893" s="13">
        <v>1</v>
      </c>
      <c r="E893" s="13">
        <v>1</v>
      </c>
      <c r="F893" s="13">
        <v>48</v>
      </c>
      <c r="G893" s="13">
        <v>48</v>
      </c>
      <c r="H893" s="13" t="str" cm="1">
        <f t="array" ref="H893">_xlfn.IFS(G893&lt;=20,"0-20",G893&lt;=30,"20-30",G893&lt;=40,"30-40",G893&lt;=50,"50-60",G893&lt;=60,"60-70",G893&lt;=70,"70-80",G893&lt;=80,"80-90")</f>
        <v>50-60</v>
      </c>
      <c r="I893" s="13">
        <v>2514</v>
      </c>
      <c r="J893" s="13" t="str" cm="1">
        <f t="array" ref="J893">_xlfn.IFS(K893=1,"Divorciado",L893=1,"Casado",M893=1,"Solteiro",N893=1,"Juntos",O893=1,"Viuvo")</f>
        <v>Casado</v>
      </c>
      <c r="K893" s="13">
        <v>0</v>
      </c>
      <c r="L893" s="13">
        <v>1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1</v>
      </c>
      <c r="T893" s="13">
        <v>0</v>
      </c>
      <c r="U893" s="13">
        <v>306</v>
      </c>
      <c r="V893" s="13" t="str" cm="1">
        <f t="array" ref="V893">_xlfn.IFS(U893&lt;=250,"0-R$250",U893&lt;=500,"251-R$500",U893&lt;=750,"501-R$750",U893&lt;=1000,"751-R$1000",U893&lt;=1250,"1001-R$1250",U893&lt;=1500,"1251-R$1500")</f>
        <v>251-R$500</v>
      </c>
      <c r="W893" s="13">
        <v>5</v>
      </c>
      <c r="X893" s="13" t="str" cm="1">
        <f t="array" ref="X893">_xlfn.IFS(W893 = 0, "0", W893&lt;=20, "até R$20",W893&lt;=40, "21 - R$40",W893&lt;=60, "41- R$60",W893&lt;=80, "61 - R$80", W893&lt;=100, "81 - R$100",W893&lt;=120, "101 - R$120",W893&lt;=140, "121 - R$140", W893&lt;=160, "141- R$160", W893&lt;=180, "161 - R$180", W893&lt;=200, "181-R$194")</f>
        <v>até R$20</v>
      </c>
      <c r="Y893" s="13">
        <v>109</v>
      </c>
      <c r="Z893" s="13">
        <v>21</v>
      </c>
      <c r="AA893" s="13">
        <v>109</v>
      </c>
      <c r="AB893" s="13">
        <v>92</v>
      </c>
      <c r="AC893" s="13">
        <v>9</v>
      </c>
      <c r="AD893" s="13">
        <v>5</v>
      </c>
      <c r="AE893" s="13">
        <v>2</v>
      </c>
      <c r="AF893" s="13">
        <v>10</v>
      </c>
      <c r="AG893" s="13">
        <v>6</v>
      </c>
      <c r="AH893" s="13">
        <v>0</v>
      </c>
      <c r="AI893" s="13">
        <v>0</v>
      </c>
      <c r="AJ893" s="13">
        <v>0</v>
      </c>
      <c r="AK893" s="13">
        <v>0</v>
      </c>
      <c r="AL893" s="13">
        <v>0</v>
      </c>
      <c r="AM893" s="13">
        <v>0</v>
      </c>
      <c r="AN893" s="13">
        <v>0</v>
      </c>
      <c r="AO893" s="14">
        <v>0</v>
      </c>
      <c r="AP893" s="13">
        <v>3</v>
      </c>
      <c r="AQ893" s="13">
        <v>11</v>
      </c>
      <c r="AR893" s="15">
        <v>458</v>
      </c>
      <c r="AS893" s="15">
        <v>550</v>
      </c>
    </row>
    <row r="894" spans="1:45" x14ac:dyDescent="0.25">
      <c r="A894">
        <v>104</v>
      </c>
      <c r="B894" s="11">
        <f t="shared" si="13"/>
        <v>57288</v>
      </c>
      <c r="C894" s="12">
        <v>572880</v>
      </c>
      <c r="D894" s="13">
        <v>0</v>
      </c>
      <c r="E894" s="13">
        <v>1</v>
      </c>
      <c r="F894" s="13">
        <v>27</v>
      </c>
      <c r="G894" s="13">
        <v>57</v>
      </c>
      <c r="H894" s="13" t="str" cm="1">
        <f t="array" ref="H894">_xlfn.IFS(G894&lt;=20,"0-20",G894&lt;=30,"20-30",G894&lt;=40,"30-40",G894&lt;=50,"50-60",G894&lt;=60,"60-70",G894&lt;=70,"70-80",G894&lt;=80,"80-90")</f>
        <v>60-70</v>
      </c>
      <c r="I894" s="13">
        <v>2163</v>
      </c>
      <c r="J894" s="13" t="str" cm="1">
        <f t="array" ref="J894">_xlfn.IFS(K894=1,"Divorciado",L894=1,"Casado",M894=1,"Solteiro",N894=1,"Juntos",O894=1,"Viuvo")</f>
        <v>Juntos</v>
      </c>
      <c r="K894" s="13">
        <v>0</v>
      </c>
      <c r="L894" s="13">
        <v>0</v>
      </c>
      <c r="M894" s="13">
        <v>0</v>
      </c>
      <c r="N894" s="13">
        <v>1</v>
      </c>
      <c r="O894" s="13">
        <v>0</v>
      </c>
      <c r="P894" s="13">
        <v>0</v>
      </c>
      <c r="Q894" s="13">
        <v>0</v>
      </c>
      <c r="R894" s="13">
        <v>0</v>
      </c>
      <c r="S894" s="13">
        <v>1</v>
      </c>
      <c r="T894" s="13">
        <v>0</v>
      </c>
      <c r="U894" s="13">
        <v>527</v>
      </c>
      <c r="V894" s="13" t="str" cm="1">
        <f t="array" ref="V894">_xlfn.IFS(U894&lt;=250,"0-R$250",U894&lt;=500,"251-R$500",U894&lt;=750,"501-R$750",U894&lt;=1000,"751-R$1000",U894&lt;=1250,"1001-R$1250",U894&lt;=1500,"1251-R$1500")</f>
        <v>501-R$750</v>
      </c>
      <c r="W894" s="13">
        <v>0</v>
      </c>
      <c r="X894" s="13" t="str" cm="1">
        <f t="array" ref="X894">_xlfn.IFS(W894 = 0, "0", W894&lt;=20, "até R$20",W894&lt;=40, "21 - R$40",W894&lt;=60, "41- R$60",W894&lt;=80, "61 - R$80", W894&lt;=100, "81 - R$100",W894&lt;=120, "101 - R$120",W894&lt;=140, "121 - R$140", W894&lt;=160, "141- R$160", W894&lt;=180, "161 - R$180", W894&lt;=200, "181-R$194")</f>
        <v>0</v>
      </c>
      <c r="Y894" s="13">
        <v>21</v>
      </c>
      <c r="Z894" s="13">
        <v>0</v>
      </c>
      <c r="AA894" s="13">
        <v>0</v>
      </c>
      <c r="AB894" s="13">
        <v>60</v>
      </c>
      <c r="AC894" s="13">
        <v>3</v>
      </c>
      <c r="AD894" s="13">
        <v>8</v>
      </c>
      <c r="AE894" s="13">
        <v>1</v>
      </c>
      <c r="AF894" s="13">
        <v>8</v>
      </c>
      <c r="AG894" s="13">
        <v>6</v>
      </c>
      <c r="AH894" s="13">
        <v>0</v>
      </c>
      <c r="AI894" s="13">
        <v>0</v>
      </c>
      <c r="AJ894" s="13">
        <v>1</v>
      </c>
      <c r="AK894" s="13">
        <v>0</v>
      </c>
      <c r="AL894" s="13">
        <v>0</v>
      </c>
      <c r="AM894" s="13">
        <v>0</v>
      </c>
      <c r="AN894" s="13">
        <v>0</v>
      </c>
      <c r="AO894" s="14">
        <v>1</v>
      </c>
      <c r="AP894" s="13">
        <v>3</v>
      </c>
      <c r="AQ894" s="13">
        <v>11</v>
      </c>
      <c r="AR894" s="15">
        <v>488</v>
      </c>
      <c r="AS894" s="15">
        <v>548</v>
      </c>
    </row>
    <row r="895" spans="1:45" x14ac:dyDescent="0.25">
      <c r="A895">
        <v>742</v>
      </c>
      <c r="B895" s="11">
        <f t="shared" si="13"/>
        <v>79146</v>
      </c>
      <c r="C895" s="12">
        <v>791460</v>
      </c>
      <c r="D895" s="13">
        <v>1</v>
      </c>
      <c r="E895" s="13">
        <v>1</v>
      </c>
      <c r="F895" s="13">
        <v>33</v>
      </c>
      <c r="G895" s="13">
        <v>53</v>
      </c>
      <c r="H895" s="13" t="str" cm="1">
        <f t="array" ref="H895">_xlfn.IFS(G895&lt;=20,"0-20",G895&lt;=30,"20-30",G895&lt;=40,"30-40",G895&lt;=50,"50-60",G895&lt;=60,"60-70",G895&lt;=70,"70-80",G895&lt;=80,"80-90")</f>
        <v>60-70</v>
      </c>
      <c r="I895" s="13">
        <v>2225</v>
      </c>
      <c r="J895" s="13" t="str" cm="1">
        <f t="array" ref="J895">_xlfn.IFS(K895=1,"Divorciado",L895=1,"Casado",M895=1,"Solteiro",N895=1,"Juntos",O895=1,"Viuvo")</f>
        <v>Solteiro</v>
      </c>
      <c r="K895" s="13">
        <v>0</v>
      </c>
      <c r="L895" s="13">
        <v>0</v>
      </c>
      <c r="M895" s="13">
        <v>1</v>
      </c>
      <c r="N895" s="13">
        <v>0</v>
      </c>
      <c r="O895" s="13">
        <v>0</v>
      </c>
      <c r="P895" s="13">
        <v>0</v>
      </c>
      <c r="Q895" s="13">
        <v>0</v>
      </c>
      <c r="R895" s="13">
        <v>1</v>
      </c>
      <c r="S895" s="13">
        <v>0</v>
      </c>
      <c r="T895" s="13">
        <v>0</v>
      </c>
      <c r="U895" s="13">
        <v>245</v>
      </c>
      <c r="V895" s="13" t="str" cm="1">
        <f t="array" ref="V895">_xlfn.IFS(U895&lt;=250,"0-R$250",U895&lt;=500,"251-R$500",U895&lt;=750,"501-R$750",U895&lt;=1000,"751-R$1000",U895&lt;=1250,"1001-R$1250",U895&lt;=1500,"1251-R$1500")</f>
        <v>0-R$250</v>
      </c>
      <c r="W895" s="13">
        <v>16</v>
      </c>
      <c r="X895" s="13" t="str" cm="1">
        <f t="array" ref="X895">_xlfn.IFS(W895 = 0, "0", W895&lt;=20, "até R$20",W895&lt;=40, "21 - R$40",W895&lt;=60, "41- R$60",W895&lt;=80, "61 - R$80", W895&lt;=100, "81 - R$100",W895&lt;=120, "101 - R$120",W895&lt;=140, "121 - R$140", W895&lt;=160, "141- R$160", W895&lt;=180, "161 - R$180", W895&lt;=200, "181-R$194")</f>
        <v>até R$20</v>
      </c>
      <c r="Y895" s="13">
        <v>223</v>
      </c>
      <c r="Z895" s="13">
        <v>21</v>
      </c>
      <c r="AA895" s="13">
        <v>43</v>
      </c>
      <c r="AB895" s="13">
        <v>16</v>
      </c>
      <c r="AC895" s="13">
        <v>2</v>
      </c>
      <c r="AD895" s="13">
        <v>8</v>
      </c>
      <c r="AE895" s="13">
        <v>1</v>
      </c>
      <c r="AF895" s="13">
        <v>8</v>
      </c>
      <c r="AG895" s="13">
        <v>6</v>
      </c>
      <c r="AH895" s="13">
        <v>0</v>
      </c>
      <c r="AI895" s="13">
        <v>0</v>
      </c>
      <c r="AJ895" s="13">
        <v>0</v>
      </c>
      <c r="AK895" s="13">
        <v>0</v>
      </c>
      <c r="AL895" s="13">
        <v>0</v>
      </c>
      <c r="AM895" s="13">
        <v>0</v>
      </c>
      <c r="AN895" s="13">
        <v>0</v>
      </c>
      <c r="AO895" s="14">
        <v>0</v>
      </c>
      <c r="AP895" s="13">
        <v>3</v>
      </c>
      <c r="AQ895" s="13">
        <v>11</v>
      </c>
      <c r="AR895" s="15">
        <v>532</v>
      </c>
      <c r="AS895" s="15">
        <v>548</v>
      </c>
    </row>
    <row r="896" spans="1:45" x14ac:dyDescent="0.25">
      <c r="A896">
        <v>1711</v>
      </c>
      <c r="B896" s="11">
        <f t="shared" si="13"/>
        <v>79146</v>
      </c>
      <c r="C896" s="16">
        <v>791460</v>
      </c>
      <c r="D896" s="17">
        <v>1</v>
      </c>
      <c r="E896" s="17">
        <v>1</v>
      </c>
      <c r="F896" s="17">
        <v>33</v>
      </c>
      <c r="G896" s="17">
        <v>53</v>
      </c>
      <c r="H896" s="13" t="str" cm="1">
        <f t="array" ref="H896">_xlfn.IFS(G896&lt;=20,"0-20",G896&lt;=30,"20-30",G896&lt;=40,"30-40",G896&lt;=50,"50-60",G896&lt;=60,"60-70",G896&lt;=70,"70-80",G896&lt;=80,"80-90")</f>
        <v>60-70</v>
      </c>
      <c r="I896" s="17">
        <v>2225</v>
      </c>
      <c r="J896" s="13" t="str" cm="1">
        <f t="array" ref="J896">_xlfn.IFS(K896=1,"Divorciado",L896=1,"Casado",M896=1,"Solteiro",N896=1,"Juntos",O896=1,"Viuvo")</f>
        <v>Solteiro</v>
      </c>
      <c r="K896" s="17">
        <v>0</v>
      </c>
      <c r="L896" s="17">
        <v>0</v>
      </c>
      <c r="M896" s="17">
        <v>1</v>
      </c>
      <c r="N896" s="17">
        <v>0</v>
      </c>
      <c r="O896" s="17">
        <v>0</v>
      </c>
      <c r="P896" s="17">
        <v>0</v>
      </c>
      <c r="Q896" s="17">
        <v>0</v>
      </c>
      <c r="R896" s="17">
        <v>1</v>
      </c>
      <c r="S896" s="17">
        <v>0</v>
      </c>
      <c r="T896" s="17">
        <v>0</v>
      </c>
      <c r="U896" s="17">
        <v>245</v>
      </c>
      <c r="V896" s="13" t="str" cm="1">
        <f t="array" ref="V896">_xlfn.IFS(U896&lt;=250,"0-R$250",U896&lt;=500,"251-R$500",U896&lt;=750,"501-R$750",U896&lt;=1000,"751-R$1000",U896&lt;=1250,"1001-R$1250",U896&lt;=1500,"1251-R$1500")</f>
        <v>0-R$250</v>
      </c>
      <c r="W896" s="17">
        <v>16</v>
      </c>
      <c r="X896" s="13" t="str" cm="1">
        <f t="array" ref="X896">_xlfn.IFS(W896 = 0, "0", W896&lt;=20, "até R$20",W896&lt;=40, "21 - R$40",W896&lt;=60, "41- R$60",W896&lt;=80, "61 - R$80", W896&lt;=100, "81 - R$100",W896&lt;=120, "101 - R$120",W896&lt;=140, "121 - R$140", W896&lt;=160, "141- R$160", W896&lt;=180, "161 - R$180", W896&lt;=200, "181-R$194")</f>
        <v>até R$20</v>
      </c>
      <c r="Y896" s="17">
        <v>223</v>
      </c>
      <c r="Z896" s="17">
        <v>21</v>
      </c>
      <c r="AA896" s="17">
        <v>43</v>
      </c>
      <c r="AB896" s="17">
        <v>16</v>
      </c>
      <c r="AC896" s="17">
        <v>2</v>
      </c>
      <c r="AD896" s="17">
        <v>8</v>
      </c>
      <c r="AE896" s="17">
        <v>1</v>
      </c>
      <c r="AF896" s="17">
        <v>8</v>
      </c>
      <c r="AG896" s="17">
        <v>6</v>
      </c>
      <c r="AH896" s="17">
        <v>0</v>
      </c>
      <c r="AI896" s="17">
        <v>0</v>
      </c>
      <c r="AJ896" s="17">
        <v>0</v>
      </c>
      <c r="AK896" s="17">
        <v>0</v>
      </c>
      <c r="AL896" s="17">
        <v>0</v>
      </c>
      <c r="AM896" s="17">
        <v>0</v>
      </c>
      <c r="AN896" s="17">
        <v>0</v>
      </c>
      <c r="AO896" s="18">
        <v>0</v>
      </c>
      <c r="AP896" s="17">
        <v>3</v>
      </c>
      <c r="AQ896" s="17">
        <v>11</v>
      </c>
      <c r="AR896" s="19">
        <v>532</v>
      </c>
      <c r="AS896" s="19">
        <v>548</v>
      </c>
    </row>
    <row r="897" spans="1:45" x14ac:dyDescent="0.25">
      <c r="A897">
        <v>2048</v>
      </c>
      <c r="B897" s="11">
        <f t="shared" si="13"/>
        <v>64713</v>
      </c>
      <c r="C897" s="12">
        <v>647130</v>
      </c>
      <c r="D897" s="13">
        <v>1</v>
      </c>
      <c r="E897" s="13">
        <v>0</v>
      </c>
      <c r="F897" s="13">
        <v>11</v>
      </c>
      <c r="G897" s="13">
        <v>50</v>
      </c>
      <c r="H897" s="13" t="str" cm="1">
        <f t="array" ref="H897">_xlfn.IFS(G897&lt;=20,"0-20",G897&lt;=30,"20-30",G897&lt;=40,"30-40",G897&lt;=50,"50-60",G897&lt;=60,"60-70",G897&lt;=70,"70-80",G897&lt;=80,"80-90")</f>
        <v>50-60</v>
      </c>
      <c r="I897" s="13">
        <v>2301</v>
      </c>
      <c r="J897" s="13" t="str" cm="1">
        <f t="array" ref="J897">_xlfn.IFS(K897=1,"Divorciado",L897=1,"Casado",M897=1,"Solteiro",N897=1,"Juntos",O897=1,"Viuvo")</f>
        <v>Divorciado</v>
      </c>
      <c r="K897" s="13">
        <v>1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1</v>
      </c>
      <c r="S897" s="13">
        <v>0</v>
      </c>
      <c r="T897" s="13">
        <v>0</v>
      </c>
      <c r="U897" s="13">
        <v>180</v>
      </c>
      <c r="V897" s="13" t="str" cm="1">
        <f t="array" ref="V897">_xlfn.IFS(U897&lt;=250,"0-R$250",U897&lt;=500,"251-R$500",U897&lt;=750,"501-R$750",U897&lt;=1000,"751-R$1000",U897&lt;=1250,"1001-R$1250",U897&lt;=1500,"1251-R$1500")</f>
        <v>0-R$250</v>
      </c>
      <c r="W897" s="13">
        <v>60</v>
      </c>
      <c r="X897" s="13" t="str" cm="1">
        <f t="array" ref="X897">_xlfn.IFS(W897 = 0, "0", W897&lt;=20, "até R$20",W897&lt;=40, "21 - R$40",W897&lt;=60, "41- R$60",W897&lt;=80, "61 - R$80", W897&lt;=100, "81 - R$100",W897&lt;=120, "101 - R$120",W897&lt;=140, "121 - R$140", W897&lt;=160, "141- R$160", W897&lt;=180, "161 - R$180", W897&lt;=200, "181-R$194")</f>
        <v>41- R$60</v>
      </c>
      <c r="Y897" s="13">
        <v>241</v>
      </c>
      <c r="Z897" s="13">
        <v>13</v>
      </c>
      <c r="AA897" s="13">
        <v>54</v>
      </c>
      <c r="AB897" s="13">
        <v>54</v>
      </c>
      <c r="AC897" s="13">
        <v>2</v>
      </c>
      <c r="AD897" s="13">
        <v>5</v>
      </c>
      <c r="AE897" s="13">
        <v>5</v>
      </c>
      <c r="AF897" s="13">
        <v>7</v>
      </c>
      <c r="AG897" s="13">
        <v>4</v>
      </c>
      <c r="AH897" s="13">
        <v>0</v>
      </c>
      <c r="AI897" s="13">
        <v>0</v>
      </c>
      <c r="AJ897" s="13">
        <v>0</v>
      </c>
      <c r="AK897" s="13">
        <v>0</v>
      </c>
      <c r="AL897" s="13">
        <v>0</v>
      </c>
      <c r="AM897" s="13">
        <v>0</v>
      </c>
      <c r="AN897" s="13">
        <v>1</v>
      </c>
      <c r="AO897" s="14">
        <v>0</v>
      </c>
      <c r="AP897" s="13">
        <v>3</v>
      </c>
      <c r="AQ897" s="13">
        <v>11</v>
      </c>
      <c r="AR897" s="15">
        <v>494</v>
      </c>
      <c r="AS897" s="15">
        <v>548</v>
      </c>
    </row>
    <row r="898" spans="1:45" x14ac:dyDescent="0.25">
      <c r="A898">
        <v>694</v>
      </c>
      <c r="B898" s="11">
        <f t="shared" ref="B898:B961" si="14">C898/10</f>
        <v>58398</v>
      </c>
      <c r="C898" s="12">
        <v>583980</v>
      </c>
      <c r="D898" s="13">
        <v>0</v>
      </c>
      <c r="E898" s="13">
        <v>0</v>
      </c>
      <c r="F898" s="13">
        <v>44</v>
      </c>
      <c r="G898" s="13">
        <v>67</v>
      </c>
      <c r="H898" s="13" t="str" cm="1">
        <f t="array" ref="H898">_xlfn.IFS(G898&lt;=20,"0-20",G898&lt;=30,"20-30",G898&lt;=40,"30-40",G898&lt;=50,"50-60",G898&lt;=60,"60-70",G898&lt;=70,"70-80",G898&lt;=80,"80-90")</f>
        <v>70-80</v>
      </c>
      <c r="I898" s="13">
        <v>2570</v>
      </c>
      <c r="J898" s="13" t="str" cm="1">
        <f t="array" ref="J898">_xlfn.IFS(K898=1,"Divorciado",L898=1,"Casado",M898=1,"Solteiro",N898=1,"Juntos",O898=1,"Viuvo")</f>
        <v>Juntos</v>
      </c>
      <c r="K898" s="13">
        <v>0</v>
      </c>
      <c r="L898" s="13">
        <v>0</v>
      </c>
      <c r="M898" s="13">
        <v>0</v>
      </c>
      <c r="N898" s="13">
        <v>1</v>
      </c>
      <c r="O898" s="13">
        <v>0</v>
      </c>
      <c r="P898" s="13">
        <v>0</v>
      </c>
      <c r="Q898" s="13">
        <v>0</v>
      </c>
      <c r="R898" s="13">
        <v>1</v>
      </c>
      <c r="S898" s="13">
        <v>0</v>
      </c>
      <c r="T898" s="13">
        <v>0</v>
      </c>
      <c r="U898" s="13">
        <v>299</v>
      </c>
      <c r="V898" s="13" t="str" cm="1">
        <f t="array" ref="V898">_xlfn.IFS(U898&lt;=250,"0-R$250",U898&lt;=500,"251-R$500",U898&lt;=750,"501-R$750",U898&lt;=1000,"751-R$1000",U898&lt;=1250,"1001-R$1250",U898&lt;=1500,"1251-R$1500")</f>
        <v>251-R$500</v>
      </c>
      <c r="W898" s="13">
        <v>5</v>
      </c>
      <c r="X898" s="13" t="str" cm="1">
        <f t="array" ref="X898">_xlfn.IFS(W898 = 0, "0", W898&lt;=20, "até R$20",W898&lt;=40, "21 - R$40",W898&lt;=60, "41- R$60",W898&lt;=80, "61 - R$80", W898&lt;=100, "81 - R$100",W898&lt;=120, "101 - R$120",W898&lt;=140, "121 - R$140", W898&lt;=160, "141- R$160", W898&lt;=180, "161 - R$180", W898&lt;=200, "181-R$194")</f>
        <v>até R$20</v>
      </c>
      <c r="Y898" s="13">
        <v>201</v>
      </c>
      <c r="Z898" s="13">
        <v>21</v>
      </c>
      <c r="AA898" s="13">
        <v>21</v>
      </c>
      <c r="AB898" s="13">
        <v>49</v>
      </c>
      <c r="AC898" s="13">
        <v>3</v>
      </c>
      <c r="AD898" s="13">
        <v>5</v>
      </c>
      <c r="AE898" s="13">
        <v>4</v>
      </c>
      <c r="AF898" s="13">
        <v>8</v>
      </c>
      <c r="AG898" s="13">
        <v>4</v>
      </c>
      <c r="AH898" s="13">
        <v>0</v>
      </c>
      <c r="AI898" s="13">
        <v>0</v>
      </c>
      <c r="AJ898" s="13">
        <v>0</v>
      </c>
      <c r="AK898" s="13">
        <v>0</v>
      </c>
      <c r="AL898" s="13">
        <v>0</v>
      </c>
      <c r="AM898" s="13">
        <v>0</v>
      </c>
      <c r="AN898" s="13">
        <v>0</v>
      </c>
      <c r="AO898" s="14">
        <v>0</v>
      </c>
      <c r="AP898" s="13">
        <v>3</v>
      </c>
      <c r="AQ898" s="13">
        <v>11</v>
      </c>
      <c r="AR898" s="15">
        <v>498</v>
      </c>
      <c r="AS898" s="15">
        <v>547</v>
      </c>
    </row>
    <row r="899" spans="1:45" x14ac:dyDescent="0.25">
      <c r="A899">
        <v>2138</v>
      </c>
      <c r="B899" s="11">
        <f t="shared" si="14"/>
        <v>69263</v>
      </c>
      <c r="C899" s="12">
        <v>692630</v>
      </c>
      <c r="D899" s="13">
        <v>0</v>
      </c>
      <c r="E899" s="13">
        <v>1</v>
      </c>
      <c r="F899" s="13">
        <v>14</v>
      </c>
      <c r="G899" s="13">
        <v>55</v>
      </c>
      <c r="H899" s="13" t="str" cm="1">
        <f t="array" ref="H899">_xlfn.IFS(G899&lt;=20,"0-20",G899&lt;=30,"20-30",G899&lt;=40,"30-40",G899&lt;=50,"50-60",G899&lt;=60,"60-70",G899&lt;=70,"70-80",G899&lt;=80,"80-90")</f>
        <v>60-70</v>
      </c>
      <c r="I899" s="13">
        <v>2275</v>
      </c>
      <c r="J899" s="13" t="str" cm="1">
        <f t="array" ref="J899">_xlfn.IFS(K899=1,"Divorciado",L899=1,"Casado",M899=1,"Solteiro",N899=1,"Juntos",O899=1,"Viuvo")</f>
        <v>Solteiro</v>
      </c>
      <c r="K899" s="13">
        <v>0</v>
      </c>
      <c r="L899" s="13">
        <v>0</v>
      </c>
      <c r="M899" s="13">
        <v>1</v>
      </c>
      <c r="N899" s="13">
        <v>0</v>
      </c>
      <c r="O899" s="13">
        <v>0</v>
      </c>
      <c r="P899" s="13">
        <v>0</v>
      </c>
      <c r="Q899" s="13">
        <v>0</v>
      </c>
      <c r="R899" s="13">
        <v>1</v>
      </c>
      <c r="S899" s="13">
        <v>0</v>
      </c>
      <c r="T899" s="13">
        <v>0</v>
      </c>
      <c r="U899" s="13">
        <v>492</v>
      </c>
      <c r="V899" s="13" t="str" cm="1">
        <f t="array" ref="V899">_xlfn.IFS(U899&lt;=250,"0-R$250",U899&lt;=500,"251-R$500",U899&lt;=750,"501-R$750",U899&lt;=1000,"751-R$1000",U899&lt;=1250,"1001-R$1250",U899&lt;=1500,"1251-R$1500")</f>
        <v>251-R$500</v>
      </c>
      <c r="W899" s="13">
        <v>5</v>
      </c>
      <c r="X899" s="13" t="str" cm="1">
        <f t="array" ref="X899">_xlfn.IFS(W899 = 0, "0", W899&lt;=20, "até R$20",W899&lt;=40, "21 - R$40",W899&lt;=60, "41- R$60",W899&lt;=80, "61 - R$80", W899&lt;=100, "81 - R$100",W899&lt;=120, "101 - R$120",W899&lt;=140, "121 - R$140", W899&lt;=160, "141- R$160", W899&lt;=180, "161 - R$180", W899&lt;=200, "181-R$194")</f>
        <v>até R$20</v>
      </c>
      <c r="Y899" s="13">
        <v>32</v>
      </c>
      <c r="Z899" s="13">
        <v>13</v>
      </c>
      <c r="AA899" s="13">
        <v>5</v>
      </c>
      <c r="AB899" s="13">
        <v>21</v>
      </c>
      <c r="AC899" s="13">
        <v>1</v>
      </c>
      <c r="AD899" s="13">
        <v>9</v>
      </c>
      <c r="AE899" s="13">
        <v>1</v>
      </c>
      <c r="AF899" s="13">
        <v>7</v>
      </c>
      <c r="AG899" s="13">
        <v>6</v>
      </c>
      <c r="AH899" s="13">
        <v>0</v>
      </c>
      <c r="AI899" s="13">
        <v>0</v>
      </c>
      <c r="AJ899" s="13">
        <v>1</v>
      </c>
      <c r="AK899" s="13">
        <v>0</v>
      </c>
      <c r="AL899" s="13">
        <v>0</v>
      </c>
      <c r="AM899" s="13">
        <v>0</v>
      </c>
      <c r="AN899" s="13">
        <v>0</v>
      </c>
      <c r="AO899" s="14">
        <v>1</v>
      </c>
      <c r="AP899" s="13">
        <v>3</v>
      </c>
      <c r="AQ899" s="13">
        <v>11</v>
      </c>
      <c r="AR899" s="15">
        <v>526</v>
      </c>
      <c r="AS899" s="15">
        <v>547</v>
      </c>
    </row>
    <row r="900" spans="1:45" x14ac:dyDescent="0.25">
      <c r="A900">
        <v>973</v>
      </c>
      <c r="B900" s="11">
        <f t="shared" si="14"/>
        <v>42021</v>
      </c>
      <c r="C900" s="16">
        <v>420210</v>
      </c>
      <c r="D900" s="17">
        <v>1</v>
      </c>
      <c r="E900" s="17">
        <v>0</v>
      </c>
      <c r="F900" s="17">
        <v>34</v>
      </c>
      <c r="G900" s="17">
        <v>39</v>
      </c>
      <c r="H900" s="13" t="str" cm="1">
        <f t="array" ref="H900">_xlfn.IFS(G900&lt;=20,"0-20",G900&lt;=30,"20-30",G900&lt;=40,"30-40",G900&lt;=50,"50-60",G900&lt;=60,"60-70",G900&lt;=70,"70-80",G900&lt;=80,"80-90")</f>
        <v>30-40</v>
      </c>
      <c r="I900" s="17">
        <v>2826</v>
      </c>
      <c r="J900" s="13" t="str" cm="1">
        <f t="array" ref="J900">_xlfn.IFS(K900=1,"Divorciado",L900=1,"Casado",M900=1,"Solteiro",N900=1,"Juntos",O900=1,"Viuvo")</f>
        <v>Juntos</v>
      </c>
      <c r="K900" s="17">
        <v>0</v>
      </c>
      <c r="L900" s="17">
        <v>0</v>
      </c>
      <c r="M900" s="17">
        <v>0</v>
      </c>
      <c r="N900" s="17">
        <v>1</v>
      </c>
      <c r="O900" s="17">
        <v>0</v>
      </c>
      <c r="P900" s="17">
        <v>0</v>
      </c>
      <c r="Q900" s="17">
        <v>0</v>
      </c>
      <c r="R900" s="17">
        <v>0</v>
      </c>
      <c r="S900" s="17">
        <v>1</v>
      </c>
      <c r="T900" s="17">
        <v>0</v>
      </c>
      <c r="U900" s="17">
        <v>393</v>
      </c>
      <c r="V900" s="13" t="str" cm="1">
        <f t="array" ref="V900">_xlfn.IFS(U900&lt;=250,"0-R$250",U900&lt;=500,"251-R$500",U900&lt;=750,"501-R$750",U900&lt;=1000,"751-R$1000",U900&lt;=1250,"1001-R$1250",U900&lt;=1500,"1251-R$1500")</f>
        <v>251-R$500</v>
      </c>
      <c r="W900" s="17">
        <v>5</v>
      </c>
      <c r="X900" s="13" t="str" cm="1">
        <f t="array" ref="X900">_xlfn.IFS(W900 = 0, "0", W900&lt;=20, "até R$20",W900&lt;=40, "21 - R$40",W900&lt;=60, "41- R$60",W900&lt;=80, "61 - R$80", W900&lt;=100, "81 - R$100",W900&lt;=120, "101 - R$120",W900&lt;=140, "121 - R$140", W900&lt;=160, "141- R$160", W900&lt;=180, "161 - R$180", W900&lt;=200, "181-R$194")</f>
        <v>até R$20</v>
      </c>
      <c r="Y900" s="17">
        <v>136</v>
      </c>
      <c r="Z900" s="17">
        <v>7</v>
      </c>
      <c r="AA900" s="17">
        <v>5</v>
      </c>
      <c r="AB900" s="17">
        <v>27</v>
      </c>
      <c r="AC900" s="17">
        <v>5</v>
      </c>
      <c r="AD900" s="17">
        <v>10</v>
      </c>
      <c r="AE900" s="17">
        <v>1</v>
      </c>
      <c r="AF900" s="17">
        <v>6</v>
      </c>
      <c r="AG900" s="17">
        <v>9</v>
      </c>
      <c r="AH900" s="17">
        <v>0</v>
      </c>
      <c r="AI900" s="17">
        <v>1</v>
      </c>
      <c r="AJ900" s="17">
        <v>0</v>
      </c>
      <c r="AK900" s="17">
        <v>0</v>
      </c>
      <c r="AL900" s="17">
        <v>0</v>
      </c>
      <c r="AM900" s="17">
        <v>0</v>
      </c>
      <c r="AN900" s="17">
        <v>0</v>
      </c>
      <c r="AO900" s="18">
        <v>1</v>
      </c>
      <c r="AP900" s="17">
        <v>3</v>
      </c>
      <c r="AQ900" s="17">
        <v>11</v>
      </c>
      <c r="AR900" s="19">
        <v>519</v>
      </c>
      <c r="AS900" s="19">
        <v>546</v>
      </c>
    </row>
    <row r="901" spans="1:45" x14ac:dyDescent="0.25">
      <c r="A901">
        <v>1089</v>
      </c>
      <c r="B901" s="11">
        <f t="shared" si="14"/>
        <v>65463</v>
      </c>
      <c r="C901" s="16">
        <v>654630</v>
      </c>
      <c r="D901" s="17">
        <v>1</v>
      </c>
      <c r="E901" s="17">
        <v>0</v>
      </c>
      <c r="F901" s="17">
        <v>17</v>
      </c>
      <c r="G901" s="17">
        <v>46</v>
      </c>
      <c r="H901" s="13" t="str" cm="1">
        <f t="array" ref="H901">_xlfn.IFS(G901&lt;=20,"0-20",G901&lt;=30,"20-30",G901&lt;=40,"30-40",G901&lt;=50,"50-60",G901&lt;=60,"60-70",G901&lt;=70,"70-80",G901&lt;=80,"80-90")</f>
        <v>50-60</v>
      </c>
      <c r="I901" s="17">
        <v>2309</v>
      </c>
      <c r="J901" s="13" t="str" cm="1">
        <f t="array" ref="J901">_xlfn.IFS(K901=1,"Divorciado",L901=1,"Casado",M901=1,"Solteiro",N901=1,"Juntos",O901=1,"Viuvo")</f>
        <v>Casado</v>
      </c>
      <c r="K901" s="17">
        <v>0</v>
      </c>
      <c r="L901" s="17">
        <v>1</v>
      </c>
      <c r="M901" s="17">
        <v>0</v>
      </c>
      <c r="N901" s="17">
        <v>0</v>
      </c>
      <c r="O901" s="17">
        <v>0</v>
      </c>
      <c r="P901" s="17">
        <v>1</v>
      </c>
      <c r="Q901" s="17">
        <v>0</v>
      </c>
      <c r="R901" s="17">
        <v>0</v>
      </c>
      <c r="S901" s="17">
        <v>0</v>
      </c>
      <c r="T901" s="17">
        <v>0</v>
      </c>
      <c r="U901" s="17">
        <v>391</v>
      </c>
      <c r="V901" s="13" t="str" cm="1">
        <f t="array" ref="V901">_xlfn.IFS(U901&lt;=250,"0-R$250",U901&lt;=500,"251-R$500",U901&lt;=750,"501-R$750",U901&lt;=1000,"751-R$1000",U901&lt;=1250,"1001-R$1250",U901&lt;=1500,"1251-R$1500")</f>
        <v>251-R$500</v>
      </c>
      <c r="W901" s="17">
        <v>32</v>
      </c>
      <c r="X901" s="13" t="str" cm="1">
        <f t="array" ref="X901">_xlfn.IFS(W901 = 0, "0", W901&lt;=20, "até R$20",W901&lt;=40, "21 - R$40",W901&lt;=60, "41- R$60",W901&lt;=80, "61 - R$80", W901&lt;=100, "81 - R$100",W901&lt;=120, "101 - R$120",W901&lt;=140, "121 - R$140", W901&lt;=160, "141- R$160", W901&lt;=180, "161 - R$180", W901&lt;=200, "181-R$194")</f>
        <v>21 - R$40</v>
      </c>
      <c r="Y901" s="17">
        <v>70</v>
      </c>
      <c r="Z901" s="17">
        <v>21</v>
      </c>
      <c r="AA901" s="17">
        <v>32</v>
      </c>
      <c r="AB901" s="17">
        <v>16</v>
      </c>
      <c r="AC901" s="17">
        <v>2</v>
      </c>
      <c r="AD901" s="17">
        <v>6</v>
      </c>
      <c r="AE901" s="17">
        <v>2</v>
      </c>
      <c r="AF901" s="17">
        <v>9</v>
      </c>
      <c r="AG901" s="17">
        <v>5</v>
      </c>
      <c r="AH901" s="17">
        <v>0</v>
      </c>
      <c r="AI901" s="17">
        <v>0</v>
      </c>
      <c r="AJ901" s="17">
        <v>1</v>
      </c>
      <c r="AK901" s="17">
        <v>0</v>
      </c>
      <c r="AL901" s="17">
        <v>0</v>
      </c>
      <c r="AM901" s="17">
        <v>0</v>
      </c>
      <c r="AN901" s="17">
        <v>0</v>
      </c>
      <c r="AO901" s="18">
        <v>1</v>
      </c>
      <c r="AP901" s="17">
        <v>3</v>
      </c>
      <c r="AQ901" s="17">
        <v>11</v>
      </c>
      <c r="AR901" s="19">
        <v>530</v>
      </c>
      <c r="AS901" s="19">
        <v>546</v>
      </c>
    </row>
    <row r="902" spans="1:45" x14ac:dyDescent="0.25">
      <c r="A902">
        <v>1436</v>
      </c>
      <c r="B902" s="11">
        <f t="shared" si="14"/>
        <v>64866</v>
      </c>
      <c r="C902" s="12">
        <v>648660</v>
      </c>
      <c r="D902" s="13">
        <v>0</v>
      </c>
      <c r="E902" s="13">
        <v>1</v>
      </c>
      <c r="F902" s="13">
        <v>9</v>
      </c>
      <c r="G902" s="13">
        <v>70</v>
      </c>
      <c r="H902" s="13" t="str" cm="1">
        <f t="array" ref="H902">_xlfn.IFS(G902&lt;=20,"0-20",G902&lt;=30,"20-30",G902&lt;=40,"30-40",G902&lt;=50,"50-60",G902&lt;=60,"60-70",G902&lt;=70,"70-80",G902&lt;=80,"80-90")</f>
        <v>70-80</v>
      </c>
      <c r="I902" s="13">
        <v>2313</v>
      </c>
      <c r="J902" s="13" t="str" cm="1">
        <f t="array" ref="J902">_xlfn.IFS(K902=1,"Divorciado",L902=1,"Casado",M902=1,"Solteiro",N902=1,"Juntos",O902=1,"Viuvo")</f>
        <v>Viuvo</v>
      </c>
      <c r="K902" s="13">
        <v>0</v>
      </c>
      <c r="L902" s="13">
        <v>0</v>
      </c>
      <c r="M902" s="13">
        <v>0</v>
      </c>
      <c r="N902" s="13">
        <v>0</v>
      </c>
      <c r="O902" s="13">
        <v>1</v>
      </c>
      <c r="P902" s="13">
        <v>0</v>
      </c>
      <c r="Q902" s="13">
        <v>0</v>
      </c>
      <c r="R902" s="13">
        <v>0</v>
      </c>
      <c r="S902" s="13">
        <v>1</v>
      </c>
      <c r="T902" s="13">
        <v>0</v>
      </c>
      <c r="U902" s="13">
        <v>508</v>
      </c>
      <c r="V902" s="13" t="str" cm="1">
        <f t="array" ref="V902">_xlfn.IFS(U902&lt;=250,"0-R$250",U902&lt;=500,"251-R$500",U902&lt;=750,"501-R$750",U902&lt;=1000,"751-R$1000",U902&lt;=1250,"1001-R$1250",U902&lt;=1500,"1251-R$1500")</f>
        <v>501-R$750</v>
      </c>
      <c r="W902" s="13">
        <v>5</v>
      </c>
      <c r="X902" s="13" t="str" cm="1">
        <f t="array" ref="X902">_xlfn.IFS(W902 = 0, "0", W902&lt;=20, "até R$20",W902&lt;=40, "21 - R$40",W902&lt;=60, "41- R$60",W902&lt;=80, "61 - R$80", W902&lt;=100, "81 - R$100",W902&lt;=120, "101 - R$120",W902&lt;=140, "121 - R$140", W902&lt;=160, "141- R$160", W902&lt;=180, "161 - R$180", W902&lt;=200, "181-R$194")</f>
        <v>até R$20</v>
      </c>
      <c r="Y902" s="13">
        <v>21</v>
      </c>
      <c r="Z902" s="13">
        <v>7</v>
      </c>
      <c r="AA902" s="13">
        <v>5</v>
      </c>
      <c r="AB902" s="13">
        <v>10</v>
      </c>
      <c r="AC902" s="13">
        <v>4</v>
      </c>
      <c r="AD902" s="13">
        <v>7</v>
      </c>
      <c r="AE902" s="13">
        <v>3</v>
      </c>
      <c r="AF902" s="13">
        <v>7</v>
      </c>
      <c r="AG902" s="13">
        <v>5</v>
      </c>
      <c r="AH902" s="13">
        <v>0</v>
      </c>
      <c r="AI902" s="13">
        <v>0</v>
      </c>
      <c r="AJ902" s="13">
        <v>1</v>
      </c>
      <c r="AK902" s="13">
        <v>0</v>
      </c>
      <c r="AL902" s="13">
        <v>0</v>
      </c>
      <c r="AM902" s="13">
        <v>0</v>
      </c>
      <c r="AN902" s="13">
        <v>0</v>
      </c>
      <c r="AO902" s="14">
        <v>1</v>
      </c>
      <c r="AP902" s="13">
        <v>3</v>
      </c>
      <c r="AQ902" s="13">
        <v>11</v>
      </c>
      <c r="AR902" s="15">
        <v>536</v>
      </c>
      <c r="AS902" s="15">
        <v>546</v>
      </c>
    </row>
    <row r="903" spans="1:45" x14ac:dyDescent="0.25">
      <c r="A903">
        <v>587</v>
      </c>
      <c r="B903" s="11">
        <f t="shared" si="14"/>
        <v>61467</v>
      </c>
      <c r="C903" s="16">
        <v>614670</v>
      </c>
      <c r="D903" s="17">
        <v>0</v>
      </c>
      <c r="E903" s="17">
        <v>2</v>
      </c>
      <c r="F903" s="17">
        <v>69</v>
      </c>
      <c r="G903" s="17">
        <v>72</v>
      </c>
      <c r="H903" s="13" t="str" cm="1">
        <f t="array" ref="H903">_xlfn.IFS(G903&lt;=20,"0-20",G903&lt;=30,"20-30",G903&lt;=40,"30-40",G903&lt;=50,"50-60",G903&lt;=60,"60-70",G903&lt;=70,"70-80",G903&lt;=80,"80-90")</f>
        <v>80-90</v>
      </c>
      <c r="I903" s="17">
        <v>2726</v>
      </c>
      <c r="J903" s="13" t="str" cm="1">
        <f t="array" ref="J903">_xlfn.IFS(K903=1,"Divorciado",L903=1,"Casado",M903=1,"Solteiro",N903=1,"Juntos",O903=1,"Viuvo")</f>
        <v>Casado</v>
      </c>
      <c r="K903" s="17">
        <v>0</v>
      </c>
      <c r="L903" s="17">
        <v>1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1</v>
      </c>
      <c r="U903" s="17">
        <v>410</v>
      </c>
      <c r="V903" s="13" t="str" cm="1">
        <f t="array" ref="V903">_xlfn.IFS(U903&lt;=250,"0-R$250",U903&lt;=500,"251-R$500",U903&lt;=750,"501-R$750",U903&lt;=1000,"751-R$1000",U903&lt;=1250,"1001-R$1250",U903&lt;=1500,"1251-R$1500")</f>
        <v>251-R$500</v>
      </c>
      <c r="W903" s="17">
        <v>16</v>
      </c>
      <c r="X903" s="13" t="str" cm="1">
        <f t="array" ref="X903">_xlfn.IFS(W903 = 0, "0", W903&lt;=20, "até R$20",W903&lt;=40, "21 - R$40",W903&lt;=60, "41- R$60",W903&lt;=80, "61 - R$80", W903&lt;=100, "81 - R$100",W903&lt;=120, "101 - R$120",W903&lt;=140, "121 - R$140", W903&lt;=160, "141- R$160", W903&lt;=180, "161 - R$180", W903&lt;=200, "181-R$194")</f>
        <v>até R$20</v>
      </c>
      <c r="Y903" s="17">
        <v>114</v>
      </c>
      <c r="Z903" s="17">
        <v>0</v>
      </c>
      <c r="AA903" s="17">
        <v>5</v>
      </c>
      <c r="AB903" s="17">
        <v>49</v>
      </c>
      <c r="AC903" s="17">
        <v>3</v>
      </c>
      <c r="AD903" s="17">
        <v>5</v>
      </c>
      <c r="AE903" s="17">
        <v>2</v>
      </c>
      <c r="AF903" s="17">
        <v>10</v>
      </c>
      <c r="AG903" s="17">
        <v>5</v>
      </c>
      <c r="AH903" s="17">
        <v>0</v>
      </c>
      <c r="AI903" s="17">
        <v>0</v>
      </c>
      <c r="AJ903" s="17">
        <v>0</v>
      </c>
      <c r="AK903" s="17">
        <v>0</v>
      </c>
      <c r="AL903" s="17">
        <v>0</v>
      </c>
      <c r="AM903" s="17">
        <v>0</v>
      </c>
      <c r="AN903" s="17">
        <v>0</v>
      </c>
      <c r="AO903" s="18">
        <v>0</v>
      </c>
      <c r="AP903" s="17">
        <v>3</v>
      </c>
      <c r="AQ903" s="17">
        <v>11</v>
      </c>
      <c r="AR903" s="19">
        <v>496</v>
      </c>
      <c r="AS903" s="19">
        <v>545</v>
      </c>
    </row>
    <row r="904" spans="1:45" x14ac:dyDescent="0.25">
      <c r="A904">
        <v>64</v>
      </c>
      <c r="B904" s="11">
        <f t="shared" si="14"/>
        <v>69096</v>
      </c>
      <c r="C904" s="12">
        <v>690960</v>
      </c>
      <c r="D904" s="13">
        <v>0</v>
      </c>
      <c r="E904" s="13">
        <v>1</v>
      </c>
      <c r="F904" s="13">
        <v>4</v>
      </c>
      <c r="G904" s="13">
        <v>62</v>
      </c>
      <c r="H904" s="13" t="str" cm="1">
        <f t="array" ref="H904">_xlfn.IFS(G904&lt;=20,"0-20",G904&lt;=30,"20-30",G904&lt;=40,"30-40",G904&lt;=50,"50-60",G904&lt;=60,"60-70",G904&lt;=70,"70-80",G904&lt;=80,"80-90")</f>
        <v>70-80</v>
      </c>
      <c r="I904" s="13">
        <v>2434</v>
      </c>
      <c r="J904" s="13" t="str" cm="1">
        <f t="array" ref="J904">_xlfn.IFS(K904=1,"Divorciado",L904=1,"Casado",M904=1,"Solteiro",N904=1,"Juntos",O904=1,"Viuvo")</f>
        <v>Juntos</v>
      </c>
      <c r="K904" s="13">
        <v>0</v>
      </c>
      <c r="L904" s="13">
        <v>0</v>
      </c>
      <c r="M904" s="13">
        <v>0</v>
      </c>
      <c r="N904" s="13">
        <v>1</v>
      </c>
      <c r="O904" s="13">
        <v>0</v>
      </c>
      <c r="P904" s="13">
        <v>0</v>
      </c>
      <c r="Q904" s="13">
        <v>0</v>
      </c>
      <c r="R904" s="13">
        <v>1</v>
      </c>
      <c r="S904" s="13">
        <v>0</v>
      </c>
      <c r="T904" s="13">
        <v>0</v>
      </c>
      <c r="U904" s="13">
        <v>247</v>
      </c>
      <c r="V904" s="13" t="str" cm="1">
        <f t="array" ref="V904">_xlfn.IFS(U904&lt;=250,"0-R$250",U904&lt;=500,"251-R$500",U904&lt;=750,"501-R$750",U904&lt;=1000,"751-R$1000",U904&lt;=1250,"1001-R$1250",U904&lt;=1500,"1251-R$1500")</f>
        <v>0-R$250</v>
      </c>
      <c r="W904" s="13">
        <v>49</v>
      </c>
      <c r="X904" s="13" t="str" cm="1">
        <f t="array" ref="X904">_xlfn.IFS(W904 = 0, "0", W904&lt;=20, "até R$20",W904&lt;=40, "21 - R$40",W904&lt;=60, "41- R$60",W904&lt;=80, "61 - R$80", W904&lt;=100, "81 - R$100",W904&lt;=120, "101 - R$120",W904&lt;=140, "121 - R$140", W904&lt;=160, "141- R$160", W904&lt;=180, "161 - R$180", W904&lt;=200, "181-R$194")</f>
        <v>41- R$60</v>
      </c>
      <c r="Y904" s="13">
        <v>159</v>
      </c>
      <c r="Z904" s="13">
        <v>7</v>
      </c>
      <c r="AA904" s="13">
        <v>82</v>
      </c>
      <c r="AB904" s="13">
        <v>109</v>
      </c>
      <c r="AC904" s="13">
        <v>1</v>
      </c>
      <c r="AD904" s="13">
        <v>5</v>
      </c>
      <c r="AE904" s="13">
        <v>2</v>
      </c>
      <c r="AF904" s="13">
        <v>10</v>
      </c>
      <c r="AG904" s="13">
        <v>4</v>
      </c>
      <c r="AH904" s="13">
        <v>0</v>
      </c>
      <c r="AI904" s="13">
        <v>0</v>
      </c>
      <c r="AJ904" s="13">
        <v>0</v>
      </c>
      <c r="AK904" s="13">
        <v>0</v>
      </c>
      <c r="AL904" s="13">
        <v>0</v>
      </c>
      <c r="AM904" s="13">
        <v>0</v>
      </c>
      <c r="AN904" s="13">
        <v>0</v>
      </c>
      <c r="AO904" s="14">
        <v>0</v>
      </c>
      <c r="AP904" s="13">
        <v>3</v>
      </c>
      <c r="AQ904" s="13">
        <v>11</v>
      </c>
      <c r="AR904" s="15">
        <v>435</v>
      </c>
      <c r="AS904" s="15">
        <v>544</v>
      </c>
    </row>
    <row r="905" spans="1:45" x14ac:dyDescent="0.25">
      <c r="A905">
        <v>2015</v>
      </c>
      <c r="B905" s="11">
        <f t="shared" si="14"/>
        <v>49767</v>
      </c>
      <c r="C905" s="16">
        <v>497670</v>
      </c>
      <c r="D905" s="17">
        <v>0</v>
      </c>
      <c r="E905" s="17">
        <v>0</v>
      </c>
      <c r="F905" s="17">
        <v>92</v>
      </c>
      <c r="G905" s="17">
        <v>29</v>
      </c>
      <c r="H905" s="13" t="str" cm="1">
        <f t="array" ref="H905">_xlfn.IFS(G905&lt;=20,"0-20",G905&lt;=30,"20-30",G905&lt;=40,"30-40",G905&lt;=50,"50-60",G905&lt;=60,"60-70",G905&lt;=70,"70-80",G905&lt;=80,"80-90")</f>
        <v>20-30</v>
      </c>
      <c r="I905" s="17">
        <v>2582</v>
      </c>
      <c r="J905" s="13" t="str" cm="1">
        <f t="array" ref="J905">_xlfn.IFS(K905=1,"Divorciado",L905=1,"Casado",M905=1,"Solteiro",N905=1,"Juntos",O905=1,"Viuvo")</f>
        <v>Solteiro</v>
      </c>
      <c r="K905" s="17">
        <v>0</v>
      </c>
      <c r="L905" s="17">
        <v>0</v>
      </c>
      <c r="M905" s="17">
        <v>1</v>
      </c>
      <c r="N905" s="17">
        <v>0</v>
      </c>
      <c r="O905" s="17">
        <v>0</v>
      </c>
      <c r="P905" s="17">
        <v>0</v>
      </c>
      <c r="Q905" s="17">
        <v>0</v>
      </c>
      <c r="R905" s="17">
        <v>1</v>
      </c>
      <c r="S905" s="17">
        <v>0</v>
      </c>
      <c r="T905" s="17">
        <v>0</v>
      </c>
      <c r="U905" s="17">
        <v>202</v>
      </c>
      <c r="V905" s="13" t="str" cm="1">
        <f t="array" ref="V905">_xlfn.IFS(U905&lt;=250,"0-R$250",U905&lt;=500,"251-R$500",U905&lt;=750,"501-R$750",U905&lt;=1000,"751-R$1000",U905&lt;=1250,"1001-R$1250",U905&lt;=1500,"1251-R$1500")</f>
        <v>0-R$250</v>
      </c>
      <c r="W905" s="17">
        <v>47</v>
      </c>
      <c r="X905" s="13" t="str" cm="1">
        <f t="array" ref="X905">_xlfn.IFS(W905 = 0, "0", W905&lt;=20, "até R$20",W905&lt;=40, "21 - R$40",W905&lt;=60, "41- R$60",W905&lt;=80, "61 - R$80", W905&lt;=100, "81 - R$100",W905&lt;=120, "101 - R$120",W905&lt;=140, "121 - R$140", W905&lt;=160, "141- R$160", W905&lt;=180, "161 - R$180", W905&lt;=200, "181-R$194")</f>
        <v>41- R$60</v>
      </c>
      <c r="Y905" s="17">
        <v>197</v>
      </c>
      <c r="Z905" s="17">
        <v>55</v>
      </c>
      <c r="AA905" s="17">
        <v>42</v>
      </c>
      <c r="AB905" s="17">
        <v>149</v>
      </c>
      <c r="AC905" s="17">
        <v>1</v>
      </c>
      <c r="AD905" s="17">
        <v>5</v>
      </c>
      <c r="AE905" s="17">
        <v>4</v>
      </c>
      <c r="AF905" s="17">
        <v>8</v>
      </c>
      <c r="AG905" s="17">
        <v>4</v>
      </c>
      <c r="AH905" s="17">
        <v>0</v>
      </c>
      <c r="AI905" s="17">
        <v>0</v>
      </c>
      <c r="AJ905" s="17">
        <v>0</v>
      </c>
      <c r="AK905" s="17">
        <v>0</v>
      </c>
      <c r="AL905" s="17">
        <v>0</v>
      </c>
      <c r="AM905" s="17">
        <v>0</v>
      </c>
      <c r="AN905" s="17">
        <v>0</v>
      </c>
      <c r="AO905" s="18">
        <v>0</v>
      </c>
      <c r="AP905" s="17">
        <v>3</v>
      </c>
      <c r="AQ905" s="17">
        <v>11</v>
      </c>
      <c r="AR905" s="19">
        <v>394</v>
      </c>
      <c r="AS905" s="19">
        <v>543</v>
      </c>
    </row>
    <row r="906" spans="1:45" x14ac:dyDescent="0.25">
      <c r="A906">
        <v>753</v>
      </c>
      <c r="B906" s="11">
        <f t="shared" si="14"/>
        <v>42720</v>
      </c>
      <c r="C906" s="16">
        <v>427200</v>
      </c>
      <c r="D906" s="17">
        <v>1</v>
      </c>
      <c r="E906" s="17">
        <v>1</v>
      </c>
      <c r="F906" s="17">
        <v>9</v>
      </c>
      <c r="G906" s="17">
        <v>55</v>
      </c>
      <c r="H906" s="13" t="str" cm="1">
        <f t="array" ref="H906">_xlfn.IFS(G906&lt;=20,"0-20",G906&lt;=30,"20-30",G906&lt;=40,"30-40",G906&lt;=50,"50-60",G906&lt;=60,"60-70",G906&lt;=70,"70-80",G906&lt;=80,"80-90")</f>
        <v>60-70</v>
      </c>
      <c r="I906" s="17">
        <v>2590</v>
      </c>
      <c r="J906" s="13" t="str" cm="1">
        <f t="array" ref="J906">_xlfn.IFS(K906=1,"Divorciado",L906=1,"Casado",M906=1,"Solteiro",N906=1,"Juntos",O906=1,"Viuvo")</f>
        <v>Solteiro</v>
      </c>
      <c r="K906" s="17">
        <v>0</v>
      </c>
      <c r="L906" s="17">
        <v>0</v>
      </c>
      <c r="M906" s="17">
        <v>1</v>
      </c>
      <c r="N906" s="17">
        <v>0</v>
      </c>
      <c r="O906" s="17">
        <v>0</v>
      </c>
      <c r="P906" s="17">
        <v>0</v>
      </c>
      <c r="Q906" s="17">
        <v>0</v>
      </c>
      <c r="R906" s="17">
        <v>1</v>
      </c>
      <c r="S906" s="17">
        <v>0</v>
      </c>
      <c r="T906" s="17">
        <v>0</v>
      </c>
      <c r="U906" s="17">
        <v>392</v>
      </c>
      <c r="V906" s="13" t="str" cm="1">
        <f t="array" ref="V906">_xlfn.IFS(U906&lt;=250,"0-R$250",U906&lt;=500,"251-R$500",U906&lt;=750,"501-R$750",U906&lt;=1000,"751-R$1000",U906&lt;=1250,"1001-R$1250",U906&lt;=1500,"1251-R$1500")</f>
        <v>251-R$500</v>
      </c>
      <c r="W906" s="17">
        <v>5</v>
      </c>
      <c r="X906" s="13" t="str" cm="1">
        <f t="array" ref="X906">_xlfn.IFS(W906 = 0, "0", W906&lt;=20, "até R$20",W906&lt;=40, "21 - R$40",W906&lt;=60, "41- R$60",W906&lt;=80, "61 - R$80", W906&lt;=100, "81 - R$100",W906&lt;=120, "101 - R$120",W906&lt;=140, "121 - R$140", W906&lt;=160, "141- R$160", W906&lt;=180, "161 - R$180", W906&lt;=200, "181-R$194")</f>
        <v>até R$20</v>
      </c>
      <c r="Y906" s="17">
        <v>91</v>
      </c>
      <c r="Z906" s="17">
        <v>28</v>
      </c>
      <c r="AA906" s="17">
        <v>26</v>
      </c>
      <c r="AB906" s="17">
        <v>112</v>
      </c>
      <c r="AC906" s="17">
        <v>8</v>
      </c>
      <c r="AD906" s="17">
        <v>7</v>
      </c>
      <c r="AE906" s="17">
        <v>3</v>
      </c>
      <c r="AF906" s="17">
        <v>7</v>
      </c>
      <c r="AG906" s="17">
        <v>8</v>
      </c>
      <c r="AH906" s="17">
        <v>0</v>
      </c>
      <c r="AI906" s="17">
        <v>0</v>
      </c>
      <c r="AJ906" s="17">
        <v>0</v>
      </c>
      <c r="AK906" s="17">
        <v>0</v>
      </c>
      <c r="AL906" s="17">
        <v>0</v>
      </c>
      <c r="AM906" s="17">
        <v>0</v>
      </c>
      <c r="AN906" s="17">
        <v>1</v>
      </c>
      <c r="AO906" s="18">
        <v>0</v>
      </c>
      <c r="AP906" s="17">
        <v>3</v>
      </c>
      <c r="AQ906" s="17">
        <v>11</v>
      </c>
      <c r="AR906" s="19">
        <v>430</v>
      </c>
      <c r="AS906" s="19">
        <v>542</v>
      </c>
    </row>
    <row r="907" spans="1:45" x14ac:dyDescent="0.25">
      <c r="A907">
        <v>983</v>
      </c>
      <c r="B907" s="11">
        <f t="shared" si="14"/>
        <v>56337</v>
      </c>
      <c r="C907" s="16">
        <v>563370</v>
      </c>
      <c r="D907" s="17">
        <v>1</v>
      </c>
      <c r="E907" s="17">
        <v>1</v>
      </c>
      <c r="F907" s="17">
        <v>25</v>
      </c>
      <c r="G907" s="17">
        <v>39</v>
      </c>
      <c r="H907" s="13" t="str" cm="1">
        <f t="array" ref="H907">_xlfn.IFS(G907&lt;=20,"0-20",G907&lt;=30,"20-30",G907&lt;=40,"30-40",G907&lt;=50,"50-60",G907&lt;=60,"60-70",G907&lt;=70,"70-80",G907&lt;=80,"80-90")</f>
        <v>30-40</v>
      </c>
      <c r="I907" s="17">
        <v>2618</v>
      </c>
      <c r="J907" s="13" t="str" cm="1">
        <f t="array" ref="J907">_xlfn.IFS(K907=1,"Divorciado",L907=1,"Casado",M907=1,"Solteiro",N907=1,"Juntos",O907=1,"Viuvo")</f>
        <v>Casado</v>
      </c>
      <c r="K907" s="17">
        <v>0</v>
      </c>
      <c r="L907" s="17">
        <v>1</v>
      </c>
      <c r="M907" s="17">
        <v>0</v>
      </c>
      <c r="N907" s="17">
        <v>0</v>
      </c>
      <c r="O907" s="17">
        <v>0</v>
      </c>
      <c r="P907" s="17">
        <v>1</v>
      </c>
      <c r="Q907" s="17">
        <v>0</v>
      </c>
      <c r="R907" s="17">
        <v>0</v>
      </c>
      <c r="S907" s="17">
        <v>0</v>
      </c>
      <c r="T907" s="17">
        <v>0</v>
      </c>
      <c r="U907" s="17">
        <v>349</v>
      </c>
      <c r="V907" s="13" t="str" cm="1">
        <f t="array" ref="V907">_xlfn.IFS(U907&lt;=250,"0-R$250",U907&lt;=500,"251-R$500",U907&lt;=750,"501-R$750",U907&lt;=1000,"751-R$1000",U907&lt;=1250,"1001-R$1250",U907&lt;=1500,"1251-R$1500")</f>
        <v>251-R$500</v>
      </c>
      <c r="W907" s="17">
        <v>16</v>
      </c>
      <c r="X907" s="13" t="str" cm="1">
        <f t="array" ref="X907">_xlfn.IFS(W907 = 0, "0", W907&lt;=20, "até R$20",W907&lt;=40, "21 - R$40",W907&lt;=60, "41- R$60",W907&lt;=80, "61 - R$80", W907&lt;=100, "81 - R$100",W907&lt;=120, "101 - R$120",W907&lt;=140, "121 - R$140", W907&lt;=160, "141- R$160", W907&lt;=180, "161 - R$180", W907&lt;=200, "181-R$194")</f>
        <v>até R$20</v>
      </c>
      <c r="Y907" s="17">
        <v>144</v>
      </c>
      <c r="Z907" s="17">
        <v>28</v>
      </c>
      <c r="AA907" s="17">
        <v>5</v>
      </c>
      <c r="AB907" s="17">
        <v>182</v>
      </c>
      <c r="AC907" s="17">
        <v>5</v>
      </c>
      <c r="AD907" s="17">
        <v>8</v>
      </c>
      <c r="AE907" s="17">
        <v>5</v>
      </c>
      <c r="AF907" s="17">
        <v>4</v>
      </c>
      <c r="AG907" s="17">
        <v>8</v>
      </c>
      <c r="AH907" s="17">
        <v>0</v>
      </c>
      <c r="AI907" s="17">
        <v>1</v>
      </c>
      <c r="AJ907" s="17">
        <v>0</v>
      </c>
      <c r="AK907" s="17">
        <v>0</v>
      </c>
      <c r="AL907" s="17">
        <v>1</v>
      </c>
      <c r="AM907" s="17">
        <v>0</v>
      </c>
      <c r="AN907" s="17">
        <v>1</v>
      </c>
      <c r="AO907" s="18">
        <v>2</v>
      </c>
      <c r="AP907" s="17">
        <v>3</v>
      </c>
      <c r="AQ907" s="17">
        <v>11</v>
      </c>
      <c r="AR907" s="19">
        <v>360</v>
      </c>
      <c r="AS907" s="19">
        <v>542</v>
      </c>
    </row>
    <row r="908" spans="1:45" x14ac:dyDescent="0.25">
      <c r="A908">
        <v>803</v>
      </c>
      <c r="B908" s="11">
        <f t="shared" si="14"/>
        <v>57091</v>
      </c>
      <c r="C908" s="16">
        <v>570910</v>
      </c>
      <c r="D908" s="17">
        <v>0</v>
      </c>
      <c r="E908" s="17">
        <v>0</v>
      </c>
      <c r="F908" s="17">
        <v>0</v>
      </c>
      <c r="G908" s="17">
        <v>59</v>
      </c>
      <c r="H908" s="13" t="str" cm="1">
        <f t="array" ref="H908">_xlfn.IFS(G908&lt;=20,"0-20",G908&lt;=30,"20-30",G908&lt;=40,"30-40",G908&lt;=50,"50-60",G908&lt;=60,"60-70",G908&lt;=70,"70-80",G908&lt;=80,"80-90")</f>
        <v>60-70</v>
      </c>
      <c r="I908" s="17">
        <v>2173</v>
      </c>
      <c r="J908" s="13" t="str" cm="1">
        <f t="array" ref="J908">_xlfn.IFS(K908=1,"Divorciado",L908=1,"Casado",M908=1,"Solteiro",N908=1,"Juntos",O908=1,"Viuvo")</f>
        <v>Solteiro</v>
      </c>
      <c r="K908" s="17">
        <v>0</v>
      </c>
      <c r="L908" s="17">
        <v>0</v>
      </c>
      <c r="M908" s="17">
        <v>1</v>
      </c>
      <c r="N908" s="17">
        <v>0</v>
      </c>
      <c r="O908" s="17">
        <v>0</v>
      </c>
      <c r="P908" s="17">
        <v>0</v>
      </c>
      <c r="Q908" s="17">
        <v>0</v>
      </c>
      <c r="R908" s="17">
        <v>1</v>
      </c>
      <c r="S908" s="17">
        <v>0</v>
      </c>
      <c r="T908" s="17">
        <v>0</v>
      </c>
      <c r="U908" s="17">
        <v>464</v>
      </c>
      <c r="V908" s="13" t="str" cm="1">
        <f t="array" ref="V908">_xlfn.IFS(U908&lt;=250,"0-R$250",U908&lt;=500,"251-R$500",U908&lt;=750,"501-R$750",U908&lt;=1000,"751-R$1000",U908&lt;=1250,"1001-R$1250",U908&lt;=1500,"1251-R$1500")</f>
        <v>251-R$500</v>
      </c>
      <c r="W908" s="17">
        <v>5</v>
      </c>
      <c r="X908" s="13" t="str" cm="1">
        <f t="array" ref="X908">_xlfn.IFS(W908 = 0, "0", W908&lt;=20, "até R$20",W908&lt;=40, "21 - R$40",W908&lt;=60, "41- R$60",W908&lt;=80, "61 - R$80", W908&lt;=100, "81 - R$100",W908&lt;=120, "101 - R$120",W908&lt;=140, "121 - R$140", W908&lt;=160, "141- R$160", W908&lt;=180, "161 - R$180", W908&lt;=200, "181-R$194")</f>
        <v>até R$20</v>
      </c>
      <c r="Y908" s="17">
        <v>64</v>
      </c>
      <c r="Z908" s="17">
        <v>7</v>
      </c>
      <c r="AA908" s="17">
        <v>0</v>
      </c>
      <c r="AB908" s="17">
        <v>37</v>
      </c>
      <c r="AC908" s="17">
        <v>1</v>
      </c>
      <c r="AD908" s="17">
        <v>7</v>
      </c>
      <c r="AE908" s="17">
        <v>3</v>
      </c>
      <c r="AF908" s="17">
        <v>7</v>
      </c>
      <c r="AG908" s="17">
        <v>5</v>
      </c>
      <c r="AH908" s="17">
        <v>0</v>
      </c>
      <c r="AI908" s="17">
        <v>0</v>
      </c>
      <c r="AJ908" s="17">
        <v>0</v>
      </c>
      <c r="AK908" s="17">
        <v>0</v>
      </c>
      <c r="AL908" s="17">
        <v>0</v>
      </c>
      <c r="AM908" s="17">
        <v>1</v>
      </c>
      <c r="AN908" s="17">
        <v>1</v>
      </c>
      <c r="AO908" s="18">
        <v>1</v>
      </c>
      <c r="AP908" s="17">
        <v>3</v>
      </c>
      <c r="AQ908" s="17">
        <v>11</v>
      </c>
      <c r="AR908" s="19">
        <v>503</v>
      </c>
      <c r="AS908" s="19">
        <v>540</v>
      </c>
    </row>
    <row r="909" spans="1:45" x14ac:dyDescent="0.25">
      <c r="A909">
        <v>1254</v>
      </c>
      <c r="B909" s="11">
        <f t="shared" si="14"/>
        <v>57183</v>
      </c>
      <c r="C909" s="12">
        <v>571830</v>
      </c>
      <c r="D909" s="13">
        <v>1</v>
      </c>
      <c r="E909" s="13">
        <v>1</v>
      </c>
      <c r="F909" s="13">
        <v>51</v>
      </c>
      <c r="G909" s="13">
        <v>54</v>
      </c>
      <c r="H909" s="13" t="str" cm="1">
        <f t="array" ref="H909">_xlfn.IFS(G909&lt;=20,"0-20",G909&lt;=30,"20-30",G909&lt;=40,"30-40",G909&lt;=50,"50-60",G909&lt;=60,"60-70",G909&lt;=70,"70-80",G909&lt;=80,"80-90")</f>
        <v>60-70</v>
      </c>
      <c r="I909" s="13">
        <v>2626</v>
      </c>
      <c r="J909" s="13" t="str" cm="1">
        <f t="array" ref="J909">_xlfn.IFS(K909=1,"Divorciado",L909=1,"Casado",M909=1,"Solteiro",N909=1,"Juntos",O909=1,"Viuvo")</f>
        <v>Casado</v>
      </c>
      <c r="K909" s="13">
        <v>0</v>
      </c>
      <c r="L909" s="13">
        <v>1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1</v>
      </c>
      <c r="T909" s="13">
        <v>0</v>
      </c>
      <c r="U909" s="13">
        <v>464</v>
      </c>
      <c r="V909" s="13" t="str" cm="1">
        <f t="array" ref="V909">_xlfn.IFS(U909&lt;=250,"0-R$250",U909&lt;=500,"251-R$500",U909&lt;=750,"501-R$750",U909&lt;=1000,"751-R$1000",U909&lt;=1250,"1001-R$1250",U909&lt;=1500,"1251-R$1500")</f>
        <v>251-R$500</v>
      </c>
      <c r="W909" s="13">
        <v>5</v>
      </c>
      <c r="X909" s="13" t="str" cm="1">
        <f t="array" ref="X909">_xlfn.IFS(W909 = 0, "0", W909&lt;=20, "até R$20",W909&lt;=40, "21 - R$40",W909&lt;=60, "41- R$60",W909&lt;=80, "61 - R$80", W909&lt;=100, "81 - R$100",W909&lt;=120, "101 - R$120",W909&lt;=140, "121 - R$140", W909&lt;=160, "141- R$160", W909&lt;=180, "161 - R$180", W909&lt;=200, "181-R$194")</f>
        <v>até R$20</v>
      </c>
      <c r="Y909" s="13">
        <v>64</v>
      </c>
      <c r="Z909" s="13">
        <v>7</v>
      </c>
      <c r="AA909" s="13">
        <v>0</v>
      </c>
      <c r="AB909" s="13">
        <v>70</v>
      </c>
      <c r="AC909" s="13">
        <v>8</v>
      </c>
      <c r="AD909" s="13">
        <v>9</v>
      </c>
      <c r="AE909" s="13">
        <v>1</v>
      </c>
      <c r="AF909" s="13">
        <v>7</v>
      </c>
      <c r="AG909" s="13">
        <v>8</v>
      </c>
      <c r="AH909" s="13">
        <v>0</v>
      </c>
      <c r="AI909" s="13">
        <v>0</v>
      </c>
      <c r="AJ909" s="13">
        <v>0</v>
      </c>
      <c r="AK909" s="13">
        <v>0</v>
      </c>
      <c r="AL909" s="13">
        <v>0</v>
      </c>
      <c r="AM909" s="13">
        <v>0</v>
      </c>
      <c r="AN909" s="13">
        <v>0</v>
      </c>
      <c r="AO909" s="14">
        <v>0</v>
      </c>
      <c r="AP909" s="13">
        <v>3</v>
      </c>
      <c r="AQ909" s="13">
        <v>11</v>
      </c>
      <c r="AR909" s="15">
        <v>470</v>
      </c>
      <c r="AS909" s="15">
        <v>540</v>
      </c>
    </row>
    <row r="910" spans="1:45" x14ac:dyDescent="0.25">
      <c r="A910">
        <v>23</v>
      </c>
      <c r="B910" s="11">
        <f t="shared" si="14"/>
        <v>65324</v>
      </c>
      <c r="C910" s="16">
        <v>653240</v>
      </c>
      <c r="D910" s="17">
        <v>0</v>
      </c>
      <c r="E910" s="17">
        <v>1</v>
      </c>
      <c r="F910" s="17">
        <v>0</v>
      </c>
      <c r="G910" s="17">
        <v>66</v>
      </c>
      <c r="H910" s="13" t="str" cm="1">
        <f t="array" ref="H910">_xlfn.IFS(G910&lt;=20,"0-20",G910&lt;=30,"20-30",G910&lt;=40,"30-40",G910&lt;=50,"50-60",G910&lt;=60,"60-70",G910&lt;=70,"70-80",G910&lt;=80,"80-90")</f>
        <v>70-80</v>
      </c>
      <c r="I910" s="17">
        <v>2328</v>
      </c>
      <c r="J910" s="13" t="str" cm="1">
        <f t="array" ref="J910">_xlfn.IFS(K910=1,"Divorciado",L910=1,"Casado",M910=1,"Solteiro",N910=1,"Juntos",O910=1,"Viuvo")</f>
        <v>Casado</v>
      </c>
      <c r="K910" s="17">
        <v>0</v>
      </c>
      <c r="L910" s="17">
        <v>1</v>
      </c>
      <c r="M910" s="17">
        <v>0</v>
      </c>
      <c r="N910" s="17">
        <v>0</v>
      </c>
      <c r="O910" s="17">
        <v>0</v>
      </c>
      <c r="P910" s="17">
        <v>0</v>
      </c>
      <c r="Q910" s="17">
        <v>0</v>
      </c>
      <c r="R910" s="17">
        <v>0</v>
      </c>
      <c r="S910" s="17">
        <v>0</v>
      </c>
      <c r="T910" s="17">
        <v>1</v>
      </c>
      <c r="U910" s="17">
        <v>384</v>
      </c>
      <c r="V910" s="13" t="str" cm="1">
        <f t="array" ref="V910">_xlfn.IFS(U910&lt;=250,"0-R$250",U910&lt;=500,"251-R$500",U910&lt;=750,"501-R$750",U910&lt;=1000,"751-R$1000",U910&lt;=1250,"1001-R$1250",U910&lt;=1500,"1251-R$1500")</f>
        <v>251-R$500</v>
      </c>
      <c r="W910" s="17">
        <v>0</v>
      </c>
      <c r="X910" s="13" t="str" cm="1">
        <f t="array" ref="X910">_xlfn.IFS(W910 = 0, "0", W910&lt;=20, "até R$20",W910&lt;=40, "21 - R$40",W910&lt;=60, "41- R$60",W910&lt;=80, "61 - R$80", W910&lt;=100, "81 - R$100",W910&lt;=120, "101 - R$120",W910&lt;=140, "121 - R$140", W910&lt;=160, "141- R$160", W910&lt;=180, "161 - R$180", W910&lt;=200, "181-R$194")</f>
        <v>0</v>
      </c>
      <c r="Y910" s="17">
        <v>102</v>
      </c>
      <c r="Z910" s="17">
        <v>21</v>
      </c>
      <c r="AA910" s="17">
        <v>32</v>
      </c>
      <c r="AB910" s="17">
        <v>5</v>
      </c>
      <c r="AC910" s="17">
        <v>3</v>
      </c>
      <c r="AD910" s="17">
        <v>6</v>
      </c>
      <c r="AE910" s="17">
        <v>2</v>
      </c>
      <c r="AF910" s="17">
        <v>9</v>
      </c>
      <c r="AG910" s="17">
        <v>4</v>
      </c>
      <c r="AH910" s="17">
        <v>0</v>
      </c>
      <c r="AI910" s="17">
        <v>0</v>
      </c>
      <c r="AJ910" s="17">
        <v>0</v>
      </c>
      <c r="AK910" s="17">
        <v>0</v>
      </c>
      <c r="AL910" s="17">
        <v>0</v>
      </c>
      <c r="AM910" s="17">
        <v>0</v>
      </c>
      <c r="AN910" s="17">
        <v>0</v>
      </c>
      <c r="AO910" s="18">
        <v>0</v>
      </c>
      <c r="AP910" s="17">
        <v>3</v>
      </c>
      <c r="AQ910" s="17">
        <v>11</v>
      </c>
      <c r="AR910" s="19">
        <v>534</v>
      </c>
      <c r="AS910" s="19">
        <v>539</v>
      </c>
    </row>
    <row r="911" spans="1:45" x14ac:dyDescent="0.25">
      <c r="A911">
        <v>832</v>
      </c>
      <c r="B911" s="11">
        <f t="shared" si="14"/>
        <v>65324</v>
      </c>
      <c r="C911" s="12">
        <v>653240</v>
      </c>
      <c r="D911" s="13">
        <v>0</v>
      </c>
      <c r="E911" s="13">
        <v>1</v>
      </c>
      <c r="F911" s="13">
        <v>0</v>
      </c>
      <c r="G911" s="13">
        <v>66</v>
      </c>
      <c r="H911" s="13" t="str" cm="1">
        <f t="array" ref="H911">_xlfn.IFS(G911&lt;=20,"0-20",G911&lt;=30,"20-30",G911&lt;=40,"30-40",G911&lt;=50,"50-60",G911&lt;=60,"60-70",G911&lt;=70,"70-80",G911&lt;=80,"80-90")</f>
        <v>70-80</v>
      </c>
      <c r="I911" s="13">
        <v>2328</v>
      </c>
      <c r="J911" s="13" t="str" cm="1">
        <f t="array" ref="J911">_xlfn.IFS(K911=1,"Divorciado",L911=1,"Casado",M911=1,"Solteiro",N911=1,"Juntos",O911=1,"Viuvo")</f>
        <v>Casado</v>
      </c>
      <c r="K911" s="13">
        <v>0</v>
      </c>
      <c r="L911" s="13">
        <v>1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1</v>
      </c>
      <c r="U911" s="13">
        <v>384</v>
      </c>
      <c r="V911" s="13" t="str" cm="1">
        <f t="array" ref="V911">_xlfn.IFS(U911&lt;=250,"0-R$250",U911&lt;=500,"251-R$500",U911&lt;=750,"501-R$750",U911&lt;=1000,"751-R$1000",U911&lt;=1250,"1001-R$1250",U911&lt;=1500,"1251-R$1500")</f>
        <v>251-R$500</v>
      </c>
      <c r="W911" s="13">
        <v>0</v>
      </c>
      <c r="X911" s="13" t="str" cm="1">
        <f t="array" ref="X911">_xlfn.IFS(W911 = 0, "0", W911&lt;=20, "até R$20",W911&lt;=40, "21 - R$40",W911&lt;=60, "41- R$60",W911&lt;=80, "61 - R$80", W911&lt;=100, "81 - R$100",W911&lt;=120, "101 - R$120",W911&lt;=140, "121 - R$140", W911&lt;=160, "141- R$160", W911&lt;=180, "161 - R$180", W911&lt;=200, "181-R$194")</f>
        <v>0</v>
      </c>
      <c r="Y911" s="13">
        <v>102</v>
      </c>
      <c r="Z911" s="13">
        <v>21</v>
      </c>
      <c r="AA911" s="13">
        <v>32</v>
      </c>
      <c r="AB911" s="13">
        <v>5</v>
      </c>
      <c r="AC911" s="13">
        <v>3</v>
      </c>
      <c r="AD911" s="13">
        <v>6</v>
      </c>
      <c r="AE911" s="13">
        <v>2</v>
      </c>
      <c r="AF911" s="13">
        <v>9</v>
      </c>
      <c r="AG911" s="13">
        <v>4</v>
      </c>
      <c r="AH911" s="13">
        <v>0</v>
      </c>
      <c r="AI911" s="13">
        <v>0</v>
      </c>
      <c r="AJ911" s="13">
        <v>0</v>
      </c>
      <c r="AK911" s="13">
        <v>0</v>
      </c>
      <c r="AL911" s="13">
        <v>0</v>
      </c>
      <c r="AM911" s="13">
        <v>0</v>
      </c>
      <c r="AN911" s="13">
        <v>0</v>
      </c>
      <c r="AO911" s="14">
        <v>0</v>
      </c>
      <c r="AP911" s="13">
        <v>3</v>
      </c>
      <c r="AQ911" s="13">
        <v>11</v>
      </c>
      <c r="AR911" s="15">
        <v>534</v>
      </c>
      <c r="AS911" s="15">
        <v>539</v>
      </c>
    </row>
    <row r="912" spans="1:45" x14ac:dyDescent="0.25">
      <c r="A912">
        <v>1442</v>
      </c>
      <c r="B912" s="11">
        <f t="shared" si="14"/>
        <v>50725</v>
      </c>
      <c r="C912" s="12">
        <v>507250</v>
      </c>
      <c r="D912" s="13">
        <v>0</v>
      </c>
      <c r="E912" s="13">
        <v>1</v>
      </c>
      <c r="F912" s="13">
        <v>45</v>
      </c>
      <c r="G912" s="13">
        <v>67</v>
      </c>
      <c r="H912" s="13" t="str" cm="1">
        <f t="array" ref="H912">_xlfn.IFS(G912&lt;=20,"0-20",G912&lt;=30,"20-30",G912&lt;=40,"30-40",G912&lt;=50,"50-60",G912&lt;=60,"60-70",G912&lt;=70,"70-80",G912&lt;=80,"80-90")</f>
        <v>70-80</v>
      </c>
      <c r="I912" s="13">
        <v>2660</v>
      </c>
      <c r="J912" s="13" t="str" cm="1">
        <f t="array" ref="J912">_xlfn.IFS(K912=1,"Divorciado",L912=1,"Casado",M912=1,"Solteiro",N912=1,"Juntos",O912=1,"Viuvo")</f>
        <v>Casado</v>
      </c>
      <c r="K912" s="13">
        <v>0</v>
      </c>
      <c r="L912" s="13">
        <v>1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1</v>
      </c>
      <c r="S912" s="13">
        <v>0</v>
      </c>
      <c r="T912" s="13">
        <v>0</v>
      </c>
      <c r="U912" s="13">
        <v>443</v>
      </c>
      <c r="V912" s="13" t="str" cm="1">
        <f t="array" ref="V912">_xlfn.IFS(U912&lt;=250,"0-R$250",U912&lt;=500,"251-R$500",U912&lt;=750,"501-R$750",U912&lt;=1000,"751-R$1000",U912&lt;=1250,"1001-R$1250",U912&lt;=1500,"1251-R$1500")</f>
        <v>251-R$500</v>
      </c>
      <c r="W912" s="13">
        <v>10</v>
      </c>
      <c r="X912" s="13" t="str" cm="1">
        <f t="array" ref="X912">_xlfn.IFS(W912 = 0, "0", W912&lt;=20, "até R$20",W912&lt;=40, "21 - R$40",W912&lt;=60, "41- R$60",W912&lt;=80, "61 - R$80", W912&lt;=100, "81 - R$100",W912&lt;=120, "101 - R$120",W912&lt;=140, "121 - R$140", W912&lt;=160, "141- R$160", W912&lt;=180, "161 - R$180", W912&lt;=200, "181-R$194")</f>
        <v>até R$20</v>
      </c>
      <c r="Y912" s="13">
        <v>75</v>
      </c>
      <c r="Z912" s="13">
        <v>0</v>
      </c>
      <c r="AA912" s="13">
        <v>10</v>
      </c>
      <c r="AB912" s="13">
        <v>48</v>
      </c>
      <c r="AC912" s="13">
        <v>4</v>
      </c>
      <c r="AD912" s="13">
        <v>8</v>
      </c>
      <c r="AE912" s="13">
        <v>1</v>
      </c>
      <c r="AF912" s="13">
        <v>8</v>
      </c>
      <c r="AG912" s="13">
        <v>8</v>
      </c>
      <c r="AH912" s="13">
        <v>0</v>
      </c>
      <c r="AI912" s="13">
        <v>0</v>
      </c>
      <c r="AJ912" s="13">
        <v>0</v>
      </c>
      <c r="AK912" s="13">
        <v>0</v>
      </c>
      <c r="AL912" s="13">
        <v>0</v>
      </c>
      <c r="AM912" s="13">
        <v>0</v>
      </c>
      <c r="AN912" s="13">
        <v>0</v>
      </c>
      <c r="AO912" s="14">
        <v>0</v>
      </c>
      <c r="AP912" s="13">
        <v>3</v>
      </c>
      <c r="AQ912" s="13">
        <v>11</v>
      </c>
      <c r="AR912" s="15">
        <v>490</v>
      </c>
      <c r="AS912" s="15">
        <v>538</v>
      </c>
    </row>
    <row r="913" spans="1:45" x14ac:dyDescent="0.25">
      <c r="A913">
        <v>452</v>
      </c>
      <c r="B913" s="11">
        <f t="shared" si="14"/>
        <v>53790</v>
      </c>
      <c r="C913" s="12">
        <v>537900</v>
      </c>
      <c r="D913" s="13">
        <v>0</v>
      </c>
      <c r="E913" s="13">
        <v>2</v>
      </c>
      <c r="F913" s="13">
        <v>86</v>
      </c>
      <c r="G913" s="13">
        <v>69</v>
      </c>
      <c r="H913" s="13" t="str" cm="1">
        <f t="array" ref="H913">_xlfn.IFS(G913&lt;=20,"0-20",G913&lt;=30,"20-30",G913&lt;=40,"30-40",G913&lt;=50,"50-60",G913&lt;=60,"60-70",G913&lt;=70,"70-80",G913&lt;=80,"80-90")</f>
        <v>70-80</v>
      </c>
      <c r="I913" s="13">
        <v>2274</v>
      </c>
      <c r="J913" s="13" t="str" cm="1">
        <f t="array" ref="J913">_xlfn.IFS(K913=1,"Divorciado",L913=1,"Casado",M913=1,"Solteiro",N913=1,"Juntos",O913=1,"Viuvo")</f>
        <v>Casado</v>
      </c>
      <c r="K913" s="13">
        <v>0</v>
      </c>
      <c r="L913" s="13">
        <v>1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1</v>
      </c>
      <c r="S913" s="13">
        <v>0</v>
      </c>
      <c r="T913" s="13">
        <v>0</v>
      </c>
      <c r="U913" s="13">
        <v>335</v>
      </c>
      <c r="V913" s="13" t="str" cm="1">
        <f t="array" ref="V913">_xlfn.IFS(U913&lt;=250,"0-R$250",U913&lt;=500,"251-R$500",U913&lt;=750,"501-R$750",U913&lt;=1000,"751-R$1000",U913&lt;=1250,"1001-R$1250",U913&lt;=1500,"1251-R$1500")</f>
        <v>251-R$500</v>
      </c>
      <c r="W913" s="13">
        <v>42</v>
      </c>
      <c r="X913" s="13" t="str" cm="1">
        <f t="array" ref="X913">_xlfn.IFS(W913 = 0, "0", W913&lt;=20, "até R$20",W913&lt;=40, "21 - R$40",W913&lt;=60, "41- R$60",W913&lt;=80, "61 - R$80", W913&lt;=100, "81 - R$100",W913&lt;=120, "101 - R$120",W913&lt;=140, "121 - R$140", W913&lt;=160, "141- R$160", W913&lt;=180, "161 - R$180", W913&lt;=200, "181-R$194")</f>
        <v>41- R$60</v>
      </c>
      <c r="Y913" s="13">
        <v>127</v>
      </c>
      <c r="Z913" s="13">
        <v>28</v>
      </c>
      <c r="AA913" s="13">
        <v>5</v>
      </c>
      <c r="AB913" s="13">
        <v>5</v>
      </c>
      <c r="AC913" s="13">
        <v>3</v>
      </c>
      <c r="AD913" s="13">
        <v>7</v>
      </c>
      <c r="AE913" s="13">
        <v>2</v>
      </c>
      <c r="AF913" s="13">
        <v>8</v>
      </c>
      <c r="AG913" s="13">
        <v>6</v>
      </c>
      <c r="AH913" s="13">
        <v>0</v>
      </c>
      <c r="AI913" s="13">
        <v>0</v>
      </c>
      <c r="AJ913" s="13">
        <v>0</v>
      </c>
      <c r="AK913" s="13">
        <v>0</v>
      </c>
      <c r="AL913" s="13">
        <v>0</v>
      </c>
      <c r="AM913" s="13">
        <v>0</v>
      </c>
      <c r="AN913" s="13">
        <v>0</v>
      </c>
      <c r="AO913" s="14">
        <v>0</v>
      </c>
      <c r="AP913" s="13">
        <v>3</v>
      </c>
      <c r="AQ913" s="13">
        <v>11</v>
      </c>
      <c r="AR913" s="15">
        <v>532</v>
      </c>
      <c r="AS913" s="15">
        <v>537</v>
      </c>
    </row>
    <row r="914" spans="1:45" x14ac:dyDescent="0.25">
      <c r="A914">
        <v>1618</v>
      </c>
      <c r="B914" s="11">
        <f t="shared" si="14"/>
        <v>56386</v>
      </c>
      <c r="C914" s="12">
        <v>563860</v>
      </c>
      <c r="D914" s="13">
        <v>1</v>
      </c>
      <c r="E914" s="13">
        <v>1</v>
      </c>
      <c r="F914" s="13">
        <v>51</v>
      </c>
      <c r="G914" s="13">
        <v>39</v>
      </c>
      <c r="H914" s="13" t="str" cm="1">
        <f t="array" ref="H914">_xlfn.IFS(G914&lt;=20,"0-20",G914&lt;=30,"20-30",G914&lt;=40,"30-40",G914&lt;=50,"50-60",G914&lt;=60,"60-70",G914&lt;=70,"70-80",G914&lt;=80,"80-90")</f>
        <v>30-40</v>
      </c>
      <c r="I914" s="13">
        <v>2769</v>
      </c>
      <c r="J914" s="13" t="str" cm="1">
        <f t="array" ref="J914">_xlfn.IFS(K914=1,"Divorciado",L914=1,"Casado",M914=1,"Solteiro",N914=1,"Juntos",O914=1,"Viuvo")</f>
        <v>Juntos</v>
      </c>
      <c r="K914" s="13">
        <v>0</v>
      </c>
      <c r="L914" s="13">
        <v>0</v>
      </c>
      <c r="M914" s="13">
        <v>0</v>
      </c>
      <c r="N914" s="13">
        <v>1</v>
      </c>
      <c r="O914" s="13">
        <v>0</v>
      </c>
      <c r="P914" s="13">
        <v>0</v>
      </c>
      <c r="Q914" s="13">
        <v>0</v>
      </c>
      <c r="R914" s="13">
        <v>1</v>
      </c>
      <c r="S914" s="13">
        <v>0</v>
      </c>
      <c r="T914" s="13">
        <v>0</v>
      </c>
      <c r="U914" s="13">
        <v>230</v>
      </c>
      <c r="V914" s="13" t="str" cm="1">
        <f t="array" ref="V914">_xlfn.IFS(U914&lt;=250,"0-R$250",U914&lt;=500,"251-R$500",U914&lt;=750,"501-R$750",U914&lt;=1000,"751-R$1000",U914&lt;=1250,"1001-R$1250",U914&lt;=1500,"1251-R$1500")</f>
        <v>0-R$250</v>
      </c>
      <c r="W914" s="13">
        <v>48</v>
      </c>
      <c r="X914" s="13" t="str" cm="1">
        <f t="array" ref="X914">_xlfn.IFS(W914 = 0, "0", W914&lt;=20, "até R$20",W914&lt;=40, "21 - R$40",W914&lt;=60, "41- R$60",W914&lt;=80, "61 - R$80", W914&lt;=100, "81 - R$100",W914&lt;=120, "101 - R$120",W914&lt;=140, "121 - R$140", W914&lt;=160, "141- R$160", W914&lt;=180, "161 - R$180", W914&lt;=200, "181-R$194")</f>
        <v>41- R$60</v>
      </c>
      <c r="Y914" s="13">
        <v>214</v>
      </c>
      <c r="Z914" s="13">
        <v>13</v>
      </c>
      <c r="AA914" s="13">
        <v>32</v>
      </c>
      <c r="AB914" s="13">
        <v>75</v>
      </c>
      <c r="AC914" s="13">
        <v>8</v>
      </c>
      <c r="AD914" s="13">
        <v>9</v>
      </c>
      <c r="AE914" s="13">
        <v>1</v>
      </c>
      <c r="AF914" s="13">
        <v>7</v>
      </c>
      <c r="AG914" s="13">
        <v>9</v>
      </c>
      <c r="AH914" s="13">
        <v>0</v>
      </c>
      <c r="AI914" s="13">
        <v>0</v>
      </c>
      <c r="AJ914" s="13">
        <v>0</v>
      </c>
      <c r="AK914" s="13">
        <v>0</v>
      </c>
      <c r="AL914" s="13">
        <v>0</v>
      </c>
      <c r="AM914" s="13">
        <v>0</v>
      </c>
      <c r="AN914" s="13">
        <v>0</v>
      </c>
      <c r="AO914" s="14">
        <v>0</v>
      </c>
      <c r="AP914" s="13">
        <v>3</v>
      </c>
      <c r="AQ914" s="13">
        <v>11</v>
      </c>
      <c r="AR914" s="15">
        <v>462</v>
      </c>
      <c r="AS914" s="15">
        <v>537</v>
      </c>
    </row>
    <row r="915" spans="1:45" x14ac:dyDescent="0.25">
      <c r="A915">
        <v>1709</v>
      </c>
      <c r="B915" s="11">
        <f t="shared" si="14"/>
        <v>75342</v>
      </c>
      <c r="C915" s="16">
        <v>753420</v>
      </c>
      <c r="D915" s="17">
        <v>0</v>
      </c>
      <c r="E915" s="17">
        <v>1</v>
      </c>
      <c r="F915" s="17">
        <v>38</v>
      </c>
      <c r="G915" s="17">
        <v>62</v>
      </c>
      <c r="H915" s="13" t="str" cm="1">
        <f t="array" ref="H915">_xlfn.IFS(G915&lt;=20,"0-20",G915&lt;=30,"20-30",G915&lt;=40,"30-40",G915&lt;=50,"50-60",G915&lt;=60,"60-70",G915&lt;=70,"70-80",G915&lt;=80,"80-90")</f>
        <v>70-80</v>
      </c>
      <c r="I915" s="17">
        <v>2578</v>
      </c>
      <c r="J915" s="13" t="str" cm="1">
        <f t="array" ref="J915">_xlfn.IFS(K915=1,"Divorciado",L915=1,"Casado",M915=1,"Solteiro",N915=1,"Juntos",O915=1,"Viuvo")</f>
        <v>Solteiro</v>
      </c>
      <c r="K915" s="17">
        <v>0</v>
      </c>
      <c r="L915" s="17">
        <v>0</v>
      </c>
      <c r="M915" s="17">
        <v>1</v>
      </c>
      <c r="N915" s="17">
        <v>0</v>
      </c>
      <c r="O915" s="17">
        <v>0</v>
      </c>
      <c r="P915" s="17">
        <v>1</v>
      </c>
      <c r="Q915" s="17">
        <v>0</v>
      </c>
      <c r="R915" s="17">
        <v>0</v>
      </c>
      <c r="S915" s="17">
        <v>0</v>
      </c>
      <c r="T915" s="17">
        <v>0</v>
      </c>
      <c r="U915" s="17">
        <v>204</v>
      </c>
      <c r="V915" s="13" t="str" cm="1">
        <f t="array" ref="V915">_xlfn.IFS(U915&lt;=250,"0-R$250",U915&lt;=500,"251-R$500",U915&lt;=750,"501-R$750",U915&lt;=1000,"751-R$1000",U915&lt;=1250,"1001-R$1250",U915&lt;=1500,"1251-R$1500")</f>
        <v>0-R$250</v>
      </c>
      <c r="W915" s="17">
        <v>97</v>
      </c>
      <c r="X915" s="13" t="str" cm="1">
        <f t="array" ref="X915">_xlfn.IFS(W915 = 0, "0", W915&lt;=20, "até R$20",W915&lt;=40, "21 - R$40",W915&lt;=60, "41- R$60",W915&lt;=80, "61 - R$80", W915&lt;=100, "81 - R$100",W915&lt;=120, "101 - R$120",W915&lt;=140, "121 - R$140", W915&lt;=160, "141- R$160", W915&lt;=180, "161 - R$180", W915&lt;=200, "181-R$194")</f>
        <v>81 - R$100</v>
      </c>
      <c r="Y915" s="17">
        <v>97</v>
      </c>
      <c r="Z915" s="17">
        <v>21</v>
      </c>
      <c r="AA915" s="17">
        <v>118</v>
      </c>
      <c r="AB915" s="17">
        <v>26</v>
      </c>
      <c r="AC915" s="17">
        <v>1</v>
      </c>
      <c r="AD915" s="17">
        <v>5</v>
      </c>
      <c r="AE915" s="17">
        <v>2</v>
      </c>
      <c r="AF915" s="17">
        <v>10</v>
      </c>
      <c r="AG915" s="17">
        <v>4</v>
      </c>
      <c r="AH915" s="17">
        <v>0</v>
      </c>
      <c r="AI915" s="17">
        <v>0</v>
      </c>
      <c r="AJ915" s="17">
        <v>0</v>
      </c>
      <c r="AK915" s="17">
        <v>0</v>
      </c>
      <c r="AL915" s="17">
        <v>0</v>
      </c>
      <c r="AM915" s="17">
        <v>0</v>
      </c>
      <c r="AN915" s="17">
        <v>0</v>
      </c>
      <c r="AO915" s="18">
        <v>0</v>
      </c>
      <c r="AP915" s="17">
        <v>3</v>
      </c>
      <c r="AQ915" s="17">
        <v>11</v>
      </c>
      <c r="AR915" s="19">
        <v>511</v>
      </c>
      <c r="AS915" s="19">
        <v>537</v>
      </c>
    </row>
    <row r="916" spans="1:45" x14ac:dyDescent="0.25">
      <c r="A916">
        <v>2149</v>
      </c>
      <c r="B916" s="11">
        <f t="shared" si="14"/>
        <v>44325</v>
      </c>
      <c r="C916" s="16">
        <v>443250</v>
      </c>
      <c r="D916" s="17">
        <v>0</v>
      </c>
      <c r="E916" s="17">
        <v>1</v>
      </c>
      <c r="F916" s="17">
        <v>69</v>
      </c>
      <c r="G916" s="17">
        <v>48</v>
      </c>
      <c r="H916" s="13" t="str" cm="1">
        <f t="array" ref="H916">_xlfn.IFS(G916&lt;=20,"0-20",G916&lt;=30,"20-30",G916&lt;=40,"30-40",G916&lt;=50,"50-60",G916&lt;=60,"60-70",G916&lt;=70,"70-80",G916&lt;=80,"80-90")</f>
        <v>50-60</v>
      </c>
      <c r="I916" s="17">
        <v>2638</v>
      </c>
      <c r="J916" s="13" t="str" cm="1">
        <f t="array" ref="J916">_xlfn.IFS(K916=1,"Divorciado",L916=1,"Casado",M916=1,"Solteiro",N916=1,"Juntos",O916=1,"Viuvo")</f>
        <v>Casado</v>
      </c>
      <c r="K916" s="17">
        <v>0</v>
      </c>
      <c r="L916" s="17">
        <v>1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1</v>
      </c>
      <c r="U916" s="17">
        <v>516</v>
      </c>
      <c r="V916" s="13" t="str" cm="1">
        <f t="array" ref="V916">_xlfn.IFS(U916&lt;=250,"0-R$250",U916&lt;=500,"251-R$500",U916&lt;=750,"501-R$750",U916&lt;=1000,"751-R$1000",U916&lt;=1250,"1001-R$1250",U916&lt;=1500,"1251-R$1500")</f>
        <v>501-R$750</v>
      </c>
      <c r="W916" s="17">
        <v>0</v>
      </c>
      <c r="X916" s="13" t="str" cm="1">
        <f t="array" ref="X916">_xlfn.IFS(W916 = 0, "0", W916&lt;=20, "até R$20",W916&lt;=40, "21 - R$40",W916&lt;=60, "41- R$60",W916&lt;=80, "61 - R$80", W916&lt;=100, "81 - R$100",W916&lt;=120, "101 - R$120",W916&lt;=140, "121 - R$140", W916&lt;=160, "141- R$160", W916&lt;=180, "161 - R$180", W916&lt;=200, "181-R$194")</f>
        <v>0</v>
      </c>
      <c r="Y916" s="17">
        <v>21</v>
      </c>
      <c r="Z916" s="17">
        <v>0</v>
      </c>
      <c r="AA916" s="17">
        <v>0</v>
      </c>
      <c r="AB916" s="17">
        <v>5</v>
      </c>
      <c r="AC916" s="17">
        <v>4</v>
      </c>
      <c r="AD916" s="17">
        <v>8</v>
      </c>
      <c r="AE916" s="17">
        <v>2</v>
      </c>
      <c r="AF916" s="17">
        <v>7</v>
      </c>
      <c r="AG916" s="17">
        <v>8</v>
      </c>
      <c r="AH916" s="17">
        <v>0</v>
      </c>
      <c r="AI916" s="17">
        <v>0</v>
      </c>
      <c r="AJ916" s="17">
        <v>1</v>
      </c>
      <c r="AK916" s="17">
        <v>0</v>
      </c>
      <c r="AL916" s="17">
        <v>0</v>
      </c>
      <c r="AM916" s="17">
        <v>0</v>
      </c>
      <c r="AN916" s="17">
        <v>0</v>
      </c>
      <c r="AO916" s="18">
        <v>1</v>
      </c>
      <c r="AP916" s="17">
        <v>3</v>
      </c>
      <c r="AQ916" s="17">
        <v>11</v>
      </c>
      <c r="AR916" s="19">
        <v>532</v>
      </c>
      <c r="AS916" s="19">
        <v>537</v>
      </c>
    </row>
    <row r="917" spans="1:45" x14ac:dyDescent="0.25">
      <c r="A917">
        <v>295</v>
      </c>
      <c r="B917" s="11">
        <f t="shared" si="14"/>
        <v>64100</v>
      </c>
      <c r="C917" s="16">
        <v>641000</v>
      </c>
      <c r="D917" s="17">
        <v>0</v>
      </c>
      <c r="E917" s="17">
        <v>1</v>
      </c>
      <c r="F917" s="17">
        <v>93</v>
      </c>
      <c r="G917" s="17">
        <v>56</v>
      </c>
      <c r="H917" s="13" t="str" cm="1">
        <f t="array" ref="H917">_xlfn.IFS(G917&lt;=20,"0-20",G917&lt;=30,"20-30",G917&lt;=40,"30-40",G917&lt;=50,"50-60",G917&lt;=60,"60-70",G917&lt;=70,"70-80",G917&lt;=80,"80-90")</f>
        <v>60-70</v>
      </c>
      <c r="I917" s="17">
        <v>2451</v>
      </c>
      <c r="J917" s="13" t="str" cm="1">
        <f t="array" ref="J917">_xlfn.IFS(K917=1,"Divorciado",L917=1,"Casado",M917=1,"Solteiro",N917=1,"Juntos",O917=1,"Viuvo")</f>
        <v>Casado</v>
      </c>
      <c r="K917" s="17">
        <v>0</v>
      </c>
      <c r="L917" s="17">
        <v>1</v>
      </c>
      <c r="M917" s="17">
        <v>0</v>
      </c>
      <c r="N917" s="17">
        <v>0</v>
      </c>
      <c r="O917" s="17">
        <v>0</v>
      </c>
      <c r="P917" s="17">
        <v>0</v>
      </c>
      <c r="Q917" s="17">
        <v>0</v>
      </c>
      <c r="R917" s="17">
        <v>0</v>
      </c>
      <c r="S917" s="17">
        <v>1</v>
      </c>
      <c r="T917" s="17">
        <v>0</v>
      </c>
      <c r="U917" s="17">
        <v>509</v>
      </c>
      <c r="V917" s="13" t="str" cm="1">
        <f t="array" ref="V917">_xlfn.IFS(U917&lt;=250,"0-R$250",U917&lt;=500,"251-R$500",U917&lt;=750,"501-R$750",U917&lt;=1000,"751-R$1000",U917&lt;=1250,"1001-R$1250",U917&lt;=1500,"1251-R$1500")</f>
        <v>501-R$750</v>
      </c>
      <c r="W917" s="17">
        <v>0</v>
      </c>
      <c r="X917" s="13" t="str" cm="1">
        <f t="array" ref="X917">_xlfn.IFS(W917 = 0, "0", W917&lt;=20, "até R$20",W917&lt;=40, "21 - R$40",W917&lt;=60, "41- R$60",W917&lt;=80, "61 - R$80", W917&lt;=100, "81 - R$100",W917&lt;=120, "101 - R$120",W917&lt;=140, "121 - R$140", W917&lt;=160, "141- R$160", W917&lt;=180, "161 - R$180", W917&lt;=200, "181-R$194")</f>
        <v>0</v>
      </c>
      <c r="Y917" s="17">
        <v>27</v>
      </c>
      <c r="Z917" s="17">
        <v>0</v>
      </c>
      <c r="AA917" s="17">
        <v>0</v>
      </c>
      <c r="AB917" s="17">
        <v>10</v>
      </c>
      <c r="AC917" s="17">
        <v>1</v>
      </c>
      <c r="AD917" s="17">
        <v>8</v>
      </c>
      <c r="AE917" s="17">
        <v>3</v>
      </c>
      <c r="AF917" s="17">
        <v>6</v>
      </c>
      <c r="AG917" s="17">
        <v>7</v>
      </c>
      <c r="AH917" s="17">
        <v>0</v>
      </c>
      <c r="AI917" s="17">
        <v>0</v>
      </c>
      <c r="AJ917" s="17">
        <v>1</v>
      </c>
      <c r="AK917" s="17">
        <v>0</v>
      </c>
      <c r="AL917" s="17">
        <v>0</v>
      </c>
      <c r="AM917" s="17">
        <v>0</v>
      </c>
      <c r="AN917" s="17">
        <v>0</v>
      </c>
      <c r="AO917" s="18">
        <v>1</v>
      </c>
      <c r="AP917" s="17">
        <v>3</v>
      </c>
      <c r="AQ917" s="17">
        <v>11</v>
      </c>
      <c r="AR917" s="19">
        <v>526</v>
      </c>
      <c r="AS917" s="19">
        <v>536</v>
      </c>
    </row>
    <row r="918" spans="1:45" x14ac:dyDescent="0.25">
      <c r="A918">
        <v>942</v>
      </c>
      <c r="B918" s="11">
        <f t="shared" si="14"/>
        <v>52597</v>
      </c>
      <c r="C918" s="12">
        <v>525970</v>
      </c>
      <c r="D918" s="13">
        <v>0</v>
      </c>
      <c r="E918" s="13">
        <v>1</v>
      </c>
      <c r="F918" s="13">
        <v>69</v>
      </c>
      <c r="G918" s="13">
        <v>58</v>
      </c>
      <c r="H918" s="13" t="str" cm="1">
        <f t="array" ref="H918">_xlfn.IFS(G918&lt;=20,"0-20",G918&lt;=30,"20-30",G918&lt;=40,"30-40",G918&lt;=50,"50-60",G918&lt;=60,"60-70",G918&lt;=70,"70-80",G918&lt;=80,"80-90")</f>
        <v>60-70</v>
      </c>
      <c r="I918" s="13">
        <v>2212</v>
      </c>
      <c r="J918" s="13" t="str" cm="1">
        <f t="array" ref="J918">_xlfn.IFS(K918=1,"Divorciado",L918=1,"Casado",M918=1,"Solteiro",N918=1,"Juntos",O918=1,"Viuvo")</f>
        <v>Solteiro</v>
      </c>
      <c r="K918" s="13">
        <v>0</v>
      </c>
      <c r="L918" s="13">
        <v>0</v>
      </c>
      <c r="M918" s="13">
        <v>1</v>
      </c>
      <c r="N918" s="13">
        <v>0</v>
      </c>
      <c r="O918" s="13">
        <v>0</v>
      </c>
      <c r="P918" s="13">
        <v>0</v>
      </c>
      <c r="Q918" s="13">
        <v>0</v>
      </c>
      <c r="R918" s="13">
        <v>0</v>
      </c>
      <c r="S918" s="13">
        <v>0</v>
      </c>
      <c r="T918" s="13">
        <v>1</v>
      </c>
      <c r="U918" s="13">
        <v>492</v>
      </c>
      <c r="V918" s="13" t="str" cm="1">
        <f t="array" ref="V918">_xlfn.IFS(U918&lt;=250,"0-R$250",U918&lt;=500,"251-R$500",U918&lt;=750,"501-R$750",U918&lt;=1000,"751-R$1000",U918&lt;=1250,"1001-R$1250",U918&lt;=1500,"1251-R$1500")</f>
        <v>251-R$500</v>
      </c>
      <c r="W918" s="13">
        <v>0</v>
      </c>
      <c r="X918" s="13" t="str" cm="1">
        <f t="array" ref="X918">_xlfn.IFS(W918 = 0, "0", W918&lt;=20, "até R$20",W918&lt;=40, "21 - R$40",W918&lt;=60, "41- R$60",W918&lt;=80, "61 - R$80", W918&lt;=100, "81 - R$100",W918&lt;=120, "101 - R$120",W918&lt;=140, "121 - R$140", W918&lt;=160, "141- R$160", W918&lt;=180, "161 - R$180", W918&lt;=200, "181-R$194")</f>
        <v>0</v>
      </c>
      <c r="Y918" s="13">
        <v>37</v>
      </c>
      <c r="Z918" s="13">
        <v>7</v>
      </c>
      <c r="AA918" s="13">
        <v>0</v>
      </c>
      <c r="AB918" s="13">
        <v>42</v>
      </c>
      <c r="AC918" s="13">
        <v>3</v>
      </c>
      <c r="AD918" s="13">
        <v>6</v>
      </c>
      <c r="AE918" s="13">
        <v>3</v>
      </c>
      <c r="AF918" s="13">
        <v>8</v>
      </c>
      <c r="AG918" s="13">
        <v>5</v>
      </c>
      <c r="AH918" s="13">
        <v>0</v>
      </c>
      <c r="AI918" s="13">
        <v>0</v>
      </c>
      <c r="AJ918" s="13">
        <v>0</v>
      </c>
      <c r="AK918" s="13">
        <v>0</v>
      </c>
      <c r="AL918" s="13">
        <v>0</v>
      </c>
      <c r="AM918" s="13">
        <v>0</v>
      </c>
      <c r="AN918" s="13">
        <v>0</v>
      </c>
      <c r="AO918" s="14">
        <v>0</v>
      </c>
      <c r="AP918" s="13">
        <v>3</v>
      </c>
      <c r="AQ918" s="13">
        <v>11</v>
      </c>
      <c r="AR918" s="15">
        <v>494</v>
      </c>
      <c r="AS918" s="15">
        <v>536</v>
      </c>
    </row>
    <row r="919" spans="1:45" x14ac:dyDescent="0.25">
      <c r="A919">
        <v>812</v>
      </c>
      <c r="B919" s="11">
        <f t="shared" si="14"/>
        <v>48789</v>
      </c>
      <c r="C919" s="12">
        <v>487890</v>
      </c>
      <c r="D919" s="13">
        <v>0</v>
      </c>
      <c r="E919" s="13">
        <v>0</v>
      </c>
      <c r="F919" s="13">
        <v>94</v>
      </c>
      <c r="G919" s="13">
        <v>28</v>
      </c>
      <c r="H919" s="13" t="str" cm="1">
        <f t="array" ref="H919">_xlfn.IFS(G919&lt;=20,"0-20",G919&lt;=30,"20-30",G919&lt;=40,"30-40",G919&lt;=50,"50-60",G919&lt;=60,"60-70",G919&lt;=70,"70-80",G919&lt;=80,"80-90")</f>
        <v>20-30</v>
      </c>
      <c r="I919" s="13">
        <v>2816</v>
      </c>
      <c r="J919" s="13" t="str" cm="1">
        <f t="array" ref="J919">_xlfn.IFS(K919=1,"Divorciado",L919=1,"Casado",M919=1,"Solteiro",N919=1,"Juntos",O919=1,"Viuvo")</f>
        <v>Solteiro</v>
      </c>
      <c r="K919" s="13">
        <v>0</v>
      </c>
      <c r="L919" s="13">
        <v>0</v>
      </c>
      <c r="M919" s="13">
        <v>1</v>
      </c>
      <c r="N919" s="13">
        <v>0</v>
      </c>
      <c r="O919" s="13">
        <v>0</v>
      </c>
      <c r="P919" s="13">
        <v>0</v>
      </c>
      <c r="Q919" s="13">
        <v>0</v>
      </c>
      <c r="R919" s="13">
        <v>1</v>
      </c>
      <c r="S919" s="13">
        <v>0</v>
      </c>
      <c r="T919" s="13">
        <v>0</v>
      </c>
      <c r="U919" s="13">
        <v>351</v>
      </c>
      <c r="V919" s="13" t="str" cm="1">
        <f t="array" ref="V919">_xlfn.IFS(U919&lt;=250,"0-R$250",U919&lt;=500,"251-R$500",U919&lt;=750,"501-R$750",U919&lt;=1000,"751-R$1000",U919&lt;=1250,"1001-R$1250",U919&lt;=1500,"1251-R$1500")</f>
        <v>251-R$500</v>
      </c>
      <c r="W919" s="13">
        <v>16</v>
      </c>
      <c r="X919" s="13" t="str" cm="1">
        <f t="array" ref="X919">_xlfn.IFS(W919 = 0, "0", W919&lt;=20, "até R$20",W919&lt;=40, "21 - R$40",W919&lt;=60, "41- R$60",W919&lt;=80, "61 - R$80", W919&lt;=100, "81 - R$100",W919&lt;=120, "101 - R$120",W919&lt;=140, "121 - R$140", W919&lt;=160, "141- R$160", W919&lt;=180, "161 - R$180", W919&lt;=200, "181-R$194")</f>
        <v>até R$20</v>
      </c>
      <c r="Y919" s="13">
        <v>156</v>
      </c>
      <c r="Z919" s="13">
        <v>7</v>
      </c>
      <c r="AA919" s="13">
        <v>5</v>
      </c>
      <c r="AB919" s="13">
        <v>145</v>
      </c>
      <c r="AC919" s="13">
        <v>1</v>
      </c>
      <c r="AD919" s="13">
        <v>6</v>
      </c>
      <c r="AE919" s="13">
        <v>4</v>
      </c>
      <c r="AF919" s="13">
        <v>7</v>
      </c>
      <c r="AG919" s="13">
        <v>6</v>
      </c>
      <c r="AH919" s="13">
        <v>0</v>
      </c>
      <c r="AI919" s="13">
        <v>0</v>
      </c>
      <c r="AJ919" s="13">
        <v>0</v>
      </c>
      <c r="AK919" s="13">
        <v>0</v>
      </c>
      <c r="AL919" s="13">
        <v>0</v>
      </c>
      <c r="AM919" s="13">
        <v>0</v>
      </c>
      <c r="AN919" s="13">
        <v>0</v>
      </c>
      <c r="AO919" s="14">
        <v>0</v>
      </c>
      <c r="AP919" s="13">
        <v>3</v>
      </c>
      <c r="AQ919" s="13">
        <v>11</v>
      </c>
      <c r="AR919" s="15">
        <v>390</v>
      </c>
      <c r="AS919" s="15">
        <v>535</v>
      </c>
    </row>
    <row r="920" spans="1:45" x14ac:dyDescent="0.25">
      <c r="A920">
        <v>813</v>
      </c>
      <c r="B920" s="11">
        <f t="shared" si="14"/>
        <v>56575</v>
      </c>
      <c r="C920" s="16">
        <v>565750</v>
      </c>
      <c r="D920" s="17">
        <v>0</v>
      </c>
      <c r="E920" s="17">
        <v>2</v>
      </c>
      <c r="F920" s="17">
        <v>42</v>
      </c>
      <c r="G920" s="17">
        <v>53</v>
      </c>
      <c r="H920" s="13" t="str" cm="1">
        <f t="array" ref="H920">_xlfn.IFS(G920&lt;=20,"0-20",G920&lt;=30,"20-30",G920&lt;=40,"30-40",G920&lt;=50,"50-60",G920&lt;=60,"60-70",G920&lt;=70,"70-80",G920&lt;=80,"80-90")</f>
        <v>60-70</v>
      </c>
      <c r="I920" s="17">
        <v>2579</v>
      </c>
      <c r="J920" s="13" t="str" cm="1">
        <f t="array" ref="J920">_xlfn.IFS(K920=1,"Divorciado",L920=1,"Casado",M920=1,"Solteiro",N920=1,"Juntos",O920=1,"Viuvo")</f>
        <v>Juntos</v>
      </c>
      <c r="K920" s="17">
        <v>0</v>
      </c>
      <c r="L920" s="17">
        <v>0</v>
      </c>
      <c r="M920" s="17">
        <v>0</v>
      </c>
      <c r="N920" s="17">
        <v>1</v>
      </c>
      <c r="O920" s="17">
        <v>0</v>
      </c>
      <c r="P920" s="17">
        <v>0</v>
      </c>
      <c r="Q920" s="17">
        <v>0</v>
      </c>
      <c r="R920" s="17">
        <v>0</v>
      </c>
      <c r="S920" s="17">
        <v>0</v>
      </c>
      <c r="T920" s="17">
        <v>1</v>
      </c>
      <c r="U920" s="17">
        <v>421</v>
      </c>
      <c r="V920" s="13" t="str" cm="1">
        <f t="array" ref="V920">_xlfn.IFS(U920&lt;=250,"0-R$250",U920&lt;=500,"251-R$500",U920&lt;=750,"501-R$750",U920&lt;=1000,"751-R$1000",U920&lt;=1250,"1001-R$1250",U920&lt;=1500,"1251-R$1500")</f>
        <v>251-R$500</v>
      </c>
      <c r="W920" s="17">
        <v>5</v>
      </c>
      <c r="X920" s="13" t="str" cm="1">
        <f t="array" ref="X920">_xlfn.IFS(W920 = 0, "0", W920&lt;=20, "até R$20",W920&lt;=40, "21 - R$40",W920&lt;=60, "41- R$60",W920&lt;=80, "61 - R$80", W920&lt;=100, "81 - R$100",W920&lt;=120, "101 - R$120",W920&lt;=140, "121 - R$140", W920&lt;=160, "141- R$160", W920&lt;=180, "161 - R$180", W920&lt;=200, "181-R$194")</f>
        <v>até R$20</v>
      </c>
      <c r="Y920" s="17">
        <v>90</v>
      </c>
      <c r="Z920" s="17">
        <v>0</v>
      </c>
      <c r="AA920" s="17">
        <v>16</v>
      </c>
      <c r="AB920" s="17">
        <v>10</v>
      </c>
      <c r="AC920" s="17">
        <v>3</v>
      </c>
      <c r="AD920" s="17">
        <v>7</v>
      </c>
      <c r="AE920" s="17">
        <v>3</v>
      </c>
      <c r="AF920" s="17">
        <v>7</v>
      </c>
      <c r="AG920" s="17">
        <v>5</v>
      </c>
      <c r="AH920" s="17">
        <v>0</v>
      </c>
      <c r="AI920" s="17">
        <v>0</v>
      </c>
      <c r="AJ920" s="17">
        <v>0</v>
      </c>
      <c r="AK920" s="17">
        <v>0</v>
      </c>
      <c r="AL920" s="17">
        <v>0</v>
      </c>
      <c r="AM920" s="17">
        <v>0</v>
      </c>
      <c r="AN920" s="17">
        <v>0</v>
      </c>
      <c r="AO920" s="18">
        <v>0</v>
      </c>
      <c r="AP920" s="17">
        <v>3</v>
      </c>
      <c r="AQ920" s="17">
        <v>11</v>
      </c>
      <c r="AR920" s="19">
        <v>522</v>
      </c>
      <c r="AS920" s="19">
        <v>532</v>
      </c>
    </row>
    <row r="921" spans="1:45" x14ac:dyDescent="0.25">
      <c r="A921">
        <v>1020</v>
      </c>
      <c r="B921" s="11">
        <f t="shared" si="14"/>
        <v>47703</v>
      </c>
      <c r="C921" s="12">
        <v>477030</v>
      </c>
      <c r="D921" s="13">
        <v>0</v>
      </c>
      <c r="E921" s="13">
        <v>1</v>
      </c>
      <c r="F921" s="13">
        <v>95</v>
      </c>
      <c r="G921" s="13">
        <v>67</v>
      </c>
      <c r="H921" s="13" t="str" cm="1">
        <f t="array" ref="H921">_xlfn.IFS(G921&lt;=20,"0-20",G921&lt;=30,"20-30",G921&lt;=40,"30-40",G921&lt;=50,"50-60",G921&lt;=60,"60-70",G921&lt;=70,"70-80",G921&lt;=80,"80-90")</f>
        <v>70-80</v>
      </c>
      <c r="I921" s="13">
        <v>2555</v>
      </c>
      <c r="J921" s="13" t="str" cm="1">
        <f t="array" ref="J921">_xlfn.IFS(K921=1,"Divorciado",L921=1,"Casado",M921=1,"Solteiro",N921=1,"Juntos",O921=1,"Viuvo")</f>
        <v>Casado</v>
      </c>
      <c r="K921" s="13">
        <v>0</v>
      </c>
      <c r="L921" s="13">
        <v>1</v>
      </c>
      <c r="M921" s="13">
        <v>0</v>
      </c>
      <c r="N921" s="13">
        <v>0</v>
      </c>
      <c r="O921" s="13">
        <v>0</v>
      </c>
      <c r="P921" s="13">
        <v>0</v>
      </c>
      <c r="Q921" s="13">
        <v>0</v>
      </c>
      <c r="R921" s="13">
        <v>1</v>
      </c>
      <c r="S921" s="13">
        <v>0</v>
      </c>
      <c r="T921" s="13">
        <v>0</v>
      </c>
      <c r="U921" s="13">
        <v>359</v>
      </c>
      <c r="V921" s="13" t="str" cm="1">
        <f t="array" ref="V921">_xlfn.IFS(U921&lt;=250,"0-R$250",U921&lt;=500,"251-R$500",U921&lt;=750,"501-R$750",U921&lt;=1000,"751-R$1000",U921&lt;=1250,"1001-R$1250",U921&lt;=1500,"1251-R$1500")</f>
        <v>251-R$500</v>
      </c>
      <c r="W921" s="13">
        <v>0</v>
      </c>
      <c r="X921" s="13" t="str" cm="1">
        <f t="array" ref="X921">_xlfn.IFS(W921 = 0, "0", W921&lt;=20, "até R$20",W921&lt;=40, "21 - R$40",W921&lt;=60, "41- R$60",W921&lt;=80, "61 - R$80", W921&lt;=100, "81 - R$100",W921&lt;=120, "101 - R$120",W921&lt;=140, "121 - R$140", W921&lt;=160, "141- R$160", W921&lt;=180, "161 - R$180", W921&lt;=200, "181-R$194")</f>
        <v>0</v>
      </c>
      <c r="Y921" s="13">
        <v>134</v>
      </c>
      <c r="Z921" s="13">
        <v>13</v>
      </c>
      <c r="AA921" s="13">
        <v>26</v>
      </c>
      <c r="AB921" s="13">
        <v>123</v>
      </c>
      <c r="AC921" s="13">
        <v>4</v>
      </c>
      <c r="AD921" s="13">
        <v>6</v>
      </c>
      <c r="AE921" s="13">
        <v>3</v>
      </c>
      <c r="AF921" s="13">
        <v>8</v>
      </c>
      <c r="AG921" s="13">
        <v>5</v>
      </c>
      <c r="AH921" s="13">
        <v>0</v>
      </c>
      <c r="AI921" s="13">
        <v>0</v>
      </c>
      <c r="AJ921" s="13">
        <v>0</v>
      </c>
      <c r="AK921" s="13">
        <v>0</v>
      </c>
      <c r="AL921" s="13">
        <v>0</v>
      </c>
      <c r="AM921" s="13">
        <v>0</v>
      </c>
      <c r="AN921" s="13">
        <v>0</v>
      </c>
      <c r="AO921" s="14">
        <v>0</v>
      </c>
      <c r="AP921" s="13">
        <v>3</v>
      </c>
      <c r="AQ921" s="13">
        <v>11</v>
      </c>
      <c r="AR921" s="15">
        <v>409</v>
      </c>
      <c r="AS921" s="15">
        <v>532</v>
      </c>
    </row>
    <row r="922" spans="1:45" x14ac:dyDescent="0.25">
      <c r="A922">
        <v>88</v>
      </c>
      <c r="B922" s="11">
        <f t="shared" si="14"/>
        <v>47916</v>
      </c>
      <c r="C922" s="12">
        <v>479160</v>
      </c>
      <c r="D922" s="13">
        <v>0</v>
      </c>
      <c r="E922" s="13">
        <v>1</v>
      </c>
      <c r="F922" s="13">
        <v>72</v>
      </c>
      <c r="G922" s="13">
        <v>60</v>
      </c>
      <c r="H922" s="13" t="str" cm="1">
        <f t="array" ref="H922">_xlfn.IFS(G922&lt;=20,"0-20",G922&lt;=30,"20-30",G922&lt;=40,"30-40",G922&lt;=50,"50-60",G922&lt;=60,"60-70",G922&lt;=70,"70-80",G922&lt;=80,"80-90")</f>
        <v>60-70</v>
      </c>
      <c r="I922" s="13">
        <v>2743</v>
      </c>
      <c r="J922" s="13" t="str" cm="1">
        <f t="array" ref="J922">_xlfn.IFS(K922=1,"Divorciado",L922=1,"Casado",M922=1,"Solteiro",N922=1,"Juntos",O922=1,"Viuvo")</f>
        <v>Viuvo</v>
      </c>
      <c r="K922" s="13">
        <v>0</v>
      </c>
      <c r="L922" s="13">
        <v>0</v>
      </c>
      <c r="M922" s="13">
        <v>0</v>
      </c>
      <c r="N922" s="13">
        <v>0</v>
      </c>
      <c r="O922" s="13">
        <v>1</v>
      </c>
      <c r="P922" s="13">
        <v>0</v>
      </c>
      <c r="Q922" s="13">
        <v>0</v>
      </c>
      <c r="R922" s="13">
        <v>1</v>
      </c>
      <c r="S922" s="13">
        <v>0</v>
      </c>
      <c r="T922" s="13">
        <v>0</v>
      </c>
      <c r="U922" s="13">
        <v>505</v>
      </c>
      <c r="V922" s="13" t="str" cm="1">
        <f t="array" ref="V922">_xlfn.IFS(U922&lt;=250,"0-R$250",U922&lt;=500,"251-R$500",U922&lt;=750,"501-R$750",U922&lt;=1000,"751-R$1000",U922&lt;=1250,"1001-R$1250",U922&lt;=1500,"1251-R$1500")</f>
        <v>501-R$750</v>
      </c>
      <c r="W922" s="13">
        <v>0</v>
      </c>
      <c r="X922" s="13" t="str" cm="1">
        <f t="array" ref="X922">_xlfn.IFS(W922 = 0, "0", W922&lt;=20, "até R$20",W922&lt;=40, "21 - R$40",W922&lt;=60, "41- R$60",W922&lt;=80, "61 - R$80", W922&lt;=100, "81 - R$100",W922&lt;=120, "101 - R$120",W922&lt;=140, "121 - R$140", W922&lt;=160, "141- R$160", W922&lt;=180, "161 - R$180", W922&lt;=200, "181-R$194")</f>
        <v>0</v>
      </c>
      <c r="Y922" s="13">
        <v>26</v>
      </c>
      <c r="Z922" s="13">
        <v>0</v>
      </c>
      <c r="AA922" s="13">
        <v>0</v>
      </c>
      <c r="AB922" s="13">
        <v>75</v>
      </c>
      <c r="AC922" s="13">
        <v>5</v>
      </c>
      <c r="AD922" s="13">
        <v>7</v>
      </c>
      <c r="AE922" s="13">
        <v>4</v>
      </c>
      <c r="AF922" s="13">
        <v>6</v>
      </c>
      <c r="AG922" s="13">
        <v>6</v>
      </c>
      <c r="AH922" s="13">
        <v>0</v>
      </c>
      <c r="AI922" s="13">
        <v>0</v>
      </c>
      <c r="AJ922" s="13">
        <v>1</v>
      </c>
      <c r="AK922" s="13">
        <v>0</v>
      </c>
      <c r="AL922" s="13">
        <v>0</v>
      </c>
      <c r="AM922" s="13">
        <v>0</v>
      </c>
      <c r="AN922" s="13">
        <v>0</v>
      </c>
      <c r="AO922" s="14">
        <v>1</v>
      </c>
      <c r="AP922" s="13">
        <v>3</v>
      </c>
      <c r="AQ922" s="13">
        <v>11</v>
      </c>
      <c r="AR922" s="15">
        <v>456</v>
      </c>
      <c r="AS922" s="15">
        <v>531</v>
      </c>
    </row>
    <row r="923" spans="1:45" x14ac:dyDescent="0.25">
      <c r="A923">
        <v>1951</v>
      </c>
      <c r="B923" s="11">
        <f t="shared" si="14"/>
        <v>32632</v>
      </c>
      <c r="C923" s="16">
        <v>326320</v>
      </c>
      <c r="D923" s="17">
        <v>0</v>
      </c>
      <c r="E923" s="17">
        <v>0</v>
      </c>
      <c r="F923" s="17">
        <v>32</v>
      </c>
      <c r="G923" s="17">
        <v>57</v>
      </c>
      <c r="H923" s="13" t="str" cm="1">
        <f t="array" ref="H923">_xlfn.IFS(G923&lt;=20,"0-20",G923&lt;=30,"20-30",G923&lt;=40,"30-40",G923&lt;=50,"50-60",G923&lt;=60,"60-70",G923&lt;=70,"70-80",G923&lt;=80,"80-90")</f>
        <v>60-70</v>
      </c>
      <c r="I923" s="17">
        <v>2855</v>
      </c>
      <c r="J923" s="13" t="str" cm="1">
        <f t="array" ref="J923">_xlfn.IFS(K923=1,"Divorciado",L923=1,"Casado",M923=1,"Solteiro",N923=1,"Juntos",O923=1,"Viuvo")</f>
        <v>Casado</v>
      </c>
      <c r="K923" s="17">
        <v>0</v>
      </c>
      <c r="L923" s="17">
        <v>1</v>
      </c>
      <c r="M923" s="17">
        <v>0</v>
      </c>
      <c r="N923" s="17">
        <v>0</v>
      </c>
      <c r="O923" s="17">
        <v>0</v>
      </c>
      <c r="P923" s="17">
        <v>1</v>
      </c>
      <c r="Q923" s="17">
        <v>0</v>
      </c>
      <c r="R923" s="17">
        <v>0</v>
      </c>
      <c r="S923" s="17">
        <v>0</v>
      </c>
      <c r="T923" s="17">
        <v>0</v>
      </c>
      <c r="U923" s="17">
        <v>63</v>
      </c>
      <c r="V923" s="13" t="str" cm="1">
        <f t="array" ref="V923">_xlfn.IFS(U923&lt;=250,"0-R$250",U923&lt;=500,"251-R$500",U923&lt;=750,"501-R$750",U923&lt;=1000,"751-R$1000",U923&lt;=1250,"1001-R$1250",U923&lt;=1500,"1251-R$1500")</f>
        <v>0-R$250</v>
      </c>
      <c r="W923" s="17">
        <v>151</v>
      </c>
      <c r="X923" s="13" t="str" cm="1">
        <f t="array" ref="X923">_xlfn.IFS(W923 = 0, "0", W923&lt;=20, "até R$20",W923&lt;=40, "21 - R$40",W923&lt;=60, "41- R$60",W923&lt;=80, "61 - R$80", W923&lt;=100, "81 - R$100",W923&lt;=120, "101 - R$120",W923&lt;=140, "121 - R$140", W923&lt;=160, "141- R$160", W923&lt;=180, "161 - R$180", W923&lt;=200, "181-R$194")</f>
        <v>141- R$160</v>
      </c>
      <c r="Y923" s="17">
        <v>137</v>
      </c>
      <c r="Z923" s="17">
        <v>153</v>
      </c>
      <c r="AA923" s="17">
        <v>19</v>
      </c>
      <c r="AB923" s="17">
        <v>53</v>
      </c>
      <c r="AC923" s="17">
        <v>2</v>
      </c>
      <c r="AD923" s="17">
        <v>4</v>
      </c>
      <c r="AE923" s="17">
        <v>4</v>
      </c>
      <c r="AF923" s="17">
        <v>8</v>
      </c>
      <c r="AG923" s="17">
        <v>5</v>
      </c>
      <c r="AH923" s="17">
        <v>0</v>
      </c>
      <c r="AI923" s="17">
        <v>0</v>
      </c>
      <c r="AJ923" s="17">
        <v>0</v>
      </c>
      <c r="AK923" s="17">
        <v>0</v>
      </c>
      <c r="AL923" s="17">
        <v>0</v>
      </c>
      <c r="AM923" s="17">
        <v>0</v>
      </c>
      <c r="AN923" s="17">
        <v>0</v>
      </c>
      <c r="AO923" s="18">
        <v>0</v>
      </c>
      <c r="AP923" s="17">
        <v>3</v>
      </c>
      <c r="AQ923" s="17">
        <v>11</v>
      </c>
      <c r="AR923" s="19">
        <v>470</v>
      </c>
      <c r="AS923" s="19">
        <v>523</v>
      </c>
    </row>
    <row r="924" spans="1:45" x14ac:dyDescent="0.25">
      <c r="A924">
        <v>1435</v>
      </c>
      <c r="B924" s="11">
        <f t="shared" si="14"/>
        <v>38410</v>
      </c>
      <c r="C924" s="16">
        <v>384100</v>
      </c>
      <c r="D924" s="17">
        <v>0</v>
      </c>
      <c r="E924" s="17">
        <v>0</v>
      </c>
      <c r="F924" s="17">
        <v>65</v>
      </c>
      <c r="G924" s="17">
        <v>46</v>
      </c>
      <c r="H924" s="13" t="str" cm="1">
        <f t="array" ref="H924">_xlfn.IFS(G924&lt;=20,"0-20",G924&lt;=30,"20-30",G924&lt;=40,"30-40",G924&lt;=50,"50-60",G924&lt;=60,"60-70",G924&lt;=70,"70-80",G924&lt;=80,"80-90")</f>
        <v>50-60</v>
      </c>
      <c r="I924" s="17">
        <v>2812</v>
      </c>
      <c r="J924" s="13" t="str" cm="1">
        <f t="array" ref="J924">_xlfn.IFS(K924=1,"Divorciado",L924=1,"Casado",M924=1,"Solteiro",N924=1,"Juntos",O924=1,"Viuvo")</f>
        <v>Casado</v>
      </c>
      <c r="K924" s="17">
        <v>0</v>
      </c>
      <c r="L924" s="17">
        <v>1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1</v>
      </c>
      <c r="U924" s="17">
        <v>153</v>
      </c>
      <c r="V924" s="13" t="str" cm="1">
        <f t="array" ref="V924">_xlfn.IFS(U924&lt;=250,"0-R$250",U924&lt;=500,"251-R$500",U924&lt;=750,"501-R$750",U924&lt;=1000,"751-R$1000",U924&lt;=1250,"1001-R$1250",U924&lt;=1500,"1251-R$1500")</f>
        <v>0-R$250</v>
      </c>
      <c r="W924" s="17">
        <v>64</v>
      </c>
      <c r="X924" s="13" t="str" cm="1">
        <f t="array" ref="X924">_xlfn.IFS(W924 = 0, "0", W924&lt;=20, "até R$20",W924&lt;=40, "21 - R$40",W924&lt;=60, "41- R$60",W924&lt;=80, "61 - R$80", W924&lt;=100, "81 - R$100",W924&lt;=120, "101 - R$120",W924&lt;=140, "121 - R$140", W924&lt;=160, "141- R$160", W924&lt;=180, "161 - R$180", W924&lt;=200, "181-R$194")</f>
        <v>61 - R$80</v>
      </c>
      <c r="Y924" s="17">
        <v>123</v>
      </c>
      <c r="Z924" s="17">
        <v>116</v>
      </c>
      <c r="AA924" s="17">
        <v>64</v>
      </c>
      <c r="AB924" s="17">
        <v>14</v>
      </c>
      <c r="AC924" s="17">
        <v>2</v>
      </c>
      <c r="AD924" s="17">
        <v>5</v>
      </c>
      <c r="AE924" s="17">
        <v>2</v>
      </c>
      <c r="AF924" s="17">
        <v>9</v>
      </c>
      <c r="AG924" s="17">
        <v>6</v>
      </c>
      <c r="AH924" s="17">
        <v>0</v>
      </c>
      <c r="AI924" s="17">
        <v>0</v>
      </c>
      <c r="AJ924" s="17">
        <v>0</v>
      </c>
      <c r="AK924" s="17">
        <v>0</v>
      </c>
      <c r="AL924" s="17">
        <v>0</v>
      </c>
      <c r="AM924" s="17">
        <v>0</v>
      </c>
      <c r="AN924" s="17">
        <v>1</v>
      </c>
      <c r="AO924" s="18">
        <v>0</v>
      </c>
      <c r="AP924" s="17">
        <v>3</v>
      </c>
      <c r="AQ924" s="17">
        <v>11</v>
      </c>
      <c r="AR924" s="19">
        <v>506</v>
      </c>
      <c r="AS924" s="19">
        <v>520</v>
      </c>
    </row>
    <row r="925" spans="1:45" x14ac:dyDescent="0.25">
      <c r="A925">
        <v>1603</v>
      </c>
      <c r="B925" s="11">
        <f t="shared" si="14"/>
        <v>41003</v>
      </c>
      <c r="C925" s="16">
        <v>410030</v>
      </c>
      <c r="D925" s="17">
        <v>0</v>
      </c>
      <c r="E925" s="17">
        <v>0</v>
      </c>
      <c r="F925" s="17">
        <v>11</v>
      </c>
      <c r="G925" s="17">
        <v>57</v>
      </c>
      <c r="H925" s="13" t="str" cm="1">
        <f t="array" ref="H925">_xlfn.IFS(G925&lt;=20,"0-20",G925&lt;=30,"20-30",G925&lt;=40,"30-40",G925&lt;=50,"50-60",G925&lt;=60,"60-70",G925&lt;=70,"70-80",G925&lt;=80,"80-90")</f>
        <v>60-70</v>
      </c>
      <c r="I925" s="17">
        <v>2628</v>
      </c>
      <c r="J925" s="13" t="str" cm="1">
        <f t="array" ref="J925">_xlfn.IFS(K925=1,"Divorciado",L925=1,"Casado",M925=1,"Solteiro",N925=1,"Juntos",O925=1,"Viuvo")</f>
        <v>Divorciado</v>
      </c>
      <c r="K925" s="17">
        <v>1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1</v>
      </c>
      <c r="U925" s="17">
        <v>123</v>
      </c>
      <c r="V925" s="13" t="str" cm="1">
        <f t="array" ref="V925">_xlfn.IFS(U925&lt;=250,"0-R$250",U925&lt;=500,"251-R$500",U925&lt;=750,"501-R$750",U925&lt;=1000,"751-R$1000",U925&lt;=1250,"1001-R$1250",U925&lt;=1500,"1251-R$1500")</f>
        <v>0-R$250</v>
      </c>
      <c r="W925" s="17">
        <v>133</v>
      </c>
      <c r="X925" s="13" t="str" cm="1">
        <f t="array" ref="X925">_xlfn.IFS(W925 = 0, "0", W925&lt;=20, "até R$20",W925&lt;=40, "21 - R$40",W925&lt;=60, "41- R$60",W925&lt;=80, "61 - R$80", W925&lt;=100, "81 - R$100",W925&lt;=120, "101 - R$120",W925&lt;=140, "121 - R$140", W925&lt;=160, "141- R$160", W925&lt;=180, "161 - R$180", W925&lt;=200, "181-R$194")</f>
        <v>121 - R$140</v>
      </c>
      <c r="Y925" s="17">
        <v>142</v>
      </c>
      <c r="Z925" s="17">
        <v>71</v>
      </c>
      <c r="AA925" s="17">
        <v>44</v>
      </c>
      <c r="AB925" s="17">
        <v>88</v>
      </c>
      <c r="AC925" s="17">
        <v>1</v>
      </c>
      <c r="AD925" s="17">
        <v>6</v>
      </c>
      <c r="AE925" s="17">
        <v>2</v>
      </c>
      <c r="AF925" s="17">
        <v>8</v>
      </c>
      <c r="AG925" s="17">
        <v>6</v>
      </c>
      <c r="AH925" s="17">
        <v>0</v>
      </c>
      <c r="AI925" s="17">
        <v>0</v>
      </c>
      <c r="AJ925" s="17">
        <v>0</v>
      </c>
      <c r="AK925" s="17">
        <v>0</v>
      </c>
      <c r="AL925" s="17">
        <v>0</v>
      </c>
      <c r="AM925" s="17">
        <v>0</v>
      </c>
      <c r="AN925" s="17">
        <v>0</v>
      </c>
      <c r="AO925" s="18">
        <v>0</v>
      </c>
      <c r="AP925" s="17">
        <v>3</v>
      </c>
      <c r="AQ925" s="17">
        <v>11</v>
      </c>
      <c r="AR925" s="19">
        <v>425</v>
      </c>
      <c r="AS925" s="19">
        <v>513</v>
      </c>
    </row>
    <row r="926" spans="1:45" x14ac:dyDescent="0.25">
      <c r="A926">
        <v>1926</v>
      </c>
      <c r="B926" s="11">
        <f t="shared" si="14"/>
        <v>56939</v>
      </c>
      <c r="C926" s="12">
        <v>569390</v>
      </c>
      <c r="D926" s="13">
        <v>0</v>
      </c>
      <c r="E926" s="13">
        <v>1</v>
      </c>
      <c r="F926" s="13">
        <v>19</v>
      </c>
      <c r="G926" s="13">
        <v>44</v>
      </c>
      <c r="H926" s="13" t="str" cm="1">
        <f t="array" ref="H926">_xlfn.IFS(G926&lt;=20,"0-20",G926&lt;=30,"20-30",G926&lt;=40,"30-40",G926&lt;=50,"50-60",G926&lt;=60,"60-70",G926&lt;=70,"70-80",G926&lt;=80,"80-90")</f>
        <v>50-60</v>
      </c>
      <c r="I926" s="13">
        <v>2443</v>
      </c>
      <c r="J926" s="13" t="str" cm="1">
        <f t="array" ref="J926">_xlfn.IFS(K926=1,"Divorciado",L926=1,"Casado",M926=1,"Solteiro",N926=1,"Juntos",O926=1,"Viuvo")</f>
        <v>Casado</v>
      </c>
      <c r="K926" s="13">
        <v>0</v>
      </c>
      <c r="L926" s="13">
        <v>1</v>
      </c>
      <c r="M926" s="13">
        <v>0</v>
      </c>
      <c r="N926" s="13">
        <v>0</v>
      </c>
      <c r="O926" s="13">
        <v>0</v>
      </c>
      <c r="P926" s="13">
        <v>0</v>
      </c>
      <c r="Q926" s="13">
        <v>0</v>
      </c>
      <c r="R926" s="13">
        <v>1</v>
      </c>
      <c r="S926" s="13">
        <v>0</v>
      </c>
      <c r="T926" s="13">
        <v>0</v>
      </c>
      <c r="U926" s="13">
        <v>256</v>
      </c>
      <c r="V926" s="13" t="str" cm="1">
        <f t="array" ref="V926">_xlfn.IFS(U926&lt;=250,"0-R$250",U926&lt;=500,"251-R$500",U926&lt;=750,"501-R$750",U926&lt;=1000,"751-R$1000",U926&lt;=1250,"1001-R$1250",U926&lt;=1500,"1251-R$1500")</f>
        <v>251-R$500</v>
      </c>
      <c r="W926" s="13">
        <v>34</v>
      </c>
      <c r="X926" s="13" t="str" cm="1">
        <f t="array" ref="X926">_xlfn.IFS(W926 = 0, "0", W926&lt;=20, "até R$20",W926&lt;=40, "21 - R$40",W926&lt;=60, "41- R$60",W926&lt;=80, "61 - R$80", W926&lt;=100, "81 - R$100",W926&lt;=120, "101 - R$120",W926&lt;=140, "121 - R$140", W926&lt;=160, "141- R$160", W926&lt;=180, "161 - R$180", W926&lt;=200, "181-R$194")</f>
        <v>21 - R$40</v>
      </c>
      <c r="Y926" s="13">
        <v>103</v>
      </c>
      <c r="Z926" s="13">
        <v>90</v>
      </c>
      <c r="AA926" s="13">
        <v>29</v>
      </c>
      <c r="AB926" s="13">
        <v>49</v>
      </c>
      <c r="AC926" s="13">
        <v>2</v>
      </c>
      <c r="AD926" s="13">
        <v>3</v>
      </c>
      <c r="AE926" s="13">
        <v>3</v>
      </c>
      <c r="AF926" s="13">
        <v>10</v>
      </c>
      <c r="AG926" s="13">
        <v>3</v>
      </c>
      <c r="AH926" s="13">
        <v>0</v>
      </c>
      <c r="AI926" s="13">
        <v>0</v>
      </c>
      <c r="AJ926" s="13">
        <v>0</v>
      </c>
      <c r="AK926" s="13">
        <v>0</v>
      </c>
      <c r="AL926" s="13">
        <v>0</v>
      </c>
      <c r="AM926" s="13">
        <v>0</v>
      </c>
      <c r="AN926" s="13">
        <v>0</v>
      </c>
      <c r="AO926" s="14">
        <v>0</v>
      </c>
      <c r="AP926" s="13">
        <v>3</v>
      </c>
      <c r="AQ926" s="13">
        <v>11</v>
      </c>
      <c r="AR926" s="15">
        <v>463</v>
      </c>
      <c r="AS926" s="15">
        <v>512</v>
      </c>
    </row>
    <row r="927" spans="1:45" x14ac:dyDescent="0.25">
      <c r="A927">
        <v>1192</v>
      </c>
      <c r="B927" s="11">
        <f t="shared" si="14"/>
        <v>65748</v>
      </c>
      <c r="C927" s="12">
        <v>657480</v>
      </c>
      <c r="D927" s="13">
        <v>0</v>
      </c>
      <c r="E927" s="13">
        <v>1</v>
      </c>
      <c r="F927" s="13">
        <v>58</v>
      </c>
      <c r="G927" s="13">
        <v>65</v>
      </c>
      <c r="H927" s="13" t="str" cm="1">
        <f t="array" ref="H927">_xlfn.IFS(G927&lt;=20,"0-20",G927&lt;=30,"20-30",G927&lt;=40,"30-40",G927&lt;=50,"50-60",G927&lt;=60,"60-70",G927&lt;=70,"70-80",G927&lt;=80,"80-90")</f>
        <v>70-80</v>
      </c>
      <c r="I927" s="13">
        <v>2599</v>
      </c>
      <c r="J927" s="13" t="str" cm="1">
        <f t="array" ref="J927">_xlfn.IFS(K927=1,"Divorciado",L927=1,"Casado",M927=1,"Solteiro",N927=1,"Juntos",O927=1,"Viuvo")</f>
        <v>Juntos</v>
      </c>
      <c r="K927" s="13">
        <v>0</v>
      </c>
      <c r="L927" s="13">
        <v>0</v>
      </c>
      <c r="M927" s="13">
        <v>0</v>
      </c>
      <c r="N927" s="13">
        <v>1</v>
      </c>
      <c r="O927" s="13">
        <v>0</v>
      </c>
      <c r="P927" s="13">
        <v>0</v>
      </c>
      <c r="Q927" s="13">
        <v>0</v>
      </c>
      <c r="R927" s="13">
        <v>1</v>
      </c>
      <c r="S927" s="13">
        <v>0</v>
      </c>
      <c r="T927" s="13">
        <v>0</v>
      </c>
      <c r="U927" s="13">
        <v>172</v>
      </c>
      <c r="V927" s="13" t="str" cm="1">
        <f t="array" ref="V927">_xlfn.IFS(U927&lt;=250,"0-R$250",U927&lt;=500,"251-R$500",U927&lt;=750,"501-R$750",U927&lt;=1000,"751-R$1000",U927&lt;=1250,"1001-R$1250",U927&lt;=1500,"1251-R$1500")</f>
        <v>0-R$250</v>
      </c>
      <c r="W927" s="13">
        <v>73</v>
      </c>
      <c r="X927" s="13" t="str" cm="1">
        <f t="array" ref="X927">_xlfn.IFS(W927 = 0, "0", W927&lt;=20, "até R$20",W927&lt;=40, "21 - R$40",W927&lt;=60, "41- R$60",W927&lt;=80, "61 - R$80", W927&lt;=100, "81 - R$100",W927&lt;=120, "101 - R$120",W927&lt;=140, "121 - R$140", W927&lt;=160, "141- R$160", W927&lt;=180, "161 - R$180", W927&lt;=200, "181-R$194")</f>
        <v>61 - R$80</v>
      </c>
      <c r="Y927" s="13">
        <v>93</v>
      </c>
      <c r="Z927" s="13">
        <v>95</v>
      </c>
      <c r="AA927" s="13">
        <v>78</v>
      </c>
      <c r="AB927" s="13">
        <v>34</v>
      </c>
      <c r="AC927" s="13">
        <v>2</v>
      </c>
      <c r="AD927" s="13">
        <v>2</v>
      </c>
      <c r="AE927" s="13">
        <v>4</v>
      </c>
      <c r="AF927" s="13">
        <v>10</v>
      </c>
      <c r="AG927" s="13">
        <v>1</v>
      </c>
      <c r="AH927" s="13">
        <v>1</v>
      </c>
      <c r="AI927" s="13">
        <v>0</v>
      </c>
      <c r="AJ927" s="13">
        <v>0</v>
      </c>
      <c r="AK927" s="13">
        <v>0</v>
      </c>
      <c r="AL927" s="13">
        <v>0</v>
      </c>
      <c r="AM927" s="13">
        <v>0</v>
      </c>
      <c r="AN927" s="13">
        <v>0</v>
      </c>
      <c r="AO927" s="14">
        <v>0</v>
      </c>
      <c r="AP927" s="13">
        <v>3</v>
      </c>
      <c r="AQ927" s="13">
        <v>11</v>
      </c>
      <c r="AR927" s="15">
        <v>477</v>
      </c>
      <c r="AS927" s="15">
        <v>511</v>
      </c>
    </row>
    <row r="928" spans="1:45" x14ac:dyDescent="0.25">
      <c r="A928">
        <v>869</v>
      </c>
      <c r="B928" s="11">
        <f t="shared" si="14"/>
        <v>51195</v>
      </c>
      <c r="C928" s="16">
        <v>511950</v>
      </c>
      <c r="D928" s="17">
        <v>1</v>
      </c>
      <c r="E928" s="17">
        <v>1</v>
      </c>
      <c r="F928" s="17">
        <v>46</v>
      </c>
      <c r="G928" s="17">
        <v>58</v>
      </c>
      <c r="H928" s="13" t="str" cm="1">
        <f t="array" ref="H928">_xlfn.IFS(G928&lt;=20,"0-20",G928&lt;=30,"20-30",G928&lt;=40,"30-40",G928&lt;=50,"50-60",G928&lt;=60,"60-70",G928&lt;=70,"70-80",G928&lt;=80,"80-90")</f>
        <v>60-70</v>
      </c>
      <c r="I928" s="17">
        <v>2613</v>
      </c>
      <c r="J928" s="13" t="str" cm="1">
        <f t="array" ref="J928">_xlfn.IFS(K928=1,"Divorciado",L928=1,"Casado",M928=1,"Solteiro",N928=1,"Juntos",O928=1,"Viuvo")</f>
        <v>Juntos</v>
      </c>
      <c r="K928" s="17">
        <v>0</v>
      </c>
      <c r="L928" s="17">
        <v>0</v>
      </c>
      <c r="M928" s="17">
        <v>0</v>
      </c>
      <c r="N928" s="17">
        <v>1</v>
      </c>
      <c r="O928" s="17">
        <v>0</v>
      </c>
      <c r="P928" s="17">
        <v>0</v>
      </c>
      <c r="Q928" s="17">
        <v>0</v>
      </c>
      <c r="R928" s="17">
        <v>1</v>
      </c>
      <c r="S928" s="17">
        <v>0</v>
      </c>
      <c r="T928" s="17">
        <v>0</v>
      </c>
      <c r="U928" s="17">
        <v>230</v>
      </c>
      <c r="V928" s="13" t="str" cm="1">
        <f t="array" ref="V928">_xlfn.IFS(U928&lt;=250,"0-R$250",U928&lt;=500,"251-R$500",U928&lt;=750,"501-R$750",U928&lt;=1000,"751-R$1000",U928&lt;=1250,"1001-R$1250",U928&lt;=1500,"1251-R$1500")</f>
        <v>0-R$250</v>
      </c>
      <c r="W928" s="17">
        <v>14</v>
      </c>
      <c r="X928" s="13" t="str" cm="1">
        <f t="array" ref="X928">_xlfn.IFS(W928 = 0, "0", W928&lt;=20, "até R$20",W928&lt;=40, "21 - R$40",W928&lt;=60, "41- R$60",W928&lt;=80, "61 - R$80", W928&lt;=100, "81 - R$100",W928&lt;=120, "101 - R$120",W928&lt;=140, "121 - R$140", W928&lt;=160, "141- R$160", W928&lt;=180, "161 - R$180", W928&lt;=200, "181-R$194")</f>
        <v>até R$20</v>
      </c>
      <c r="Y928" s="17">
        <v>156</v>
      </c>
      <c r="Z928" s="17">
        <v>82</v>
      </c>
      <c r="AA928" s="17">
        <v>24</v>
      </c>
      <c r="AB928" s="17">
        <v>58</v>
      </c>
      <c r="AC928" s="17">
        <v>8</v>
      </c>
      <c r="AD928" s="17">
        <v>9</v>
      </c>
      <c r="AE928" s="17">
        <v>2</v>
      </c>
      <c r="AF928" s="17">
        <v>5</v>
      </c>
      <c r="AG928" s="17">
        <v>8</v>
      </c>
      <c r="AH928" s="17">
        <v>0</v>
      </c>
      <c r="AI928" s="17">
        <v>0</v>
      </c>
      <c r="AJ928" s="17">
        <v>0</v>
      </c>
      <c r="AK928" s="17">
        <v>0</v>
      </c>
      <c r="AL928" s="17">
        <v>0</v>
      </c>
      <c r="AM928" s="17">
        <v>0</v>
      </c>
      <c r="AN928" s="17">
        <v>0</v>
      </c>
      <c r="AO928" s="18">
        <v>0</v>
      </c>
      <c r="AP928" s="17">
        <v>3</v>
      </c>
      <c r="AQ928" s="17">
        <v>11</v>
      </c>
      <c r="AR928" s="19">
        <v>448</v>
      </c>
      <c r="AS928" s="19">
        <v>506</v>
      </c>
    </row>
    <row r="929" spans="1:45" x14ac:dyDescent="0.25">
      <c r="A929">
        <v>2092</v>
      </c>
      <c r="B929" s="11">
        <f t="shared" si="14"/>
        <v>53230</v>
      </c>
      <c r="C929" s="12">
        <v>532300</v>
      </c>
      <c r="D929" s="13">
        <v>0</v>
      </c>
      <c r="E929" s="13">
        <v>1</v>
      </c>
      <c r="F929" s="13">
        <v>86</v>
      </c>
      <c r="G929" s="13">
        <v>64</v>
      </c>
      <c r="H929" s="13" t="str" cm="1">
        <f t="array" ref="H929">_xlfn.IFS(G929&lt;=20,"0-20",G929&lt;=30,"20-30",G929&lt;=40,"30-40",G929&lt;=50,"50-60",G929&lt;=60,"60-70",G929&lt;=70,"70-80",G929&lt;=80,"80-90")</f>
        <v>70-80</v>
      </c>
      <c r="I929" s="13">
        <v>2854</v>
      </c>
      <c r="J929" s="13" t="str" cm="1">
        <f t="array" ref="J929">_xlfn.IFS(K929=1,"Divorciado",L929=1,"Casado",M929=1,"Solteiro",N929=1,"Juntos",O929=1,"Viuvo")</f>
        <v>Casado</v>
      </c>
      <c r="K929" s="13">
        <v>0</v>
      </c>
      <c r="L929" s="13">
        <v>1</v>
      </c>
      <c r="M929" s="13">
        <v>0</v>
      </c>
      <c r="N929" s="13">
        <v>0</v>
      </c>
      <c r="O929" s="13">
        <v>0</v>
      </c>
      <c r="P929" s="13">
        <v>1</v>
      </c>
      <c r="Q929" s="13">
        <v>0</v>
      </c>
      <c r="R929" s="13">
        <v>0</v>
      </c>
      <c r="S929" s="13">
        <v>0</v>
      </c>
      <c r="T929" s="13">
        <v>0</v>
      </c>
      <c r="U929" s="13">
        <v>176</v>
      </c>
      <c r="V929" s="13" t="str" cm="1">
        <f t="array" ref="V929">_xlfn.IFS(U929&lt;=250,"0-R$250",U929&lt;=500,"251-R$500",U929&lt;=750,"501-R$750",U929&lt;=1000,"751-R$1000",U929&lt;=1250,"1001-R$1250",U929&lt;=1500,"1251-R$1500")</f>
        <v>0-R$250</v>
      </c>
      <c r="W929" s="13">
        <v>72</v>
      </c>
      <c r="X929" s="13" t="str" cm="1">
        <f t="array" ref="X929">_xlfn.IFS(W929 = 0, "0", W929&lt;=20, "até R$20",W929&lt;=40, "21 - R$40",W929&lt;=60, "41- R$60",W929&lt;=80, "61 - R$80", W929&lt;=100, "81 - R$100",W929&lt;=120, "101 - R$120",W929&lt;=140, "121 - R$140", W929&lt;=160, "141- R$160", W929&lt;=180, "161 - R$180", W929&lt;=200, "181-R$194")</f>
        <v>61 - R$80</v>
      </c>
      <c r="Y929" s="13">
        <v>98</v>
      </c>
      <c r="Z929" s="13">
        <v>136</v>
      </c>
      <c r="AA929" s="13">
        <v>21</v>
      </c>
      <c r="AB929" s="13">
        <v>229</v>
      </c>
      <c r="AC929" s="13">
        <v>4</v>
      </c>
      <c r="AD929" s="13">
        <v>5</v>
      </c>
      <c r="AE929" s="13">
        <v>2</v>
      </c>
      <c r="AF929" s="13">
        <v>12</v>
      </c>
      <c r="AG929" s="13">
        <v>5</v>
      </c>
      <c r="AH929" s="13">
        <v>0</v>
      </c>
      <c r="AI929" s="13">
        <v>0</v>
      </c>
      <c r="AJ929" s="13">
        <v>0</v>
      </c>
      <c r="AK929" s="13">
        <v>0</v>
      </c>
      <c r="AL929" s="13">
        <v>0</v>
      </c>
      <c r="AM929" s="13">
        <v>0</v>
      </c>
      <c r="AN929" s="13">
        <v>0</v>
      </c>
      <c r="AO929" s="14">
        <v>0</v>
      </c>
      <c r="AP929" s="13">
        <v>3</v>
      </c>
      <c r="AQ929" s="13">
        <v>11</v>
      </c>
      <c r="AR929" s="15">
        <v>274</v>
      </c>
      <c r="AS929" s="15">
        <v>503</v>
      </c>
    </row>
    <row r="930" spans="1:45" x14ac:dyDescent="0.25">
      <c r="A930">
        <v>798</v>
      </c>
      <c r="B930" s="11">
        <f t="shared" si="14"/>
        <v>22507</v>
      </c>
      <c r="C930" s="12">
        <v>225070</v>
      </c>
      <c r="D930" s="13">
        <v>0</v>
      </c>
      <c r="E930" s="13">
        <v>0</v>
      </c>
      <c r="F930" s="13">
        <v>67</v>
      </c>
      <c r="G930" s="13">
        <v>66</v>
      </c>
      <c r="H930" s="13" t="str" cm="1">
        <f t="array" ref="H930">_xlfn.IFS(G930&lt;=20,"0-20",G930&lt;=30,"20-30",G930&lt;=40,"30-40",G930&lt;=50,"50-60",G930&lt;=60,"60-70",G930&lt;=70,"70-80",G930&lt;=80,"80-90")</f>
        <v>70-80</v>
      </c>
      <c r="I930" s="13">
        <v>2741</v>
      </c>
      <c r="J930" s="13" t="str" cm="1">
        <f t="array" ref="J930">_xlfn.IFS(K930=1,"Divorciado",L930=1,"Casado",M930=1,"Solteiro",N930=1,"Juntos",O930=1,"Viuvo")</f>
        <v>Solteiro</v>
      </c>
      <c r="K930" s="13">
        <v>0</v>
      </c>
      <c r="L930" s="13">
        <v>0</v>
      </c>
      <c r="M930" s="13">
        <v>1</v>
      </c>
      <c r="N930" s="13">
        <v>0</v>
      </c>
      <c r="O930" s="13">
        <v>0</v>
      </c>
      <c r="P930" s="13">
        <v>0</v>
      </c>
      <c r="Q930" s="13">
        <v>0</v>
      </c>
      <c r="R930" s="13">
        <v>1</v>
      </c>
      <c r="S930" s="13">
        <v>0</v>
      </c>
      <c r="T930" s="13">
        <v>0</v>
      </c>
      <c r="U930" s="13">
        <v>68</v>
      </c>
      <c r="V930" s="13" t="str" cm="1">
        <f t="array" ref="V930">_xlfn.IFS(U930&lt;=250,"0-R$250",U930&lt;=500,"251-R$500",U930&lt;=750,"501-R$750",U930&lt;=1000,"751-R$1000",U930&lt;=1250,"1001-R$1250",U930&lt;=1500,"1251-R$1500")</f>
        <v>0-R$250</v>
      </c>
      <c r="W930" s="13">
        <v>0</v>
      </c>
      <c r="X930" s="13" t="str" cm="1">
        <f t="array" ref="X930">_xlfn.IFS(W930 = 0, "0", W930&lt;=20, "até R$20",W930&lt;=40, "21 - R$40",W930&lt;=60, "41- R$60",W930&lt;=80, "61 - R$80", W930&lt;=100, "81 - R$100",W930&lt;=120, "101 - R$120",W930&lt;=140, "121 - R$140", W930&lt;=160, "141- R$160", W930&lt;=180, "161 - R$180", W930&lt;=200, "181-R$194")</f>
        <v>0</v>
      </c>
      <c r="Y930" s="13">
        <v>226</v>
      </c>
      <c r="Z930" s="13">
        <v>51</v>
      </c>
      <c r="AA930" s="13">
        <v>157</v>
      </c>
      <c r="AB930" s="13">
        <v>68</v>
      </c>
      <c r="AC930" s="13">
        <v>3</v>
      </c>
      <c r="AD930" s="13">
        <v>10</v>
      </c>
      <c r="AE930" s="13">
        <v>2</v>
      </c>
      <c r="AF930" s="13">
        <v>4</v>
      </c>
      <c r="AG930" s="13">
        <v>9</v>
      </c>
      <c r="AH930" s="13">
        <v>0</v>
      </c>
      <c r="AI930" s="13">
        <v>0</v>
      </c>
      <c r="AJ930" s="13">
        <v>0</v>
      </c>
      <c r="AK930" s="13">
        <v>0</v>
      </c>
      <c r="AL930" s="13">
        <v>0</v>
      </c>
      <c r="AM930" s="13">
        <v>0</v>
      </c>
      <c r="AN930" s="13">
        <v>0</v>
      </c>
      <c r="AO930" s="14">
        <v>0</v>
      </c>
      <c r="AP930" s="13">
        <v>3</v>
      </c>
      <c r="AQ930" s="13">
        <v>11</v>
      </c>
      <c r="AR930" s="15">
        <v>434</v>
      </c>
      <c r="AS930" s="15">
        <v>502</v>
      </c>
    </row>
    <row r="931" spans="1:45" x14ac:dyDescent="0.25">
      <c r="A931">
        <v>1340</v>
      </c>
      <c r="B931" s="11">
        <f t="shared" si="14"/>
        <v>58554</v>
      </c>
      <c r="C931" s="12">
        <v>585540</v>
      </c>
      <c r="D931" s="13">
        <v>1</v>
      </c>
      <c r="E931" s="13">
        <v>1</v>
      </c>
      <c r="F931" s="13">
        <v>55</v>
      </c>
      <c r="G931" s="13">
        <v>52</v>
      </c>
      <c r="H931" s="13" t="str" cm="1">
        <f t="array" ref="H931">_xlfn.IFS(G931&lt;=20,"0-20",G931&lt;=30,"20-30",G931&lt;=40,"30-40",G931&lt;=50,"50-60",G931&lt;=60,"60-70",G931&lt;=70,"70-80",G931&lt;=80,"80-90")</f>
        <v>60-70</v>
      </c>
      <c r="I931" s="13">
        <v>2800</v>
      </c>
      <c r="J931" s="13" t="str" cm="1">
        <f t="array" ref="J931">_xlfn.IFS(K931=1,"Divorciado",L931=1,"Casado",M931=1,"Solteiro",N931=1,"Juntos",O931=1,"Viuvo")</f>
        <v>Juntos</v>
      </c>
      <c r="K931" s="13">
        <v>0</v>
      </c>
      <c r="L931" s="13">
        <v>0</v>
      </c>
      <c r="M931" s="13">
        <v>0</v>
      </c>
      <c r="N931" s="13">
        <v>1</v>
      </c>
      <c r="O931" s="13">
        <v>0</v>
      </c>
      <c r="P931" s="13">
        <v>0</v>
      </c>
      <c r="Q931" s="13">
        <v>0</v>
      </c>
      <c r="R931" s="13">
        <v>1</v>
      </c>
      <c r="S931" s="13">
        <v>0</v>
      </c>
      <c r="T931" s="13">
        <v>0</v>
      </c>
      <c r="U931" s="13">
        <v>368</v>
      </c>
      <c r="V931" s="13" t="str" cm="1">
        <f t="array" ref="V931">_xlfn.IFS(U931&lt;=250,"0-R$250",U931&lt;=500,"251-R$500",U931&lt;=750,"501-R$750",U931&lt;=1000,"751-R$1000",U931&lt;=1250,"1001-R$1250",U931&lt;=1500,"1251-R$1500")</f>
        <v>251-R$500</v>
      </c>
      <c r="W931" s="13">
        <v>24</v>
      </c>
      <c r="X931" s="13" t="str" cm="1">
        <f t="array" ref="X931">_xlfn.IFS(W931 = 0, "0", W931&lt;=20, "até R$20",W931&lt;=40, "21 - R$40",W931&lt;=60, "41- R$60",W931&lt;=80, "61 - R$80", W931&lt;=100, "81 - R$100",W931&lt;=120, "101 - R$120",W931&lt;=140, "121 - R$140", W931&lt;=160, "141- R$160", W931&lt;=180, "161 - R$180", W931&lt;=200, "181-R$194")</f>
        <v>21 - R$40</v>
      </c>
      <c r="Y931" s="13">
        <v>68</v>
      </c>
      <c r="Z931" s="13">
        <v>38</v>
      </c>
      <c r="AA931" s="13">
        <v>0</v>
      </c>
      <c r="AB931" s="13">
        <v>88</v>
      </c>
      <c r="AC931" s="13">
        <v>6</v>
      </c>
      <c r="AD931" s="13">
        <v>8</v>
      </c>
      <c r="AE931" s="13">
        <v>2</v>
      </c>
      <c r="AF931" s="13">
        <v>6</v>
      </c>
      <c r="AG931" s="13">
        <v>7</v>
      </c>
      <c r="AH931" s="13">
        <v>0</v>
      </c>
      <c r="AI931" s="13">
        <v>0</v>
      </c>
      <c r="AJ931" s="13">
        <v>0</v>
      </c>
      <c r="AK931" s="13">
        <v>0</v>
      </c>
      <c r="AL931" s="13">
        <v>0</v>
      </c>
      <c r="AM931" s="13">
        <v>0</v>
      </c>
      <c r="AN931" s="13">
        <v>0</v>
      </c>
      <c r="AO931" s="14">
        <v>0</v>
      </c>
      <c r="AP931" s="13">
        <v>3</v>
      </c>
      <c r="AQ931" s="13">
        <v>11</v>
      </c>
      <c r="AR931" s="15">
        <v>410</v>
      </c>
      <c r="AS931" s="15">
        <v>498</v>
      </c>
    </row>
    <row r="932" spans="1:45" x14ac:dyDescent="0.25">
      <c r="A932">
        <v>2193</v>
      </c>
      <c r="B932" s="11">
        <f t="shared" si="14"/>
        <v>58554</v>
      </c>
      <c r="C932" s="16">
        <v>585540</v>
      </c>
      <c r="D932" s="17">
        <v>1</v>
      </c>
      <c r="E932" s="17">
        <v>1</v>
      </c>
      <c r="F932" s="17">
        <v>55</v>
      </c>
      <c r="G932" s="17">
        <v>52</v>
      </c>
      <c r="H932" s="13" t="str" cm="1">
        <f t="array" ref="H932">_xlfn.IFS(G932&lt;=20,"0-20",G932&lt;=30,"20-30",G932&lt;=40,"30-40",G932&lt;=50,"50-60",G932&lt;=60,"60-70",G932&lt;=70,"70-80",G932&lt;=80,"80-90")</f>
        <v>60-70</v>
      </c>
      <c r="I932" s="17">
        <v>2800</v>
      </c>
      <c r="J932" s="13" t="str" cm="1">
        <f t="array" ref="J932">_xlfn.IFS(K932=1,"Divorciado",L932=1,"Casado",M932=1,"Solteiro",N932=1,"Juntos",O932=1,"Viuvo")</f>
        <v>Juntos</v>
      </c>
      <c r="K932" s="17">
        <v>0</v>
      </c>
      <c r="L932" s="17">
        <v>0</v>
      </c>
      <c r="M932" s="17">
        <v>0</v>
      </c>
      <c r="N932" s="17">
        <v>1</v>
      </c>
      <c r="O932" s="17">
        <v>0</v>
      </c>
      <c r="P932" s="17">
        <v>0</v>
      </c>
      <c r="Q932" s="17">
        <v>0</v>
      </c>
      <c r="R932" s="17">
        <v>1</v>
      </c>
      <c r="S932" s="17">
        <v>0</v>
      </c>
      <c r="T932" s="17">
        <v>0</v>
      </c>
      <c r="U932" s="17">
        <v>368</v>
      </c>
      <c r="V932" s="13" t="str" cm="1">
        <f t="array" ref="V932">_xlfn.IFS(U932&lt;=250,"0-R$250",U932&lt;=500,"251-R$500",U932&lt;=750,"501-R$750",U932&lt;=1000,"751-R$1000",U932&lt;=1250,"1001-R$1250",U932&lt;=1500,"1251-R$1500")</f>
        <v>251-R$500</v>
      </c>
      <c r="W932" s="17">
        <v>24</v>
      </c>
      <c r="X932" s="13" t="str" cm="1">
        <f t="array" ref="X932">_xlfn.IFS(W932 = 0, "0", W932&lt;=20, "até R$20",W932&lt;=40, "21 - R$40",W932&lt;=60, "41- R$60",W932&lt;=80, "61 - R$80", W932&lt;=100, "81 - R$100",W932&lt;=120, "101 - R$120",W932&lt;=140, "121 - R$140", W932&lt;=160, "141- R$160", W932&lt;=180, "161 - R$180", W932&lt;=200, "181-R$194")</f>
        <v>21 - R$40</v>
      </c>
      <c r="Y932" s="17">
        <v>68</v>
      </c>
      <c r="Z932" s="17">
        <v>38</v>
      </c>
      <c r="AA932" s="17">
        <v>0</v>
      </c>
      <c r="AB932" s="17">
        <v>88</v>
      </c>
      <c r="AC932" s="17">
        <v>6</v>
      </c>
      <c r="AD932" s="17">
        <v>8</v>
      </c>
      <c r="AE932" s="17">
        <v>2</v>
      </c>
      <c r="AF932" s="17">
        <v>6</v>
      </c>
      <c r="AG932" s="17">
        <v>7</v>
      </c>
      <c r="AH932" s="17">
        <v>0</v>
      </c>
      <c r="AI932" s="17">
        <v>0</v>
      </c>
      <c r="AJ932" s="17">
        <v>0</v>
      </c>
      <c r="AK932" s="17">
        <v>0</v>
      </c>
      <c r="AL932" s="17">
        <v>0</v>
      </c>
      <c r="AM932" s="17">
        <v>0</v>
      </c>
      <c r="AN932" s="17">
        <v>0</v>
      </c>
      <c r="AO932" s="18">
        <v>0</v>
      </c>
      <c r="AP932" s="17">
        <v>3</v>
      </c>
      <c r="AQ932" s="17">
        <v>11</v>
      </c>
      <c r="AR932" s="19">
        <v>410</v>
      </c>
      <c r="AS932" s="19">
        <v>498</v>
      </c>
    </row>
    <row r="933" spans="1:45" x14ac:dyDescent="0.25">
      <c r="A933">
        <v>51</v>
      </c>
      <c r="B933" s="11">
        <f t="shared" si="14"/>
        <v>66373</v>
      </c>
      <c r="C933" s="16">
        <v>663730</v>
      </c>
      <c r="D933" s="17">
        <v>1</v>
      </c>
      <c r="E933" s="17">
        <v>1</v>
      </c>
      <c r="F933" s="17">
        <v>57</v>
      </c>
      <c r="G933" s="17">
        <v>42</v>
      </c>
      <c r="H933" s="13" t="str" cm="1">
        <f t="array" ref="H933">_xlfn.IFS(G933&lt;=20,"0-20",G933&lt;=30,"20-30",G933&lt;=40,"30-40",G933&lt;=50,"50-60",G933&lt;=60,"60-70",G933&lt;=70,"70-80",G933&lt;=80,"80-90")</f>
        <v>50-60</v>
      </c>
      <c r="I933" s="17">
        <v>2541</v>
      </c>
      <c r="J933" s="13" t="str" cm="1">
        <f t="array" ref="J933">_xlfn.IFS(K933=1,"Divorciado",L933=1,"Casado",M933=1,"Solteiro",N933=1,"Juntos",O933=1,"Viuvo")</f>
        <v>Casado</v>
      </c>
      <c r="K933" s="17">
        <v>0</v>
      </c>
      <c r="L933" s="17">
        <v>1</v>
      </c>
      <c r="M933" s="17">
        <v>0</v>
      </c>
      <c r="N933" s="17">
        <v>0</v>
      </c>
      <c r="O933" s="17">
        <v>0</v>
      </c>
      <c r="P933" s="17">
        <v>0</v>
      </c>
      <c r="Q933" s="17">
        <v>0</v>
      </c>
      <c r="R933" s="17">
        <v>1</v>
      </c>
      <c r="S933" s="17">
        <v>0</v>
      </c>
      <c r="T933" s="17">
        <v>0</v>
      </c>
      <c r="U933" s="17">
        <v>328</v>
      </c>
      <c r="V933" s="13" t="str" cm="1">
        <f t="array" ref="V933">_xlfn.IFS(U933&lt;=250,"0-R$250",U933&lt;=500,"251-R$500",U933&lt;=750,"501-R$750",U933&lt;=1000,"751-R$1000",U933&lt;=1250,"1001-R$1250",U933&lt;=1500,"1251-R$1500")</f>
        <v>251-R$500</v>
      </c>
      <c r="W933" s="17">
        <v>9</v>
      </c>
      <c r="X933" s="13" t="str" cm="1">
        <f t="array" ref="X933">_xlfn.IFS(W933 = 0, "0", W933&lt;=20, "até R$20",W933&lt;=40, "21 - R$40",W933&lt;=60, "41- R$60",W933&lt;=80, "61 - R$80", W933&lt;=100, "81 - R$100",W933&lt;=120, "101 - R$120",W933&lt;=140, "121 - R$140", W933&lt;=160, "141- R$160", W933&lt;=180, "161 - R$180", W933&lt;=200, "181-R$194")</f>
        <v>até R$20</v>
      </c>
      <c r="Y933" s="17">
        <v>124</v>
      </c>
      <c r="Z933" s="17">
        <v>12</v>
      </c>
      <c r="AA933" s="17">
        <v>24</v>
      </c>
      <c r="AB933" s="17">
        <v>109</v>
      </c>
      <c r="AC933" s="17">
        <v>7</v>
      </c>
      <c r="AD933" s="17">
        <v>4</v>
      </c>
      <c r="AE933" s="17">
        <v>2</v>
      </c>
      <c r="AF933" s="17">
        <v>10</v>
      </c>
      <c r="AG933" s="17">
        <v>3</v>
      </c>
      <c r="AH933" s="17">
        <v>0</v>
      </c>
      <c r="AI933" s="17">
        <v>0</v>
      </c>
      <c r="AJ933" s="17">
        <v>0</v>
      </c>
      <c r="AK933" s="17">
        <v>0</v>
      </c>
      <c r="AL933" s="17">
        <v>0</v>
      </c>
      <c r="AM933" s="17">
        <v>0</v>
      </c>
      <c r="AN933" s="17">
        <v>0</v>
      </c>
      <c r="AO933" s="18">
        <v>0</v>
      </c>
      <c r="AP933" s="17">
        <v>3</v>
      </c>
      <c r="AQ933" s="17">
        <v>11</v>
      </c>
      <c r="AR933" s="19">
        <v>388</v>
      </c>
      <c r="AS933" s="19">
        <v>497</v>
      </c>
    </row>
    <row r="934" spans="1:45" x14ac:dyDescent="0.25">
      <c r="A934">
        <v>201</v>
      </c>
      <c r="B934" s="11">
        <f t="shared" si="14"/>
        <v>46014</v>
      </c>
      <c r="C934" s="16">
        <v>460140</v>
      </c>
      <c r="D934" s="17">
        <v>1</v>
      </c>
      <c r="E934" s="17">
        <v>1</v>
      </c>
      <c r="F934" s="17">
        <v>21</v>
      </c>
      <c r="G934" s="17">
        <v>46</v>
      </c>
      <c r="H934" s="13" t="str" cm="1">
        <f t="array" ref="H934">_xlfn.IFS(G934&lt;=20,"0-20",G934&lt;=30,"20-30",G934&lt;=40,"30-40",G934&lt;=50,"50-60",G934&lt;=60,"60-70",G934&lt;=70,"70-80",G934&lt;=80,"80-90")</f>
        <v>50-60</v>
      </c>
      <c r="I934" s="17">
        <v>2683</v>
      </c>
      <c r="J934" s="13" t="str" cm="1">
        <f t="array" ref="J934">_xlfn.IFS(K934=1,"Divorciado",L934=1,"Casado",M934=1,"Solteiro",N934=1,"Juntos",O934=1,"Viuvo")</f>
        <v>Juntos</v>
      </c>
      <c r="K934" s="17">
        <v>0</v>
      </c>
      <c r="L934" s="17">
        <v>0</v>
      </c>
      <c r="M934" s="17">
        <v>0</v>
      </c>
      <c r="N934" s="17">
        <v>1</v>
      </c>
      <c r="O934" s="17">
        <v>0</v>
      </c>
      <c r="P934" s="17">
        <v>0</v>
      </c>
      <c r="Q934" s="17">
        <v>0</v>
      </c>
      <c r="R934" s="17">
        <v>0</v>
      </c>
      <c r="S934" s="17">
        <v>1</v>
      </c>
      <c r="T934" s="17">
        <v>0</v>
      </c>
      <c r="U934" s="17">
        <v>410</v>
      </c>
      <c r="V934" s="13" t="str" cm="1">
        <f t="array" ref="V934">_xlfn.IFS(U934&lt;=250,"0-R$250",U934&lt;=500,"251-R$500",U934&lt;=750,"501-R$750",U934&lt;=1000,"751-R$1000",U934&lt;=1250,"1001-R$1250",U934&lt;=1500,"1251-R$1500")</f>
        <v>251-R$500</v>
      </c>
      <c r="W934" s="17">
        <v>0</v>
      </c>
      <c r="X934" s="13" t="str" cm="1">
        <f t="array" ref="X934">_xlfn.IFS(W934 = 0, "0", W934&lt;=20, "até R$20",W934&lt;=40, "21 - R$40",W934&lt;=60, "41- R$60",W934&lt;=80, "61 - R$80", W934&lt;=100, "81 - R$100",W934&lt;=120, "101 - R$120",W934&lt;=140, "121 - R$140", W934&lt;=160, "141- R$160", W934&lt;=180, "161 - R$180", W934&lt;=200, "181-R$194")</f>
        <v>0</v>
      </c>
      <c r="Y934" s="17">
        <v>59</v>
      </c>
      <c r="Z934" s="17">
        <v>19</v>
      </c>
      <c r="AA934" s="17">
        <v>9</v>
      </c>
      <c r="AB934" s="17">
        <v>44</v>
      </c>
      <c r="AC934" s="17">
        <v>10</v>
      </c>
      <c r="AD934" s="17">
        <v>7</v>
      </c>
      <c r="AE934" s="17">
        <v>1</v>
      </c>
      <c r="AF934" s="17">
        <v>8</v>
      </c>
      <c r="AG934" s="17">
        <v>7</v>
      </c>
      <c r="AH934" s="17">
        <v>0</v>
      </c>
      <c r="AI934" s="17">
        <v>0</v>
      </c>
      <c r="AJ934" s="17">
        <v>0</v>
      </c>
      <c r="AK934" s="17">
        <v>0</v>
      </c>
      <c r="AL934" s="17">
        <v>0</v>
      </c>
      <c r="AM934" s="17">
        <v>0</v>
      </c>
      <c r="AN934" s="17">
        <v>0</v>
      </c>
      <c r="AO934" s="18">
        <v>0</v>
      </c>
      <c r="AP934" s="17">
        <v>3</v>
      </c>
      <c r="AQ934" s="17">
        <v>11</v>
      </c>
      <c r="AR934" s="19">
        <v>453</v>
      </c>
      <c r="AS934" s="19">
        <v>497</v>
      </c>
    </row>
    <row r="935" spans="1:45" x14ac:dyDescent="0.25">
      <c r="A935">
        <v>713</v>
      </c>
      <c r="B935" s="11">
        <f t="shared" si="14"/>
        <v>66373</v>
      </c>
      <c r="C935" s="16">
        <v>663730</v>
      </c>
      <c r="D935" s="17">
        <v>1</v>
      </c>
      <c r="E935" s="17">
        <v>1</v>
      </c>
      <c r="F935" s="17">
        <v>57</v>
      </c>
      <c r="G935" s="17">
        <v>42</v>
      </c>
      <c r="H935" s="13" t="str" cm="1">
        <f t="array" ref="H935">_xlfn.IFS(G935&lt;=20,"0-20",G935&lt;=30,"20-30",G935&lt;=40,"30-40",G935&lt;=50,"50-60",G935&lt;=60,"60-70",G935&lt;=70,"70-80",G935&lt;=80,"80-90")</f>
        <v>50-60</v>
      </c>
      <c r="I935" s="17">
        <v>2541</v>
      </c>
      <c r="J935" s="13" t="str" cm="1">
        <f t="array" ref="J935">_xlfn.IFS(K935=1,"Divorciado",L935=1,"Casado",M935=1,"Solteiro",N935=1,"Juntos",O935=1,"Viuvo")</f>
        <v>Casado</v>
      </c>
      <c r="K935" s="17">
        <v>0</v>
      </c>
      <c r="L935" s="17">
        <v>1</v>
      </c>
      <c r="M935" s="17">
        <v>0</v>
      </c>
      <c r="N935" s="17">
        <v>0</v>
      </c>
      <c r="O935" s="17">
        <v>0</v>
      </c>
      <c r="P935" s="17">
        <v>0</v>
      </c>
      <c r="Q935" s="17">
        <v>0</v>
      </c>
      <c r="R935" s="17">
        <v>1</v>
      </c>
      <c r="S935" s="17">
        <v>0</v>
      </c>
      <c r="T935" s="17">
        <v>0</v>
      </c>
      <c r="U935" s="17">
        <v>328</v>
      </c>
      <c r="V935" s="13" t="str" cm="1">
        <f t="array" ref="V935">_xlfn.IFS(U935&lt;=250,"0-R$250",U935&lt;=500,"251-R$500",U935&lt;=750,"501-R$750",U935&lt;=1000,"751-R$1000",U935&lt;=1250,"1001-R$1250",U935&lt;=1500,"1251-R$1500")</f>
        <v>251-R$500</v>
      </c>
      <c r="W935" s="17">
        <v>9</v>
      </c>
      <c r="X935" s="13" t="str" cm="1">
        <f t="array" ref="X935">_xlfn.IFS(W935 = 0, "0", W935&lt;=20, "até R$20",W935&lt;=40, "21 - R$40",W935&lt;=60, "41- R$60",W935&lt;=80, "61 - R$80", W935&lt;=100, "81 - R$100",W935&lt;=120, "101 - R$120",W935&lt;=140, "121 - R$140", W935&lt;=160, "141- R$160", W935&lt;=180, "161 - R$180", W935&lt;=200, "181-R$194")</f>
        <v>até R$20</v>
      </c>
      <c r="Y935" s="17">
        <v>124</v>
      </c>
      <c r="Z935" s="17">
        <v>12</v>
      </c>
      <c r="AA935" s="17">
        <v>24</v>
      </c>
      <c r="AB935" s="17">
        <v>109</v>
      </c>
      <c r="AC935" s="17">
        <v>7</v>
      </c>
      <c r="AD935" s="17">
        <v>4</v>
      </c>
      <c r="AE935" s="17">
        <v>2</v>
      </c>
      <c r="AF935" s="17">
        <v>10</v>
      </c>
      <c r="AG935" s="17">
        <v>3</v>
      </c>
      <c r="AH935" s="17">
        <v>0</v>
      </c>
      <c r="AI935" s="17">
        <v>0</v>
      </c>
      <c r="AJ935" s="17">
        <v>0</v>
      </c>
      <c r="AK935" s="17">
        <v>0</v>
      </c>
      <c r="AL935" s="17">
        <v>0</v>
      </c>
      <c r="AM935" s="17">
        <v>0</v>
      </c>
      <c r="AN935" s="17">
        <v>0</v>
      </c>
      <c r="AO935" s="18">
        <v>0</v>
      </c>
      <c r="AP935" s="17">
        <v>3</v>
      </c>
      <c r="AQ935" s="17">
        <v>11</v>
      </c>
      <c r="AR935" s="19">
        <v>388</v>
      </c>
      <c r="AS935" s="19">
        <v>497</v>
      </c>
    </row>
    <row r="936" spans="1:45" x14ac:dyDescent="0.25">
      <c r="A936">
        <v>857</v>
      </c>
      <c r="B936" s="11">
        <f t="shared" si="14"/>
        <v>42835</v>
      </c>
      <c r="C936" s="16">
        <v>428350</v>
      </c>
      <c r="D936" s="17">
        <v>1</v>
      </c>
      <c r="E936" s="17">
        <v>1</v>
      </c>
      <c r="F936" s="17">
        <v>64</v>
      </c>
      <c r="G936" s="17">
        <v>49</v>
      </c>
      <c r="H936" s="13" t="str" cm="1">
        <f t="array" ref="H936">_xlfn.IFS(G936&lt;=20,"0-20",G936&lt;=30,"20-30",G936&lt;=40,"30-40",G936&lt;=50,"50-60",G936&lt;=60,"60-70",G936&lt;=70,"70-80",G936&lt;=80,"80-90")</f>
        <v>50-60</v>
      </c>
      <c r="I936" s="17">
        <v>2523</v>
      </c>
      <c r="J936" s="13" t="str" cm="1">
        <f t="array" ref="J936">_xlfn.IFS(K936=1,"Divorciado",L936=1,"Casado",M936=1,"Solteiro",N936=1,"Juntos",O936=1,"Viuvo")</f>
        <v>Divorciado</v>
      </c>
      <c r="K936" s="17">
        <v>1</v>
      </c>
      <c r="L936" s="17">
        <v>0</v>
      </c>
      <c r="M936" s="17">
        <v>0</v>
      </c>
      <c r="N936" s="17">
        <v>0</v>
      </c>
      <c r="O936" s="17">
        <v>0</v>
      </c>
      <c r="P936" s="17">
        <v>0</v>
      </c>
      <c r="Q936" s="17">
        <v>0</v>
      </c>
      <c r="R936" s="17">
        <v>0</v>
      </c>
      <c r="S936" s="17">
        <v>1</v>
      </c>
      <c r="T936" s="17">
        <v>0</v>
      </c>
      <c r="U936" s="17">
        <v>379</v>
      </c>
      <c r="V936" s="13" t="str" cm="1">
        <f t="array" ref="V936">_xlfn.IFS(U936&lt;=250,"0-R$250",U936&lt;=500,"251-R$500",U936&lt;=750,"501-R$750",U936&lt;=1000,"751-R$1000",U936&lt;=1250,"1001-R$1250",U936&lt;=1500,"1251-R$1500")</f>
        <v>251-R$500</v>
      </c>
      <c r="W936" s="17">
        <v>4</v>
      </c>
      <c r="X936" s="13" t="str" cm="1">
        <f t="array" ref="X936">_xlfn.IFS(W936 = 0, "0", W936&lt;=20, "até R$20",W936&lt;=40, "21 - R$40",W936&lt;=60, "41- R$60",W936&lt;=80, "61 - R$80", W936&lt;=100, "81 - R$100",W936&lt;=120, "101 - R$120",W936&lt;=140, "121 - R$140", W936&lt;=160, "141- R$160", W936&lt;=180, "161 - R$180", W936&lt;=200, "181-R$194")</f>
        <v>até R$20</v>
      </c>
      <c r="Y936" s="17">
        <v>93</v>
      </c>
      <c r="Z936" s="17">
        <v>12</v>
      </c>
      <c r="AA936" s="17">
        <v>9</v>
      </c>
      <c r="AB936" s="17">
        <v>98</v>
      </c>
      <c r="AC936" s="17">
        <v>7</v>
      </c>
      <c r="AD936" s="17">
        <v>6</v>
      </c>
      <c r="AE936" s="17">
        <v>6</v>
      </c>
      <c r="AF936" s="17">
        <v>4</v>
      </c>
      <c r="AG936" s="17">
        <v>6</v>
      </c>
      <c r="AH936" s="17">
        <v>0</v>
      </c>
      <c r="AI936" s="17">
        <v>0</v>
      </c>
      <c r="AJ936" s="17">
        <v>0</v>
      </c>
      <c r="AK936" s="17">
        <v>0</v>
      </c>
      <c r="AL936" s="17">
        <v>0</v>
      </c>
      <c r="AM936" s="17">
        <v>0</v>
      </c>
      <c r="AN936" s="17">
        <v>0</v>
      </c>
      <c r="AO936" s="18">
        <v>0</v>
      </c>
      <c r="AP936" s="17">
        <v>3</v>
      </c>
      <c r="AQ936" s="17">
        <v>11</v>
      </c>
      <c r="AR936" s="19">
        <v>399</v>
      </c>
      <c r="AS936" s="19">
        <v>497</v>
      </c>
    </row>
    <row r="937" spans="1:45" x14ac:dyDescent="0.25">
      <c r="A937">
        <v>1045</v>
      </c>
      <c r="B937" s="11">
        <f t="shared" si="14"/>
        <v>65526</v>
      </c>
      <c r="C937" s="16">
        <v>655260</v>
      </c>
      <c r="D937" s="17">
        <v>0</v>
      </c>
      <c r="E937" s="17">
        <v>1</v>
      </c>
      <c r="F937" s="17">
        <v>22</v>
      </c>
      <c r="G937" s="17">
        <v>56</v>
      </c>
      <c r="H937" s="13" t="str" cm="1">
        <f t="array" ref="H937">_xlfn.IFS(G937&lt;=20,"0-20",G937&lt;=30,"20-30",G937&lt;=40,"30-40",G937&lt;=50,"50-60",G937&lt;=60,"60-70",G937&lt;=70,"70-80",G937&lt;=80,"80-90")</f>
        <v>60-70</v>
      </c>
      <c r="I937" s="17">
        <v>2238</v>
      </c>
      <c r="J937" s="13" t="str" cm="1">
        <f t="array" ref="J937">_xlfn.IFS(K937=1,"Divorciado",L937=1,"Casado",M937=1,"Solteiro",N937=1,"Juntos",O937=1,"Viuvo")</f>
        <v>Casado</v>
      </c>
      <c r="K937" s="17">
        <v>0</v>
      </c>
      <c r="L937" s="17">
        <v>1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1</v>
      </c>
      <c r="U937" s="17">
        <v>397</v>
      </c>
      <c r="V937" s="13" t="str" cm="1">
        <f t="array" ref="V937">_xlfn.IFS(U937&lt;=250,"0-R$250",U937&lt;=500,"251-R$500",U937&lt;=750,"501-R$750",U937&lt;=1000,"751-R$1000",U937&lt;=1250,"1001-R$1250",U937&lt;=1500,"1251-R$1500")</f>
        <v>251-R$500</v>
      </c>
      <c r="W937" s="17">
        <v>19</v>
      </c>
      <c r="X937" s="13" t="str" cm="1">
        <f t="array" ref="X937">_xlfn.IFS(W937 = 0, "0", W937&lt;=20, "até R$20",W937&lt;=40, "21 - R$40",W937&lt;=60, "41- R$60",W937&lt;=80, "61 - R$80", W937&lt;=100, "81 - R$100",W937&lt;=120, "101 - R$120",W937&lt;=140, "121 - R$140", W937&lt;=160, "141- R$160", W937&lt;=180, "161 - R$180", W937&lt;=200, "181-R$194")</f>
        <v>até R$20</v>
      </c>
      <c r="Y937" s="17">
        <v>69</v>
      </c>
      <c r="Z937" s="17">
        <v>12</v>
      </c>
      <c r="AA937" s="17">
        <v>0</v>
      </c>
      <c r="AB937" s="17">
        <v>9</v>
      </c>
      <c r="AC937" s="17">
        <v>1</v>
      </c>
      <c r="AD937" s="17">
        <v>4</v>
      </c>
      <c r="AE937" s="17">
        <v>4</v>
      </c>
      <c r="AF937" s="17">
        <v>8</v>
      </c>
      <c r="AG937" s="17">
        <v>2</v>
      </c>
      <c r="AH937" s="17">
        <v>0</v>
      </c>
      <c r="AI937" s="17">
        <v>0</v>
      </c>
      <c r="AJ937" s="17">
        <v>0</v>
      </c>
      <c r="AK937" s="17">
        <v>0</v>
      </c>
      <c r="AL937" s="17">
        <v>0</v>
      </c>
      <c r="AM937" s="17">
        <v>0</v>
      </c>
      <c r="AN937" s="17">
        <v>0</v>
      </c>
      <c r="AO937" s="18">
        <v>0</v>
      </c>
      <c r="AP937" s="17">
        <v>3</v>
      </c>
      <c r="AQ937" s="17">
        <v>11</v>
      </c>
      <c r="AR937" s="19">
        <v>488</v>
      </c>
      <c r="AS937" s="19">
        <v>497</v>
      </c>
    </row>
    <row r="938" spans="1:45" x14ac:dyDescent="0.25">
      <c r="A938">
        <v>1585</v>
      </c>
      <c r="B938" s="11">
        <f t="shared" si="14"/>
        <v>65526</v>
      </c>
      <c r="C938" s="16">
        <v>655260</v>
      </c>
      <c r="D938" s="17">
        <v>0</v>
      </c>
      <c r="E938" s="17">
        <v>1</v>
      </c>
      <c r="F938" s="17">
        <v>22</v>
      </c>
      <c r="G938" s="17">
        <v>56</v>
      </c>
      <c r="H938" s="13" t="str" cm="1">
        <f t="array" ref="H938">_xlfn.IFS(G938&lt;=20,"0-20",G938&lt;=30,"20-30",G938&lt;=40,"30-40",G938&lt;=50,"50-60",G938&lt;=60,"60-70",G938&lt;=70,"70-80",G938&lt;=80,"80-90")</f>
        <v>60-70</v>
      </c>
      <c r="I938" s="17">
        <v>2238</v>
      </c>
      <c r="J938" s="13" t="str" cm="1">
        <f t="array" ref="J938">_xlfn.IFS(K938=1,"Divorciado",L938=1,"Casado",M938=1,"Solteiro",N938=1,"Juntos",O938=1,"Viuvo")</f>
        <v>Casado</v>
      </c>
      <c r="K938" s="17">
        <v>0</v>
      </c>
      <c r="L938" s="17">
        <v>1</v>
      </c>
      <c r="M938" s="17">
        <v>0</v>
      </c>
      <c r="N938" s="17">
        <v>0</v>
      </c>
      <c r="O938" s="17">
        <v>0</v>
      </c>
      <c r="P938" s="17">
        <v>0</v>
      </c>
      <c r="Q938" s="17">
        <v>0</v>
      </c>
      <c r="R938" s="17">
        <v>0</v>
      </c>
      <c r="S938" s="17">
        <v>0</v>
      </c>
      <c r="T938" s="17">
        <v>1</v>
      </c>
      <c r="U938" s="17">
        <v>397</v>
      </c>
      <c r="V938" s="13" t="str" cm="1">
        <f t="array" ref="V938">_xlfn.IFS(U938&lt;=250,"0-R$250",U938&lt;=500,"251-R$500",U938&lt;=750,"501-R$750",U938&lt;=1000,"751-R$1000",U938&lt;=1250,"1001-R$1250",U938&lt;=1500,"1251-R$1500")</f>
        <v>251-R$500</v>
      </c>
      <c r="W938" s="17">
        <v>19</v>
      </c>
      <c r="X938" s="13" t="str" cm="1">
        <f t="array" ref="X938">_xlfn.IFS(W938 = 0, "0", W938&lt;=20, "até R$20",W938&lt;=40, "21 - R$40",W938&lt;=60, "41- R$60",W938&lt;=80, "61 - R$80", W938&lt;=100, "81 - R$100",W938&lt;=120, "101 - R$120",W938&lt;=140, "121 - R$140", W938&lt;=160, "141- R$160", W938&lt;=180, "161 - R$180", W938&lt;=200, "181-R$194")</f>
        <v>até R$20</v>
      </c>
      <c r="Y938" s="17">
        <v>69</v>
      </c>
      <c r="Z938" s="17">
        <v>12</v>
      </c>
      <c r="AA938" s="17">
        <v>0</v>
      </c>
      <c r="AB938" s="17">
        <v>9</v>
      </c>
      <c r="AC938" s="17">
        <v>1</v>
      </c>
      <c r="AD938" s="17">
        <v>4</v>
      </c>
      <c r="AE938" s="17">
        <v>4</v>
      </c>
      <c r="AF938" s="17">
        <v>8</v>
      </c>
      <c r="AG938" s="17">
        <v>2</v>
      </c>
      <c r="AH938" s="17">
        <v>0</v>
      </c>
      <c r="AI938" s="17">
        <v>0</v>
      </c>
      <c r="AJ938" s="17">
        <v>0</v>
      </c>
      <c r="AK938" s="17">
        <v>0</v>
      </c>
      <c r="AL938" s="17">
        <v>0</v>
      </c>
      <c r="AM938" s="17">
        <v>0</v>
      </c>
      <c r="AN938" s="17">
        <v>0</v>
      </c>
      <c r="AO938" s="18">
        <v>0</v>
      </c>
      <c r="AP938" s="17">
        <v>3</v>
      </c>
      <c r="AQ938" s="17">
        <v>11</v>
      </c>
      <c r="AR938" s="19">
        <v>488</v>
      </c>
      <c r="AS938" s="19">
        <v>497</v>
      </c>
    </row>
    <row r="939" spans="1:45" x14ac:dyDescent="0.25">
      <c r="A939">
        <v>188</v>
      </c>
      <c r="B939" s="11">
        <f t="shared" si="14"/>
        <v>69142</v>
      </c>
      <c r="C939" s="12">
        <v>691420</v>
      </c>
      <c r="D939" s="13">
        <v>0</v>
      </c>
      <c r="E939" s="13">
        <v>1</v>
      </c>
      <c r="F939" s="13">
        <v>50</v>
      </c>
      <c r="G939" s="13">
        <v>68</v>
      </c>
      <c r="H939" s="13" t="str" cm="1">
        <f t="array" ref="H939">_xlfn.IFS(G939&lt;=20,"0-20",G939&lt;=30,"20-30",G939&lt;=40,"30-40",G939&lt;=50,"50-60",G939&lt;=60,"60-70",G939&lt;=70,"70-80",G939&lt;=80,"80-90")</f>
        <v>70-80</v>
      </c>
      <c r="I939" s="13">
        <v>2159</v>
      </c>
      <c r="J939" s="13" t="str" cm="1">
        <f t="array" ref="J939">_xlfn.IFS(K939=1,"Divorciado",L939=1,"Casado",M939=1,"Solteiro",N939=1,"Juntos",O939=1,"Viuvo")</f>
        <v>Divorciado</v>
      </c>
      <c r="K939" s="13">
        <v>1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1</v>
      </c>
      <c r="S939" s="13">
        <v>0</v>
      </c>
      <c r="T939" s="13">
        <v>0</v>
      </c>
      <c r="U939" s="13">
        <v>448</v>
      </c>
      <c r="V939" s="13" t="str" cm="1">
        <f t="array" ref="V939">_xlfn.IFS(U939&lt;=250,"0-R$250",U939&lt;=500,"251-R$500",U939&lt;=750,"501-R$750",U939&lt;=1000,"751-R$1000",U939&lt;=1250,"1001-R$1250",U939&lt;=1500,"1251-R$1500")</f>
        <v>251-R$500</v>
      </c>
      <c r="W939" s="13">
        <v>4</v>
      </c>
      <c r="X939" s="13" t="str" cm="1">
        <f t="array" ref="X939">_xlfn.IFS(W939 = 0, "0", W939&lt;=20, "até R$20",W939&lt;=40, "21 - R$40",W939&lt;=60, "41- R$60",W939&lt;=80, "61 - R$80", W939&lt;=100, "81 - R$100",W939&lt;=120, "101 - R$120",W939&lt;=140, "121 - R$140", W939&lt;=160, "141- R$160", W939&lt;=180, "161 - R$180", W939&lt;=200, "181-R$194")</f>
        <v>até R$20</v>
      </c>
      <c r="Y939" s="13">
        <v>34</v>
      </c>
      <c r="Z939" s="13">
        <v>6</v>
      </c>
      <c r="AA939" s="13">
        <v>4</v>
      </c>
      <c r="AB939" s="13">
        <v>39</v>
      </c>
      <c r="AC939" s="13">
        <v>3</v>
      </c>
      <c r="AD939" s="13">
        <v>8</v>
      </c>
      <c r="AE939" s="13">
        <v>1</v>
      </c>
      <c r="AF939" s="13">
        <v>7</v>
      </c>
      <c r="AG939" s="13">
        <v>5</v>
      </c>
      <c r="AH939" s="13">
        <v>0</v>
      </c>
      <c r="AI939" s="13">
        <v>0</v>
      </c>
      <c r="AJ939" s="13">
        <v>1</v>
      </c>
      <c r="AK939" s="13">
        <v>0</v>
      </c>
      <c r="AL939" s="13">
        <v>0</v>
      </c>
      <c r="AM939" s="13">
        <v>0</v>
      </c>
      <c r="AN939" s="13">
        <v>0</v>
      </c>
      <c r="AO939" s="14">
        <v>1</v>
      </c>
      <c r="AP939" s="13">
        <v>3</v>
      </c>
      <c r="AQ939" s="13">
        <v>11</v>
      </c>
      <c r="AR939" s="15">
        <v>457</v>
      </c>
      <c r="AS939" s="15">
        <v>496</v>
      </c>
    </row>
    <row r="940" spans="1:45" x14ac:dyDescent="0.25">
      <c r="A940">
        <v>1137</v>
      </c>
      <c r="B940" s="11">
        <f t="shared" si="14"/>
        <v>46049</v>
      </c>
      <c r="C940" s="16">
        <v>460490</v>
      </c>
      <c r="D940" s="17">
        <v>1</v>
      </c>
      <c r="E940" s="17">
        <v>1</v>
      </c>
      <c r="F940" s="17">
        <v>11</v>
      </c>
      <c r="G940" s="17">
        <v>44</v>
      </c>
      <c r="H940" s="13" t="str" cm="1">
        <f t="array" ref="H940">_xlfn.IFS(G940&lt;=20,"0-20",G940&lt;=30,"20-30",G940&lt;=40,"30-40",G940&lt;=50,"50-60",G940&lt;=60,"60-70",G940&lt;=70,"70-80",G940&lt;=80,"80-90")</f>
        <v>50-60</v>
      </c>
      <c r="I940" s="17">
        <v>2502</v>
      </c>
      <c r="J940" s="13" t="str" cm="1">
        <f t="array" ref="J940">_xlfn.IFS(K940=1,"Divorciado",L940=1,"Casado",M940=1,"Solteiro",N940=1,"Juntos",O940=1,"Viuvo")</f>
        <v>Casado</v>
      </c>
      <c r="K940" s="17">
        <v>0</v>
      </c>
      <c r="L940" s="17">
        <v>1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1</v>
      </c>
      <c r="S940" s="17">
        <v>0</v>
      </c>
      <c r="T940" s="17">
        <v>0</v>
      </c>
      <c r="U940" s="17">
        <v>342</v>
      </c>
      <c r="V940" s="13" t="str" cm="1">
        <f t="array" ref="V940">_xlfn.IFS(U940&lt;=250,"0-R$250",U940&lt;=500,"251-R$500",U940&lt;=750,"501-R$750",U940&lt;=1000,"751-R$1000",U940&lt;=1250,"1001-R$1250",U940&lt;=1500,"1251-R$1500")</f>
        <v>251-R$500</v>
      </c>
      <c r="W940" s="17">
        <v>9</v>
      </c>
      <c r="X940" s="13" t="str" cm="1">
        <f t="array" ref="X940">_xlfn.IFS(W940 = 0, "0", W940&lt;=20, "até R$20",W940&lt;=40, "21 - R$40",W940&lt;=60, "41- R$60",W940&lt;=80, "61 - R$80", W940&lt;=100, "81 - R$100",W940&lt;=120, "101 - R$120",W940&lt;=140, "121 - R$140", W940&lt;=160, "141- R$160", W940&lt;=180, "161 - R$180", W940&lt;=200, "181-R$194")</f>
        <v>até R$20</v>
      </c>
      <c r="Y940" s="17">
        <v>112</v>
      </c>
      <c r="Z940" s="17">
        <v>19</v>
      </c>
      <c r="AA940" s="17">
        <v>14</v>
      </c>
      <c r="AB940" s="17">
        <v>19</v>
      </c>
      <c r="AC940" s="17">
        <v>10</v>
      </c>
      <c r="AD940" s="17">
        <v>5</v>
      </c>
      <c r="AE940" s="17">
        <v>2</v>
      </c>
      <c r="AF940" s="17">
        <v>9</v>
      </c>
      <c r="AG940" s="17">
        <v>7</v>
      </c>
      <c r="AH940" s="17">
        <v>0</v>
      </c>
      <c r="AI940" s="17">
        <v>0</v>
      </c>
      <c r="AJ940" s="17">
        <v>0</v>
      </c>
      <c r="AK940" s="17">
        <v>0</v>
      </c>
      <c r="AL940" s="17">
        <v>0</v>
      </c>
      <c r="AM940" s="17">
        <v>0</v>
      </c>
      <c r="AN940" s="17">
        <v>1</v>
      </c>
      <c r="AO940" s="18">
        <v>0</v>
      </c>
      <c r="AP940" s="17">
        <v>3</v>
      </c>
      <c r="AQ940" s="17">
        <v>11</v>
      </c>
      <c r="AR940" s="19">
        <v>477</v>
      </c>
      <c r="AS940" s="19">
        <v>496</v>
      </c>
    </row>
    <row r="941" spans="1:45" x14ac:dyDescent="0.25">
      <c r="A941">
        <v>1197</v>
      </c>
      <c r="B941" s="11">
        <f t="shared" si="14"/>
        <v>61559</v>
      </c>
      <c r="C941" s="16">
        <v>615590</v>
      </c>
      <c r="D941" s="17">
        <v>0</v>
      </c>
      <c r="E941" s="17">
        <v>1</v>
      </c>
      <c r="F941" s="17">
        <v>8</v>
      </c>
      <c r="G941" s="17">
        <v>55</v>
      </c>
      <c r="H941" s="13" t="str" cm="1">
        <f t="array" ref="H941">_xlfn.IFS(G941&lt;=20,"0-20",G941&lt;=30,"20-30",G941&lt;=40,"30-40",G941&lt;=50,"50-60",G941&lt;=60,"60-70",G941&lt;=70,"70-80",G941&lt;=80,"80-90")</f>
        <v>60-70</v>
      </c>
      <c r="I941" s="17">
        <v>2506</v>
      </c>
      <c r="J941" s="13" t="str" cm="1">
        <f t="array" ref="J941">_xlfn.IFS(K941=1,"Divorciado",L941=1,"Casado",M941=1,"Solteiro",N941=1,"Juntos",O941=1,"Viuvo")</f>
        <v>Solteiro</v>
      </c>
      <c r="K941" s="17">
        <v>0</v>
      </c>
      <c r="L941" s="17">
        <v>0</v>
      </c>
      <c r="M941" s="17">
        <v>1</v>
      </c>
      <c r="N941" s="17">
        <v>0</v>
      </c>
      <c r="O941" s="17">
        <v>0</v>
      </c>
      <c r="P941" s="17">
        <v>0</v>
      </c>
      <c r="Q941" s="17">
        <v>0</v>
      </c>
      <c r="R941" s="17">
        <v>1</v>
      </c>
      <c r="S941" s="17">
        <v>0</v>
      </c>
      <c r="T941" s="17">
        <v>0</v>
      </c>
      <c r="U941" s="17">
        <v>279</v>
      </c>
      <c r="V941" s="13" t="str" cm="1">
        <f t="array" ref="V941">_xlfn.IFS(U941&lt;=250,"0-R$250",U941&lt;=500,"251-R$500",U941&lt;=750,"501-R$750",U941&lt;=1000,"751-R$1000",U941&lt;=1250,"1001-R$1250",U941&lt;=1500,"1251-R$1500")</f>
        <v>251-R$500</v>
      </c>
      <c r="W941" s="17">
        <v>83</v>
      </c>
      <c r="X941" s="13" t="str" cm="1">
        <f t="array" ref="X941">_xlfn.IFS(W941 = 0, "0", W941&lt;=20, "até R$20",W941&lt;=40, "21 - R$40",W941&lt;=60, "41- R$60",W941&lt;=80, "61 - R$80", W941&lt;=100, "81 - R$100",W941&lt;=120, "101 - R$120",W941&lt;=140, "121 - R$140", W941&lt;=160, "141- R$160", W941&lt;=180, "161 - R$180", W941&lt;=200, "181-R$194")</f>
        <v>81 - R$100</v>
      </c>
      <c r="Y941" s="17">
        <v>88</v>
      </c>
      <c r="Z941" s="17">
        <v>32</v>
      </c>
      <c r="AA941" s="17">
        <v>14</v>
      </c>
      <c r="AB941" s="17">
        <v>34</v>
      </c>
      <c r="AC941" s="17">
        <v>1</v>
      </c>
      <c r="AD941" s="17">
        <v>4</v>
      </c>
      <c r="AE941" s="17">
        <v>2</v>
      </c>
      <c r="AF941" s="17">
        <v>10</v>
      </c>
      <c r="AG941" s="17">
        <v>3</v>
      </c>
      <c r="AH941" s="17">
        <v>0</v>
      </c>
      <c r="AI941" s="17">
        <v>0</v>
      </c>
      <c r="AJ941" s="17">
        <v>0</v>
      </c>
      <c r="AK941" s="17">
        <v>0</v>
      </c>
      <c r="AL941" s="17">
        <v>0</v>
      </c>
      <c r="AM941" s="17">
        <v>0</v>
      </c>
      <c r="AN941" s="17">
        <v>0</v>
      </c>
      <c r="AO941" s="18">
        <v>0</v>
      </c>
      <c r="AP941" s="17">
        <v>3</v>
      </c>
      <c r="AQ941" s="17">
        <v>11</v>
      </c>
      <c r="AR941" s="19">
        <v>462</v>
      </c>
      <c r="AS941" s="19">
        <v>496</v>
      </c>
    </row>
    <row r="942" spans="1:45" x14ac:dyDescent="0.25">
      <c r="A942">
        <v>2043</v>
      </c>
      <c r="B942" s="11">
        <f t="shared" si="14"/>
        <v>54591</v>
      </c>
      <c r="C942" s="16">
        <v>545910</v>
      </c>
      <c r="D942" s="17">
        <v>0</v>
      </c>
      <c r="E942" s="17">
        <v>1</v>
      </c>
      <c r="F942" s="17">
        <v>63</v>
      </c>
      <c r="G942" s="17">
        <v>71</v>
      </c>
      <c r="H942" s="13" t="str" cm="1">
        <f t="array" ref="H942">_xlfn.IFS(G942&lt;=20,"0-20",G942&lt;=30,"20-30",G942&lt;=40,"30-40",G942&lt;=50,"50-60",G942&lt;=60,"60-70",G942&lt;=70,"70-80",G942&lt;=80,"80-90")</f>
        <v>80-90</v>
      </c>
      <c r="I942" s="17">
        <v>2487</v>
      </c>
      <c r="J942" s="13" t="str" cm="1">
        <f t="array" ref="J942">_xlfn.IFS(K942=1,"Divorciado",L942=1,"Casado",M942=1,"Solteiro",N942=1,"Juntos",O942=1,"Viuvo")</f>
        <v>Juntos</v>
      </c>
      <c r="K942" s="17">
        <v>0</v>
      </c>
      <c r="L942" s="17">
        <v>0</v>
      </c>
      <c r="M942" s="17">
        <v>0</v>
      </c>
      <c r="N942" s="17">
        <v>1</v>
      </c>
      <c r="O942" s="17">
        <v>0</v>
      </c>
      <c r="P942" s="17">
        <v>0</v>
      </c>
      <c r="Q942" s="17">
        <v>0</v>
      </c>
      <c r="R942" s="17">
        <v>1</v>
      </c>
      <c r="S942" s="17">
        <v>0</v>
      </c>
      <c r="T942" s="17">
        <v>0</v>
      </c>
      <c r="U942" s="17">
        <v>376</v>
      </c>
      <c r="V942" s="13" t="str" cm="1">
        <f t="array" ref="V942">_xlfn.IFS(U942&lt;=250,"0-R$250",U942&lt;=500,"251-R$500",U942&lt;=750,"501-R$750",U942&lt;=1000,"751-R$1000",U942&lt;=1250,"1001-R$1250",U942&lt;=1500,"1251-R$1500")</f>
        <v>251-R$500</v>
      </c>
      <c r="W942" s="17">
        <v>4</v>
      </c>
      <c r="X942" s="13" t="str" cm="1">
        <f t="array" ref="X942">_xlfn.IFS(W942 = 0, "0", W942&lt;=20, "até R$20",W942&lt;=40, "21 - R$40",W942&lt;=60, "41- R$60",W942&lt;=80, "61 - R$80", W942&lt;=100, "81 - R$100",W942&lt;=120, "101 - R$120",W942&lt;=140, "121 - R$140", W942&lt;=160, "141- R$160", W942&lt;=180, "161 - R$180", W942&lt;=200, "181-R$194")</f>
        <v>até R$20</v>
      </c>
      <c r="Y942" s="17">
        <v>94</v>
      </c>
      <c r="Z942" s="17">
        <v>12</v>
      </c>
      <c r="AA942" s="17">
        <v>9</v>
      </c>
      <c r="AB942" s="17">
        <v>24</v>
      </c>
      <c r="AC942" s="17">
        <v>3</v>
      </c>
      <c r="AD942" s="17">
        <v>6</v>
      </c>
      <c r="AE942" s="17">
        <v>2</v>
      </c>
      <c r="AF942" s="17">
        <v>8</v>
      </c>
      <c r="AG942" s="17">
        <v>5</v>
      </c>
      <c r="AH942" s="17">
        <v>0</v>
      </c>
      <c r="AI942" s="17">
        <v>0</v>
      </c>
      <c r="AJ942" s="17">
        <v>0</v>
      </c>
      <c r="AK942" s="17">
        <v>0</v>
      </c>
      <c r="AL942" s="17">
        <v>0</v>
      </c>
      <c r="AM942" s="17">
        <v>0</v>
      </c>
      <c r="AN942" s="17">
        <v>0</v>
      </c>
      <c r="AO942" s="18">
        <v>0</v>
      </c>
      <c r="AP942" s="17">
        <v>3</v>
      </c>
      <c r="AQ942" s="17">
        <v>11</v>
      </c>
      <c r="AR942" s="19">
        <v>471</v>
      </c>
      <c r="AS942" s="19">
        <v>495</v>
      </c>
    </row>
    <row r="943" spans="1:45" x14ac:dyDescent="0.25">
      <c r="A943">
        <v>461</v>
      </c>
      <c r="B943" s="11">
        <f t="shared" si="14"/>
        <v>55842</v>
      </c>
      <c r="C943" s="16">
        <v>558420</v>
      </c>
      <c r="D943" s="17">
        <v>0</v>
      </c>
      <c r="E943" s="17">
        <v>1</v>
      </c>
      <c r="F943" s="17">
        <v>19</v>
      </c>
      <c r="G943" s="17">
        <v>43</v>
      </c>
      <c r="H943" s="13" t="str" cm="1">
        <f t="array" ref="H943">_xlfn.IFS(G943&lt;=20,"0-20",G943&lt;=30,"20-30",G943&lt;=40,"30-40",G943&lt;=50,"50-60",G943&lt;=60,"60-70",G943&lt;=70,"70-80",G943&lt;=80,"80-90")</f>
        <v>50-60</v>
      </c>
      <c r="I943" s="17">
        <v>2196</v>
      </c>
      <c r="J943" s="13" t="str" cm="1">
        <f t="array" ref="J943">_xlfn.IFS(K943=1,"Divorciado",L943=1,"Casado",M943=1,"Solteiro",N943=1,"Juntos",O943=1,"Viuvo")</f>
        <v>Casado</v>
      </c>
      <c r="K943" s="17">
        <v>0</v>
      </c>
      <c r="L943" s="17">
        <v>1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1</v>
      </c>
      <c r="T943" s="17">
        <v>0</v>
      </c>
      <c r="U943" s="17">
        <v>451</v>
      </c>
      <c r="V943" s="13" t="str" cm="1">
        <f t="array" ref="V943">_xlfn.IFS(U943&lt;=250,"0-R$250",U943&lt;=500,"251-R$500",U943&lt;=750,"501-R$750",U943&lt;=1000,"751-R$1000",U943&lt;=1250,"1001-R$1250",U943&lt;=1500,"1251-R$1500")</f>
        <v>251-R$500</v>
      </c>
      <c r="W943" s="17">
        <v>0</v>
      </c>
      <c r="X943" s="13" t="str" cm="1">
        <f t="array" ref="X943">_xlfn.IFS(W943 = 0, "0", W943&lt;=20, "até R$20",W943&lt;=40, "21 - R$40",W943&lt;=60, "41- R$60",W943&lt;=80, "61 - R$80", W943&lt;=100, "81 - R$100",W943&lt;=120, "101 - R$120",W943&lt;=140, "121 - R$140", W943&lt;=160, "141- R$160", W943&lt;=180, "161 - R$180", W943&lt;=200, "181-R$194")</f>
        <v>0</v>
      </c>
      <c r="Y943" s="17">
        <v>39</v>
      </c>
      <c r="Z943" s="17">
        <v>0</v>
      </c>
      <c r="AA943" s="17">
        <v>4</v>
      </c>
      <c r="AB943" s="17">
        <v>24</v>
      </c>
      <c r="AC943" s="17">
        <v>1</v>
      </c>
      <c r="AD943" s="17">
        <v>7</v>
      </c>
      <c r="AE943" s="17">
        <v>1</v>
      </c>
      <c r="AF943" s="17">
        <v>8</v>
      </c>
      <c r="AG943" s="17">
        <v>5</v>
      </c>
      <c r="AH943" s="17">
        <v>0</v>
      </c>
      <c r="AI943" s="17">
        <v>0</v>
      </c>
      <c r="AJ943" s="17">
        <v>0</v>
      </c>
      <c r="AK943" s="17">
        <v>0</v>
      </c>
      <c r="AL943" s="17">
        <v>0</v>
      </c>
      <c r="AM943" s="17">
        <v>0</v>
      </c>
      <c r="AN943" s="17">
        <v>0</v>
      </c>
      <c r="AO943" s="18">
        <v>0</v>
      </c>
      <c r="AP943" s="17">
        <v>3</v>
      </c>
      <c r="AQ943" s="17">
        <v>11</v>
      </c>
      <c r="AR943" s="19">
        <v>470</v>
      </c>
      <c r="AS943" s="19">
        <v>494</v>
      </c>
    </row>
    <row r="944" spans="1:45" x14ac:dyDescent="0.25">
      <c r="A944">
        <v>1820</v>
      </c>
      <c r="B944" s="11">
        <f t="shared" si="14"/>
        <v>86836</v>
      </c>
      <c r="C944" s="12">
        <v>868360</v>
      </c>
      <c r="D944" s="13">
        <v>0</v>
      </c>
      <c r="E944" s="13">
        <v>0</v>
      </c>
      <c r="F944" s="13">
        <v>7</v>
      </c>
      <c r="G944" s="13">
        <v>45</v>
      </c>
      <c r="H944" s="13" t="str" cm="1">
        <f t="array" ref="H944">_xlfn.IFS(G944&lt;=20,"0-20",G944&lt;=30,"20-30",G944&lt;=40,"30-40",G944&lt;=50,"50-60",G944&lt;=60,"60-70",G944&lt;=70,"70-80",G944&lt;=80,"80-90")</f>
        <v>50-60</v>
      </c>
      <c r="I944" s="13">
        <v>2814</v>
      </c>
      <c r="J944" s="13" t="str" cm="1">
        <f t="array" ref="J944">_xlfn.IFS(K944=1,"Divorciado",L944=1,"Casado",M944=1,"Solteiro",N944=1,"Juntos",O944=1,"Viuvo")</f>
        <v>Casado</v>
      </c>
      <c r="K944" s="13">
        <v>0</v>
      </c>
      <c r="L944" s="13">
        <v>1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1</v>
      </c>
      <c r="U944" s="13">
        <v>179</v>
      </c>
      <c r="V944" s="13" t="str" cm="1">
        <f t="array" ref="V944">_xlfn.IFS(U944&lt;=250,"0-R$250",U944&lt;=500,"251-R$500",U944&lt;=750,"501-R$750",U944&lt;=1000,"751-R$1000",U944&lt;=1250,"1001-R$1250",U944&lt;=1500,"1251-R$1500")</f>
        <v>0-R$250</v>
      </c>
      <c r="W944" s="13">
        <v>21</v>
      </c>
      <c r="X944" s="13" t="str" cm="1">
        <f t="array" ref="X944">_xlfn.IFS(W944 = 0, "0", W944&lt;=20, "até R$20",W944&lt;=40, "21 - R$40",W944&lt;=60, "41- R$60",W944&lt;=80, "61 - R$80", W944&lt;=100, "81 - R$100",W944&lt;=120, "101 - R$120",W944&lt;=140, "121 - R$140", W944&lt;=160, "141- R$160", W944&lt;=180, "161 - R$180", W944&lt;=200, "181-R$194")</f>
        <v>21 - R$40</v>
      </c>
      <c r="Y944" s="13">
        <v>273</v>
      </c>
      <c r="Z944" s="13">
        <v>0</v>
      </c>
      <c r="AA944" s="13">
        <v>21</v>
      </c>
      <c r="AB944" s="13">
        <v>63</v>
      </c>
      <c r="AC944" s="13">
        <v>1</v>
      </c>
      <c r="AD944" s="13">
        <v>6</v>
      </c>
      <c r="AE944" s="13">
        <v>10</v>
      </c>
      <c r="AF944" s="13">
        <v>6</v>
      </c>
      <c r="AG944" s="13">
        <v>5</v>
      </c>
      <c r="AH944" s="13">
        <v>0</v>
      </c>
      <c r="AI944" s="13">
        <v>1</v>
      </c>
      <c r="AJ944" s="13">
        <v>0</v>
      </c>
      <c r="AK944" s="13">
        <v>1</v>
      </c>
      <c r="AL944" s="13">
        <v>1</v>
      </c>
      <c r="AM944" s="13">
        <v>0</v>
      </c>
      <c r="AN944" s="13">
        <v>1</v>
      </c>
      <c r="AO944" s="14">
        <v>3</v>
      </c>
      <c r="AP944" s="13">
        <v>3</v>
      </c>
      <c r="AQ944" s="13">
        <v>11</v>
      </c>
      <c r="AR944" s="15">
        <v>431</v>
      </c>
      <c r="AS944" s="15">
        <v>494</v>
      </c>
    </row>
    <row r="945" spans="1:45" x14ac:dyDescent="0.25">
      <c r="A945">
        <v>2178</v>
      </c>
      <c r="B945" s="11">
        <f t="shared" si="14"/>
        <v>41769</v>
      </c>
      <c r="C945" s="12">
        <v>417690</v>
      </c>
      <c r="D945" s="13">
        <v>0</v>
      </c>
      <c r="E945" s="13">
        <v>1</v>
      </c>
      <c r="F945" s="13">
        <v>31</v>
      </c>
      <c r="G945" s="13">
        <v>65</v>
      </c>
      <c r="H945" s="13" t="str" cm="1">
        <f t="array" ref="H945">_xlfn.IFS(G945&lt;=20,"0-20",G945&lt;=30,"20-30",G945&lt;=40,"30-40",G945&lt;=50,"50-60",G945&lt;=60,"60-70",G945&lt;=70,"70-80",G945&lt;=80,"80-90")</f>
        <v>70-80</v>
      </c>
      <c r="I945" s="13">
        <v>2660</v>
      </c>
      <c r="J945" s="13" t="str" cm="1">
        <f t="array" ref="J945">_xlfn.IFS(K945=1,"Divorciado",L945=1,"Casado",M945=1,"Solteiro",N945=1,"Juntos",O945=1,"Viuvo")</f>
        <v>Divorciado</v>
      </c>
      <c r="K945" s="13">
        <v>1</v>
      </c>
      <c r="L945" s="13">
        <v>0</v>
      </c>
      <c r="M945" s="13">
        <v>0</v>
      </c>
      <c r="N945" s="13">
        <v>0</v>
      </c>
      <c r="O945" s="13">
        <v>0</v>
      </c>
      <c r="P945" s="13">
        <v>1</v>
      </c>
      <c r="Q945" s="13">
        <v>0</v>
      </c>
      <c r="R945" s="13">
        <v>0</v>
      </c>
      <c r="S945" s="13">
        <v>0</v>
      </c>
      <c r="T945" s="13">
        <v>0</v>
      </c>
      <c r="U945" s="13">
        <v>302</v>
      </c>
      <c r="V945" s="13" t="str" cm="1">
        <f t="array" ref="V945">_xlfn.IFS(U945&lt;=250,"0-R$250",U945&lt;=500,"251-R$500",U945&lt;=750,"501-R$750",U945&lt;=1000,"751-R$1000",U945&lt;=1250,"1001-R$1250",U945&lt;=1500,"1251-R$1500")</f>
        <v>251-R$500</v>
      </c>
      <c r="W945" s="13">
        <v>29</v>
      </c>
      <c r="X945" s="13" t="str" cm="1">
        <f t="array" ref="X945">_xlfn.IFS(W945 = 0, "0", W945&lt;=20, "até R$20",W945&lt;=40, "21 - R$40",W945&lt;=60, "41- R$60",W945&lt;=80, "61 - R$80", W945&lt;=100, "81 - R$100",W945&lt;=120, "101 - R$120",W945&lt;=140, "121 - R$140", W945&lt;=160, "141- R$160", W945&lt;=180, "161 - R$180", W945&lt;=200, "181-R$194")</f>
        <v>21 - R$40</v>
      </c>
      <c r="Y945" s="13">
        <v>131</v>
      </c>
      <c r="Z945" s="13">
        <v>32</v>
      </c>
      <c r="AA945" s="13">
        <v>0</v>
      </c>
      <c r="AB945" s="13">
        <v>27</v>
      </c>
      <c r="AC945" s="13">
        <v>6</v>
      </c>
      <c r="AD945" s="13">
        <v>8</v>
      </c>
      <c r="AE945" s="13">
        <v>1</v>
      </c>
      <c r="AF945" s="13">
        <v>7</v>
      </c>
      <c r="AG945" s="13">
        <v>8</v>
      </c>
      <c r="AH945" s="13">
        <v>0</v>
      </c>
      <c r="AI945" s="13">
        <v>0</v>
      </c>
      <c r="AJ945" s="13">
        <v>0</v>
      </c>
      <c r="AK945" s="13">
        <v>0</v>
      </c>
      <c r="AL945" s="13">
        <v>0</v>
      </c>
      <c r="AM945" s="13">
        <v>0</v>
      </c>
      <c r="AN945" s="13">
        <v>0</v>
      </c>
      <c r="AO945" s="14">
        <v>0</v>
      </c>
      <c r="AP945" s="13">
        <v>3</v>
      </c>
      <c r="AQ945" s="13">
        <v>11</v>
      </c>
      <c r="AR945" s="15">
        <v>467</v>
      </c>
      <c r="AS945" s="15">
        <v>494</v>
      </c>
    </row>
    <row r="946" spans="1:45" x14ac:dyDescent="0.25">
      <c r="A946">
        <v>47</v>
      </c>
      <c r="B946" s="11">
        <f t="shared" si="14"/>
        <v>65486</v>
      </c>
      <c r="C946" s="16">
        <v>654860</v>
      </c>
      <c r="D946" s="17">
        <v>0</v>
      </c>
      <c r="E946" s="17">
        <v>1</v>
      </c>
      <c r="F946" s="17">
        <v>29</v>
      </c>
      <c r="G946" s="17">
        <v>63</v>
      </c>
      <c r="H946" s="13" t="str" cm="1">
        <f t="array" ref="H946">_xlfn.IFS(G946&lt;=20,"0-20",G946&lt;=30,"20-30",G946&lt;=40,"30-40",G946&lt;=50,"50-60",G946&lt;=60,"60-70",G946&lt;=70,"70-80",G946&lt;=80,"80-90")</f>
        <v>70-80</v>
      </c>
      <c r="I946" s="17">
        <v>2207</v>
      </c>
      <c r="J946" s="13" t="str" cm="1">
        <f t="array" ref="J946">_xlfn.IFS(K946=1,"Divorciado",L946=1,"Casado",M946=1,"Solteiro",N946=1,"Juntos",O946=1,"Viuvo")</f>
        <v>Viuvo</v>
      </c>
      <c r="K946" s="17">
        <v>0</v>
      </c>
      <c r="L946" s="17">
        <v>0</v>
      </c>
      <c r="M946" s="17">
        <v>0</v>
      </c>
      <c r="N946" s="17">
        <v>0</v>
      </c>
      <c r="O946" s="17">
        <v>1</v>
      </c>
      <c r="P946" s="17">
        <v>0</v>
      </c>
      <c r="Q946" s="17">
        <v>0</v>
      </c>
      <c r="R946" s="17">
        <v>1</v>
      </c>
      <c r="S946" s="17">
        <v>0</v>
      </c>
      <c r="T946" s="17">
        <v>0</v>
      </c>
      <c r="U946" s="17">
        <v>245</v>
      </c>
      <c r="V946" s="13" t="str" cm="1">
        <f t="array" ref="V946">_xlfn.IFS(U946&lt;=250,"0-R$250",U946&lt;=500,"251-R$500",U946&lt;=750,"501-R$750",U946&lt;=1000,"751-R$1000",U946&lt;=1250,"1001-R$1250",U946&lt;=1500,"1251-R$1500")</f>
        <v>0-R$250</v>
      </c>
      <c r="W946" s="17">
        <v>19</v>
      </c>
      <c r="X946" s="13" t="str" cm="1">
        <f t="array" ref="X946">_xlfn.IFS(W946 = 0, "0", W946&lt;=20, "até R$20",W946&lt;=40, "21 - R$40",W946&lt;=60, "41- R$60",W946&lt;=80, "61 - R$80", W946&lt;=100, "81 - R$100",W946&lt;=120, "101 - R$120",W946&lt;=140, "121 - R$140", W946&lt;=160, "141- R$160", W946&lt;=180, "161 - R$180", W946&lt;=200, "181-R$194")</f>
        <v>até R$20</v>
      </c>
      <c r="Y946" s="17">
        <v>125</v>
      </c>
      <c r="Z946" s="17">
        <v>37</v>
      </c>
      <c r="AA946" s="17">
        <v>67</v>
      </c>
      <c r="AB946" s="17">
        <v>14</v>
      </c>
      <c r="AC946" s="17">
        <v>1</v>
      </c>
      <c r="AD946" s="17">
        <v>4</v>
      </c>
      <c r="AE946" s="17">
        <v>2</v>
      </c>
      <c r="AF946" s="17">
        <v>10</v>
      </c>
      <c r="AG946" s="17">
        <v>2</v>
      </c>
      <c r="AH946" s="17">
        <v>0</v>
      </c>
      <c r="AI946" s="17">
        <v>0</v>
      </c>
      <c r="AJ946" s="17">
        <v>0</v>
      </c>
      <c r="AK946" s="17">
        <v>0</v>
      </c>
      <c r="AL946" s="17">
        <v>0</v>
      </c>
      <c r="AM946" s="17">
        <v>0</v>
      </c>
      <c r="AN946" s="17">
        <v>0</v>
      </c>
      <c r="AO946" s="18">
        <v>0</v>
      </c>
      <c r="AP946" s="17">
        <v>3</v>
      </c>
      <c r="AQ946" s="17">
        <v>11</v>
      </c>
      <c r="AR946" s="19">
        <v>479</v>
      </c>
      <c r="AS946" s="19">
        <v>493</v>
      </c>
    </row>
    <row r="947" spans="1:45" x14ac:dyDescent="0.25">
      <c r="A947">
        <v>327</v>
      </c>
      <c r="B947" s="11">
        <f t="shared" si="14"/>
        <v>59292</v>
      </c>
      <c r="C947" s="16">
        <v>592920</v>
      </c>
      <c r="D947" s="17">
        <v>0</v>
      </c>
      <c r="E947" s="17">
        <v>1</v>
      </c>
      <c r="F947" s="17">
        <v>71</v>
      </c>
      <c r="G947" s="17">
        <v>70</v>
      </c>
      <c r="H947" s="13" t="str" cm="1">
        <f t="array" ref="H947">_xlfn.IFS(G947&lt;=20,"0-20",G947&lt;=30,"20-30",G947&lt;=40,"30-40",G947&lt;=50,"50-60",G947&lt;=60,"60-70",G947&lt;=70,"70-80",G947&lt;=80,"80-90")</f>
        <v>70-80</v>
      </c>
      <c r="I947" s="17">
        <v>2540</v>
      </c>
      <c r="J947" s="13" t="str" cm="1">
        <f t="array" ref="J947">_xlfn.IFS(K947=1,"Divorciado",L947=1,"Casado",M947=1,"Solteiro",N947=1,"Juntos",O947=1,"Viuvo")</f>
        <v>Juntos</v>
      </c>
      <c r="K947" s="17">
        <v>0</v>
      </c>
      <c r="L947" s="17">
        <v>0</v>
      </c>
      <c r="M947" s="17">
        <v>0</v>
      </c>
      <c r="N947" s="17">
        <v>1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1</v>
      </c>
      <c r="U947" s="17">
        <v>378</v>
      </c>
      <c r="V947" s="13" t="str" cm="1">
        <f t="array" ref="V947">_xlfn.IFS(U947&lt;=250,"0-R$250",U947&lt;=500,"251-R$500",U947&lt;=750,"501-R$750",U947&lt;=1000,"751-R$1000",U947&lt;=1250,"1001-R$1250",U947&lt;=1500,"1251-R$1500")</f>
        <v>251-R$500</v>
      </c>
      <c r="W947" s="17">
        <v>14</v>
      </c>
      <c r="X947" s="13" t="str" cm="1">
        <f t="array" ref="X947">_xlfn.IFS(W947 = 0, "0", W947&lt;=20, "até R$20",W947&lt;=40, "21 - R$40",W947&lt;=60, "41- R$60",W947&lt;=80, "61 - R$80", W947&lt;=100, "81 - R$100",W947&lt;=120, "101 - R$120",W947&lt;=140, "121 - R$140", W947&lt;=160, "141- R$160", W947&lt;=180, "161 - R$180", W947&lt;=200, "181-R$194")</f>
        <v>até R$20</v>
      </c>
      <c r="Y947" s="17">
        <v>68</v>
      </c>
      <c r="Z947" s="17">
        <v>19</v>
      </c>
      <c r="AA947" s="17">
        <v>14</v>
      </c>
      <c r="AB947" s="17">
        <v>14</v>
      </c>
      <c r="AC947" s="17">
        <v>2</v>
      </c>
      <c r="AD947" s="17">
        <v>3</v>
      </c>
      <c r="AE947" s="17">
        <v>5</v>
      </c>
      <c r="AF947" s="17">
        <v>8</v>
      </c>
      <c r="AG947" s="17">
        <v>3</v>
      </c>
      <c r="AH947" s="17">
        <v>0</v>
      </c>
      <c r="AI947" s="17">
        <v>0</v>
      </c>
      <c r="AJ947" s="17">
        <v>0</v>
      </c>
      <c r="AK947" s="17">
        <v>0</v>
      </c>
      <c r="AL947" s="17">
        <v>0</v>
      </c>
      <c r="AM947" s="17">
        <v>0</v>
      </c>
      <c r="AN947" s="17">
        <v>0</v>
      </c>
      <c r="AO947" s="18">
        <v>0</v>
      </c>
      <c r="AP947" s="17">
        <v>3</v>
      </c>
      <c r="AQ947" s="17">
        <v>11</v>
      </c>
      <c r="AR947" s="19">
        <v>479</v>
      </c>
      <c r="AS947" s="19">
        <v>493</v>
      </c>
    </row>
    <row r="948" spans="1:45" x14ac:dyDescent="0.25">
      <c r="A948">
        <v>415</v>
      </c>
      <c r="B948" s="11">
        <f t="shared" si="14"/>
        <v>42387</v>
      </c>
      <c r="C948" s="16">
        <v>423870</v>
      </c>
      <c r="D948" s="17">
        <v>1</v>
      </c>
      <c r="E948" s="17">
        <v>0</v>
      </c>
      <c r="F948" s="17">
        <v>42</v>
      </c>
      <c r="G948" s="17">
        <v>31</v>
      </c>
      <c r="H948" s="13" t="str" cm="1">
        <f t="array" ref="H948">_xlfn.IFS(G948&lt;=20,"0-20",G948&lt;=30,"20-30",G948&lt;=40,"30-40",G948&lt;=50,"50-60",G948&lt;=60,"60-70",G948&lt;=70,"70-80",G948&lt;=80,"80-90")</f>
        <v>30-40</v>
      </c>
      <c r="I948" s="17">
        <v>2767</v>
      </c>
      <c r="J948" s="13" t="str" cm="1">
        <f t="array" ref="J948">_xlfn.IFS(K948=1,"Divorciado",L948=1,"Casado",M948=1,"Solteiro",N948=1,"Juntos",O948=1,"Viuvo")</f>
        <v>Casado</v>
      </c>
      <c r="K948" s="17">
        <v>0</v>
      </c>
      <c r="L948" s="17">
        <v>1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1</v>
      </c>
      <c r="S948" s="17">
        <v>0</v>
      </c>
      <c r="T948" s="17">
        <v>0</v>
      </c>
      <c r="U948" s="17">
        <v>235</v>
      </c>
      <c r="V948" s="13" t="str" cm="1">
        <f t="array" ref="V948">_xlfn.IFS(U948&lt;=250,"0-R$250",U948&lt;=500,"251-R$500",U948&lt;=750,"501-R$750",U948&lt;=1000,"751-R$1000",U948&lt;=1250,"1001-R$1250",U948&lt;=1500,"1251-R$1500")</f>
        <v>0-R$250</v>
      </c>
      <c r="W948" s="17">
        <v>0</v>
      </c>
      <c r="X948" s="13" t="str" cm="1">
        <f t="array" ref="X948">_xlfn.IFS(W948 = 0, "0", W948&lt;=20, "até R$20",W948&lt;=40, "21 - R$40",W948&lt;=60, "41- R$60",W948&lt;=80, "61 - R$80", W948&lt;=100, "81 - R$100",W948&lt;=120, "101 - R$120",W948&lt;=140, "121 - R$140", W948&lt;=160, "141- R$160", W948&lt;=180, "161 - R$180", W948&lt;=200, "181-R$194")</f>
        <v>0</v>
      </c>
      <c r="Y948" s="17">
        <v>235</v>
      </c>
      <c r="Z948" s="17">
        <v>19</v>
      </c>
      <c r="AA948" s="17">
        <v>4</v>
      </c>
      <c r="AB948" s="17">
        <v>191</v>
      </c>
      <c r="AC948" s="17">
        <v>5</v>
      </c>
      <c r="AD948" s="17">
        <v>8</v>
      </c>
      <c r="AE948" s="17">
        <v>1</v>
      </c>
      <c r="AF948" s="17">
        <v>7</v>
      </c>
      <c r="AG948" s="17">
        <v>8</v>
      </c>
      <c r="AH948" s="17">
        <v>0</v>
      </c>
      <c r="AI948" s="17">
        <v>0</v>
      </c>
      <c r="AJ948" s="17">
        <v>0</v>
      </c>
      <c r="AK948" s="17">
        <v>0</v>
      </c>
      <c r="AL948" s="17">
        <v>0</v>
      </c>
      <c r="AM948" s="17">
        <v>0</v>
      </c>
      <c r="AN948" s="17">
        <v>0</v>
      </c>
      <c r="AO948" s="18">
        <v>0</v>
      </c>
      <c r="AP948" s="17">
        <v>3</v>
      </c>
      <c r="AQ948" s="17">
        <v>11</v>
      </c>
      <c r="AR948" s="19">
        <v>302</v>
      </c>
      <c r="AS948" s="19">
        <v>493</v>
      </c>
    </row>
    <row r="949" spans="1:45" x14ac:dyDescent="0.25">
      <c r="A949">
        <v>1874</v>
      </c>
      <c r="B949" s="11">
        <f t="shared" si="14"/>
        <v>59292</v>
      </c>
      <c r="C949" s="12">
        <v>592920</v>
      </c>
      <c r="D949" s="13">
        <v>0</v>
      </c>
      <c r="E949" s="13">
        <v>1</v>
      </c>
      <c r="F949" s="13">
        <v>71</v>
      </c>
      <c r="G949" s="13">
        <v>70</v>
      </c>
      <c r="H949" s="13" t="str" cm="1">
        <f t="array" ref="H949">_xlfn.IFS(G949&lt;=20,"0-20",G949&lt;=30,"20-30",G949&lt;=40,"30-40",G949&lt;=50,"50-60",G949&lt;=60,"60-70",G949&lt;=70,"70-80",G949&lt;=80,"80-90")</f>
        <v>70-80</v>
      </c>
      <c r="I949" s="13">
        <v>2540</v>
      </c>
      <c r="J949" s="13" t="str" cm="1">
        <f t="array" ref="J949">_xlfn.IFS(K949=1,"Divorciado",L949=1,"Casado",M949=1,"Solteiro",N949=1,"Juntos",O949=1,"Viuvo")</f>
        <v>Juntos</v>
      </c>
      <c r="K949" s="13">
        <v>0</v>
      </c>
      <c r="L949" s="13">
        <v>0</v>
      </c>
      <c r="M949" s="13">
        <v>0</v>
      </c>
      <c r="N949" s="13">
        <v>1</v>
      </c>
      <c r="O949" s="13">
        <v>0</v>
      </c>
      <c r="P949" s="13">
        <v>0</v>
      </c>
      <c r="Q949" s="13">
        <v>0</v>
      </c>
      <c r="R949" s="13">
        <v>0</v>
      </c>
      <c r="S949" s="13">
        <v>0</v>
      </c>
      <c r="T949" s="13">
        <v>1</v>
      </c>
      <c r="U949" s="13">
        <v>378</v>
      </c>
      <c r="V949" s="13" t="str" cm="1">
        <f t="array" ref="V949">_xlfn.IFS(U949&lt;=250,"0-R$250",U949&lt;=500,"251-R$500",U949&lt;=750,"501-R$750",U949&lt;=1000,"751-R$1000",U949&lt;=1250,"1001-R$1250",U949&lt;=1500,"1251-R$1500")</f>
        <v>251-R$500</v>
      </c>
      <c r="W949" s="13">
        <v>14</v>
      </c>
      <c r="X949" s="13" t="str" cm="1">
        <f t="array" ref="X949">_xlfn.IFS(W949 = 0, "0", W949&lt;=20, "até R$20",W949&lt;=40, "21 - R$40",W949&lt;=60, "41- R$60",W949&lt;=80, "61 - R$80", W949&lt;=100, "81 - R$100",W949&lt;=120, "101 - R$120",W949&lt;=140, "121 - R$140", W949&lt;=160, "141- R$160", W949&lt;=180, "161 - R$180", W949&lt;=200, "181-R$194")</f>
        <v>até R$20</v>
      </c>
      <c r="Y949" s="13">
        <v>68</v>
      </c>
      <c r="Z949" s="13">
        <v>19</v>
      </c>
      <c r="AA949" s="13">
        <v>14</v>
      </c>
      <c r="AB949" s="13">
        <v>14</v>
      </c>
      <c r="AC949" s="13">
        <v>2</v>
      </c>
      <c r="AD949" s="13">
        <v>3</v>
      </c>
      <c r="AE949" s="13">
        <v>5</v>
      </c>
      <c r="AF949" s="13">
        <v>8</v>
      </c>
      <c r="AG949" s="13">
        <v>3</v>
      </c>
      <c r="AH949" s="13">
        <v>0</v>
      </c>
      <c r="AI949" s="13">
        <v>0</v>
      </c>
      <c r="AJ949" s="13">
        <v>0</v>
      </c>
      <c r="AK949" s="13">
        <v>0</v>
      </c>
      <c r="AL949" s="13">
        <v>0</v>
      </c>
      <c r="AM949" s="13">
        <v>0</v>
      </c>
      <c r="AN949" s="13">
        <v>0</v>
      </c>
      <c r="AO949" s="14">
        <v>0</v>
      </c>
      <c r="AP949" s="13">
        <v>3</v>
      </c>
      <c r="AQ949" s="13">
        <v>11</v>
      </c>
      <c r="AR949" s="15">
        <v>479</v>
      </c>
      <c r="AS949" s="15">
        <v>493</v>
      </c>
    </row>
    <row r="950" spans="1:45" x14ac:dyDescent="0.25">
      <c r="A950">
        <v>536</v>
      </c>
      <c r="B950" s="11">
        <f t="shared" si="14"/>
        <v>60504</v>
      </c>
      <c r="C950" s="12">
        <v>605040</v>
      </c>
      <c r="D950" s="13">
        <v>0</v>
      </c>
      <c r="E950" s="13">
        <v>1</v>
      </c>
      <c r="F950" s="13">
        <v>73</v>
      </c>
      <c r="G950" s="13">
        <v>49</v>
      </c>
      <c r="H950" s="13" t="str" cm="1">
        <f t="array" ref="H950">_xlfn.IFS(G950&lt;=20,"0-20",G950&lt;=30,"20-30",G950&lt;=40,"30-40",G950&lt;=50,"50-60",G950&lt;=60,"60-70",G950&lt;=70,"70-80",G950&lt;=80,"80-90")</f>
        <v>50-60</v>
      </c>
      <c r="I950" s="13">
        <v>2301</v>
      </c>
      <c r="J950" s="13" t="str" cm="1">
        <f t="array" ref="J950">_xlfn.IFS(K950=1,"Divorciado",L950=1,"Casado",M950=1,"Solteiro",N950=1,"Juntos",O950=1,"Viuvo")</f>
        <v>Solteiro</v>
      </c>
      <c r="K950" s="13">
        <v>0</v>
      </c>
      <c r="L950" s="13">
        <v>0</v>
      </c>
      <c r="M950" s="13">
        <v>1</v>
      </c>
      <c r="N950" s="13">
        <v>0</v>
      </c>
      <c r="O950" s="13">
        <v>0</v>
      </c>
      <c r="P950" s="13">
        <v>0</v>
      </c>
      <c r="Q950" s="13">
        <v>0</v>
      </c>
      <c r="R950" s="13">
        <v>0</v>
      </c>
      <c r="S950" s="13">
        <v>0</v>
      </c>
      <c r="T950" s="13">
        <v>1</v>
      </c>
      <c r="U950" s="13">
        <v>458</v>
      </c>
      <c r="V950" s="13" t="str" cm="1">
        <f t="array" ref="V950">_xlfn.IFS(U950&lt;=250,"0-R$250",U950&lt;=500,"251-R$500",U950&lt;=750,"501-R$750",U950&lt;=1000,"751-R$1000",U950&lt;=1250,"1001-R$1250",U950&lt;=1500,"1251-R$1500")</f>
        <v>251-R$500</v>
      </c>
      <c r="W950" s="13">
        <v>0</v>
      </c>
      <c r="X950" s="13" t="str" cm="1">
        <f t="array" ref="X950">_xlfn.IFS(W950 = 0, "0", W950&lt;=20, "até R$20",W950&lt;=40, "21 - R$40",W950&lt;=60, "41- R$60",W950&lt;=80, "61 - R$80", W950&lt;=100, "81 - R$100",W950&lt;=120, "101 - R$120",W950&lt;=140, "121 - R$140", W950&lt;=160, "141- R$160", W950&lt;=180, "161 - R$180", W950&lt;=200, "181-R$194")</f>
        <v>0</v>
      </c>
      <c r="Y950" s="13">
        <v>24</v>
      </c>
      <c r="Z950" s="13">
        <v>6</v>
      </c>
      <c r="AA950" s="13">
        <v>4</v>
      </c>
      <c r="AB950" s="13">
        <v>34</v>
      </c>
      <c r="AC950" s="13">
        <v>2</v>
      </c>
      <c r="AD950" s="13">
        <v>6</v>
      </c>
      <c r="AE950" s="13">
        <v>2</v>
      </c>
      <c r="AF950" s="13">
        <v>8</v>
      </c>
      <c r="AG950" s="13">
        <v>6</v>
      </c>
      <c r="AH950" s="13">
        <v>0</v>
      </c>
      <c r="AI950" s="13">
        <v>0</v>
      </c>
      <c r="AJ950" s="13">
        <v>0</v>
      </c>
      <c r="AK950" s="13">
        <v>0</v>
      </c>
      <c r="AL950" s="13">
        <v>0</v>
      </c>
      <c r="AM950" s="13">
        <v>0</v>
      </c>
      <c r="AN950" s="13">
        <v>0</v>
      </c>
      <c r="AO950" s="14">
        <v>0</v>
      </c>
      <c r="AP950" s="13">
        <v>3</v>
      </c>
      <c r="AQ950" s="13">
        <v>11</v>
      </c>
      <c r="AR950" s="15">
        <v>458</v>
      </c>
      <c r="AS950" s="15">
        <v>492</v>
      </c>
    </row>
    <row r="951" spans="1:45" x14ac:dyDescent="0.25">
      <c r="A951">
        <v>1267</v>
      </c>
      <c r="B951" s="11">
        <f t="shared" si="14"/>
        <v>57091</v>
      </c>
      <c r="C951" s="16">
        <v>570910</v>
      </c>
      <c r="D951" s="17">
        <v>0</v>
      </c>
      <c r="E951" s="17">
        <v>1</v>
      </c>
      <c r="F951" s="17">
        <v>82</v>
      </c>
      <c r="G951" s="17">
        <v>48</v>
      </c>
      <c r="H951" s="13" t="str" cm="1">
        <f t="array" ref="H951">_xlfn.IFS(G951&lt;=20,"0-20",G951&lt;=30,"20-30",G951&lt;=40,"30-40",G951&lt;=50,"50-60",G951&lt;=60,"60-70",G951&lt;=70,"70-80",G951&lt;=80,"80-90")</f>
        <v>50-60</v>
      </c>
      <c r="I951" s="17">
        <v>2742</v>
      </c>
      <c r="J951" s="13" t="str" cm="1">
        <f t="array" ref="J951">_xlfn.IFS(K951=1,"Divorciado",L951=1,"Casado",M951=1,"Solteiro",N951=1,"Juntos",O951=1,"Viuvo")</f>
        <v>Casado</v>
      </c>
      <c r="K951" s="17">
        <v>0</v>
      </c>
      <c r="L951" s="17">
        <v>1</v>
      </c>
      <c r="M951" s="17">
        <v>0</v>
      </c>
      <c r="N951" s="17">
        <v>0</v>
      </c>
      <c r="O951" s="17">
        <v>0</v>
      </c>
      <c r="P951" s="17">
        <v>0</v>
      </c>
      <c r="Q951" s="17">
        <v>0</v>
      </c>
      <c r="R951" s="17">
        <v>0</v>
      </c>
      <c r="S951" s="17">
        <v>0</v>
      </c>
      <c r="T951" s="17">
        <v>1</v>
      </c>
      <c r="U951" s="17">
        <v>462</v>
      </c>
      <c r="V951" s="13" t="str" cm="1">
        <f t="array" ref="V951">_xlfn.IFS(U951&lt;=250,"0-R$250",U951&lt;=500,"251-R$500",U951&lt;=750,"501-R$750",U951&lt;=1000,"751-R$1000",U951&lt;=1250,"1001-R$1250",U951&lt;=1500,"1251-R$1500")</f>
        <v>251-R$500</v>
      </c>
      <c r="W951" s="17">
        <v>0</v>
      </c>
      <c r="X951" s="13" t="str" cm="1">
        <f t="array" ref="X951">_xlfn.IFS(W951 = 0, "0", W951&lt;=20, "até R$20",W951&lt;=40, "21 - R$40",W951&lt;=60, "41- R$60",W951&lt;=80, "61 - R$80", W951&lt;=100, "81 - R$100",W951&lt;=120, "101 - R$120",W951&lt;=140, "121 - R$140", W951&lt;=160, "141- R$160", W951&lt;=180, "161 - R$180", W951&lt;=200, "181-R$194")</f>
        <v>0</v>
      </c>
      <c r="Y951" s="17">
        <v>24</v>
      </c>
      <c r="Z951" s="17">
        <v>6</v>
      </c>
      <c r="AA951" s="17">
        <v>0</v>
      </c>
      <c r="AB951" s="17">
        <v>4</v>
      </c>
      <c r="AC951" s="17">
        <v>2</v>
      </c>
      <c r="AD951" s="17">
        <v>9</v>
      </c>
      <c r="AE951" s="17">
        <v>2</v>
      </c>
      <c r="AF951" s="17">
        <v>5</v>
      </c>
      <c r="AG951" s="17">
        <v>7</v>
      </c>
      <c r="AH951" s="17">
        <v>0</v>
      </c>
      <c r="AI951" s="17">
        <v>0</v>
      </c>
      <c r="AJ951" s="17">
        <v>1</v>
      </c>
      <c r="AK951" s="17">
        <v>0</v>
      </c>
      <c r="AL951" s="17">
        <v>0</v>
      </c>
      <c r="AM951" s="17">
        <v>0</v>
      </c>
      <c r="AN951" s="17">
        <v>1</v>
      </c>
      <c r="AO951" s="18">
        <v>1</v>
      </c>
      <c r="AP951" s="17">
        <v>3</v>
      </c>
      <c r="AQ951" s="17">
        <v>11</v>
      </c>
      <c r="AR951" s="19">
        <v>488</v>
      </c>
      <c r="AS951" s="19">
        <v>492</v>
      </c>
    </row>
    <row r="952" spans="1:45" x14ac:dyDescent="0.25">
      <c r="A952">
        <v>176</v>
      </c>
      <c r="B952" s="11">
        <f t="shared" si="14"/>
        <v>61286</v>
      </c>
      <c r="C952" s="12">
        <v>612860</v>
      </c>
      <c r="D952" s="13">
        <v>0</v>
      </c>
      <c r="E952" s="13">
        <v>1</v>
      </c>
      <c r="F952" s="13">
        <v>34</v>
      </c>
      <c r="G952" s="13">
        <v>54</v>
      </c>
      <c r="H952" s="13" t="str" cm="1">
        <f t="array" ref="H952">_xlfn.IFS(G952&lt;=20,"0-20",G952&lt;=30,"20-30",G952&lt;=40,"30-40",G952&lt;=50,"50-60",G952&lt;=60,"60-70",G952&lt;=70,"70-80",G952&lt;=80,"80-90")</f>
        <v>60-70</v>
      </c>
      <c r="I952" s="13">
        <v>2490</v>
      </c>
      <c r="J952" s="13" t="str" cm="1">
        <f t="array" ref="J952">_xlfn.IFS(K952=1,"Divorciado",L952=1,"Casado",M952=1,"Solteiro",N952=1,"Juntos",O952=1,"Viuvo")</f>
        <v>Casado</v>
      </c>
      <c r="K952" s="13">
        <v>0</v>
      </c>
      <c r="L952" s="13">
        <v>1</v>
      </c>
      <c r="M952" s="13">
        <v>0</v>
      </c>
      <c r="N952" s="13">
        <v>0</v>
      </c>
      <c r="O952" s="13">
        <v>0</v>
      </c>
      <c r="P952" s="13">
        <v>0</v>
      </c>
      <c r="Q952" s="13">
        <v>0</v>
      </c>
      <c r="R952" s="13">
        <v>1</v>
      </c>
      <c r="S952" s="13">
        <v>0</v>
      </c>
      <c r="T952" s="13">
        <v>0</v>
      </c>
      <c r="U952" s="13">
        <v>356</v>
      </c>
      <c r="V952" s="13" t="str" cm="1">
        <f t="array" ref="V952">_xlfn.IFS(U952&lt;=250,"0-R$250",U952&lt;=500,"251-R$500",U952&lt;=750,"501-R$750",U952&lt;=1000,"751-R$1000",U952&lt;=1250,"1001-R$1250",U952&lt;=1500,"1251-R$1500")</f>
        <v>251-R$500</v>
      </c>
      <c r="W952" s="13">
        <v>0</v>
      </c>
      <c r="X952" s="13" t="str" cm="1">
        <f t="array" ref="X952">_xlfn.IFS(W952 = 0, "0", W952&lt;=20, "até R$20",W952&lt;=40, "21 - R$40",W952&lt;=60, "41- R$60",W952&lt;=80, "61 - R$80", W952&lt;=100, "81 - R$100",W952&lt;=120, "101 - R$120",W952&lt;=140, "121 - R$140", W952&lt;=160, "141- R$160", W952&lt;=180, "161 - R$180", W952&lt;=200, "181-R$194")</f>
        <v>0</v>
      </c>
      <c r="Y952" s="13">
        <v>107</v>
      </c>
      <c r="Z952" s="13">
        <v>19</v>
      </c>
      <c r="AA952" s="13">
        <v>9</v>
      </c>
      <c r="AB952" s="13">
        <v>117</v>
      </c>
      <c r="AC952" s="13">
        <v>2</v>
      </c>
      <c r="AD952" s="13">
        <v>7</v>
      </c>
      <c r="AE952" s="13">
        <v>1</v>
      </c>
      <c r="AF952" s="13">
        <v>8</v>
      </c>
      <c r="AG952" s="13">
        <v>5</v>
      </c>
      <c r="AH952" s="13">
        <v>0</v>
      </c>
      <c r="AI952" s="13">
        <v>0</v>
      </c>
      <c r="AJ952" s="13">
        <v>0</v>
      </c>
      <c r="AK952" s="13">
        <v>0</v>
      </c>
      <c r="AL952" s="13">
        <v>0</v>
      </c>
      <c r="AM952" s="13">
        <v>0</v>
      </c>
      <c r="AN952" s="13">
        <v>0</v>
      </c>
      <c r="AO952" s="14">
        <v>0</v>
      </c>
      <c r="AP952" s="13">
        <v>3</v>
      </c>
      <c r="AQ952" s="13">
        <v>11</v>
      </c>
      <c r="AR952" s="15">
        <v>374</v>
      </c>
      <c r="AS952" s="15">
        <v>491</v>
      </c>
    </row>
    <row r="953" spans="1:45" x14ac:dyDescent="0.25">
      <c r="A953">
        <v>653</v>
      </c>
      <c r="B953" s="11">
        <f t="shared" si="14"/>
        <v>59247</v>
      </c>
      <c r="C953" s="16">
        <v>592470</v>
      </c>
      <c r="D953" s="17">
        <v>0</v>
      </c>
      <c r="E953" s="17">
        <v>2</v>
      </c>
      <c r="F953" s="17">
        <v>87</v>
      </c>
      <c r="G953" s="17">
        <v>58</v>
      </c>
      <c r="H953" s="13" t="str" cm="1">
        <f t="array" ref="H953">_xlfn.IFS(G953&lt;=20,"0-20",G953&lt;=30,"20-30",G953&lt;=40,"30-40",G953&lt;=50,"50-60",G953&lt;=60,"60-70",G953&lt;=70,"70-80",G953&lt;=80,"80-90")</f>
        <v>60-70</v>
      </c>
      <c r="I953" s="17">
        <v>2392</v>
      </c>
      <c r="J953" s="13" t="str" cm="1">
        <f t="array" ref="J953">_xlfn.IFS(K953=1,"Divorciado",L953=1,"Casado",M953=1,"Solteiro",N953=1,"Juntos",O953=1,"Viuvo")</f>
        <v>Solteiro</v>
      </c>
      <c r="K953" s="17">
        <v>0</v>
      </c>
      <c r="L953" s="17">
        <v>0</v>
      </c>
      <c r="M953" s="17">
        <v>1</v>
      </c>
      <c r="N953" s="17">
        <v>0</v>
      </c>
      <c r="O953" s="17">
        <v>0</v>
      </c>
      <c r="P953" s="17">
        <v>0</v>
      </c>
      <c r="Q953" s="17">
        <v>0</v>
      </c>
      <c r="R953" s="17">
        <v>0</v>
      </c>
      <c r="S953" s="17">
        <v>1</v>
      </c>
      <c r="T953" s="17">
        <v>0</v>
      </c>
      <c r="U953" s="17">
        <v>327</v>
      </c>
      <c r="V953" s="13" t="str" cm="1">
        <f t="array" ref="V953">_xlfn.IFS(U953&lt;=250,"0-R$250",U953&lt;=500,"251-R$500",U953&lt;=750,"501-R$750",U953&lt;=1000,"751-R$1000",U953&lt;=1250,"1001-R$1250",U953&lt;=1500,"1251-R$1500")</f>
        <v>251-R$500</v>
      </c>
      <c r="W953" s="17">
        <v>9</v>
      </c>
      <c r="X953" s="13" t="str" cm="1">
        <f t="array" ref="X953">_xlfn.IFS(W953 = 0, "0", W953&lt;=20, "até R$20",W953&lt;=40, "21 - R$40",W953&lt;=60, "41- R$60",W953&lt;=80, "61 - R$80", W953&lt;=100, "81 - R$100",W953&lt;=120, "101 - R$120",W953&lt;=140, "121 - R$140", W953&lt;=160, "141- R$160", W953&lt;=180, "161 - R$180", W953&lt;=200, "181-R$194")</f>
        <v>até R$20</v>
      </c>
      <c r="Y953" s="17">
        <v>122</v>
      </c>
      <c r="Z953" s="17">
        <v>19</v>
      </c>
      <c r="AA953" s="17">
        <v>14</v>
      </c>
      <c r="AB953" s="17">
        <v>83</v>
      </c>
      <c r="AC953" s="17">
        <v>5</v>
      </c>
      <c r="AD953" s="17">
        <v>5</v>
      </c>
      <c r="AE953" s="17">
        <v>2</v>
      </c>
      <c r="AF953" s="17">
        <v>9</v>
      </c>
      <c r="AG953" s="17">
        <v>6</v>
      </c>
      <c r="AH953" s="17">
        <v>0</v>
      </c>
      <c r="AI953" s="17">
        <v>0</v>
      </c>
      <c r="AJ953" s="17">
        <v>0</v>
      </c>
      <c r="AK953" s="17">
        <v>0</v>
      </c>
      <c r="AL953" s="17">
        <v>0</v>
      </c>
      <c r="AM953" s="17">
        <v>0</v>
      </c>
      <c r="AN953" s="17">
        <v>0</v>
      </c>
      <c r="AO953" s="18">
        <v>0</v>
      </c>
      <c r="AP953" s="17">
        <v>3</v>
      </c>
      <c r="AQ953" s="17">
        <v>11</v>
      </c>
      <c r="AR953" s="19">
        <v>408</v>
      </c>
      <c r="AS953" s="19">
        <v>491</v>
      </c>
    </row>
    <row r="954" spans="1:45" x14ac:dyDescent="0.25">
      <c r="A954">
        <v>796</v>
      </c>
      <c r="B954" s="11">
        <f t="shared" si="14"/>
        <v>65968</v>
      </c>
      <c r="C954" s="12">
        <v>659680</v>
      </c>
      <c r="D954" s="13">
        <v>0</v>
      </c>
      <c r="E954" s="13">
        <v>1</v>
      </c>
      <c r="F954" s="13">
        <v>12</v>
      </c>
      <c r="G954" s="13">
        <v>50</v>
      </c>
      <c r="H954" s="13" t="str" cm="1">
        <f t="array" ref="H954">_xlfn.IFS(G954&lt;=20,"0-20",G954&lt;=30,"20-30",G954&lt;=40,"30-40",G954&lt;=50,"50-60",G954&lt;=60,"60-70",G954&lt;=70,"70-80",G954&lt;=80,"80-90")</f>
        <v>50-60</v>
      </c>
      <c r="I954" s="13">
        <v>2207</v>
      </c>
      <c r="J954" s="13" t="str" cm="1">
        <f t="array" ref="J954">_xlfn.IFS(K954=1,"Divorciado",L954=1,"Casado",M954=1,"Solteiro",N954=1,"Juntos",O954=1,"Viuvo")</f>
        <v>Juntos</v>
      </c>
      <c r="K954" s="13">
        <v>0</v>
      </c>
      <c r="L954" s="13">
        <v>0</v>
      </c>
      <c r="M954" s="13">
        <v>0</v>
      </c>
      <c r="N954" s="13">
        <v>1</v>
      </c>
      <c r="O954" s="13">
        <v>0</v>
      </c>
      <c r="P954" s="13">
        <v>0</v>
      </c>
      <c r="Q954" s="13">
        <v>0</v>
      </c>
      <c r="R954" s="13">
        <v>0</v>
      </c>
      <c r="S954" s="13">
        <v>0</v>
      </c>
      <c r="T954" s="13">
        <v>1</v>
      </c>
      <c r="U954" s="13">
        <v>376</v>
      </c>
      <c r="V954" s="13" t="str" cm="1">
        <f t="array" ref="V954">_xlfn.IFS(U954&lt;=250,"0-R$250",U954&lt;=500,"251-R$500",U954&lt;=750,"501-R$750",U954&lt;=1000,"751-R$1000",U954&lt;=1250,"1001-R$1250",U954&lt;=1500,"1251-R$1500")</f>
        <v>251-R$500</v>
      </c>
      <c r="W954" s="13">
        <v>9</v>
      </c>
      <c r="X954" s="13" t="str" cm="1">
        <f t="array" ref="X954">_xlfn.IFS(W954 = 0, "0", W954&lt;=20, "até R$20",W954&lt;=40, "21 - R$40",W954&lt;=60, "41- R$60",W954&lt;=80, "61 - R$80", W954&lt;=100, "81 - R$100",W954&lt;=120, "101 - R$120",W954&lt;=140, "121 - R$140", W954&lt;=160, "141- R$160", W954&lt;=180, "161 - R$180", W954&lt;=200, "181-R$194")</f>
        <v>até R$20</v>
      </c>
      <c r="Y954" s="13">
        <v>83</v>
      </c>
      <c r="Z954" s="13">
        <v>19</v>
      </c>
      <c r="AA954" s="13">
        <v>4</v>
      </c>
      <c r="AB954" s="13">
        <v>4</v>
      </c>
      <c r="AC954" s="13">
        <v>2</v>
      </c>
      <c r="AD954" s="13">
        <v>5</v>
      </c>
      <c r="AE954" s="13">
        <v>4</v>
      </c>
      <c r="AF954" s="13">
        <v>7</v>
      </c>
      <c r="AG954" s="13">
        <v>3</v>
      </c>
      <c r="AH954" s="13">
        <v>0</v>
      </c>
      <c r="AI954" s="13">
        <v>0</v>
      </c>
      <c r="AJ954" s="13">
        <v>0</v>
      </c>
      <c r="AK954" s="13">
        <v>0</v>
      </c>
      <c r="AL954" s="13">
        <v>0</v>
      </c>
      <c r="AM954" s="13">
        <v>0</v>
      </c>
      <c r="AN954" s="13">
        <v>0</v>
      </c>
      <c r="AO954" s="14">
        <v>0</v>
      </c>
      <c r="AP954" s="13">
        <v>3</v>
      </c>
      <c r="AQ954" s="13">
        <v>11</v>
      </c>
      <c r="AR954" s="15">
        <v>487</v>
      </c>
      <c r="AS954" s="15">
        <v>491</v>
      </c>
    </row>
    <row r="955" spans="1:45" x14ac:dyDescent="0.25">
      <c r="A955">
        <v>1793</v>
      </c>
      <c r="B955" s="11">
        <f t="shared" si="14"/>
        <v>50387</v>
      </c>
      <c r="C955" s="16">
        <v>503870</v>
      </c>
      <c r="D955" s="17">
        <v>0</v>
      </c>
      <c r="E955" s="17">
        <v>2</v>
      </c>
      <c r="F955" s="17">
        <v>91</v>
      </c>
      <c r="G955" s="17">
        <v>64</v>
      </c>
      <c r="H955" s="13" t="str" cm="1">
        <f t="array" ref="H955">_xlfn.IFS(G955&lt;=20,"0-20",G955&lt;=30,"20-30",G955&lt;=40,"30-40",G955&lt;=50,"50-60",G955&lt;=60,"60-70",G955&lt;=70,"70-80",G955&lt;=80,"80-90")</f>
        <v>70-80</v>
      </c>
      <c r="I955" s="17">
        <v>2461</v>
      </c>
      <c r="J955" s="13" t="str" cm="1">
        <f t="array" ref="J955">_xlfn.IFS(K955=1,"Divorciado",L955=1,"Casado",M955=1,"Solteiro",N955=1,"Juntos",O955=1,"Viuvo")</f>
        <v>Casado</v>
      </c>
      <c r="K955" s="17">
        <v>0</v>
      </c>
      <c r="L955" s="17">
        <v>1</v>
      </c>
      <c r="M955" s="17">
        <v>0</v>
      </c>
      <c r="N955" s="17">
        <v>0</v>
      </c>
      <c r="O955" s="17">
        <v>0</v>
      </c>
      <c r="P955" s="17">
        <v>0</v>
      </c>
      <c r="Q955" s="17">
        <v>0</v>
      </c>
      <c r="R955" s="17">
        <v>1</v>
      </c>
      <c r="S955" s="17">
        <v>0</v>
      </c>
      <c r="T955" s="17">
        <v>0</v>
      </c>
      <c r="U955" s="17">
        <v>369</v>
      </c>
      <c r="V955" s="13" t="str" cm="1">
        <f t="array" ref="V955">_xlfn.IFS(U955&lt;=250,"0-R$250",U955&lt;=500,"251-R$500",U955&lt;=750,"501-R$750",U955&lt;=1000,"751-R$1000",U955&lt;=1250,"1001-R$1250",U955&lt;=1500,"1251-R$1500")</f>
        <v>251-R$500</v>
      </c>
      <c r="W955" s="17">
        <v>9</v>
      </c>
      <c r="X955" s="13" t="str" cm="1">
        <f t="array" ref="X955">_xlfn.IFS(W955 = 0, "0", W955&lt;=20, "até R$20",W955&lt;=40, "21 - R$40",W955&lt;=60, "41- R$60",W955&lt;=80, "61 - R$80", W955&lt;=100, "81 - R$100",W955&lt;=120, "101 - R$120",W955&lt;=140, "121 - R$140", W955&lt;=160, "141- R$160", W955&lt;=180, "161 - R$180", W955&lt;=200, "181-R$194")</f>
        <v>até R$20</v>
      </c>
      <c r="Y955" s="17">
        <v>87</v>
      </c>
      <c r="Z955" s="17">
        <v>12</v>
      </c>
      <c r="AA955" s="17">
        <v>14</v>
      </c>
      <c r="AB955" s="17">
        <v>34</v>
      </c>
      <c r="AC955" s="17">
        <v>3</v>
      </c>
      <c r="AD955" s="17">
        <v>6</v>
      </c>
      <c r="AE955" s="17">
        <v>2</v>
      </c>
      <c r="AF955" s="17">
        <v>8</v>
      </c>
      <c r="AG955" s="17">
        <v>5</v>
      </c>
      <c r="AH955" s="17">
        <v>0</v>
      </c>
      <c r="AI955" s="17">
        <v>0</v>
      </c>
      <c r="AJ955" s="17">
        <v>0</v>
      </c>
      <c r="AK955" s="17">
        <v>0</v>
      </c>
      <c r="AL955" s="17">
        <v>0</v>
      </c>
      <c r="AM955" s="17">
        <v>0</v>
      </c>
      <c r="AN955" s="17">
        <v>0</v>
      </c>
      <c r="AO955" s="18">
        <v>0</v>
      </c>
      <c r="AP955" s="17">
        <v>3</v>
      </c>
      <c r="AQ955" s="17">
        <v>11</v>
      </c>
      <c r="AR955" s="19">
        <v>457</v>
      </c>
      <c r="AS955" s="19">
        <v>491</v>
      </c>
    </row>
    <row r="956" spans="1:45" x14ac:dyDescent="0.25">
      <c r="A956">
        <v>2095</v>
      </c>
      <c r="B956" s="11">
        <f t="shared" si="14"/>
        <v>61286</v>
      </c>
      <c r="C956" s="16">
        <v>612860</v>
      </c>
      <c r="D956" s="17">
        <v>0</v>
      </c>
      <c r="E956" s="17">
        <v>1</v>
      </c>
      <c r="F956" s="17">
        <v>34</v>
      </c>
      <c r="G956" s="17">
        <v>54</v>
      </c>
      <c r="H956" s="13" t="str" cm="1">
        <f t="array" ref="H956">_xlfn.IFS(G956&lt;=20,"0-20",G956&lt;=30,"20-30",G956&lt;=40,"30-40",G956&lt;=50,"50-60",G956&lt;=60,"60-70",G956&lt;=70,"70-80",G956&lt;=80,"80-90")</f>
        <v>60-70</v>
      </c>
      <c r="I956" s="17">
        <v>2490</v>
      </c>
      <c r="J956" s="13" t="str" cm="1">
        <f t="array" ref="J956">_xlfn.IFS(K956=1,"Divorciado",L956=1,"Casado",M956=1,"Solteiro",N956=1,"Juntos",O956=1,"Viuvo")</f>
        <v>Casado</v>
      </c>
      <c r="K956" s="17">
        <v>0</v>
      </c>
      <c r="L956" s="17">
        <v>1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1</v>
      </c>
      <c r="S956" s="17">
        <v>0</v>
      </c>
      <c r="T956" s="17">
        <v>0</v>
      </c>
      <c r="U956" s="17">
        <v>356</v>
      </c>
      <c r="V956" s="13" t="str" cm="1">
        <f t="array" ref="V956">_xlfn.IFS(U956&lt;=250,"0-R$250",U956&lt;=500,"251-R$500",U956&lt;=750,"501-R$750",U956&lt;=1000,"751-R$1000",U956&lt;=1250,"1001-R$1250",U956&lt;=1500,"1251-R$1500")</f>
        <v>251-R$500</v>
      </c>
      <c r="W956" s="17">
        <v>0</v>
      </c>
      <c r="X956" s="13" t="str" cm="1">
        <f t="array" ref="X956">_xlfn.IFS(W956 = 0, "0", W956&lt;=20, "até R$20",W956&lt;=40, "21 - R$40",W956&lt;=60, "41- R$60",W956&lt;=80, "61 - R$80", W956&lt;=100, "81 - R$100",W956&lt;=120, "101 - R$120",W956&lt;=140, "121 - R$140", W956&lt;=160, "141- R$160", W956&lt;=180, "161 - R$180", W956&lt;=200, "181-R$194")</f>
        <v>0</v>
      </c>
      <c r="Y956" s="17">
        <v>107</v>
      </c>
      <c r="Z956" s="17">
        <v>19</v>
      </c>
      <c r="AA956" s="17">
        <v>9</v>
      </c>
      <c r="AB956" s="17">
        <v>117</v>
      </c>
      <c r="AC956" s="17">
        <v>2</v>
      </c>
      <c r="AD956" s="17">
        <v>7</v>
      </c>
      <c r="AE956" s="17">
        <v>1</v>
      </c>
      <c r="AF956" s="17">
        <v>8</v>
      </c>
      <c r="AG956" s="17">
        <v>5</v>
      </c>
      <c r="AH956" s="17">
        <v>0</v>
      </c>
      <c r="AI956" s="17">
        <v>0</v>
      </c>
      <c r="AJ956" s="17">
        <v>0</v>
      </c>
      <c r="AK956" s="17">
        <v>0</v>
      </c>
      <c r="AL956" s="17">
        <v>0</v>
      </c>
      <c r="AM956" s="17">
        <v>0</v>
      </c>
      <c r="AN956" s="17">
        <v>0</v>
      </c>
      <c r="AO956" s="18">
        <v>0</v>
      </c>
      <c r="AP956" s="17">
        <v>3</v>
      </c>
      <c r="AQ956" s="17">
        <v>11</v>
      </c>
      <c r="AR956" s="19">
        <v>374</v>
      </c>
      <c r="AS956" s="19">
        <v>491</v>
      </c>
    </row>
    <row r="957" spans="1:45" x14ac:dyDescent="0.25">
      <c r="A957">
        <v>769</v>
      </c>
      <c r="B957" s="11">
        <f t="shared" si="14"/>
        <v>43783</v>
      </c>
      <c r="C957" s="16">
        <v>437830</v>
      </c>
      <c r="D957" s="17">
        <v>1</v>
      </c>
      <c r="E957" s="17">
        <v>0</v>
      </c>
      <c r="F957" s="17">
        <v>22</v>
      </c>
      <c r="G957" s="17">
        <v>42</v>
      </c>
      <c r="H957" s="13" t="str" cm="1">
        <f t="array" ref="H957">_xlfn.IFS(G957&lt;=20,"0-20",G957&lt;=30,"20-30",G957&lt;=40,"30-40",G957&lt;=50,"50-60",G957&lt;=60,"60-70",G957&lt;=70,"70-80",G957&lt;=80,"80-90")</f>
        <v>50-60</v>
      </c>
      <c r="I957" s="17">
        <v>2190</v>
      </c>
      <c r="J957" s="13" t="str" cm="1">
        <f t="array" ref="J957">_xlfn.IFS(K957=1,"Divorciado",L957=1,"Casado",M957=1,"Solteiro",N957=1,"Juntos",O957=1,"Viuvo")</f>
        <v>Casado</v>
      </c>
      <c r="K957" s="17">
        <v>0</v>
      </c>
      <c r="L957" s="17">
        <v>1</v>
      </c>
      <c r="M957" s="17">
        <v>0</v>
      </c>
      <c r="N957" s="17">
        <v>0</v>
      </c>
      <c r="O957" s="17">
        <v>0</v>
      </c>
      <c r="P957" s="17">
        <v>0</v>
      </c>
      <c r="Q957" s="17">
        <v>0</v>
      </c>
      <c r="R957" s="17">
        <v>0</v>
      </c>
      <c r="S957" s="17">
        <v>1</v>
      </c>
      <c r="T957" s="17">
        <v>0</v>
      </c>
      <c r="U957" s="17">
        <v>327</v>
      </c>
      <c r="V957" s="13" t="str" cm="1">
        <f t="array" ref="V957">_xlfn.IFS(U957&lt;=250,"0-R$250",U957&lt;=500,"251-R$500",U957&lt;=750,"501-R$750",U957&lt;=1000,"751-R$1000",U957&lt;=1250,"1001-R$1250",U957&lt;=1500,"1251-R$1500")</f>
        <v>251-R$500</v>
      </c>
      <c r="W957" s="17">
        <v>9</v>
      </c>
      <c r="X957" s="13" t="str" cm="1">
        <f t="array" ref="X957">_xlfn.IFS(W957 = 0, "0", W957&lt;=20, "até R$20",W957&lt;=40, "21 - R$40",W957&lt;=60, "41- R$60",W957&lt;=80, "61 - R$80", W957&lt;=100, "81 - R$100",W957&lt;=120, "101 - R$120",W957&lt;=140, "121 - R$140", W957&lt;=160, "141- R$160", W957&lt;=180, "161 - R$180", W957&lt;=200, "181-R$194")</f>
        <v>até R$20</v>
      </c>
      <c r="Y957" s="17">
        <v>125</v>
      </c>
      <c r="Z957" s="17">
        <v>25</v>
      </c>
      <c r="AA957" s="17">
        <v>4</v>
      </c>
      <c r="AB957" s="17">
        <v>139</v>
      </c>
      <c r="AC957" s="17">
        <v>6</v>
      </c>
      <c r="AD957" s="17">
        <v>7</v>
      </c>
      <c r="AE957" s="17">
        <v>1</v>
      </c>
      <c r="AF957" s="17">
        <v>8</v>
      </c>
      <c r="AG957" s="17">
        <v>7</v>
      </c>
      <c r="AH957" s="17">
        <v>0</v>
      </c>
      <c r="AI957" s="17">
        <v>1</v>
      </c>
      <c r="AJ957" s="17">
        <v>0</v>
      </c>
      <c r="AK957" s="17">
        <v>0</v>
      </c>
      <c r="AL957" s="17">
        <v>0</v>
      </c>
      <c r="AM957" s="17">
        <v>0</v>
      </c>
      <c r="AN957" s="17">
        <v>0</v>
      </c>
      <c r="AO957" s="18">
        <v>1</v>
      </c>
      <c r="AP957" s="17">
        <v>3</v>
      </c>
      <c r="AQ957" s="17">
        <v>11</v>
      </c>
      <c r="AR957" s="19">
        <v>351</v>
      </c>
      <c r="AS957" s="19">
        <v>490</v>
      </c>
    </row>
    <row r="958" spans="1:45" x14ac:dyDescent="0.25">
      <c r="A958">
        <v>981</v>
      </c>
      <c r="B958" s="11">
        <f t="shared" si="14"/>
        <v>78028</v>
      </c>
      <c r="C958" s="16">
        <v>780280</v>
      </c>
      <c r="D958" s="17">
        <v>0</v>
      </c>
      <c r="E958" s="17">
        <v>1</v>
      </c>
      <c r="F958" s="17">
        <v>38</v>
      </c>
      <c r="G958" s="17">
        <v>64</v>
      </c>
      <c r="H958" s="13" t="str" cm="1">
        <f t="array" ref="H958">_xlfn.IFS(G958&lt;=20,"0-20",G958&lt;=30,"20-30",G958&lt;=40,"30-40",G958&lt;=50,"50-60",G958&lt;=60,"60-70",G958&lt;=70,"70-80",G958&lt;=80,"80-90")</f>
        <v>70-80</v>
      </c>
      <c r="I958" s="17">
        <v>2816</v>
      </c>
      <c r="J958" s="13" t="str" cm="1">
        <f t="array" ref="J958">_xlfn.IFS(K958=1,"Divorciado",L958=1,"Casado",M958=1,"Solteiro",N958=1,"Juntos",O958=1,"Viuvo")</f>
        <v>Viuvo</v>
      </c>
      <c r="K958" s="17">
        <v>0</v>
      </c>
      <c r="L958" s="17">
        <v>0</v>
      </c>
      <c r="M958" s="17">
        <v>0</v>
      </c>
      <c r="N958" s="17">
        <v>0</v>
      </c>
      <c r="O958" s="17">
        <v>1</v>
      </c>
      <c r="P958" s="17">
        <v>0</v>
      </c>
      <c r="Q958" s="17">
        <v>0</v>
      </c>
      <c r="R958" s="17">
        <v>0</v>
      </c>
      <c r="S958" s="17">
        <v>0</v>
      </c>
      <c r="T958" s="17">
        <v>1</v>
      </c>
      <c r="U958" s="17">
        <v>158</v>
      </c>
      <c r="V958" s="13" t="str" cm="1">
        <f t="array" ref="V958">_xlfn.IFS(U958&lt;=250,"0-R$250",U958&lt;=500,"251-R$500",U958&lt;=750,"501-R$750",U958&lt;=1000,"751-R$1000",U958&lt;=1250,"1001-R$1250",U958&lt;=1500,"1251-R$1500")</f>
        <v>0-R$250</v>
      </c>
      <c r="W958" s="17">
        <v>19</v>
      </c>
      <c r="X958" s="13" t="str" cm="1">
        <f t="array" ref="X958">_xlfn.IFS(W958 = 0, "0", W958&lt;=20, "até R$20",W958&lt;=40, "21 - R$40",W958&lt;=60, "41- R$60",W958&lt;=80, "61 - R$80", W958&lt;=100, "81 - R$100",W958&lt;=120, "101 - R$120",W958&lt;=140, "121 - R$140", W958&lt;=160, "141- R$160", W958&lt;=180, "161 - R$180", W958&lt;=200, "181-R$194")</f>
        <v>até R$20</v>
      </c>
      <c r="Y958" s="17">
        <v>288</v>
      </c>
      <c r="Z958" s="17">
        <v>25</v>
      </c>
      <c r="AA958" s="17">
        <v>0</v>
      </c>
      <c r="AB958" s="17">
        <v>38</v>
      </c>
      <c r="AC958" s="17">
        <v>1</v>
      </c>
      <c r="AD958" s="17">
        <v>6</v>
      </c>
      <c r="AE958" s="17">
        <v>4</v>
      </c>
      <c r="AF958" s="17">
        <v>9</v>
      </c>
      <c r="AG958" s="17">
        <v>7</v>
      </c>
      <c r="AH958" s="17">
        <v>0</v>
      </c>
      <c r="AI958" s="17">
        <v>0</v>
      </c>
      <c r="AJ958" s="17">
        <v>1</v>
      </c>
      <c r="AK958" s="17">
        <v>1</v>
      </c>
      <c r="AL958" s="17">
        <v>0</v>
      </c>
      <c r="AM958" s="17">
        <v>0</v>
      </c>
      <c r="AN958" s="17">
        <v>1</v>
      </c>
      <c r="AO958" s="18">
        <v>2</v>
      </c>
      <c r="AP958" s="17">
        <v>3</v>
      </c>
      <c r="AQ958" s="17">
        <v>11</v>
      </c>
      <c r="AR958" s="19">
        <v>452</v>
      </c>
      <c r="AS958" s="19">
        <v>490</v>
      </c>
    </row>
    <row r="959" spans="1:45" x14ac:dyDescent="0.25">
      <c r="A959">
        <v>1143</v>
      </c>
      <c r="B959" s="11">
        <f t="shared" si="14"/>
        <v>59594</v>
      </c>
      <c r="C959" s="16">
        <v>595940</v>
      </c>
      <c r="D959" s="17">
        <v>0</v>
      </c>
      <c r="E959" s="17">
        <v>1</v>
      </c>
      <c r="F959" s="17">
        <v>74</v>
      </c>
      <c r="G959" s="17">
        <v>55</v>
      </c>
      <c r="H959" s="13" t="str" cm="1">
        <f t="array" ref="H959">_xlfn.IFS(G959&lt;=20,"0-20",G959&lt;=30,"20-30",G959&lt;=40,"30-40",G959&lt;=50,"50-60",G959&lt;=60,"60-70",G959&lt;=70,"70-80",G959&lt;=80,"80-90")</f>
        <v>60-70</v>
      </c>
      <c r="I959" s="17">
        <v>2776</v>
      </c>
      <c r="J959" s="13" t="str" cm="1">
        <f t="array" ref="J959">_xlfn.IFS(K959=1,"Divorciado",L959=1,"Casado",M959=1,"Solteiro",N959=1,"Juntos",O959=1,"Viuvo")</f>
        <v>Casado</v>
      </c>
      <c r="K959" s="17">
        <v>0</v>
      </c>
      <c r="L959" s="17">
        <v>1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1</v>
      </c>
      <c r="S959" s="17">
        <v>0</v>
      </c>
      <c r="T959" s="17">
        <v>0</v>
      </c>
      <c r="U959" s="17">
        <v>457</v>
      </c>
      <c r="V959" s="13" t="str" cm="1">
        <f t="array" ref="V959">_xlfn.IFS(U959&lt;=250,"0-R$250",U959&lt;=500,"251-R$500",U959&lt;=750,"501-R$750",U959&lt;=1000,"751-R$1000",U959&lt;=1250,"1001-R$1250",U959&lt;=1500,"1251-R$1500")</f>
        <v>251-R$500</v>
      </c>
      <c r="W959" s="17">
        <v>4</v>
      </c>
      <c r="X959" s="13" t="str" cm="1">
        <f t="array" ref="X959">_xlfn.IFS(W959 = 0, "0", W959&lt;=20, "até R$20",W959&lt;=40, "21 - R$40",W959&lt;=60, "41- R$60",W959&lt;=80, "61 - R$80", W959&lt;=100, "81 - R$100",W959&lt;=120, "101 - R$120",W959&lt;=140, "121 - R$140", W959&lt;=160, "141- R$160", W959&lt;=180, "161 - R$180", W959&lt;=200, "181-R$194")</f>
        <v>até R$20</v>
      </c>
      <c r="Y959" s="17">
        <v>29</v>
      </c>
      <c r="Z959" s="17">
        <v>0</v>
      </c>
      <c r="AA959" s="17">
        <v>0</v>
      </c>
      <c r="AB959" s="17">
        <v>9</v>
      </c>
      <c r="AC959" s="17">
        <v>1</v>
      </c>
      <c r="AD959" s="17">
        <v>8</v>
      </c>
      <c r="AE959" s="17">
        <v>1</v>
      </c>
      <c r="AF959" s="17">
        <v>7</v>
      </c>
      <c r="AG959" s="17">
        <v>7</v>
      </c>
      <c r="AH959" s="17">
        <v>0</v>
      </c>
      <c r="AI959" s="17">
        <v>0</v>
      </c>
      <c r="AJ959" s="17">
        <v>1</v>
      </c>
      <c r="AK959" s="17">
        <v>0</v>
      </c>
      <c r="AL959" s="17">
        <v>0</v>
      </c>
      <c r="AM959" s="17">
        <v>0</v>
      </c>
      <c r="AN959" s="17">
        <v>0</v>
      </c>
      <c r="AO959" s="18">
        <v>1</v>
      </c>
      <c r="AP959" s="17">
        <v>3</v>
      </c>
      <c r="AQ959" s="17">
        <v>11</v>
      </c>
      <c r="AR959" s="19">
        <v>481</v>
      </c>
      <c r="AS959" s="19">
        <v>490</v>
      </c>
    </row>
    <row r="960" spans="1:45" x14ac:dyDescent="0.25">
      <c r="A960">
        <v>671</v>
      </c>
      <c r="B960" s="11">
        <f t="shared" si="14"/>
        <v>50611</v>
      </c>
      <c r="C960" s="16">
        <v>506110</v>
      </c>
      <c r="D960" s="17">
        <v>0</v>
      </c>
      <c r="E960" s="17">
        <v>1</v>
      </c>
      <c r="F960" s="17">
        <v>98</v>
      </c>
      <c r="G960" s="17">
        <v>60</v>
      </c>
      <c r="H960" s="13" t="str" cm="1">
        <f t="array" ref="H960">_xlfn.IFS(G960&lt;=20,"0-20",G960&lt;=30,"20-30",G960&lt;=40,"30-40",G960&lt;=50,"50-60",G960&lt;=60,"60-70",G960&lt;=70,"70-80",G960&lt;=80,"80-90")</f>
        <v>60-70</v>
      </c>
      <c r="I960" s="17">
        <v>2792</v>
      </c>
      <c r="J960" s="13" t="str" cm="1">
        <f t="array" ref="J960">_xlfn.IFS(K960=1,"Divorciado",L960=1,"Casado",M960=1,"Solteiro",N960=1,"Juntos",O960=1,"Viuvo")</f>
        <v>Divorciado</v>
      </c>
      <c r="K960" s="17">
        <v>1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1</v>
      </c>
      <c r="U960" s="17">
        <v>459</v>
      </c>
      <c r="V960" s="13" t="str" cm="1">
        <f t="array" ref="V960">_xlfn.IFS(U960&lt;=250,"0-R$250",U960&lt;=500,"251-R$500",U960&lt;=750,"501-R$750",U960&lt;=1000,"751-R$1000",U960&lt;=1250,"1001-R$1250",U960&lt;=1500,"1251-R$1500")</f>
        <v>251-R$500</v>
      </c>
      <c r="W960" s="17">
        <v>0</v>
      </c>
      <c r="X960" s="13" t="str" cm="1">
        <f t="array" ref="X960">_xlfn.IFS(W960 = 0, "0", W960&lt;=20, "até R$20",W960&lt;=40, "21 - R$40",W960&lt;=60, "41- R$60",W960&lt;=80, "61 - R$80", W960&lt;=100, "81 - R$100",W960&lt;=120, "101 - R$120",W960&lt;=140, "121 - R$140", W960&lt;=160, "141- R$160", W960&lt;=180, "161 - R$180", W960&lt;=200, "181-R$194")</f>
        <v>0</v>
      </c>
      <c r="Y960" s="17">
        <v>24</v>
      </c>
      <c r="Z960" s="17">
        <v>6</v>
      </c>
      <c r="AA960" s="17">
        <v>0</v>
      </c>
      <c r="AB960" s="17">
        <v>4</v>
      </c>
      <c r="AC960" s="17">
        <v>6</v>
      </c>
      <c r="AD960" s="17">
        <v>4</v>
      </c>
      <c r="AE960" s="17">
        <v>5</v>
      </c>
      <c r="AF960" s="17">
        <v>7</v>
      </c>
      <c r="AG960" s="17">
        <v>6</v>
      </c>
      <c r="AH960" s="17">
        <v>0</v>
      </c>
      <c r="AI960" s="17">
        <v>0</v>
      </c>
      <c r="AJ960" s="17">
        <v>1</v>
      </c>
      <c r="AK960" s="17">
        <v>0</v>
      </c>
      <c r="AL960" s="17">
        <v>0</v>
      </c>
      <c r="AM960" s="17">
        <v>0</v>
      </c>
      <c r="AN960" s="17">
        <v>1</v>
      </c>
      <c r="AO960" s="18">
        <v>1</v>
      </c>
      <c r="AP960" s="17">
        <v>3</v>
      </c>
      <c r="AQ960" s="17">
        <v>11</v>
      </c>
      <c r="AR960" s="19">
        <v>485</v>
      </c>
      <c r="AS960" s="19">
        <v>489</v>
      </c>
    </row>
    <row r="961" spans="1:45" x14ac:dyDescent="0.25">
      <c r="A961">
        <v>1353</v>
      </c>
      <c r="B961" s="11">
        <f t="shared" si="14"/>
        <v>50611</v>
      </c>
      <c r="C961" s="16">
        <v>506110</v>
      </c>
      <c r="D961" s="17">
        <v>0</v>
      </c>
      <c r="E961" s="17">
        <v>1</v>
      </c>
      <c r="F961" s="17">
        <v>98</v>
      </c>
      <c r="G961" s="17">
        <v>60</v>
      </c>
      <c r="H961" s="13" t="str" cm="1">
        <f t="array" ref="H961">_xlfn.IFS(G961&lt;=20,"0-20",G961&lt;=30,"20-30",G961&lt;=40,"30-40",G961&lt;=50,"50-60",G961&lt;=60,"60-70",G961&lt;=70,"70-80",G961&lt;=80,"80-90")</f>
        <v>60-70</v>
      </c>
      <c r="I961" s="17">
        <v>2792</v>
      </c>
      <c r="J961" s="13" t="str" cm="1">
        <f t="array" ref="J961">_xlfn.IFS(K961=1,"Divorciado",L961=1,"Casado",M961=1,"Solteiro",N961=1,"Juntos",O961=1,"Viuvo")</f>
        <v>Divorciado</v>
      </c>
      <c r="K961" s="17">
        <v>1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1</v>
      </c>
      <c r="U961" s="17">
        <v>459</v>
      </c>
      <c r="V961" s="13" t="str" cm="1">
        <f t="array" ref="V961">_xlfn.IFS(U961&lt;=250,"0-R$250",U961&lt;=500,"251-R$500",U961&lt;=750,"501-R$750",U961&lt;=1000,"751-R$1000",U961&lt;=1250,"1001-R$1250",U961&lt;=1500,"1251-R$1500")</f>
        <v>251-R$500</v>
      </c>
      <c r="W961" s="17">
        <v>0</v>
      </c>
      <c r="X961" s="13" t="str" cm="1">
        <f t="array" ref="X961">_xlfn.IFS(W961 = 0, "0", W961&lt;=20, "até R$20",W961&lt;=40, "21 - R$40",W961&lt;=60, "41- R$60",W961&lt;=80, "61 - R$80", W961&lt;=100, "81 - R$100",W961&lt;=120, "101 - R$120",W961&lt;=140, "121 - R$140", W961&lt;=160, "141- R$160", W961&lt;=180, "161 - R$180", W961&lt;=200, "181-R$194")</f>
        <v>0</v>
      </c>
      <c r="Y961" s="17">
        <v>24</v>
      </c>
      <c r="Z961" s="17">
        <v>6</v>
      </c>
      <c r="AA961" s="17">
        <v>0</v>
      </c>
      <c r="AB961" s="17">
        <v>4</v>
      </c>
      <c r="AC961" s="17">
        <v>6</v>
      </c>
      <c r="AD961" s="17">
        <v>4</v>
      </c>
      <c r="AE961" s="17">
        <v>5</v>
      </c>
      <c r="AF961" s="17">
        <v>7</v>
      </c>
      <c r="AG961" s="17">
        <v>6</v>
      </c>
      <c r="AH961" s="17">
        <v>0</v>
      </c>
      <c r="AI961" s="17">
        <v>0</v>
      </c>
      <c r="AJ961" s="17">
        <v>1</v>
      </c>
      <c r="AK961" s="17">
        <v>0</v>
      </c>
      <c r="AL961" s="17">
        <v>0</v>
      </c>
      <c r="AM961" s="17">
        <v>0</v>
      </c>
      <c r="AN961" s="17">
        <v>0</v>
      </c>
      <c r="AO961" s="18">
        <v>1</v>
      </c>
      <c r="AP961" s="17">
        <v>3</v>
      </c>
      <c r="AQ961" s="17">
        <v>11</v>
      </c>
      <c r="AR961" s="19">
        <v>485</v>
      </c>
      <c r="AS961" s="19">
        <v>489</v>
      </c>
    </row>
    <row r="962" spans="1:45" x14ac:dyDescent="0.25">
      <c r="A962">
        <v>1576</v>
      </c>
      <c r="B962" s="11">
        <f t="shared" ref="B962:B1025" si="15">C962/10</f>
        <v>53843</v>
      </c>
      <c r="C962" s="12">
        <v>538430</v>
      </c>
      <c r="D962" s="13">
        <v>0</v>
      </c>
      <c r="E962" s="13">
        <v>1</v>
      </c>
      <c r="F962" s="13">
        <v>64</v>
      </c>
      <c r="G962" s="13">
        <v>55</v>
      </c>
      <c r="H962" s="13" t="str" cm="1">
        <f t="array" ref="H962">_xlfn.IFS(G962&lt;=20,"0-20",G962&lt;=30,"20-30",G962&lt;=40,"30-40",G962&lt;=50,"50-60",G962&lt;=60,"60-70",G962&lt;=70,"70-80",G962&lt;=80,"80-90")</f>
        <v>60-70</v>
      </c>
      <c r="I962" s="13">
        <v>2526</v>
      </c>
      <c r="J962" s="13" t="str" cm="1">
        <f t="array" ref="J962">_xlfn.IFS(K962=1,"Divorciado",L962=1,"Casado",M962=1,"Solteiro",N962=1,"Juntos",O962=1,"Viuvo")</f>
        <v>Casado</v>
      </c>
      <c r="K962" s="13">
        <v>0</v>
      </c>
      <c r="L962" s="13">
        <v>1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1</v>
      </c>
      <c r="T962" s="13">
        <v>0</v>
      </c>
      <c r="U962" s="13">
        <v>378</v>
      </c>
      <c r="V962" s="13" t="str" cm="1">
        <f t="array" ref="V962">_xlfn.IFS(U962&lt;=250,"0-R$250",U962&lt;=500,"251-R$500",U962&lt;=750,"501-R$750",U962&lt;=1000,"751-R$1000",U962&lt;=1250,"1001-R$1250",U962&lt;=1500,"1251-R$1500")</f>
        <v>251-R$500</v>
      </c>
      <c r="W962" s="13">
        <v>0</v>
      </c>
      <c r="X962" s="13" t="str" cm="1">
        <f t="array" ref="X962">_xlfn.IFS(W962 = 0, "0", W962&lt;=20, "até R$20",W962&lt;=40, "21 - R$40",W962&lt;=60, "41- R$60",W962&lt;=80, "61 - R$80", W962&lt;=100, "81 - R$100",W962&lt;=120, "101 - R$120",W962&lt;=140, "121 - R$140", W962&lt;=160, "141- R$160", W962&lt;=180, "161 - R$180", W962&lt;=200, "181-R$194")</f>
        <v>0</v>
      </c>
      <c r="Y962" s="13">
        <v>88</v>
      </c>
      <c r="Z962" s="13">
        <v>19</v>
      </c>
      <c r="AA962" s="13">
        <v>4</v>
      </c>
      <c r="AB962" s="13">
        <v>73</v>
      </c>
      <c r="AC962" s="13">
        <v>4</v>
      </c>
      <c r="AD962" s="13">
        <v>8</v>
      </c>
      <c r="AE962" s="13">
        <v>5</v>
      </c>
      <c r="AF962" s="13">
        <v>3</v>
      </c>
      <c r="AG962" s="13">
        <v>7</v>
      </c>
      <c r="AH962" s="13">
        <v>0</v>
      </c>
      <c r="AI962" s="13">
        <v>0</v>
      </c>
      <c r="AJ962" s="13">
        <v>0</v>
      </c>
      <c r="AK962" s="13">
        <v>0</v>
      </c>
      <c r="AL962" s="13">
        <v>0</v>
      </c>
      <c r="AM962" s="13">
        <v>0</v>
      </c>
      <c r="AN962" s="13">
        <v>0</v>
      </c>
      <c r="AO962" s="14">
        <v>0</v>
      </c>
      <c r="AP962" s="13">
        <v>3</v>
      </c>
      <c r="AQ962" s="13">
        <v>11</v>
      </c>
      <c r="AR962" s="15">
        <v>416</v>
      </c>
      <c r="AS962" s="15">
        <v>489</v>
      </c>
    </row>
    <row r="963" spans="1:45" x14ac:dyDescent="0.25">
      <c r="A963">
        <v>393</v>
      </c>
      <c r="B963" s="11">
        <f t="shared" si="15"/>
        <v>50437</v>
      </c>
      <c r="C963" s="16">
        <v>504370</v>
      </c>
      <c r="D963" s="17">
        <v>0</v>
      </c>
      <c r="E963" s="17">
        <v>2</v>
      </c>
      <c r="F963" s="17">
        <v>28</v>
      </c>
      <c r="G963" s="17">
        <v>57</v>
      </c>
      <c r="H963" s="13" t="str" cm="1">
        <f t="array" ref="H963">_xlfn.IFS(G963&lt;=20,"0-20",G963&lt;=30,"20-30",G963&lt;=40,"30-40",G963&lt;=50,"50-60",G963&lt;=60,"60-70",G963&lt;=70,"70-80",G963&lt;=80,"80-90")</f>
        <v>60-70</v>
      </c>
      <c r="I963" s="17">
        <v>2779</v>
      </c>
      <c r="J963" s="13" t="str" cm="1">
        <f t="array" ref="J963">_xlfn.IFS(K963=1,"Divorciado",L963=1,"Casado",M963=1,"Solteiro",N963=1,"Juntos",O963=1,"Viuvo")</f>
        <v>Casado</v>
      </c>
      <c r="K963" s="17">
        <v>0</v>
      </c>
      <c r="L963" s="17">
        <v>1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1</v>
      </c>
      <c r="S963" s="17">
        <v>0</v>
      </c>
      <c r="T963" s="17">
        <v>0</v>
      </c>
      <c r="U963" s="17">
        <v>370</v>
      </c>
      <c r="V963" s="13" t="str" cm="1">
        <f t="array" ref="V963">_xlfn.IFS(U963&lt;=250,"0-R$250",U963&lt;=500,"251-R$500",U963&lt;=750,"501-R$750",U963&lt;=1000,"751-R$1000",U963&lt;=1250,"1001-R$1250",U963&lt;=1500,"1251-R$1500")</f>
        <v>251-R$500</v>
      </c>
      <c r="W963" s="17">
        <v>9</v>
      </c>
      <c r="X963" s="13" t="str" cm="1">
        <f t="array" ref="X963">_xlfn.IFS(W963 = 0, "0", W963&lt;=20, "até R$20",W963&lt;=40, "21 - R$40",W963&lt;=60, "41- R$60",W963&lt;=80, "61 - R$80", W963&lt;=100, "81 - R$100",W963&lt;=120, "101 - R$120",W963&lt;=140, "121 - R$140", W963&lt;=160, "141- R$160", W963&lt;=180, "161 - R$180", W963&lt;=200, "181-R$194")</f>
        <v>até R$20</v>
      </c>
      <c r="Y963" s="17">
        <v>92</v>
      </c>
      <c r="Z963" s="17">
        <v>6</v>
      </c>
      <c r="AA963" s="17">
        <v>9</v>
      </c>
      <c r="AB963" s="17">
        <v>4</v>
      </c>
      <c r="AC963" s="17">
        <v>3</v>
      </c>
      <c r="AD963" s="17">
        <v>7</v>
      </c>
      <c r="AE963" s="17">
        <v>1</v>
      </c>
      <c r="AF963" s="17">
        <v>8</v>
      </c>
      <c r="AG963" s="17">
        <v>7</v>
      </c>
      <c r="AH963" s="17">
        <v>0</v>
      </c>
      <c r="AI963" s="17">
        <v>0</v>
      </c>
      <c r="AJ963" s="17">
        <v>0</v>
      </c>
      <c r="AK963" s="17">
        <v>0</v>
      </c>
      <c r="AL963" s="17">
        <v>0</v>
      </c>
      <c r="AM963" s="17">
        <v>0</v>
      </c>
      <c r="AN963" s="17">
        <v>0</v>
      </c>
      <c r="AO963" s="18">
        <v>0</v>
      </c>
      <c r="AP963" s="17">
        <v>3</v>
      </c>
      <c r="AQ963" s="17">
        <v>11</v>
      </c>
      <c r="AR963" s="19">
        <v>482</v>
      </c>
      <c r="AS963" s="19">
        <v>486</v>
      </c>
    </row>
    <row r="964" spans="1:45" x14ac:dyDescent="0.25">
      <c r="A964">
        <v>1021</v>
      </c>
      <c r="B964" s="11">
        <f t="shared" si="15"/>
        <v>61180</v>
      </c>
      <c r="C964" s="16">
        <v>611800</v>
      </c>
      <c r="D964" s="17">
        <v>0</v>
      </c>
      <c r="E964" s="17">
        <v>1</v>
      </c>
      <c r="F964" s="17">
        <v>70</v>
      </c>
      <c r="G964" s="17">
        <v>61</v>
      </c>
      <c r="H964" s="13" t="str" cm="1">
        <f t="array" ref="H964">_xlfn.IFS(G964&lt;=20,"0-20",G964&lt;=30,"20-30",G964&lt;=40,"30-40",G964&lt;=50,"50-60",G964&lt;=60,"60-70",G964&lt;=70,"70-80",G964&lt;=80,"80-90")</f>
        <v>70-80</v>
      </c>
      <c r="I964" s="17">
        <v>2226</v>
      </c>
      <c r="J964" s="13" t="str" cm="1">
        <f t="array" ref="J964">_xlfn.IFS(K964=1,"Divorciado",L964=1,"Casado",M964=1,"Solteiro",N964=1,"Juntos",O964=1,"Viuvo")</f>
        <v>Casado</v>
      </c>
      <c r="K964" s="17">
        <v>0</v>
      </c>
      <c r="L964" s="17">
        <v>1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1</v>
      </c>
      <c r="S964" s="17">
        <v>0</v>
      </c>
      <c r="T964" s="17">
        <v>0</v>
      </c>
      <c r="U964" s="17">
        <v>403</v>
      </c>
      <c r="V964" s="13" t="str" cm="1">
        <f t="array" ref="V964">_xlfn.IFS(U964&lt;=250,"0-R$250",U964&lt;=500,"251-R$500",U964&lt;=750,"501-R$750",U964&lt;=1000,"751-R$1000",U964&lt;=1250,"1001-R$1250",U964&lt;=1500,"1251-R$1500")</f>
        <v>251-R$500</v>
      </c>
      <c r="W964" s="17">
        <v>24</v>
      </c>
      <c r="X964" s="13" t="str" cm="1">
        <f t="array" ref="X964">_xlfn.IFS(W964 = 0, "0", W964&lt;=20, "até R$20",W964&lt;=40, "21 - R$40",W964&lt;=60, "41- R$60",W964&lt;=80, "61 - R$80", W964&lt;=100, "81 - R$100",W964&lt;=120, "101 - R$120",W964&lt;=140, "121 - R$140", W964&lt;=160, "141- R$160", W964&lt;=180, "161 - R$180", W964&lt;=200, "181-R$194")</f>
        <v>21 - R$40</v>
      </c>
      <c r="Y964" s="17">
        <v>29</v>
      </c>
      <c r="Z964" s="17">
        <v>6</v>
      </c>
      <c r="AA964" s="17">
        <v>24</v>
      </c>
      <c r="AB964" s="17">
        <v>218</v>
      </c>
      <c r="AC964" s="17">
        <v>2</v>
      </c>
      <c r="AD964" s="17">
        <v>5</v>
      </c>
      <c r="AE964" s="17">
        <v>5</v>
      </c>
      <c r="AF964" s="17">
        <v>6</v>
      </c>
      <c r="AG964" s="17">
        <v>3</v>
      </c>
      <c r="AH964" s="17">
        <v>0</v>
      </c>
      <c r="AI964" s="17">
        <v>1</v>
      </c>
      <c r="AJ964" s="17">
        <v>0</v>
      </c>
      <c r="AK964" s="17">
        <v>0</v>
      </c>
      <c r="AL964" s="17">
        <v>0</v>
      </c>
      <c r="AM964" s="17">
        <v>0</v>
      </c>
      <c r="AN964" s="17">
        <v>0</v>
      </c>
      <c r="AO964" s="18">
        <v>1</v>
      </c>
      <c r="AP964" s="17">
        <v>3</v>
      </c>
      <c r="AQ964" s="17">
        <v>11</v>
      </c>
      <c r="AR964" s="19">
        <v>268</v>
      </c>
      <c r="AS964" s="19">
        <v>486</v>
      </c>
    </row>
    <row r="965" spans="1:45" x14ac:dyDescent="0.25">
      <c r="A965">
        <v>659</v>
      </c>
      <c r="B965" s="11">
        <f t="shared" si="15"/>
        <v>70337</v>
      </c>
      <c r="C965" s="16">
        <v>703370</v>
      </c>
      <c r="D965" s="17">
        <v>0</v>
      </c>
      <c r="E965" s="17">
        <v>0</v>
      </c>
      <c r="F965" s="17">
        <v>75</v>
      </c>
      <c r="G965" s="17">
        <v>41</v>
      </c>
      <c r="H965" s="13" t="str" cm="1">
        <f t="array" ref="H965">_xlfn.IFS(G965&lt;=20,"0-20",G965&lt;=30,"20-30",G965&lt;=40,"30-40",G965&lt;=50,"50-60",G965&lt;=60,"60-70",G965&lt;=70,"70-80",G965&lt;=80,"80-90")</f>
        <v>50-60</v>
      </c>
      <c r="I965" s="17">
        <v>2337</v>
      </c>
      <c r="J965" s="13" t="str" cm="1">
        <f t="array" ref="J965">_xlfn.IFS(K965=1,"Divorciado",L965=1,"Casado",M965=1,"Solteiro",N965=1,"Juntos",O965=1,"Viuvo")</f>
        <v>Solteiro</v>
      </c>
      <c r="K965" s="17">
        <v>0</v>
      </c>
      <c r="L965" s="17">
        <v>0</v>
      </c>
      <c r="M965" s="17">
        <v>1</v>
      </c>
      <c r="N965" s="17">
        <v>0</v>
      </c>
      <c r="O965" s="17">
        <v>0</v>
      </c>
      <c r="P965" s="17">
        <v>0</v>
      </c>
      <c r="Q965" s="17">
        <v>0</v>
      </c>
      <c r="R965" s="17">
        <v>1</v>
      </c>
      <c r="S965" s="17">
        <v>0</v>
      </c>
      <c r="T965" s="17">
        <v>0</v>
      </c>
      <c r="U965" s="17">
        <v>187</v>
      </c>
      <c r="V965" s="13" t="str" cm="1">
        <f t="array" ref="V965">_xlfn.IFS(U965&lt;=250,"0-R$250",U965&lt;=500,"251-R$500",U965&lt;=750,"501-R$750",U965&lt;=1000,"751-R$1000",U965&lt;=1250,"1001-R$1250",U965&lt;=1500,"1251-R$1500")</f>
        <v>0-R$250</v>
      </c>
      <c r="W965" s="17">
        <v>81</v>
      </c>
      <c r="X965" s="13" t="str" cm="1">
        <f t="array" ref="X965">_xlfn.IFS(W965 = 0, "0", W965&lt;=20, "até R$20",W965&lt;=40, "21 - R$40",W965&lt;=60, "41- R$60",W965&lt;=80, "61 - R$80", W965&lt;=100, "81 - R$100",W965&lt;=120, "101 - R$120",W965&lt;=140, "121 - R$140", W965&lt;=160, "141- R$160", W965&lt;=180, "161 - R$180", W965&lt;=200, "181-R$194")</f>
        <v>81 - R$100</v>
      </c>
      <c r="Y965" s="17">
        <v>149</v>
      </c>
      <c r="Z965" s="17">
        <v>25</v>
      </c>
      <c r="AA965" s="17">
        <v>43</v>
      </c>
      <c r="AB965" s="17">
        <v>91</v>
      </c>
      <c r="AC965" s="17">
        <v>1</v>
      </c>
      <c r="AD965" s="17">
        <v>2</v>
      </c>
      <c r="AE965" s="17">
        <v>2</v>
      </c>
      <c r="AF965" s="17">
        <v>12</v>
      </c>
      <c r="AG965" s="17">
        <v>1</v>
      </c>
      <c r="AH965" s="17">
        <v>0</v>
      </c>
      <c r="AI965" s="17">
        <v>0</v>
      </c>
      <c r="AJ965" s="17">
        <v>0</v>
      </c>
      <c r="AK965" s="17">
        <v>0</v>
      </c>
      <c r="AL965" s="17">
        <v>0</v>
      </c>
      <c r="AM965" s="17">
        <v>0</v>
      </c>
      <c r="AN965" s="17">
        <v>0</v>
      </c>
      <c r="AO965" s="18">
        <v>0</v>
      </c>
      <c r="AP965" s="17">
        <v>3</v>
      </c>
      <c r="AQ965" s="17">
        <v>11</v>
      </c>
      <c r="AR965" s="19">
        <v>394</v>
      </c>
      <c r="AS965" s="19">
        <v>485</v>
      </c>
    </row>
    <row r="966" spans="1:45" x14ac:dyDescent="0.25">
      <c r="A966">
        <v>1161</v>
      </c>
      <c r="B966" s="11">
        <f t="shared" si="15"/>
        <v>48070</v>
      </c>
      <c r="C966" s="16">
        <v>480700</v>
      </c>
      <c r="D966" s="17">
        <v>0</v>
      </c>
      <c r="E966" s="17">
        <v>1</v>
      </c>
      <c r="F966" s="17">
        <v>33</v>
      </c>
      <c r="G966" s="17">
        <v>70</v>
      </c>
      <c r="H966" s="13" t="str" cm="1">
        <f t="array" ref="H966">_xlfn.IFS(G966&lt;=20,"0-20",G966&lt;=30,"20-30",G966&lt;=40,"30-40",G966&lt;=50,"50-60",G966&lt;=60,"60-70",G966&lt;=70,"70-80",G966&lt;=80,"80-90")</f>
        <v>70-80</v>
      </c>
      <c r="I966" s="17">
        <v>2691</v>
      </c>
      <c r="J966" s="13" t="str" cm="1">
        <f t="array" ref="J966">_xlfn.IFS(K966=1,"Divorciado",L966=1,"Casado",M966=1,"Solteiro",N966=1,"Juntos",O966=1,"Viuvo")</f>
        <v>Juntos</v>
      </c>
      <c r="K966" s="17">
        <v>0</v>
      </c>
      <c r="L966" s="17">
        <v>0</v>
      </c>
      <c r="M966" s="17">
        <v>0</v>
      </c>
      <c r="N966" s="17">
        <v>1</v>
      </c>
      <c r="O966" s="17">
        <v>0</v>
      </c>
      <c r="P966" s="17">
        <v>0</v>
      </c>
      <c r="Q966" s="17">
        <v>0</v>
      </c>
      <c r="R966" s="17">
        <v>1</v>
      </c>
      <c r="S966" s="17">
        <v>0</v>
      </c>
      <c r="T966" s="17">
        <v>0</v>
      </c>
      <c r="U966" s="17">
        <v>373</v>
      </c>
      <c r="V966" s="13" t="str" cm="1">
        <f t="array" ref="V966">_xlfn.IFS(U966&lt;=250,"0-R$250",U966&lt;=500,"251-R$500",U966&lt;=750,"501-R$750",U966&lt;=1000,"751-R$1000",U966&lt;=1250,"1001-R$1250",U966&lt;=1500,"1251-R$1500")</f>
        <v>251-R$500</v>
      </c>
      <c r="W966" s="17">
        <v>14</v>
      </c>
      <c r="X966" s="13" t="str" cm="1">
        <f t="array" ref="X966">_xlfn.IFS(W966 = 0, "0", W966&lt;=20, "até R$20",W966&lt;=40, "21 - R$40",W966&lt;=60, "41- R$60",W966&lt;=80, "61 - R$80", W966&lt;=100, "81 - R$100",W966&lt;=120, "101 - R$120",W966&lt;=140, "121 - R$140", W966&lt;=160, "141- R$160", W966&lt;=180, "161 - R$180", W966&lt;=200, "181-R$194")</f>
        <v>até R$20</v>
      </c>
      <c r="Y966" s="17">
        <v>83</v>
      </c>
      <c r="Z966" s="17">
        <v>6</v>
      </c>
      <c r="AA966" s="17">
        <v>9</v>
      </c>
      <c r="AB966" s="17">
        <v>19</v>
      </c>
      <c r="AC966" s="17">
        <v>3</v>
      </c>
      <c r="AD966" s="17">
        <v>8</v>
      </c>
      <c r="AE966" s="17">
        <v>2</v>
      </c>
      <c r="AF966" s="17">
        <v>6</v>
      </c>
      <c r="AG966" s="17">
        <v>7</v>
      </c>
      <c r="AH966" s="17">
        <v>1</v>
      </c>
      <c r="AI966" s="17">
        <v>0</v>
      </c>
      <c r="AJ966" s="17">
        <v>0</v>
      </c>
      <c r="AK966" s="17">
        <v>0</v>
      </c>
      <c r="AL966" s="17">
        <v>0</v>
      </c>
      <c r="AM966" s="17">
        <v>0</v>
      </c>
      <c r="AN966" s="17">
        <v>0</v>
      </c>
      <c r="AO966" s="18">
        <v>0</v>
      </c>
      <c r="AP966" s="17">
        <v>3</v>
      </c>
      <c r="AQ966" s="17">
        <v>11</v>
      </c>
      <c r="AR966" s="19">
        <v>466</v>
      </c>
      <c r="AS966" s="19">
        <v>485</v>
      </c>
    </row>
    <row r="967" spans="1:45" x14ac:dyDescent="0.25">
      <c r="A967">
        <v>516</v>
      </c>
      <c r="B967" s="11">
        <f t="shared" si="15"/>
        <v>57954</v>
      </c>
      <c r="C967" s="12">
        <v>579540</v>
      </c>
      <c r="D967" s="13">
        <v>1</v>
      </c>
      <c r="E967" s="13">
        <v>1</v>
      </c>
      <c r="F967" s="13">
        <v>52</v>
      </c>
      <c r="G967" s="13">
        <v>43</v>
      </c>
      <c r="H967" s="13" t="str" cm="1">
        <f t="array" ref="H967">_xlfn.IFS(G967&lt;=20,"0-20",G967&lt;=30,"20-30",G967&lt;=40,"30-40",G967&lt;=50,"50-60",G967&lt;=60,"60-70",G967&lt;=70,"70-80",G967&lt;=80,"80-90")</f>
        <v>50-60</v>
      </c>
      <c r="I967" s="13">
        <v>2170</v>
      </c>
      <c r="J967" s="13" t="str" cm="1">
        <f t="array" ref="J967">_xlfn.IFS(K967=1,"Divorciado",L967=1,"Casado",M967=1,"Solteiro",N967=1,"Juntos",O967=1,"Viuvo")</f>
        <v>Juntos</v>
      </c>
      <c r="K967" s="13">
        <v>0</v>
      </c>
      <c r="L967" s="13">
        <v>0</v>
      </c>
      <c r="M967" s="13">
        <v>0</v>
      </c>
      <c r="N967" s="13">
        <v>1</v>
      </c>
      <c r="O967" s="13">
        <v>0</v>
      </c>
      <c r="P967" s="13">
        <v>0</v>
      </c>
      <c r="Q967" s="13">
        <v>0</v>
      </c>
      <c r="R967" s="13">
        <v>0</v>
      </c>
      <c r="S967" s="13">
        <v>1</v>
      </c>
      <c r="T967" s="13">
        <v>0</v>
      </c>
      <c r="U967" s="13">
        <v>456</v>
      </c>
      <c r="V967" s="13" t="str" cm="1">
        <f t="array" ref="V967">_xlfn.IFS(U967&lt;=250,"0-R$250",U967&lt;=500,"251-R$500",U967&lt;=750,"501-R$750",U967&lt;=1000,"751-R$1000",U967&lt;=1250,"1001-R$1250",U967&lt;=1500,"1251-R$1500")</f>
        <v>251-R$500</v>
      </c>
      <c r="W967" s="13">
        <v>4</v>
      </c>
      <c r="X967" s="13" t="str" cm="1">
        <f t="array" ref="X967">_xlfn.IFS(W967 = 0, "0", W967&lt;=20, "até R$20",W967&lt;=40, "21 - R$40",W967&lt;=60, "41- R$60",W967&lt;=80, "61 - R$80", W967&lt;=100, "81 - R$100",W967&lt;=120, "101 - R$120",W967&lt;=140, "121 - R$140", W967&lt;=160, "141- R$160", W967&lt;=180, "161 - R$180", W967&lt;=200, "181-R$194")</f>
        <v>até R$20</v>
      </c>
      <c r="Y967" s="13">
        <v>24</v>
      </c>
      <c r="Z967" s="13">
        <v>0</v>
      </c>
      <c r="AA967" s="13">
        <v>0</v>
      </c>
      <c r="AB967" s="13">
        <v>9</v>
      </c>
      <c r="AC967" s="13">
        <v>7</v>
      </c>
      <c r="AD967" s="13">
        <v>8</v>
      </c>
      <c r="AE967" s="13">
        <v>2</v>
      </c>
      <c r="AF967" s="13">
        <v>6</v>
      </c>
      <c r="AG967" s="13">
        <v>7</v>
      </c>
      <c r="AH967" s="13">
        <v>0</v>
      </c>
      <c r="AI967" s="13">
        <v>0</v>
      </c>
      <c r="AJ967" s="13">
        <v>1</v>
      </c>
      <c r="AK967" s="13">
        <v>0</v>
      </c>
      <c r="AL967" s="13">
        <v>0</v>
      </c>
      <c r="AM967" s="13">
        <v>0</v>
      </c>
      <c r="AN967" s="13">
        <v>0</v>
      </c>
      <c r="AO967" s="14">
        <v>1</v>
      </c>
      <c r="AP967" s="13">
        <v>3</v>
      </c>
      <c r="AQ967" s="13">
        <v>11</v>
      </c>
      <c r="AR967" s="15">
        <v>475</v>
      </c>
      <c r="AS967" s="15">
        <v>484</v>
      </c>
    </row>
    <row r="968" spans="1:45" x14ac:dyDescent="0.25">
      <c r="A968">
        <v>1834</v>
      </c>
      <c r="B968" s="11">
        <f t="shared" si="15"/>
        <v>54006</v>
      </c>
      <c r="C968" s="12">
        <v>540060</v>
      </c>
      <c r="D968" s="13">
        <v>1</v>
      </c>
      <c r="E968" s="13">
        <v>0</v>
      </c>
      <c r="F968" s="13">
        <v>42</v>
      </c>
      <c r="G968" s="13">
        <v>35</v>
      </c>
      <c r="H968" s="13" t="str" cm="1">
        <f t="array" ref="H968">_xlfn.IFS(G968&lt;=20,"0-20",G968&lt;=30,"20-30",G968&lt;=40,"30-40",G968&lt;=50,"50-60",G968&lt;=60,"60-70",G968&lt;=70,"70-80",G968&lt;=80,"80-90")</f>
        <v>30-40</v>
      </c>
      <c r="I968" s="13">
        <v>2808</v>
      </c>
      <c r="J968" s="13" t="str" cm="1">
        <f t="array" ref="J968">_xlfn.IFS(K968=1,"Divorciado",L968=1,"Casado",M968=1,"Solteiro",N968=1,"Juntos",O968=1,"Viuvo")</f>
        <v>Juntos</v>
      </c>
      <c r="K968" s="13">
        <v>0</v>
      </c>
      <c r="L968" s="13">
        <v>0</v>
      </c>
      <c r="M968" s="13">
        <v>0</v>
      </c>
      <c r="N968" s="13">
        <v>1</v>
      </c>
      <c r="O968" s="13">
        <v>0</v>
      </c>
      <c r="P968" s="13">
        <v>0</v>
      </c>
      <c r="Q968" s="13">
        <v>0</v>
      </c>
      <c r="R968" s="13">
        <v>1</v>
      </c>
      <c r="S968" s="13">
        <v>0</v>
      </c>
      <c r="T968" s="13">
        <v>0</v>
      </c>
      <c r="U968" s="13">
        <v>174</v>
      </c>
      <c r="V968" s="13" t="str" cm="1">
        <f t="array" ref="V968">_xlfn.IFS(U968&lt;=250,"0-R$250",U968&lt;=500,"251-R$500",U968&lt;=750,"501-R$750",U968&lt;=1000,"751-R$1000",U968&lt;=1250,"1001-R$1250",U968&lt;=1500,"1251-R$1500")</f>
        <v>0-R$250</v>
      </c>
      <c r="W968" s="13">
        <v>77</v>
      </c>
      <c r="X968" s="13" t="str" cm="1">
        <f t="array" ref="X968">_xlfn.IFS(W968 = 0, "0", W968&lt;=20, "até R$20",W968&lt;=40, "21 - R$40",W968&lt;=60, "41- R$60",W968&lt;=80, "61 - R$80", W968&lt;=100, "81 - R$100",W968&lt;=120, "101 - R$120",W968&lt;=140, "121 - R$140", W968&lt;=160, "141- R$160", W968&lt;=180, "161 - R$180", W968&lt;=200, "181-R$194")</f>
        <v>61 - R$80</v>
      </c>
      <c r="Y968" s="13">
        <v>203</v>
      </c>
      <c r="Z968" s="13">
        <v>6</v>
      </c>
      <c r="AA968" s="13">
        <v>24</v>
      </c>
      <c r="AB968" s="13">
        <v>97</v>
      </c>
      <c r="AC968" s="13">
        <v>2</v>
      </c>
      <c r="AD968" s="13">
        <v>8</v>
      </c>
      <c r="AE968" s="13">
        <v>1</v>
      </c>
      <c r="AF968" s="13">
        <v>7</v>
      </c>
      <c r="AG968" s="13">
        <v>7</v>
      </c>
      <c r="AH968" s="13">
        <v>0</v>
      </c>
      <c r="AI968" s="13">
        <v>0</v>
      </c>
      <c r="AJ968" s="13">
        <v>0</v>
      </c>
      <c r="AK968" s="13">
        <v>0</v>
      </c>
      <c r="AL968" s="13">
        <v>0</v>
      </c>
      <c r="AM968" s="13">
        <v>0</v>
      </c>
      <c r="AN968" s="13">
        <v>0</v>
      </c>
      <c r="AO968" s="14">
        <v>0</v>
      </c>
      <c r="AP968" s="13">
        <v>3</v>
      </c>
      <c r="AQ968" s="13">
        <v>11</v>
      </c>
      <c r="AR968" s="15">
        <v>387</v>
      </c>
      <c r="AS968" s="15">
        <v>484</v>
      </c>
    </row>
    <row r="969" spans="1:45" x14ac:dyDescent="0.25">
      <c r="A969">
        <v>1555</v>
      </c>
      <c r="B969" s="11">
        <f t="shared" si="15"/>
        <v>60482</v>
      </c>
      <c r="C969" s="16">
        <v>604820</v>
      </c>
      <c r="D969" s="17">
        <v>0</v>
      </c>
      <c r="E969" s="17">
        <v>1</v>
      </c>
      <c r="F969" s="17">
        <v>81</v>
      </c>
      <c r="G969" s="17">
        <v>44</v>
      </c>
      <c r="H969" s="13" t="str" cm="1">
        <f t="array" ref="H969">_xlfn.IFS(G969&lt;=20,"0-20",G969&lt;=30,"20-30",G969&lt;=40,"30-40",G969&lt;=50,"50-60",G969&lt;=60,"60-70",G969&lt;=70,"70-80",G969&lt;=80,"80-90")</f>
        <v>50-60</v>
      </c>
      <c r="I969" s="17">
        <v>2681</v>
      </c>
      <c r="J969" s="13" t="str" cm="1">
        <f t="array" ref="J969">_xlfn.IFS(K969=1,"Divorciado",L969=1,"Casado",M969=1,"Solteiro",N969=1,"Juntos",O969=1,"Viuvo")</f>
        <v>Solteiro</v>
      </c>
      <c r="K969" s="17">
        <v>0</v>
      </c>
      <c r="L969" s="17">
        <v>0</v>
      </c>
      <c r="M969" s="17">
        <v>1</v>
      </c>
      <c r="N969" s="17">
        <v>0</v>
      </c>
      <c r="O969" s="17">
        <v>0</v>
      </c>
      <c r="P969" s="17">
        <v>0</v>
      </c>
      <c r="Q969" s="17">
        <v>0</v>
      </c>
      <c r="R969" s="17">
        <v>0</v>
      </c>
      <c r="S969" s="17">
        <v>1</v>
      </c>
      <c r="T969" s="17">
        <v>0</v>
      </c>
      <c r="U969" s="17">
        <v>255</v>
      </c>
      <c r="V969" s="13" t="str" cm="1">
        <f t="array" ref="V969">_xlfn.IFS(U969&lt;=250,"0-R$250",U969&lt;=500,"251-R$500",U969&lt;=750,"501-R$750",U969&lt;=1000,"751-R$1000",U969&lt;=1250,"1001-R$1250",U969&lt;=1500,"1251-R$1500")</f>
        <v>251-R$500</v>
      </c>
      <c r="W969" s="17">
        <v>43</v>
      </c>
      <c r="X969" s="13" t="str" cm="1">
        <f t="array" ref="X969">_xlfn.IFS(W969 = 0, "0", W969&lt;=20, "até R$20",W969&lt;=40, "21 - R$40",W969&lt;=60, "41- R$60",W969&lt;=80, "61 - R$80", W969&lt;=100, "81 - R$100",W969&lt;=120, "101 - R$120",W969&lt;=140, "121 - R$140", W969&lt;=160, "141- R$160", W969&lt;=180, "161 - R$180", W969&lt;=200, "181-R$194")</f>
        <v>41- R$60</v>
      </c>
      <c r="Y969" s="17">
        <v>134</v>
      </c>
      <c r="Z969" s="17">
        <v>37</v>
      </c>
      <c r="AA969" s="17">
        <v>14</v>
      </c>
      <c r="AB969" s="17">
        <v>24</v>
      </c>
      <c r="AC969" s="17">
        <v>1</v>
      </c>
      <c r="AD969" s="17">
        <v>7</v>
      </c>
      <c r="AE969" s="17">
        <v>2</v>
      </c>
      <c r="AF969" s="17">
        <v>7</v>
      </c>
      <c r="AG969" s="17">
        <v>7</v>
      </c>
      <c r="AH969" s="17">
        <v>0</v>
      </c>
      <c r="AI969" s="17">
        <v>0</v>
      </c>
      <c r="AJ969" s="17">
        <v>0</v>
      </c>
      <c r="AK969" s="17">
        <v>0</v>
      </c>
      <c r="AL969" s="17">
        <v>0</v>
      </c>
      <c r="AM969" s="17">
        <v>0</v>
      </c>
      <c r="AN969" s="17">
        <v>0</v>
      </c>
      <c r="AO969" s="18">
        <v>0</v>
      </c>
      <c r="AP969" s="17">
        <v>3</v>
      </c>
      <c r="AQ969" s="17">
        <v>11</v>
      </c>
      <c r="AR969" s="19">
        <v>459</v>
      </c>
      <c r="AS969" s="19">
        <v>483</v>
      </c>
    </row>
    <row r="970" spans="1:45" x14ac:dyDescent="0.25">
      <c r="A970">
        <v>106</v>
      </c>
      <c r="B970" s="11">
        <f t="shared" si="15"/>
        <v>43974</v>
      </c>
      <c r="C970" s="12">
        <v>439740</v>
      </c>
      <c r="D970" s="13">
        <v>1</v>
      </c>
      <c r="E970" s="13">
        <v>0</v>
      </c>
      <c r="F970" s="13">
        <v>19</v>
      </c>
      <c r="G970" s="13">
        <v>40</v>
      </c>
      <c r="H970" s="13" t="str" cm="1">
        <f t="array" ref="H970">_xlfn.IFS(G970&lt;=20,"0-20",G970&lt;=30,"20-30",G970&lt;=40,"30-40",G970&lt;=50,"50-60",G970&lt;=60,"60-70",G970&lt;=70,"70-80",G970&lt;=80,"80-90")</f>
        <v>30-40</v>
      </c>
      <c r="I970" s="13">
        <v>2723</v>
      </c>
      <c r="J970" s="13" t="str" cm="1">
        <f t="array" ref="J970">_xlfn.IFS(K970=1,"Divorciado",L970=1,"Casado",M970=1,"Solteiro",N970=1,"Juntos",O970=1,"Viuvo")</f>
        <v>Casado</v>
      </c>
      <c r="K970" s="13">
        <v>0</v>
      </c>
      <c r="L970" s="13">
        <v>1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1</v>
      </c>
      <c r="U970" s="13">
        <v>378</v>
      </c>
      <c r="V970" s="13" t="str" cm="1">
        <f t="array" ref="V970">_xlfn.IFS(U970&lt;=250,"0-R$250",U970&lt;=500,"251-R$500",U970&lt;=750,"501-R$750",U970&lt;=1000,"751-R$1000",U970&lt;=1250,"1001-R$1250",U970&lt;=1500,"1251-R$1500")</f>
        <v>251-R$500</v>
      </c>
      <c r="W970" s="13">
        <v>0</v>
      </c>
      <c r="X970" s="13" t="str" cm="1">
        <f t="array" ref="X970">_xlfn.IFS(W970 = 0, "0", W970&lt;=20, "até R$20",W970&lt;=40, "21 - R$40",W970&lt;=60, "41- R$60",W970&lt;=80, "61 - R$80", W970&lt;=100, "81 - R$100",W970&lt;=120, "101 - R$120",W970&lt;=140, "121 - R$140", W970&lt;=160, "141- R$160", W970&lt;=180, "161 - R$180", W970&lt;=200, "181-R$194")</f>
        <v>0</v>
      </c>
      <c r="Y970" s="13">
        <v>101</v>
      </c>
      <c r="Z970" s="13">
        <v>0</v>
      </c>
      <c r="AA970" s="13">
        <v>0</v>
      </c>
      <c r="AB970" s="13">
        <v>72</v>
      </c>
      <c r="AC970" s="13">
        <v>5</v>
      </c>
      <c r="AD970" s="13">
        <v>6</v>
      </c>
      <c r="AE970" s="13">
        <v>4</v>
      </c>
      <c r="AF970" s="13">
        <v>6</v>
      </c>
      <c r="AG970" s="13">
        <v>7</v>
      </c>
      <c r="AH970" s="13">
        <v>0</v>
      </c>
      <c r="AI970" s="13">
        <v>0</v>
      </c>
      <c r="AJ970" s="13">
        <v>0</v>
      </c>
      <c r="AK970" s="13">
        <v>0</v>
      </c>
      <c r="AL970" s="13">
        <v>0</v>
      </c>
      <c r="AM970" s="13">
        <v>0</v>
      </c>
      <c r="AN970" s="13">
        <v>0</v>
      </c>
      <c r="AO970" s="14">
        <v>0</v>
      </c>
      <c r="AP970" s="13">
        <v>3</v>
      </c>
      <c r="AQ970" s="13">
        <v>11</v>
      </c>
      <c r="AR970" s="15">
        <v>407</v>
      </c>
      <c r="AS970" s="15">
        <v>479</v>
      </c>
    </row>
    <row r="971" spans="1:45" x14ac:dyDescent="0.25">
      <c r="A971">
        <v>55</v>
      </c>
      <c r="B971" s="11">
        <f t="shared" si="15"/>
        <v>55954</v>
      </c>
      <c r="C971" s="16">
        <v>559540</v>
      </c>
      <c r="D971" s="17">
        <v>0</v>
      </c>
      <c r="E971" s="17">
        <v>1</v>
      </c>
      <c r="F971" s="17">
        <v>63</v>
      </c>
      <c r="G971" s="17">
        <v>52</v>
      </c>
      <c r="H971" s="13" t="str" cm="1">
        <f t="array" ref="H971">_xlfn.IFS(G971&lt;=20,"0-20",G971&lt;=30,"20-30",G971&lt;=40,"30-40",G971&lt;=50,"50-60",G971&lt;=60,"60-70",G971&lt;=70,"70-80",G971&lt;=80,"80-90")</f>
        <v>60-70</v>
      </c>
      <c r="I971" s="17">
        <v>2277</v>
      </c>
      <c r="J971" s="13" t="str" cm="1">
        <f t="array" ref="J971">_xlfn.IFS(K971=1,"Divorciado",L971=1,"Casado",M971=1,"Solteiro",N971=1,"Juntos",O971=1,"Viuvo")</f>
        <v>Casado</v>
      </c>
      <c r="K971" s="17">
        <v>0</v>
      </c>
      <c r="L971" s="17">
        <v>1</v>
      </c>
      <c r="M971" s="17">
        <v>0</v>
      </c>
      <c r="N971" s="17">
        <v>0</v>
      </c>
      <c r="O971" s="17">
        <v>0</v>
      </c>
      <c r="P971" s="17">
        <v>0</v>
      </c>
      <c r="Q971" s="17">
        <v>0</v>
      </c>
      <c r="R971" s="17">
        <v>0</v>
      </c>
      <c r="S971" s="17">
        <v>0</v>
      </c>
      <c r="T971" s="17">
        <v>1</v>
      </c>
      <c r="U971" s="17">
        <v>447</v>
      </c>
      <c r="V971" s="13" t="str" cm="1">
        <f t="array" ref="V971">_xlfn.IFS(U971&lt;=250,"0-R$250",U971&lt;=500,"251-R$500",U971&lt;=750,"501-R$750",U971&lt;=1000,"751-R$1000",U971&lt;=1250,"1001-R$1250",U971&lt;=1500,"1251-R$1500")</f>
        <v>251-R$500</v>
      </c>
      <c r="W971" s="17">
        <v>0</v>
      </c>
      <c r="X971" s="13" t="str" cm="1">
        <f t="array" ref="X971">_xlfn.IFS(W971 = 0, "0", W971&lt;=20, "até R$20",W971&lt;=40, "21 - R$40",W971&lt;=60, "41- R$60",W971&lt;=80, "61 - R$80", W971&lt;=100, "81 - R$100",W971&lt;=120, "101 - R$120",W971&lt;=140, "121 - R$140", W971&lt;=160, "141- R$160", W971&lt;=180, "161 - R$180", W971&lt;=200, "181-R$194")</f>
        <v>0</v>
      </c>
      <c r="Y971" s="17">
        <v>28</v>
      </c>
      <c r="Z971" s="17">
        <v>0</v>
      </c>
      <c r="AA971" s="17">
        <v>0</v>
      </c>
      <c r="AB971" s="17">
        <v>43</v>
      </c>
      <c r="AC971" s="17">
        <v>3</v>
      </c>
      <c r="AD971" s="17">
        <v>8</v>
      </c>
      <c r="AE971" s="17">
        <v>2</v>
      </c>
      <c r="AF971" s="17">
        <v>6</v>
      </c>
      <c r="AG971" s="17">
        <v>7</v>
      </c>
      <c r="AH971" s="17">
        <v>0</v>
      </c>
      <c r="AI971" s="17">
        <v>0</v>
      </c>
      <c r="AJ971" s="17">
        <v>0</v>
      </c>
      <c r="AK971" s="17">
        <v>0</v>
      </c>
      <c r="AL971" s="17">
        <v>0</v>
      </c>
      <c r="AM971" s="17">
        <v>0</v>
      </c>
      <c r="AN971" s="17">
        <v>0</v>
      </c>
      <c r="AO971" s="18">
        <v>0</v>
      </c>
      <c r="AP971" s="17">
        <v>3</v>
      </c>
      <c r="AQ971" s="17">
        <v>11</v>
      </c>
      <c r="AR971" s="19">
        <v>432</v>
      </c>
      <c r="AS971" s="19">
        <v>475</v>
      </c>
    </row>
    <row r="972" spans="1:45" x14ac:dyDescent="0.25">
      <c r="A972">
        <v>514</v>
      </c>
      <c r="B972" s="11">
        <f t="shared" si="15"/>
        <v>47682</v>
      </c>
      <c r="C972" s="12">
        <v>476820</v>
      </c>
      <c r="D972" s="13">
        <v>0</v>
      </c>
      <c r="E972" s="13">
        <v>1</v>
      </c>
      <c r="F972" s="13">
        <v>80</v>
      </c>
      <c r="G972" s="13">
        <v>45</v>
      </c>
      <c r="H972" s="13" t="str" cm="1">
        <f t="array" ref="H972">_xlfn.IFS(G972&lt;=20,"0-20",G972&lt;=30,"20-30",G972&lt;=40,"30-40",G972&lt;=50,"50-60",G972&lt;=60,"60-70",G972&lt;=70,"70-80",G972&lt;=80,"80-90")</f>
        <v>50-60</v>
      </c>
      <c r="I972" s="13">
        <v>2658</v>
      </c>
      <c r="J972" s="13" t="str" cm="1">
        <f t="array" ref="J972">_xlfn.IFS(K972=1,"Divorciado",L972=1,"Casado",M972=1,"Solteiro",N972=1,"Juntos",O972=1,"Viuvo")</f>
        <v>Viuvo</v>
      </c>
      <c r="K972" s="13">
        <v>0</v>
      </c>
      <c r="L972" s="13">
        <v>0</v>
      </c>
      <c r="M972" s="13">
        <v>0</v>
      </c>
      <c r="N972" s="13">
        <v>0</v>
      </c>
      <c r="O972" s="13">
        <v>1</v>
      </c>
      <c r="P972" s="13">
        <v>1</v>
      </c>
      <c r="Q972" s="13">
        <v>0</v>
      </c>
      <c r="R972" s="13">
        <v>0</v>
      </c>
      <c r="S972" s="13">
        <v>0</v>
      </c>
      <c r="T972" s="13">
        <v>0</v>
      </c>
      <c r="U972" s="13">
        <v>162</v>
      </c>
      <c r="V972" s="13" t="str" cm="1">
        <f t="array" ref="V972">_xlfn.IFS(U972&lt;=250,"0-R$250",U972&lt;=500,"251-R$500",U972&lt;=750,"501-R$750",U972&lt;=1000,"751-R$1000",U972&lt;=1250,"1001-R$1250",U972&lt;=1500,"1251-R$1500")</f>
        <v>0-R$250</v>
      </c>
      <c r="W972" s="13">
        <v>61</v>
      </c>
      <c r="X972" s="13" t="str" cm="1">
        <f t="array" ref="X972">_xlfn.IFS(W972 = 0, "0", W972&lt;=20, "até R$20",W972&lt;=40, "21 - R$40",W972&lt;=60, "41- R$60",W972&lt;=80, "61 - R$80", W972&lt;=100, "81 - R$100",W972&lt;=120, "101 - R$120",W972&lt;=140, "121 - R$140", W972&lt;=160, "141- R$160", W972&lt;=180, "161 - R$180", W972&lt;=200, "181-R$194")</f>
        <v>61 - R$80</v>
      </c>
      <c r="Y972" s="13">
        <v>83</v>
      </c>
      <c r="Z972" s="13">
        <v>97</v>
      </c>
      <c r="AA972" s="13">
        <v>57</v>
      </c>
      <c r="AB972" s="13">
        <v>61</v>
      </c>
      <c r="AC972" s="13">
        <v>4</v>
      </c>
      <c r="AD972" s="13">
        <v>4</v>
      </c>
      <c r="AE972" s="13">
        <v>3</v>
      </c>
      <c r="AF972" s="13">
        <v>8</v>
      </c>
      <c r="AG972" s="13">
        <v>5</v>
      </c>
      <c r="AH972" s="13">
        <v>0</v>
      </c>
      <c r="AI972" s="13">
        <v>0</v>
      </c>
      <c r="AJ972" s="13">
        <v>0</v>
      </c>
      <c r="AK972" s="13">
        <v>0</v>
      </c>
      <c r="AL972" s="13">
        <v>0</v>
      </c>
      <c r="AM972" s="13">
        <v>0</v>
      </c>
      <c r="AN972" s="13">
        <v>0</v>
      </c>
      <c r="AO972" s="14">
        <v>0</v>
      </c>
      <c r="AP972" s="13">
        <v>3</v>
      </c>
      <c r="AQ972" s="13">
        <v>11</v>
      </c>
      <c r="AR972" s="15">
        <v>399</v>
      </c>
      <c r="AS972" s="15">
        <v>460</v>
      </c>
    </row>
    <row r="973" spans="1:45" x14ac:dyDescent="0.25">
      <c r="A973">
        <v>954</v>
      </c>
      <c r="B973" s="11">
        <f t="shared" si="15"/>
        <v>59052</v>
      </c>
      <c r="C973" s="12">
        <v>590520</v>
      </c>
      <c r="D973" s="13">
        <v>0</v>
      </c>
      <c r="E973" s="13">
        <v>1</v>
      </c>
      <c r="F973" s="13">
        <v>29</v>
      </c>
      <c r="G973" s="13">
        <v>61</v>
      </c>
      <c r="H973" s="13" t="str" cm="1">
        <f t="array" ref="H973">_xlfn.IFS(G973&lt;=20,"0-20",G973&lt;=30,"20-30",G973&lt;=40,"30-40",G973&lt;=50,"50-60",G973&lt;=60,"60-70",G973&lt;=70,"70-80",G973&lt;=80,"80-90")</f>
        <v>70-80</v>
      </c>
      <c r="I973" s="13">
        <v>2383</v>
      </c>
      <c r="J973" s="13" t="str" cm="1">
        <f t="array" ref="J973">_xlfn.IFS(K973=1,"Divorciado",L973=1,"Casado",M973=1,"Solteiro",N973=1,"Juntos",O973=1,"Viuvo")</f>
        <v>Divorciado</v>
      </c>
      <c r="K973" s="13">
        <v>1</v>
      </c>
      <c r="L973" s="13">
        <v>0</v>
      </c>
      <c r="M973" s="13">
        <v>0</v>
      </c>
      <c r="N973" s="13">
        <v>0</v>
      </c>
      <c r="O973" s="13">
        <v>0</v>
      </c>
      <c r="P973" s="13">
        <v>1</v>
      </c>
      <c r="Q973" s="13">
        <v>0</v>
      </c>
      <c r="R973" s="13">
        <v>0</v>
      </c>
      <c r="S973" s="13">
        <v>0</v>
      </c>
      <c r="T973" s="13">
        <v>0</v>
      </c>
      <c r="U973" s="13">
        <v>230</v>
      </c>
      <c r="V973" s="13" t="str" cm="1">
        <f t="array" ref="V973">_xlfn.IFS(U973&lt;=250,"0-R$250",U973&lt;=500,"251-R$500",U973&lt;=750,"501-R$750",U973&lt;=1000,"751-R$1000",U973&lt;=1250,"1001-R$1250",U973&lt;=1500,"1251-R$1500")</f>
        <v>0-R$250</v>
      </c>
      <c r="W973" s="13">
        <v>35</v>
      </c>
      <c r="X973" s="13" t="str" cm="1">
        <f t="array" ref="X973">_xlfn.IFS(W973 = 0, "0", W973&lt;=20, "até R$20",W973&lt;=40, "21 - R$40",W973&lt;=60, "41- R$60",W973&lt;=80, "61 - R$80", W973&lt;=100, "81 - R$100",W973&lt;=120, "101 - R$120",W973&lt;=140, "121 - R$140", W973&lt;=160, "141- R$160", W973&lt;=180, "161 - R$180", W973&lt;=200, "181-R$194")</f>
        <v>21 - R$40</v>
      </c>
      <c r="Y973" s="13">
        <v>75</v>
      </c>
      <c r="Z973" s="13">
        <v>63</v>
      </c>
      <c r="AA973" s="13">
        <v>57</v>
      </c>
      <c r="AB973" s="13">
        <v>31</v>
      </c>
      <c r="AC973" s="13">
        <v>3</v>
      </c>
      <c r="AD973" s="13">
        <v>7</v>
      </c>
      <c r="AE973" s="13">
        <v>1</v>
      </c>
      <c r="AF973" s="13">
        <v>7</v>
      </c>
      <c r="AG973" s="13">
        <v>5</v>
      </c>
      <c r="AH973" s="13">
        <v>0</v>
      </c>
      <c r="AI973" s="13">
        <v>0</v>
      </c>
      <c r="AJ973" s="13">
        <v>0</v>
      </c>
      <c r="AK973" s="13">
        <v>0</v>
      </c>
      <c r="AL973" s="13">
        <v>0</v>
      </c>
      <c r="AM973" s="13">
        <v>0</v>
      </c>
      <c r="AN973" s="13">
        <v>0</v>
      </c>
      <c r="AO973" s="14">
        <v>0</v>
      </c>
      <c r="AP973" s="13">
        <v>3</v>
      </c>
      <c r="AQ973" s="13">
        <v>11</v>
      </c>
      <c r="AR973" s="15">
        <v>429</v>
      </c>
      <c r="AS973" s="15">
        <v>460</v>
      </c>
    </row>
    <row r="974" spans="1:45" x14ac:dyDescent="0.25">
      <c r="A974">
        <v>1430</v>
      </c>
      <c r="B974" s="11">
        <f t="shared" si="15"/>
        <v>32727</v>
      </c>
      <c r="C974" s="12">
        <v>327270</v>
      </c>
      <c r="D974" s="13">
        <v>0</v>
      </c>
      <c r="E974" s="13">
        <v>0</v>
      </c>
      <c r="F974" s="13">
        <v>38</v>
      </c>
      <c r="G974" s="13">
        <v>55</v>
      </c>
      <c r="H974" s="13" t="str" cm="1">
        <f t="array" ref="H974">_xlfn.IFS(G974&lt;=20,"0-20",G974&lt;=30,"20-30",G974&lt;=40,"30-40",G974&lt;=50,"50-60",G974&lt;=60,"60-70",G974&lt;=70,"70-80",G974&lt;=80,"80-90")</f>
        <v>60-70</v>
      </c>
      <c r="I974" s="13">
        <v>2829</v>
      </c>
      <c r="J974" s="13" t="str" cm="1">
        <f t="array" ref="J974">_xlfn.IFS(K974=1,"Divorciado",L974=1,"Casado",M974=1,"Solteiro",N974=1,"Juntos",O974=1,"Viuvo")</f>
        <v>Juntos</v>
      </c>
      <c r="K974" s="13">
        <v>0</v>
      </c>
      <c r="L974" s="13">
        <v>0</v>
      </c>
      <c r="M974" s="13">
        <v>0</v>
      </c>
      <c r="N974" s="13">
        <v>1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1</v>
      </c>
      <c r="U974" s="13">
        <v>167</v>
      </c>
      <c r="V974" s="13" t="str" cm="1">
        <f t="array" ref="V974">_xlfn.IFS(U974&lt;=250,"0-R$250",U974&lt;=500,"251-R$500",U974&lt;=750,"501-R$750",U974&lt;=1000,"751-R$1000",U974&lt;=1250,"1001-R$1250",U974&lt;=1500,"1251-R$1500")</f>
        <v>0-R$250</v>
      </c>
      <c r="W974" s="13">
        <v>13</v>
      </c>
      <c r="X974" s="13" t="str" cm="1">
        <f t="array" ref="X974">_xlfn.IFS(W974 = 0, "0", W974&lt;=20, "até R$20",W974&lt;=40, "21 - R$40",W974&lt;=60, "41- R$60",W974&lt;=80, "61 - R$80", W974&lt;=100, "81 - R$100",W974&lt;=120, "101 - R$120",W974&lt;=140, "121 - R$140", W974&lt;=160, "141- R$160", W974&lt;=180, "161 - R$180", W974&lt;=200, "181-R$194")</f>
        <v>até R$20</v>
      </c>
      <c r="Y974" s="13">
        <v>180</v>
      </c>
      <c r="Z974" s="13">
        <v>86</v>
      </c>
      <c r="AA974" s="13">
        <v>13</v>
      </c>
      <c r="AB974" s="13">
        <v>70</v>
      </c>
      <c r="AC974" s="13">
        <v>2</v>
      </c>
      <c r="AD974" s="13">
        <v>7</v>
      </c>
      <c r="AE974" s="13">
        <v>3</v>
      </c>
      <c r="AF974" s="13">
        <v>5</v>
      </c>
      <c r="AG974" s="13">
        <v>8</v>
      </c>
      <c r="AH974" s="13">
        <v>0</v>
      </c>
      <c r="AI974" s="13">
        <v>0</v>
      </c>
      <c r="AJ974" s="13">
        <v>0</v>
      </c>
      <c r="AK974" s="13">
        <v>0</v>
      </c>
      <c r="AL974" s="13">
        <v>0</v>
      </c>
      <c r="AM974" s="13">
        <v>0</v>
      </c>
      <c r="AN974" s="13">
        <v>0</v>
      </c>
      <c r="AO974" s="14">
        <v>0</v>
      </c>
      <c r="AP974" s="13">
        <v>3</v>
      </c>
      <c r="AQ974" s="13">
        <v>11</v>
      </c>
      <c r="AR974" s="15">
        <v>389</v>
      </c>
      <c r="AS974" s="15">
        <v>459</v>
      </c>
    </row>
    <row r="975" spans="1:45" x14ac:dyDescent="0.25">
      <c r="A975">
        <v>109</v>
      </c>
      <c r="B975" s="11">
        <f t="shared" si="15"/>
        <v>36550</v>
      </c>
      <c r="C975" s="16">
        <v>365500</v>
      </c>
      <c r="D975" s="17">
        <v>1</v>
      </c>
      <c r="E975" s="17">
        <v>0</v>
      </c>
      <c r="F975" s="17">
        <v>74</v>
      </c>
      <c r="G975" s="17">
        <v>42</v>
      </c>
      <c r="H975" s="13" t="str" cm="1">
        <f t="array" ref="H975">_xlfn.IFS(G975&lt;=20,"0-20",G975&lt;=30,"20-30",G975&lt;=40,"30-40",G975&lt;=50,"50-60",G975&lt;=60,"60-70",G975&lt;=70,"70-80",G975&lt;=80,"80-90")</f>
        <v>50-60</v>
      </c>
      <c r="I975" s="17">
        <v>2654</v>
      </c>
      <c r="J975" s="13" t="str" cm="1">
        <f t="array" ref="J975">_xlfn.IFS(K975=1,"Divorciado",L975=1,"Casado",M975=1,"Solteiro",N975=1,"Juntos",O975=1,"Viuvo")</f>
        <v>Casado</v>
      </c>
      <c r="K975" s="17">
        <v>0</v>
      </c>
      <c r="L975" s="17">
        <v>1</v>
      </c>
      <c r="M975" s="17">
        <v>0</v>
      </c>
      <c r="N975" s="17">
        <v>0</v>
      </c>
      <c r="O975" s="17">
        <v>0</v>
      </c>
      <c r="P975" s="17">
        <v>1</v>
      </c>
      <c r="Q975" s="17">
        <v>0</v>
      </c>
      <c r="R975" s="17">
        <v>0</v>
      </c>
      <c r="S975" s="17">
        <v>0</v>
      </c>
      <c r="T975" s="17">
        <v>0</v>
      </c>
      <c r="U975" s="17">
        <v>47</v>
      </c>
      <c r="V975" s="13" t="str" cm="1">
        <f t="array" ref="V975">_xlfn.IFS(U975&lt;=250,"0-R$250",U975&lt;=500,"251-R$500",U975&lt;=750,"501-R$750",U975&lt;=1000,"751-R$1000",U975&lt;=1250,"1001-R$1250",U975&lt;=1500,"1251-R$1500")</f>
        <v>0-R$250</v>
      </c>
      <c r="W975" s="17">
        <v>90</v>
      </c>
      <c r="X975" s="13" t="str" cm="1">
        <f t="array" ref="X975">_xlfn.IFS(W975 = 0, "0", W975&lt;=20, "até R$20",W975&lt;=40, "21 - R$40",W975&lt;=60, "41- R$60",W975&lt;=80, "61 - R$80", W975&lt;=100, "81 - R$100",W975&lt;=120, "101 - R$120",W975&lt;=140, "121 - R$140", W975&lt;=160, "141- R$160", W975&lt;=180, "161 - R$180", W975&lt;=200, "181-R$194")</f>
        <v>81 - R$100</v>
      </c>
      <c r="Y975" s="17">
        <v>94</v>
      </c>
      <c r="Z975" s="17">
        <v>123</v>
      </c>
      <c r="AA975" s="17">
        <v>103</v>
      </c>
      <c r="AB975" s="17">
        <v>120</v>
      </c>
      <c r="AC975" s="17">
        <v>5</v>
      </c>
      <c r="AD975" s="17">
        <v>9</v>
      </c>
      <c r="AE975" s="17">
        <v>1</v>
      </c>
      <c r="AF975" s="17">
        <v>5</v>
      </c>
      <c r="AG975" s="17">
        <v>9</v>
      </c>
      <c r="AH975" s="17">
        <v>0</v>
      </c>
      <c r="AI975" s="17">
        <v>0</v>
      </c>
      <c r="AJ975" s="17">
        <v>0</v>
      </c>
      <c r="AK975" s="17">
        <v>0</v>
      </c>
      <c r="AL975" s="17">
        <v>0</v>
      </c>
      <c r="AM975" s="17">
        <v>0</v>
      </c>
      <c r="AN975" s="17">
        <v>0</v>
      </c>
      <c r="AO975" s="18">
        <v>0</v>
      </c>
      <c r="AP975" s="17">
        <v>3</v>
      </c>
      <c r="AQ975" s="17">
        <v>11</v>
      </c>
      <c r="AR975" s="19">
        <v>337</v>
      </c>
      <c r="AS975" s="19">
        <v>457</v>
      </c>
    </row>
    <row r="976" spans="1:45" x14ac:dyDescent="0.25">
      <c r="A976">
        <v>632</v>
      </c>
      <c r="B976" s="11">
        <f t="shared" si="15"/>
        <v>66886</v>
      </c>
      <c r="C976" s="12">
        <v>668860</v>
      </c>
      <c r="D976" s="13">
        <v>0</v>
      </c>
      <c r="E976" s="13">
        <v>1</v>
      </c>
      <c r="F976" s="13">
        <v>28</v>
      </c>
      <c r="G976" s="13">
        <v>62</v>
      </c>
      <c r="H976" s="13" t="str" cm="1">
        <f t="array" ref="H976">_xlfn.IFS(G976&lt;=20,"0-20",G976&lt;=30,"20-30",G976&lt;=40,"30-40",G976&lt;=50,"50-60",G976&lt;=60,"60-70",G976&lt;=70,"70-80",G976&lt;=80,"80-90")</f>
        <v>70-80</v>
      </c>
      <c r="I976" s="13">
        <v>2445</v>
      </c>
      <c r="J976" s="13" t="str" cm="1">
        <f t="array" ref="J976">_xlfn.IFS(K976=1,"Divorciado",L976=1,"Casado",M976=1,"Solteiro",N976=1,"Juntos",O976=1,"Viuvo")</f>
        <v>Juntos</v>
      </c>
      <c r="K976" s="13">
        <v>0</v>
      </c>
      <c r="L976" s="13">
        <v>0</v>
      </c>
      <c r="M976" s="13">
        <v>0</v>
      </c>
      <c r="N976" s="13">
        <v>1</v>
      </c>
      <c r="O976" s="13">
        <v>0</v>
      </c>
      <c r="P976" s="13">
        <v>0</v>
      </c>
      <c r="Q976" s="13">
        <v>0</v>
      </c>
      <c r="R976" s="13">
        <v>1</v>
      </c>
      <c r="S976" s="13">
        <v>0</v>
      </c>
      <c r="T976" s="13">
        <v>0</v>
      </c>
      <c r="U976" s="13">
        <v>315</v>
      </c>
      <c r="V976" s="13" t="str" cm="1">
        <f t="array" ref="V976">_xlfn.IFS(U976&lt;=250,"0-R$250",U976&lt;=500,"251-R$500",U976&lt;=750,"501-R$750",U976&lt;=1000,"751-R$1000",U976&lt;=1250,"1001-R$1250",U976&lt;=1500,"1251-R$1500")</f>
        <v>251-R$500</v>
      </c>
      <c r="W976" s="13">
        <v>4</v>
      </c>
      <c r="X976" s="13" t="str" cm="1">
        <f t="array" ref="X976">_xlfn.IFS(W976 = 0, "0", W976&lt;=20, "até R$20",W976&lt;=40, "21 - R$40",W976&lt;=60, "41- R$60",W976&lt;=80, "61 - R$80", W976&lt;=100, "81 - R$100",W976&lt;=120, "101 - R$120",W976&lt;=140, "121 - R$140", W976&lt;=160, "141- R$160", W976&lt;=180, "161 - R$180", W976&lt;=200, "181-R$194")</f>
        <v>até R$20</v>
      </c>
      <c r="Y976" s="13">
        <v>62</v>
      </c>
      <c r="Z976" s="13">
        <v>41</v>
      </c>
      <c r="AA976" s="13">
        <v>31</v>
      </c>
      <c r="AB976" s="13">
        <v>146</v>
      </c>
      <c r="AC976" s="13">
        <v>2</v>
      </c>
      <c r="AD976" s="13">
        <v>7</v>
      </c>
      <c r="AE976" s="13">
        <v>1</v>
      </c>
      <c r="AF976" s="13">
        <v>7</v>
      </c>
      <c r="AG976" s="13">
        <v>5</v>
      </c>
      <c r="AH976" s="13">
        <v>0</v>
      </c>
      <c r="AI976" s="13">
        <v>0</v>
      </c>
      <c r="AJ976" s="13">
        <v>0</v>
      </c>
      <c r="AK976" s="13">
        <v>0</v>
      </c>
      <c r="AL976" s="13">
        <v>0</v>
      </c>
      <c r="AM976" s="13">
        <v>0</v>
      </c>
      <c r="AN976" s="13">
        <v>0</v>
      </c>
      <c r="AO976" s="14">
        <v>0</v>
      </c>
      <c r="AP976" s="13">
        <v>3</v>
      </c>
      <c r="AQ976" s="13">
        <v>11</v>
      </c>
      <c r="AR976" s="15">
        <v>307</v>
      </c>
      <c r="AS976" s="15">
        <v>453</v>
      </c>
    </row>
    <row r="977" spans="1:45" x14ac:dyDescent="0.25">
      <c r="A977">
        <v>1972</v>
      </c>
      <c r="B977" s="11">
        <f t="shared" si="15"/>
        <v>56559</v>
      </c>
      <c r="C977" s="12">
        <v>565590</v>
      </c>
      <c r="D977" s="13">
        <v>0</v>
      </c>
      <c r="E977" s="13">
        <v>1</v>
      </c>
      <c r="F977" s="13">
        <v>46</v>
      </c>
      <c r="G977" s="13">
        <v>45</v>
      </c>
      <c r="H977" s="13" t="str" cm="1">
        <f t="array" ref="H977">_xlfn.IFS(G977&lt;=20,"0-20",G977&lt;=30,"20-30",G977&lt;=40,"30-40",G977&lt;=50,"50-60",G977&lt;=60,"60-70",G977&lt;=70,"70-80",G977&lt;=80,"80-90")</f>
        <v>50-60</v>
      </c>
      <c r="I977" s="13">
        <v>2710</v>
      </c>
      <c r="J977" s="13" t="str" cm="1">
        <f t="array" ref="J977">_xlfn.IFS(K977=1,"Divorciado",L977=1,"Casado",M977=1,"Solteiro",N977=1,"Juntos",O977=1,"Viuvo")</f>
        <v>Juntos</v>
      </c>
      <c r="K977" s="13">
        <v>0</v>
      </c>
      <c r="L977" s="13">
        <v>0</v>
      </c>
      <c r="M977" s="13">
        <v>0</v>
      </c>
      <c r="N977" s="13">
        <v>1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1</v>
      </c>
      <c r="U977" s="13">
        <v>226</v>
      </c>
      <c r="V977" s="13" t="str" cm="1">
        <f t="array" ref="V977">_xlfn.IFS(U977&lt;=250,"0-R$250",U977&lt;=500,"251-R$500",U977&lt;=750,"501-R$750",U977&lt;=1000,"751-R$1000",U977&lt;=1250,"1001-R$1250",U977&lt;=1500,"1251-R$1500")</f>
        <v>0-R$250</v>
      </c>
      <c r="W977" s="13">
        <v>22</v>
      </c>
      <c r="X977" s="13" t="str" cm="1">
        <f t="array" ref="X977">_xlfn.IFS(W977 = 0, "0", W977&lt;=20, "até R$20",W977&lt;=40, "21 - R$40",W977&lt;=60, "41- R$60",W977&lt;=80, "61 - R$80", W977&lt;=100, "81 - R$100",W977&lt;=120, "101 - R$120",W977&lt;=140, "121 - R$140", W977&lt;=160, "141- R$160", W977&lt;=180, "161 - R$180", W977&lt;=200, "181-R$194")</f>
        <v>21 - R$40</v>
      </c>
      <c r="Y977" s="13">
        <v>133</v>
      </c>
      <c r="Z977" s="13">
        <v>41</v>
      </c>
      <c r="AA977" s="13">
        <v>31</v>
      </c>
      <c r="AB977" s="13">
        <v>31</v>
      </c>
      <c r="AC977" s="13">
        <v>3</v>
      </c>
      <c r="AD977" s="13">
        <v>4</v>
      </c>
      <c r="AE977" s="13">
        <v>3</v>
      </c>
      <c r="AF977" s="13">
        <v>8</v>
      </c>
      <c r="AG977" s="13">
        <v>4</v>
      </c>
      <c r="AH977" s="13">
        <v>0</v>
      </c>
      <c r="AI977" s="13">
        <v>0</v>
      </c>
      <c r="AJ977" s="13">
        <v>0</v>
      </c>
      <c r="AK977" s="13">
        <v>0</v>
      </c>
      <c r="AL977" s="13">
        <v>0</v>
      </c>
      <c r="AM977" s="13">
        <v>0</v>
      </c>
      <c r="AN977" s="13">
        <v>0</v>
      </c>
      <c r="AO977" s="14">
        <v>0</v>
      </c>
      <c r="AP977" s="13">
        <v>3</v>
      </c>
      <c r="AQ977" s="13">
        <v>11</v>
      </c>
      <c r="AR977" s="15">
        <v>422</v>
      </c>
      <c r="AS977" s="15">
        <v>453</v>
      </c>
    </row>
    <row r="978" spans="1:45" x14ac:dyDescent="0.25">
      <c r="A978">
        <v>986</v>
      </c>
      <c r="B978" s="11">
        <f t="shared" si="15"/>
        <v>36130</v>
      </c>
      <c r="C978" s="12">
        <v>361300</v>
      </c>
      <c r="D978" s="13">
        <v>0</v>
      </c>
      <c r="E978" s="13">
        <v>1</v>
      </c>
      <c r="F978" s="13">
        <v>46</v>
      </c>
      <c r="G978" s="13">
        <v>66</v>
      </c>
      <c r="H978" s="13" t="str" cm="1">
        <f t="array" ref="H978">_xlfn.IFS(G978&lt;=20,"0-20",G978&lt;=30,"20-30",G978&lt;=40,"30-40",G978&lt;=50,"50-60",G978&lt;=60,"60-70",G978&lt;=70,"70-80",G978&lt;=80,"80-90")</f>
        <v>70-80</v>
      </c>
      <c r="I978" s="13">
        <v>2671</v>
      </c>
      <c r="J978" s="13" t="str" cm="1">
        <f t="array" ref="J978">_xlfn.IFS(K978=1,"Divorciado",L978=1,"Casado",M978=1,"Solteiro",N978=1,"Juntos",O978=1,"Viuvo")</f>
        <v>Solteiro</v>
      </c>
      <c r="K978" s="13">
        <v>0</v>
      </c>
      <c r="L978" s="13">
        <v>0</v>
      </c>
      <c r="M978" s="13">
        <v>1</v>
      </c>
      <c r="N978" s="13">
        <v>0</v>
      </c>
      <c r="O978" s="13">
        <v>0</v>
      </c>
      <c r="P978" s="13">
        <v>0</v>
      </c>
      <c r="Q978" s="13">
        <v>0</v>
      </c>
      <c r="R978" s="13">
        <v>1</v>
      </c>
      <c r="S978" s="13">
        <v>0</v>
      </c>
      <c r="T978" s="13">
        <v>0</v>
      </c>
      <c r="U978" s="13">
        <v>157</v>
      </c>
      <c r="V978" s="13" t="str" cm="1">
        <f t="array" ref="V978">_xlfn.IFS(U978&lt;=250,"0-R$250",U978&lt;=500,"251-R$500",U978&lt;=750,"501-R$750",U978&lt;=1000,"751-R$1000",U978&lt;=1250,"1001-R$1250",U978&lt;=1500,"1251-R$1500")</f>
        <v>0-R$250</v>
      </c>
      <c r="W978" s="13">
        <v>43</v>
      </c>
      <c r="X978" s="13" t="str" cm="1">
        <f t="array" ref="X978">_xlfn.IFS(W978 = 0, "0", W978&lt;=20, "até R$20",W978&lt;=40, "21 - R$40",W978&lt;=60, "41- R$60",W978&lt;=80, "61 - R$80", W978&lt;=100, "81 - R$100",W978&lt;=120, "101 - R$120",W978&lt;=140, "121 - R$140", W978&lt;=160, "141- R$160", W978&lt;=180, "161 - R$180", W978&lt;=200, "181-R$194")</f>
        <v>41- R$60</v>
      </c>
      <c r="Y978" s="13">
        <v>127</v>
      </c>
      <c r="Z978" s="13">
        <v>68</v>
      </c>
      <c r="AA978" s="13">
        <v>56</v>
      </c>
      <c r="AB978" s="13">
        <v>37</v>
      </c>
      <c r="AC978" s="13">
        <v>6</v>
      </c>
      <c r="AD978" s="13">
        <v>3</v>
      </c>
      <c r="AE978" s="13">
        <v>8</v>
      </c>
      <c r="AF978" s="13">
        <v>4</v>
      </c>
      <c r="AG978" s="13">
        <v>4</v>
      </c>
      <c r="AH978" s="13">
        <v>0</v>
      </c>
      <c r="AI978" s="13">
        <v>1</v>
      </c>
      <c r="AJ978" s="13">
        <v>0</v>
      </c>
      <c r="AK978" s="13">
        <v>0</v>
      </c>
      <c r="AL978" s="13">
        <v>0</v>
      </c>
      <c r="AM978" s="13">
        <v>0</v>
      </c>
      <c r="AN978" s="13">
        <v>1</v>
      </c>
      <c r="AO978" s="14">
        <v>1</v>
      </c>
      <c r="AP978" s="13">
        <v>3</v>
      </c>
      <c r="AQ978" s="13">
        <v>11</v>
      </c>
      <c r="AR978" s="15">
        <v>414</v>
      </c>
      <c r="AS978" s="15">
        <v>451</v>
      </c>
    </row>
    <row r="979" spans="1:45" x14ac:dyDescent="0.25">
      <c r="A979">
        <v>1929</v>
      </c>
      <c r="B979" s="11">
        <f t="shared" si="15"/>
        <v>61798</v>
      </c>
      <c r="C979" s="16">
        <v>617980</v>
      </c>
      <c r="D979" s="17">
        <v>0</v>
      </c>
      <c r="E979" s="17">
        <v>0</v>
      </c>
      <c r="F979" s="17">
        <v>13</v>
      </c>
      <c r="G979" s="17">
        <v>56</v>
      </c>
      <c r="H979" s="13" t="str" cm="1">
        <f t="array" ref="H979">_xlfn.IFS(G979&lt;=20,"0-20",G979&lt;=30,"20-30",G979&lt;=40,"30-40",G979&lt;=50,"50-60",G979&lt;=60,"60-70",G979&lt;=70,"70-80",G979&lt;=80,"80-90")</f>
        <v>60-70</v>
      </c>
      <c r="I979" s="17">
        <v>2377</v>
      </c>
      <c r="J979" s="13" t="str" cm="1">
        <f t="array" ref="J979">_xlfn.IFS(K979=1,"Divorciado",L979=1,"Casado",M979=1,"Solteiro",N979=1,"Juntos",O979=1,"Viuvo")</f>
        <v>Solteiro</v>
      </c>
      <c r="K979" s="17">
        <v>0</v>
      </c>
      <c r="L979" s="17">
        <v>0</v>
      </c>
      <c r="M979" s="17">
        <v>1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1</v>
      </c>
      <c r="U979" s="17">
        <v>338</v>
      </c>
      <c r="V979" s="13" t="str" cm="1">
        <f t="array" ref="V979">_xlfn.IFS(U979&lt;=250,"0-R$250",U979&lt;=500,"251-R$500",U979&lt;=750,"501-R$750",U979&lt;=1000,"751-R$1000",U979&lt;=1250,"1001-R$1250",U979&lt;=1500,"1251-R$1500")</f>
        <v>251-R$500</v>
      </c>
      <c r="W979" s="17">
        <v>4</v>
      </c>
      <c r="X979" s="13" t="str" cm="1">
        <f t="array" ref="X979">_xlfn.IFS(W979 = 0, "0", W979&lt;=20, "até R$20",W979&lt;=40, "21 - R$40",W979&lt;=60, "41- R$60",W979&lt;=80, "61 - R$80", W979&lt;=100, "81 - R$100",W979&lt;=120, "101 - R$120",W979&lt;=140, "121 - R$140", W979&lt;=160, "141- R$160", W979&lt;=180, "161 - R$180", W979&lt;=200, "181-R$194")</f>
        <v>até R$20</v>
      </c>
      <c r="Y979" s="17">
        <v>89</v>
      </c>
      <c r="Z979" s="17">
        <v>11</v>
      </c>
      <c r="AA979" s="17">
        <v>8</v>
      </c>
      <c r="AB979" s="17">
        <v>13</v>
      </c>
      <c r="AC979" s="17">
        <v>1</v>
      </c>
      <c r="AD979" s="17">
        <v>4</v>
      </c>
      <c r="AE979" s="17">
        <v>2</v>
      </c>
      <c r="AF979" s="17">
        <v>9</v>
      </c>
      <c r="AG979" s="17">
        <v>4</v>
      </c>
      <c r="AH979" s="17">
        <v>0</v>
      </c>
      <c r="AI979" s="17">
        <v>0</v>
      </c>
      <c r="AJ979" s="17">
        <v>0</v>
      </c>
      <c r="AK979" s="17">
        <v>0</v>
      </c>
      <c r="AL979" s="17">
        <v>0</v>
      </c>
      <c r="AM979" s="17">
        <v>0</v>
      </c>
      <c r="AN979" s="17">
        <v>0</v>
      </c>
      <c r="AO979" s="18">
        <v>0</v>
      </c>
      <c r="AP979" s="17">
        <v>3</v>
      </c>
      <c r="AQ979" s="17">
        <v>11</v>
      </c>
      <c r="AR979" s="19">
        <v>437</v>
      </c>
      <c r="AS979" s="19">
        <v>450</v>
      </c>
    </row>
    <row r="980" spans="1:45" x14ac:dyDescent="0.25">
      <c r="A980">
        <v>2188</v>
      </c>
      <c r="B980" s="11">
        <f t="shared" si="15"/>
        <v>58025</v>
      </c>
      <c r="C980" s="12">
        <v>580250</v>
      </c>
      <c r="D980" s="13">
        <v>0</v>
      </c>
      <c r="E980" s="13">
        <v>1</v>
      </c>
      <c r="F980" s="13">
        <v>81</v>
      </c>
      <c r="G980" s="13">
        <v>41</v>
      </c>
      <c r="H980" s="13" t="str" cm="1">
        <f t="array" ref="H980">_xlfn.IFS(G980&lt;=20,"0-20",G980&lt;=30,"20-30",G980&lt;=40,"30-40",G980&lt;=50,"50-60",G980&lt;=60,"60-70",G980&lt;=70,"70-80",G980&lt;=80,"80-90")</f>
        <v>50-60</v>
      </c>
      <c r="I980" s="13">
        <v>2374</v>
      </c>
      <c r="J980" s="13" t="str" cm="1">
        <f t="array" ref="J980">_xlfn.IFS(K980=1,"Divorciado",L980=1,"Casado",M980=1,"Solteiro",N980=1,"Juntos",O980=1,"Viuvo")</f>
        <v>Casado</v>
      </c>
      <c r="K980" s="13">
        <v>0</v>
      </c>
      <c r="L980" s="13">
        <v>1</v>
      </c>
      <c r="M980" s="13">
        <v>0</v>
      </c>
      <c r="N980" s="13">
        <v>0</v>
      </c>
      <c r="O980" s="13">
        <v>0</v>
      </c>
      <c r="P980" s="13">
        <v>0</v>
      </c>
      <c r="Q980" s="13">
        <v>0</v>
      </c>
      <c r="R980" s="13">
        <v>1</v>
      </c>
      <c r="S980" s="13">
        <v>0</v>
      </c>
      <c r="T980" s="13">
        <v>0</v>
      </c>
      <c r="U980" s="13">
        <v>270</v>
      </c>
      <c r="V980" s="13" t="str" cm="1">
        <f t="array" ref="V980">_xlfn.IFS(U980&lt;=250,"0-R$250",U980&lt;=500,"251-R$500",U980&lt;=750,"501-R$750",U980&lt;=1000,"751-R$1000",U980&lt;=1250,"1001-R$1250",U980&lt;=1500,"1251-R$1500")</f>
        <v>251-R$500</v>
      </c>
      <c r="W980" s="13">
        <v>31</v>
      </c>
      <c r="X980" s="13" t="str" cm="1">
        <f t="array" ref="X980">_xlfn.IFS(W980 = 0, "0", W980&lt;=20, "até R$20",W980&lt;=40, "21 - R$40",W980&lt;=60, "41- R$60",W980&lt;=80, "61 - R$80", W980&lt;=100, "81 - R$100",W980&lt;=120, "101 - R$120",W980&lt;=140, "121 - R$140", W980&lt;=160, "141- R$160", W980&lt;=180, "161 - R$180", W980&lt;=200, "181-R$194")</f>
        <v>21 - R$40</v>
      </c>
      <c r="Y980" s="13">
        <v>88</v>
      </c>
      <c r="Z980" s="13">
        <v>11</v>
      </c>
      <c r="AA980" s="13">
        <v>48</v>
      </c>
      <c r="AB980" s="13">
        <v>22</v>
      </c>
      <c r="AC980" s="13">
        <v>3</v>
      </c>
      <c r="AD980" s="13">
        <v>3</v>
      </c>
      <c r="AE980" s="13">
        <v>2</v>
      </c>
      <c r="AF980" s="13">
        <v>10</v>
      </c>
      <c r="AG980" s="13">
        <v>4</v>
      </c>
      <c r="AH980" s="13">
        <v>0</v>
      </c>
      <c r="AI980" s="13">
        <v>0</v>
      </c>
      <c r="AJ980" s="13">
        <v>0</v>
      </c>
      <c r="AK980" s="13">
        <v>0</v>
      </c>
      <c r="AL980" s="13">
        <v>0</v>
      </c>
      <c r="AM980" s="13">
        <v>0</v>
      </c>
      <c r="AN980" s="13">
        <v>0</v>
      </c>
      <c r="AO980" s="14">
        <v>0</v>
      </c>
      <c r="AP980" s="13">
        <v>3</v>
      </c>
      <c r="AQ980" s="13">
        <v>11</v>
      </c>
      <c r="AR980" s="15">
        <v>426</v>
      </c>
      <c r="AS980" s="15">
        <v>448</v>
      </c>
    </row>
    <row r="981" spans="1:45" x14ac:dyDescent="0.25">
      <c r="A981">
        <v>141</v>
      </c>
      <c r="B981" s="11">
        <f t="shared" si="15"/>
        <v>65747</v>
      </c>
      <c r="C981" s="16">
        <v>657470</v>
      </c>
      <c r="D981" s="17">
        <v>0</v>
      </c>
      <c r="E981" s="17">
        <v>1</v>
      </c>
      <c r="F981" s="17">
        <v>96</v>
      </c>
      <c r="G981" s="17">
        <v>51</v>
      </c>
      <c r="H981" s="13" t="str" cm="1">
        <f t="array" ref="H981">_xlfn.IFS(G981&lt;=20,"0-20",G981&lt;=30,"20-30",G981&lt;=40,"30-40",G981&lt;=50,"50-60",G981&lt;=60,"60-70",G981&lt;=70,"70-80",G981&lt;=80,"80-90")</f>
        <v>60-70</v>
      </c>
      <c r="I981" s="17">
        <v>2273</v>
      </c>
      <c r="J981" s="13" t="str" cm="1">
        <f t="array" ref="J981">_xlfn.IFS(K981=1,"Divorciado",L981=1,"Casado",M981=1,"Solteiro",N981=1,"Juntos",O981=1,"Viuvo")</f>
        <v>Casado</v>
      </c>
      <c r="K981" s="17">
        <v>0</v>
      </c>
      <c r="L981" s="17">
        <v>1</v>
      </c>
      <c r="M981" s="17">
        <v>0</v>
      </c>
      <c r="N981" s="17">
        <v>0</v>
      </c>
      <c r="O981" s="17">
        <v>0</v>
      </c>
      <c r="P981" s="17">
        <v>0</v>
      </c>
      <c r="Q981" s="17">
        <v>0</v>
      </c>
      <c r="R981" s="17">
        <v>1</v>
      </c>
      <c r="S981" s="17">
        <v>0</v>
      </c>
      <c r="T981" s="17">
        <v>0</v>
      </c>
      <c r="U981" s="17">
        <v>346</v>
      </c>
      <c r="V981" s="13" t="str" cm="1">
        <f t="array" ref="V981">_xlfn.IFS(U981&lt;=250,"0-R$250",U981&lt;=500,"251-R$500",U981&lt;=750,"501-R$750",U981&lt;=1000,"751-R$1000",U981&lt;=1250,"1001-R$1250",U981&lt;=1500,"1251-R$1500")</f>
        <v>251-R$500</v>
      </c>
      <c r="W981" s="17">
        <v>17</v>
      </c>
      <c r="X981" s="13" t="str" cm="1">
        <f t="array" ref="X981">_xlfn.IFS(W981 = 0, "0", W981&lt;=20, "até R$20",W981&lt;=40, "21 - R$40",W981&lt;=60, "41- R$60",W981&lt;=80, "61 - R$80", W981&lt;=100, "81 - R$100",W981&lt;=120, "101 - R$120",W981&lt;=140, "121 - R$140", W981&lt;=160, "141- R$160", W981&lt;=180, "161 - R$180", W981&lt;=200, "181-R$194")</f>
        <v>até R$20</v>
      </c>
      <c r="Y981" s="17">
        <v>48</v>
      </c>
      <c r="Z981" s="17">
        <v>23</v>
      </c>
      <c r="AA981" s="17">
        <v>13</v>
      </c>
      <c r="AB981" s="17">
        <v>13</v>
      </c>
      <c r="AC981" s="17">
        <v>4</v>
      </c>
      <c r="AD981" s="17">
        <v>8</v>
      </c>
      <c r="AE981" s="17">
        <v>1</v>
      </c>
      <c r="AF981" s="17">
        <v>6</v>
      </c>
      <c r="AG981" s="17">
        <v>6</v>
      </c>
      <c r="AH981" s="17">
        <v>0</v>
      </c>
      <c r="AI981" s="17">
        <v>0</v>
      </c>
      <c r="AJ981" s="17">
        <v>1</v>
      </c>
      <c r="AK981" s="17">
        <v>0</v>
      </c>
      <c r="AL981" s="17">
        <v>0</v>
      </c>
      <c r="AM981" s="17">
        <v>0</v>
      </c>
      <c r="AN981" s="17">
        <v>0</v>
      </c>
      <c r="AO981" s="18">
        <v>1</v>
      </c>
      <c r="AP981" s="17">
        <v>3</v>
      </c>
      <c r="AQ981" s="17">
        <v>11</v>
      </c>
      <c r="AR981" s="19">
        <v>434</v>
      </c>
      <c r="AS981" s="19">
        <v>447</v>
      </c>
    </row>
    <row r="982" spans="1:45" x14ac:dyDescent="0.25">
      <c r="A982">
        <v>1911</v>
      </c>
      <c r="B982" s="11">
        <f t="shared" si="15"/>
        <v>54998</v>
      </c>
      <c r="C982" s="16">
        <v>549980</v>
      </c>
      <c r="D982" s="17">
        <v>0</v>
      </c>
      <c r="E982" s="17">
        <v>1</v>
      </c>
      <c r="F982" s="17">
        <v>3</v>
      </c>
      <c r="G982" s="17">
        <v>64</v>
      </c>
      <c r="H982" s="13" t="str" cm="1">
        <f t="array" ref="H982">_xlfn.IFS(G982&lt;=20,"0-20",G982&lt;=30,"20-30",G982&lt;=40,"30-40",G982&lt;=50,"50-60",G982&lt;=60,"60-70",G982&lt;=70,"70-80",G982&lt;=80,"80-90")</f>
        <v>70-80</v>
      </c>
      <c r="I982" s="17">
        <v>2635</v>
      </c>
      <c r="J982" s="13" t="str" cm="1">
        <f t="array" ref="J982">_xlfn.IFS(K982=1,"Divorciado",L982=1,"Casado",M982=1,"Solteiro",N982=1,"Juntos",O982=1,"Viuvo")</f>
        <v>Solteiro</v>
      </c>
      <c r="K982" s="17">
        <v>0</v>
      </c>
      <c r="L982" s="17">
        <v>0</v>
      </c>
      <c r="M982" s="17">
        <v>1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1</v>
      </c>
      <c r="U982" s="17">
        <v>154</v>
      </c>
      <c r="V982" s="13" t="str" cm="1">
        <f t="array" ref="V982">_xlfn.IFS(U982&lt;=250,"0-R$250",U982&lt;=500,"251-R$500",U982&lt;=750,"501-R$750",U982&lt;=1000,"751-R$1000",U982&lt;=1250,"1001-R$1250",U982&lt;=1500,"1251-R$1500")</f>
        <v>0-R$250</v>
      </c>
      <c r="W982" s="17">
        <v>22</v>
      </c>
      <c r="X982" s="13" t="str" cm="1">
        <f t="array" ref="X982">_xlfn.IFS(W982 = 0, "0", W982&lt;=20, "até R$20",W982&lt;=40, "21 - R$40",W982&lt;=60, "41- R$60",W982&lt;=80, "61 - R$80", W982&lt;=100, "81 - R$100",W982&lt;=120, "101 - R$120",W982&lt;=140, "121 - R$140", W982&lt;=160, "141- R$160", W982&lt;=180, "161 - R$180", W982&lt;=200, "181-R$194")</f>
        <v>21 - R$40</v>
      </c>
      <c r="Y982" s="17">
        <v>202</v>
      </c>
      <c r="Z982" s="17">
        <v>39</v>
      </c>
      <c r="AA982" s="17">
        <v>30</v>
      </c>
      <c r="AB982" s="17">
        <v>8</v>
      </c>
      <c r="AC982" s="17">
        <v>5</v>
      </c>
      <c r="AD982" s="17">
        <v>4</v>
      </c>
      <c r="AE982" s="17">
        <v>2</v>
      </c>
      <c r="AF982" s="17">
        <v>9</v>
      </c>
      <c r="AG982" s="17">
        <v>4</v>
      </c>
      <c r="AH982" s="17">
        <v>0</v>
      </c>
      <c r="AI982" s="17">
        <v>0</v>
      </c>
      <c r="AJ982" s="17">
        <v>0</v>
      </c>
      <c r="AK982" s="17">
        <v>0</v>
      </c>
      <c r="AL982" s="17">
        <v>0</v>
      </c>
      <c r="AM982" s="17">
        <v>0</v>
      </c>
      <c r="AN982" s="17">
        <v>1</v>
      </c>
      <c r="AO982" s="18">
        <v>0</v>
      </c>
      <c r="AP982" s="17">
        <v>3</v>
      </c>
      <c r="AQ982" s="17">
        <v>11</v>
      </c>
      <c r="AR982" s="19">
        <v>439</v>
      </c>
      <c r="AS982" s="19">
        <v>447</v>
      </c>
    </row>
    <row r="983" spans="1:45" x14ac:dyDescent="0.25">
      <c r="A983">
        <v>140</v>
      </c>
      <c r="B983" s="11">
        <f t="shared" si="15"/>
        <v>59354</v>
      </c>
      <c r="C983" s="12">
        <v>593540</v>
      </c>
      <c r="D983" s="13">
        <v>0</v>
      </c>
      <c r="E983" s="13">
        <v>2</v>
      </c>
      <c r="F983" s="13">
        <v>59</v>
      </c>
      <c r="G983" s="13">
        <v>67</v>
      </c>
      <c r="H983" s="13" t="str" cm="1">
        <f t="array" ref="H983">_xlfn.IFS(G983&lt;=20,"0-20",G983&lt;=30,"20-30",G983&lt;=40,"30-40",G983&lt;=50,"50-60",G983&lt;=60,"60-70",G983&lt;=70,"70-80",G983&lt;=80,"80-90")</f>
        <v>70-80</v>
      </c>
      <c r="I983" s="13">
        <v>2225</v>
      </c>
      <c r="J983" s="13" t="str" cm="1">
        <f t="array" ref="J983">_xlfn.IFS(K983=1,"Divorciado",L983=1,"Casado",M983=1,"Solteiro",N983=1,"Juntos",O983=1,"Viuvo")</f>
        <v>Casado</v>
      </c>
      <c r="K983" s="13">
        <v>0</v>
      </c>
      <c r="L983" s="13">
        <v>1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1</v>
      </c>
      <c r="T983" s="13">
        <v>0</v>
      </c>
      <c r="U983" s="13">
        <v>295</v>
      </c>
      <c r="V983" s="13" t="str" cm="1">
        <f t="array" ref="V983">_xlfn.IFS(U983&lt;=250,"0-R$250",U983&lt;=500,"251-R$500",U983&lt;=750,"501-R$750",U983&lt;=1000,"751-R$1000",U983&lt;=1250,"1001-R$1250",U983&lt;=1500,"1251-R$1500")</f>
        <v>251-R$500</v>
      </c>
      <c r="W983" s="13">
        <v>21</v>
      </c>
      <c r="X983" s="13" t="str" cm="1">
        <f t="array" ref="X983">_xlfn.IFS(W983 = 0, "0", W983&lt;=20, "até R$20",W983&lt;=40, "21 - R$40",W983&lt;=60, "41- R$60",W983&lt;=80, "61 - R$80", W983&lt;=100, "81 - R$100",W983&lt;=120, "101 - R$120",W983&lt;=140, "121 - R$140", W983&lt;=160, "141- R$160", W983&lt;=180, "161 - R$180", W983&lt;=200, "181-R$194")</f>
        <v>21 - R$40</v>
      </c>
      <c r="Y983" s="13">
        <v>78</v>
      </c>
      <c r="Z983" s="13">
        <v>39</v>
      </c>
      <c r="AA983" s="13">
        <v>13</v>
      </c>
      <c r="AB983" s="13">
        <v>13</v>
      </c>
      <c r="AC983" s="13">
        <v>1</v>
      </c>
      <c r="AD983" s="13">
        <v>4</v>
      </c>
      <c r="AE983" s="13">
        <v>4</v>
      </c>
      <c r="AF983" s="13">
        <v>7</v>
      </c>
      <c r="AG983" s="13">
        <v>3</v>
      </c>
      <c r="AH983" s="13">
        <v>0</v>
      </c>
      <c r="AI983" s="13">
        <v>0</v>
      </c>
      <c r="AJ983" s="13">
        <v>0</v>
      </c>
      <c r="AK983" s="13">
        <v>0</v>
      </c>
      <c r="AL983" s="13">
        <v>0</v>
      </c>
      <c r="AM983" s="13">
        <v>0</v>
      </c>
      <c r="AN983" s="13">
        <v>0</v>
      </c>
      <c r="AO983" s="14">
        <v>0</v>
      </c>
      <c r="AP983" s="13">
        <v>3</v>
      </c>
      <c r="AQ983" s="13">
        <v>11</v>
      </c>
      <c r="AR983" s="15">
        <v>433</v>
      </c>
      <c r="AS983" s="15">
        <v>446</v>
      </c>
    </row>
    <row r="984" spans="1:45" x14ac:dyDescent="0.25">
      <c r="A984">
        <v>1823</v>
      </c>
      <c r="B984" s="11">
        <f t="shared" si="15"/>
        <v>57705</v>
      </c>
      <c r="C984" s="16">
        <v>577050</v>
      </c>
      <c r="D984" s="17">
        <v>0</v>
      </c>
      <c r="E984" s="17">
        <v>1</v>
      </c>
      <c r="F984" s="17">
        <v>14</v>
      </c>
      <c r="G984" s="17">
        <v>54</v>
      </c>
      <c r="H984" s="13" t="str" cm="1">
        <f t="array" ref="H984">_xlfn.IFS(G984&lt;=20,"0-20",G984&lt;=30,"20-30",G984&lt;=40,"30-40",G984&lt;=50,"50-60",G984&lt;=60,"60-70",G984&lt;=70,"70-80",G984&lt;=80,"80-90")</f>
        <v>60-70</v>
      </c>
      <c r="I984" s="17">
        <v>2328</v>
      </c>
      <c r="J984" s="13" t="str" cm="1">
        <f t="array" ref="J984">_xlfn.IFS(K984=1,"Divorciado",L984=1,"Casado",M984=1,"Solteiro",N984=1,"Juntos",O984=1,"Viuvo")</f>
        <v>Casado</v>
      </c>
      <c r="K984" s="17">
        <v>0</v>
      </c>
      <c r="L984" s="17">
        <v>1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1</v>
      </c>
      <c r="U984" s="17">
        <v>383</v>
      </c>
      <c r="V984" s="13" t="str" cm="1">
        <f t="array" ref="V984">_xlfn.IFS(U984&lt;=250,"0-R$250",U984&lt;=500,"251-R$500",U984&lt;=750,"501-R$750",U984&lt;=1000,"751-R$1000",U984&lt;=1250,"1001-R$1250",U984&lt;=1500,"1251-R$1500")</f>
        <v>251-R$500</v>
      </c>
      <c r="W984" s="17">
        <v>0</v>
      </c>
      <c r="X984" s="13" t="str" cm="1">
        <f t="array" ref="X984">_xlfn.IFS(W984 = 0, "0", W984&lt;=20, "até R$20",W984&lt;=40, "21 - R$40",W984&lt;=60, "41- R$60",W984&lt;=80, "61 - R$80", W984&lt;=100, "81 - R$100",W984&lt;=120, "101 - R$120",W984&lt;=140, "121 - R$140", W984&lt;=160, "141- R$160", W984&lt;=180, "161 - R$180", W984&lt;=200, "181-R$194")</f>
        <v>0</v>
      </c>
      <c r="Y984" s="17">
        <v>53</v>
      </c>
      <c r="Z984" s="17">
        <v>6</v>
      </c>
      <c r="AA984" s="17">
        <v>4</v>
      </c>
      <c r="AB984" s="17">
        <v>40</v>
      </c>
      <c r="AC984" s="17">
        <v>3</v>
      </c>
      <c r="AD984" s="17">
        <v>8</v>
      </c>
      <c r="AE984" s="17">
        <v>1</v>
      </c>
      <c r="AF984" s="17">
        <v>6</v>
      </c>
      <c r="AG984" s="17">
        <v>6</v>
      </c>
      <c r="AH984" s="17">
        <v>0</v>
      </c>
      <c r="AI984" s="17">
        <v>0</v>
      </c>
      <c r="AJ984" s="17">
        <v>0</v>
      </c>
      <c r="AK984" s="17">
        <v>0</v>
      </c>
      <c r="AL984" s="17">
        <v>0</v>
      </c>
      <c r="AM984" s="17">
        <v>0</v>
      </c>
      <c r="AN984" s="17">
        <v>0</v>
      </c>
      <c r="AO984" s="18">
        <v>0</v>
      </c>
      <c r="AP984" s="17">
        <v>3</v>
      </c>
      <c r="AQ984" s="17">
        <v>11</v>
      </c>
      <c r="AR984" s="19">
        <v>406</v>
      </c>
      <c r="AS984" s="19">
        <v>446</v>
      </c>
    </row>
    <row r="985" spans="1:45" x14ac:dyDescent="0.25">
      <c r="A985">
        <v>421</v>
      </c>
      <c r="B985" s="11">
        <f t="shared" si="15"/>
        <v>51529</v>
      </c>
      <c r="C985" s="16">
        <v>515290</v>
      </c>
      <c r="D985" s="17">
        <v>0</v>
      </c>
      <c r="E985" s="17">
        <v>1</v>
      </c>
      <c r="F985" s="17">
        <v>14</v>
      </c>
      <c r="G985" s="17">
        <v>71</v>
      </c>
      <c r="H985" s="13" t="str" cm="1">
        <f t="array" ref="H985">_xlfn.IFS(G985&lt;=20,"0-20",G985&lt;=30,"20-30",G985&lt;=40,"30-40",G985&lt;=50,"50-60",G985&lt;=60,"60-70",G985&lt;=70,"70-80",G985&lt;=80,"80-90")</f>
        <v>80-90</v>
      </c>
      <c r="I985" s="17">
        <v>2454</v>
      </c>
      <c r="J985" s="13" t="str" cm="1">
        <f t="array" ref="J985">_xlfn.IFS(K985=1,"Divorciado",L985=1,"Casado",M985=1,"Solteiro",N985=1,"Juntos",O985=1,"Viuvo")</f>
        <v>Viuvo</v>
      </c>
      <c r="K985" s="17">
        <v>0</v>
      </c>
      <c r="L985" s="17">
        <v>0</v>
      </c>
      <c r="M985" s="17">
        <v>0</v>
      </c>
      <c r="N985" s="17">
        <v>0</v>
      </c>
      <c r="O985" s="17">
        <v>1</v>
      </c>
      <c r="P985" s="17">
        <v>0</v>
      </c>
      <c r="Q985" s="17">
        <v>0</v>
      </c>
      <c r="R985" s="17">
        <v>0</v>
      </c>
      <c r="S985" s="17">
        <v>1</v>
      </c>
      <c r="T985" s="17">
        <v>0</v>
      </c>
      <c r="U985" s="17">
        <v>400</v>
      </c>
      <c r="V985" s="13" t="str" cm="1">
        <f t="array" ref="V985">_xlfn.IFS(U985&lt;=250,"0-R$250",U985&lt;=500,"251-R$500",U985&lt;=750,"501-R$750",U985&lt;=1000,"751-R$1000",U985&lt;=1250,"1001-R$1250",U985&lt;=1500,"1251-R$1500")</f>
        <v>251-R$500</v>
      </c>
      <c r="W985" s="17">
        <v>4</v>
      </c>
      <c r="X985" s="13" t="str" cm="1">
        <f t="array" ref="X985">_xlfn.IFS(W985 = 0, "0", W985&lt;=20, "até R$20",W985&lt;=40, "21 - R$40",W985&lt;=60, "41- R$60",W985&lt;=80, "61 - R$80", W985&lt;=100, "81 - R$100",W985&lt;=120, "101 - R$120",W985&lt;=140, "121 - R$140", W985&lt;=160, "141- R$160", W985&lt;=180, "161 - R$180", W985&lt;=200, "181-R$194")</f>
        <v>até R$20</v>
      </c>
      <c r="Y985" s="17">
        <v>35</v>
      </c>
      <c r="Z985" s="17">
        <v>6</v>
      </c>
      <c r="AA985" s="17">
        <v>0</v>
      </c>
      <c r="AB985" s="17">
        <v>22</v>
      </c>
      <c r="AC985" s="17">
        <v>2</v>
      </c>
      <c r="AD985" s="17">
        <v>9</v>
      </c>
      <c r="AE985" s="17">
        <v>1</v>
      </c>
      <c r="AF985" s="17">
        <v>5</v>
      </c>
      <c r="AG985" s="17">
        <v>8</v>
      </c>
      <c r="AH985" s="17">
        <v>0</v>
      </c>
      <c r="AI985" s="17">
        <v>0</v>
      </c>
      <c r="AJ985" s="17">
        <v>0</v>
      </c>
      <c r="AK985" s="17">
        <v>0</v>
      </c>
      <c r="AL985" s="17">
        <v>0</v>
      </c>
      <c r="AM985" s="17">
        <v>0</v>
      </c>
      <c r="AN985" s="17">
        <v>0</v>
      </c>
      <c r="AO985" s="18">
        <v>0</v>
      </c>
      <c r="AP985" s="17">
        <v>3</v>
      </c>
      <c r="AQ985" s="17">
        <v>11</v>
      </c>
      <c r="AR985" s="19">
        <v>423</v>
      </c>
      <c r="AS985" s="19">
        <v>445</v>
      </c>
    </row>
    <row r="986" spans="1:45" x14ac:dyDescent="0.25">
      <c r="A986">
        <v>732</v>
      </c>
      <c r="B986" s="11">
        <f t="shared" si="15"/>
        <v>51518</v>
      </c>
      <c r="C986" s="12">
        <v>515180</v>
      </c>
      <c r="D986" s="13">
        <v>0</v>
      </c>
      <c r="E986" s="13">
        <v>1</v>
      </c>
      <c r="F986" s="13">
        <v>92</v>
      </c>
      <c r="G986" s="13">
        <v>62</v>
      </c>
      <c r="H986" s="13" t="str" cm="1">
        <f t="array" ref="H986">_xlfn.IFS(G986&lt;=20,"0-20",G986&lt;=30,"20-30",G986&lt;=40,"30-40",G986&lt;=50,"50-60",G986&lt;=60,"60-70",G986&lt;=70,"70-80",G986&lt;=80,"80-90")</f>
        <v>70-80</v>
      </c>
      <c r="I986" s="13">
        <v>2428</v>
      </c>
      <c r="J986" s="13" t="str" cm="1">
        <f t="array" ref="J986">_xlfn.IFS(K986=1,"Divorciado",L986=1,"Casado",M986=1,"Solteiro",N986=1,"Juntos",O986=1,"Viuvo")</f>
        <v>Juntos</v>
      </c>
      <c r="K986" s="13">
        <v>0</v>
      </c>
      <c r="L986" s="13">
        <v>0</v>
      </c>
      <c r="M986" s="13">
        <v>0</v>
      </c>
      <c r="N986" s="13">
        <v>1</v>
      </c>
      <c r="O986" s="13">
        <v>0</v>
      </c>
      <c r="P986" s="13">
        <v>0</v>
      </c>
      <c r="Q986" s="13">
        <v>0</v>
      </c>
      <c r="R986" s="13">
        <v>0</v>
      </c>
      <c r="S986" s="13">
        <v>0</v>
      </c>
      <c r="T986" s="13">
        <v>1</v>
      </c>
      <c r="U986" s="13">
        <v>350</v>
      </c>
      <c r="V986" s="13" t="str" cm="1">
        <f t="array" ref="V986">_xlfn.IFS(U986&lt;=250,"0-R$250",U986&lt;=500,"251-R$500",U986&lt;=750,"501-R$750",U986&lt;=1000,"751-R$1000",U986&lt;=1250,"1001-R$1250",U986&lt;=1500,"1251-R$1500")</f>
        <v>251-R$500</v>
      </c>
      <c r="W986" s="13">
        <v>8</v>
      </c>
      <c r="X986" s="13" t="str" cm="1">
        <f t="array" ref="X986">_xlfn.IFS(W986 = 0, "0", W986&lt;=20, "até R$20",W986&lt;=40, "21 - R$40",W986&lt;=60, "41- R$60",W986&lt;=80, "61 - R$80", W986&lt;=100, "81 - R$100",W986&lt;=120, "101 - R$120",W986&lt;=140, "121 - R$140", W986&lt;=160, "141- R$160", W986&lt;=180, "161 - R$180", W986&lt;=200, "181-R$194")</f>
        <v>até R$20</v>
      </c>
      <c r="Y986" s="13">
        <v>66</v>
      </c>
      <c r="Z986" s="13">
        <v>17</v>
      </c>
      <c r="AA986" s="13">
        <v>4</v>
      </c>
      <c r="AB986" s="13">
        <v>4</v>
      </c>
      <c r="AC986" s="13">
        <v>2</v>
      </c>
      <c r="AD986" s="13">
        <v>3</v>
      </c>
      <c r="AE986" s="13">
        <v>2</v>
      </c>
      <c r="AF986" s="13">
        <v>10</v>
      </c>
      <c r="AG986" s="13">
        <v>3</v>
      </c>
      <c r="AH986" s="13">
        <v>0</v>
      </c>
      <c r="AI986" s="13">
        <v>0</v>
      </c>
      <c r="AJ986" s="13">
        <v>0</v>
      </c>
      <c r="AK986" s="13">
        <v>0</v>
      </c>
      <c r="AL986" s="13">
        <v>0</v>
      </c>
      <c r="AM986" s="13">
        <v>0</v>
      </c>
      <c r="AN986" s="13">
        <v>0</v>
      </c>
      <c r="AO986" s="14">
        <v>0</v>
      </c>
      <c r="AP986" s="13">
        <v>3</v>
      </c>
      <c r="AQ986" s="13">
        <v>11</v>
      </c>
      <c r="AR986" s="15">
        <v>441</v>
      </c>
      <c r="AS986" s="15">
        <v>445</v>
      </c>
    </row>
    <row r="987" spans="1:45" x14ac:dyDescent="0.25">
      <c r="A987">
        <v>1158</v>
      </c>
      <c r="B987" s="11">
        <f t="shared" si="15"/>
        <v>54386</v>
      </c>
      <c r="C987" s="12">
        <v>543860</v>
      </c>
      <c r="D987" s="13">
        <v>0</v>
      </c>
      <c r="E987" s="13">
        <v>1</v>
      </c>
      <c r="F987" s="13">
        <v>8</v>
      </c>
      <c r="G987" s="13">
        <v>39</v>
      </c>
      <c r="H987" s="13" t="str" cm="1">
        <f t="array" ref="H987">_xlfn.IFS(G987&lt;=20,"0-20",G987&lt;=30,"20-30",G987&lt;=40,"30-40",G987&lt;=50,"50-60",G987&lt;=60,"60-70",G987&lt;=70,"70-80",G987&lt;=80,"80-90")</f>
        <v>30-40</v>
      </c>
      <c r="I987" s="13">
        <v>2567</v>
      </c>
      <c r="J987" s="13" t="str" cm="1">
        <f t="array" ref="J987">_xlfn.IFS(K987=1,"Divorciado",L987=1,"Casado",M987=1,"Solteiro",N987=1,"Juntos",O987=1,"Viuvo")</f>
        <v>Casado</v>
      </c>
      <c r="K987" s="13">
        <v>0</v>
      </c>
      <c r="L987" s="13">
        <v>1</v>
      </c>
      <c r="M987" s="13">
        <v>0</v>
      </c>
      <c r="N987" s="13">
        <v>0</v>
      </c>
      <c r="O987" s="13">
        <v>0</v>
      </c>
      <c r="P987" s="13">
        <v>0</v>
      </c>
      <c r="Q987" s="13">
        <v>0</v>
      </c>
      <c r="R987" s="13">
        <v>1</v>
      </c>
      <c r="S987" s="13">
        <v>0</v>
      </c>
      <c r="T987" s="13">
        <v>0</v>
      </c>
      <c r="U987" s="13">
        <v>277</v>
      </c>
      <c r="V987" s="13" t="str" cm="1">
        <f t="array" ref="V987">_xlfn.IFS(U987&lt;=250,"0-R$250",U987&lt;=500,"251-R$500",U987&lt;=750,"501-R$750",U987&lt;=1000,"751-R$1000",U987&lt;=1250,"1001-R$1250",U987&lt;=1500,"1251-R$1500")</f>
        <v>251-R$500</v>
      </c>
      <c r="W987" s="13">
        <v>21</v>
      </c>
      <c r="X987" s="13" t="str" cm="1">
        <f t="array" ref="X987">_xlfn.IFS(W987 = 0, "0", W987&lt;=20, "até R$20",W987&lt;=40, "21 - R$40",W987&lt;=60, "41- R$60",W987&lt;=80, "61 - R$80", W987&lt;=100, "81 - R$100",W987&lt;=120, "101 - R$120",W987&lt;=140, "121 - R$140", W987&lt;=160, "141- R$160", W987&lt;=180, "161 - R$180", W987&lt;=200, "181-R$194")</f>
        <v>21 - R$40</v>
      </c>
      <c r="Y987" s="13">
        <v>64</v>
      </c>
      <c r="Z987" s="13">
        <v>62</v>
      </c>
      <c r="AA987" s="13">
        <v>21</v>
      </c>
      <c r="AB987" s="13">
        <v>25</v>
      </c>
      <c r="AC987" s="13">
        <v>2</v>
      </c>
      <c r="AD987" s="13">
        <v>3</v>
      </c>
      <c r="AE987" s="13">
        <v>2</v>
      </c>
      <c r="AF987" s="13">
        <v>10</v>
      </c>
      <c r="AG987" s="13">
        <v>3</v>
      </c>
      <c r="AH987" s="13">
        <v>0</v>
      </c>
      <c r="AI987" s="13">
        <v>0</v>
      </c>
      <c r="AJ987" s="13">
        <v>0</v>
      </c>
      <c r="AK987" s="13">
        <v>0</v>
      </c>
      <c r="AL987" s="13">
        <v>0</v>
      </c>
      <c r="AM987" s="13">
        <v>0</v>
      </c>
      <c r="AN987" s="13">
        <v>0</v>
      </c>
      <c r="AO987" s="14">
        <v>0</v>
      </c>
      <c r="AP987" s="13">
        <v>3</v>
      </c>
      <c r="AQ987" s="13">
        <v>11</v>
      </c>
      <c r="AR987" s="15">
        <v>420</v>
      </c>
      <c r="AS987" s="15">
        <v>445</v>
      </c>
    </row>
    <row r="988" spans="1:45" x14ac:dyDescent="0.25">
      <c r="A988">
        <v>1391</v>
      </c>
      <c r="B988" s="11">
        <f t="shared" si="15"/>
        <v>57537</v>
      </c>
      <c r="C988" s="16">
        <v>575370</v>
      </c>
      <c r="D988" s="17">
        <v>1</v>
      </c>
      <c r="E988" s="17">
        <v>0</v>
      </c>
      <c r="F988" s="17">
        <v>83</v>
      </c>
      <c r="G988" s="17">
        <v>41</v>
      </c>
      <c r="H988" s="13" t="str" cm="1">
        <f t="array" ref="H988">_xlfn.IFS(G988&lt;=20,"0-20",G988&lt;=30,"20-30",G988&lt;=40,"30-40",G988&lt;=50,"50-60",G988&lt;=60,"60-70",G988&lt;=70,"70-80",G988&lt;=80,"80-90")</f>
        <v>50-60</v>
      </c>
      <c r="I988" s="17">
        <v>2543</v>
      </c>
      <c r="J988" s="13" t="str" cm="1">
        <f t="array" ref="J988">_xlfn.IFS(K988=1,"Divorciado",L988=1,"Casado",M988=1,"Solteiro",N988=1,"Juntos",O988=1,"Viuvo")</f>
        <v>Solteiro</v>
      </c>
      <c r="K988" s="17">
        <v>0</v>
      </c>
      <c r="L988" s="17">
        <v>0</v>
      </c>
      <c r="M988" s="17">
        <v>1</v>
      </c>
      <c r="N988" s="17">
        <v>0</v>
      </c>
      <c r="O988" s="17">
        <v>0</v>
      </c>
      <c r="P988" s="17">
        <v>0</v>
      </c>
      <c r="Q988" s="17">
        <v>0</v>
      </c>
      <c r="R988" s="17">
        <v>1</v>
      </c>
      <c r="S988" s="17">
        <v>0</v>
      </c>
      <c r="T988" s="17">
        <v>0</v>
      </c>
      <c r="U988" s="17">
        <v>191</v>
      </c>
      <c r="V988" s="13" t="str" cm="1">
        <f t="array" ref="V988">_xlfn.IFS(U988&lt;=250,"0-R$250",U988&lt;=500,"251-R$500",U988&lt;=750,"501-R$750",U988&lt;=1000,"751-R$1000",U988&lt;=1250,"1001-R$1250",U988&lt;=1500,"1251-R$1500")</f>
        <v>0-R$250</v>
      </c>
      <c r="W988" s="17">
        <v>56</v>
      </c>
      <c r="X988" s="13" t="str" cm="1">
        <f t="array" ref="X988">_xlfn.IFS(W988 = 0, "0", W988&lt;=20, "até R$20",W988&lt;=40, "21 - R$40",W988&lt;=60, "41- R$60",W988&lt;=80, "61 - R$80", W988&lt;=100, "81 - R$100",W988&lt;=120, "101 - R$120",W988&lt;=140, "121 - R$140", W988&lt;=160, "141- R$160", W988&lt;=180, "161 - R$180", W988&lt;=200, "181-R$194")</f>
        <v>41- R$60</v>
      </c>
      <c r="Y988" s="17">
        <v>139</v>
      </c>
      <c r="Z988" s="17">
        <v>51</v>
      </c>
      <c r="AA988" s="17">
        <v>8</v>
      </c>
      <c r="AB988" s="17">
        <v>100</v>
      </c>
      <c r="AC988" s="17">
        <v>4</v>
      </c>
      <c r="AD988" s="17">
        <v>4</v>
      </c>
      <c r="AE988" s="17">
        <v>3</v>
      </c>
      <c r="AF988" s="17">
        <v>8</v>
      </c>
      <c r="AG988" s="17">
        <v>4</v>
      </c>
      <c r="AH988" s="17">
        <v>0</v>
      </c>
      <c r="AI988" s="17">
        <v>0</v>
      </c>
      <c r="AJ988" s="17">
        <v>0</v>
      </c>
      <c r="AK988" s="17">
        <v>0</v>
      </c>
      <c r="AL988" s="17">
        <v>0</v>
      </c>
      <c r="AM988" s="17">
        <v>0</v>
      </c>
      <c r="AN988" s="17">
        <v>0</v>
      </c>
      <c r="AO988" s="18">
        <v>0</v>
      </c>
      <c r="AP988" s="17">
        <v>3</v>
      </c>
      <c r="AQ988" s="17">
        <v>11</v>
      </c>
      <c r="AR988" s="19">
        <v>345</v>
      </c>
      <c r="AS988" s="19">
        <v>445</v>
      </c>
    </row>
    <row r="989" spans="1:45" x14ac:dyDescent="0.25">
      <c r="A989">
        <v>1635</v>
      </c>
      <c r="B989" s="11">
        <f t="shared" si="15"/>
        <v>50729</v>
      </c>
      <c r="C989" s="16">
        <v>507290</v>
      </c>
      <c r="D989" s="17">
        <v>1</v>
      </c>
      <c r="E989" s="17">
        <v>1</v>
      </c>
      <c r="F989" s="17">
        <v>62</v>
      </c>
      <c r="G989" s="17">
        <v>62</v>
      </c>
      <c r="H989" s="13" t="str" cm="1">
        <f t="array" ref="H989">_xlfn.IFS(G989&lt;=20,"0-20",G989&lt;=30,"20-30",G989&lt;=40,"30-40",G989&lt;=50,"50-60",G989&lt;=60,"60-70",G989&lt;=70,"70-80",G989&lt;=80,"80-90")</f>
        <v>70-80</v>
      </c>
      <c r="I989" s="17">
        <v>2582</v>
      </c>
      <c r="J989" s="13" t="str" cm="1">
        <f t="array" ref="J989">_xlfn.IFS(K989=1,"Divorciado",L989=1,"Casado",M989=1,"Solteiro",N989=1,"Juntos",O989=1,"Viuvo")</f>
        <v>Solteiro</v>
      </c>
      <c r="K989" s="17">
        <v>0</v>
      </c>
      <c r="L989" s="17">
        <v>0</v>
      </c>
      <c r="M989" s="17">
        <v>1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1</v>
      </c>
      <c r="U989" s="17">
        <v>239</v>
      </c>
      <c r="V989" s="13" t="str" cm="1">
        <f t="array" ref="V989">_xlfn.IFS(U989&lt;=250,"0-R$250",U989&lt;=500,"251-R$500",U989&lt;=750,"501-R$750",U989&lt;=1000,"751-R$1000",U989&lt;=1250,"1001-R$1250",U989&lt;=1500,"1251-R$1500")</f>
        <v>0-R$250</v>
      </c>
      <c r="W989" s="17">
        <v>13</v>
      </c>
      <c r="X989" s="13" t="str" cm="1">
        <f t="array" ref="X989">_xlfn.IFS(W989 = 0, "0", W989&lt;=20, "até R$20",W989&lt;=40, "21 - R$40",W989&lt;=60, "41- R$60",W989&lt;=80, "61 - R$80", W989&lt;=100, "81 - R$100",W989&lt;=120, "101 - R$120",W989&lt;=140, "121 - R$140", W989&lt;=160, "141- R$160", W989&lt;=180, "161 - R$180", W989&lt;=200, "181-R$194")</f>
        <v>até R$20</v>
      </c>
      <c r="Y989" s="17">
        <v>143</v>
      </c>
      <c r="Z989" s="17">
        <v>45</v>
      </c>
      <c r="AA989" s="17">
        <v>4</v>
      </c>
      <c r="AB989" s="17">
        <v>52</v>
      </c>
      <c r="AC989" s="17">
        <v>9</v>
      </c>
      <c r="AD989" s="17">
        <v>6</v>
      </c>
      <c r="AE989" s="17">
        <v>2</v>
      </c>
      <c r="AF989" s="17">
        <v>7</v>
      </c>
      <c r="AG989" s="17">
        <v>6</v>
      </c>
      <c r="AH989" s="17">
        <v>0</v>
      </c>
      <c r="AI989" s="17">
        <v>0</v>
      </c>
      <c r="AJ989" s="17">
        <v>0</v>
      </c>
      <c r="AK989" s="17">
        <v>0</v>
      </c>
      <c r="AL989" s="17">
        <v>0</v>
      </c>
      <c r="AM989" s="17">
        <v>0</v>
      </c>
      <c r="AN989" s="17">
        <v>0</v>
      </c>
      <c r="AO989" s="18">
        <v>0</v>
      </c>
      <c r="AP989" s="17">
        <v>3</v>
      </c>
      <c r="AQ989" s="17">
        <v>11</v>
      </c>
      <c r="AR989" s="19">
        <v>392</v>
      </c>
      <c r="AS989" s="19">
        <v>444</v>
      </c>
    </row>
    <row r="990" spans="1:45" x14ac:dyDescent="0.25">
      <c r="A990">
        <v>572</v>
      </c>
      <c r="B990" s="11">
        <f t="shared" si="15"/>
        <v>53863</v>
      </c>
      <c r="C990" s="12">
        <v>538630</v>
      </c>
      <c r="D990" s="13">
        <v>0</v>
      </c>
      <c r="E990" s="13">
        <v>1</v>
      </c>
      <c r="F990" s="13">
        <v>4</v>
      </c>
      <c r="G990" s="13">
        <v>65</v>
      </c>
      <c r="H990" s="13" t="str" cm="1">
        <f t="array" ref="H990">_xlfn.IFS(G990&lt;=20,"0-20",G990&lt;=30,"20-30",G990&lt;=40,"30-40",G990&lt;=50,"50-60",G990&lt;=60,"60-70",G990&lt;=70,"70-80",G990&lt;=80,"80-90")</f>
        <v>70-80</v>
      </c>
      <c r="I990" s="13">
        <v>2202</v>
      </c>
      <c r="J990" s="13" t="str" cm="1">
        <f t="array" ref="J990">_xlfn.IFS(K990=1,"Divorciado",L990=1,"Casado",M990=1,"Solteiro",N990=1,"Juntos",O990=1,"Viuvo")</f>
        <v>Juntos</v>
      </c>
      <c r="K990" s="13">
        <v>0</v>
      </c>
      <c r="L990" s="13">
        <v>0</v>
      </c>
      <c r="M990" s="13">
        <v>0</v>
      </c>
      <c r="N990" s="13">
        <v>1</v>
      </c>
      <c r="O990" s="13">
        <v>0</v>
      </c>
      <c r="P990" s="13">
        <v>0</v>
      </c>
      <c r="Q990" s="13">
        <v>0</v>
      </c>
      <c r="R990" s="13">
        <v>1</v>
      </c>
      <c r="S990" s="13">
        <v>0</v>
      </c>
      <c r="T990" s="13">
        <v>0</v>
      </c>
      <c r="U990" s="13">
        <v>399</v>
      </c>
      <c r="V990" s="13" t="str" cm="1">
        <f t="array" ref="V990">_xlfn.IFS(U990&lt;=250,"0-R$250",U990&lt;=500,"251-R$500",U990&lt;=750,"501-R$750",U990&lt;=1000,"751-R$1000",U990&lt;=1250,"1001-R$1250",U990&lt;=1500,"1251-R$1500")</f>
        <v>251-R$500</v>
      </c>
      <c r="W990" s="13">
        <v>4</v>
      </c>
      <c r="X990" s="13" t="str" cm="1">
        <f t="array" ref="X990">_xlfn.IFS(W990 = 0, "0", W990&lt;=20, "até R$20",W990&lt;=40, "21 - R$40",W990&lt;=60, "41- R$60",W990&lt;=80, "61 - R$80", W990&lt;=100, "81 - R$100",W990&lt;=120, "101 - R$120",W990&lt;=140, "121 - R$140", W990&lt;=160, "141- R$160", W990&lt;=180, "161 - R$180", W990&lt;=200, "181-R$194")</f>
        <v>até R$20</v>
      </c>
      <c r="Y990" s="13">
        <v>30</v>
      </c>
      <c r="Z990" s="13">
        <v>6</v>
      </c>
      <c r="AA990" s="13">
        <v>4</v>
      </c>
      <c r="AB990" s="13">
        <v>30</v>
      </c>
      <c r="AC990" s="13">
        <v>3</v>
      </c>
      <c r="AD990" s="13">
        <v>7</v>
      </c>
      <c r="AE990" s="13">
        <v>1</v>
      </c>
      <c r="AF990" s="13">
        <v>7</v>
      </c>
      <c r="AG990" s="13">
        <v>7</v>
      </c>
      <c r="AH990" s="13">
        <v>0</v>
      </c>
      <c r="AI990" s="13">
        <v>0</v>
      </c>
      <c r="AJ990" s="13">
        <v>1</v>
      </c>
      <c r="AK990" s="13">
        <v>0</v>
      </c>
      <c r="AL990" s="13">
        <v>0</v>
      </c>
      <c r="AM990" s="13">
        <v>0</v>
      </c>
      <c r="AN990" s="13">
        <v>0</v>
      </c>
      <c r="AO990" s="14">
        <v>1</v>
      </c>
      <c r="AP990" s="13">
        <v>3</v>
      </c>
      <c r="AQ990" s="13">
        <v>11</v>
      </c>
      <c r="AR990" s="15">
        <v>413</v>
      </c>
      <c r="AS990" s="15">
        <v>443</v>
      </c>
    </row>
    <row r="991" spans="1:45" x14ac:dyDescent="0.25">
      <c r="A991">
        <v>388</v>
      </c>
      <c r="B991" s="11">
        <f t="shared" si="15"/>
        <v>55521</v>
      </c>
      <c r="C991" s="12">
        <v>555210</v>
      </c>
      <c r="D991" s="13">
        <v>1</v>
      </c>
      <c r="E991" s="13">
        <v>2</v>
      </c>
      <c r="F991" s="13">
        <v>11</v>
      </c>
      <c r="G991" s="13">
        <v>65</v>
      </c>
      <c r="H991" s="13" t="str" cm="1">
        <f t="array" ref="H991">_xlfn.IFS(G991&lt;=20,"0-20",G991&lt;=30,"20-30",G991&lt;=40,"30-40",G991&lt;=50,"50-60",G991&lt;=60,"60-70",G991&lt;=70,"70-80",G991&lt;=80,"80-90")</f>
        <v>70-80</v>
      </c>
      <c r="I991" s="13">
        <v>2409</v>
      </c>
      <c r="J991" s="13" t="str" cm="1">
        <f t="array" ref="J991">_xlfn.IFS(K991=1,"Divorciado",L991=1,"Casado",M991=1,"Solteiro",N991=1,"Juntos",O991=1,"Viuvo")</f>
        <v>Solteiro</v>
      </c>
      <c r="K991" s="13">
        <v>0</v>
      </c>
      <c r="L991" s="13">
        <v>0</v>
      </c>
      <c r="M991" s="13">
        <v>1</v>
      </c>
      <c r="N991" s="13">
        <v>0</v>
      </c>
      <c r="O991" s="13">
        <v>0</v>
      </c>
      <c r="P991" s="13">
        <v>0</v>
      </c>
      <c r="Q991" s="13">
        <v>0</v>
      </c>
      <c r="R991" s="13">
        <v>0</v>
      </c>
      <c r="S991" s="13">
        <v>0</v>
      </c>
      <c r="T991" s="13">
        <v>1</v>
      </c>
      <c r="U991" s="13">
        <v>416</v>
      </c>
      <c r="V991" s="13" t="str" cm="1">
        <f t="array" ref="V991">_xlfn.IFS(U991&lt;=250,"0-R$250",U991&lt;=500,"251-R$500",U991&lt;=750,"501-R$750",U991&lt;=1000,"751-R$1000",U991&lt;=1250,"1001-R$1250",U991&lt;=1500,"1251-R$1500")</f>
        <v>251-R$500</v>
      </c>
      <c r="W991" s="13">
        <v>0</v>
      </c>
      <c r="X991" s="13" t="str" cm="1">
        <f t="array" ref="X991">_xlfn.IFS(W991 = 0, "0", W991&lt;=20, "até R$20",W991&lt;=40, "21 - R$40",W991&lt;=60, "41- R$60",W991&lt;=80, "61 - R$80", W991&lt;=100, "81 - R$100",W991&lt;=120, "101 - R$120",W991&lt;=140, "121 - R$140", W991&lt;=160, "141- R$160", W991&lt;=180, "161 - R$180", W991&lt;=200, "181-R$194")</f>
        <v>0</v>
      </c>
      <c r="Y991" s="13">
        <v>26</v>
      </c>
      <c r="Z991" s="13">
        <v>0</v>
      </c>
      <c r="AA991" s="13">
        <v>0</v>
      </c>
      <c r="AB991" s="13">
        <v>4</v>
      </c>
      <c r="AC991" s="13">
        <v>9</v>
      </c>
      <c r="AD991" s="13">
        <v>6</v>
      </c>
      <c r="AE991" s="13">
        <v>3</v>
      </c>
      <c r="AF991" s="13">
        <v>6</v>
      </c>
      <c r="AG991" s="13">
        <v>7</v>
      </c>
      <c r="AH991" s="13">
        <v>0</v>
      </c>
      <c r="AI991" s="13">
        <v>0</v>
      </c>
      <c r="AJ991" s="13">
        <v>1</v>
      </c>
      <c r="AK991" s="13">
        <v>0</v>
      </c>
      <c r="AL991" s="13">
        <v>0</v>
      </c>
      <c r="AM991" s="13">
        <v>0</v>
      </c>
      <c r="AN991" s="13">
        <v>1</v>
      </c>
      <c r="AO991" s="14">
        <v>1</v>
      </c>
      <c r="AP991" s="13">
        <v>3</v>
      </c>
      <c r="AQ991" s="13">
        <v>11</v>
      </c>
      <c r="AR991" s="15">
        <v>438</v>
      </c>
      <c r="AS991" s="15">
        <v>442</v>
      </c>
    </row>
    <row r="992" spans="1:45" x14ac:dyDescent="0.25">
      <c r="A992">
        <v>1068</v>
      </c>
      <c r="B992" s="11">
        <f t="shared" si="15"/>
        <v>84460</v>
      </c>
      <c r="C992" s="12">
        <v>844600</v>
      </c>
      <c r="D992" s="13">
        <v>0</v>
      </c>
      <c r="E992" s="13">
        <v>0</v>
      </c>
      <c r="F992" s="13">
        <v>80</v>
      </c>
      <c r="G992" s="13">
        <v>62</v>
      </c>
      <c r="H992" s="13" t="str" cm="1">
        <f t="array" ref="H992">_xlfn.IFS(G992&lt;=20,"0-20",G992&lt;=30,"20-30",G992&lt;=40,"30-40",G992&lt;=50,"50-60",G992&lt;=60,"60-70",G992&lt;=70,"70-80",G992&lt;=80,"80-90")</f>
        <v>70-80</v>
      </c>
      <c r="I992" s="13">
        <v>2700</v>
      </c>
      <c r="J992" s="13" t="str" cm="1">
        <f t="array" ref="J992">_xlfn.IFS(K992=1,"Divorciado",L992=1,"Casado",M992=1,"Solteiro",N992=1,"Juntos",O992=1,"Viuvo")</f>
        <v>Juntos</v>
      </c>
      <c r="K992" s="13">
        <v>0</v>
      </c>
      <c r="L992" s="13">
        <v>0</v>
      </c>
      <c r="M992" s="13">
        <v>0</v>
      </c>
      <c r="N992" s="13">
        <v>1</v>
      </c>
      <c r="O992" s="13">
        <v>0</v>
      </c>
      <c r="P992" s="13">
        <v>0</v>
      </c>
      <c r="Q992" s="13">
        <v>0</v>
      </c>
      <c r="R992" s="13">
        <v>0</v>
      </c>
      <c r="S992" s="13">
        <v>0</v>
      </c>
      <c r="T992" s="13">
        <v>1</v>
      </c>
      <c r="U992" s="13">
        <v>152</v>
      </c>
      <c r="V992" s="13" t="str" cm="1">
        <f t="array" ref="V992">_xlfn.IFS(U992&lt;=250,"0-R$250",U992&lt;=500,"251-R$500",U992&lt;=750,"501-R$750",U992&lt;=1000,"751-R$1000",U992&lt;=1250,"1001-R$1250",U992&lt;=1500,"1251-R$1500")</f>
        <v>0-R$250</v>
      </c>
      <c r="W992" s="13">
        <v>27</v>
      </c>
      <c r="X992" s="13" t="str" cm="1">
        <f t="array" ref="X992">_xlfn.IFS(W992 = 0, "0", W992&lt;=20, "até R$20",W992&lt;=40, "21 - R$40",W992&lt;=60, "41- R$60",W992&lt;=80, "61 - R$80", W992&lt;=100, "81 - R$100",W992&lt;=120, "101 - R$120",W992&lt;=140, "121 - R$140", W992&lt;=160, "141- R$160", W992&lt;=180, "161 - R$180", W992&lt;=200, "181-R$194")</f>
        <v>21 - R$40</v>
      </c>
      <c r="Y992" s="13">
        <v>103</v>
      </c>
      <c r="Z992" s="13">
        <v>106</v>
      </c>
      <c r="AA992" s="13">
        <v>54</v>
      </c>
      <c r="AB992" s="13">
        <v>81</v>
      </c>
      <c r="AC992" s="13">
        <v>0</v>
      </c>
      <c r="AD992" s="13">
        <v>9</v>
      </c>
      <c r="AE992" s="13">
        <v>9</v>
      </c>
      <c r="AF992" s="13">
        <v>4</v>
      </c>
      <c r="AG992" s="13">
        <v>5</v>
      </c>
      <c r="AH992" s="13">
        <v>0</v>
      </c>
      <c r="AI992" s="13">
        <v>0</v>
      </c>
      <c r="AJ992" s="13">
        <v>1</v>
      </c>
      <c r="AK992" s="13">
        <v>1</v>
      </c>
      <c r="AL992" s="13">
        <v>1</v>
      </c>
      <c r="AM992" s="13">
        <v>1</v>
      </c>
      <c r="AN992" s="13">
        <v>1</v>
      </c>
      <c r="AO992" s="14">
        <v>4</v>
      </c>
      <c r="AP992" s="13">
        <v>3</v>
      </c>
      <c r="AQ992" s="13">
        <v>11</v>
      </c>
      <c r="AR992" s="15">
        <v>361</v>
      </c>
      <c r="AS992" s="15">
        <v>442</v>
      </c>
    </row>
    <row r="993" spans="1:45" x14ac:dyDescent="0.25">
      <c r="A993">
        <v>2165</v>
      </c>
      <c r="B993" s="11">
        <f t="shared" si="15"/>
        <v>55593</v>
      </c>
      <c r="C993" s="16">
        <v>555930</v>
      </c>
      <c r="D993" s="17">
        <v>0</v>
      </c>
      <c r="E993" s="17">
        <v>1</v>
      </c>
      <c r="F993" s="17">
        <v>63</v>
      </c>
      <c r="G993" s="17">
        <v>47</v>
      </c>
      <c r="H993" s="13" t="str" cm="1">
        <f t="array" ref="H993">_xlfn.IFS(G993&lt;=20,"0-20",G993&lt;=30,"20-30",G993&lt;=40,"30-40",G993&lt;=50,"50-60",G993&lt;=60,"60-70",G993&lt;=70,"70-80",G993&lt;=80,"80-90")</f>
        <v>50-60</v>
      </c>
      <c r="I993" s="17">
        <v>2471</v>
      </c>
      <c r="J993" s="13" t="str" cm="1">
        <f t="array" ref="J993">_xlfn.IFS(K993=1,"Divorciado",L993=1,"Casado",M993=1,"Solteiro",N993=1,"Juntos",O993=1,"Viuvo")</f>
        <v>Juntos</v>
      </c>
      <c r="K993" s="17">
        <v>0</v>
      </c>
      <c r="L993" s="17">
        <v>0</v>
      </c>
      <c r="M993" s="17">
        <v>0</v>
      </c>
      <c r="N993" s="17">
        <v>1</v>
      </c>
      <c r="O993" s="17">
        <v>0</v>
      </c>
      <c r="P993" s="17">
        <v>0</v>
      </c>
      <c r="Q993" s="17">
        <v>0</v>
      </c>
      <c r="R993" s="17">
        <v>1</v>
      </c>
      <c r="S993" s="17">
        <v>0</v>
      </c>
      <c r="T993" s="17">
        <v>0</v>
      </c>
      <c r="U993" s="17">
        <v>293</v>
      </c>
      <c r="V993" s="13" t="str" cm="1">
        <f t="array" ref="V993">_xlfn.IFS(U993&lt;=250,"0-R$250",U993&lt;=500,"251-R$500",U993&lt;=750,"501-R$750",U993&lt;=1000,"751-R$1000",U993&lt;=1250,"1001-R$1250",U993&lt;=1500,"1251-R$1500")</f>
        <v>251-R$500</v>
      </c>
      <c r="W993" s="17">
        <v>8</v>
      </c>
      <c r="X993" s="13" t="str" cm="1">
        <f t="array" ref="X993">_xlfn.IFS(W993 = 0, "0", W993&lt;=20, "até R$20",W993&lt;=40, "21 - R$40",W993&lt;=60, "41- R$60",W993&lt;=80, "61 - R$80", W993&lt;=100, "81 - R$100",W993&lt;=120, "101 - R$120",W993&lt;=140, "121 - R$140", W993&lt;=160, "141- R$160", W993&lt;=180, "161 - R$180", W993&lt;=200, "181-R$194")</f>
        <v>até R$20</v>
      </c>
      <c r="Y993" s="17">
        <v>124</v>
      </c>
      <c r="Z993" s="17">
        <v>11</v>
      </c>
      <c r="AA993" s="17">
        <v>4</v>
      </c>
      <c r="AB993" s="17">
        <v>106</v>
      </c>
      <c r="AC993" s="17">
        <v>2</v>
      </c>
      <c r="AD993" s="17">
        <v>6</v>
      </c>
      <c r="AE993" s="17">
        <v>6</v>
      </c>
      <c r="AF993" s="17">
        <v>3</v>
      </c>
      <c r="AG993" s="17">
        <v>6</v>
      </c>
      <c r="AH993" s="17">
        <v>0</v>
      </c>
      <c r="AI993" s="17">
        <v>1</v>
      </c>
      <c r="AJ993" s="17">
        <v>0</v>
      </c>
      <c r="AK993" s="17">
        <v>0</v>
      </c>
      <c r="AL993" s="17">
        <v>0</v>
      </c>
      <c r="AM993" s="17">
        <v>0</v>
      </c>
      <c r="AN993" s="17">
        <v>0</v>
      </c>
      <c r="AO993" s="18">
        <v>1</v>
      </c>
      <c r="AP993" s="17">
        <v>3</v>
      </c>
      <c r="AQ993" s="17">
        <v>11</v>
      </c>
      <c r="AR993" s="19">
        <v>334</v>
      </c>
      <c r="AS993" s="19">
        <v>440</v>
      </c>
    </row>
    <row r="994" spans="1:45" x14ac:dyDescent="0.25">
      <c r="A994">
        <v>462</v>
      </c>
      <c r="B994" s="11">
        <f t="shared" si="15"/>
        <v>62010</v>
      </c>
      <c r="C994" s="12">
        <v>620100</v>
      </c>
      <c r="D994" s="13">
        <v>0</v>
      </c>
      <c r="E994" s="13">
        <v>1</v>
      </c>
      <c r="F994" s="13">
        <v>93</v>
      </c>
      <c r="G994" s="13">
        <v>48</v>
      </c>
      <c r="H994" s="13" t="str" cm="1">
        <f t="array" ref="H994">_xlfn.IFS(G994&lt;=20,"0-20",G994&lt;=30,"20-30",G994&lt;=40,"30-40",G994&lt;=50,"50-60",G994&lt;=60,"60-70",G994&lt;=70,"70-80",G994&lt;=80,"80-90")</f>
        <v>50-60</v>
      </c>
      <c r="I994" s="13">
        <v>2773</v>
      </c>
      <c r="J994" s="13" t="str" cm="1">
        <f t="array" ref="J994">_xlfn.IFS(K994=1,"Divorciado",L994=1,"Casado",M994=1,"Solteiro",N994=1,"Juntos",O994=1,"Viuvo")</f>
        <v>Casado</v>
      </c>
      <c r="K994" s="13">
        <v>0</v>
      </c>
      <c r="L994" s="13">
        <v>1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1</v>
      </c>
      <c r="U994" s="13">
        <v>371</v>
      </c>
      <c r="V994" s="13" t="str" cm="1">
        <f t="array" ref="V994">_xlfn.IFS(U994&lt;=250,"0-R$250",U994&lt;=500,"251-R$500",U994&lt;=750,"501-R$750",U994&lt;=1000,"751-R$1000",U994&lt;=1250,"1001-R$1250",U994&lt;=1500,"1251-R$1500")</f>
        <v>251-R$500</v>
      </c>
      <c r="W994" s="13">
        <v>22</v>
      </c>
      <c r="X994" s="13" t="str" cm="1">
        <f t="array" ref="X994">_xlfn.IFS(W994 = 0, "0", W994&lt;=20, "até R$20",W994&lt;=40, "21 - R$40",W994&lt;=60, "41- R$60",W994&lt;=80, "61 - R$80", W994&lt;=100, "81 - R$100",W994&lt;=120, "101 - R$120",W994&lt;=140, "121 - R$140", W994&lt;=160, "141- R$160", W994&lt;=180, "161 - R$180", W994&lt;=200, "181-R$194")</f>
        <v>21 - R$40</v>
      </c>
      <c r="Y994" s="13">
        <v>39</v>
      </c>
      <c r="Z994" s="13">
        <v>6</v>
      </c>
      <c r="AA994" s="13">
        <v>0</v>
      </c>
      <c r="AB994" s="13">
        <v>92</v>
      </c>
      <c r="AC994" s="13">
        <v>4</v>
      </c>
      <c r="AD994" s="13">
        <v>6</v>
      </c>
      <c r="AE994" s="13">
        <v>2</v>
      </c>
      <c r="AF994" s="13">
        <v>7</v>
      </c>
      <c r="AG994" s="13">
        <v>5</v>
      </c>
      <c r="AH994" s="13">
        <v>0</v>
      </c>
      <c r="AI994" s="13">
        <v>0</v>
      </c>
      <c r="AJ994" s="13">
        <v>0</v>
      </c>
      <c r="AK994" s="13">
        <v>0</v>
      </c>
      <c r="AL994" s="13">
        <v>0</v>
      </c>
      <c r="AM994" s="13">
        <v>0</v>
      </c>
      <c r="AN994" s="13">
        <v>0</v>
      </c>
      <c r="AO994" s="14">
        <v>0</v>
      </c>
      <c r="AP994" s="13">
        <v>3</v>
      </c>
      <c r="AQ994" s="13">
        <v>11</v>
      </c>
      <c r="AR994" s="15">
        <v>346</v>
      </c>
      <c r="AS994" s="15">
        <v>438</v>
      </c>
    </row>
    <row r="995" spans="1:45" x14ac:dyDescent="0.25">
      <c r="A995">
        <v>1264</v>
      </c>
      <c r="B995" s="11">
        <f t="shared" si="15"/>
        <v>39767</v>
      </c>
      <c r="C995" s="12">
        <v>397670</v>
      </c>
      <c r="D995" s="13">
        <v>0</v>
      </c>
      <c r="E995" s="13">
        <v>0</v>
      </c>
      <c r="F995" s="13">
        <v>18</v>
      </c>
      <c r="G995" s="13">
        <v>69</v>
      </c>
      <c r="H995" s="13" t="str" cm="1">
        <f t="array" ref="H995">_xlfn.IFS(G995&lt;=20,"0-20",G995&lt;=30,"20-30",G995&lt;=40,"30-40",G995&lt;=50,"50-60",G995&lt;=60,"60-70",G995&lt;=70,"70-80",G995&lt;=80,"80-90")</f>
        <v>70-80</v>
      </c>
      <c r="I995" s="13">
        <v>2502</v>
      </c>
      <c r="J995" s="13" t="str" cm="1">
        <f t="array" ref="J995">_xlfn.IFS(K995=1,"Divorciado",L995=1,"Casado",M995=1,"Solteiro",N995=1,"Juntos",O995=1,"Viuvo")</f>
        <v>Juntos</v>
      </c>
      <c r="K995" s="13">
        <v>0</v>
      </c>
      <c r="L995" s="13">
        <v>0</v>
      </c>
      <c r="M995" s="13">
        <v>0</v>
      </c>
      <c r="N995" s="13">
        <v>1</v>
      </c>
      <c r="O995" s="13">
        <v>0</v>
      </c>
      <c r="P995" s="13">
        <v>0</v>
      </c>
      <c r="Q995" s="13">
        <v>0</v>
      </c>
      <c r="R995" s="13">
        <v>0</v>
      </c>
      <c r="S995" s="13">
        <v>1</v>
      </c>
      <c r="T995" s="13">
        <v>0</v>
      </c>
      <c r="U995" s="13">
        <v>113</v>
      </c>
      <c r="V995" s="13" t="str" cm="1">
        <f t="array" ref="V995">_xlfn.IFS(U995&lt;=250,"0-R$250",U995&lt;=500,"251-R$500",U995&lt;=750,"501-R$750",U995&lt;=1000,"751-R$1000",U995&lt;=1250,"1001-R$1250",U995&lt;=1500,"1251-R$1500")</f>
        <v>0-R$250</v>
      </c>
      <c r="W995" s="13">
        <v>61</v>
      </c>
      <c r="X995" s="13" t="str" cm="1">
        <f t="array" ref="X995">_xlfn.IFS(W995 = 0, "0", W995&lt;=20, "até R$20",W995&lt;=40, "21 - R$40",W995&lt;=60, "41- R$60",W995&lt;=80, "61 - R$80", W995&lt;=100, "81 - R$100",W995&lt;=120, "101 - R$120",W995&lt;=140, "121 - R$140", W995&lt;=160, "141- R$160", W995&lt;=180, "161 - R$180", W995&lt;=200, "181-R$194")</f>
        <v>61 - R$80</v>
      </c>
      <c r="Y995" s="13">
        <v>204</v>
      </c>
      <c r="Z995" s="13">
        <v>34</v>
      </c>
      <c r="AA995" s="13">
        <v>26</v>
      </c>
      <c r="AB995" s="13">
        <v>47</v>
      </c>
      <c r="AC995" s="13">
        <v>2</v>
      </c>
      <c r="AD995" s="13">
        <v>7</v>
      </c>
      <c r="AE995" s="13">
        <v>1</v>
      </c>
      <c r="AF995" s="13">
        <v>7</v>
      </c>
      <c r="AG995" s="13">
        <v>8</v>
      </c>
      <c r="AH995" s="13">
        <v>0</v>
      </c>
      <c r="AI995" s="13">
        <v>0</v>
      </c>
      <c r="AJ995" s="13">
        <v>0</v>
      </c>
      <c r="AK995" s="13">
        <v>0</v>
      </c>
      <c r="AL995" s="13">
        <v>0</v>
      </c>
      <c r="AM995" s="13">
        <v>0</v>
      </c>
      <c r="AN995" s="13">
        <v>0</v>
      </c>
      <c r="AO995" s="14">
        <v>0</v>
      </c>
      <c r="AP995" s="13">
        <v>3</v>
      </c>
      <c r="AQ995" s="13">
        <v>11</v>
      </c>
      <c r="AR995" s="15">
        <v>391</v>
      </c>
      <c r="AS995" s="15">
        <v>438</v>
      </c>
    </row>
    <row r="996" spans="1:45" x14ac:dyDescent="0.25">
      <c r="A996">
        <v>1860</v>
      </c>
      <c r="B996" s="11">
        <f t="shared" si="15"/>
        <v>52413</v>
      </c>
      <c r="C996" s="12">
        <v>524130</v>
      </c>
      <c r="D996" s="13">
        <v>1</v>
      </c>
      <c r="E996" s="13">
        <v>0</v>
      </c>
      <c r="F996" s="13">
        <v>67</v>
      </c>
      <c r="G996" s="13">
        <v>36</v>
      </c>
      <c r="H996" s="13" t="str" cm="1">
        <f t="array" ref="H996">_xlfn.IFS(G996&lt;=20,"0-20",G996&lt;=30,"20-30",G996&lt;=40,"30-40",G996&lt;=50,"50-60",G996&lt;=60,"60-70",G996&lt;=70,"70-80",G996&lt;=80,"80-90")</f>
        <v>30-40</v>
      </c>
      <c r="I996" s="13">
        <v>2762</v>
      </c>
      <c r="J996" s="13" t="str" cm="1">
        <f t="array" ref="J996">_xlfn.IFS(K996=1,"Divorciado",L996=1,"Casado",M996=1,"Solteiro",N996=1,"Juntos",O996=1,"Viuvo")</f>
        <v>Solteiro</v>
      </c>
      <c r="K996" s="13">
        <v>0</v>
      </c>
      <c r="L996" s="13">
        <v>0</v>
      </c>
      <c r="M996" s="13">
        <v>1</v>
      </c>
      <c r="N996" s="13">
        <v>0</v>
      </c>
      <c r="O996" s="13">
        <v>0</v>
      </c>
      <c r="P996" s="13">
        <v>0</v>
      </c>
      <c r="Q996" s="13">
        <v>0</v>
      </c>
      <c r="R996" s="13">
        <v>1</v>
      </c>
      <c r="S996" s="13">
        <v>0</v>
      </c>
      <c r="T996" s="13">
        <v>0</v>
      </c>
      <c r="U996" s="13">
        <v>185</v>
      </c>
      <c r="V996" s="13" t="str" cm="1">
        <f t="array" ref="V996">_xlfn.IFS(U996&lt;=250,"0-R$250",U996&lt;=500,"251-R$500",U996&lt;=750,"501-R$750",U996&lt;=1000,"751-R$1000",U996&lt;=1250,"1001-R$1250",U996&lt;=1500,"1251-R$1500")</f>
        <v>0-R$250</v>
      </c>
      <c r="W996" s="13">
        <v>8</v>
      </c>
      <c r="X996" s="13" t="str" cm="1">
        <f t="array" ref="X996">_xlfn.IFS(W996 = 0, "0", W996&lt;=20, "até R$20",W996&lt;=40, "21 - R$40",W996&lt;=60, "41- R$60",W996&lt;=80, "61 - R$80", W996&lt;=100, "81 - R$100",W996&lt;=120, "101 - R$120",W996&lt;=140, "121 - R$140", W996&lt;=160, "141- R$160", W996&lt;=180, "161 - R$180", W996&lt;=200, "181-R$194")</f>
        <v>até R$20</v>
      </c>
      <c r="Y996" s="13">
        <v>133</v>
      </c>
      <c r="Z996" s="13">
        <v>56</v>
      </c>
      <c r="AA996" s="13">
        <v>56</v>
      </c>
      <c r="AB996" s="13">
        <v>12</v>
      </c>
      <c r="AC996" s="13">
        <v>2</v>
      </c>
      <c r="AD996" s="13">
        <v>7</v>
      </c>
      <c r="AE996" s="13">
        <v>1</v>
      </c>
      <c r="AF996" s="13">
        <v>7</v>
      </c>
      <c r="AG996" s="13">
        <v>7</v>
      </c>
      <c r="AH996" s="13">
        <v>0</v>
      </c>
      <c r="AI996" s="13">
        <v>0</v>
      </c>
      <c r="AJ996" s="13">
        <v>0</v>
      </c>
      <c r="AK996" s="13">
        <v>0</v>
      </c>
      <c r="AL996" s="13">
        <v>0</v>
      </c>
      <c r="AM996" s="13">
        <v>0</v>
      </c>
      <c r="AN996" s="13">
        <v>0</v>
      </c>
      <c r="AO996" s="14">
        <v>0</v>
      </c>
      <c r="AP996" s="13">
        <v>3</v>
      </c>
      <c r="AQ996" s="13">
        <v>11</v>
      </c>
      <c r="AR996" s="15">
        <v>426</v>
      </c>
      <c r="AS996" s="15">
        <v>438</v>
      </c>
    </row>
    <row r="997" spans="1:45" x14ac:dyDescent="0.25">
      <c r="A997">
        <v>712</v>
      </c>
      <c r="B997" s="11">
        <f t="shared" si="15"/>
        <v>53593</v>
      </c>
      <c r="C997" s="12">
        <v>535930</v>
      </c>
      <c r="D997" s="13">
        <v>1</v>
      </c>
      <c r="E997" s="13">
        <v>1</v>
      </c>
      <c r="F997" s="13">
        <v>60</v>
      </c>
      <c r="G997" s="13">
        <v>67</v>
      </c>
      <c r="H997" s="13" t="str" cm="1">
        <f t="array" ref="H997">_xlfn.IFS(G997&lt;=20,"0-20",G997&lt;=30,"20-30",G997&lt;=40,"30-40",G997&lt;=50,"50-60",G997&lt;=60,"60-70",G997&lt;=70,"70-80",G997&lt;=80,"80-90")</f>
        <v>70-80</v>
      </c>
      <c r="I997" s="13">
        <v>2850</v>
      </c>
      <c r="J997" s="13" t="str" cm="1">
        <f t="array" ref="J997">_xlfn.IFS(K997=1,"Divorciado",L997=1,"Casado",M997=1,"Solteiro",N997=1,"Juntos",O997=1,"Viuvo")</f>
        <v>Juntos</v>
      </c>
      <c r="K997" s="13">
        <v>0</v>
      </c>
      <c r="L997" s="13">
        <v>0</v>
      </c>
      <c r="M997" s="13">
        <v>0</v>
      </c>
      <c r="N997" s="13">
        <v>1</v>
      </c>
      <c r="O997" s="13">
        <v>0</v>
      </c>
      <c r="P997" s="13">
        <v>0</v>
      </c>
      <c r="Q997" s="13">
        <v>0</v>
      </c>
      <c r="R997" s="13">
        <v>0</v>
      </c>
      <c r="S997" s="13">
        <v>0</v>
      </c>
      <c r="T997" s="13">
        <v>1</v>
      </c>
      <c r="U997" s="13">
        <v>349</v>
      </c>
      <c r="V997" s="13" t="str" cm="1">
        <f t="array" ref="V997">_xlfn.IFS(U997&lt;=250,"0-R$250",U997&lt;=500,"251-R$500",U997&lt;=750,"501-R$750",U997&lt;=1000,"751-R$1000",U997&lt;=1250,"1001-R$1250",U997&lt;=1500,"1251-R$1500")</f>
        <v>251-R$500</v>
      </c>
      <c r="W997" s="13">
        <v>4</v>
      </c>
      <c r="X997" s="13" t="str" cm="1">
        <f t="array" ref="X997">_xlfn.IFS(W997 = 0, "0", W997&lt;=20, "até R$20",W997&lt;=40, "21 - R$40",W997&lt;=60, "41- R$60",W997&lt;=80, "61 - R$80", W997&lt;=100, "81 - R$100",W997&lt;=120, "101 - R$120",W997&lt;=140, "121 - R$140", W997&lt;=160, "141- R$160", W997&lt;=180, "161 - R$180", W997&lt;=200, "181-R$194")</f>
        <v>até R$20</v>
      </c>
      <c r="Y997" s="13">
        <v>78</v>
      </c>
      <c r="Z997" s="13">
        <v>6</v>
      </c>
      <c r="AA997" s="13">
        <v>0</v>
      </c>
      <c r="AB997" s="13">
        <v>43</v>
      </c>
      <c r="AC997" s="13">
        <v>8</v>
      </c>
      <c r="AD997" s="13">
        <v>7</v>
      </c>
      <c r="AE997" s="13">
        <v>2</v>
      </c>
      <c r="AF997" s="13">
        <v>6</v>
      </c>
      <c r="AG997" s="13">
        <v>8</v>
      </c>
      <c r="AH997" s="13">
        <v>0</v>
      </c>
      <c r="AI997" s="13">
        <v>0</v>
      </c>
      <c r="AJ997" s="13">
        <v>0</v>
      </c>
      <c r="AK997" s="13">
        <v>0</v>
      </c>
      <c r="AL997" s="13">
        <v>0</v>
      </c>
      <c r="AM997" s="13">
        <v>0</v>
      </c>
      <c r="AN997" s="13">
        <v>0</v>
      </c>
      <c r="AO997" s="14">
        <v>0</v>
      </c>
      <c r="AP997" s="13">
        <v>3</v>
      </c>
      <c r="AQ997" s="13">
        <v>11</v>
      </c>
      <c r="AR997" s="15">
        <v>394</v>
      </c>
      <c r="AS997" s="15">
        <v>437</v>
      </c>
    </row>
    <row r="998" spans="1:45" x14ac:dyDescent="0.25">
      <c r="A998">
        <v>786</v>
      </c>
      <c r="B998" s="11">
        <f t="shared" si="15"/>
        <v>49681</v>
      </c>
      <c r="C998" s="12">
        <v>496810</v>
      </c>
      <c r="D998" s="13">
        <v>0</v>
      </c>
      <c r="E998" s="13">
        <v>2</v>
      </c>
      <c r="F998" s="13">
        <v>66</v>
      </c>
      <c r="G998" s="13">
        <v>44</v>
      </c>
      <c r="H998" s="13" t="str" cm="1">
        <f t="array" ref="H998">_xlfn.IFS(G998&lt;=20,"0-20",G998&lt;=30,"20-30",G998&lt;=40,"30-40",G998&lt;=50,"50-60",G998&lt;=60,"60-70",G998&lt;=70,"70-80",G998&lt;=80,"80-90")</f>
        <v>50-60</v>
      </c>
      <c r="I998" s="13">
        <v>2396</v>
      </c>
      <c r="J998" s="13" t="str" cm="1">
        <f t="array" ref="J998">_xlfn.IFS(K998=1,"Divorciado",L998=1,"Casado",M998=1,"Solteiro",N998=1,"Juntos",O998=1,"Viuvo")</f>
        <v>Casado</v>
      </c>
      <c r="K998" s="13">
        <v>0</v>
      </c>
      <c r="L998" s="13">
        <v>1</v>
      </c>
      <c r="M998" s="13">
        <v>0</v>
      </c>
      <c r="N998" s="13">
        <v>0</v>
      </c>
      <c r="O998" s="13">
        <v>0</v>
      </c>
      <c r="P998" s="13">
        <v>0</v>
      </c>
      <c r="Q998" s="13">
        <v>0</v>
      </c>
      <c r="R998" s="13">
        <v>0</v>
      </c>
      <c r="S998" s="13">
        <v>1</v>
      </c>
      <c r="T998" s="13">
        <v>0</v>
      </c>
      <c r="U998" s="13">
        <v>411</v>
      </c>
      <c r="V998" s="13" t="str" cm="1">
        <f t="array" ref="V998">_xlfn.IFS(U998&lt;=250,"0-R$250",U998&lt;=500,"251-R$500",U998&lt;=750,"501-R$750",U998&lt;=1000,"751-R$1000",U998&lt;=1250,"1001-R$1250",U998&lt;=1500,"1251-R$1500")</f>
        <v>251-R$500</v>
      </c>
      <c r="W998" s="13">
        <v>0</v>
      </c>
      <c r="X998" s="13" t="str" cm="1">
        <f t="array" ref="X998">_xlfn.IFS(W998 = 0, "0", W998&lt;=20, "até R$20",W998&lt;=40, "21 - R$40",W998&lt;=60, "41- R$60",W998&lt;=80, "61 - R$80", W998&lt;=100, "81 - R$100",W998&lt;=120, "101 - R$120",W998&lt;=140, "121 - R$140", W998&lt;=160, "141- R$160", W998&lt;=180, "161 - R$180", W998&lt;=200, "181-R$194")</f>
        <v>0</v>
      </c>
      <c r="Y998" s="13">
        <v>26</v>
      </c>
      <c r="Z998" s="13">
        <v>0</v>
      </c>
      <c r="AA998" s="13">
        <v>0</v>
      </c>
      <c r="AB998" s="13">
        <v>21</v>
      </c>
      <c r="AC998" s="13">
        <v>6</v>
      </c>
      <c r="AD998" s="13">
        <v>7</v>
      </c>
      <c r="AE998" s="13">
        <v>1</v>
      </c>
      <c r="AF998" s="13">
        <v>7</v>
      </c>
      <c r="AG998" s="13">
        <v>7</v>
      </c>
      <c r="AH998" s="13">
        <v>0</v>
      </c>
      <c r="AI998" s="13">
        <v>0</v>
      </c>
      <c r="AJ998" s="13">
        <v>0</v>
      </c>
      <c r="AK998" s="13">
        <v>0</v>
      </c>
      <c r="AL998" s="13">
        <v>0</v>
      </c>
      <c r="AM998" s="13">
        <v>0</v>
      </c>
      <c r="AN998" s="13">
        <v>0</v>
      </c>
      <c r="AO998" s="14">
        <v>0</v>
      </c>
      <c r="AP998" s="13">
        <v>3</v>
      </c>
      <c r="AQ998" s="13">
        <v>11</v>
      </c>
      <c r="AR998" s="15">
        <v>416</v>
      </c>
      <c r="AS998" s="15">
        <v>437</v>
      </c>
    </row>
    <row r="999" spans="1:45" x14ac:dyDescent="0.25">
      <c r="A999">
        <v>1384</v>
      </c>
      <c r="B999" s="11">
        <f t="shared" si="15"/>
        <v>57045</v>
      </c>
      <c r="C999" s="12">
        <v>570450</v>
      </c>
      <c r="D999" s="13">
        <v>0</v>
      </c>
      <c r="E999" s="13">
        <v>1</v>
      </c>
      <c r="F999" s="13">
        <v>40</v>
      </c>
      <c r="G999" s="13">
        <v>70</v>
      </c>
      <c r="H999" s="13" t="str" cm="1">
        <f t="array" ref="H999">_xlfn.IFS(G999&lt;=20,"0-20",G999&lt;=30,"20-30",G999&lt;=40,"30-40",G999&lt;=50,"50-60",G999&lt;=60,"60-70",G999&lt;=70,"70-80",G999&lt;=80,"80-90")</f>
        <v>70-80</v>
      </c>
      <c r="I999" s="13">
        <v>2818</v>
      </c>
      <c r="J999" s="13" t="str" cm="1">
        <f t="array" ref="J999">_xlfn.IFS(K999=1,"Divorciado",L999=1,"Casado",M999=1,"Solteiro",N999=1,"Juntos",O999=1,"Viuvo")</f>
        <v>Casado</v>
      </c>
      <c r="K999" s="13">
        <v>0</v>
      </c>
      <c r="L999" s="13">
        <v>1</v>
      </c>
      <c r="M999" s="13">
        <v>0</v>
      </c>
      <c r="N999" s="13">
        <v>0</v>
      </c>
      <c r="O999" s="13">
        <v>0</v>
      </c>
      <c r="P999" s="13">
        <v>0</v>
      </c>
      <c r="Q999" s="13">
        <v>0</v>
      </c>
      <c r="R999" s="13">
        <v>1</v>
      </c>
      <c r="S999" s="13">
        <v>0</v>
      </c>
      <c r="T999" s="13">
        <v>0</v>
      </c>
      <c r="U999" s="13">
        <v>296</v>
      </c>
      <c r="V999" s="13" t="str" cm="1">
        <f t="array" ref="V999">_xlfn.IFS(U999&lt;=250,"0-R$250",U999&lt;=500,"251-R$500",U999&lt;=750,"501-R$750",U999&lt;=1000,"751-R$1000",U999&lt;=1250,"1001-R$1250",U999&lt;=1500,"1251-R$1500")</f>
        <v>251-R$500</v>
      </c>
      <c r="W999" s="13">
        <v>13</v>
      </c>
      <c r="X999" s="13" t="str" cm="1">
        <f t="array" ref="X999">_xlfn.IFS(W999 = 0, "0", W999&lt;=20, "até R$20",W999&lt;=40, "21 - R$40",W999&lt;=60, "41- R$60",W999&lt;=80, "61 - R$80", W999&lt;=100, "81 - R$100",W999&lt;=120, "101 - R$120",W999&lt;=140, "121 - R$140", W999&lt;=160, "141- R$160", W999&lt;=180, "161 - R$180", W999&lt;=200, "181-R$194")</f>
        <v>até R$20</v>
      </c>
      <c r="Y999" s="13">
        <v>104</v>
      </c>
      <c r="Z999" s="13">
        <v>11</v>
      </c>
      <c r="AA999" s="13">
        <v>13</v>
      </c>
      <c r="AB999" s="13">
        <v>17</v>
      </c>
      <c r="AC999" s="13">
        <v>3</v>
      </c>
      <c r="AD999" s="13">
        <v>4</v>
      </c>
      <c r="AE999" s="13">
        <v>2</v>
      </c>
      <c r="AF999" s="13">
        <v>9</v>
      </c>
      <c r="AG999" s="13">
        <v>3</v>
      </c>
      <c r="AH999" s="13">
        <v>0</v>
      </c>
      <c r="AI999" s="13">
        <v>0</v>
      </c>
      <c r="AJ999" s="13">
        <v>0</v>
      </c>
      <c r="AK999" s="13">
        <v>0</v>
      </c>
      <c r="AL999" s="13">
        <v>0</v>
      </c>
      <c r="AM999" s="13">
        <v>0</v>
      </c>
      <c r="AN999" s="13">
        <v>0</v>
      </c>
      <c r="AO999" s="14">
        <v>0</v>
      </c>
      <c r="AP999" s="13">
        <v>3</v>
      </c>
      <c r="AQ999" s="13">
        <v>11</v>
      </c>
      <c r="AR999" s="15">
        <v>420</v>
      </c>
      <c r="AS999" s="15">
        <v>437</v>
      </c>
    </row>
    <row r="1000" spans="1:45" x14ac:dyDescent="0.25">
      <c r="A1000">
        <v>1537</v>
      </c>
      <c r="B1000" s="11">
        <f t="shared" si="15"/>
        <v>49681</v>
      </c>
      <c r="C1000" s="16">
        <v>496810</v>
      </c>
      <c r="D1000" s="17">
        <v>0</v>
      </c>
      <c r="E1000" s="17">
        <v>2</v>
      </c>
      <c r="F1000" s="17">
        <v>66</v>
      </c>
      <c r="G1000" s="17">
        <v>44</v>
      </c>
      <c r="H1000" s="13" t="str" cm="1">
        <f t="array" ref="H1000">_xlfn.IFS(G1000&lt;=20,"0-20",G1000&lt;=30,"20-30",G1000&lt;=40,"30-40",G1000&lt;=50,"50-60",G1000&lt;=60,"60-70",G1000&lt;=70,"70-80",G1000&lt;=80,"80-90")</f>
        <v>50-60</v>
      </c>
      <c r="I1000" s="17">
        <v>2396</v>
      </c>
      <c r="J1000" s="13" t="str" cm="1">
        <f t="array" ref="J1000">_xlfn.IFS(K1000=1,"Divorciado",L1000=1,"Casado",M1000=1,"Solteiro",N1000=1,"Juntos",O1000=1,"Viuvo")</f>
        <v>Casado</v>
      </c>
      <c r="K1000" s="17">
        <v>0</v>
      </c>
      <c r="L1000" s="17">
        <v>1</v>
      </c>
      <c r="M1000" s="17">
        <v>0</v>
      </c>
      <c r="N1000" s="17">
        <v>0</v>
      </c>
      <c r="O1000" s="17">
        <v>0</v>
      </c>
      <c r="P1000" s="17">
        <v>0</v>
      </c>
      <c r="Q1000" s="17">
        <v>0</v>
      </c>
      <c r="R1000" s="17">
        <v>0</v>
      </c>
      <c r="S1000" s="17">
        <v>1</v>
      </c>
      <c r="T1000" s="17">
        <v>0</v>
      </c>
      <c r="U1000" s="17">
        <v>411</v>
      </c>
      <c r="V1000" s="13" t="str" cm="1">
        <f t="array" ref="V1000">_xlfn.IFS(U1000&lt;=250,"0-R$250",U1000&lt;=500,"251-R$500",U1000&lt;=750,"501-R$750",U1000&lt;=1000,"751-R$1000",U1000&lt;=1250,"1001-R$1250",U1000&lt;=1500,"1251-R$1500")</f>
        <v>251-R$500</v>
      </c>
      <c r="W1000" s="17">
        <v>0</v>
      </c>
      <c r="X1000" s="13" t="str" cm="1">
        <f t="array" ref="X1000">_xlfn.IFS(W1000 = 0, "0", W1000&lt;=20, "até R$20",W1000&lt;=40, "21 - R$40",W1000&lt;=60, "41- R$60",W1000&lt;=80, "61 - R$80", W1000&lt;=100, "81 - R$100",W1000&lt;=120, "101 - R$120",W1000&lt;=140, "121 - R$140", W1000&lt;=160, "141- R$160", W1000&lt;=180, "161 - R$180", W1000&lt;=200, "181-R$194")</f>
        <v>0</v>
      </c>
      <c r="Y1000" s="17">
        <v>26</v>
      </c>
      <c r="Z1000" s="17">
        <v>0</v>
      </c>
      <c r="AA1000" s="17">
        <v>0</v>
      </c>
      <c r="AB1000" s="17">
        <v>21</v>
      </c>
      <c r="AC1000" s="17">
        <v>6</v>
      </c>
      <c r="AD1000" s="17">
        <v>7</v>
      </c>
      <c r="AE1000" s="17">
        <v>1</v>
      </c>
      <c r="AF1000" s="17">
        <v>7</v>
      </c>
      <c r="AG1000" s="17">
        <v>7</v>
      </c>
      <c r="AH1000" s="17">
        <v>0</v>
      </c>
      <c r="AI1000" s="17">
        <v>0</v>
      </c>
      <c r="AJ1000" s="17">
        <v>0</v>
      </c>
      <c r="AK1000" s="17">
        <v>0</v>
      </c>
      <c r="AL1000" s="17">
        <v>0</v>
      </c>
      <c r="AM1000" s="17">
        <v>0</v>
      </c>
      <c r="AN1000" s="17">
        <v>0</v>
      </c>
      <c r="AO1000" s="18">
        <v>0</v>
      </c>
      <c r="AP1000" s="17">
        <v>3</v>
      </c>
      <c r="AQ1000" s="17">
        <v>11</v>
      </c>
      <c r="AR1000" s="19">
        <v>416</v>
      </c>
      <c r="AS1000" s="19">
        <v>437</v>
      </c>
    </row>
    <row r="1001" spans="1:45" x14ac:dyDescent="0.25">
      <c r="A1001">
        <v>1463</v>
      </c>
      <c r="B1001" s="11">
        <f t="shared" si="15"/>
        <v>64014</v>
      </c>
      <c r="C1001" s="16">
        <v>640140</v>
      </c>
      <c r="D1001" s="17">
        <v>2</v>
      </c>
      <c r="E1001" s="17">
        <v>1</v>
      </c>
      <c r="F1001" s="17">
        <v>56</v>
      </c>
      <c r="G1001" s="17">
        <v>74</v>
      </c>
      <c r="H1001" s="13" t="str" cm="1">
        <f t="array" ref="H1001">_xlfn.IFS(G1001&lt;=20,"0-20",G1001&lt;=30,"20-30",G1001&lt;=40,"30-40",G1001&lt;=50,"50-60",G1001&lt;=60,"60-70",G1001&lt;=70,"70-80",G1001&lt;=80,"80-90")</f>
        <v>80-90</v>
      </c>
      <c r="I1001" s="17">
        <v>2178</v>
      </c>
      <c r="J1001" s="13" t="str" cm="1">
        <f t="array" ref="J1001">_xlfn.IFS(K1001=1,"Divorciado",L1001=1,"Casado",M1001=1,"Solteiro",N1001=1,"Juntos",O1001=1,"Viuvo")</f>
        <v>Juntos</v>
      </c>
      <c r="K1001" s="17">
        <v>0</v>
      </c>
      <c r="L1001" s="17">
        <v>0</v>
      </c>
      <c r="M1001" s="17">
        <v>0</v>
      </c>
      <c r="N1001" s="17">
        <v>1</v>
      </c>
      <c r="O1001" s="17">
        <v>0</v>
      </c>
      <c r="P1001" s="17">
        <v>0</v>
      </c>
      <c r="Q1001" s="17">
        <v>0</v>
      </c>
      <c r="R1001" s="17">
        <v>0</v>
      </c>
      <c r="S1001" s="17">
        <v>0</v>
      </c>
      <c r="T1001" s="17">
        <v>1</v>
      </c>
      <c r="U1001" s="17">
        <v>406</v>
      </c>
      <c r="V1001" s="13" t="str" cm="1">
        <f t="array" ref="V1001">_xlfn.IFS(U1001&lt;=250,"0-R$250",U1001&lt;=500,"251-R$500",U1001&lt;=750,"501-R$750",U1001&lt;=1000,"751-R$1000",U1001&lt;=1250,"1001-R$1250",U1001&lt;=1500,"1251-R$1500")</f>
        <v>251-R$500</v>
      </c>
      <c r="W1001" s="17">
        <v>0</v>
      </c>
      <c r="X1001" s="13" t="str" cm="1">
        <f t="array" ref="X1001">_xlfn.IFS(W1001 = 0, "0", W1001&lt;=20, "até R$20",W1001&lt;=40, "21 - R$40",W1001&lt;=60, "41- R$60",W1001&lt;=80, "61 - R$80", W1001&lt;=100, "81 - R$100",W1001&lt;=120, "101 - R$120",W1001&lt;=140, "121 - R$140", W1001&lt;=160, "141- R$160", W1001&lt;=180, "161 - R$180", W1001&lt;=200, "181-R$194")</f>
        <v>0</v>
      </c>
      <c r="Y1001" s="17">
        <v>30</v>
      </c>
      <c r="Z1001" s="17">
        <v>0</v>
      </c>
      <c r="AA1001" s="17">
        <v>0</v>
      </c>
      <c r="AB1001" s="17">
        <v>8</v>
      </c>
      <c r="AC1001" s="17">
        <v>7</v>
      </c>
      <c r="AD1001" s="17">
        <v>8</v>
      </c>
      <c r="AE1001" s="17">
        <v>2</v>
      </c>
      <c r="AF1001" s="17">
        <v>5</v>
      </c>
      <c r="AG1001" s="17">
        <v>7</v>
      </c>
      <c r="AH1001" s="17">
        <v>0</v>
      </c>
      <c r="AI1001" s="17">
        <v>0</v>
      </c>
      <c r="AJ1001" s="17">
        <v>0</v>
      </c>
      <c r="AK1001" s="17">
        <v>0</v>
      </c>
      <c r="AL1001" s="17">
        <v>1</v>
      </c>
      <c r="AM1001" s="17">
        <v>0</v>
      </c>
      <c r="AN1001" s="17">
        <v>0</v>
      </c>
      <c r="AO1001" s="18">
        <v>1</v>
      </c>
      <c r="AP1001" s="17">
        <v>3</v>
      </c>
      <c r="AQ1001" s="17">
        <v>11</v>
      </c>
      <c r="AR1001" s="19">
        <v>428</v>
      </c>
      <c r="AS1001" s="19">
        <v>436</v>
      </c>
    </row>
    <row r="1002" spans="1:45" x14ac:dyDescent="0.25">
      <c r="A1002">
        <v>2202</v>
      </c>
      <c r="B1002" s="11">
        <f t="shared" si="15"/>
        <v>64014</v>
      </c>
      <c r="C1002" s="12">
        <v>640140</v>
      </c>
      <c r="D1002" s="13">
        <v>2</v>
      </c>
      <c r="E1002" s="13">
        <v>1</v>
      </c>
      <c r="F1002" s="13">
        <v>56</v>
      </c>
      <c r="G1002" s="13">
        <v>74</v>
      </c>
      <c r="H1002" s="13" t="str" cm="1">
        <f t="array" ref="H1002">_xlfn.IFS(G1002&lt;=20,"0-20",G1002&lt;=30,"20-30",G1002&lt;=40,"30-40",G1002&lt;=50,"50-60",G1002&lt;=60,"60-70",G1002&lt;=70,"70-80",G1002&lt;=80,"80-90")</f>
        <v>80-90</v>
      </c>
      <c r="I1002" s="13">
        <v>2178</v>
      </c>
      <c r="J1002" s="13" t="str" cm="1">
        <f t="array" ref="J1002">_xlfn.IFS(K1002=1,"Divorciado",L1002=1,"Casado",M1002=1,"Solteiro",N1002=1,"Juntos",O1002=1,"Viuvo")</f>
        <v>Juntos</v>
      </c>
      <c r="K1002" s="13">
        <v>0</v>
      </c>
      <c r="L1002" s="13">
        <v>0</v>
      </c>
      <c r="M1002" s="13">
        <v>0</v>
      </c>
      <c r="N1002" s="13">
        <v>1</v>
      </c>
      <c r="O1002" s="13">
        <v>0</v>
      </c>
      <c r="P1002" s="13">
        <v>0</v>
      </c>
      <c r="Q1002" s="13">
        <v>0</v>
      </c>
      <c r="R1002" s="13">
        <v>0</v>
      </c>
      <c r="S1002" s="13">
        <v>0</v>
      </c>
      <c r="T1002" s="13">
        <v>1</v>
      </c>
      <c r="U1002" s="13">
        <v>406</v>
      </c>
      <c r="V1002" s="13" t="str" cm="1">
        <f t="array" ref="V1002">_xlfn.IFS(U1002&lt;=250,"0-R$250",U1002&lt;=500,"251-R$500",U1002&lt;=750,"501-R$750",U1002&lt;=1000,"751-R$1000",U1002&lt;=1250,"1001-R$1250",U1002&lt;=1500,"1251-R$1500")</f>
        <v>251-R$500</v>
      </c>
      <c r="W1002" s="13">
        <v>0</v>
      </c>
      <c r="X1002" s="13" t="str" cm="1">
        <f t="array" ref="X1002">_xlfn.IFS(W1002 = 0, "0", W1002&lt;=20, "até R$20",W1002&lt;=40, "21 - R$40",W1002&lt;=60, "41- R$60",W1002&lt;=80, "61 - R$80", W1002&lt;=100, "81 - R$100",W1002&lt;=120, "101 - R$120",W1002&lt;=140, "121 - R$140", W1002&lt;=160, "141- R$160", W1002&lt;=180, "161 - R$180", W1002&lt;=200, "181-R$194")</f>
        <v>0</v>
      </c>
      <c r="Y1002" s="13">
        <v>30</v>
      </c>
      <c r="Z1002" s="13">
        <v>0</v>
      </c>
      <c r="AA1002" s="13">
        <v>0</v>
      </c>
      <c r="AB1002" s="13">
        <v>8</v>
      </c>
      <c r="AC1002" s="13">
        <v>7</v>
      </c>
      <c r="AD1002" s="13">
        <v>8</v>
      </c>
      <c r="AE1002" s="13">
        <v>2</v>
      </c>
      <c r="AF1002" s="13">
        <v>5</v>
      </c>
      <c r="AG1002" s="13">
        <v>7</v>
      </c>
      <c r="AH1002" s="13">
        <v>0</v>
      </c>
      <c r="AI1002" s="13">
        <v>0</v>
      </c>
      <c r="AJ1002" s="13">
        <v>0</v>
      </c>
      <c r="AK1002" s="13">
        <v>0</v>
      </c>
      <c r="AL1002" s="13">
        <v>1</v>
      </c>
      <c r="AM1002" s="13">
        <v>0</v>
      </c>
      <c r="AN1002" s="13">
        <v>0</v>
      </c>
      <c r="AO1002" s="14">
        <v>1</v>
      </c>
      <c r="AP1002" s="13">
        <v>3</v>
      </c>
      <c r="AQ1002" s="13">
        <v>11</v>
      </c>
      <c r="AR1002" s="15">
        <v>428</v>
      </c>
      <c r="AS1002" s="15">
        <v>436</v>
      </c>
    </row>
    <row r="1003" spans="1:45" x14ac:dyDescent="0.25">
      <c r="A1003">
        <v>1599</v>
      </c>
      <c r="B1003" s="11">
        <f t="shared" si="15"/>
        <v>50664</v>
      </c>
      <c r="C1003" s="16">
        <v>506640</v>
      </c>
      <c r="D1003" s="17">
        <v>1</v>
      </c>
      <c r="E1003" s="17">
        <v>1</v>
      </c>
      <c r="F1003" s="17">
        <v>64</v>
      </c>
      <c r="G1003" s="17">
        <v>61</v>
      </c>
      <c r="H1003" s="13" t="str" cm="1">
        <f t="array" ref="H1003">_xlfn.IFS(G1003&lt;=20,"0-20",G1003&lt;=30,"20-30",G1003&lt;=40,"30-40",G1003&lt;=50,"50-60",G1003&lt;=60,"60-70",G1003&lt;=70,"70-80",G1003&lt;=80,"80-90")</f>
        <v>70-80</v>
      </c>
      <c r="I1003" s="17">
        <v>2688</v>
      </c>
      <c r="J1003" s="13" t="str" cm="1">
        <f t="array" ref="J1003">_xlfn.IFS(K1003=1,"Divorciado",L1003=1,"Casado",M1003=1,"Solteiro",N1003=1,"Juntos",O1003=1,"Viuvo")</f>
        <v>Solteiro</v>
      </c>
      <c r="K1003" s="17">
        <v>0</v>
      </c>
      <c r="L1003" s="17">
        <v>0</v>
      </c>
      <c r="M1003" s="17">
        <v>1</v>
      </c>
      <c r="N1003" s="17">
        <v>0</v>
      </c>
      <c r="O1003" s="17">
        <v>0</v>
      </c>
      <c r="P1003" s="17">
        <v>0</v>
      </c>
      <c r="Q1003" s="17">
        <v>0</v>
      </c>
      <c r="R1003" s="17">
        <v>1</v>
      </c>
      <c r="S1003" s="17">
        <v>0</v>
      </c>
      <c r="T1003" s="17">
        <v>0</v>
      </c>
      <c r="U1003" s="17">
        <v>313</v>
      </c>
      <c r="V1003" s="13" t="str" cm="1">
        <f t="array" ref="V1003">_xlfn.IFS(U1003&lt;=250,"0-R$250",U1003&lt;=500,"251-R$500",U1003&lt;=750,"501-R$750",U1003&lt;=1000,"751-R$1000",U1003&lt;=1250,"1001-R$1250",U1003&lt;=1500,"1251-R$1500")</f>
        <v>251-R$500</v>
      </c>
      <c r="W1003" s="17">
        <v>8</v>
      </c>
      <c r="X1003" s="13" t="str" cm="1">
        <f t="array" ref="X1003">_xlfn.IFS(W1003 = 0, "0", W1003&lt;=20, "até R$20",W1003&lt;=40, "21 - R$40",W1003&lt;=60, "41- R$60",W1003&lt;=80, "61 - R$80", W1003&lt;=100, "81 - R$100",W1003&lt;=120, "101 - R$120",W1003&lt;=140, "121 - R$140", W1003&lt;=160, "141- R$160", W1003&lt;=180, "161 - R$180", W1003&lt;=200, "181-R$194")</f>
        <v>até R$20</v>
      </c>
      <c r="Y1003" s="17">
        <v>104</v>
      </c>
      <c r="Z1003" s="17">
        <v>6</v>
      </c>
      <c r="AA1003" s="17">
        <v>4</v>
      </c>
      <c r="AB1003" s="17">
        <v>126</v>
      </c>
      <c r="AC1003" s="17">
        <v>9</v>
      </c>
      <c r="AD1003" s="17">
        <v>8</v>
      </c>
      <c r="AE1003" s="17">
        <v>1</v>
      </c>
      <c r="AF1003" s="17">
        <v>6</v>
      </c>
      <c r="AG1003" s="17">
        <v>9</v>
      </c>
      <c r="AH1003" s="17">
        <v>0</v>
      </c>
      <c r="AI1003" s="17">
        <v>0</v>
      </c>
      <c r="AJ1003" s="17">
        <v>0</v>
      </c>
      <c r="AK1003" s="17">
        <v>0</v>
      </c>
      <c r="AL1003" s="17">
        <v>0</v>
      </c>
      <c r="AM1003" s="17">
        <v>0</v>
      </c>
      <c r="AN1003" s="17">
        <v>0</v>
      </c>
      <c r="AO1003" s="18">
        <v>0</v>
      </c>
      <c r="AP1003" s="17">
        <v>3</v>
      </c>
      <c r="AQ1003" s="17">
        <v>11</v>
      </c>
      <c r="AR1003" s="19">
        <v>309</v>
      </c>
      <c r="AS1003" s="19">
        <v>435</v>
      </c>
    </row>
    <row r="1004" spans="1:45" x14ac:dyDescent="0.25">
      <c r="A1004">
        <v>1728</v>
      </c>
      <c r="B1004" s="11">
        <f t="shared" si="15"/>
        <v>51569</v>
      </c>
      <c r="C1004" s="12">
        <v>515690</v>
      </c>
      <c r="D1004" s="13">
        <v>0</v>
      </c>
      <c r="E1004" s="13">
        <v>1</v>
      </c>
      <c r="F1004" s="13">
        <v>39</v>
      </c>
      <c r="G1004" s="13">
        <v>71</v>
      </c>
      <c r="H1004" s="13" t="str" cm="1">
        <f t="array" ref="H1004">_xlfn.IFS(G1004&lt;=20,"0-20",G1004&lt;=30,"20-30",G1004&lt;=40,"30-40",G1004&lt;=50,"50-60",G1004&lt;=60,"60-70",G1004&lt;=70,"70-80",G1004&lt;=80,"80-90")</f>
        <v>80-90</v>
      </c>
      <c r="I1004" s="13">
        <v>2661</v>
      </c>
      <c r="J1004" s="13" t="str" cm="1">
        <f t="array" ref="J1004">_xlfn.IFS(K1004=1,"Divorciado",L1004=1,"Casado",M1004=1,"Solteiro",N1004=1,"Juntos",O1004=1,"Viuvo")</f>
        <v>Viuvo</v>
      </c>
      <c r="K1004" s="13">
        <v>0</v>
      </c>
      <c r="L1004" s="13">
        <v>0</v>
      </c>
      <c r="M1004" s="13">
        <v>0</v>
      </c>
      <c r="N1004" s="13">
        <v>0</v>
      </c>
      <c r="O1004" s="13">
        <v>1</v>
      </c>
      <c r="P1004" s="13">
        <v>0</v>
      </c>
      <c r="Q1004" s="13">
        <v>0</v>
      </c>
      <c r="R1004" s="13">
        <v>0</v>
      </c>
      <c r="S1004" s="13">
        <v>0</v>
      </c>
      <c r="T1004" s="13">
        <v>1</v>
      </c>
      <c r="U1004" s="13">
        <v>380</v>
      </c>
      <c r="V1004" s="13" t="str" cm="1">
        <f t="array" ref="V1004">_xlfn.IFS(U1004&lt;=250,"0-R$250",U1004&lt;=500,"251-R$500",U1004&lt;=750,"501-R$750",U1004&lt;=1000,"751-R$1000",U1004&lt;=1250,"1001-R$1250",U1004&lt;=1500,"1251-R$1500")</f>
        <v>251-R$500</v>
      </c>
      <c r="W1004" s="13">
        <v>0</v>
      </c>
      <c r="X1004" s="13" t="str" cm="1">
        <f t="array" ref="X1004">_xlfn.IFS(W1004 = 0, "0", W1004&lt;=20, "até R$20",W1004&lt;=40, "21 - R$40",W1004&lt;=60, "41- R$60",W1004&lt;=80, "61 - R$80", W1004&lt;=100, "81 - R$100",W1004&lt;=120, "101 - R$120",W1004&lt;=140, "121 - R$140", W1004&lt;=160, "141- R$160", W1004&lt;=180, "161 - R$180", W1004&lt;=200, "181-R$194")</f>
        <v>0</v>
      </c>
      <c r="Y1004" s="13">
        <v>47</v>
      </c>
      <c r="Z1004" s="13">
        <v>6</v>
      </c>
      <c r="AA1004" s="13">
        <v>0</v>
      </c>
      <c r="AB1004" s="13">
        <v>34</v>
      </c>
      <c r="AC1004" s="13">
        <v>4</v>
      </c>
      <c r="AD1004" s="13">
        <v>7</v>
      </c>
      <c r="AE1004" s="13">
        <v>1</v>
      </c>
      <c r="AF1004" s="13">
        <v>7</v>
      </c>
      <c r="AG1004" s="13">
        <v>8</v>
      </c>
      <c r="AH1004" s="13">
        <v>0</v>
      </c>
      <c r="AI1004" s="13">
        <v>0</v>
      </c>
      <c r="AJ1004" s="13">
        <v>1</v>
      </c>
      <c r="AK1004" s="13">
        <v>0</v>
      </c>
      <c r="AL1004" s="13">
        <v>0</v>
      </c>
      <c r="AM1004" s="13">
        <v>0</v>
      </c>
      <c r="AN1004" s="13">
        <v>1</v>
      </c>
      <c r="AO1004" s="14">
        <v>1</v>
      </c>
      <c r="AP1004" s="13">
        <v>3</v>
      </c>
      <c r="AQ1004" s="13">
        <v>11</v>
      </c>
      <c r="AR1004" s="15">
        <v>399</v>
      </c>
      <c r="AS1004" s="15">
        <v>433</v>
      </c>
    </row>
    <row r="1005" spans="1:45" x14ac:dyDescent="0.25">
      <c r="A1005">
        <v>1761</v>
      </c>
      <c r="B1005" s="11">
        <f t="shared" si="15"/>
        <v>49094</v>
      </c>
      <c r="C1005" s="16">
        <v>490940</v>
      </c>
      <c r="D1005" s="17">
        <v>0</v>
      </c>
      <c r="E1005" s="17">
        <v>1</v>
      </c>
      <c r="F1005" s="17">
        <v>6</v>
      </c>
      <c r="G1005" s="17">
        <v>47</v>
      </c>
      <c r="H1005" s="13" t="str" cm="1">
        <f t="array" ref="H1005">_xlfn.IFS(G1005&lt;=20,"0-20",G1005&lt;=30,"20-30",G1005&lt;=40,"30-40",G1005&lt;=50,"50-60",G1005&lt;=60,"60-70",G1005&lt;=70,"70-80",G1005&lt;=80,"80-90")</f>
        <v>50-60</v>
      </c>
      <c r="I1005" s="17">
        <v>2805</v>
      </c>
      <c r="J1005" s="13" t="str" cm="1">
        <f t="array" ref="J1005">_xlfn.IFS(K1005=1,"Divorciado",L1005=1,"Casado",M1005=1,"Solteiro",N1005=1,"Juntos",O1005=1,"Viuvo")</f>
        <v>Casado</v>
      </c>
      <c r="K1005" s="17">
        <v>0</v>
      </c>
      <c r="L1005" s="17">
        <v>1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1</v>
      </c>
      <c r="S1005" s="17">
        <v>0</v>
      </c>
      <c r="T1005" s="17">
        <v>0</v>
      </c>
      <c r="U1005" s="17">
        <v>376</v>
      </c>
      <c r="V1005" s="13" t="str" cm="1">
        <f t="array" ref="V1005">_xlfn.IFS(U1005&lt;=250,"0-R$250",U1005&lt;=500,"251-R$500",U1005&lt;=750,"501-R$750",U1005&lt;=1000,"751-R$1000",U1005&lt;=1250,"1001-R$1250",U1005&lt;=1500,"1251-R$1500")</f>
        <v>251-R$500</v>
      </c>
      <c r="W1005" s="17">
        <v>0</v>
      </c>
      <c r="X1005" s="13" t="str" cm="1">
        <f t="array" ref="X1005">_xlfn.IFS(W1005 = 0, "0", W1005&lt;=20, "até R$20",W1005&lt;=40, "21 - R$40",W1005&lt;=60, "41- R$60",W1005&lt;=80, "61 - R$80", W1005&lt;=100, "81 - R$100",W1005&lt;=120, "101 - R$120",W1005&lt;=140, "121 - R$140", W1005&lt;=160, "141- R$160", W1005&lt;=180, "161 - R$180", W1005&lt;=200, "181-R$194")</f>
        <v>0</v>
      </c>
      <c r="Y1005" s="17">
        <v>38</v>
      </c>
      <c r="Z1005" s="17">
        <v>11</v>
      </c>
      <c r="AA1005" s="17">
        <v>8</v>
      </c>
      <c r="AB1005" s="17">
        <v>69</v>
      </c>
      <c r="AC1005" s="17">
        <v>5</v>
      </c>
      <c r="AD1005" s="17">
        <v>6</v>
      </c>
      <c r="AE1005" s="17">
        <v>3</v>
      </c>
      <c r="AF1005" s="17">
        <v>6</v>
      </c>
      <c r="AG1005" s="17">
        <v>6</v>
      </c>
      <c r="AH1005" s="17">
        <v>0</v>
      </c>
      <c r="AI1005" s="17">
        <v>0</v>
      </c>
      <c r="AJ1005" s="17">
        <v>0</v>
      </c>
      <c r="AK1005" s="17">
        <v>0</v>
      </c>
      <c r="AL1005" s="17">
        <v>0</v>
      </c>
      <c r="AM1005" s="17">
        <v>0</v>
      </c>
      <c r="AN1005" s="17">
        <v>0</v>
      </c>
      <c r="AO1005" s="18">
        <v>0</v>
      </c>
      <c r="AP1005" s="17">
        <v>3</v>
      </c>
      <c r="AQ1005" s="17">
        <v>11</v>
      </c>
      <c r="AR1005" s="19">
        <v>364</v>
      </c>
      <c r="AS1005" s="19">
        <v>433</v>
      </c>
    </row>
    <row r="1006" spans="1:45" x14ac:dyDescent="0.25">
      <c r="A1006">
        <v>1754</v>
      </c>
      <c r="B1006" s="11">
        <f t="shared" si="15"/>
        <v>65370</v>
      </c>
      <c r="C1006" s="12">
        <v>653700</v>
      </c>
      <c r="D1006" s="13">
        <v>0</v>
      </c>
      <c r="E1006" s="13">
        <v>0</v>
      </c>
      <c r="F1006" s="13">
        <v>1</v>
      </c>
      <c r="G1006" s="13">
        <v>36</v>
      </c>
      <c r="H1006" s="13" t="str" cm="1">
        <f t="array" ref="H1006">_xlfn.IFS(G1006&lt;=20,"0-20",G1006&lt;=30,"20-30",G1006&lt;=40,"30-40",G1006&lt;=50,"50-60",G1006&lt;=60,"60-70",G1006&lt;=70,"70-80",G1006&lt;=80,"80-90")</f>
        <v>30-40</v>
      </c>
      <c r="I1006" s="13">
        <v>2491</v>
      </c>
      <c r="J1006" s="13" t="str" cm="1">
        <f t="array" ref="J1006">_xlfn.IFS(K1006=1,"Divorciado",L1006=1,"Casado",M1006=1,"Solteiro",N1006=1,"Juntos",O1006=1,"Viuvo")</f>
        <v>Casado</v>
      </c>
      <c r="K1006" s="13">
        <v>0</v>
      </c>
      <c r="L1006" s="13">
        <v>1</v>
      </c>
      <c r="M1006" s="13">
        <v>0</v>
      </c>
      <c r="N1006" s="13">
        <v>0</v>
      </c>
      <c r="O1006" s="13">
        <v>0</v>
      </c>
      <c r="P1006" s="13">
        <v>1</v>
      </c>
      <c r="Q1006" s="13">
        <v>0</v>
      </c>
      <c r="R1006" s="13">
        <v>0</v>
      </c>
      <c r="S1006" s="13">
        <v>0</v>
      </c>
      <c r="T1006" s="13">
        <v>0</v>
      </c>
      <c r="U1006" s="13">
        <v>71</v>
      </c>
      <c r="V1006" s="13" t="str" cm="1">
        <f t="array" ref="V1006">_xlfn.IFS(U1006&lt;=250,"0-R$250",U1006&lt;=500,"251-R$500",U1006&lt;=750,"501-R$750",U1006&lt;=1000,"751-R$1000",U1006&lt;=1250,"1001-R$1250",U1006&lt;=1500,"1251-R$1500")</f>
        <v>0-R$250</v>
      </c>
      <c r="W1006" s="13">
        <v>22</v>
      </c>
      <c r="X1006" s="13" t="str" cm="1">
        <f t="array" ref="X1006">_xlfn.IFS(W1006 = 0, "0", W1006&lt;=20, "até R$20",W1006&lt;=40, "21 - R$40",W1006&lt;=60, "41- R$60",W1006&lt;=80, "61 - R$80", W1006&lt;=100, "81 - R$100",W1006&lt;=120, "101 - R$120",W1006&lt;=140, "121 - R$140", W1006&lt;=160, "141- R$160", W1006&lt;=180, "161 - R$180", W1006&lt;=200, "181-R$194")</f>
        <v>21 - R$40</v>
      </c>
      <c r="Y1006" s="13">
        <v>112</v>
      </c>
      <c r="Z1006" s="13">
        <v>138</v>
      </c>
      <c r="AA1006" s="13">
        <v>89</v>
      </c>
      <c r="AB1006" s="13">
        <v>29</v>
      </c>
      <c r="AC1006" s="13">
        <v>1</v>
      </c>
      <c r="AD1006" s="13">
        <v>2</v>
      </c>
      <c r="AE1006" s="13">
        <v>3</v>
      </c>
      <c r="AF1006" s="13">
        <v>13</v>
      </c>
      <c r="AG1006" s="13">
        <v>1</v>
      </c>
      <c r="AH1006" s="13">
        <v>0</v>
      </c>
      <c r="AI1006" s="13">
        <v>0</v>
      </c>
      <c r="AJ1006" s="13">
        <v>0</v>
      </c>
      <c r="AK1006" s="13">
        <v>0</v>
      </c>
      <c r="AL1006" s="13">
        <v>0</v>
      </c>
      <c r="AM1006" s="13">
        <v>0</v>
      </c>
      <c r="AN1006" s="13">
        <v>0</v>
      </c>
      <c r="AO1006" s="14">
        <v>0</v>
      </c>
      <c r="AP1006" s="13">
        <v>3</v>
      </c>
      <c r="AQ1006" s="13">
        <v>11</v>
      </c>
      <c r="AR1006" s="15">
        <v>403</v>
      </c>
      <c r="AS1006" s="15">
        <v>432</v>
      </c>
    </row>
    <row r="1007" spans="1:45" x14ac:dyDescent="0.25">
      <c r="A1007">
        <v>2026</v>
      </c>
      <c r="B1007" s="11">
        <f t="shared" si="15"/>
        <v>55801</v>
      </c>
      <c r="C1007" s="12">
        <v>558010</v>
      </c>
      <c r="D1007" s="13">
        <v>1</v>
      </c>
      <c r="E1007" s="13">
        <v>1</v>
      </c>
      <c r="F1007" s="13">
        <v>35</v>
      </c>
      <c r="G1007" s="13">
        <v>45</v>
      </c>
      <c r="H1007" s="13" t="str" cm="1">
        <f t="array" ref="H1007">_xlfn.IFS(G1007&lt;=20,"0-20",G1007&lt;=30,"20-30",G1007&lt;=40,"30-40",G1007&lt;=50,"50-60",G1007&lt;=60,"60-70",G1007&lt;=70,"70-80",G1007&lt;=80,"80-90")</f>
        <v>50-60</v>
      </c>
      <c r="I1007" s="13">
        <v>2439</v>
      </c>
      <c r="J1007" s="13" t="str" cm="1">
        <f t="array" ref="J1007">_xlfn.IFS(K1007=1,"Divorciado",L1007=1,"Casado",M1007=1,"Solteiro",N1007=1,"Juntos",O1007=1,"Viuvo")</f>
        <v>Solteiro</v>
      </c>
      <c r="K1007" s="13">
        <v>0</v>
      </c>
      <c r="L1007" s="13">
        <v>0</v>
      </c>
      <c r="M1007" s="13">
        <v>1</v>
      </c>
      <c r="N1007" s="13">
        <v>0</v>
      </c>
      <c r="O1007" s="13">
        <v>0</v>
      </c>
      <c r="P1007" s="13">
        <v>0</v>
      </c>
      <c r="Q1007" s="13">
        <v>0</v>
      </c>
      <c r="R1007" s="13">
        <v>1</v>
      </c>
      <c r="S1007" s="13">
        <v>0</v>
      </c>
      <c r="T1007" s="13">
        <v>0</v>
      </c>
      <c r="U1007" s="13">
        <v>367</v>
      </c>
      <c r="V1007" s="13" t="str" cm="1">
        <f t="array" ref="V1007">_xlfn.IFS(U1007&lt;=250,"0-R$250",U1007&lt;=500,"251-R$500",U1007&lt;=750,"501-R$750",U1007&lt;=1000,"751-R$1000",U1007&lt;=1250,"1001-R$1250",U1007&lt;=1500,"1251-R$1500")</f>
        <v>251-R$500</v>
      </c>
      <c r="W1007" s="13">
        <v>4</v>
      </c>
      <c r="X1007" s="13" t="str" cm="1">
        <f t="array" ref="X1007">_xlfn.IFS(W1007 = 0, "0", W1007&lt;=20, "até R$20",W1007&lt;=40, "21 - R$40",W1007&lt;=60, "41- R$60",W1007&lt;=80, "61 - R$80", W1007&lt;=100, "81 - R$100",W1007&lt;=120, "101 - R$120",W1007&lt;=140, "121 - R$140", W1007&lt;=160, "141- R$160", W1007&lt;=180, "161 - R$180", W1007&lt;=200, "181-R$194")</f>
        <v>até R$20</v>
      </c>
      <c r="Y1007" s="13">
        <v>51</v>
      </c>
      <c r="Z1007" s="13">
        <v>6</v>
      </c>
      <c r="AA1007" s="13">
        <v>4</v>
      </c>
      <c r="AB1007" s="13">
        <v>95</v>
      </c>
      <c r="AC1007" s="13">
        <v>6</v>
      </c>
      <c r="AD1007" s="13">
        <v>7</v>
      </c>
      <c r="AE1007" s="13">
        <v>2</v>
      </c>
      <c r="AF1007" s="13">
        <v>6</v>
      </c>
      <c r="AG1007" s="13">
        <v>7</v>
      </c>
      <c r="AH1007" s="13">
        <v>0</v>
      </c>
      <c r="AI1007" s="13">
        <v>0</v>
      </c>
      <c r="AJ1007" s="13">
        <v>0</v>
      </c>
      <c r="AK1007" s="13">
        <v>0</v>
      </c>
      <c r="AL1007" s="13">
        <v>1</v>
      </c>
      <c r="AM1007" s="13">
        <v>0</v>
      </c>
      <c r="AN1007" s="13">
        <v>0</v>
      </c>
      <c r="AO1007" s="14">
        <v>1</v>
      </c>
      <c r="AP1007" s="13">
        <v>3</v>
      </c>
      <c r="AQ1007" s="13">
        <v>11</v>
      </c>
      <c r="AR1007" s="15">
        <v>337</v>
      </c>
      <c r="AS1007" s="15">
        <v>432</v>
      </c>
    </row>
    <row r="1008" spans="1:45" x14ac:dyDescent="0.25">
      <c r="A1008">
        <v>348</v>
      </c>
      <c r="B1008" s="11">
        <f t="shared" si="15"/>
        <v>51479</v>
      </c>
      <c r="C1008" s="12">
        <v>514790</v>
      </c>
      <c r="D1008" s="13">
        <v>1</v>
      </c>
      <c r="E1008" s="13">
        <v>1</v>
      </c>
      <c r="F1008" s="13">
        <v>67</v>
      </c>
      <c r="G1008" s="13">
        <v>53</v>
      </c>
      <c r="H1008" s="13" t="str" cm="1">
        <f t="array" ref="H1008">_xlfn.IFS(G1008&lt;=20,"0-20",G1008&lt;=30,"20-30",G1008&lt;=40,"30-40",G1008&lt;=50,"50-60",G1008&lt;=60,"60-70",G1008&lt;=70,"70-80",G1008&lt;=80,"80-90")</f>
        <v>60-70</v>
      </c>
      <c r="I1008" s="13">
        <v>2707</v>
      </c>
      <c r="J1008" s="13" t="str" cm="1">
        <f t="array" ref="J1008">_xlfn.IFS(K1008=1,"Divorciado",L1008=1,"Casado",M1008=1,"Solteiro",N1008=1,"Juntos",O1008=1,"Viuvo")</f>
        <v>Casado</v>
      </c>
      <c r="K1008" s="13">
        <v>0</v>
      </c>
      <c r="L1008" s="13">
        <v>1</v>
      </c>
      <c r="M1008" s="13">
        <v>0</v>
      </c>
      <c r="N1008" s="13">
        <v>0</v>
      </c>
      <c r="O1008" s="13">
        <v>0</v>
      </c>
      <c r="P1008" s="13">
        <v>0</v>
      </c>
      <c r="Q1008" s="13">
        <v>0</v>
      </c>
      <c r="R1008" s="13">
        <v>1</v>
      </c>
      <c r="S1008" s="13">
        <v>0</v>
      </c>
      <c r="T1008" s="13">
        <v>0</v>
      </c>
      <c r="U1008" s="13">
        <v>247</v>
      </c>
      <c r="V1008" s="13" t="str" cm="1">
        <f t="array" ref="V1008">_xlfn.IFS(U1008&lt;=250,"0-R$250",U1008&lt;=500,"251-R$500",U1008&lt;=750,"501-R$750",U1008&lt;=1000,"751-R$1000",U1008&lt;=1250,"1001-R$1250",U1008&lt;=1500,"1251-R$1500")</f>
        <v>0-R$250</v>
      </c>
      <c r="W1008" s="13">
        <v>8</v>
      </c>
      <c r="X1008" s="13" t="str" cm="1">
        <f t="array" ref="X1008">_xlfn.IFS(W1008 = 0, "0", W1008&lt;=20, "até R$20",W1008&lt;=40, "21 - R$40",W1008&lt;=60, "41- R$60",W1008&lt;=80, "61 - R$80", W1008&lt;=100, "81 - R$100",W1008&lt;=120, "101 - R$120",W1008&lt;=140, "121 - R$140", W1008&lt;=160, "141- R$160", W1008&lt;=180, "161 - R$180", W1008&lt;=200, "181-R$194")</f>
        <v>até R$20</v>
      </c>
      <c r="Y1008" s="13">
        <v>160</v>
      </c>
      <c r="Z1008" s="13">
        <v>6</v>
      </c>
      <c r="AA1008" s="13">
        <v>8</v>
      </c>
      <c r="AB1008" s="13">
        <v>65</v>
      </c>
      <c r="AC1008" s="13">
        <v>7</v>
      </c>
      <c r="AD1008" s="13">
        <v>6</v>
      </c>
      <c r="AE1008" s="13">
        <v>3</v>
      </c>
      <c r="AF1008" s="13">
        <v>6</v>
      </c>
      <c r="AG1008" s="13">
        <v>7</v>
      </c>
      <c r="AH1008" s="13">
        <v>0</v>
      </c>
      <c r="AI1008" s="13">
        <v>0</v>
      </c>
      <c r="AJ1008" s="13">
        <v>0</v>
      </c>
      <c r="AK1008" s="13">
        <v>0</v>
      </c>
      <c r="AL1008" s="13">
        <v>0</v>
      </c>
      <c r="AM1008" s="13">
        <v>0</v>
      </c>
      <c r="AN1008" s="13">
        <v>0</v>
      </c>
      <c r="AO1008" s="14">
        <v>0</v>
      </c>
      <c r="AP1008" s="13">
        <v>3</v>
      </c>
      <c r="AQ1008" s="13">
        <v>11</v>
      </c>
      <c r="AR1008" s="15">
        <v>364</v>
      </c>
      <c r="AS1008" s="15">
        <v>429</v>
      </c>
    </row>
    <row r="1009" spans="1:45" x14ac:dyDescent="0.25">
      <c r="A1009">
        <v>835</v>
      </c>
      <c r="B1009" s="11">
        <f t="shared" si="15"/>
        <v>46374</v>
      </c>
      <c r="C1009" s="16">
        <v>463740</v>
      </c>
      <c r="D1009" s="17">
        <v>0</v>
      </c>
      <c r="E1009" s="17">
        <v>1</v>
      </c>
      <c r="F1009" s="17">
        <v>1</v>
      </c>
      <c r="G1009" s="17">
        <v>46</v>
      </c>
      <c r="H1009" s="13" t="str" cm="1">
        <f t="array" ref="H1009">_xlfn.IFS(G1009&lt;=20,"0-20",G1009&lt;=30,"20-30",G1009&lt;=40,"30-40",G1009&lt;=50,"50-60",G1009&lt;=60,"60-70",G1009&lt;=70,"70-80",G1009&lt;=80,"80-90")</f>
        <v>50-60</v>
      </c>
      <c r="I1009" s="17">
        <v>2263</v>
      </c>
      <c r="J1009" s="13" t="str" cm="1">
        <f t="array" ref="J1009">_xlfn.IFS(K1009=1,"Divorciado",L1009=1,"Casado",M1009=1,"Solteiro",N1009=1,"Juntos",O1009=1,"Viuvo")</f>
        <v>Casado</v>
      </c>
      <c r="K1009" s="17">
        <v>0</v>
      </c>
      <c r="L1009" s="17">
        <v>1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1</v>
      </c>
      <c r="U1009" s="17">
        <v>408</v>
      </c>
      <c r="V1009" s="13" t="str" cm="1">
        <f t="array" ref="V1009">_xlfn.IFS(U1009&lt;=250,"0-R$250",U1009&lt;=500,"251-R$500",U1009&lt;=750,"501-R$750",U1009&lt;=1000,"751-R$1000",U1009&lt;=1250,"1001-R$1250",U1009&lt;=1500,"1251-R$1500")</f>
        <v>251-R$500</v>
      </c>
      <c r="W1009" s="17">
        <v>0</v>
      </c>
      <c r="X1009" s="13" t="str" cm="1">
        <f t="array" ref="X1009">_xlfn.IFS(W1009 = 0, "0", W1009&lt;=20, "até R$20",W1009&lt;=40, "21 - R$40",W1009&lt;=60, "41- R$60",W1009&lt;=80, "61 - R$80", W1009&lt;=100, "81 - R$100",W1009&lt;=120, "101 - R$120",W1009&lt;=140, "121 - R$140", W1009&lt;=160, "141- R$160", W1009&lt;=180, "161 - R$180", W1009&lt;=200, "181-R$194")</f>
        <v>0</v>
      </c>
      <c r="Y1009" s="17">
        <v>21</v>
      </c>
      <c r="Z1009" s="17">
        <v>0</v>
      </c>
      <c r="AA1009" s="17">
        <v>0</v>
      </c>
      <c r="AB1009" s="17">
        <v>17</v>
      </c>
      <c r="AC1009" s="17">
        <v>3</v>
      </c>
      <c r="AD1009" s="17">
        <v>7</v>
      </c>
      <c r="AE1009" s="17">
        <v>1</v>
      </c>
      <c r="AF1009" s="17">
        <v>7</v>
      </c>
      <c r="AG1009" s="17">
        <v>8</v>
      </c>
      <c r="AH1009" s="17">
        <v>0</v>
      </c>
      <c r="AI1009" s="17">
        <v>0</v>
      </c>
      <c r="AJ1009" s="17">
        <v>1</v>
      </c>
      <c r="AK1009" s="17">
        <v>0</v>
      </c>
      <c r="AL1009" s="17">
        <v>1</v>
      </c>
      <c r="AM1009" s="17">
        <v>0</v>
      </c>
      <c r="AN1009" s="17">
        <v>1</v>
      </c>
      <c r="AO1009" s="18">
        <v>2</v>
      </c>
      <c r="AP1009" s="17">
        <v>3</v>
      </c>
      <c r="AQ1009" s="17">
        <v>11</v>
      </c>
      <c r="AR1009" s="19">
        <v>412</v>
      </c>
      <c r="AS1009" s="19">
        <v>429</v>
      </c>
    </row>
    <row r="1010" spans="1:45" x14ac:dyDescent="0.25">
      <c r="A1010">
        <v>664</v>
      </c>
      <c r="B1010" s="11">
        <f t="shared" si="15"/>
        <v>41039</v>
      </c>
      <c r="C1010" s="12">
        <v>410390</v>
      </c>
      <c r="D1010" s="13">
        <v>0</v>
      </c>
      <c r="E1010" s="13">
        <v>0</v>
      </c>
      <c r="F1010" s="13">
        <v>32</v>
      </c>
      <c r="G1010" s="13">
        <v>38</v>
      </c>
      <c r="H1010" s="13" t="str" cm="1">
        <f t="array" ref="H1010">_xlfn.IFS(G1010&lt;=20,"0-20",G1010&lt;=30,"20-30",G1010&lt;=40,"30-40",G1010&lt;=50,"50-60",G1010&lt;=60,"60-70",G1010&lt;=70,"70-80",G1010&lt;=80,"80-90")</f>
        <v>30-40</v>
      </c>
      <c r="I1010" s="13">
        <v>2498</v>
      </c>
      <c r="J1010" s="13" t="str" cm="1">
        <f t="array" ref="J1010">_xlfn.IFS(K1010=1,"Divorciado",L1010=1,"Casado",M1010=1,"Solteiro",N1010=1,"Juntos",O1010=1,"Viuvo")</f>
        <v>Juntos</v>
      </c>
      <c r="K1010" s="13">
        <v>0</v>
      </c>
      <c r="L1010" s="13">
        <v>0</v>
      </c>
      <c r="M1010" s="13">
        <v>0</v>
      </c>
      <c r="N1010" s="13">
        <v>1</v>
      </c>
      <c r="O1010" s="13">
        <v>0</v>
      </c>
      <c r="P1010" s="13">
        <v>1</v>
      </c>
      <c r="Q1010" s="13">
        <v>0</v>
      </c>
      <c r="R1010" s="13">
        <v>0</v>
      </c>
      <c r="S1010" s="13">
        <v>0</v>
      </c>
      <c r="T1010" s="13">
        <v>0</v>
      </c>
      <c r="U1010" s="13">
        <v>34</v>
      </c>
      <c r="V1010" s="13" t="str" cm="1">
        <f t="array" ref="V1010">_xlfn.IFS(U1010&lt;=250,"0-R$250",U1010&lt;=500,"251-R$500",U1010&lt;=750,"501-R$750",U1010&lt;=1000,"751-R$1000",U1010&lt;=1250,"1001-R$1250",U1010&lt;=1500,"1251-R$1500")</f>
        <v>0-R$250</v>
      </c>
      <c r="W1010" s="13">
        <v>11</v>
      </c>
      <c r="X1010" s="13" t="str" cm="1">
        <f t="array" ref="X1010">_xlfn.IFS(W1010 = 0, "0", W1010&lt;=20, "até R$20",W1010&lt;=40, "21 - R$40",W1010&lt;=60, "41- R$60",W1010&lt;=80, "61 - R$80", W1010&lt;=100, "81 - R$100",W1010&lt;=120, "101 - R$120",W1010&lt;=140, "121 - R$140", W1010&lt;=160, "141- R$160", W1010&lt;=180, "161 - R$180", W1010&lt;=200, "181-R$194")</f>
        <v>até R$20</v>
      </c>
      <c r="Y1010" s="13">
        <v>137</v>
      </c>
      <c r="Z1010" s="13">
        <v>179</v>
      </c>
      <c r="AA1010" s="13">
        <v>61</v>
      </c>
      <c r="AB1010" s="13">
        <v>45</v>
      </c>
      <c r="AC1010" s="13">
        <v>1</v>
      </c>
      <c r="AD1010" s="13">
        <v>8</v>
      </c>
      <c r="AE1010" s="13">
        <v>1</v>
      </c>
      <c r="AF1010" s="13">
        <v>5</v>
      </c>
      <c r="AG1010" s="13">
        <v>8</v>
      </c>
      <c r="AH1010" s="13">
        <v>0</v>
      </c>
      <c r="AI1010" s="13">
        <v>0</v>
      </c>
      <c r="AJ1010" s="13">
        <v>0</v>
      </c>
      <c r="AK1010" s="13">
        <v>0</v>
      </c>
      <c r="AL1010" s="13">
        <v>0</v>
      </c>
      <c r="AM1010" s="13">
        <v>0</v>
      </c>
      <c r="AN1010" s="13">
        <v>0</v>
      </c>
      <c r="AO1010" s="14">
        <v>0</v>
      </c>
      <c r="AP1010" s="13">
        <v>3</v>
      </c>
      <c r="AQ1010" s="13">
        <v>11</v>
      </c>
      <c r="AR1010" s="15">
        <v>377</v>
      </c>
      <c r="AS1010" s="15">
        <v>422</v>
      </c>
    </row>
    <row r="1011" spans="1:45" x14ac:dyDescent="0.25">
      <c r="A1011">
        <v>437</v>
      </c>
      <c r="B1011" s="11">
        <f t="shared" si="15"/>
        <v>70829</v>
      </c>
      <c r="C1011" s="16">
        <v>708290</v>
      </c>
      <c r="D1011" s="17">
        <v>1</v>
      </c>
      <c r="E1011" s="17">
        <v>1</v>
      </c>
      <c r="F1011" s="17">
        <v>87</v>
      </c>
      <c r="G1011" s="17">
        <v>40</v>
      </c>
      <c r="H1011" s="13" t="str" cm="1">
        <f t="array" ref="H1011">_xlfn.IFS(G1011&lt;=20,"0-20",G1011&lt;=30,"20-30",G1011&lt;=40,"30-40",G1011&lt;=50,"50-60",G1011&lt;=60,"60-70",G1011&lt;=70,"70-80",G1011&lt;=80,"80-90")</f>
        <v>30-40</v>
      </c>
      <c r="I1011" s="17">
        <v>2369</v>
      </c>
      <c r="J1011" s="13" t="str" cm="1">
        <f t="array" ref="J1011">_xlfn.IFS(K1011=1,"Divorciado",L1011=1,"Casado",M1011=1,"Solteiro",N1011=1,"Juntos",O1011=1,"Viuvo")</f>
        <v>Casado</v>
      </c>
      <c r="K1011" s="17">
        <v>0</v>
      </c>
      <c r="L1011" s="17">
        <v>1</v>
      </c>
      <c r="M1011" s="17">
        <v>0</v>
      </c>
      <c r="N1011" s="17">
        <v>0</v>
      </c>
      <c r="O1011" s="17">
        <v>0</v>
      </c>
      <c r="P1011" s="17">
        <v>1</v>
      </c>
      <c r="Q1011" s="17">
        <v>0</v>
      </c>
      <c r="R1011" s="17">
        <v>0</v>
      </c>
      <c r="S1011" s="17">
        <v>0</v>
      </c>
      <c r="T1011" s="17">
        <v>0</v>
      </c>
      <c r="U1011" s="17">
        <v>141</v>
      </c>
      <c r="V1011" s="13" t="str" cm="1">
        <f t="array" ref="V1011">_xlfn.IFS(U1011&lt;=250,"0-R$250",U1011&lt;=500,"251-R$500",U1011&lt;=750,"501-R$750",U1011&lt;=1000,"751-R$1000",U1011&lt;=1250,"1001-R$1250",U1011&lt;=1500,"1251-R$1500")</f>
        <v>0-R$250</v>
      </c>
      <c r="W1011" s="17">
        <v>70</v>
      </c>
      <c r="X1011" s="13" t="str" cm="1">
        <f t="array" ref="X1011">_xlfn.IFS(W1011 = 0, "0", W1011&lt;=20, "até R$20",W1011&lt;=40, "21 - R$40",W1011&lt;=60, "41- R$60",W1011&lt;=80, "61 - R$80", W1011&lt;=100, "81 - R$100",W1011&lt;=120, "101 - R$120",W1011&lt;=140, "121 - R$140", W1011&lt;=160, "141- R$160", W1011&lt;=180, "161 - R$180", W1011&lt;=200, "181-R$194")</f>
        <v>61 - R$80</v>
      </c>
      <c r="Y1011" s="17">
        <v>106</v>
      </c>
      <c r="Z1011" s="17">
        <v>72</v>
      </c>
      <c r="AA1011" s="17">
        <v>19</v>
      </c>
      <c r="AB1011" s="17">
        <v>23</v>
      </c>
      <c r="AC1011" s="17">
        <v>2</v>
      </c>
      <c r="AD1011" s="17">
        <v>4</v>
      </c>
      <c r="AE1011" s="17">
        <v>2</v>
      </c>
      <c r="AF1011" s="17">
        <v>8</v>
      </c>
      <c r="AG1011" s="17">
        <v>3</v>
      </c>
      <c r="AH1011" s="17">
        <v>0</v>
      </c>
      <c r="AI1011" s="17">
        <v>0</v>
      </c>
      <c r="AJ1011" s="17">
        <v>0</v>
      </c>
      <c r="AK1011" s="17">
        <v>0</v>
      </c>
      <c r="AL1011" s="17">
        <v>0</v>
      </c>
      <c r="AM1011" s="17">
        <v>0</v>
      </c>
      <c r="AN1011" s="17">
        <v>0</v>
      </c>
      <c r="AO1011" s="18">
        <v>0</v>
      </c>
      <c r="AP1011" s="17">
        <v>3</v>
      </c>
      <c r="AQ1011" s="17">
        <v>11</v>
      </c>
      <c r="AR1011" s="19">
        <v>385</v>
      </c>
      <c r="AS1011" s="19">
        <v>408</v>
      </c>
    </row>
    <row r="1012" spans="1:45" x14ac:dyDescent="0.25">
      <c r="A1012">
        <v>5</v>
      </c>
      <c r="B1012" s="11">
        <f t="shared" si="15"/>
        <v>58293</v>
      </c>
      <c r="C1012" s="16">
        <v>582930</v>
      </c>
      <c r="D1012" s="17">
        <v>1</v>
      </c>
      <c r="E1012" s="17">
        <v>0</v>
      </c>
      <c r="F1012" s="17">
        <v>94</v>
      </c>
      <c r="G1012" s="17">
        <v>39</v>
      </c>
      <c r="H1012" s="13" t="str" cm="1">
        <f t="array" ref="H1012">_xlfn.IFS(G1012&lt;=20,"0-20",G1012&lt;=30,"20-30",G1012&lt;=40,"30-40",G1012&lt;=50,"50-60",G1012&lt;=60,"60-70",G1012&lt;=70,"70-80",G1012&lt;=80,"80-90")</f>
        <v>30-40</v>
      </c>
      <c r="I1012" s="17">
        <v>2320</v>
      </c>
      <c r="J1012" s="13" t="str" cm="1">
        <f t="array" ref="J1012">_xlfn.IFS(K1012=1,"Divorciado",L1012=1,"Casado",M1012=1,"Solteiro",N1012=1,"Juntos",O1012=1,"Viuvo")</f>
        <v>Casado</v>
      </c>
      <c r="K1012" s="17">
        <v>0</v>
      </c>
      <c r="L1012" s="17">
        <v>1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1</v>
      </c>
      <c r="U1012" s="17">
        <v>173</v>
      </c>
      <c r="V1012" s="13" t="str" cm="1">
        <f t="array" ref="V1012">_xlfn.IFS(U1012&lt;=250,"0-R$250",U1012&lt;=500,"251-R$500",U1012&lt;=750,"501-R$750",U1012&lt;=1000,"751-R$1000",U1012&lt;=1250,"1001-R$1250",U1012&lt;=1500,"1251-R$1500")</f>
        <v>0-R$250</v>
      </c>
      <c r="W1012" s="17">
        <v>43</v>
      </c>
      <c r="X1012" s="13" t="str" cm="1">
        <f t="array" ref="X1012">_xlfn.IFS(W1012 = 0, "0", W1012&lt;=20, "até R$20",W1012&lt;=40, "21 - R$40",W1012&lt;=60, "41- R$60",W1012&lt;=80, "61 - R$80", W1012&lt;=100, "81 - R$100",W1012&lt;=120, "101 - R$120",W1012&lt;=140, "121 - R$140", W1012&lt;=160, "141- R$160", W1012&lt;=180, "161 - R$180", W1012&lt;=200, "181-R$194")</f>
        <v>41- R$60</v>
      </c>
      <c r="Y1012" s="17">
        <v>118</v>
      </c>
      <c r="Z1012" s="17">
        <v>46</v>
      </c>
      <c r="AA1012" s="17">
        <v>27</v>
      </c>
      <c r="AB1012" s="17">
        <v>15</v>
      </c>
      <c r="AC1012" s="17">
        <v>5</v>
      </c>
      <c r="AD1012" s="17">
        <v>5</v>
      </c>
      <c r="AE1012" s="17">
        <v>3</v>
      </c>
      <c r="AF1012" s="17">
        <v>6</v>
      </c>
      <c r="AG1012" s="17">
        <v>5</v>
      </c>
      <c r="AH1012" s="17">
        <v>0</v>
      </c>
      <c r="AI1012" s="17">
        <v>0</v>
      </c>
      <c r="AJ1012" s="17">
        <v>0</v>
      </c>
      <c r="AK1012" s="17">
        <v>0</v>
      </c>
      <c r="AL1012" s="17">
        <v>0</v>
      </c>
      <c r="AM1012" s="17">
        <v>0</v>
      </c>
      <c r="AN1012" s="17">
        <v>0</v>
      </c>
      <c r="AO1012" s="18">
        <v>0</v>
      </c>
      <c r="AP1012" s="17">
        <v>3</v>
      </c>
      <c r="AQ1012" s="17">
        <v>11</v>
      </c>
      <c r="AR1012" s="19">
        <v>392</v>
      </c>
      <c r="AS1012" s="19">
        <v>407</v>
      </c>
    </row>
    <row r="1013" spans="1:45" x14ac:dyDescent="0.25">
      <c r="A1013">
        <v>511</v>
      </c>
      <c r="B1013" s="11">
        <f t="shared" si="15"/>
        <v>50353</v>
      </c>
      <c r="C1013" s="16">
        <v>503530</v>
      </c>
      <c r="D1013" s="17">
        <v>0</v>
      </c>
      <c r="E1013" s="17">
        <v>0</v>
      </c>
      <c r="F1013" s="17">
        <v>72</v>
      </c>
      <c r="G1013" s="17">
        <v>43</v>
      </c>
      <c r="H1013" s="13" t="str" cm="1">
        <f t="array" ref="H1013">_xlfn.IFS(G1013&lt;=20,"0-20",G1013&lt;=30,"20-30",G1013&lt;=40,"30-40",G1013&lt;=50,"50-60",G1013&lt;=60,"60-70",G1013&lt;=70,"70-80",G1013&lt;=80,"80-90")</f>
        <v>50-60</v>
      </c>
      <c r="I1013" s="17">
        <v>2180</v>
      </c>
      <c r="J1013" s="13" t="str" cm="1">
        <f t="array" ref="J1013">_xlfn.IFS(K1013=1,"Divorciado",L1013=1,"Casado",M1013=1,"Solteiro",N1013=1,"Juntos",O1013=1,"Viuvo")</f>
        <v>Casado</v>
      </c>
      <c r="K1013" s="17">
        <v>0</v>
      </c>
      <c r="L1013" s="17">
        <v>1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1</v>
      </c>
      <c r="T1013" s="17">
        <v>0</v>
      </c>
      <c r="U1013" s="17">
        <v>141</v>
      </c>
      <c r="V1013" s="13" t="str" cm="1">
        <f t="array" ref="V1013">_xlfn.IFS(U1013&lt;=250,"0-R$250",U1013&lt;=500,"251-R$500",U1013&lt;=750,"501-R$750",U1013&lt;=1000,"751-R$1000",U1013&lt;=1250,"1001-R$1250",U1013&lt;=1500,"1251-R$1500")</f>
        <v>0-R$250</v>
      </c>
      <c r="W1013" s="17">
        <v>15</v>
      </c>
      <c r="X1013" s="13" t="str" cm="1">
        <f t="array" ref="X1013">_xlfn.IFS(W1013 = 0, "0", W1013&lt;=20, "até R$20",W1013&lt;=40, "21 - R$40",W1013&lt;=60, "41- R$60",W1013&lt;=80, "61 - R$80", W1013&lt;=100, "81 - R$100",W1013&lt;=120, "101 - R$120",W1013&lt;=140, "121 - R$140", W1013&lt;=160, "141- R$160", W1013&lt;=180, "161 - R$180", W1013&lt;=200, "181-R$194")</f>
        <v>até R$20</v>
      </c>
      <c r="Y1013" s="17">
        <v>153</v>
      </c>
      <c r="Z1013" s="17">
        <v>67</v>
      </c>
      <c r="AA1013" s="17">
        <v>31</v>
      </c>
      <c r="AB1013" s="17">
        <v>35</v>
      </c>
      <c r="AC1013" s="17">
        <v>1</v>
      </c>
      <c r="AD1013" s="17">
        <v>4</v>
      </c>
      <c r="AE1013" s="17">
        <v>4</v>
      </c>
      <c r="AF1013" s="17">
        <v>6</v>
      </c>
      <c r="AG1013" s="17">
        <v>3</v>
      </c>
      <c r="AH1013" s="17">
        <v>0</v>
      </c>
      <c r="AI1013" s="17">
        <v>0</v>
      </c>
      <c r="AJ1013" s="17">
        <v>0</v>
      </c>
      <c r="AK1013" s="17">
        <v>0</v>
      </c>
      <c r="AL1013" s="17">
        <v>0</v>
      </c>
      <c r="AM1013" s="17">
        <v>0</v>
      </c>
      <c r="AN1013" s="17">
        <v>0</v>
      </c>
      <c r="AO1013" s="18">
        <v>0</v>
      </c>
      <c r="AP1013" s="17">
        <v>3</v>
      </c>
      <c r="AQ1013" s="17">
        <v>11</v>
      </c>
      <c r="AR1013" s="19">
        <v>372</v>
      </c>
      <c r="AS1013" s="19">
        <v>407</v>
      </c>
    </row>
    <row r="1014" spans="1:45" x14ac:dyDescent="0.25">
      <c r="A1014">
        <v>121</v>
      </c>
      <c r="B1014" s="11">
        <f t="shared" si="15"/>
        <v>62998</v>
      </c>
      <c r="C1014" s="16">
        <v>629980</v>
      </c>
      <c r="D1014" s="17">
        <v>0</v>
      </c>
      <c r="E1014" s="17">
        <v>1</v>
      </c>
      <c r="F1014" s="17">
        <v>10</v>
      </c>
      <c r="G1014" s="17">
        <v>68</v>
      </c>
      <c r="H1014" s="13" t="str" cm="1">
        <f t="array" ref="H1014">_xlfn.IFS(G1014&lt;=20,"0-20",G1014&lt;=30,"20-30",G1014&lt;=40,"30-40",G1014&lt;=50,"50-60",G1014&lt;=60,"60-70",G1014&lt;=70,"70-80",G1014&lt;=80,"80-90")</f>
        <v>70-80</v>
      </c>
      <c r="I1014" s="17">
        <v>2431</v>
      </c>
      <c r="J1014" s="13" t="str" cm="1">
        <f t="array" ref="J1014">_xlfn.IFS(K1014=1,"Divorciado",L1014=1,"Casado",M1014=1,"Solteiro",N1014=1,"Juntos",O1014=1,"Viuvo")</f>
        <v>Casado</v>
      </c>
      <c r="K1014" s="17">
        <v>0</v>
      </c>
      <c r="L1014" s="17">
        <v>1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1</v>
      </c>
      <c r="S1014" s="17">
        <v>0</v>
      </c>
      <c r="T1014" s="17">
        <v>0</v>
      </c>
      <c r="U1014" s="17">
        <v>120</v>
      </c>
      <c r="V1014" s="13" t="str" cm="1">
        <f t="array" ref="V1014">_xlfn.IFS(U1014&lt;=250,"0-R$250",U1014&lt;=500,"251-R$500",U1014&lt;=750,"501-R$750",U1014&lt;=1000,"751-R$1000",U1014&lt;=1250,"1001-R$1250",U1014&lt;=1500,"1251-R$1500")</f>
        <v>0-R$250</v>
      </c>
      <c r="W1014" s="17">
        <v>58</v>
      </c>
      <c r="X1014" s="13" t="str" cm="1">
        <f t="array" ref="X1014">_xlfn.IFS(W1014 = 0, "0", W1014&lt;=20, "até R$20",W1014&lt;=40, "21 - R$40",W1014&lt;=60, "41- R$60",W1014&lt;=80, "61 - R$80", W1014&lt;=100, "81 - R$100",W1014&lt;=120, "101 - R$120",W1014&lt;=140, "121 - R$140", W1014&lt;=160, "141- R$160", W1014&lt;=180, "161 - R$180", W1014&lt;=200, "181-R$194")</f>
        <v>41- R$60</v>
      </c>
      <c r="Y1014" s="17">
        <v>73</v>
      </c>
      <c r="Z1014" s="17">
        <v>65</v>
      </c>
      <c r="AA1014" s="17">
        <v>89</v>
      </c>
      <c r="AB1014" s="17">
        <v>58</v>
      </c>
      <c r="AC1014" s="17">
        <v>5</v>
      </c>
      <c r="AD1014" s="17">
        <v>5</v>
      </c>
      <c r="AE1014" s="17">
        <v>4</v>
      </c>
      <c r="AF1014" s="17">
        <v>5</v>
      </c>
      <c r="AG1014" s="17">
        <v>5</v>
      </c>
      <c r="AH1014" s="17">
        <v>0</v>
      </c>
      <c r="AI1014" s="17">
        <v>0</v>
      </c>
      <c r="AJ1014" s="17">
        <v>0</v>
      </c>
      <c r="AK1014" s="17">
        <v>0</v>
      </c>
      <c r="AL1014" s="17">
        <v>0</v>
      </c>
      <c r="AM1014" s="17">
        <v>0</v>
      </c>
      <c r="AN1014" s="17">
        <v>0</v>
      </c>
      <c r="AO1014" s="18">
        <v>0</v>
      </c>
      <c r="AP1014" s="17">
        <v>3</v>
      </c>
      <c r="AQ1014" s="17">
        <v>11</v>
      </c>
      <c r="AR1014" s="19">
        <v>347</v>
      </c>
      <c r="AS1014" s="19">
        <v>405</v>
      </c>
    </row>
    <row r="1015" spans="1:45" x14ac:dyDescent="0.25">
      <c r="A1015">
        <v>1737</v>
      </c>
      <c r="B1015" s="11">
        <f t="shared" si="15"/>
        <v>59481</v>
      </c>
      <c r="C1015" s="16">
        <v>594810</v>
      </c>
      <c r="D1015" s="17">
        <v>0</v>
      </c>
      <c r="E1015" s="17">
        <v>1</v>
      </c>
      <c r="F1015" s="17">
        <v>47</v>
      </c>
      <c r="G1015" s="17">
        <v>45</v>
      </c>
      <c r="H1015" s="13" t="str" cm="1">
        <f t="array" ref="H1015">_xlfn.IFS(G1015&lt;=20,"0-20",G1015&lt;=30,"20-30",G1015&lt;=40,"30-40",G1015&lt;=50,"50-60",G1015&lt;=60,"60-70",G1015&lt;=70,"70-80",G1015&lt;=80,"80-90")</f>
        <v>50-60</v>
      </c>
      <c r="I1015" s="17">
        <v>2408</v>
      </c>
      <c r="J1015" s="13" t="str" cm="1">
        <f t="array" ref="J1015">_xlfn.IFS(K1015=1,"Divorciado",L1015=1,"Casado",M1015=1,"Solteiro",N1015=1,"Juntos",O1015=1,"Viuvo")</f>
        <v>Juntos</v>
      </c>
      <c r="K1015" s="17">
        <v>0</v>
      </c>
      <c r="L1015" s="17">
        <v>0</v>
      </c>
      <c r="M1015" s="17">
        <v>0</v>
      </c>
      <c r="N1015" s="17">
        <v>1</v>
      </c>
      <c r="O1015" s="17">
        <v>0</v>
      </c>
      <c r="P1015" s="17">
        <v>0</v>
      </c>
      <c r="Q1015" s="17">
        <v>0</v>
      </c>
      <c r="R1015" s="17">
        <v>1</v>
      </c>
      <c r="S1015" s="17">
        <v>0</v>
      </c>
      <c r="T1015" s="17">
        <v>0</v>
      </c>
      <c r="U1015" s="17">
        <v>178</v>
      </c>
      <c r="V1015" s="13" t="str" cm="1">
        <f t="array" ref="V1015">_xlfn.IFS(U1015&lt;=250,"0-R$250",U1015&lt;=500,"251-R$500",U1015&lt;=750,"501-R$750",U1015&lt;=1000,"751-R$1000",U1015&lt;=1250,"1001-R$1250",U1015&lt;=1500,"1251-R$1500")</f>
        <v>0-R$250</v>
      </c>
      <c r="W1015" s="17">
        <v>3</v>
      </c>
      <c r="X1015" s="13" t="str" cm="1">
        <f t="array" ref="X1015">_xlfn.IFS(W1015 = 0, "0", W1015&lt;=20, "até R$20",W1015&lt;=40, "21 - R$40",W1015&lt;=60, "41- R$60",W1015&lt;=80, "61 - R$80", W1015&lt;=100, "81 - R$100",W1015&lt;=120, "101 - R$120",W1015&lt;=140, "121 - R$140", W1015&lt;=160, "141- R$160", W1015&lt;=180, "161 - R$180", W1015&lt;=200, "181-R$194")</f>
        <v>até R$20</v>
      </c>
      <c r="Y1015" s="17">
        <v>85</v>
      </c>
      <c r="Z1015" s="17">
        <v>71</v>
      </c>
      <c r="AA1015" s="17">
        <v>66</v>
      </c>
      <c r="AB1015" s="17">
        <v>58</v>
      </c>
      <c r="AC1015" s="17">
        <v>2</v>
      </c>
      <c r="AD1015" s="17">
        <v>3</v>
      </c>
      <c r="AE1015" s="17">
        <v>3</v>
      </c>
      <c r="AF1015" s="17">
        <v>8</v>
      </c>
      <c r="AG1015" s="17">
        <v>2</v>
      </c>
      <c r="AH1015" s="17">
        <v>0</v>
      </c>
      <c r="AI1015" s="17">
        <v>0</v>
      </c>
      <c r="AJ1015" s="17">
        <v>0</v>
      </c>
      <c r="AK1015" s="17">
        <v>0</v>
      </c>
      <c r="AL1015" s="17">
        <v>0</v>
      </c>
      <c r="AM1015" s="17">
        <v>0</v>
      </c>
      <c r="AN1015" s="17">
        <v>0</v>
      </c>
      <c r="AO1015" s="18">
        <v>0</v>
      </c>
      <c r="AP1015" s="17">
        <v>3</v>
      </c>
      <c r="AQ1015" s="17">
        <v>11</v>
      </c>
      <c r="AR1015" s="19">
        <v>345</v>
      </c>
      <c r="AS1015" s="19">
        <v>403</v>
      </c>
    </row>
    <row r="1016" spans="1:45" x14ac:dyDescent="0.25">
      <c r="A1016">
        <v>91</v>
      </c>
      <c r="B1016" s="11">
        <f t="shared" si="15"/>
        <v>50150</v>
      </c>
      <c r="C1016" s="16">
        <v>501500</v>
      </c>
      <c r="D1016" s="17">
        <v>0</v>
      </c>
      <c r="E1016" s="17">
        <v>0</v>
      </c>
      <c r="F1016" s="17">
        <v>32</v>
      </c>
      <c r="G1016" s="17">
        <v>37</v>
      </c>
      <c r="H1016" s="13" t="str" cm="1">
        <f t="array" ref="H1016">_xlfn.IFS(G1016&lt;=20,"0-20",G1016&lt;=30,"20-30",G1016&lt;=40,"30-40",G1016&lt;=50,"50-60",G1016&lt;=60,"60-70",G1016&lt;=70,"70-80",G1016&lt;=80,"80-90")</f>
        <v>30-40</v>
      </c>
      <c r="I1016" s="17">
        <v>2533</v>
      </c>
      <c r="J1016" s="13" t="str" cm="1">
        <f t="array" ref="J1016">_xlfn.IFS(K1016=1,"Divorciado",L1016=1,"Casado",M1016=1,"Solteiro",N1016=1,"Juntos",O1016=1,"Viuvo")</f>
        <v>Casado</v>
      </c>
      <c r="K1016" s="17">
        <v>0</v>
      </c>
      <c r="L1016" s="17">
        <v>1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1</v>
      </c>
      <c r="U1016" s="17">
        <v>135</v>
      </c>
      <c r="V1016" s="13" t="str" cm="1">
        <f t="array" ref="V1016">_xlfn.IFS(U1016&lt;=250,"0-R$250",U1016&lt;=500,"251-R$500",U1016&lt;=750,"501-R$750",U1016&lt;=1000,"751-R$1000",U1016&lt;=1250,"1001-R$1250",U1016&lt;=1500,"1251-R$1500")</f>
        <v>0-R$250</v>
      </c>
      <c r="W1016" s="17">
        <v>46</v>
      </c>
      <c r="X1016" s="13" t="str" cm="1">
        <f t="array" ref="X1016">_xlfn.IFS(W1016 = 0, "0", W1016&lt;=20, "até R$20",W1016&lt;=40, "21 - R$40",W1016&lt;=60, "41- R$60",W1016&lt;=80, "61 - R$80", W1016&lt;=100, "81 - R$100",W1016&lt;=120, "101 - R$120",W1016&lt;=140, "121 - R$140", W1016&lt;=160, "141- R$160", W1016&lt;=180, "161 - R$180", W1016&lt;=200, "181-R$194")</f>
        <v>41- R$60</v>
      </c>
      <c r="Y1016" s="17">
        <v>92</v>
      </c>
      <c r="Z1016" s="17">
        <v>65</v>
      </c>
      <c r="AA1016" s="17">
        <v>61</v>
      </c>
      <c r="AB1016" s="17">
        <v>11</v>
      </c>
      <c r="AC1016" s="17">
        <v>2</v>
      </c>
      <c r="AD1016" s="17">
        <v>5</v>
      </c>
      <c r="AE1016" s="17">
        <v>2</v>
      </c>
      <c r="AF1016" s="17">
        <v>7</v>
      </c>
      <c r="AG1016" s="17">
        <v>5</v>
      </c>
      <c r="AH1016" s="17">
        <v>0</v>
      </c>
      <c r="AI1016" s="17">
        <v>0</v>
      </c>
      <c r="AJ1016" s="17">
        <v>0</v>
      </c>
      <c r="AK1016" s="17">
        <v>0</v>
      </c>
      <c r="AL1016" s="17">
        <v>0</v>
      </c>
      <c r="AM1016" s="17">
        <v>0</v>
      </c>
      <c r="AN1016" s="17">
        <v>0</v>
      </c>
      <c r="AO1016" s="18">
        <v>0</v>
      </c>
      <c r="AP1016" s="17">
        <v>3</v>
      </c>
      <c r="AQ1016" s="17">
        <v>11</v>
      </c>
      <c r="AR1016" s="19">
        <v>388</v>
      </c>
      <c r="AS1016" s="19">
        <v>399</v>
      </c>
    </row>
    <row r="1017" spans="1:45" x14ac:dyDescent="0.25">
      <c r="A1017">
        <v>1327</v>
      </c>
      <c r="B1017" s="11">
        <f t="shared" si="15"/>
        <v>50150</v>
      </c>
      <c r="C1017" s="16">
        <v>501500</v>
      </c>
      <c r="D1017" s="17">
        <v>0</v>
      </c>
      <c r="E1017" s="17">
        <v>0</v>
      </c>
      <c r="F1017" s="17">
        <v>32</v>
      </c>
      <c r="G1017" s="17">
        <v>37</v>
      </c>
      <c r="H1017" s="13" t="str" cm="1">
        <f t="array" ref="H1017">_xlfn.IFS(G1017&lt;=20,"0-20",G1017&lt;=30,"20-30",G1017&lt;=40,"30-40",G1017&lt;=50,"50-60",G1017&lt;=60,"60-70",G1017&lt;=70,"70-80",G1017&lt;=80,"80-90")</f>
        <v>30-40</v>
      </c>
      <c r="I1017" s="17">
        <v>2533</v>
      </c>
      <c r="J1017" s="13" t="str" cm="1">
        <f t="array" ref="J1017">_xlfn.IFS(K1017=1,"Divorciado",L1017=1,"Casado",M1017=1,"Solteiro",N1017=1,"Juntos",O1017=1,"Viuvo")</f>
        <v>Casado</v>
      </c>
      <c r="K1017" s="17">
        <v>0</v>
      </c>
      <c r="L1017" s="17">
        <v>1</v>
      </c>
      <c r="M1017" s="17">
        <v>0</v>
      </c>
      <c r="N1017" s="17">
        <v>0</v>
      </c>
      <c r="O1017" s="17">
        <v>0</v>
      </c>
      <c r="P1017" s="17">
        <v>0</v>
      </c>
      <c r="Q1017" s="17">
        <v>0</v>
      </c>
      <c r="R1017" s="17">
        <v>0</v>
      </c>
      <c r="S1017" s="17">
        <v>0</v>
      </c>
      <c r="T1017" s="17">
        <v>1</v>
      </c>
      <c r="U1017" s="17">
        <v>135</v>
      </c>
      <c r="V1017" s="13" t="str" cm="1">
        <f t="array" ref="V1017">_xlfn.IFS(U1017&lt;=250,"0-R$250",U1017&lt;=500,"251-R$500",U1017&lt;=750,"501-R$750",U1017&lt;=1000,"751-R$1000",U1017&lt;=1250,"1001-R$1250",U1017&lt;=1500,"1251-R$1500")</f>
        <v>0-R$250</v>
      </c>
      <c r="W1017" s="17">
        <v>46</v>
      </c>
      <c r="X1017" s="13" t="str" cm="1">
        <f t="array" ref="X1017">_xlfn.IFS(W1017 = 0, "0", W1017&lt;=20, "até R$20",W1017&lt;=40, "21 - R$40",W1017&lt;=60, "41- R$60",W1017&lt;=80, "61 - R$80", W1017&lt;=100, "81 - R$100",W1017&lt;=120, "101 - R$120",W1017&lt;=140, "121 - R$140", W1017&lt;=160, "141- R$160", W1017&lt;=180, "161 - R$180", W1017&lt;=200, "181-R$194")</f>
        <v>41- R$60</v>
      </c>
      <c r="Y1017" s="17">
        <v>92</v>
      </c>
      <c r="Z1017" s="17">
        <v>65</v>
      </c>
      <c r="AA1017" s="17">
        <v>61</v>
      </c>
      <c r="AB1017" s="17">
        <v>11</v>
      </c>
      <c r="AC1017" s="17">
        <v>2</v>
      </c>
      <c r="AD1017" s="17">
        <v>5</v>
      </c>
      <c r="AE1017" s="17">
        <v>2</v>
      </c>
      <c r="AF1017" s="17">
        <v>7</v>
      </c>
      <c r="AG1017" s="17">
        <v>5</v>
      </c>
      <c r="AH1017" s="17">
        <v>0</v>
      </c>
      <c r="AI1017" s="17">
        <v>0</v>
      </c>
      <c r="AJ1017" s="17">
        <v>0</v>
      </c>
      <c r="AK1017" s="17">
        <v>0</v>
      </c>
      <c r="AL1017" s="17">
        <v>0</v>
      </c>
      <c r="AM1017" s="17">
        <v>0</v>
      </c>
      <c r="AN1017" s="17">
        <v>0</v>
      </c>
      <c r="AO1017" s="18">
        <v>0</v>
      </c>
      <c r="AP1017" s="17">
        <v>3</v>
      </c>
      <c r="AQ1017" s="17">
        <v>11</v>
      </c>
      <c r="AR1017" s="19">
        <v>388</v>
      </c>
      <c r="AS1017" s="19">
        <v>399</v>
      </c>
    </row>
    <row r="1018" spans="1:45" x14ac:dyDescent="0.25">
      <c r="A1018">
        <v>879</v>
      </c>
      <c r="B1018" s="11">
        <f t="shared" si="15"/>
        <v>37087</v>
      </c>
      <c r="C1018" s="16">
        <v>370870</v>
      </c>
      <c r="D1018" s="17">
        <v>1</v>
      </c>
      <c r="E1018" s="17">
        <v>0</v>
      </c>
      <c r="F1018" s="17">
        <v>50</v>
      </c>
      <c r="G1018" s="17">
        <v>46</v>
      </c>
      <c r="H1018" s="13" t="str" cm="1">
        <f t="array" ref="H1018">_xlfn.IFS(G1018&lt;=20,"0-20",G1018&lt;=30,"20-30",G1018&lt;=40,"30-40",G1018&lt;=50,"50-60",G1018&lt;=60,"60-70",G1018&lt;=70,"70-80",G1018&lt;=80,"80-90")</f>
        <v>50-60</v>
      </c>
      <c r="I1018" s="17">
        <v>2481</v>
      </c>
      <c r="J1018" s="13" t="str" cm="1">
        <f t="array" ref="J1018">_xlfn.IFS(K1018=1,"Divorciado",L1018=1,"Casado",M1018=1,"Solteiro",N1018=1,"Juntos",O1018=1,"Viuvo")</f>
        <v>Casado</v>
      </c>
      <c r="K1018" s="17">
        <v>0</v>
      </c>
      <c r="L1018" s="17">
        <v>1</v>
      </c>
      <c r="M1018" s="17">
        <v>0</v>
      </c>
      <c r="N1018" s="17">
        <v>0</v>
      </c>
      <c r="O1018" s="17">
        <v>0</v>
      </c>
      <c r="P1018" s="17">
        <v>0</v>
      </c>
      <c r="Q1018" s="17">
        <v>0</v>
      </c>
      <c r="R1018" s="17">
        <v>0</v>
      </c>
      <c r="S1018" s="17">
        <v>0</v>
      </c>
      <c r="T1018" s="17">
        <v>1</v>
      </c>
      <c r="U1018" s="17">
        <v>194</v>
      </c>
      <c r="V1018" s="13" t="str" cm="1">
        <f t="array" ref="V1018">_xlfn.IFS(U1018&lt;=250,"0-R$250",U1018&lt;=500,"251-R$500",U1018&lt;=750,"501-R$750",U1018&lt;=1000,"751-R$1000",U1018&lt;=1250,"1001-R$1250",U1018&lt;=1500,"1251-R$1500")</f>
        <v>0-R$250</v>
      </c>
      <c r="W1018" s="17">
        <v>55</v>
      </c>
      <c r="X1018" s="13" t="str" cm="1">
        <f t="array" ref="X1018">_xlfn.IFS(W1018 = 0, "0", W1018&lt;=20, "até R$20",W1018&lt;=40, "21 - R$40",W1018&lt;=60, "41- R$60",W1018&lt;=80, "61 - R$80", W1018&lt;=100, "81 - R$100",W1018&lt;=120, "101 - R$120",W1018&lt;=140, "121 - R$140", W1018&lt;=160, "141- R$160", W1018&lt;=180, "161 - R$180", W1018&lt;=200, "181-R$194")</f>
        <v>41- R$60</v>
      </c>
      <c r="Y1018" s="17">
        <v>134</v>
      </c>
      <c r="Z1018" s="17">
        <v>15</v>
      </c>
      <c r="AA1018" s="17">
        <v>0</v>
      </c>
      <c r="AB1018" s="17">
        <v>3</v>
      </c>
      <c r="AC1018" s="17">
        <v>3</v>
      </c>
      <c r="AD1018" s="17">
        <v>4</v>
      </c>
      <c r="AE1018" s="17">
        <v>2</v>
      </c>
      <c r="AF1018" s="17">
        <v>8</v>
      </c>
      <c r="AG1018" s="17">
        <v>6</v>
      </c>
      <c r="AH1018" s="17">
        <v>0</v>
      </c>
      <c r="AI1018" s="17">
        <v>0</v>
      </c>
      <c r="AJ1018" s="17">
        <v>0</v>
      </c>
      <c r="AK1018" s="17">
        <v>0</v>
      </c>
      <c r="AL1018" s="17">
        <v>0</v>
      </c>
      <c r="AM1018" s="17">
        <v>0</v>
      </c>
      <c r="AN1018" s="17">
        <v>0</v>
      </c>
      <c r="AO1018" s="18">
        <v>0</v>
      </c>
      <c r="AP1018" s="17">
        <v>3</v>
      </c>
      <c r="AQ1018" s="17">
        <v>11</v>
      </c>
      <c r="AR1018" s="19">
        <v>395</v>
      </c>
      <c r="AS1018" s="19">
        <v>398</v>
      </c>
    </row>
    <row r="1019" spans="1:45" x14ac:dyDescent="0.25">
      <c r="A1019">
        <v>1076</v>
      </c>
      <c r="B1019" s="11">
        <f t="shared" si="15"/>
        <v>61825</v>
      </c>
      <c r="C1019" s="12">
        <v>618250</v>
      </c>
      <c r="D1019" s="13">
        <v>0</v>
      </c>
      <c r="E1019" s="13">
        <v>1</v>
      </c>
      <c r="F1019" s="13">
        <v>56</v>
      </c>
      <c r="G1019" s="13">
        <v>41</v>
      </c>
      <c r="H1019" s="13" t="str" cm="1">
        <f t="array" ref="H1019">_xlfn.IFS(G1019&lt;=20,"0-20",G1019&lt;=30,"20-30",G1019&lt;=40,"30-40",G1019&lt;=50,"50-60",G1019&lt;=60,"60-70",G1019&lt;=70,"70-80",G1019&lt;=80,"80-90")</f>
        <v>50-60</v>
      </c>
      <c r="I1019" s="13">
        <v>2485</v>
      </c>
      <c r="J1019" s="13" t="str" cm="1">
        <f t="array" ref="J1019">_xlfn.IFS(K1019=1,"Divorciado",L1019=1,"Casado",M1019=1,"Solteiro",N1019=1,"Juntos",O1019=1,"Viuvo")</f>
        <v>Solteiro</v>
      </c>
      <c r="K1019" s="13">
        <v>0</v>
      </c>
      <c r="L1019" s="13">
        <v>0</v>
      </c>
      <c r="M1019" s="13">
        <v>1</v>
      </c>
      <c r="N1019" s="13">
        <v>0</v>
      </c>
      <c r="O1019" s="13">
        <v>0</v>
      </c>
      <c r="P1019" s="13">
        <v>0</v>
      </c>
      <c r="Q1019" s="13">
        <v>0</v>
      </c>
      <c r="R1019" s="13">
        <v>1</v>
      </c>
      <c r="S1019" s="13">
        <v>0</v>
      </c>
      <c r="T1019" s="13">
        <v>0</v>
      </c>
      <c r="U1019" s="13">
        <v>162</v>
      </c>
      <c r="V1019" s="13" t="str" cm="1">
        <f t="array" ref="V1019">_xlfn.IFS(U1019&lt;=250,"0-R$250",U1019&lt;=500,"251-R$500",U1019&lt;=750,"501-R$750",U1019&lt;=1000,"751-R$1000",U1019&lt;=1250,"1001-R$1250",U1019&lt;=1500,"1251-R$1500")</f>
        <v>0-R$250</v>
      </c>
      <c r="W1019" s="13">
        <v>50</v>
      </c>
      <c r="X1019" s="13" t="str" cm="1">
        <f t="array" ref="X1019">_xlfn.IFS(W1019 = 0, "0", W1019&lt;=20, "até R$20",W1019&lt;=40, "21 - R$40",W1019&lt;=60, "41- R$60",W1019&lt;=80, "61 - R$80", W1019&lt;=100, "81 - R$100",W1019&lt;=120, "101 - R$120",W1019&lt;=140, "121 - R$140", W1019&lt;=160, "141- R$160", W1019&lt;=180, "161 - R$180", W1019&lt;=200, "181-R$194")</f>
        <v>41- R$60</v>
      </c>
      <c r="Y1019" s="13">
        <v>100</v>
      </c>
      <c r="Z1019" s="13">
        <v>55</v>
      </c>
      <c r="AA1019" s="13">
        <v>30</v>
      </c>
      <c r="AB1019" s="13">
        <v>27</v>
      </c>
      <c r="AC1019" s="13">
        <v>1</v>
      </c>
      <c r="AD1019" s="13">
        <v>4</v>
      </c>
      <c r="AE1019" s="13">
        <v>2</v>
      </c>
      <c r="AF1019" s="13">
        <v>8</v>
      </c>
      <c r="AG1019" s="13">
        <v>4</v>
      </c>
      <c r="AH1019" s="13">
        <v>0</v>
      </c>
      <c r="AI1019" s="13">
        <v>0</v>
      </c>
      <c r="AJ1019" s="13">
        <v>0</v>
      </c>
      <c r="AK1019" s="13">
        <v>0</v>
      </c>
      <c r="AL1019" s="13">
        <v>0</v>
      </c>
      <c r="AM1019" s="13">
        <v>0</v>
      </c>
      <c r="AN1019" s="13">
        <v>0</v>
      </c>
      <c r="AO1019" s="14">
        <v>0</v>
      </c>
      <c r="AP1019" s="13">
        <v>3</v>
      </c>
      <c r="AQ1019" s="13">
        <v>11</v>
      </c>
      <c r="AR1019" s="15">
        <v>370</v>
      </c>
      <c r="AS1019" s="15">
        <v>397</v>
      </c>
    </row>
    <row r="1020" spans="1:45" x14ac:dyDescent="0.25">
      <c r="A1020">
        <v>1342</v>
      </c>
      <c r="B1020" s="11">
        <f t="shared" si="15"/>
        <v>53034</v>
      </c>
      <c r="C1020" s="12">
        <v>530340</v>
      </c>
      <c r="D1020" s="13">
        <v>1</v>
      </c>
      <c r="E1020" s="13">
        <v>1</v>
      </c>
      <c r="F1020" s="13">
        <v>30</v>
      </c>
      <c r="G1020" s="13">
        <v>46</v>
      </c>
      <c r="H1020" s="13" t="str" cm="1">
        <f t="array" ref="H1020">_xlfn.IFS(G1020&lt;=20,"0-20",G1020&lt;=30,"20-30",G1020&lt;=40,"30-40",G1020&lt;=50,"50-60",G1020&lt;=60,"60-70",G1020&lt;=70,"70-80",G1020&lt;=80,"80-90")</f>
        <v>50-60</v>
      </c>
      <c r="I1020" s="13">
        <v>2554</v>
      </c>
      <c r="J1020" s="13" t="str" cm="1">
        <f t="array" ref="J1020">_xlfn.IFS(K1020=1,"Divorciado",L1020=1,"Casado",M1020=1,"Solteiro",N1020=1,"Juntos",O1020=1,"Viuvo")</f>
        <v>Divorciado</v>
      </c>
      <c r="K1020" s="13">
        <v>1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1</v>
      </c>
      <c r="S1020" s="13">
        <v>0</v>
      </c>
      <c r="T1020" s="13">
        <v>0</v>
      </c>
      <c r="U1020" s="13">
        <v>160</v>
      </c>
      <c r="V1020" s="13" t="str" cm="1">
        <f t="array" ref="V1020">_xlfn.IFS(U1020&lt;=250,"0-R$250",U1020&lt;=500,"251-R$500",U1020&lt;=750,"501-R$750",U1020&lt;=1000,"751-R$1000",U1020&lt;=1250,"1001-R$1250",U1020&lt;=1500,"1251-R$1500")</f>
        <v>0-R$250</v>
      </c>
      <c r="W1020" s="13">
        <v>15</v>
      </c>
      <c r="X1020" s="13" t="str" cm="1">
        <f t="array" ref="X1020">_xlfn.IFS(W1020 = 0, "0", W1020&lt;=20, "até R$20",W1020&lt;=40, "21 - R$40",W1020&lt;=60, "41- R$60",W1020&lt;=80, "61 - R$80", W1020&lt;=100, "81 - R$100",W1020&lt;=120, "101 - R$120",W1020&lt;=140, "121 - R$140", W1020&lt;=160, "141- R$160", W1020&lt;=180, "161 - R$180", W1020&lt;=200, "181-R$194")</f>
        <v>até R$20</v>
      </c>
      <c r="Y1020" s="13">
        <v>196</v>
      </c>
      <c r="Z1020" s="13">
        <v>15</v>
      </c>
      <c r="AA1020" s="13">
        <v>11</v>
      </c>
      <c r="AB1020" s="13">
        <v>50</v>
      </c>
      <c r="AC1020" s="13">
        <v>8</v>
      </c>
      <c r="AD1020" s="13">
        <v>6</v>
      </c>
      <c r="AE1020" s="13">
        <v>1</v>
      </c>
      <c r="AF1020" s="13">
        <v>7</v>
      </c>
      <c r="AG1020" s="13">
        <v>8</v>
      </c>
      <c r="AH1020" s="13">
        <v>0</v>
      </c>
      <c r="AI1020" s="13">
        <v>0</v>
      </c>
      <c r="AJ1020" s="13">
        <v>0</v>
      </c>
      <c r="AK1020" s="13">
        <v>0</v>
      </c>
      <c r="AL1020" s="13">
        <v>0</v>
      </c>
      <c r="AM1020" s="13">
        <v>0</v>
      </c>
      <c r="AN1020" s="13">
        <v>0</v>
      </c>
      <c r="AO1020" s="14">
        <v>0</v>
      </c>
      <c r="AP1020" s="13">
        <v>3</v>
      </c>
      <c r="AQ1020" s="13">
        <v>11</v>
      </c>
      <c r="AR1020" s="15">
        <v>347</v>
      </c>
      <c r="AS1020" s="15">
        <v>397</v>
      </c>
    </row>
    <row r="1021" spans="1:45" x14ac:dyDescent="0.25">
      <c r="A1021">
        <v>1837</v>
      </c>
      <c r="B1021" s="11">
        <f t="shared" si="15"/>
        <v>61825</v>
      </c>
      <c r="C1021" s="16">
        <v>618250</v>
      </c>
      <c r="D1021" s="17">
        <v>0</v>
      </c>
      <c r="E1021" s="17">
        <v>1</v>
      </c>
      <c r="F1021" s="17">
        <v>56</v>
      </c>
      <c r="G1021" s="17">
        <v>41</v>
      </c>
      <c r="H1021" s="13" t="str" cm="1">
        <f t="array" ref="H1021">_xlfn.IFS(G1021&lt;=20,"0-20",G1021&lt;=30,"20-30",G1021&lt;=40,"30-40",G1021&lt;=50,"50-60",G1021&lt;=60,"60-70",G1021&lt;=70,"70-80",G1021&lt;=80,"80-90")</f>
        <v>50-60</v>
      </c>
      <c r="I1021" s="17">
        <v>2485</v>
      </c>
      <c r="J1021" s="13" t="str" cm="1">
        <f t="array" ref="J1021">_xlfn.IFS(K1021=1,"Divorciado",L1021=1,"Casado",M1021=1,"Solteiro",N1021=1,"Juntos",O1021=1,"Viuvo")</f>
        <v>Solteiro</v>
      </c>
      <c r="K1021" s="17">
        <v>0</v>
      </c>
      <c r="L1021" s="17">
        <v>0</v>
      </c>
      <c r="M1021" s="17">
        <v>1</v>
      </c>
      <c r="N1021" s="17">
        <v>0</v>
      </c>
      <c r="O1021" s="17">
        <v>0</v>
      </c>
      <c r="P1021" s="17">
        <v>0</v>
      </c>
      <c r="Q1021" s="17">
        <v>0</v>
      </c>
      <c r="R1021" s="17">
        <v>1</v>
      </c>
      <c r="S1021" s="17">
        <v>0</v>
      </c>
      <c r="T1021" s="17">
        <v>0</v>
      </c>
      <c r="U1021" s="17">
        <v>162</v>
      </c>
      <c r="V1021" s="13" t="str" cm="1">
        <f t="array" ref="V1021">_xlfn.IFS(U1021&lt;=250,"0-R$250",U1021&lt;=500,"251-R$500",U1021&lt;=750,"501-R$750",U1021&lt;=1000,"751-R$1000",U1021&lt;=1250,"1001-R$1250",U1021&lt;=1500,"1251-R$1500")</f>
        <v>0-R$250</v>
      </c>
      <c r="W1021" s="17">
        <v>50</v>
      </c>
      <c r="X1021" s="13" t="str" cm="1">
        <f t="array" ref="X1021">_xlfn.IFS(W1021 = 0, "0", W1021&lt;=20, "até R$20",W1021&lt;=40, "21 - R$40",W1021&lt;=60, "41- R$60",W1021&lt;=80, "61 - R$80", W1021&lt;=100, "81 - R$100",W1021&lt;=120, "101 - R$120",W1021&lt;=140, "121 - R$140", W1021&lt;=160, "141- R$160", W1021&lt;=180, "161 - R$180", W1021&lt;=200, "181-R$194")</f>
        <v>41- R$60</v>
      </c>
      <c r="Y1021" s="17">
        <v>100</v>
      </c>
      <c r="Z1021" s="17">
        <v>55</v>
      </c>
      <c r="AA1021" s="17">
        <v>30</v>
      </c>
      <c r="AB1021" s="17">
        <v>27</v>
      </c>
      <c r="AC1021" s="17">
        <v>1</v>
      </c>
      <c r="AD1021" s="17">
        <v>4</v>
      </c>
      <c r="AE1021" s="17">
        <v>2</v>
      </c>
      <c r="AF1021" s="17">
        <v>8</v>
      </c>
      <c r="AG1021" s="17">
        <v>4</v>
      </c>
      <c r="AH1021" s="17">
        <v>0</v>
      </c>
      <c r="AI1021" s="17">
        <v>0</v>
      </c>
      <c r="AJ1021" s="17">
        <v>0</v>
      </c>
      <c r="AK1021" s="17">
        <v>0</v>
      </c>
      <c r="AL1021" s="17">
        <v>0</v>
      </c>
      <c r="AM1021" s="17">
        <v>0</v>
      </c>
      <c r="AN1021" s="17">
        <v>0</v>
      </c>
      <c r="AO1021" s="18">
        <v>0</v>
      </c>
      <c r="AP1021" s="17">
        <v>3</v>
      </c>
      <c r="AQ1021" s="17">
        <v>11</v>
      </c>
      <c r="AR1021" s="19">
        <v>370</v>
      </c>
      <c r="AS1021" s="19">
        <v>397</v>
      </c>
    </row>
    <row r="1022" spans="1:45" x14ac:dyDescent="0.25">
      <c r="A1022">
        <v>270</v>
      </c>
      <c r="B1022" s="11">
        <f t="shared" si="15"/>
        <v>65640</v>
      </c>
      <c r="C1022" s="12">
        <v>656400</v>
      </c>
      <c r="D1022" s="13">
        <v>0</v>
      </c>
      <c r="E1022" s="13">
        <v>1</v>
      </c>
      <c r="F1022" s="13">
        <v>74</v>
      </c>
      <c r="G1022" s="13">
        <v>46</v>
      </c>
      <c r="H1022" s="13" t="str" cm="1">
        <f t="array" ref="H1022">_xlfn.IFS(G1022&lt;=20,"0-20",G1022&lt;=30,"20-30",G1022&lt;=40,"30-40",G1022&lt;=50,"50-60",G1022&lt;=60,"60-70",G1022&lt;=70,"70-80",G1022&lt;=80,"80-90")</f>
        <v>50-60</v>
      </c>
      <c r="I1022" s="13">
        <v>2279</v>
      </c>
      <c r="J1022" s="13" t="str" cm="1">
        <f t="array" ref="J1022">_xlfn.IFS(K1022=1,"Divorciado",L1022=1,"Casado",M1022=1,"Solteiro",N1022=1,"Juntos",O1022=1,"Viuvo")</f>
        <v>Juntos</v>
      </c>
      <c r="K1022" s="13">
        <v>0</v>
      </c>
      <c r="L1022" s="13">
        <v>0</v>
      </c>
      <c r="M1022" s="13">
        <v>0</v>
      </c>
      <c r="N1022" s="13">
        <v>1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1</v>
      </c>
      <c r="U1022" s="13">
        <v>204</v>
      </c>
      <c r="V1022" s="13" t="str" cm="1">
        <f t="array" ref="V1022">_xlfn.IFS(U1022&lt;=250,"0-R$250",U1022&lt;=500,"251-R$500",U1022&lt;=750,"501-R$750",U1022&lt;=1000,"751-R$1000",U1022&lt;=1250,"1001-R$1250",U1022&lt;=1500,"1251-R$1500")</f>
        <v>0-R$250</v>
      </c>
      <c r="W1022" s="13">
        <v>7</v>
      </c>
      <c r="X1022" s="13" t="str" cm="1">
        <f t="array" ref="X1022">_xlfn.IFS(W1022 = 0, "0", W1022&lt;=20, "até R$20",W1022&lt;=40, "21 - R$40",W1022&lt;=60, "41- R$60",W1022&lt;=80, "61 - R$80", W1022&lt;=100, "81 - R$100",W1022&lt;=120, "101 - R$120",W1022&lt;=140, "121 - R$140", W1022&lt;=160, "141- R$160", W1022&lt;=180, "161 - R$180", W1022&lt;=200, "181-R$194")</f>
        <v>até R$20</v>
      </c>
      <c r="Y1022" s="13">
        <v>149</v>
      </c>
      <c r="Z1022" s="13">
        <v>20</v>
      </c>
      <c r="AA1022" s="13">
        <v>15</v>
      </c>
      <c r="AB1022" s="13">
        <v>66</v>
      </c>
      <c r="AC1022" s="13">
        <v>1</v>
      </c>
      <c r="AD1022" s="13">
        <v>5</v>
      </c>
      <c r="AE1022" s="13">
        <v>1</v>
      </c>
      <c r="AF1022" s="13">
        <v>8</v>
      </c>
      <c r="AG1022" s="13">
        <v>2</v>
      </c>
      <c r="AH1022" s="13">
        <v>0</v>
      </c>
      <c r="AI1022" s="13">
        <v>0</v>
      </c>
      <c r="AJ1022" s="13">
        <v>0</v>
      </c>
      <c r="AK1022" s="13">
        <v>0</v>
      </c>
      <c r="AL1022" s="13">
        <v>0</v>
      </c>
      <c r="AM1022" s="13">
        <v>0</v>
      </c>
      <c r="AN1022" s="13">
        <v>0</v>
      </c>
      <c r="AO1022" s="14">
        <v>0</v>
      </c>
      <c r="AP1022" s="13">
        <v>3</v>
      </c>
      <c r="AQ1022" s="13">
        <v>11</v>
      </c>
      <c r="AR1022" s="15">
        <v>329</v>
      </c>
      <c r="AS1022" s="15">
        <v>395</v>
      </c>
    </row>
    <row r="1023" spans="1:45" x14ac:dyDescent="0.25">
      <c r="A1023">
        <v>996</v>
      </c>
      <c r="B1023" s="11">
        <f t="shared" si="15"/>
        <v>59412</v>
      </c>
      <c r="C1023" s="12">
        <v>594120</v>
      </c>
      <c r="D1023" s="13">
        <v>0</v>
      </c>
      <c r="E1023" s="13">
        <v>0</v>
      </c>
      <c r="F1023" s="13">
        <v>56</v>
      </c>
      <c r="G1023" s="13">
        <v>69</v>
      </c>
      <c r="H1023" s="13" t="str" cm="1">
        <f t="array" ref="H1023">_xlfn.IFS(G1023&lt;=20,"0-20",G1023&lt;=30,"20-30",G1023&lt;=40,"30-40",G1023&lt;=50,"50-60",G1023&lt;=60,"60-70",G1023&lt;=70,"70-80",G1023&lt;=80,"80-90")</f>
        <v>70-80</v>
      </c>
      <c r="I1023" s="13">
        <v>2230</v>
      </c>
      <c r="J1023" s="13" t="str" cm="1">
        <f t="array" ref="J1023">_xlfn.IFS(K1023=1,"Divorciado",L1023=1,"Casado",M1023=1,"Solteiro",N1023=1,"Juntos",O1023=1,"Viuvo")</f>
        <v>Casado</v>
      </c>
      <c r="K1023" s="13">
        <v>0</v>
      </c>
      <c r="L1023" s="13">
        <v>1</v>
      </c>
      <c r="M1023" s="13">
        <v>0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1</v>
      </c>
      <c r="T1023" s="13">
        <v>0</v>
      </c>
      <c r="U1023" s="13">
        <v>90</v>
      </c>
      <c r="V1023" s="13" t="str" cm="1">
        <f t="array" ref="V1023">_xlfn.IFS(U1023&lt;=250,"0-R$250",U1023&lt;=500,"251-R$500",U1023&lt;=750,"501-R$750",U1023&lt;=1000,"751-R$1000",U1023&lt;=1250,"1001-R$1250",U1023&lt;=1500,"1251-R$1500")</f>
        <v>0-R$250</v>
      </c>
      <c r="W1023" s="13">
        <v>67</v>
      </c>
      <c r="X1023" s="13" t="str" cm="1">
        <f t="array" ref="X1023">_xlfn.IFS(W1023 = 0, "0", W1023&lt;=20, "até R$20",W1023&lt;=40, "21 - R$40",W1023&lt;=60, "41- R$60",W1023&lt;=80, "61 - R$80", W1023&lt;=100, "81 - R$100",W1023&lt;=120, "101 - R$120",W1023&lt;=140, "121 - R$140", W1023&lt;=160, "141- R$160", W1023&lt;=180, "161 - R$180", W1023&lt;=200, "181-R$194")</f>
        <v>61 - R$80</v>
      </c>
      <c r="Y1023" s="13">
        <v>165</v>
      </c>
      <c r="Z1023" s="13">
        <v>30</v>
      </c>
      <c r="AA1023" s="13">
        <v>43</v>
      </c>
      <c r="AB1023" s="13">
        <v>11</v>
      </c>
      <c r="AC1023" s="13">
        <v>1</v>
      </c>
      <c r="AD1023" s="13">
        <v>4</v>
      </c>
      <c r="AE1023" s="13">
        <v>2</v>
      </c>
      <c r="AF1023" s="13">
        <v>8</v>
      </c>
      <c r="AG1023" s="13">
        <v>3</v>
      </c>
      <c r="AH1023" s="13">
        <v>0</v>
      </c>
      <c r="AI1023" s="13">
        <v>0</v>
      </c>
      <c r="AJ1023" s="13">
        <v>0</v>
      </c>
      <c r="AK1023" s="13">
        <v>0</v>
      </c>
      <c r="AL1023" s="13">
        <v>0</v>
      </c>
      <c r="AM1023" s="13">
        <v>0</v>
      </c>
      <c r="AN1023" s="13">
        <v>0</v>
      </c>
      <c r="AO1023" s="14">
        <v>0</v>
      </c>
      <c r="AP1023" s="13">
        <v>3</v>
      </c>
      <c r="AQ1023" s="13">
        <v>11</v>
      </c>
      <c r="AR1023" s="15">
        <v>384</v>
      </c>
      <c r="AS1023" s="15">
        <v>395</v>
      </c>
    </row>
    <row r="1024" spans="1:45" x14ac:dyDescent="0.25">
      <c r="A1024">
        <v>1236</v>
      </c>
      <c r="B1024" s="11">
        <f t="shared" si="15"/>
        <v>55158</v>
      </c>
      <c r="C1024" s="12">
        <v>551580</v>
      </c>
      <c r="D1024" s="13">
        <v>1</v>
      </c>
      <c r="E1024" s="13">
        <v>1</v>
      </c>
      <c r="F1024" s="13">
        <v>72</v>
      </c>
      <c r="G1024" s="13">
        <v>50</v>
      </c>
      <c r="H1024" s="13" t="str" cm="1">
        <f t="array" ref="H1024">_xlfn.IFS(G1024&lt;=20,"0-20",G1024&lt;=30,"20-30",G1024&lt;=40,"30-40",G1024&lt;=50,"50-60",G1024&lt;=60,"60-70",G1024&lt;=70,"70-80",G1024&lt;=80,"80-90")</f>
        <v>50-60</v>
      </c>
      <c r="I1024" s="13">
        <v>2858</v>
      </c>
      <c r="J1024" s="13" t="str" cm="1">
        <f t="array" ref="J1024">_xlfn.IFS(K1024=1,"Divorciado",L1024=1,"Casado",M1024=1,"Solteiro",N1024=1,"Juntos",O1024=1,"Viuvo")</f>
        <v>Casado</v>
      </c>
      <c r="K1024" s="13">
        <v>0</v>
      </c>
      <c r="L1024" s="13">
        <v>1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1</v>
      </c>
      <c r="U1024" s="13">
        <v>293</v>
      </c>
      <c r="V1024" s="13" t="str" cm="1">
        <f t="array" ref="V1024">_xlfn.IFS(U1024&lt;=250,"0-R$250",U1024&lt;=500,"251-R$500",U1024&lt;=750,"501-R$750",U1024&lt;=1000,"751-R$1000",U1024&lt;=1250,"1001-R$1250",U1024&lt;=1500,"1251-R$1500")</f>
        <v>251-R$500</v>
      </c>
      <c r="W1024" s="13">
        <v>0</v>
      </c>
      <c r="X1024" s="13" t="str" cm="1">
        <f t="array" ref="X1024">_xlfn.IFS(W1024 = 0, "0", W1024&lt;=20, "até R$20",W1024&lt;=40, "21 - R$40",W1024&lt;=60, "41- R$60",W1024&lt;=80, "61 - R$80", W1024&lt;=100, "81 - R$100",W1024&lt;=120, "101 - R$120",W1024&lt;=140, "121 - R$140", W1024&lt;=160, "141- R$160", W1024&lt;=180, "161 - R$180", W1024&lt;=200, "181-R$194")</f>
        <v>0</v>
      </c>
      <c r="Y1024" s="13">
        <v>87</v>
      </c>
      <c r="Z1024" s="13">
        <v>4</v>
      </c>
      <c r="AA1024" s="13">
        <v>11</v>
      </c>
      <c r="AB1024" s="13">
        <v>23</v>
      </c>
      <c r="AC1024" s="13">
        <v>4</v>
      </c>
      <c r="AD1024" s="13">
        <v>7</v>
      </c>
      <c r="AE1024" s="13">
        <v>2</v>
      </c>
      <c r="AF1024" s="13">
        <v>5</v>
      </c>
      <c r="AG1024" s="13">
        <v>7</v>
      </c>
      <c r="AH1024" s="13">
        <v>0</v>
      </c>
      <c r="AI1024" s="13">
        <v>0</v>
      </c>
      <c r="AJ1024" s="13">
        <v>0</v>
      </c>
      <c r="AK1024" s="13">
        <v>0</v>
      </c>
      <c r="AL1024" s="13">
        <v>0</v>
      </c>
      <c r="AM1024" s="13">
        <v>0</v>
      </c>
      <c r="AN1024" s="13">
        <v>1</v>
      </c>
      <c r="AO1024" s="14">
        <v>0</v>
      </c>
      <c r="AP1024" s="13">
        <v>3</v>
      </c>
      <c r="AQ1024" s="13">
        <v>11</v>
      </c>
      <c r="AR1024" s="15">
        <v>372</v>
      </c>
      <c r="AS1024" s="15">
        <v>395</v>
      </c>
    </row>
    <row r="1025" spans="1:45" x14ac:dyDescent="0.25">
      <c r="A1025">
        <v>1237</v>
      </c>
      <c r="B1025" s="11">
        <f t="shared" si="15"/>
        <v>62972</v>
      </c>
      <c r="C1025" s="16">
        <v>629720</v>
      </c>
      <c r="D1025" s="17">
        <v>0</v>
      </c>
      <c r="E1025" s="17">
        <v>1</v>
      </c>
      <c r="F1025" s="17">
        <v>39</v>
      </c>
      <c r="G1025" s="17">
        <v>65</v>
      </c>
      <c r="H1025" s="13" t="str" cm="1">
        <f t="array" ref="H1025">_xlfn.IFS(G1025&lt;=20,"0-20",G1025&lt;=30,"20-30",G1025&lt;=40,"30-40",G1025&lt;=50,"50-60",G1025&lt;=60,"60-70",G1025&lt;=70,"70-80",G1025&lt;=80,"80-90")</f>
        <v>70-80</v>
      </c>
      <c r="I1025" s="17">
        <v>2854</v>
      </c>
      <c r="J1025" s="13" t="str" cm="1">
        <f t="array" ref="J1025">_xlfn.IFS(K1025=1,"Divorciado",L1025=1,"Casado",M1025=1,"Solteiro",N1025=1,"Juntos",O1025=1,"Viuvo")</f>
        <v>Casado</v>
      </c>
      <c r="K1025" s="17">
        <v>0</v>
      </c>
      <c r="L1025" s="17">
        <v>1</v>
      </c>
      <c r="M1025" s="17">
        <v>0</v>
      </c>
      <c r="N1025" s="17">
        <v>0</v>
      </c>
      <c r="O1025" s="17">
        <v>0</v>
      </c>
      <c r="P1025" s="17">
        <v>1</v>
      </c>
      <c r="Q1025" s="17">
        <v>0</v>
      </c>
      <c r="R1025" s="17">
        <v>0</v>
      </c>
      <c r="S1025" s="17">
        <v>0</v>
      </c>
      <c r="T1025" s="17">
        <v>0</v>
      </c>
      <c r="U1025" s="17">
        <v>313</v>
      </c>
      <c r="V1025" s="13" t="str" cm="1">
        <f t="array" ref="V1025">_xlfn.IFS(U1025&lt;=250,"0-R$250",U1025&lt;=500,"251-R$500",U1025&lt;=750,"501-R$750",U1025&lt;=1000,"751-R$1000",U1025&lt;=1250,"1001-R$1250",U1025&lt;=1500,"1251-R$1500")</f>
        <v>251-R$500</v>
      </c>
      <c r="W1025" s="17">
        <v>15</v>
      </c>
      <c r="X1025" s="13" t="str" cm="1">
        <f t="array" ref="X1025">_xlfn.IFS(W1025 = 0, "0", W1025&lt;=20, "até R$20",W1025&lt;=40, "21 - R$40",W1025&lt;=60, "41- R$60",W1025&lt;=80, "61 - R$80", W1025&lt;=100, "81 - R$100",W1025&lt;=120, "101 - R$120",W1025&lt;=140, "121 - R$140", W1025&lt;=160, "141- R$160", W1025&lt;=180, "161 - R$180", W1025&lt;=200, "181-R$194")</f>
        <v>até R$20</v>
      </c>
      <c r="Y1025" s="17">
        <v>47</v>
      </c>
      <c r="Z1025" s="17">
        <v>20</v>
      </c>
      <c r="AA1025" s="17">
        <v>0</v>
      </c>
      <c r="AB1025" s="17">
        <v>192</v>
      </c>
      <c r="AC1025" s="17">
        <v>2</v>
      </c>
      <c r="AD1025" s="17">
        <v>7</v>
      </c>
      <c r="AE1025" s="17">
        <v>4</v>
      </c>
      <c r="AF1025" s="17">
        <v>3</v>
      </c>
      <c r="AG1025" s="17">
        <v>6</v>
      </c>
      <c r="AH1025" s="17">
        <v>0</v>
      </c>
      <c r="AI1025" s="17">
        <v>0</v>
      </c>
      <c r="AJ1025" s="17">
        <v>0</v>
      </c>
      <c r="AK1025" s="17">
        <v>0</v>
      </c>
      <c r="AL1025" s="17">
        <v>0</v>
      </c>
      <c r="AM1025" s="17">
        <v>0</v>
      </c>
      <c r="AN1025" s="17">
        <v>1</v>
      </c>
      <c r="AO1025" s="18">
        <v>0</v>
      </c>
      <c r="AP1025" s="17">
        <v>3</v>
      </c>
      <c r="AQ1025" s="17">
        <v>11</v>
      </c>
      <c r="AR1025" s="19">
        <v>203</v>
      </c>
      <c r="AS1025" s="19">
        <v>395</v>
      </c>
    </row>
    <row r="1026" spans="1:45" x14ac:dyDescent="0.25">
      <c r="A1026">
        <v>1813</v>
      </c>
      <c r="B1026" s="11">
        <f t="shared" ref="B1026:B1089" si="16">C1026/10</f>
        <v>62972</v>
      </c>
      <c r="C1026" s="16">
        <v>629720</v>
      </c>
      <c r="D1026" s="17">
        <v>0</v>
      </c>
      <c r="E1026" s="17">
        <v>1</v>
      </c>
      <c r="F1026" s="17">
        <v>39</v>
      </c>
      <c r="G1026" s="17">
        <v>65</v>
      </c>
      <c r="H1026" s="13" t="str" cm="1">
        <f t="array" ref="H1026">_xlfn.IFS(G1026&lt;=20,"0-20",G1026&lt;=30,"20-30",G1026&lt;=40,"30-40",G1026&lt;=50,"50-60",G1026&lt;=60,"60-70",G1026&lt;=70,"70-80",G1026&lt;=80,"80-90")</f>
        <v>70-80</v>
      </c>
      <c r="I1026" s="17">
        <v>2854</v>
      </c>
      <c r="J1026" s="13" t="str" cm="1">
        <f t="array" ref="J1026">_xlfn.IFS(K1026=1,"Divorciado",L1026=1,"Casado",M1026=1,"Solteiro",N1026=1,"Juntos",O1026=1,"Viuvo")</f>
        <v>Casado</v>
      </c>
      <c r="K1026" s="17">
        <v>0</v>
      </c>
      <c r="L1026" s="17">
        <v>1</v>
      </c>
      <c r="M1026" s="17">
        <v>0</v>
      </c>
      <c r="N1026" s="17">
        <v>0</v>
      </c>
      <c r="O1026" s="17">
        <v>0</v>
      </c>
      <c r="P1026" s="17">
        <v>1</v>
      </c>
      <c r="Q1026" s="17">
        <v>0</v>
      </c>
      <c r="R1026" s="17">
        <v>0</v>
      </c>
      <c r="S1026" s="17">
        <v>0</v>
      </c>
      <c r="T1026" s="17">
        <v>0</v>
      </c>
      <c r="U1026" s="17">
        <v>313</v>
      </c>
      <c r="V1026" s="13" t="str" cm="1">
        <f t="array" ref="V1026">_xlfn.IFS(U1026&lt;=250,"0-R$250",U1026&lt;=500,"251-R$500",U1026&lt;=750,"501-R$750",U1026&lt;=1000,"751-R$1000",U1026&lt;=1250,"1001-R$1250",U1026&lt;=1500,"1251-R$1500")</f>
        <v>251-R$500</v>
      </c>
      <c r="W1026" s="17">
        <v>15</v>
      </c>
      <c r="X1026" s="13" t="str" cm="1">
        <f t="array" ref="X1026">_xlfn.IFS(W1026 = 0, "0", W1026&lt;=20, "até R$20",W1026&lt;=40, "21 - R$40",W1026&lt;=60, "41- R$60",W1026&lt;=80, "61 - R$80", W1026&lt;=100, "81 - R$100",W1026&lt;=120, "101 - R$120",W1026&lt;=140, "121 - R$140", W1026&lt;=160, "141- R$160", W1026&lt;=180, "161 - R$180", W1026&lt;=200, "181-R$194")</f>
        <v>até R$20</v>
      </c>
      <c r="Y1026" s="17">
        <v>47</v>
      </c>
      <c r="Z1026" s="17">
        <v>20</v>
      </c>
      <c r="AA1026" s="17">
        <v>0</v>
      </c>
      <c r="AB1026" s="17">
        <v>192</v>
      </c>
      <c r="AC1026" s="17">
        <v>2</v>
      </c>
      <c r="AD1026" s="17">
        <v>7</v>
      </c>
      <c r="AE1026" s="17">
        <v>4</v>
      </c>
      <c r="AF1026" s="17">
        <v>3</v>
      </c>
      <c r="AG1026" s="17">
        <v>6</v>
      </c>
      <c r="AH1026" s="17">
        <v>0</v>
      </c>
      <c r="AI1026" s="17">
        <v>0</v>
      </c>
      <c r="AJ1026" s="17">
        <v>0</v>
      </c>
      <c r="AK1026" s="17">
        <v>0</v>
      </c>
      <c r="AL1026" s="17">
        <v>0</v>
      </c>
      <c r="AM1026" s="17">
        <v>0</v>
      </c>
      <c r="AN1026" s="17">
        <v>0</v>
      </c>
      <c r="AO1026" s="18">
        <v>0</v>
      </c>
      <c r="AP1026" s="17">
        <v>3</v>
      </c>
      <c r="AQ1026" s="17">
        <v>11</v>
      </c>
      <c r="AR1026" s="19">
        <v>203</v>
      </c>
      <c r="AS1026" s="19">
        <v>395</v>
      </c>
    </row>
    <row r="1027" spans="1:45" x14ac:dyDescent="0.25">
      <c r="A1027">
        <v>2130</v>
      </c>
      <c r="B1027" s="11">
        <f t="shared" si="16"/>
        <v>47320</v>
      </c>
      <c r="C1027" s="12">
        <v>473200</v>
      </c>
      <c r="D1027" s="13">
        <v>0</v>
      </c>
      <c r="E1027" s="13">
        <v>1</v>
      </c>
      <c r="F1027" s="13">
        <v>10</v>
      </c>
      <c r="G1027" s="13">
        <v>63</v>
      </c>
      <c r="H1027" s="13" t="str" cm="1">
        <f t="array" ref="H1027">_xlfn.IFS(G1027&lt;=20,"0-20",G1027&lt;=30,"20-30",G1027&lt;=40,"30-40",G1027&lt;=50,"50-60",G1027&lt;=60,"60-70",G1027&lt;=70,"70-80",G1027&lt;=80,"80-90")</f>
        <v>70-80</v>
      </c>
      <c r="I1027" s="13">
        <v>2491</v>
      </c>
      <c r="J1027" s="13" t="str" cm="1">
        <f t="array" ref="J1027">_xlfn.IFS(K1027=1,"Divorciado",L1027=1,"Casado",M1027=1,"Solteiro",N1027=1,"Juntos",O1027=1,"Viuvo")</f>
        <v>Juntos</v>
      </c>
      <c r="K1027" s="13">
        <v>0</v>
      </c>
      <c r="L1027" s="13">
        <v>0</v>
      </c>
      <c r="M1027" s="13">
        <v>0</v>
      </c>
      <c r="N1027" s="13">
        <v>1</v>
      </c>
      <c r="O1027" s="13">
        <v>0</v>
      </c>
      <c r="P1027" s="13">
        <v>0</v>
      </c>
      <c r="Q1027" s="13">
        <v>0</v>
      </c>
      <c r="R1027" s="13">
        <v>1</v>
      </c>
      <c r="S1027" s="13">
        <v>0</v>
      </c>
      <c r="T1027" s="13">
        <v>0</v>
      </c>
      <c r="U1027" s="13">
        <v>200</v>
      </c>
      <c r="V1027" s="13" t="str" cm="1">
        <f t="array" ref="V1027">_xlfn.IFS(U1027&lt;=250,"0-R$250",U1027&lt;=500,"251-R$500",U1027&lt;=750,"501-R$750",U1027&lt;=1000,"751-R$1000",U1027&lt;=1250,"1001-R$1250",U1027&lt;=1500,"1251-R$1500")</f>
        <v>0-R$250</v>
      </c>
      <c r="W1027" s="13">
        <v>19</v>
      </c>
      <c r="X1027" s="13" t="str" cm="1">
        <f t="array" ref="X1027">_xlfn.IFS(W1027 = 0, "0", W1027&lt;=20, "até R$20",W1027&lt;=40, "21 - R$40",W1027&lt;=60, "41- R$60",W1027&lt;=80, "61 - R$80", W1027&lt;=100, "81 - R$100",W1027&lt;=120, "101 - R$120",W1027&lt;=140, "121 - R$140", W1027&lt;=160, "141- R$160", W1027&lt;=180, "161 - R$180", W1027&lt;=200, "181-R$194")</f>
        <v>até R$20</v>
      </c>
      <c r="Y1027" s="13">
        <v>111</v>
      </c>
      <c r="Z1027" s="13">
        <v>50</v>
      </c>
      <c r="AA1027" s="13">
        <v>15</v>
      </c>
      <c r="AB1027" s="13">
        <v>19</v>
      </c>
      <c r="AC1027" s="13">
        <v>6</v>
      </c>
      <c r="AD1027" s="13">
        <v>5</v>
      </c>
      <c r="AE1027" s="13">
        <v>1</v>
      </c>
      <c r="AF1027" s="13">
        <v>8</v>
      </c>
      <c r="AG1027" s="13">
        <v>6</v>
      </c>
      <c r="AH1027" s="13">
        <v>0</v>
      </c>
      <c r="AI1027" s="13">
        <v>0</v>
      </c>
      <c r="AJ1027" s="13">
        <v>0</v>
      </c>
      <c r="AK1027" s="13">
        <v>0</v>
      </c>
      <c r="AL1027" s="13">
        <v>0</v>
      </c>
      <c r="AM1027" s="13">
        <v>0</v>
      </c>
      <c r="AN1027" s="13">
        <v>0</v>
      </c>
      <c r="AO1027" s="14">
        <v>0</v>
      </c>
      <c r="AP1027" s="13">
        <v>3</v>
      </c>
      <c r="AQ1027" s="13">
        <v>11</v>
      </c>
      <c r="AR1027" s="15">
        <v>376</v>
      </c>
      <c r="AS1027" s="15">
        <v>395</v>
      </c>
    </row>
    <row r="1028" spans="1:45" x14ac:dyDescent="0.25">
      <c r="A1028">
        <v>155</v>
      </c>
      <c r="B1028" s="11">
        <f t="shared" si="16"/>
        <v>62551</v>
      </c>
      <c r="C1028" s="16">
        <v>625510</v>
      </c>
      <c r="D1028" s="17">
        <v>0</v>
      </c>
      <c r="E1028" s="17">
        <v>0</v>
      </c>
      <c r="F1028" s="17">
        <v>27</v>
      </c>
      <c r="G1028" s="17">
        <v>67</v>
      </c>
      <c r="H1028" s="13" t="str" cm="1">
        <f t="array" ref="H1028">_xlfn.IFS(G1028&lt;=20,"0-20",G1028&lt;=30,"20-30",G1028&lt;=40,"30-40",G1028&lt;=50,"50-60",G1028&lt;=60,"60-70",G1028&lt;=70,"70-80",G1028&lt;=80,"80-90")</f>
        <v>70-80</v>
      </c>
      <c r="I1028" s="17">
        <v>2382</v>
      </c>
      <c r="J1028" s="13" t="str" cm="1">
        <f t="array" ref="J1028">_xlfn.IFS(K1028=1,"Divorciado",L1028=1,"Casado",M1028=1,"Solteiro",N1028=1,"Juntos",O1028=1,"Viuvo")</f>
        <v>Divorciado</v>
      </c>
      <c r="K1028" s="17">
        <v>1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1</v>
      </c>
      <c r="S1028" s="17">
        <v>0</v>
      </c>
      <c r="T1028" s="17">
        <v>0</v>
      </c>
      <c r="U1028" s="17">
        <v>125</v>
      </c>
      <c r="V1028" s="13" t="str" cm="1">
        <f t="array" ref="V1028">_xlfn.IFS(U1028&lt;=250,"0-R$250",U1028&lt;=500,"251-R$500",U1028&lt;=750,"501-R$750",U1028&lt;=1000,"751-R$1000",U1028&lt;=1250,"1001-R$1250",U1028&lt;=1500,"1251-R$1500")</f>
        <v>0-R$250</v>
      </c>
      <c r="W1028" s="17">
        <v>16</v>
      </c>
      <c r="X1028" s="13" t="str" cm="1">
        <f t="array" ref="X1028">_xlfn.IFS(W1028 = 0, "0", W1028&lt;=20, "até R$20",W1028&lt;=40, "21 - R$40",W1028&lt;=60, "41- R$60",W1028&lt;=80, "61 - R$80", W1028&lt;=100, "81 - R$100",W1028&lt;=120, "101 - R$120",W1028&lt;=140, "121 - R$140", W1028&lt;=160, "141- R$160", W1028&lt;=180, "161 - R$180", W1028&lt;=200, "181-R$194")</f>
        <v>até R$20</v>
      </c>
      <c r="Y1028" s="17">
        <v>98</v>
      </c>
      <c r="Z1028" s="17">
        <v>134</v>
      </c>
      <c r="AA1028" s="17">
        <v>21</v>
      </c>
      <c r="AB1028" s="17">
        <v>27</v>
      </c>
      <c r="AC1028" s="17">
        <v>1</v>
      </c>
      <c r="AD1028" s="17">
        <v>6</v>
      </c>
      <c r="AE1028" s="17">
        <v>7</v>
      </c>
      <c r="AF1028" s="17">
        <v>4</v>
      </c>
      <c r="AG1028" s="17">
        <v>3</v>
      </c>
      <c r="AH1028" s="17">
        <v>0</v>
      </c>
      <c r="AI1028" s="17">
        <v>1</v>
      </c>
      <c r="AJ1028" s="17">
        <v>0</v>
      </c>
      <c r="AK1028" s="17">
        <v>0</v>
      </c>
      <c r="AL1028" s="17">
        <v>0</v>
      </c>
      <c r="AM1028" s="17">
        <v>0</v>
      </c>
      <c r="AN1028" s="17">
        <v>0</v>
      </c>
      <c r="AO1028" s="18">
        <v>1</v>
      </c>
      <c r="AP1028" s="17">
        <v>3</v>
      </c>
      <c r="AQ1028" s="17">
        <v>11</v>
      </c>
      <c r="AR1028" s="19">
        <v>367</v>
      </c>
      <c r="AS1028" s="19">
        <v>394</v>
      </c>
    </row>
    <row r="1029" spans="1:45" x14ac:dyDescent="0.25">
      <c r="A1029">
        <v>214</v>
      </c>
      <c r="B1029" s="11">
        <f t="shared" si="16"/>
        <v>51369</v>
      </c>
      <c r="C1029" s="12">
        <v>513690</v>
      </c>
      <c r="D1029" s="13">
        <v>0</v>
      </c>
      <c r="E1029" s="13">
        <v>1</v>
      </c>
      <c r="F1029" s="13">
        <v>84</v>
      </c>
      <c r="G1029" s="13">
        <v>44</v>
      </c>
      <c r="H1029" s="13" t="str" cm="1">
        <f t="array" ref="H1029">_xlfn.IFS(G1029&lt;=20,"0-20",G1029&lt;=30,"20-30",G1029&lt;=40,"30-40",G1029&lt;=50,"50-60",G1029&lt;=60,"60-70",G1029&lt;=70,"70-80",G1029&lt;=80,"80-90")</f>
        <v>50-60</v>
      </c>
      <c r="I1029" s="13">
        <v>2771</v>
      </c>
      <c r="J1029" s="13" t="str" cm="1">
        <f t="array" ref="J1029">_xlfn.IFS(K1029=1,"Divorciado",L1029=1,"Casado",M1029=1,"Solteiro",N1029=1,"Juntos",O1029=1,"Viuvo")</f>
        <v>Juntos</v>
      </c>
      <c r="K1029" s="13">
        <v>0</v>
      </c>
      <c r="L1029" s="13">
        <v>0</v>
      </c>
      <c r="M1029" s="13">
        <v>0</v>
      </c>
      <c r="N1029" s="13">
        <v>1</v>
      </c>
      <c r="O1029" s="13">
        <v>0</v>
      </c>
      <c r="P1029" s="13">
        <v>0</v>
      </c>
      <c r="Q1029" s="13">
        <v>0</v>
      </c>
      <c r="R1029" s="13">
        <v>1</v>
      </c>
      <c r="S1029" s="13">
        <v>0</v>
      </c>
      <c r="T1029" s="13">
        <v>0</v>
      </c>
      <c r="U1029" s="13">
        <v>297</v>
      </c>
      <c r="V1029" s="13" t="str" cm="1">
        <f t="array" ref="V1029">_xlfn.IFS(U1029&lt;=250,"0-R$250",U1029&lt;=500,"251-R$500",U1029&lt;=750,"501-R$750",U1029&lt;=1000,"751-R$1000",U1029&lt;=1250,"1001-R$1250",U1029&lt;=1500,"1251-R$1500")</f>
        <v>251-R$500</v>
      </c>
      <c r="W1029" s="13">
        <v>7</v>
      </c>
      <c r="X1029" s="13" t="str" cm="1">
        <f t="array" ref="X1029">_xlfn.IFS(W1029 = 0, "0", W1029&lt;=20, "até R$20",W1029&lt;=40, "21 - R$40",W1029&lt;=60, "41- R$60",W1029&lt;=80, "61 - R$80", W1029&lt;=100, "81 - R$100",W1029&lt;=120, "101 - R$120",W1029&lt;=140, "121 - R$140", W1029&lt;=160, "141- R$160", W1029&lt;=180, "161 - R$180", W1029&lt;=200, "181-R$194")</f>
        <v>até R$20</v>
      </c>
      <c r="Y1029" s="13">
        <v>79</v>
      </c>
      <c r="Z1029" s="13">
        <v>0</v>
      </c>
      <c r="AA1029" s="13">
        <v>11</v>
      </c>
      <c r="AB1029" s="13">
        <v>182</v>
      </c>
      <c r="AC1029" s="13">
        <v>2</v>
      </c>
      <c r="AD1029" s="13">
        <v>8</v>
      </c>
      <c r="AE1029" s="13">
        <v>2</v>
      </c>
      <c r="AF1029" s="13">
        <v>4</v>
      </c>
      <c r="AG1029" s="13">
        <v>8</v>
      </c>
      <c r="AH1029" s="13">
        <v>0</v>
      </c>
      <c r="AI1029" s="13">
        <v>0</v>
      </c>
      <c r="AJ1029" s="13">
        <v>0</v>
      </c>
      <c r="AK1029" s="13">
        <v>0</v>
      </c>
      <c r="AL1029" s="13">
        <v>0</v>
      </c>
      <c r="AM1029" s="13">
        <v>0</v>
      </c>
      <c r="AN1029" s="13">
        <v>0</v>
      </c>
      <c r="AO1029" s="14">
        <v>0</v>
      </c>
      <c r="AP1029" s="13">
        <v>3</v>
      </c>
      <c r="AQ1029" s="13">
        <v>11</v>
      </c>
      <c r="AR1029" s="15">
        <v>212</v>
      </c>
      <c r="AS1029" s="15">
        <v>394</v>
      </c>
    </row>
    <row r="1030" spans="1:45" x14ac:dyDescent="0.25">
      <c r="A1030">
        <v>218</v>
      </c>
      <c r="B1030" s="11">
        <f t="shared" si="16"/>
        <v>37070</v>
      </c>
      <c r="C1030" s="12">
        <v>370700</v>
      </c>
      <c r="D1030" s="13">
        <v>1</v>
      </c>
      <c r="E1030" s="13">
        <v>1</v>
      </c>
      <c r="F1030" s="13">
        <v>30</v>
      </c>
      <c r="G1030" s="13">
        <v>54</v>
      </c>
      <c r="H1030" s="13" t="str" cm="1">
        <f t="array" ref="H1030">_xlfn.IFS(G1030&lt;=20,"0-20",G1030&lt;=30,"20-30",G1030&lt;=40,"30-40",G1030&lt;=50,"50-60",G1030&lt;=60,"60-70",G1030&lt;=70,"70-80",G1030&lt;=80,"80-90")</f>
        <v>60-70</v>
      </c>
      <c r="I1030" s="13">
        <v>2625</v>
      </c>
      <c r="J1030" s="13" t="str" cm="1">
        <f t="array" ref="J1030">_xlfn.IFS(K1030=1,"Divorciado",L1030=1,"Casado",M1030=1,"Solteiro",N1030=1,"Juntos",O1030=1,"Viuvo")</f>
        <v>Solteiro</v>
      </c>
      <c r="K1030" s="13">
        <v>0</v>
      </c>
      <c r="L1030" s="13">
        <v>0</v>
      </c>
      <c r="M1030" s="13">
        <v>1</v>
      </c>
      <c r="N1030" s="13">
        <v>0</v>
      </c>
      <c r="O1030" s="13">
        <v>0</v>
      </c>
      <c r="P1030" s="13">
        <v>0</v>
      </c>
      <c r="Q1030" s="13">
        <v>0</v>
      </c>
      <c r="R1030" s="13">
        <v>1</v>
      </c>
      <c r="S1030" s="13">
        <v>0</v>
      </c>
      <c r="T1030" s="13">
        <v>0</v>
      </c>
      <c r="U1030" s="13">
        <v>231</v>
      </c>
      <c r="V1030" s="13" t="str" cm="1">
        <f t="array" ref="V1030">_xlfn.IFS(U1030&lt;=250,"0-R$250",U1030&lt;=500,"251-R$500",U1030&lt;=750,"501-R$750",U1030&lt;=1000,"751-R$1000",U1030&lt;=1250,"1001-R$1250",U1030&lt;=1500,"1251-R$1500")</f>
        <v>0-R$250</v>
      </c>
      <c r="W1030" s="13">
        <v>7</v>
      </c>
      <c r="X1030" s="13" t="str" cm="1">
        <f t="array" ref="X1030">_xlfn.IFS(W1030 = 0, "0", W1030&lt;=20, "até R$20",W1030&lt;=40, "21 - R$40",W1030&lt;=60, "41- R$60",W1030&lt;=80, "61 - R$80", W1030&lt;=100, "81 - R$100",W1030&lt;=120, "101 - R$120",W1030&lt;=140, "121 - R$140", W1030&lt;=160, "141- R$160", W1030&lt;=180, "161 - R$180", W1030&lt;=200, "181-R$194")</f>
        <v>até R$20</v>
      </c>
      <c r="Y1030" s="13">
        <v>137</v>
      </c>
      <c r="Z1030" s="13">
        <v>4</v>
      </c>
      <c r="AA1030" s="13">
        <v>15</v>
      </c>
      <c r="AB1030" s="13">
        <v>39</v>
      </c>
      <c r="AC1030" s="13">
        <v>9</v>
      </c>
      <c r="AD1030" s="13">
        <v>5</v>
      </c>
      <c r="AE1030" s="13">
        <v>1</v>
      </c>
      <c r="AF1030" s="13">
        <v>8</v>
      </c>
      <c r="AG1030" s="13">
        <v>7</v>
      </c>
      <c r="AH1030" s="13">
        <v>0</v>
      </c>
      <c r="AI1030" s="13">
        <v>0</v>
      </c>
      <c r="AJ1030" s="13">
        <v>0</v>
      </c>
      <c r="AK1030" s="13">
        <v>0</v>
      </c>
      <c r="AL1030" s="13">
        <v>0</v>
      </c>
      <c r="AM1030" s="13">
        <v>0</v>
      </c>
      <c r="AN1030" s="13">
        <v>1</v>
      </c>
      <c r="AO1030" s="14">
        <v>0</v>
      </c>
      <c r="AP1030" s="13">
        <v>3</v>
      </c>
      <c r="AQ1030" s="13">
        <v>11</v>
      </c>
      <c r="AR1030" s="15">
        <v>355</v>
      </c>
      <c r="AS1030" s="15">
        <v>394</v>
      </c>
    </row>
    <row r="1031" spans="1:45" x14ac:dyDescent="0.25">
      <c r="A1031">
        <v>268</v>
      </c>
      <c r="B1031" s="11">
        <f t="shared" si="16"/>
        <v>51369</v>
      </c>
      <c r="C1031" s="12">
        <v>513690</v>
      </c>
      <c r="D1031" s="13">
        <v>0</v>
      </c>
      <c r="E1031" s="13">
        <v>1</v>
      </c>
      <c r="F1031" s="13">
        <v>84</v>
      </c>
      <c r="G1031" s="13">
        <v>44</v>
      </c>
      <c r="H1031" s="13" t="str" cm="1">
        <f t="array" ref="H1031">_xlfn.IFS(G1031&lt;=20,"0-20",G1031&lt;=30,"20-30",G1031&lt;=40,"30-40",G1031&lt;=50,"50-60",G1031&lt;=60,"60-70",G1031&lt;=70,"70-80",G1031&lt;=80,"80-90")</f>
        <v>50-60</v>
      </c>
      <c r="I1031" s="13">
        <v>2771</v>
      </c>
      <c r="J1031" s="13" t="str" cm="1">
        <f t="array" ref="J1031">_xlfn.IFS(K1031=1,"Divorciado",L1031=1,"Casado",M1031=1,"Solteiro",N1031=1,"Juntos",O1031=1,"Viuvo")</f>
        <v>Juntos</v>
      </c>
      <c r="K1031" s="13">
        <v>0</v>
      </c>
      <c r="L1031" s="13">
        <v>0</v>
      </c>
      <c r="M1031" s="13">
        <v>0</v>
      </c>
      <c r="N1031" s="13">
        <v>1</v>
      </c>
      <c r="O1031" s="13">
        <v>0</v>
      </c>
      <c r="P1031" s="13">
        <v>0</v>
      </c>
      <c r="Q1031" s="13">
        <v>0</v>
      </c>
      <c r="R1031" s="13">
        <v>1</v>
      </c>
      <c r="S1031" s="13">
        <v>0</v>
      </c>
      <c r="T1031" s="13">
        <v>0</v>
      </c>
      <c r="U1031" s="13">
        <v>297</v>
      </c>
      <c r="V1031" s="13" t="str" cm="1">
        <f t="array" ref="V1031">_xlfn.IFS(U1031&lt;=250,"0-R$250",U1031&lt;=500,"251-R$500",U1031&lt;=750,"501-R$750",U1031&lt;=1000,"751-R$1000",U1031&lt;=1250,"1001-R$1250",U1031&lt;=1500,"1251-R$1500")</f>
        <v>251-R$500</v>
      </c>
      <c r="W1031" s="13">
        <v>7</v>
      </c>
      <c r="X1031" s="13" t="str" cm="1">
        <f t="array" ref="X1031">_xlfn.IFS(W1031 = 0, "0", W1031&lt;=20, "até R$20",W1031&lt;=40, "21 - R$40",W1031&lt;=60, "41- R$60",W1031&lt;=80, "61 - R$80", W1031&lt;=100, "81 - R$100",W1031&lt;=120, "101 - R$120",W1031&lt;=140, "121 - R$140", W1031&lt;=160, "141- R$160", W1031&lt;=180, "161 - R$180", W1031&lt;=200, "181-R$194")</f>
        <v>até R$20</v>
      </c>
      <c r="Y1031" s="13">
        <v>79</v>
      </c>
      <c r="Z1031" s="13">
        <v>0</v>
      </c>
      <c r="AA1031" s="13">
        <v>11</v>
      </c>
      <c r="AB1031" s="13">
        <v>182</v>
      </c>
      <c r="AC1031" s="13">
        <v>2</v>
      </c>
      <c r="AD1031" s="13">
        <v>8</v>
      </c>
      <c r="AE1031" s="13">
        <v>2</v>
      </c>
      <c r="AF1031" s="13">
        <v>4</v>
      </c>
      <c r="AG1031" s="13">
        <v>8</v>
      </c>
      <c r="AH1031" s="13">
        <v>0</v>
      </c>
      <c r="AI1031" s="13">
        <v>0</v>
      </c>
      <c r="AJ1031" s="13">
        <v>0</v>
      </c>
      <c r="AK1031" s="13">
        <v>0</v>
      </c>
      <c r="AL1031" s="13">
        <v>0</v>
      </c>
      <c r="AM1031" s="13">
        <v>0</v>
      </c>
      <c r="AN1031" s="13">
        <v>0</v>
      </c>
      <c r="AO1031" s="14">
        <v>0</v>
      </c>
      <c r="AP1031" s="13">
        <v>3</v>
      </c>
      <c r="AQ1031" s="13">
        <v>11</v>
      </c>
      <c r="AR1031" s="15">
        <v>212</v>
      </c>
      <c r="AS1031" s="15">
        <v>394</v>
      </c>
    </row>
    <row r="1032" spans="1:45" x14ac:dyDescent="0.25">
      <c r="A1032">
        <v>1716</v>
      </c>
      <c r="B1032" s="11">
        <f t="shared" si="16"/>
        <v>37292</v>
      </c>
      <c r="C1032" s="12">
        <v>372920</v>
      </c>
      <c r="D1032" s="13">
        <v>1</v>
      </c>
      <c r="E1032" s="13">
        <v>0</v>
      </c>
      <c r="F1032" s="13">
        <v>32</v>
      </c>
      <c r="G1032" s="13">
        <v>37</v>
      </c>
      <c r="H1032" s="13" t="str" cm="1">
        <f t="array" ref="H1032">_xlfn.IFS(G1032&lt;=20,"0-20",G1032&lt;=30,"20-30",G1032&lt;=40,"30-40",G1032&lt;=50,"50-60",G1032&lt;=60,"60-70",G1032&lt;=70,"70-80",G1032&lt;=80,"80-90")</f>
        <v>30-40</v>
      </c>
      <c r="I1032" s="13">
        <v>2596</v>
      </c>
      <c r="J1032" s="13" t="str" cm="1">
        <f t="array" ref="J1032">_xlfn.IFS(K1032=1,"Divorciado",L1032=1,"Casado",M1032=1,"Solteiro",N1032=1,"Juntos",O1032=1,"Viuvo")</f>
        <v>Juntos</v>
      </c>
      <c r="K1032" s="13">
        <v>0</v>
      </c>
      <c r="L1032" s="13">
        <v>0</v>
      </c>
      <c r="M1032" s="13">
        <v>0</v>
      </c>
      <c r="N1032" s="13">
        <v>1</v>
      </c>
      <c r="O1032" s="13">
        <v>0</v>
      </c>
      <c r="P1032" s="13">
        <v>0</v>
      </c>
      <c r="Q1032" s="13">
        <v>0</v>
      </c>
      <c r="R1032" s="13">
        <v>1</v>
      </c>
      <c r="S1032" s="13">
        <v>0</v>
      </c>
      <c r="T1032" s="13">
        <v>0</v>
      </c>
      <c r="U1032" s="13">
        <v>275</v>
      </c>
      <c r="V1032" s="13" t="str" cm="1">
        <f t="array" ref="V1032">_xlfn.IFS(U1032&lt;=250,"0-R$250",U1032&lt;=500,"251-R$500",U1032&lt;=750,"501-R$750",U1032&lt;=1000,"751-R$1000",U1032&lt;=1250,"1001-R$1250",U1032&lt;=1500,"1251-R$1500")</f>
        <v>251-R$500</v>
      </c>
      <c r="W1032" s="13">
        <v>0</v>
      </c>
      <c r="X1032" s="13" t="str" cm="1">
        <f t="array" ref="X1032">_xlfn.IFS(W1032 = 0, "0", W1032&lt;=20, "até R$20",W1032&lt;=40, "21 - R$40",W1032&lt;=60, "41- R$60",W1032&lt;=80, "61 - R$80", W1032&lt;=100, "81 - R$100",W1032&lt;=120, "101 - R$120",W1032&lt;=140, "121 - R$140", W1032&lt;=160, "141- R$160", W1032&lt;=180, "161 - R$180", W1032&lt;=200, "181-R$194")</f>
        <v>0</v>
      </c>
      <c r="Y1032" s="13">
        <v>86</v>
      </c>
      <c r="Z1032" s="13">
        <v>10</v>
      </c>
      <c r="AA1032" s="13">
        <v>23</v>
      </c>
      <c r="AB1032" s="13">
        <v>66</v>
      </c>
      <c r="AC1032" s="13">
        <v>5</v>
      </c>
      <c r="AD1032" s="13">
        <v>6</v>
      </c>
      <c r="AE1032" s="13">
        <v>3</v>
      </c>
      <c r="AF1032" s="13">
        <v>5</v>
      </c>
      <c r="AG1032" s="13">
        <v>8</v>
      </c>
      <c r="AH1032" s="13">
        <v>0</v>
      </c>
      <c r="AI1032" s="13">
        <v>0</v>
      </c>
      <c r="AJ1032" s="13">
        <v>0</v>
      </c>
      <c r="AK1032" s="13">
        <v>0</v>
      </c>
      <c r="AL1032" s="13">
        <v>0</v>
      </c>
      <c r="AM1032" s="13">
        <v>0</v>
      </c>
      <c r="AN1032" s="13">
        <v>0</v>
      </c>
      <c r="AO1032" s="14">
        <v>0</v>
      </c>
      <c r="AP1032" s="13">
        <v>3</v>
      </c>
      <c r="AQ1032" s="13">
        <v>11</v>
      </c>
      <c r="AR1032" s="15">
        <v>328</v>
      </c>
      <c r="AS1032" s="15">
        <v>394</v>
      </c>
    </row>
    <row r="1033" spans="1:45" x14ac:dyDescent="0.25">
      <c r="A1033">
        <v>1778</v>
      </c>
      <c r="B1033" s="11">
        <f t="shared" si="16"/>
        <v>37070</v>
      </c>
      <c r="C1033" s="12">
        <v>370700</v>
      </c>
      <c r="D1033" s="13">
        <v>1</v>
      </c>
      <c r="E1033" s="13">
        <v>1</v>
      </c>
      <c r="F1033" s="13">
        <v>30</v>
      </c>
      <c r="G1033" s="13">
        <v>54</v>
      </c>
      <c r="H1033" s="13" t="str" cm="1">
        <f t="array" ref="H1033">_xlfn.IFS(G1033&lt;=20,"0-20",G1033&lt;=30,"20-30",G1033&lt;=40,"30-40",G1033&lt;=50,"50-60",G1033&lt;=60,"60-70",G1033&lt;=70,"70-80",G1033&lt;=80,"80-90")</f>
        <v>60-70</v>
      </c>
      <c r="I1033" s="13">
        <v>2625</v>
      </c>
      <c r="J1033" s="13" t="str" cm="1">
        <f t="array" ref="J1033">_xlfn.IFS(K1033=1,"Divorciado",L1033=1,"Casado",M1033=1,"Solteiro",N1033=1,"Juntos",O1033=1,"Viuvo")</f>
        <v>Solteiro</v>
      </c>
      <c r="K1033" s="13">
        <v>0</v>
      </c>
      <c r="L1033" s="13">
        <v>0</v>
      </c>
      <c r="M1033" s="13">
        <v>1</v>
      </c>
      <c r="N1033" s="13">
        <v>0</v>
      </c>
      <c r="O1033" s="13">
        <v>0</v>
      </c>
      <c r="P1033" s="13">
        <v>0</v>
      </c>
      <c r="Q1033" s="13">
        <v>0</v>
      </c>
      <c r="R1033" s="13">
        <v>1</v>
      </c>
      <c r="S1033" s="13">
        <v>0</v>
      </c>
      <c r="T1033" s="13">
        <v>0</v>
      </c>
      <c r="U1033" s="13">
        <v>231</v>
      </c>
      <c r="V1033" s="13" t="str" cm="1">
        <f t="array" ref="V1033">_xlfn.IFS(U1033&lt;=250,"0-R$250",U1033&lt;=500,"251-R$500",U1033&lt;=750,"501-R$750",U1033&lt;=1000,"751-R$1000",U1033&lt;=1250,"1001-R$1250",U1033&lt;=1500,"1251-R$1500")</f>
        <v>0-R$250</v>
      </c>
      <c r="W1033" s="13">
        <v>7</v>
      </c>
      <c r="X1033" s="13" t="str" cm="1">
        <f t="array" ref="X1033">_xlfn.IFS(W1033 = 0, "0", W1033&lt;=20, "até R$20",W1033&lt;=40, "21 - R$40",W1033&lt;=60, "41- R$60",W1033&lt;=80, "61 - R$80", W1033&lt;=100, "81 - R$100",W1033&lt;=120, "101 - R$120",W1033&lt;=140, "121 - R$140", W1033&lt;=160, "141- R$160", W1033&lt;=180, "161 - R$180", W1033&lt;=200, "181-R$194")</f>
        <v>até R$20</v>
      </c>
      <c r="Y1033" s="13">
        <v>137</v>
      </c>
      <c r="Z1033" s="13">
        <v>4</v>
      </c>
      <c r="AA1033" s="13">
        <v>15</v>
      </c>
      <c r="AB1033" s="13">
        <v>39</v>
      </c>
      <c r="AC1033" s="13">
        <v>9</v>
      </c>
      <c r="AD1033" s="13">
        <v>5</v>
      </c>
      <c r="AE1033" s="13">
        <v>1</v>
      </c>
      <c r="AF1033" s="13">
        <v>8</v>
      </c>
      <c r="AG1033" s="13">
        <v>7</v>
      </c>
      <c r="AH1033" s="13">
        <v>0</v>
      </c>
      <c r="AI1033" s="13">
        <v>0</v>
      </c>
      <c r="AJ1033" s="13">
        <v>0</v>
      </c>
      <c r="AK1033" s="13">
        <v>0</v>
      </c>
      <c r="AL1033" s="13">
        <v>0</v>
      </c>
      <c r="AM1033" s="13">
        <v>0</v>
      </c>
      <c r="AN1033" s="13">
        <v>1</v>
      </c>
      <c r="AO1033" s="14">
        <v>0</v>
      </c>
      <c r="AP1033" s="13">
        <v>3</v>
      </c>
      <c r="AQ1033" s="13">
        <v>11</v>
      </c>
      <c r="AR1033" s="15">
        <v>355</v>
      </c>
      <c r="AS1033" s="15">
        <v>394</v>
      </c>
    </row>
    <row r="1034" spans="1:45" x14ac:dyDescent="0.25">
      <c r="A1034">
        <v>2083</v>
      </c>
      <c r="B1034" s="11">
        <f t="shared" si="16"/>
        <v>45736</v>
      </c>
      <c r="C1034" s="16">
        <v>457360</v>
      </c>
      <c r="D1034" s="17">
        <v>0</v>
      </c>
      <c r="E1034" s="17">
        <v>1</v>
      </c>
      <c r="F1034" s="17">
        <v>92</v>
      </c>
      <c r="G1034" s="17">
        <v>66</v>
      </c>
      <c r="H1034" s="13" t="str" cm="1">
        <f t="array" ref="H1034">_xlfn.IFS(G1034&lt;=20,"0-20",G1034&lt;=30,"20-30",G1034&lt;=40,"30-40",G1034&lt;=50,"50-60",G1034&lt;=60,"60-70",G1034&lt;=70,"70-80",G1034&lt;=80,"80-90")</f>
        <v>70-80</v>
      </c>
      <c r="I1034" s="17">
        <v>2499</v>
      </c>
      <c r="J1034" s="13" t="str" cm="1">
        <f t="array" ref="J1034">_xlfn.IFS(K1034=1,"Divorciado",L1034=1,"Casado",M1034=1,"Solteiro",N1034=1,"Juntos",O1034=1,"Viuvo")</f>
        <v>Casado</v>
      </c>
      <c r="K1034" s="17">
        <v>0</v>
      </c>
      <c r="L1034" s="17">
        <v>1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1</v>
      </c>
      <c r="T1034" s="17">
        <v>0</v>
      </c>
      <c r="U1034" s="17">
        <v>188</v>
      </c>
      <c r="V1034" s="13" t="str" cm="1">
        <f t="array" ref="V1034">_xlfn.IFS(U1034&lt;=250,"0-R$250",U1034&lt;=500,"251-R$500",U1034&lt;=750,"501-R$750",U1034&lt;=1000,"751-R$1000",U1034&lt;=1250,"1001-R$1250",U1034&lt;=1500,"1251-R$1500")</f>
        <v>0-R$250</v>
      </c>
      <c r="W1034" s="17">
        <v>3</v>
      </c>
      <c r="X1034" s="13" t="str" cm="1">
        <f t="array" ref="X1034">_xlfn.IFS(W1034 = 0, "0", W1034&lt;=20, "até R$20",W1034&lt;=40, "21 - R$40",W1034&lt;=60, "41- R$60",W1034&lt;=80, "61 - R$80", W1034&lt;=100, "81 - R$100",W1034&lt;=120, "101 - R$120",W1034&lt;=140, "121 - R$140", W1034&lt;=160, "141- R$160", W1034&lt;=180, "161 - R$180", W1034&lt;=200, "181-R$194")</f>
        <v>até R$20</v>
      </c>
      <c r="Y1034" s="17">
        <v>180</v>
      </c>
      <c r="Z1034" s="17">
        <v>20</v>
      </c>
      <c r="AA1034" s="17">
        <v>3</v>
      </c>
      <c r="AB1034" s="17">
        <v>43</v>
      </c>
      <c r="AC1034" s="17">
        <v>5</v>
      </c>
      <c r="AD1034" s="17">
        <v>7</v>
      </c>
      <c r="AE1034" s="17">
        <v>1</v>
      </c>
      <c r="AF1034" s="17">
        <v>6</v>
      </c>
      <c r="AG1034" s="17">
        <v>7</v>
      </c>
      <c r="AH1034" s="17">
        <v>0</v>
      </c>
      <c r="AI1034" s="17">
        <v>0</v>
      </c>
      <c r="AJ1034" s="17">
        <v>0</v>
      </c>
      <c r="AK1034" s="17">
        <v>0</v>
      </c>
      <c r="AL1034" s="17">
        <v>0</v>
      </c>
      <c r="AM1034" s="17">
        <v>0</v>
      </c>
      <c r="AN1034" s="17">
        <v>0</v>
      </c>
      <c r="AO1034" s="18">
        <v>0</v>
      </c>
      <c r="AP1034" s="17">
        <v>3</v>
      </c>
      <c r="AQ1034" s="17">
        <v>11</v>
      </c>
      <c r="AR1034" s="19">
        <v>351</v>
      </c>
      <c r="AS1034" s="19">
        <v>394</v>
      </c>
    </row>
    <row r="1035" spans="1:45" x14ac:dyDescent="0.25">
      <c r="A1035">
        <v>203</v>
      </c>
      <c r="B1035" s="11">
        <f t="shared" si="16"/>
        <v>41443</v>
      </c>
      <c r="C1035" s="16">
        <v>414430</v>
      </c>
      <c r="D1035" s="17">
        <v>1</v>
      </c>
      <c r="E1035" s="17">
        <v>0</v>
      </c>
      <c r="F1035" s="17">
        <v>79</v>
      </c>
      <c r="G1035" s="17">
        <v>43</v>
      </c>
      <c r="H1035" s="13" t="str" cm="1">
        <f t="array" ref="H1035">_xlfn.IFS(G1035&lt;=20,"0-20",G1035&lt;=30,"20-30",G1035&lt;=40,"30-40",G1035&lt;=50,"50-60",G1035&lt;=60,"60-70",G1035&lt;=70,"70-80",G1035&lt;=80,"80-90")</f>
        <v>50-60</v>
      </c>
      <c r="I1035" s="17">
        <v>2248</v>
      </c>
      <c r="J1035" s="13" t="str" cm="1">
        <f t="array" ref="J1035">_xlfn.IFS(K1035=1,"Divorciado",L1035=1,"Casado",M1035=1,"Solteiro",N1035=1,"Juntos",O1035=1,"Viuvo")</f>
        <v>Casado</v>
      </c>
      <c r="K1035" s="17">
        <v>0</v>
      </c>
      <c r="L1035" s="17">
        <v>1</v>
      </c>
      <c r="M1035" s="17">
        <v>0</v>
      </c>
      <c r="N1035" s="17">
        <v>0</v>
      </c>
      <c r="O1035" s="17">
        <v>0</v>
      </c>
      <c r="P1035" s="17">
        <v>0</v>
      </c>
      <c r="Q1035" s="17">
        <v>0</v>
      </c>
      <c r="R1035" s="17">
        <v>1</v>
      </c>
      <c r="S1035" s="17">
        <v>0</v>
      </c>
      <c r="T1035" s="17">
        <v>0</v>
      </c>
      <c r="U1035" s="17">
        <v>171</v>
      </c>
      <c r="V1035" s="13" t="str" cm="1">
        <f t="array" ref="V1035">_xlfn.IFS(U1035&lt;=250,"0-R$250",U1035&lt;=500,"251-R$500",U1035&lt;=750,"501-R$750",U1035&lt;=1000,"751-R$1000",U1035&lt;=1250,"1001-R$1250",U1035&lt;=1500,"1251-R$1500")</f>
        <v>0-R$250</v>
      </c>
      <c r="W1035" s="17">
        <v>7</v>
      </c>
      <c r="X1035" s="13" t="str" cm="1">
        <f t="array" ref="X1035">_xlfn.IFS(W1035 = 0, "0", W1035&lt;=20, "até R$20",W1035&lt;=40, "21 - R$40",W1035&lt;=60, "41- R$60",W1035&lt;=80, "61 - R$80", W1035&lt;=100, "81 - R$100",W1035&lt;=120, "101 - R$120",W1035&lt;=140, "121 - R$140", W1035&lt;=160, "141- R$160", W1035&lt;=180, "161 - R$180", W1035&lt;=200, "181-R$194")</f>
        <v>até R$20</v>
      </c>
      <c r="Y1035" s="17">
        <v>171</v>
      </c>
      <c r="Z1035" s="17">
        <v>25</v>
      </c>
      <c r="AA1035" s="17">
        <v>19</v>
      </c>
      <c r="AB1035" s="17">
        <v>89</v>
      </c>
      <c r="AC1035" s="17">
        <v>6</v>
      </c>
      <c r="AD1035" s="17">
        <v>8</v>
      </c>
      <c r="AE1035" s="17">
        <v>1</v>
      </c>
      <c r="AF1035" s="17">
        <v>5</v>
      </c>
      <c r="AG1035" s="17">
        <v>8</v>
      </c>
      <c r="AH1035" s="17">
        <v>0</v>
      </c>
      <c r="AI1035" s="17">
        <v>0</v>
      </c>
      <c r="AJ1035" s="17">
        <v>0</v>
      </c>
      <c r="AK1035" s="17">
        <v>0</v>
      </c>
      <c r="AL1035" s="17">
        <v>0</v>
      </c>
      <c r="AM1035" s="17">
        <v>0</v>
      </c>
      <c r="AN1035" s="17">
        <v>0</v>
      </c>
      <c r="AO1035" s="18">
        <v>0</v>
      </c>
      <c r="AP1035" s="17">
        <v>3</v>
      </c>
      <c r="AQ1035" s="17">
        <v>11</v>
      </c>
      <c r="AR1035" s="19">
        <v>304</v>
      </c>
      <c r="AS1035" s="19">
        <v>393</v>
      </c>
    </row>
    <row r="1036" spans="1:45" x14ac:dyDescent="0.25">
      <c r="A1036">
        <v>433</v>
      </c>
      <c r="B1036" s="11">
        <f t="shared" si="16"/>
        <v>55707</v>
      </c>
      <c r="C1036" s="16">
        <v>557070</v>
      </c>
      <c r="D1036" s="17">
        <v>0</v>
      </c>
      <c r="E1036" s="17">
        <v>1</v>
      </c>
      <c r="F1036" s="17">
        <v>91</v>
      </c>
      <c r="G1036" s="17">
        <v>67</v>
      </c>
      <c r="H1036" s="13" t="str" cm="1">
        <f t="array" ref="H1036">_xlfn.IFS(G1036&lt;=20,"0-20",G1036&lt;=30,"20-30",G1036&lt;=40,"30-40",G1036&lt;=50,"50-60",G1036&lt;=60,"60-70",G1036&lt;=70,"70-80",G1036&lt;=80,"80-90")</f>
        <v>70-80</v>
      </c>
      <c r="I1036" s="17">
        <v>2348</v>
      </c>
      <c r="J1036" s="13" t="str" cm="1">
        <f t="array" ref="J1036">_xlfn.IFS(K1036=1,"Divorciado",L1036=1,"Casado",M1036=1,"Solteiro",N1036=1,"Juntos",O1036=1,"Viuvo")</f>
        <v>Casado</v>
      </c>
      <c r="K1036" s="17">
        <v>0</v>
      </c>
      <c r="L1036" s="17">
        <v>1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1</v>
      </c>
      <c r="U1036" s="17">
        <v>208</v>
      </c>
      <c r="V1036" s="13" t="str" cm="1">
        <f t="array" ref="V1036">_xlfn.IFS(U1036&lt;=250,"0-R$250",U1036&lt;=500,"251-R$500",U1036&lt;=750,"501-R$750",U1036&lt;=1000,"751-R$1000",U1036&lt;=1250,"1001-R$1250",U1036&lt;=1500,"1251-R$1500")</f>
        <v>0-R$250</v>
      </c>
      <c r="W1036" s="17">
        <v>7</v>
      </c>
      <c r="X1036" s="13" t="str" cm="1">
        <f t="array" ref="X1036">_xlfn.IFS(W1036 = 0, "0", W1036&lt;=20, "até R$20",W1036&lt;=40, "21 - R$40",W1036&lt;=60, "41- R$60",W1036&lt;=80, "61 - R$80", W1036&lt;=100, "81 - R$100",W1036&lt;=120, "101 - R$120",W1036&lt;=140, "121 - R$140", W1036&lt;=160, "141- R$160", W1036&lt;=180, "161 - R$180", W1036&lt;=200, "181-R$194")</f>
        <v>até R$20</v>
      </c>
      <c r="Y1036" s="17">
        <v>82</v>
      </c>
      <c r="Z1036" s="17">
        <v>30</v>
      </c>
      <c r="AA1036" s="17">
        <v>66</v>
      </c>
      <c r="AB1036" s="17">
        <v>35</v>
      </c>
      <c r="AC1036" s="17">
        <v>2</v>
      </c>
      <c r="AD1036" s="17">
        <v>3</v>
      </c>
      <c r="AE1036" s="17">
        <v>2</v>
      </c>
      <c r="AF1036" s="17">
        <v>9</v>
      </c>
      <c r="AG1036" s="17">
        <v>3</v>
      </c>
      <c r="AH1036" s="17">
        <v>0</v>
      </c>
      <c r="AI1036" s="17">
        <v>0</v>
      </c>
      <c r="AJ1036" s="17">
        <v>0</v>
      </c>
      <c r="AK1036" s="17">
        <v>0</v>
      </c>
      <c r="AL1036" s="17">
        <v>0</v>
      </c>
      <c r="AM1036" s="17">
        <v>0</v>
      </c>
      <c r="AN1036" s="17">
        <v>0</v>
      </c>
      <c r="AO1036" s="18">
        <v>0</v>
      </c>
      <c r="AP1036" s="17">
        <v>3</v>
      </c>
      <c r="AQ1036" s="17">
        <v>11</v>
      </c>
      <c r="AR1036" s="19">
        <v>358</v>
      </c>
      <c r="AS1036" s="19">
        <v>393</v>
      </c>
    </row>
    <row r="1037" spans="1:45" x14ac:dyDescent="0.25">
      <c r="A1037">
        <v>750</v>
      </c>
      <c r="B1037" s="11">
        <f t="shared" si="16"/>
        <v>62058</v>
      </c>
      <c r="C1037" s="12">
        <v>620580</v>
      </c>
      <c r="D1037" s="13">
        <v>0</v>
      </c>
      <c r="E1037" s="13">
        <v>1</v>
      </c>
      <c r="F1037" s="13">
        <v>52</v>
      </c>
      <c r="G1037" s="13">
        <v>64</v>
      </c>
      <c r="H1037" s="13" t="str" cm="1">
        <f t="array" ref="H1037">_xlfn.IFS(G1037&lt;=20,"0-20",G1037&lt;=30,"20-30",G1037&lt;=40,"30-40",G1037&lt;=50,"50-60",G1037&lt;=60,"60-70",G1037&lt;=70,"70-80",G1037&lt;=80,"80-90")</f>
        <v>70-80</v>
      </c>
      <c r="I1037" s="13">
        <v>2558</v>
      </c>
      <c r="J1037" s="13" t="str" cm="1">
        <f t="array" ref="J1037">_xlfn.IFS(K1037=1,"Divorciado",L1037=1,"Casado",M1037=1,"Solteiro",N1037=1,"Juntos",O1037=1,"Viuvo")</f>
        <v>Casado</v>
      </c>
      <c r="K1037" s="13">
        <v>0</v>
      </c>
      <c r="L1037" s="13">
        <v>1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1</v>
      </c>
      <c r="T1037" s="13">
        <v>0</v>
      </c>
      <c r="U1037" s="13">
        <v>301</v>
      </c>
      <c r="V1037" s="13" t="str" cm="1">
        <f t="array" ref="V1037">_xlfn.IFS(U1037&lt;=250,"0-R$250",U1037&lt;=500,"251-R$500",U1037&lt;=750,"501-R$750",U1037&lt;=1000,"751-R$1000",U1037&lt;=1250,"1001-R$1250",U1037&lt;=1500,"1251-R$1500")</f>
        <v>251-R$500</v>
      </c>
      <c r="W1037" s="13">
        <v>7</v>
      </c>
      <c r="X1037" s="13" t="str" cm="1">
        <f t="array" ref="X1037">_xlfn.IFS(W1037 = 0, "0", W1037&lt;=20, "até R$20",W1037&lt;=40, "21 - R$40",W1037&lt;=60, "41- R$60",W1037&lt;=80, "61 - R$80", W1037&lt;=100, "81 - R$100",W1037&lt;=120, "101 - R$120",W1037&lt;=140, "121 - R$140", W1037&lt;=160, "141- R$160", W1037&lt;=180, "161 - R$180", W1037&lt;=200, "181-R$194")</f>
        <v>até R$20</v>
      </c>
      <c r="Y1037" s="13">
        <v>74</v>
      </c>
      <c r="Z1037" s="13">
        <v>10</v>
      </c>
      <c r="AA1037" s="13">
        <v>0</v>
      </c>
      <c r="AB1037" s="13">
        <v>58</v>
      </c>
      <c r="AC1037" s="13">
        <v>4</v>
      </c>
      <c r="AD1037" s="13">
        <v>6</v>
      </c>
      <c r="AE1037" s="13">
        <v>1</v>
      </c>
      <c r="AF1037" s="13">
        <v>7</v>
      </c>
      <c r="AG1037" s="13">
        <v>6</v>
      </c>
      <c r="AH1037" s="13">
        <v>0</v>
      </c>
      <c r="AI1037" s="13">
        <v>0</v>
      </c>
      <c r="AJ1037" s="13">
        <v>0</v>
      </c>
      <c r="AK1037" s="13">
        <v>0</v>
      </c>
      <c r="AL1037" s="13">
        <v>0</v>
      </c>
      <c r="AM1037" s="13">
        <v>0</v>
      </c>
      <c r="AN1037" s="13">
        <v>0</v>
      </c>
      <c r="AO1037" s="14">
        <v>0</v>
      </c>
      <c r="AP1037" s="13">
        <v>3</v>
      </c>
      <c r="AQ1037" s="13">
        <v>11</v>
      </c>
      <c r="AR1037" s="15">
        <v>334</v>
      </c>
      <c r="AS1037" s="15">
        <v>392</v>
      </c>
    </row>
    <row r="1038" spans="1:45" x14ac:dyDescent="0.25">
      <c r="A1038">
        <v>1129</v>
      </c>
      <c r="B1038" s="11">
        <f t="shared" si="16"/>
        <v>57744</v>
      </c>
      <c r="C1038" s="16">
        <v>577440</v>
      </c>
      <c r="D1038" s="17">
        <v>0</v>
      </c>
      <c r="E1038" s="17">
        <v>1</v>
      </c>
      <c r="F1038" s="17">
        <v>91</v>
      </c>
      <c r="G1038" s="17">
        <v>66</v>
      </c>
      <c r="H1038" s="13" t="str" cm="1">
        <f t="array" ref="H1038">_xlfn.IFS(G1038&lt;=20,"0-20",G1038&lt;=30,"20-30",G1038&lt;=40,"30-40",G1038&lt;=50,"50-60",G1038&lt;=60,"60-70",G1038&lt;=70,"70-80",G1038&lt;=80,"80-90")</f>
        <v>70-80</v>
      </c>
      <c r="I1038" s="17">
        <v>2388</v>
      </c>
      <c r="J1038" s="13" t="str" cm="1">
        <f t="array" ref="J1038">_xlfn.IFS(K1038=1,"Divorciado",L1038=1,"Casado",M1038=1,"Solteiro",N1038=1,"Juntos",O1038=1,"Viuvo")</f>
        <v>Casado</v>
      </c>
      <c r="K1038" s="17">
        <v>0</v>
      </c>
      <c r="L1038" s="17">
        <v>1</v>
      </c>
      <c r="M1038" s="17">
        <v>0</v>
      </c>
      <c r="N1038" s="17">
        <v>0</v>
      </c>
      <c r="O1038" s="17">
        <v>0</v>
      </c>
      <c r="P1038" s="17">
        <v>0</v>
      </c>
      <c r="Q1038" s="17">
        <v>0</v>
      </c>
      <c r="R1038" s="17">
        <v>0</v>
      </c>
      <c r="S1038" s="17">
        <v>0</v>
      </c>
      <c r="T1038" s="17">
        <v>1</v>
      </c>
      <c r="U1038" s="17">
        <v>350</v>
      </c>
      <c r="V1038" s="13" t="str" cm="1">
        <f t="array" ref="V1038">_xlfn.IFS(U1038&lt;=250,"0-R$250",U1038&lt;=500,"251-R$500",U1038&lt;=750,"501-R$750",U1038&lt;=1000,"751-R$1000",U1038&lt;=1250,"1001-R$1250",U1038&lt;=1500,"1251-R$1500")</f>
        <v>251-R$500</v>
      </c>
      <c r="W1038" s="17">
        <v>3</v>
      </c>
      <c r="X1038" s="13" t="str" cm="1">
        <f t="array" ref="X1038">_xlfn.IFS(W1038 = 0, "0", W1038&lt;=20, "até R$20",W1038&lt;=40, "21 - R$40",W1038&lt;=60, "41- R$60",W1038&lt;=80, "61 - R$80", W1038&lt;=100, "81 - R$100",W1038&lt;=120, "101 - R$120",W1038&lt;=140, "121 - R$140", W1038&lt;=160, "141- R$160", W1038&lt;=180, "161 - R$180", W1038&lt;=200, "181-R$194")</f>
        <v>até R$20</v>
      </c>
      <c r="Y1038" s="17">
        <v>39</v>
      </c>
      <c r="Z1038" s="17">
        <v>0</v>
      </c>
      <c r="AA1038" s="17">
        <v>0</v>
      </c>
      <c r="AB1038" s="17">
        <v>19</v>
      </c>
      <c r="AC1038" s="17">
        <v>2</v>
      </c>
      <c r="AD1038" s="17">
        <v>9</v>
      </c>
      <c r="AE1038" s="17">
        <v>1</v>
      </c>
      <c r="AF1038" s="17">
        <v>4</v>
      </c>
      <c r="AG1038" s="17">
        <v>8</v>
      </c>
      <c r="AH1038" s="17">
        <v>0</v>
      </c>
      <c r="AI1038" s="17">
        <v>0</v>
      </c>
      <c r="AJ1038" s="17">
        <v>0</v>
      </c>
      <c r="AK1038" s="17">
        <v>0</v>
      </c>
      <c r="AL1038" s="17">
        <v>0</v>
      </c>
      <c r="AM1038" s="17">
        <v>0</v>
      </c>
      <c r="AN1038" s="17">
        <v>0</v>
      </c>
      <c r="AO1038" s="18">
        <v>0</v>
      </c>
      <c r="AP1038" s="17">
        <v>3</v>
      </c>
      <c r="AQ1038" s="17">
        <v>11</v>
      </c>
      <c r="AR1038" s="19">
        <v>373</v>
      </c>
      <c r="AS1038" s="19">
        <v>392</v>
      </c>
    </row>
    <row r="1039" spans="1:45" x14ac:dyDescent="0.25">
      <c r="A1039">
        <v>1964</v>
      </c>
      <c r="B1039" s="11">
        <f t="shared" si="16"/>
        <v>58116</v>
      </c>
      <c r="C1039" s="12">
        <v>581160</v>
      </c>
      <c r="D1039" s="13">
        <v>0</v>
      </c>
      <c r="E1039" s="13">
        <v>1</v>
      </c>
      <c r="F1039" s="13">
        <v>38</v>
      </c>
      <c r="G1039" s="13">
        <v>64</v>
      </c>
      <c r="H1039" s="13" t="str" cm="1">
        <f t="array" ref="H1039">_xlfn.IFS(G1039&lt;=20,"0-20",G1039&lt;=30,"20-30",G1039&lt;=40,"30-40",G1039&lt;=50,"50-60",G1039&lt;=60,"60-70",G1039&lt;=70,"70-80",G1039&lt;=80,"80-90")</f>
        <v>70-80</v>
      </c>
      <c r="I1039" s="13">
        <v>2236</v>
      </c>
      <c r="J1039" s="13" t="str" cm="1">
        <f t="array" ref="J1039">_xlfn.IFS(K1039=1,"Divorciado",L1039=1,"Casado",M1039=1,"Solteiro",N1039=1,"Juntos",O1039=1,"Viuvo")</f>
        <v>Casado</v>
      </c>
      <c r="K1039" s="13">
        <v>0</v>
      </c>
      <c r="L1039" s="13">
        <v>1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1</v>
      </c>
      <c r="S1039" s="13">
        <v>0</v>
      </c>
      <c r="T1039" s="13">
        <v>0</v>
      </c>
      <c r="U1039" s="13">
        <v>228</v>
      </c>
      <c r="V1039" s="13" t="str" cm="1">
        <f t="array" ref="V1039">_xlfn.IFS(U1039&lt;=250,"0-R$250",U1039&lt;=500,"251-R$500",U1039&lt;=750,"501-R$750",U1039&lt;=1000,"751-R$1000",U1039&lt;=1250,"1001-R$1250",U1039&lt;=1500,"1251-R$1500")</f>
        <v>0-R$250</v>
      </c>
      <c r="W1039" s="13">
        <v>19</v>
      </c>
      <c r="X1039" s="13" t="str" cm="1">
        <f t="array" ref="X1039">_xlfn.IFS(W1039 = 0, "0", W1039&lt;=20, "até R$20",W1039&lt;=40, "21 - R$40",W1039&lt;=60, "41- R$60",W1039&lt;=80, "61 - R$80", W1039&lt;=100, "81 - R$100",W1039&lt;=120, "101 - R$120",W1039&lt;=140, "121 - R$140", W1039&lt;=160, "141- R$160", W1039&lt;=180, "161 - R$180", W1039&lt;=200, "181-R$194")</f>
        <v>até R$20</v>
      </c>
      <c r="Y1039" s="13">
        <v>130</v>
      </c>
      <c r="Z1039" s="13">
        <v>4</v>
      </c>
      <c r="AA1039" s="13">
        <v>11</v>
      </c>
      <c r="AB1039" s="13">
        <v>51</v>
      </c>
      <c r="AC1039" s="13">
        <v>2</v>
      </c>
      <c r="AD1039" s="13">
        <v>3</v>
      </c>
      <c r="AE1039" s="13">
        <v>3</v>
      </c>
      <c r="AF1039" s="13">
        <v>8</v>
      </c>
      <c r="AG1039" s="13">
        <v>2</v>
      </c>
      <c r="AH1039" s="13">
        <v>0</v>
      </c>
      <c r="AI1039" s="13">
        <v>0</v>
      </c>
      <c r="AJ1039" s="13">
        <v>0</v>
      </c>
      <c r="AK1039" s="13">
        <v>0</v>
      </c>
      <c r="AL1039" s="13">
        <v>0</v>
      </c>
      <c r="AM1039" s="13">
        <v>0</v>
      </c>
      <c r="AN1039" s="13">
        <v>0</v>
      </c>
      <c r="AO1039" s="14">
        <v>0</v>
      </c>
      <c r="AP1039" s="13">
        <v>3</v>
      </c>
      <c r="AQ1039" s="13">
        <v>11</v>
      </c>
      <c r="AR1039" s="15">
        <v>341</v>
      </c>
      <c r="AS1039" s="15">
        <v>392</v>
      </c>
    </row>
    <row r="1040" spans="1:45" x14ac:dyDescent="0.25">
      <c r="A1040">
        <v>1154</v>
      </c>
      <c r="B1040" s="11">
        <f t="shared" si="16"/>
        <v>66726</v>
      </c>
      <c r="C1040" s="12">
        <v>667260</v>
      </c>
      <c r="D1040" s="13">
        <v>1</v>
      </c>
      <c r="E1040" s="13">
        <v>1</v>
      </c>
      <c r="F1040" s="13">
        <v>61</v>
      </c>
      <c r="G1040" s="13">
        <v>63</v>
      </c>
      <c r="H1040" s="13" t="str" cm="1">
        <f t="array" ref="H1040">_xlfn.IFS(G1040&lt;=20,"0-20",G1040&lt;=30,"20-30",G1040&lt;=40,"30-40",G1040&lt;=50,"50-60",G1040&lt;=60,"60-70",G1040&lt;=70,"70-80",G1040&lt;=80,"80-90")</f>
        <v>70-80</v>
      </c>
      <c r="I1040" s="13">
        <v>2327</v>
      </c>
      <c r="J1040" s="13" t="str" cm="1">
        <f t="array" ref="J1040">_xlfn.IFS(K1040=1,"Divorciado",L1040=1,"Casado",M1040=1,"Solteiro",N1040=1,"Juntos",O1040=1,"Viuvo")</f>
        <v>Casado</v>
      </c>
      <c r="K1040" s="13">
        <v>0</v>
      </c>
      <c r="L1040" s="13">
        <v>1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1</v>
      </c>
      <c r="T1040" s="13">
        <v>0</v>
      </c>
      <c r="U1040" s="13">
        <v>349</v>
      </c>
      <c r="V1040" s="13" t="str" cm="1">
        <f t="array" ref="V1040">_xlfn.IFS(U1040&lt;=250,"0-R$250",U1040&lt;=500,"251-R$500",U1040&lt;=750,"501-R$750",U1040&lt;=1000,"751-R$1000",U1040&lt;=1250,"1001-R$1250",U1040&lt;=1500,"1251-R$1500")</f>
        <v>251-R$500</v>
      </c>
      <c r="W1040" s="13">
        <v>7</v>
      </c>
      <c r="X1040" s="13" t="str" cm="1">
        <f t="array" ref="X1040">_xlfn.IFS(W1040 = 0, "0", W1040&lt;=20, "até R$20",W1040&lt;=40, "21 - R$40",W1040&lt;=60, "41- R$60",W1040&lt;=80, "61 - R$80", W1040&lt;=100, "81 - R$100",W1040&lt;=120, "101 - R$120",W1040&lt;=140, "121 - R$140", W1040&lt;=160, "141- R$160", W1040&lt;=180, "161 - R$180", W1040&lt;=200, "181-R$194")</f>
        <v>até R$20</v>
      </c>
      <c r="Y1040" s="13">
        <v>35</v>
      </c>
      <c r="Z1040" s="13">
        <v>0</v>
      </c>
      <c r="AA1040" s="13">
        <v>0</v>
      </c>
      <c r="AB1040" s="13">
        <v>47</v>
      </c>
      <c r="AC1040" s="13">
        <v>3</v>
      </c>
      <c r="AD1040" s="13">
        <v>8</v>
      </c>
      <c r="AE1040" s="13">
        <v>2</v>
      </c>
      <c r="AF1040" s="13">
        <v>4</v>
      </c>
      <c r="AG1040" s="13">
        <v>7</v>
      </c>
      <c r="AH1040" s="13">
        <v>0</v>
      </c>
      <c r="AI1040" s="13">
        <v>0</v>
      </c>
      <c r="AJ1040" s="13">
        <v>1</v>
      </c>
      <c r="AK1040" s="13">
        <v>0</v>
      </c>
      <c r="AL1040" s="13">
        <v>0</v>
      </c>
      <c r="AM1040" s="13">
        <v>0</v>
      </c>
      <c r="AN1040" s="13">
        <v>0</v>
      </c>
      <c r="AO1040" s="14">
        <v>1</v>
      </c>
      <c r="AP1040" s="13">
        <v>3</v>
      </c>
      <c r="AQ1040" s="13">
        <v>11</v>
      </c>
      <c r="AR1040" s="15">
        <v>344</v>
      </c>
      <c r="AS1040" s="15">
        <v>391</v>
      </c>
    </row>
    <row r="1041" spans="1:45" x14ac:dyDescent="0.25">
      <c r="A1041">
        <v>1584</v>
      </c>
      <c r="B1041" s="11">
        <f t="shared" si="16"/>
        <v>60432</v>
      </c>
      <c r="C1041" s="12">
        <v>604320</v>
      </c>
      <c r="D1041" s="13">
        <v>0</v>
      </c>
      <c r="E1041" s="13">
        <v>1</v>
      </c>
      <c r="F1041" s="13">
        <v>61</v>
      </c>
      <c r="G1041" s="13">
        <v>47</v>
      </c>
      <c r="H1041" s="13" t="str" cm="1">
        <f t="array" ref="H1041">_xlfn.IFS(G1041&lt;=20,"0-20",G1041&lt;=30,"20-30",G1041&lt;=40,"30-40",G1041&lt;=50,"50-60",G1041&lt;=60,"60-70",G1041&lt;=70,"70-80",G1041&lt;=80,"80-90")</f>
        <v>50-60</v>
      </c>
      <c r="I1041" s="13">
        <v>2271</v>
      </c>
      <c r="J1041" s="13" t="str" cm="1">
        <f t="array" ref="J1041">_xlfn.IFS(K1041=1,"Divorciado",L1041=1,"Casado",M1041=1,"Solteiro",N1041=1,"Juntos",O1041=1,"Viuvo")</f>
        <v>Casado</v>
      </c>
      <c r="K1041" s="13">
        <v>0</v>
      </c>
      <c r="L1041" s="13">
        <v>1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1</v>
      </c>
      <c r="T1041" s="13">
        <v>0</v>
      </c>
      <c r="U1041" s="13">
        <v>365</v>
      </c>
      <c r="V1041" s="13" t="str" cm="1">
        <f t="array" ref="V1041">_xlfn.IFS(U1041&lt;=250,"0-R$250",U1041&lt;=500,"251-R$500",U1041&lt;=750,"501-R$750",U1041&lt;=1000,"751-R$1000",U1041&lt;=1250,"1001-R$1250",U1041&lt;=1500,"1251-R$1500")</f>
        <v>251-R$500</v>
      </c>
      <c r="W1041" s="13">
        <v>3</v>
      </c>
      <c r="X1041" s="13" t="str" cm="1">
        <f t="array" ref="X1041">_xlfn.IFS(W1041 = 0, "0", W1041&lt;=20, "até R$20",W1041&lt;=40, "21 - R$40",W1041&lt;=60, "41- R$60",W1041&lt;=80, "61 - R$80", W1041&lt;=100, "81 - R$100",W1041&lt;=120, "101 - R$120",W1041&lt;=140, "121 - R$140", W1041&lt;=160, "141- R$160", W1041&lt;=180, "161 - R$180", W1041&lt;=200, "181-R$194")</f>
        <v>até R$20</v>
      </c>
      <c r="Y1041" s="13">
        <v>15</v>
      </c>
      <c r="Z1041" s="13">
        <v>4</v>
      </c>
      <c r="AA1041" s="13">
        <v>3</v>
      </c>
      <c r="AB1041" s="13">
        <v>11</v>
      </c>
      <c r="AC1041" s="13">
        <v>5</v>
      </c>
      <c r="AD1041" s="13">
        <v>7</v>
      </c>
      <c r="AE1041" s="13">
        <v>2</v>
      </c>
      <c r="AF1041" s="13">
        <v>5</v>
      </c>
      <c r="AG1041" s="13">
        <v>6</v>
      </c>
      <c r="AH1041" s="13">
        <v>0</v>
      </c>
      <c r="AI1041" s="13">
        <v>0</v>
      </c>
      <c r="AJ1041" s="13">
        <v>0</v>
      </c>
      <c r="AK1041" s="13">
        <v>0</v>
      </c>
      <c r="AL1041" s="13">
        <v>0</v>
      </c>
      <c r="AM1041" s="13">
        <v>0</v>
      </c>
      <c r="AN1041" s="13">
        <v>0</v>
      </c>
      <c r="AO1041" s="14">
        <v>0</v>
      </c>
      <c r="AP1041" s="13">
        <v>3</v>
      </c>
      <c r="AQ1041" s="13">
        <v>11</v>
      </c>
      <c r="AR1041" s="15">
        <v>379</v>
      </c>
      <c r="AS1041" s="15">
        <v>390</v>
      </c>
    </row>
    <row r="1042" spans="1:45" x14ac:dyDescent="0.25">
      <c r="A1042">
        <v>1973</v>
      </c>
      <c r="B1042" s="11">
        <f t="shared" si="16"/>
        <v>32644</v>
      </c>
      <c r="C1042" s="16">
        <v>326440</v>
      </c>
      <c r="D1042" s="17">
        <v>1</v>
      </c>
      <c r="E1042" s="17">
        <v>0</v>
      </c>
      <c r="F1042" s="17">
        <v>38</v>
      </c>
      <c r="G1042" s="17">
        <v>47</v>
      </c>
      <c r="H1042" s="13" t="str" cm="1">
        <f t="array" ref="H1042">_xlfn.IFS(G1042&lt;=20,"0-20",G1042&lt;=30,"20-30",G1042&lt;=40,"30-40",G1042&lt;=50,"50-60",G1042&lt;=60,"60-70",G1042&lt;=70,"70-80",G1042&lt;=80,"80-90")</f>
        <v>50-60</v>
      </c>
      <c r="I1042" s="17">
        <v>2688</v>
      </c>
      <c r="J1042" s="13" t="str" cm="1">
        <f t="array" ref="J1042">_xlfn.IFS(K1042=1,"Divorciado",L1042=1,"Casado",M1042=1,"Solteiro",N1042=1,"Juntos",O1042=1,"Viuvo")</f>
        <v>Casado</v>
      </c>
      <c r="K1042" s="17">
        <v>0</v>
      </c>
      <c r="L1042" s="17">
        <v>1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1</v>
      </c>
      <c r="U1042" s="17">
        <v>239</v>
      </c>
      <c r="V1042" s="13" t="str" cm="1">
        <f t="array" ref="V1042">_xlfn.IFS(U1042&lt;=250,"0-R$250",U1042&lt;=500,"251-R$500",U1042&lt;=750,"501-R$750",U1042&lt;=1000,"751-R$1000",U1042&lt;=1250,"1001-R$1250",U1042&lt;=1500,"1251-R$1500")</f>
        <v>0-R$250</v>
      </c>
      <c r="W1042" s="17">
        <v>3</v>
      </c>
      <c r="X1042" s="13" t="str" cm="1">
        <f t="array" ref="X1042">_xlfn.IFS(W1042 = 0, "0", W1042&lt;=20, "até R$20",W1042&lt;=40, "21 - R$40",W1042&lt;=60, "41- R$60",W1042&lt;=80, "61 - R$80", W1042&lt;=100, "81 - R$100",W1042&lt;=120, "101 - R$120",W1042&lt;=140, "121 - R$140", W1042&lt;=160, "141- R$160", W1042&lt;=180, "161 - R$180", W1042&lt;=200, "181-R$194")</f>
        <v>até R$20</v>
      </c>
      <c r="Y1042" s="17">
        <v>141</v>
      </c>
      <c r="Z1042" s="17">
        <v>0</v>
      </c>
      <c r="AA1042" s="17">
        <v>7</v>
      </c>
      <c r="AB1042" s="17">
        <v>23</v>
      </c>
      <c r="AC1042" s="17">
        <v>4</v>
      </c>
      <c r="AD1042" s="17">
        <v>7</v>
      </c>
      <c r="AE1042" s="17">
        <v>1</v>
      </c>
      <c r="AF1042" s="17">
        <v>6</v>
      </c>
      <c r="AG1042" s="17">
        <v>8</v>
      </c>
      <c r="AH1042" s="17">
        <v>0</v>
      </c>
      <c r="AI1042" s="17">
        <v>1</v>
      </c>
      <c r="AJ1042" s="17">
        <v>0</v>
      </c>
      <c r="AK1042" s="17">
        <v>0</v>
      </c>
      <c r="AL1042" s="17">
        <v>0</v>
      </c>
      <c r="AM1042" s="17">
        <v>0</v>
      </c>
      <c r="AN1042" s="17">
        <v>0</v>
      </c>
      <c r="AO1042" s="18">
        <v>1</v>
      </c>
      <c r="AP1042" s="17">
        <v>3</v>
      </c>
      <c r="AQ1042" s="17">
        <v>11</v>
      </c>
      <c r="AR1042" s="19">
        <v>367</v>
      </c>
      <c r="AS1042" s="19">
        <v>390</v>
      </c>
    </row>
    <row r="1043" spans="1:45" x14ac:dyDescent="0.25">
      <c r="A1043">
        <v>603</v>
      </c>
      <c r="B1043" s="11">
        <f t="shared" si="16"/>
        <v>54456</v>
      </c>
      <c r="C1043" s="16">
        <v>544560</v>
      </c>
      <c r="D1043" s="17">
        <v>0</v>
      </c>
      <c r="E1043" s="17">
        <v>1</v>
      </c>
      <c r="F1043" s="17">
        <v>23</v>
      </c>
      <c r="G1043" s="17">
        <v>59</v>
      </c>
      <c r="H1043" s="13" t="str" cm="1">
        <f t="array" ref="H1043">_xlfn.IFS(G1043&lt;=20,"0-20",G1043&lt;=30,"20-30",G1043&lt;=40,"30-40",G1043&lt;=50,"50-60",G1043&lt;=60,"60-70",G1043&lt;=70,"70-80",G1043&lt;=80,"80-90")</f>
        <v>60-70</v>
      </c>
      <c r="I1043" s="17">
        <v>2512</v>
      </c>
      <c r="J1043" s="13" t="str" cm="1">
        <f t="array" ref="J1043">_xlfn.IFS(K1043=1,"Divorciado",L1043=1,"Casado",M1043=1,"Solteiro",N1043=1,"Juntos",O1043=1,"Viuvo")</f>
        <v>Casado</v>
      </c>
      <c r="K1043" s="17">
        <v>0</v>
      </c>
      <c r="L1043" s="17">
        <v>1</v>
      </c>
      <c r="M1043" s="17">
        <v>0</v>
      </c>
      <c r="N1043" s="17">
        <v>0</v>
      </c>
      <c r="O1043" s="17">
        <v>0</v>
      </c>
      <c r="P1043" s="17">
        <v>0</v>
      </c>
      <c r="Q1043" s="17">
        <v>0</v>
      </c>
      <c r="R1043" s="17">
        <v>0</v>
      </c>
      <c r="S1043" s="17">
        <v>0</v>
      </c>
      <c r="T1043" s="17">
        <v>1</v>
      </c>
      <c r="U1043" s="17">
        <v>352</v>
      </c>
      <c r="V1043" s="13" t="str" cm="1">
        <f t="array" ref="V1043">_xlfn.IFS(U1043&lt;=250,"0-R$250",U1043&lt;=500,"251-R$500",U1043&lt;=750,"501-R$750",U1043&lt;=1000,"751-R$1000",U1043&lt;=1250,"1001-R$1250",U1043&lt;=1500,"1251-R$1500")</f>
        <v>251-R$500</v>
      </c>
      <c r="W1043" s="17">
        <v>0</v>
      </c>
      <c r="X1043" s="13" t="str" cm="1">
        <f t="array" ref="X1043">_xlfn.IFS(W1043 = 0, "0", W1043&lt;=20, "até R$20",W1043&lt;=40, "21 - R$40",W1043&lt;=60, "41- R$60",W1043&lt;=80, "61 - R$80", W1043&lt;=100, "81 - R$100",W1043&lt;=120, "101 - R$120",W1043&lt;=140, "121 - R$140", W1043&lt;=160, "141- R$160", W1043&lt;=180, "161 - R$180", W1043&lt;=200, "181-R$194")</f>
        <v>0</v>
      </c>
      <c r="Y1043" s="17">
        <v>27</v>
      </c>
      <c r="Z1043" s="17">
        <v>10</v>
      </c>
      <c r="AA1043" s="17">
        <v>0</v>
      </c>
      <c r="AB1043" s="17">
        <v>15</v>
      </c>
      <c r="AC1043" s="17">
        <v>3</v>
      </c>
      <c r="AD1043" s="17">
        <v>6</v>
      </c>
      <c r="AE1043" s="17">
        <v>1</v>
      </c>
      <c r="AF1043" s="17">
        <v>7</v>
      </c>
      <c r="AG1043" s="17">
        <v>6</v>
      </c>
      <c r="AH1043" s="17">
        <v>0</v>
      </c>
      <c r="AI1043" s="17">
        <v>0</v>
      </c>
      <c r="AJ1043" s="17">
        <v>0</v>
      </c>
      <c r="AK1043" s="17">
        <v>0</v>
      </c>
      <c r="AL1043" s="17">
        <v>0</v>
      </c>
      <c r="AM1043" s="17">
        <v>0</v>
      </c>
      <c r="AN1043" s="17">
        <v>0</v>
      </c>
      <c r="AO1043" s="18">
        <v>0</v>
      </c>
      <c r="AP1043" s="17">
        <v>3</v>
      </c>
      <c r="AQ1043" s="17">
        <v>11</v>
      </c>
      <c r="AR1043" s="19">
        <v>374</v>
      </c>
      <c r="AS1043" s="19">
        <v>389</v>
      </c>
    </row>
    <row r="1044" spans="1:45" x14ac:dyDescent="0.25">
      <c r="A1044">
        <v>1083</v>
      </c>
      <c r="B1044" s="11">
        <f t="shared" si="16"/>
        <v>38508</v>
      </c>
      <c r="C1044" s="16">
        <v>385080</v>
      </c>
      <c r="D1044" s="17">
        <v>1</v>
      </c>
      <c r="E1044" s="17">
        <v>0</v>
      </c>
      <c r="F1044" s="17">
        <v>95</v>
      </c>
      <c r="G1044" s="17">
        <v>34</v>
      </c>
      <c r="H1044" s="13" t="str" cm="1">
        <f t="array" ref="H1044">_xlfn.IFS(G1044&lt;=20,"0-20",G1044&lt;=30,"20-30",G1044&lt;=40,"30-40",G1044&lt;=50,"50-60",G1044&lt;=60,"60-70",G1044&lt;=70,"70-80",G1044&lt;=80,"80-90")</f>
        <v>30-40</v>
      </c>
      <c r="I1044" s="17">
        <v>2490</v>
      </c>
      <c r="J1044" s="13" t="str" cm="1">
        <f t="array" ref="J1044">_xlfn.IFS(K1044=1,"Divorciado",L1044=1,"Casado",M1044=1,"Solteiro",N1044=1,"Juntos",O1044=1,"Viuvo")</f>
        <v>Casado</v>
      </c>
      <c r="K1044" s="17">
        <v>0</v>
      </c>
      <c r="L1044" s="17">
        <v>1</v>
      </c>
      <c r="M1044" s="17">
        <v>0</v>
      </c>
      <c r="N1044" s="17">
        <v>0</v>
      </c>
      <c r="O1044" s="17">
        <v>0</v>
      </c>
      <c r="P1044" s="17">
        <v>0</v>
      </c>
      <c r="Q1044" s="17">
        <v>0</v>
      </c>
      <c r="R1044" s="17">
        <v>1</v>
      </c>
      <c r="S1044" s="17">
        <v>0</v>
      </c>
      <c r="T1044" s="17">
        <v>0</v>
      </c>
      <c r="U1044" s="17">
        <v>120</v>
      </c>
      <c r="V1044" s="13" t="str" cm="1">
        <f t="array" ref="V1044">_xlfn.IFS(U1044&lt;=250,"0-R$250",U1044&lt;=500,"251-R$500",U1044&lt;=750,"501-R$750",U1044&lt;=1000,"751-R$1000",U1044&lt;=1250,"1001-R$1250",U1044&lt;=1500,"1251-R$1500")</f>
        <v>0-R$250</v>
      </c>
      <c r="W1044" s="17">
        <v>19</v>
      </c>
      <c r="X1044" s="13" t="str" cm="1">
        <f t="array" ref="X1044">_xlfn.IFS(W1044 = 0, "0", W1044&lt;=20, "até R$20",W1044&lt;=40, "21 - R$40",W1044&lt;=60, "41- R$60",W1044&lt;=80, "61 - R$80", W1044&lt;=100, "81 - R$100",W1044&lt;=120, "101 - R$120",W1044&lt;=140, "121 - R$140", W1044&lt;=160, "141- R$160", W1044&lt;=180, "161 - R$180", W1044&lt;=200, "181-R$194")</f>
        <v>até R$20</v>
      </c>
      <c r="Y1044" s="17">
        <v>206</v>
      </c>
      <c r="Z1044" s="17">
        <v>25</v>
      </c>
      <c r="AA1044" s="17">
        <v>19</v>
      </c>
      <c r="AB1044" s="17">
        <v>54</v>
      </c>
      <c r="AC1044" s="17">
        <v>6</v>
      </c>
      <c r="AD1044" s="17">
        <v>7</v>
      </c>
      <c r="AE1044" s="17">
        <v>2</v>
      </c>
      <c r="AF1044" s="17">
        <v>5</v>
      </c>
      <c r="AG1044" s="17">
        <v>8</v>
      </c>
      <c r="AH1044" s="17">
        <v>0</v>
      </c>
      <c r="AI1044" s="17">
        <v>0</v>
      </c>
      <c r="AJ1044" s="17">
        <v>0</v>
      </c>
      <c r="AK1044" s="17">
        <v>0</v>
      </c>
      <c r="AL1044" s="17">
        <v>0</v>
      </c>
      <c r="AM1044" s="17">
        <v>0</v>
      </c>
      <c r="AN1044" s="17">
        <v>0</v>
      </c>
      <c r="AO1044" s="18">
        <v>0</v>
      </c>
      <c r="AP1044" s="17">
        <v>3</v>
      </c>
      <c r="AQ1044" s="17">
        <v>11</v>
      </c>
      <c r="AR1044" s="19">
        <v>335</v>
      </c>
      <c r="AS1044" s="19">
        <v>389</v>
      </c>
    </row>
    <row r="1045" spans="1:45" x14ac:dyDescent="0.25">
      <c r="A1045">
        <v>1346</v>
      </c>
      <c r="B1045" s="11">
        <f t="shared" si="16"/>
        <v>47025</v>
      </c>
      <c r="C1045" s="12">
        <v>470250</v>
      </c>
      <c r="D1045" s="13">
        <v>0</v>
      </c>
      <c r="E1045" s="13">
        <v>1</v>
      </c>
      <c r="F1045" s="13">
        <v>52</v>
      </c>
      <c r="G1045" s="13">
        <v>44</v>
      </c>
      <c r="H1045" s="13" t="str" cm="1">
        <f t="array" ref="H1045">_xlfn.IFS(G1045&lt;=20,"0-20",G1045&lt;=30,"20-30",G1045&lt;=40,"30-40",G1045&lt;=50,"50-60",G1045&lt;=60,"60-70",G1045&lt;=70,"70-80",G1045&lt;=80,"80-90")</f>
        <v>50-60</v>
      </c>
      <c r="I1045" s="13">
        <v>2393</v>
      </c>
      <c r="J1045" s="13" t="str" cm="1">
        <f t="array" ref="J1045">_xlfn.IFS(K1045=1,"Divorciado",L1045=1,"Casado",M1045=1,"Solteiro",N1045=1,"Juntos",O1045=1,"Viuvo")</f>
        <v>Solteiro</v>
      </c>
      <c r="K1045" s="13">
        <v>0</v>
      </c>
      <c r="L1045" s="13">
        <v>0</v>
      </c>
      <c r="M1045" s="13">
        <v>1</v>
      </c>
      <c r="N1045" s="13">
        <v>0</v>
      </c>
      <c r="O1045" s="13">
        <v>0</v>
      </c>
      <c r="P1045" s="13">
        <v>0</v>
      </c>
      <c r="Q1045" s="13">
        <v>0</v>
      </c>
      <c r="R1045" s="13">
        <v>1</v>
      </c>
      <c r="S1045" s="13">
        <v>0</v>
      </c>
      <c r="T1045" s="13">
        <v>0</v>
      </c>
      <c r="U1045" s="13">
        <v>254</v>
      </c>
      <c r="V1045" s="13" t="str" cm="1">
        <f t="array" ref="V1045">_xlfn.IFS(U1045&lt;=250,"0-R$250",U1045&lt;=500,"251-R$500",U1045&lt;=750,"501-R$750",U1045&lt;=1000,"751-R$1000",U1045&lt;=1250,"1001-R$1250",U1045&lt;=1500,"1251-R$1500")</f>
        <v>251-R$500</v>
      </c>
      <c r="W1045" s="13">
        <v>7</v>
      </c>
      <c r="X1045" s="13" t="str" cm="1">
        <f t="array" ref="X1045">_xlfn.IFS(W1045 = 0, "0", W1045&lt;=20, "até R$20",W1045&lt;=40, "21 - R$40",W1045&lt;=60, "41- R$60",W1045&lt;=80, "61 - R$80", W1045&lt;=100, "81 - R$100",W1045&lt;=120, "101 - R$120",W1045&lt;=140, "121 - R$140", W1045&lt;=160, "141- R$160", W1045&lt;=180, "161 - R$180", W1045&lt;=200, "181-R$194")</f>
        <v>até R$20</v>
      </c>
      <c r="Y1045" s="13">
        <v>108</v>
      </c>
      <c r="Z1045" s="13">
        <v>20</v>
      </c>
      <c r="AA1045" s="13">
        <v>0</v>
      </c>
      <c r="AB1045" s="13">
        <v>26</v>
      </c>
      <c r="AC1045" s="13">
        <v>3</v>
      </c>
      <c r="AD1045" s="13">
        <v>6</v>
      </c>
      <c r="AE1045" s="13">
        <v>3</v>
      </c>
      <c r="AF1045" s="13">
        <v>5</v>
      </c>
      <c r="AG1045" s="13">
        <v>6</v>
      </c>
      <c r="AH1045" s="13">
        <v>0</v>
      </c>
      <c r="AI1045" s="13">
        <v>0</v>
      </c>
      <c r="AJ1045" s="13">
        <v>0</v>
      </c>
      <c r="AK1045" s="13">
        <v>0</v>
      </c>
      <c r="AL1045" s="13">
        <v>0</v>
      </c>
      <c r="AM1045" s="13">
        <v>0</v>
      </c>
      <c r="AN1045" s="13">
        <v>0</v>
      </c>
      <c r="AO1045" s="14">
        <v>0</v>
      </c>
      <c r="AP1045" s="13">
        <v>3</v>
      </c>
      <c r="AQ1045" s="13">
        <v>11</v>
      </c>
      <c r="AR1045" s="15">
        <v>363</v>
      </c>
      <c r="AS1045" s="15">
        <v>389</v>
      </c>
    </row>
    <row r="1046" spans="1:45" x14ac:dyDescent="0.25">
      <c r="A1046">
        <v>1356</v>
      </c>
      <c r="B1046" s="11">
        <f t="shared" si="16"/>
        <v>56243</v>
      </c>
      <c r="C1046" s="12">
        <v>562430</v>
      </c>
      <c r="D1046" s="13">
        <v>1</v>
      </c>
      <c r="E1046" s="13">
        <v>2</v>
      </c>
      <c r="F1046" s="13">
        <v>26</v>
      </c>
      <c r="G1046" s="13">
        <v>45</v>
      </c>
      <c r="H1046" s="13" t="str" cm="1">
        <f t="array" ref="H1046">_xlfn.IFS(G1046&lt;=20,"0-20",G1046&lt;=30,"20-30",G1046&lt;=40,"30-40",G1046&lt;=50,"50-60",G1046&lt;=60,"60-70",G1046&lt;=70,"70-80",G1046&lt;=80,"80-90")</f>
        <v>50-60</v>
      </c>
      <c r="I1046" s="13">
        <v>2340</v>
      </c>
      <c r="J1046" s="13" t="str" cm="1">
        <f t="array" ref="J1046">_xlfn.IFS(K1046=1,"Divorciado",L1046=1,"Casado",M1046=1,"Solteiro",N1046=1,"Juntos",O1046=1,"Viuvo")</f>
        <v>Solteiro</v>
      </c>
      <c r="K1046" s="13">
        <v>0</v>
      </c>
      <c r="L1046" s="13">
        <v>0</v>
      </c>
      <c r="M1046" s="13">
        <v>1</v>
      </c>
      <c r="N1046" s="13">
        <v>0</v>
      </c>
      <c r="O1046" s="13">
        <v>0</v>
      </c>
      <c r="P1046" s="13">
        <v>0</v>
      </c>
      <c r="Q1046" s="13">
        <v>0</v>
      </c>
      <c r="R1046" s="13">
        <v>1</v>
      </c>
      <c r="S1046" s="13">
        <v>0</v>
      </c>
      <c r="T1046" s="13">
        <v>0</v>
      </c>
      <c r="U1046" s="13">
        <v>347</v>
      </c>
      <c r="V1046" s="13" t="str" cm="1">
        <f t="array" ref="V1046">_xlfn.IFS(U1046&lt;=250,"0-R$250",U1046&lt;=500,"251-R$500",U1046&lt;=750,"501-R$750",U1046&lt;=1000,"751-R$1000",U1046&lt;=1250,"1001-R$1250",U1046&lt;=1500,"1251-R$1500")</f>
        <v>251-R$500</v>
      </c>
      <c r="W1046" s="13">
        <v>0</v>
      </c>
      <c r="X1046" s="13" t="str" cm="1">
        <f t="array" ref="X1046">_xlfn.IFS(W1046 = 0, "0", W1046&lt;=20, "até R$20",W1046&lt;=40, "21 - R$40",W1046&lt;=60, "41- R$60",W1046&lt;=80, "61 - R$80", W1046&lt;=100, "81 - R$100",W1046&lt;=120, "101 - R$120",W1046&lt;=140, "121 - R$140", W1046&lt;=160, "141- R$160", W1046&lt;=180, "161 - R$180", W1046&lt;=200, "181-R$194")</f>
        <v>0</v>
      </c>
      <c r="Y1046" s="13">
        <v>35</v>
      </c>
      <c r="Z1046" s="13">
        <v>4</v>
      </c>
      <c r="AA1046" s="13">
        <v>3</v>
      </c>
      <c r="AB1046" s="13">
        <v>7</v>
      </c>
      <c r="AC1046" s="13">
        <v>6</v>
      </c>
      <c r="AD1046" s="13">
        <v>4</v>
      </c>
      <c r="AE1046" s="13">
        <v>2</v>
      </c>
      <c r="AF1046" s="13">
        <v>8</v>
      </c>
      <c r="AG1046" s="13">
        <v>5</v>
      </c>
      <c r="AH1046" s="13">
        <v>0</v>
      </c>
      <c r="AI1046" s="13">
        <v>0</v>
      </c>
      <c r="AJ1046" s="13">
        <v>0</v>
      </c>
      <c r="AK1046" s="13">
        <v>0</v>
      </c>
      <c r="AL1046" s="13">
        <v>0</v>
      </c>
      <c r="AM1046" s="13">
        <v>0</v>
      </c>
      <c r="AN1046" s="13">
        <v>0</v>
      </c>
      <c r="AO1046" s="14">
        <v>0</v>
      </c>
      <c r="AP1046" s="13">
        <v>3</v>
      </c>
      <c r="AQ1046" s="13">
        <v>11</v>
      </c>
      <c r="AR1046" s="15">
        <v>382</v>
      </c>
      <c r="AS1046" s="15">
        <v>389</v>
      </c>
    </row>
    <row r="1047" spans="1:45" x14ac:dyDescent="0.25">
      <c r="A1047">
        <v>2059</v>
      </c>
      <c r="B1047" s="11">
        <f t="shared" si="16"/>
        <v>53367</v>
      </c>
      <c r="C1047" s="16">
        <v>533670</v>
      </c>
      <c r="D1047" s="17">
        <v>1</v>
      </c>
      <c r="E1047" s="17">
        <v>1</v>
      </c>
      <c r="F1047" s="17">
        <v>2</v>
      </c>
      <c r="G1047" s="17">
        <v>46</v>
      </c>
      <c r="H1047" s="13" t="str" cm="1">
        <f t="array" ref="H1047">_xlfn.IFS(G1047&lt;=20,"0-20",G1047&lt;=30,"20-30",G1047&lt;=40,"30-40",G1047&lt;=50,"50-60",G1047&lt;=60,"60-70",G1047&lt;=70,"70-80",G1047&lt;=80,"80-90")</f>
        <v>50-60</v>
      </c>
      <c r="I1047" s="17">
        <v>2461</v>
      </c>
      <c r="J1047" s="13" t="str" cm="1">
        <f t="array" ref="J1047">_xlfn.IFS(K1047=1,"Divorciado",L1047=1,"Casado",M1047=1,"Solteiro",N1047=1,"Juntos",O1047=1,"Viuvo")</f>
        <v>Divorciado</v>
      </c>
      <c r="K1047" s="17">
        <v>1</v>
      </c>
      <c r="L1047" s="17">
        <v>0</v>
      </c>
      <c r="M1047" s="17">
        <v>0</v>
      </c>
      <c r="N1047" s="17">
        <v>0</v>
      </c>
      <c r="O1047" s="17">
        <v>0</v>
      </c>
      <c r="P1047" s="17">
        <v>0</v>
      </c>
      <c r="Q1047" s="17">
        <v>0</v>
      </c>
      <c r="R1047" s="17">
        <v>0</v>
      </c>
      <c r="S1047" s="17">
        <v>1</v>
      </c>
      <c r="T1047" s="17">
        <v>0</v>
      </c>
      <c r="U1047" s="17">
        <v>229</v>
      </c>
      <c r="V1047" s="13" t="str" cm="1">
        <f t="array" ref="V1047">_xlfn.IFS(U1047&lt;=250,"0-R$250",U1047&lt;=500,"251-R$500",U1047&lt;=750,"501-R$750",U1047&lt;=1000,"751-R$1000",U1047&lt;=1250,"1001-R$1250",U1047&lt;=1500,"1251-R$1500")</f>
        <v>0-R$250</v>
      </c>
      <c r="W1047" s="17">
        <v>7</v>
      </c>
      <c r="X1047" s="13" t="str" cm="1">
        <f t="array" ref="X1047">_xlfn.IFS(W1047 = 0, "0", W1047&lt;=20, "até R$20",W1047&lt;=40, "21 - R$40",W1047&lt;=60, "41- R$60",W1047&lt;=80, "61 - R$80", W1047&lt;=100, "81 - R$100",W1047&lt;=120, "101 - R$120",W1047&lt;=140, "121 - R$140", W1047&lt;=160, "141- R$160", W1047&lt;=180, "161 - R$180", W1047&lt;=200, "181-R$194")</f>
        <v>até R$20</v>
      </c>
      <c r="Y1047" s="17">
        <v>140</v>
      </c>
      <c r="Z1047" s="17">
        <v>10</v>
      </c>
      <c r="AA1047" s="17">
        <v>3</v>
      </c>
      <c r="AB1047" s="17">
        <v>11</v>
      </c>
      <c r="AC1047" s="17">
        <v>7</v>
      </c>
      <c r="AD1047" s="17">
        <v>5</v>
      </c>
      <c r="AE1047" s="17">
        <v>1</v>
      </c>
      <c r="AF1047" s="17">
        <v>8</v>
      </c>
      <c r="AG1047" s="17">
        <v>7</v>
      </c>
      <c r="AH1047" s="17">
        <v>0</v>
      </c>
      <c r="AI1047" s="17">
        <v>0</v>
      </c>
      <c r="AJ1047" s="17">
        <v>0</v>
      </c>
      <c r="AK1047" s="17">
        <v>0</v>
      </c>
      <c r="AL1047" s="17">
        <v>0</v>
      </c>
      <c r="AM1047" s="17">
        <v>0</v>
      </c>
      <c r="AN1047" s="17">
        <v>1</v>
      </c>
      <c r="AO1047" s="18">
        <v>0</v>
      </c>
      <c r="AP1047" s="17">
        <v>3</v>
      </c>
      <c r="AQ1047" s="17">
        <v>11</v>
      </c>
      <c r="AR1047" s="19">
        <v>378</v>
      </c>
      <c r="AS1047" s="19">
        <v>389</v>
      </c>
    </row>
    <row r="1048" spans="1:45" x14ac:dyDescent="0.25">
      <c r="A1048">
        <v>1959</v>
      </c>
      <c r="B1048" s="11">
        <f t="shared" si="16"/>
        <v>53201</v>
      </c>
      <c r="C1048" s="16">
        <v>532010</v>
      </c>
      <c r="D1048" s="17">
        <v>1</v>
      </c>
      <c r="E1048" s="17">
        <v>1</v>
      </c>
      <c r="F1048" s="17">
        <v>49</v>
      </c>
      <c r="G1048" s="17">
        <v>45</v>
      </c>
      <c r="H1048" s="13" t="str" cm="1">
        <f t="array" ref="H1048">_xlfn.IFS(G1048&lt;=20,"0-20",G1048&lt;=30,"20-30",G1048&lt;=40,"30-40",G1048&lt;=50,"50-60",G1048&lt;=60,"60-70",G1048&lt;=70,"70-80",G1048&lt;=80,"80-90")</f>
        <v>50-60</v>
      </c>
      <c r="I1048" s="17">
        <v>2661</v>
      </c>
      <c r="J1048" s="13" t="str" cm="1">
        <f t="array" ref="J1048">_xlfn.IFS(K1048=1,"Divorciado",L1048=1,"Casado",M1048=1,"Solteiro",N1048=1,"Juntos",O1048=1,"Viuvo")</f>
        <v>Solteiro</v>
      </c>
      <c r="K1048" s="17">
        <v>0</v>
      </c>
      <c r="L1048" s="17">
        <v>0</v>
      </c>
      <c r="M1048" s="17">
        <v>1</v>
      </c>
      <c r="N1048" s="17">
        <v>0</v>
      </c>
      <c r="O1048" s="17">
        <v>0</v>
      </c>
      <c r="P1048" s="17">
        <v>0</v>
      </c>
      <c r="Q1048" s="17">
        <v>0</v>
      </c>
      <c r="R1048" s="17">
        <v>1</v>
      </c>
      <c r="S1048" s="17">
        <v>0</v>
      </c>
      <c r="T1048" s="17">
        <v>0</v>
      </c>
      <c r="U1048" s="17">
        <v>280</v>
      </c>
      <c r="V1048" s="13" t="str" cm="1">
        <f t="array" ref="V1048">_xlfn.IFS(U1048&lt;=250,"0-R$250",U1048&lt;=500,"251-R$500",U1048&lt;=750,"501-R$750",U1048&lt;=1000,"751-R$1000",U1048&lt;=1250,"1001-R$1250",U1048&lt;=1500,"1251-R$1500")</f>
        <v>251-R$500</v>
      </c>
      <c r="W1048" s="17">
        <v>7</v>
      </c>
      <c r="X1048" s="13" t="str" cm="1">
        <f t="array" ref="X1048">_xlfn.IFS(W1048 = 0, "0", W1048&lt;=20, "até R$20",W1048&lt;=40, "21 - R$40",W1048&lt;=60, "41- R$60",W1048&lt;=80, "61 - R$80", W1048&lt;=100, "81 - R$100",W1048&lt;=120, "101 - R$120",W1048&lt;=140, "121 - R$140", W1048&lt;=160, "141- R$160", W1048&lt;=180, "161 - R$180", W1048&lt;=200, "181-R$194")</f>
        <v>até R$20</v>
      </c>
      <c r="Y1048" s="17">
        <v>81</v>
      </c>
      <c r="Z1048" s="17">
        <v>20</v>
      </c>
      <c r="AA1048" s="17">
        <v>0</v>
      </c>
      <c r="AB1048" s="17">
        <v>27</v>
      </c>
      <c r="AC1048" s="17">
        <v>8</v>
      </c>
      <c r="AD1048" s="17">
        <v>6</v>
      </c>
      <c r="AE1048" s="17">
        <v>3</v>
      </c>
      <c r="AF1048" s="17">
        <v>5</v>
      </c>
      <c r="AG1048" s="17">
        <v>7</v>
      </c>
      <c r="AH1048" s="17">
        <v>0</v>
      </c>
      <c r="AI1048" s="17">
        <v>0</v>
      </c>
      <c r="AJ1048" s="17">
        <v>0</v>
      </c>
      <c r="AK1048" s="17">
        <v>0</v>
      </c>
      <c r="AL1048" s="17">
        <v>0</v>
      </c>
      <c r="AM1048" s="17">
        <v>0</v>
      </c>
      <c r="AN1048" s="17">
        <v>0</v>
      </c>
      <c r="AO1048" s="18">
        <v>0</v>
      </c>
      <c r="AP1048" s="17">
        <v>3</v>
      </c>
      <c r="AQ1048" s="17">
        <v>11</v>
      </c>
      <c r="AR1048" s="19">
        <v>361</v>
      </c>
      <c r="AS1048" s="19">
        <v>388</v>
      </c>
    </row>
    <row r="1049" spans="1:45" x14ac:dyDescent="0.25">
      <c r="A1049">
        <v>117</v>
      </c>
      <c r="B1049" s="11">
        <f t="shared" si="16"/>
        <v>71488</v>
      </c>
      <c r="C1049" s="16">
        <v>714880</v>
      </c>
      <c r="D1049" s="17">
        <v>0</v>
      </c>
      <c r="E1049" s="17">
        <v>0</v>
      </c>
      <c r="F1049" s="17">
        <v>87</v>
      </c>
      <c r="G1049" s="17">
        <v>55</v>
      </c>
      <c r="H1049" s="13" t="str" cm="1">
        <f t="array" ref="H1049">_xlfn.IFS(G1049&lt;=20,"0-20",G1049&lt;=30,"20-30",G1049&lt;=40,"30-40",G1049&lt;=50,"50-60",G1049&lt;=60,"60-70",G1049&lt;=70,"70-80",G1049&lt;=80,"80-90")</f>
        <v>60-70</v>
      </c>
      <c r="I1049" s="17">
        <v>2655</v>
      </c>
      <c r="J1049" s="13" t="str" cm="1">
        <f t="array" ref="J1049">_xlfn.IFS(K1049=1,"Divorciado",L1049=1,"Casado",M1049=1,"Solteiro",N1049=1,"Juntos",O1049=1,"Viuvo")</f>
        <v>Juntos</v>
      </c>
      <c r="K1049" s="17">
        <v>0</v>
      </c>
      <c r="L1049" s="17">
        <v>0</v>
      </c>
      <c r="M1049" s="17">
        <v>0</v>
      </c>
      <c r="N1049" s="17">
        <v>1</v>
      </c>
      <c r="O1049" s="17">
        <v>0</v>
      </c>
      <c r="P1049" s="17">
        <v>1</v>
      </c>
      <c r="Q1049" s="17">
        <v>0</v>
      </c>
      <c r="R1049" s="17">
        <v>0</v>
      </c>
      <c r="S1049" s="17">
        <v>0</v>
      </c>
      <c r="T1049" s="17">
        <v>0</v>
      </c>
      <c r="U1049" s="17">
        <v>162</v>
      </c>
      <c r="V1049" s="13" t="str" cm="1">
        <f t="array" ref="V1049">_xlfn.IFS(U1049&lt;=250,"0-R$250",U1049&lt;=500,"251-R$500",U1049&lt;=750,"501-R$750",U1049&lt;=1000,"751-R$1000",U1049&lt;=1250,"1001-R$1250",U1049&lt;=1500,"1251-R$1500")</f>
        <v>0-R$250</v>
      </c>
      <c r="W1049" s="17">
        <v>33</v>
      </c>
      <c r="X1049" s="13" t="str" cm="1">
        <f t="array" ref="X1049">_xlfn.IFS(W1049 = 0, "0", W1049&lt;=20, "até R$20",W1049&lt;=40, "21 - R$40",W1049&lt;=60, "41- R$60",W1049&lt;=80, "61 - R$80", W1049&lt;=100, "81 - R$100",W1049&lt;=120, "101 - R$120",W1049&lt;=140, "121 - R$140", W1049&lt;=160, "141- R$160", W1049&lt;=180, "161 - R$180", W1049&lt;=200, "181-R$194")</f>
        <v>21 - R$40</v>
      </c>
      <c r="Y1049" s="17">
        <v>124</v>
      </c>
      <c r="Z1049" s="17">
        <v>40</v>
      </c>
      <c r="AA1049" s="17">
        <v>28</v>
      </c>
      <c r="AB1049" s="17">
        <v>172</v>
      </c>
      <c r="AC1049" s="17">
        <v>2</v>
      </c>
      <c r="AD1049" s="17">
        <v>3</v>
      </c>
      <c r="AE1049" s="17">
        <v>4</v>
      </c>
      <c r="AF1049" s="17">
        <v>7</v>
      </c>
      <c r="AG1049" s="17">
        <v>1</v>
      </c>
      <c r="AH1049" s="17">
        <v>0</v>
      </c>
      <c r="AI1049" s="17">
        <v>0</v>
      </c>
      <c r="AJ1049" s="17">
        <v>0</v>
      </c>
      <c r="AK1049" s="17">
        <v>0</v>
      </c>
      <c r="AL1049" s="17">
        <v>0</v>
      </c>
      <c r="AM1049" s="17">
        <v>0</v>
      </c>
      <c r="AN1049" s="17">
        <v>0</v>
      </c>
      <c r="AO1049" s="18">
        <v>0</v>
      </c>
      <c r="AP1049" s="17">
        <v>3</v>
      </c>
      <c r="AQ1049" s="17">
        <v>11</v>
      </c>
      <c r="AR1049" s="19">
        <v>215</v>
      </c>
      <c r="AS1049" s="19">
        <v>387</v>
      </c>
    </row>
    <row r="1050" spans="1:45" x14ac:dyDescent="0.25">
      <c r="A1050">
        <v>343</v>
      </c>
      <c r="B1050" s="11">
        <f t="shared" si="16"/>
        <v>46681</v>
      </c>
      <c r="C1050" s="16">
        <v>466810</v>
      </c>
      <c r="D1050" s="17">
        <v>0</v>
      </c>
      <c r="E1050" s="17">
        <v>2</v>
      </c>
      <c r="F1050" s="17">
        <v>52</v>
      </c>
      <c r="G1050" s="17">
        <v>72</v>
      </c>
      <c r="H1050" s="13" t="str" cm="1">
        <f t="array" ref="H1050">_xlfn.IFS(G1050&lt;=20,"0-20",G1050&lt;=30,"20-30",G1050&lt;=40,"30-40",G1050&lt;=50,"50-60",G1050&lt;=60,"60-70",G1050&lt;=70,"70-80",G1050&lt;=80,"80-90")</f>
        <v>80-90</v>
      </c>
      <c r="I1050" s="17">
        <v>2423</v>
      </c>
      <c r="J1050" s="13" t="str" cm="1">
        <f t="array" ref="J1050">_xlfn.IFS(K1050=1,"Divorciado",L1050=1,"Casado",M1050=1,"Solteiro",N1050=1,"Juntos",O1050=1,"Viuvo")</f>
        <v>Juntos</v>
      </c>
      <c r="K1050" s="17">
        <v>0</v>
      </c>
      <c r="L1050" s="17">
        <v>0</v>
      </c>
      <c r="M1050" s="17">
        <v>0</v>
      </c>
      <c r="N1050" s="17">
        <v>1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1</v>
      </c>
      <c r="U1050" s="17">
        <v>269</v>
      </c>
      <c r="V1050" s="13" t="str" cm="1">
        <f t="array" ref="V1050">_xlfn.IFS(U1050&lt;=250,"0-R$250",U1050&lt;=500,"251-R$500",U1050&lt;=750,"501-R$750",U1050&lt;=1000,"751-R$1000",U1050&lt;=1250,"1001-R$1250",U1050&lt;=1500,"1251-R$1500")</f>
        <v>251-R$500</v>
      </c>
      <c r="W1050" s="17">
        <v>15</v>
      </c>
      <c r="X1050" s="13" t="str" cm="1">
        <f t="array" ref="X1050">_xlfn.IFS(W1050 = 0, "0", W1050&lt;=20, "até R$20",W1050&lt;=40, "21 - R$40",W1050&lt;=60, "41- R$60",W1050&lt;=80, "61 - R$80", W1050&lt;=100, "81 - R$100",W1050&lt;=120, "101 - R$120",W1050&lt;=140, "121 - R$140", W1050&lt;=160, "141- R$160", W1050&lt;=180, "161 - R$180", W1050&lt;=200, "181-R$194")</f>
        <v>até R$20</v>
      </c>
      <c r="Y1050" s="17">
        <v>69</v>
      </c>
      <c r="Z1050" s="17">
        <v>15</v>
      </c>
      <c r="AA1050" s="17">
        <v>19</v>
      </c>
      <c r="AB1050" s="17">
        <v>38</v>
      </c>
      <c r="AC1050" s="17">
        <v>2</v>
      </c>
      <c r="AD1050" s="17">
        <v>4</v>
      </c>
      <c r="AE1050" s="17">
        <v>6</v>
      </c>
      <c r="AF1050" s="17">
        <v>4</v>
      </c>
      <c r="AG1050" s="17">
        <v>5</v>
      </c>
      <c r="AH1050" s="17">
        <v>0</v>
      </c>
      <c r="AI1050" s="17">
        <v>0</v>
      </c>
      <c r="AJ1050" s="17">
        <v>0</v>
      </c>
      <c r="AK1050" s="17">
        <v>0</v>
      </c>
      <c r="AL1050" s="17">
        <v>0</v>
      </c>
      <c r="AM1050" s="17">
        <v>0</v>
      </c>
      <c r="AN1050" s="17">
        <v>0</v>
      </c>
      <c r="AO1050" s="18">
        <v>0</v>
      </c>
      <c r="AP1050" s="17">
        <v>3</v>
      </c>
      <c r="AQ1050" s="17">
        <v>11</v>
      </c>
      <c r="AR1050" s="19">
        <v>349</v>
      </c>
      <c r="AS1050" s="19">
        <v>387</v>
      </c>
    </row>
    <row r="1051" spans="1:45" x14ac:dyDescent="0.25">
      <c r="A1051">
        <v>463</v>
      </c>
      <c r="B1051" s="11">
        <f t="shared" si="16"/>
        <v>41124</v>
      </c>
      <c r="C1051" s="16">
        <v>411240</v>
      </c>
      <c r="D1051" s="17">
        <v>1</v>
      </c>
      <c r="E1051" s="17">
        <v>0</v>
      </c>
      <c r="F1051" s="17">
        <v>41</v>
      </c>
      <c r="G1051" s="17">
        <v>43</v>
      </c>
      <c r="H1051" s="13" t="str" cm="1">
        <f t="array" ref="H1051">_xlfn.IFS(G1051&lt;=20,"0-20",G1051&lt;=30,"20-30",G1051&lt;=40,"30-40",G1051&lt;=50,"50-60",G1051&lt;=60,"60-70",G1051&lt;=70,"70-80",G1051&lt;=80,"80-90")</f>
        <v>50-60</v>
      </c>
      <c r="I1051" s="17">
        <v>2765</v>
      </c>
      <c r="J1051" s="13" t="str" cm="1">
        <f t="array" ref="J1051">_xlfn.IFS(K1051=1,"Divorciado",L1051=1,"Casado",M1051=1,"Solteiro",N1051=1,"Juntos",O1051=1,"Viuvo")</f>
        <v>Casado</v>
      </c>
      <c r="K1051" s="17">
        <v>0</v>
      </c>
      <c r="L1051" s="17">
        <v>1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1</v>
      </c>
      <c r="S1051" s="17">
        <v>0</v>
      </c>
      <c r="T1051" s="17">
        <v>0</v>
      </c>
      <c r="U1051" s="17">
        <v>281</v>
      </c>
      <c r="V1051" s="13" t="str" cm="1">
        <f t="array" ref="V1051">_xlfn.IFS(U1051&lt;=250,"0-R$250",U1051&lt;=500,"251-R$500",U1051&lt;=750,"501-R$750",U1051&lt;=1000,"751-R$1000",U1051&lt;=1250,"1001-R$1250",U1051&lt;=1500,"1251-R$1500")</f>
        <v>251-R$500</v>
      </c>
      <c r="W1051" s="17">
        <v>7</v>
      </c>
      <c r="X1051" s="13" t="str" cm="1">
        <f t="array" ref="X1051">_xlfn.IFS(W1051 = 0, "0", W1051&lt;=20, "até R$20",W1051&lt;=40, "21 - R$40",W1051&lt;=60, "41- R$60",W1051&lt;=80, "61 - R$80", W1051&lt;=100, "81 - R$100",W1051&lt;=120, "101 - R$120",W1051&lt;=140, "121 - R$140", W1051&lt;=160, "141- R$160", W1051&lt;=180, "161 - R$180", W1051&lt;=200, "181-R$194")</f>
        <v>até R$20</v>
      </c>
      <c r="Y1051" s="17">
        <v>84</v>
      </c>
      <c r="Z1051" s="17">
        <v>15</v>
      </c>
      <c r="AA1051" s="17">
        <v>0</v>
      </c>
      <c r="AB1051" s="17">
        <v>119</v>
      </c>
      <c r="AC1051" s="17">
        <v>7</v>
      </c>
      <c r="AD1051" s="17">
        <v>7</v>
      </c>
      <c r="AE1051" s="17">
        <v>3</v>
      </c>
      <c r="AF1051" s="17">
        <v>4</v>
      </c>
      <c r="AG1051" s="17">
        <v>8</v>
      </c>
      <c r="AH1051" s="17">
        <v>0</v>
      </c>
      <c r="AI1051" s="17">
        <v>0</v>
      </c>
      <c r="AJ1051" s="17">
        <v>0</v>
      </c>
      <c r="AK1051" s="17">
        <v>0</v>
      </c>
      <c r="AL1051" s="17">
        <v>0</v>
      </c>
      <c r="AM1051" s="17">
        <v>0</v>
      </c>
      <c r="AN1051" s="17">
        <v>0</v>
      </c>
      <c r="AO1051" s="18">
        <v>0</v>
      </c>
      <c r="AP1051" s="17">
        <v>3</v>
      </c>
      <c r="AQ1051" s="17">
        <v>11</v>
      </c>
      <c r="AR1051" s="19">
        <v>268</v>
      </c>
      <c r="AS1051" s="19">
        <v>387</v>
      </c>
    </row>
    <row r="1052" spans="1:45" x14ac:dyDescent="0.25">
      <c r="A1052">
        <v>1610</v>
      </c>
      <c r="B1052" s="11">
        <f t="shared" si="16"/>
        <v>46681</v>
      </c>
      <c r="C1052" s="12">
        <v>466810</v>
      </c>
      <c r="D1052" s="13">
        <v>0</v>
      </c>
      <c r="E1052" s="13">
        <v>2</v>
      </c>
      <c r="F1052" s="13">
        <v>52</v>
      </c>
      <c r="G1052" s="13">
        <v>72</v>
      </c>
      <c r="H1052" s="13" t="str" cm="1">
        <f t="array" ref="H1052">_xlfn.IFS(G1052&lt;=20,"0-20",G1052&lt;=30,"20-30",G1052&lt;=40,"30-40",G1052&lt;=50,"50-60",G1052&lt;=60,"60-70",G1052&lt;=70,"70-80",G1052&lt;=80,"80-90")</f>
        <v>80-90</v>
      </c>
      <c r="I1052" s="13">
        <v>2423</v>
      </c>
      <c r="J1052" s="13" t="str" cm="1">
        <f t="array" ref="J1052">_xlfn.IFS(K1052=1,"Divorciado",L1052=1,"Casado",M1052=1,"Solteiro",N1052=1,"Juntos",O1052=1,"Viuvo")</f>
        <v>Juntos</v>
      </c>
      <c r="K1052" s="13">
        <v>0</v>
      </c>
      <c r="L1052" s="13">
        <v>0</v>
      </c>
      <c r="M1052" s="13">
        <v>0</v>
      </c>
      <c r="N1052" s="13">
        <v>1</v>
      </c>
      <c r="O1052" s="13">
        <v>0</v>
      </c>
      <c r="P1052" s="13">
        <v>0</v>
      </c>
      <c r="Q1052" s="13">
        <v>0</v>
      </c>
      <c r="R1052" s="13">
        <v>0</v>
      </c>
      <c r="S1052" s="13">
        <v>0</v>
      </c>
      <c r="T1052" s="13">
        <v>1</v>
      </c>
      <c r="U1052" s="13">
        <v>269</v>
      </c>
      <c r="V1052" s="13" t="str" cm="1">
        <f t="array" ref="V1052">_xlfn.IFS(U1052&lt;=250,"0-R$250",U1052&lt;=500,"251-R$500",U1052&lt;=750,"501-R$750",U1052&lt;=1000,"751-R$1000",U1052&lt;=1250,"1001-R$1250",U1052&lt;=1500,"1251-R$1500")</f>
        <v>251-R$500</v>
      </c>
      <c r="W1052" s="13">
        <v>15</v>
      </c>
      <c r="X1052" s="13" t="str" cm="1">
        <f t="array" ref="X1052">_xlfn.IFS(W1052 = 0, "0", W1052&lt;=20, "até R$20",W1052&lt;=40, "21 - R$40",W1052&lt;=60, "41- R$60",W1052&lt;=80, "61 - R$80", W1052&lt;=100, "81 - R$100",W1052&lt;=120, "101 - R$120",W1052&lt;=140, "121 - R$140", W1052&lt;=160, "141- R$160", W1052&lt;=180, "161 - R$180", W1052&lt;=200, "181-R$194")</f>
        <v>até R$20</v>
      </c>
      <c r="Y1052" s="13">
        <v>69</v>
      </c>
      <c r="Z1052" s="13">
        <v>15</v>
      </c>
      <c r="AA1052" s="13">
        <v>19</v>
      </c>
      <c r="AB1052" s="13">
        <v>38</v>
      </c>
      <c r="AC1052" s="13">
        <v>2</v>
      </c>
      <c r="AD1052" s="13">
        <v>4</v>
      </c>
      <c r="AE1052" s="13">
        <v>6</v>
      </c>
      <c r="AF1052" s="13">
        <v>4</v>
      </c>
      <c r="AG1052" s="13">
        <v>5</v>
      </c>
      <c r="AH1052" s="13">
        <v>0</v>
      </c>
      <c r="AI1052" s="13">
        <v>0</v>
      </c>
      <c r="AJ1052" s="13">
        <v>0</v>
      </c>
      <c r="AK1052" s="13">
        <v>0</v>
      </c>
      <c r="AL1052" s="13">
        <v>0</v>
      </c>
      <c r="AM1052" s="13">
        <v>0</v>
      </c>
      <c r="AN1052" s="13">
        <v>0</v>
      </c>
      <c r="AO1052" s="14">
        <v>0</v>
      </c>
      <c r="AP1052" s="13">
        <v>3</v>
      </c>
      <c r="AQ1052" s="13">
        <v>11</v>
      </c>
      <c r="AR1052" s="15">
        <v>349</v>
      </c>
      <c r="AS1052" s="15">
        <v>387</v>
      </c>
    </row>
    <row r="1053" spans="1:45" x14ac:dyDescent="0.25">
      <c r="A1053">
        <v>846</v>
      </c>
      <c r="B1053" s="11">
        <f t="shared" si="16"/>
        <v>57906</v>
      </c>
      <c r="C1053" s="12">
        <v>579060</v>
      </c>
      <c r="D1053" s="13">
        <v>0</v>
      </c>
      <c r="E1053" s="13">
        <v>1</v>
      </c>
      <c r="F1053" s="13">
        <v>29</v>
      </c>
      <c r="G1053" s="13">
        <v>47</v>
      </c>
      <c r="H1053" s="13" t="str" cm="1">
        <f t="array" ref="H1053">_xlfn.IFS(G1053&lt;=20,"0-20",G1053&lt;=30,"20-30",G1053&lt;=40,"30-40",G1053&lt;=50,"50-60",G1053&lt;=60,"60-70",G1053&lt;=70,"70-80",G1053&lt;=80,"80-90")</f>
        <v>50-60</v>
      </c>
      <c r="I1053" s="13">
        <v>2542</v>
      </c>
      <c r="J1053" s="13" t="str" cm="1">
        <f t="array" ref="J1053">_xlfn.IFS(K1053=1,"Divorciado",L1053=1,"Casado",M1053=1,"Solteiro",N1053=1,"Juntos",O1053=1,"Viuvo")</f>
        <v>Juntos</v>
      </c>
      <c r="K1053" s="13">
        <v>0</v>
      </c>
      <c r="L1053" s="13">
        <v>0</v>
      </c>
      <c r="M1053" s="13">
        <v>0</v>
      </c>
      <c r="N1053" s="13">
        <v>1</v>
      </c>
      <c r="O1053" s="13">
        <v>0</v>
      </c>
      <c r="P1053" s="13">
        <v>0</v>
      </c>
      <c r="Q1053" s="13">
        <v>0</v>
      </c>
      <c r="R1053" s="13">
        <v>0</v>
      </c>
      <c r="S1053" s="13">
        <v>0</v>
      </c>
      <c r="T1053" s="13">
        <v>1</v>
      </c>
      <c r="U1053" s="13">
        <v>243</v>
      </c>
      <c r="V1053" s="13" t="str" cm="1">
        <f t="array" ref="V1053">_xlfn.IFS(U1053&lt;=250,"0-R$250",U1053&lt;=500,"251-R$500",U1053&lt;=750,"501-R$750",U1053&lt;=1000,"751-R$1000",U1053&lt;=1250,"1001-R$1250",U1053&lt;=1500,"1251-R$1500")</f>
        <v>0-R$250</v>
      </c>
      <c r="W1053" s="13">
        <v>11</v>
      </c>
      <c r="X1053" s="13" t="str" cm="1">
        <f t="array" ref="X1053">_xlfn.IFS(W1053 = 0, "0", W1053&lt;=20, "até R$20",W1053&lt;=40, "21 - R$40",W1053&lt;=60, "41- R$60",W1053&lt;=80, "61 - R$80", W1053&lt;=100, "81 - R$100",W1053&lt;=120, "101 - R$120",W1053&lt;=140, "121 - R$140", W1053&lt;=160, "141- R$160", W1053&lt;=180, "161 - R$180", W1053&lt;=200, "181-R$194")</f>
        <v>até R$20</v>
      </c>
      <c r="Y1053" s="13">
        <v>119</v>
      </c>
      <c r="Z1053" s="13">
        <v>10</v>
      </c>
      <c r="AA1053" s="13">
        <v>3</v>
      </c>
      <c r="AB1053" s="13">
        <v>15</v>
      </c>
      <c r="AC1053" s="13">
        <v>3</v>
      </c>
      <c r="AD1053" s="13">
        <v>4</v>
      </c>
      <c r="AE1053" s="13">
        <v>2</v>
      </c>
      <c r="AF1053" s="13">
        <v>8</v>
      </c>
      <c r="AG1053" s="13">
        <v>4</v>
      </c>
      <c r="AH1053" s="13">
        <v>0</v>
      </c>
      <c r="AI1053" s="13">
        <v>0</v>
      </c>
      <c r="AJ1053" s="13">
        <v>0</v>
      </c>
      <c r="AK1053" s="13">
        <v>0</v>
      </c>
      <c r="AL1053" s="13">
        <v>0</v>
      </c>
      <c r="AM1053" s="13">
        <v>0</v>
      </c>
      <c r="AN1053" s="13">
        <v>0</v>
      </c>
      <c r="AO1053" s="14">
        <v>0</v>
      </c>
      <c r="AP1053" s="13">
        <v>3</v>
      </c>
      <c r="AQ1053" s="13">
        <v>11</v>
      </c>
      <c r="AR1053" s="15">
        <v>371</v>
      </c>
      <c r="AS1053" s="15">
        <v>386</v>
      </c>
    </row>
    <row r="1054" spans="1:45" x14ac:dyDescent="0.25">
      <c r="A1054">
        <v>847</v>
      </c>
      <c r="B1054" s="11">
        <f t="shared" si="16"/>
        <v>43456</v>
      </c>
      <c r="C1054" s="16">
        <v>434560</v>
      </c>
      <c r="D1054" s="17">
        <v>0</v>
      </c>
      <c r="E1054" s="17">
        <v>1</v>
      </c>
      <c r="F1054" s="17">
        <v>0</v>
      </c>
      <c r="G1054" s="17">
        <v>54</v>
      </c>
      <c r="H1054" s="13" t="str" cm="1">
        <f t="array" ref="H1054">_xlfn.IFS(G1054&lt;=20,"0-20",G1054&lt;=30,"20-30",G1054&lt;=40,"30-40",G1054&lt;=50,"50-60",G1054&lt;=60,"60-70",G1054&lt;=70,"70-80",G1054&lt;=80,"80-90")</f>
        <v>60-70</v>
      </c>
      <c r="I1054" s="17">
        <v>2619</v>
      </c>
      <c r="J1054" s="13" t="str" cm="1">
        <f t="array" ref="J1054">_xlfn.IFS(K1054=1,"Divorciado",L1054=1,"Casado",M1054=1,"Solteiro",N1054=1,"Juntos",O1054=1,"Viuvo")</f>
        <v>Solteiro</v>
      </c>
      <c r="K1054" s="17">
        <v>0</v>
      </c>
      <c r="L1054" s="17">
        <v>0</v>
      </c>
      <c r="M1054" s="17">
        <v>1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1</v>
      </c>
      <c r="T1054" s="17">
        <v>0</v>
      </c>
      <c r="U1054" s="17">
        <v>275</v>
      </c>
      <c r="V1054" s="13" t="str" cm="1">
        <f t="array" ref="V1054">_xlfn.IFS(U1054&lt;=250,"0-R$250",U1054&lt;=500,"251-R$500",U1054&lt;=750,"501-R$750",U1054&lt;=1000,"751-R$1000",U1054&lt;=1250,"1001-R$1250",U1054&lt;=1500,"1251-R$1500")</f>
        <v>251-R$500</v>
      </c>
      <c r="W1054" s="17">
        <v>11</v>
      </c>
      <c r="X1054" s="13" t="str" cm="1">
        <f t="array" ref="X1054">_xlfn.IFS(W1054 = 0, "0", W1054&lt;=20, "até R$20",W1054&lt;=40, "21 - R$40",W1054&lt;=60, "41- R$60",W1054&lt;=80, "61 - R$80", W1054&lt;=100, "81 - R$100",W1054&lt;=120, "101 - R$120",W1054&lt;=140, "121 - R$140", W1054&lt;=160, "141- R$160", W1054&lt;=180, "161 - R$180", W1054&lt;=200, "181-R$194")</f>
        <v>até R$20</v>
      </c>
      <c r="Y1054" s="17">
        <v>68</v>
      </c>
      <c r="Z1054" s="17">
        <v>25</v>
      </c>
      <c r="AA1054" s="17">
        <v>7</v>
      </c>
      <c r="AB1054" s="17">
        <v>7</v>
      </c>
      <c r="AC1054" s="17">
        <v>3</v>
      </c>
      <c r="AD1054" s="17">
        <v>5</v>
      </c>
      <c r="AE1054" s="17">
        <v>1</v>
      </c>
      <c r="AF1054" s="17">
        <v>8</v>
      </c>
      <c r="AG1054" s="17">
        <v>5</v>
      </c>
      <c r="AH1054" s="17">
        <v>0</v>
      </c>
      <c r="AI1054" s="17">
        <v>0</v>
      </c>
      <c r="AJ1054" s="17">
        <v>0</v>
      </c>
      <c r="AK1054" s="17">
        <v>0</v>
      </c>
      <c r="AL1054" s="17">
        <v>0</v>
      </c>
      <c r="AM1054" s="17">
        <v>0</v>
      </c>
      <c r="AN1054" s="17">
        <v>0</v>
      </c>
      <c r="AO1054" s="18">
        <v>0</v>
      </c>
      <c r="AP1054" s="17">
        <v>3</v>
      </c>
      <c r="AQ1054" s="17">
        <v>11</v>
      </c>
      <c r="AR1054" s="19">
        <v>379</v>
      </c>
      <c r="AS1054" s="19">
        <v>386</v>
      </c>
    </row>
    <row r="1055" spans="1:45" x14ac:dyDescent="0.25">
      <c r="A1055">
        <v>1478</v>
      </c>
      <c r="B1055" s="11">
        <f t="shared" si="16"/>
        <v>42014</v>
      </c>
      <c r="C1055" s="12">
        <v>420140</v>
      </c>
      <c r="D1055" s="13">
        <v>1</v>
      </c>
      <c r="E1055" s="13">
        <v>0</v>
      </c>
      <c r="F1055" s="13">
        <v>56</v>
      </c>
      <c r="G1055" s="13">
        <v>43</v>
      </c>
      <c r="H1055" s="13" t="str" cm="1">
        <f t="array" ref="H1055">_xlfn.IFS(G1055&lt;=20,"0-20",G1055&lt;=30,"20-30",G1055&lt;=40,"30-40",G1055&lt;=50,"50-60",G1055&lt;=60,"60-70",G1055&lt;=70,"70-80",G1055&lt;=80,"80-90")</f>
        <v>50-60</v>
      </c>
      <c r="I1055" s="13">
        <v>2840</v>
      </c>
      <c r="J1055" s="13" t="str" cm="1">
        <f t="array" ref="J1055">_xlfn.IFS(K1055=1,"Divorciado",L1055=1,"Casado",M1055=1,"Solteiro",N1055=1,"Juntos",O1055=1,"Viuvo")</f>
        <v>Casado</v>
      </c>
      <c r="K1055" s="13">
        <v>0</v>
      </c>
      <c r="L1055" s="13">
        <v>1</v>
      </c>
      <c r="M1055" s="13">
        <v>0</v>
      </c>
      <c r="N1055" s="13">
        <v>0</v>
      </c>
      <c r="O1055" s="13">
        <v>0</v>
      </c>
      <c r="P1055" s="13">
        <v>0</v>
      </c>
      <c r="Q1055" s="13">
        <v>0</v>
      </c>
      <c r="R1055" s="13">
        <v>1</v>
      </c>
      <c r="S1055" s="13">
        <v>0</v>
      </c>
      <c r="T1055" s="13">
        <v>0</v>
      </c>
      <c r="U1055" s="13">
        <v>244</v>
      </c>
      <c r="V1055" s="13" t="str" cm="1">
        <f t="array" ref="V1055">_xlfn.IFS(U1055&lt;=250,"0-R$250",U1055&lt;=500,"251-R$500",U1055&lt;=750,"501-R$750",U1055&lt;=1000,"751-R$1000",U1055&lt;=1250,"1001-R$1250",U1055&lt;=1500,"1251-R$1500")</f>
        <v>0-R$250</v>
      </c>
      <c r="W1055" s="13">
        <v>15</v>
      </c>
      <c r="X1055" s="13" t="str" cm="1">
        <f t="array" ref="X1055">_xlfn.IFS(W1055 = 0, "0", W1055&lt;=20, "até R$20",W1055&lt;=40, "21 - R$40",W1055&lt;=60, "41- R$60",W1055&lt;=80, "61 - R$80", W1055&lt;=100, "81 - R$100",W1055&lt;=120, "101 - R$120",W1055&lt;=140, "121 - R$140", W1055&lt;=160, "141- R$160", W1055&lt;=180, "161 - R$180", W1055&lt;=200, "181-R$194")</f>
        <v>até R$20</v>
      </c>
      <c r="Y1055" s="13">
        <v>108</v>
      </c>
      <c r="Z1055" s="13">
        <v>4</v>
      </c>
      <c r="AA1055" s="13">
        <v>15</v>
      </c>
      <c r="AB1055" s="13">
        <v>50</v>
      </c>
      <c r="AC1055" s="13">
        <v>6</v>
      </c>
      <c r="AD1055" s="13">
        <v>7</v>
      </c>
      <c r="AE1055" s="13">
        <v>1</v>
      </c>
      <c r="AF1055" s="13">
        <v>6</v>
      </c>
      <c r="AG1055" s="13">
        <v>8</v>
      </c>
      <c r="AH1055" s="13">
        <v>0</v>
      </c>
      <c r="AI1055" s="13">
        <v>0</v>
      </c>
      <c r="AJ1055" s="13">
        <v>0</v>
      </c>
      <c r="AK1055" s="13">
        <v>0</v>
      </c>
      <c r="AL1055" s="13">
        <v>0</v>
      </c>
      <c r="AM1055" s="13">
        <v>0</v>
      </c>
      <c r="AN1055" s="13">
        <v>1</v>
      </c>
      <c r="AO1055" s="14">
        <v>0</v>
      </c>
      <c r="AP1055" s="13">
        <v>3</v>
      </c>
      <c r="AQ1055" s="13">
        <v>11</v>
      </c>
      <c r="AR1055" s="15">
        <v>336</v>
      </c>
      <c r="AS1055" s="15">
        <v>386</v>
      </c>
    </row>
    <row r="1056" spans="1:45" x14ac:dyDescent="0.25">
      <c r="A1056">
        <v>1550</v>
      </c>
      <c r="B1056" s="11">
        <f t="shared" si="16"/>
        <v>42014</v>
      </c>
      <c r="C1056" s="12">
        <v>420140</v>
      </c>
      <c r="D1056" s="13">
        <v>1</v>
      </c>
      <c r="E1056" s="13">
        <v>0</v>
      </c>
      <c r="F1056" s="13">
        <v>56</v>
      </c>
      <c r="G1056" s="13">
        <v>43</v>
      </c>
      <c r="H1056" s="13" t="str" cm="1">
        <f t="array" ref="H1056">_xlfn.IFS(G1056&lt;=20,"0-20",G1056&lt;=30,"20-30",G1056&lt;=40,"30-40",G1056&lt;=50,"50-60",G1056&lt;=60,"60-70",G1056&lt;=70,"70-80",G1056&lt;=80,"80-90")</f>
        <v>50-60</v>
      </c>
      <c r="I1056" s="13">
        <v>2840</v>
      </c>
      <c r="J1056" s="13" t="str" cm="1">
        <f t="array" ref="J1056">_xlfn.IFS(K1056=1,"Divorciado",L1056=1,"Casado",M1056=1,"Solteiro",N1056=1,"Juntos",O1056=1,"Viuvo")</f>
        <v>Casado</v>
      </c>
      <c r="K1056" s="13">
        <v>0</v>
      </c>
      <c r="L1056" s="13">
        <v>1</v>
      </c>
      <c r="M1056" s="13">
        <v>0</v>
      </c>
      <c r="N1056" s="13">
        <v>0</v>
      </c>
      <c r="O1056" s="13">
        <v>0</v>
      </c>
      <c r="P1056" s="13">
        <v>0</v>
      </c>
      <c r="Q1056" s="13">
        <v>0</v>
      </c>
      <c r="R1056" s="13">
        <v>1</v>
      </c>
      <c r="S1056" s="13">
        <v>0</v>
      </c>
      <c r="T1056" s="13">
        <v>0</v>
      </c>
      <c r="U1056" s="13">
        <v>244</v>
      </c>
      <c r="V1056" s="13" t="str" cm="1">
        <f t="array" ref="V1056">_xlfn.IFS(U1056&lt;=250,"0-R$250",U1056&lt;=500,"251-R$500",U1056&lt;=750,"501-R$750",U1056&lt;=1000,"751-R$1000",U1056&lt;=1250,"1001-R$1250",U1056&lt;=1500,"1251-R$1500")</f>
        <v>0-R$250</v>
      </c>
      <c r="W1056" s="13">
        <v>15</v>
      </c>
      <c r="X1056" s="13" t="str" cm="1">
        <f t="array" ref="X1056">_xlfn.IFS(W1056 = 0, "0", W1056&lt;=20, "até R$20",W1056&lt;=40, "21 - R$40",W1056&lt;=60, "41- R$60",W1056&lt;=80, "61 - R$80", W1056&lt;=100, "81 - R$100",W1056&lt;=120, "101 - R$120",W1056&lt;=140, "121 - R$140", W1056&lt;=160, "141- R$160", W1056&lt;=180, "161 - R$180", W1056&lt;=200, "181-R$194")</f>
        <v>até R$20</v>
      </c>
      <c r="Y1056" s="13">
        <v>108</v>
      </c>
      <c r="Z1056" s="13">
        <v>4</v>
      </c>
      <c r="AA1056" s="13">
        <v>15</v>
      </c>
      <c r="AB1056" s="13">
        <v>50</v>
      </c>
      <c r="AC1056" s="13">
        <v>6</v>
      </c>
      <c r="AD1056" s="13">
        <v>7</v>
      </c>
      <c r="AE1056" s="13">
        <v>1</v>
      </c>
      <c r="AF1056" s="13">
        <v>6</v>
      </c>
      <c r="AG1056" s="13">
        <v>8</v>
      </c>
      <c r="AH1056" s="13">
        <v>0</v>
      </c>
      <c r="AI1056" s="13">
        <v>0</v>
      </c>
      <c r="AJ1056" s="13">
        <v>0</v>
      </c>
      <c r="AK1056" s="13">
        <v>0</v>
      </c>
      <c r="AL1056" s="13">
        <v>0</v>
      </c>
      <c r="AM1056" s="13">
        <v>0</v>
      </c>
      <c r="AN1056" s="13">
        <v>1</v>
      </c>
      <c r="AO1056" s="14">
        <v>0</v>
      </c>
      <c r="AP1056" s="13">
        <v>3</v>
      </c>
      <c r="AQ1056" s="13">
        <v>11</v>
      </c>
      <c r="AR1056" s="15">
        <v>336</v>
      </c>
      <c r="AS1056" s="15">
        <v>386</v>
      </c>
    </row>
    <row r="1057" spans="1:45" x14ac:dyDescent="0.25">
      <c r="A1057">
        <v>1877</v>
      </c>
      <c r="B1057" s="11">
        <f t="shared" si="16"/>
        <v>73395</v>
      </c>
      <c r="C1057" s="16">
        <v>733950</v>
      </c>
      <c r="D1057" s="17">
        <v>0</v>
      </c>
      <c r="E1057" s="17">
        <v>0</v>
      </c>
      <c r="F1057" s="17">
        <v>94</v>
      </c>
      <c r="G1057" s="17">
        <v>33</v>
      </c>
      <c r="H1057" s="13" t="str" cm="1">
        <f t="array" ref="H1057">_xlfn.IFS(G1057&lt;=20,"0-20",G1057&lt;=30,"20-30",G1057&lt;=40,"30-40",G1057&lt;=50,"50-60",G1057&lt;=60,"60-70",G1057&lt;=70,"70-80",G1057&lt;=80,"80-90")</f>
        <v>30-40</v>
      </c>
      <c r="I1057" s="17">
        <v>2262</v>
      </c>
      <c r="J1057" s="13" t="str" cm="1">
        <f t="array" ref="J1057">_xlfn.IFS(K1057=1,"Divorciado",L1057=1,"Casado",M1057=1,"Solteiro",N1057=1,"Juntos",O1057=1,"Viuvo")</f>
        <v>Casado</v>
      </c>
      <c r="K1057" s="17">
        <v>0</v>
      </c>
      <c r="L1057" s="17">
        <v>1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1</v>
      </c>
      <c r="T1057" s="17">
        <v>0</v>
      </c>
      <c r="U1057" s="17">
        <v>272</v>
      </c>
      <c r="V1057" s="13" t="str" cm="1">
        <f t="array" ref="V1057">_xlfn.IFS(U1057&lt;=250,"0-R$250",U1057&lt;=500,"251-R$500",U1057&lt;=750,"501-R$750",U1057&lt;=1000,"751-R$1000",U1057&lt;=1250,"1001-R$1250",U1057&lt;=1500,"1251-R$1500")</f>
        <v>251-R$500</v>
      </c>
      <c r="W1057" s="17">
        <v>7</v>
      </c>
      <c r="X1057" s="13" t="str" cm="1">
        <f t="array" ref="X1057">_xlfn.IFS(W1057 = 0, "0", W1057&lt;=20, "até R$20",W1057&lt;=40, "21 - R$40",W1057&lt;=60, "41- R$60",W1057&lt;=80, "61 - R$80", W1057&lt;=100, "81 - R$100",W1057&lt;=120, "101 - R$120",W1057&lt;=140, "121 - R$140", W1057&lt;=160, "141- R$160", W1057&lt;=180, "161 - R$180", W1057&lt;=200, "181-R$194")</f>
        <v>até R$20</v>
      </c>
      <c r="Y1057" s="17">
        <v>80</v>
      </c>
      <c r="Z1057" s="17">
        <v>20</v>
      </c>
      <c r="AA1057" s="17">
        <v>7</v>
      </c>
      <c r="AB1057" s="17">
        <v>11</v>
      </c>
      <c r="AC1057" s="17">
        <v>1</v>
      </c>
      <c r="AD1057" s="17">
        <v>4</v>
      </c>
      <c r="AE1057" s="17">
        <v>4</v>
      </c>
      <c r="AF1057" s="17">
        <v>6</v>
      </c>
      <c r="AG1057" s="17">
        <v>2</v>
      </c>
      <c r="AH1057" s="17">
        <v>0</v>
      </c>
      <c r="AI1057" s="17">
        <v>0</v>
      </c>
      <c r="AJ1057" s="17">
        <v>0</v>
      </c>
      <c r="AK1057" s="17">
        <v>0</v>
      </c>
      <c r="AL1057" s="17">
        <v>0</v>
      </c>
      <c r="AM1057" s="17">
        <v>0</v>
      </c>
      <c r="AN1057" s="17">
        <v>0</v>
      </c>
      <c r="AO1057" s="18">
        <v>0</v>
      </c>
      <c r="AP1057" s="17">
        <v>3</v>
      </c>
      <c r="AQ1057" s="17">
        <v>11</v>
      </c>
      <c r="AR1057" s="19">
        <v>375</v>
      </c>
      <c r="AS1057" s="19">
        <v>386</v>
      </c>
    </row>
    <row r="1058" spans="1:45" x14ac:dyDescent="0.25">
      <c r="A1058">
        <v>370</v>
      </c>
      <c r="B1058" s="11">
        <f t="shared" si="16"/>
        <v>43795</v>
      </c>
      <c r="C1058" s="12">
        <v>437950</v>
      </c>
      <c r="D1058" s="13">
        <v>0</v>
      </c>
      <c r="E1058" s="13">
        <v>1</v>
      </c>
      <c r="F1058" s="13">
        <v>11</v>
      </c>
      <c r="G1058" s="13">
        <v>52</v>
      </c>
      <c r="H1058" s="13" t="str" cm="1">
        <f t="array" ref="H1058">_xlfn.IFS(G1058&lt;=20,"0-20",G1058&lt;=30,"20-30",G1058&lt;=40,"30-40",G1058&lt;=50,"50-60",G1058&lt;=60,"60-70",G1058&lt;=70,"70-80",G1058&lt;=80,"80-90")</f>
        <v>60-70</v>
      </c>
      <c r="I1058" s="13">
        <v>2415</v>
      </c>
      <c r="J1058" s="13" t="str" cm="1">
        <f t="array" ref="J1058">_xlfn.IFS(K1058=1,"Divorciado",L1058=1,"Casado",M1058=1,"Solteiro",N1058=1,"Juntos",O1058=1,"Viuvo")</f>
        <v>Juntos</v>
      </c>
      <c r="K1058" s="13">
        <v>0</v>
      </c>
      <c r="L1058" s="13">
        <v>0</v>
      </c>
      <c r="M1058" s="13">
        <v>0</v>
      </c>
      <c r="N1058" s="13">
        <v>1</v>
      </c>
      <c r="O1058" s="13">
        <v>0</v>
      </c>
      <c r="P1058" s="13">
        <v>0</v>
      </c>
      <c r="Q1058" s="13">
        <v>0</v>
      </c>
      <c r="R1058" s="13">
        <v>0</v>
      </c>
      <c r="S1058" s="13">
        <v>1</v>
      </c>
      <c r="T1058" s="13">
        <v>0</v>
      </c>
      <c r="U1058" s="13">
        <v>314</v>
      </c>
      <c r="V1058" s="13" t="str" cm="1">
        <f t="array" ref="V1058">_xlfn.IFS(U1058&lt;=250,"0-R$250",U1058&lt;=500,"251-R$500",U1058&lt;=750,"501-R$750",U1058&lt;=1000,"751-R$1000",U1058&lt;=1250,"1001-R$1250",U1058&lt;=1500,"1251-R$1500")</f>
        <v>251-R$500</v>
      </c>
      <c r="W1058" s="13">
        <v>11</v>
      </c>
      <c r="X1058" s="13" t="str" cm="1">
        <f t="array" ref="X1058">_xlfn.IFS(W1058 = 0, "0", W1058&lt;=20, "até R$20",W1058&lt;=40, "21 - R$40",W1058&lt;=60, "41- R$60",W1058&lt;=80, "61 - R$80", W1058&lt;=100, "81 - R$100",W1058&lt;=120, "101 - R$120",W1058&lt;=140, "121 - R$140", W1058&lt;=160, "141- R$160", W1058&lt;=180, "161 - R$180", W1058&lt;=200, "181-R$194")</f>
        <v>até R$20</v>
      </c>
      <c r="Y1058" s="13">
        <v>53</v>
      </c>
      <c r="Z1058" s="13">
        <v>4</v>
      </c>
      <c r="AA1058" s="13">
        <v>3</v>
      </c>
      <c r="AB1058" s="13">
        <v>107</v>
      </c>
      <c r="AC1058" s="13">
        <v>3</v>
      </c>
      <c r="AD1058" s="13">
        <v>7</v>
      </c>
      <c r="AE1058" s="13">
        <v>3</v>
      </c>
      <c r="AF1058" s="13">
        <v>4</v>
      </c>
      <c r="AG1058" s="13">
        <v>7</v>
      </c>
      <c r="AH1058" s="13">
        <v>0</v>
      </c>
      <c r="AI1058" s="13">
        <v>0</v>
      </c>
      <c r="AJ1058" s="13">
        <v>1</v>
      </c>
      <c r="AK1058" s="13">
        <v>0</v>
      </c>
      <c r="AL1058" s="13">
        <v>0</v>
      </c>
      <c r="AM1058" s="13">
        <v>0</v>
      </c>
      <c r="AN1058" s="13">
        <v>1</v>
      </c>
      <c r="AO1058" s="14">
        <v>1</v>
      </c>
      <c r="AP1058" s="13">
        <v>3</v>
      </c>
      <c r="AQ1058" s="13">
        <v>11</v>
      </c>
      <c r="AR1058" s="15">
        <v>278</v>
      </c>
      <c r="AS1058" s="15">
        <v>385</v>
      </c>
    </row>
    <row r="1059" spans="1:45" x14ac:dyDescent="0.25">
      <c r="A1059">
        <v>709</v>
      </c>
      <c r="B1059" s="11">
        <f t="shared" si="16"/>
        <v>56962</v>
      </c>
      <c r="C1059" s="16">
        <v>569620</v>
      </c>
      <c r="D1059" s="17">
        <v>2</v>
      </c>
      <c r="E1059" s="17">
        <v>1</v>
      </c>
      <c r="F1059" s="17">
        <v>60</v>
      </c>
      <c r="G1059" s="17">
        <v>55</v>
      </c>
      <c r="H1059" s="13" t="str" cm="1">
        <f t="array" ref="H1059">_xlfn.IFS(G1059&lt;=20,"0-20",G1059&lt;=30,"20-30",G1059&lt;=40,"30-40",G1059&lt;=50,"50-60",G1059&lt;=60,"60-70",G1059&lt;=70,"70-80",G1059&lt;=80,"80-90")</f>
        <v>60-70</v>
      </c>
      <c r="I1059" s="17">
        <v>2420</v>
      </c>
      <c r="J1059" s="13" t="str" cm="1">
        <f t="array" ref="J1059">_xlfn.IFS(K1059=1,"Divorciado",L1059=1,"Casado",M1059=1,"Solteiro",N1059=1,"Juntos",O1059=1,"Viuvo")</f>
        <v>Casado</v>
      </c>
      <c r="K1059" s="17">
        <v>0</v>
      </c>
      <c r="L1059" s="17">
        <v>1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1</v>
      </c>
      <c r="T1059" s="17">
        <v>0</v>
      </c>
      <c r="U1059" s="17">
        <v>292</v>
      </c>
      <c r="V1059" s="13" t="str" cm="1">
        <f t="array" ref="V1059">_xlfn.IFS(U1059&lt;=250,"0-R$250",U1059&lt;=500,"251-R$500",U1059&lt;=750,"501-R$750",U1059&lt;=1000,"751-R$1000",U1059&lt;=1250,"1001-R$1250",U1059&lt;=1500,"1251-R$1500")</f>
        <v>251-R$500</v>
      </c>
      <c r="W1059" s="17">
        <v>3</v>
      </c>
      <c r="X1059" s="13" t="str" cm="1">
        <f t="array" ref="X1059">_xlfn.IFS(W1059 = 0, "0", W1059&lt;=20, "até R$20",W1059&lt;=40, "21 - R$40",W1059&lt;=60, "41- R$60",W1059&lt;=80, "61 - R$80", W1059&lt;=100, "81 - R$100",W1059&lt;=120, "101 - R$120",W1059&lt;=140, "121 - R$140", W1059&lt;=160, "141- R$160", W1059&lt;=180, "161 - R$180", W1059&lt;=200, "181-R$194")</f>
        <v>até R$20</v>
      </c>
      <c r="Y1059" s="17">
        <v>77</v>
      </c>
      <c r="Z1059" s="17">
        <v>10</v>
      </c>
      <c r="AA1059" s="17">
        <v>3</v>
      </c>
      <c r="AB1059" s="17">
        <v>26</v>
      </c>
      <c r="AC1059" s="17">
        <v>7</v>
      </c>
      <c r="AD1059" s="17">
        <v>6</v>
      </c>
      <c r="AE1059" s="17">
        <v>3</v>
      </c>
      <c r="AF1059" s="17">
        <v>5</v>
      </c>
      <c r="AG1059" s="17">
        <v>7</v>
      </c>
      <c r="AH1059" s="17">
        <v>0</v>
      </c>
      <c r="AI1059" s="17">
        <v>0</v>
      </c>
      <c r="AJ1059" s="17">
        <v>0</v>
      </c>
      <c r="AK1059" s="17">
        <v>0</v>
      </c>
      <c r="AL1059" s="17">
        <v>0</v>
      </c>
      <c r="AM1059" s="17">
        <v>0</v>
      </c>
      <c r="AN1059" s="17">
        <v>0</v>
      </c>
      <c r="AO1059" s="18">
        <v>0</v>
      </c>
      <c r="AP1059" s="17">
        <v>3</v>
      </c>
      <c r="AQ1059" s="17">
        <v>11</v>
      </c>
      <c r="AR1059" s="19">
        <v>359</v>
      </c>
      <c r="AS1059" s="19">
        <v>385</v>
      </c>
    </row>
    <row r="1060" spans="1:45" x14ac:dyDescent="0.25">
      <c r="A1060">
        <v>958</v>
      </c>
      <c r="B1060" s="11">
        <f t="shared" si="16"/>
        <v>56962</v>
      </c>
      <c r="C1060" s="12">
        <v>569620</v>
      </c>
      <c r="D1060" s="13">
        <v>2</v>
      </c>
      <c r="E1060" s="13">
        <v>1</v>
      </c>
      <c r="F1060" s="13">
        <v>60</v>
      </c>
      <c r="G1060" s="13">
        <v>55</v>
      </c>
      <c r="H1060" s="13" t="str" cm="1">
        <f t="array" ref="H1060">_xlfn.IFS(G1060&lt;=20,"0-20",G1060&lt;=30,"20-30",G1060&lt;=40,"30-40",G1060&lt;=50,"50-60",G1060&lt;=60,"60-70",G1060&lt;=70,"70-80",G1060&lt;=80,"80-90")</f>
        <v>60-70</v>
      </c>
      <c r="I1060" s="13">
        <v>2420</v>
      </c>
      <c r="J1060" s="13" t="str" cm="1">
        <f t="array" ref="J1060">_xlfn.IFS(K1060=1,"Divorciado",L1060=1,"Casado",M1060=1,"Solteiro",N1060=1,"Juntos",O1060=1,"Viuvo")</f>
        <v>Casado</v>
      </c>
      <c r="K1060" s="13">
        <v>0</v>
      </c>
      <c r="L1060" s="13">
        <v>1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1</v>
      </c>
      <c r="T1060" s="13">
        <v>0</v>
      </c>
      <c r="U1060" s="13">
        <v>292</v>
      </c>
      <c r="V1060" s="13" t="str" cm="1">
        <f t="array" ref="V1060">_xlfn.IFS(U1060&lt;=250,"0-R$250",U1060&lt;=500,"251-R$500",U1060&lt;=750,"501-R$750",U1060&lt;=1000,"751-R$1000",U1060&lt;=1250,"1001-R$1250",U1060&lt;=1500,"1251-R$1500")</f>
        <v>251-R$500</v>
      </c>
      <c r="W1060" s="13">
        <v>3</v>
      </c>
      <c r="X1060" s="13" t="str" cm="1">
        <f t="array" ref="X1060">_xlfn.IFS(W1060 = 0, "0", W1060&lt;=20, "até R$20",W1060&lt;=40, "21 - R$40",W1060&lt;=60, "41- R$60",W1060&lt;=80, "61 - R$80", W1060&lt;=100, "81 - R$100",W1060&lt;=120, "101 - R$120",W1060&lt;=140, "121 - R$140", W1060&lt;=160, "141- R$160", W1060&lt;=180, "161 - R$180", W1060&lt;=200, "181-R$194")</f>
        <v>até R$20</v>
      </c>
      <c r="Y1060" s="13">
        <v>77</v>
      </c>
      <c r="Z1060" s="13">
        <v>10</v>
      </c>
      <c r="AA1060" s="13">
        <v>3</v>
      </c>
      <c r="AB1060" s="13">
        <v>26</v>
      </c>
      <c r="AC1060" s="13">
        <v>7</v>
      </c>
      <c r="AD1060" s="13">
        <v>6</v>
      </c>
      <c r="AE1060" s="13">
        <v>3</v>
      </c>
      <c r="AF1060" s="13">
        <v>5</v>
      </c>
      <c r="AG1060" s="13">
        <v>7</v>
      </c>
      <c r="AH1060" s="13">
        <v>0</v>
      </c>
      <c r="AI1060" s="13">
        <v>0</v>
      </c>
      <c r="AJ1060" s="13">
        <v>0</v>
      </c>
      <c r="AK1060" s="13">
        <v>0</v>
      </c>
      <c r="AL1060" s="13">
        <v>0</v>
      </c>
      <c r="AM1060" s="13">
        <v>0</v>
      </c>
      <c r="AN1060" s="13">
        <v>0</v>
      </c>
      <c r="AO1060" s="14">
        <v>0</v>
      </c>
      <c r="AP1060" s="13">
        <v>3</v>
      </c>
      <c r="AQ1060" s="13">
        <v>11</v>
      </c>
      <c r="AR1060" s="15">
        <v>359</v>
      </c>
      <c r="AS1060" s="15">
        <v>385</v>
      </c>
    </row>
    <row r="1061" spans="1:45" x14ac:dyDescent="0.25">
      <c r="A1061">
        <v>1541</v>
      </c>
      <c r="B1061" s="11">
        <f t="shared" si="16"/>
        <v>47958</v>
      </c>
      <c r="C1061" s="16">
        <v>479580</v>
      </c>
      <c r="D1061" s="17">
        <v>0</v>
      </c>
      <c r="E1061" s="17">
        <v>1</v>
      </c>
      <c r="F1061" s="17">
        <v>8</v>
      </c>
      <c r="G1061" s="17">
        <v>68</v>
      </c>
      <c r="H1061" s="13" t="str" cm="1">
        <f t="array" ref="H1061">_xlfn.IFS(G1061&lt;=20,"0-20",G1061&lt;=30,"20-30",G1061&lt;=40,"30-40",G1061&lt;=50,"50-60",G1061&lt;=60,"60-70",G1061&lt;=70,"70-80",G1061&lt;=80,"80-90")</f>
        <v>70-80</v>
      </c>
      <c r="I1061" s="17">
        <v>2685</v>
      </c>
      <c r="J1061" s="13" t="str" cm="1">
        <f t="array" ref="J1061">_xlfn.IFS(K1061=1,"Divorciado",L1061=1,"Casado",M1061=1,"Solteiro",N1061=1,"Juntos",O1061=1,"Viuvo")</f>
        <v>Solteiro</v>
      </c>
      <c r="K1061" s="17">
        <v>0</v>
      </c>
      <c r="L1061" s="17">
        <v>0</v>
      </c>
      <c r="M1061" s="17">
        <v>1</v>
      </c>
      <c r="N1061" s="17">
        <v>0</v>
      </c>
      <c r="O1061" s="17">
        <v>0</v>
      </c>
      <c r="P1061" s="17">
        <v>0</v>
      </c>
      <c r="Q1061" s="17">
        <v>0</v>
      </c>
      <c r="R1061" s="17">
        <v>1</v>
      </c>
      <c r="S1061" s="17">
        <v>0</v>
      </c>
      <c r="T1061" s="17">
        <v>0</v>
      </c>
      <c r="U1061" s="17">
        <v>268</v>
      </c>
      <c r="V1061" s="13" t="str" cm="1">
        <f t="array" ref="V1061">_xlfn.IFS(U1061&lt;=250,"0-R$250",U1061&lt;=500,"251-R$500",U1061&lt;=750,"501-R$750",U1061&lt;=1000,"751-R$1000",U1061&lt;=1250,"1001-R$1250",U1061&lt;=1500,"1251-R$1500")</f>
        <v>251-R$500</v>
      </c>
      <c r="W1061" s="17">
        <v>11</v>
      </c>
      <c r="X1061" s="13" t="str" cm="1">
        <f t="array" ref="X1061">_xlfn.IFS(W1061 = 0, "0", W1061&lt;=20, "até R$20",W1061&lt;=40, "21 - R$40",W1061&lt;=60, "41- R$60",W1061&lt;=80, "61 - R$80", W1061&lt;=100, "81 - R$100",W1061&lt;=120, "101 - R$120",W1061&lt;=140, "121 - R$140", W1061&lt;=160, "141- R$160", W1061&lt;=180, "161 - R$180", W1061&lt;=200, "181-R$194")</f>
        <v>até R$20</v>
      </c>
      <c r="Y1061" s="17">
        <v>88</v>
      </c>
      <c r="Z1061" s="17">
        <v>15</v>
      </c>
      <c r="AA1061" s="17">
        <v>3</v>
      </c>
      <c r="AB1061" s="17">
        <v>22</v>
      </c>
      <c r="AC1061" s="17">
        <v>2</v>
      </c>
      <c r="AD1061" s="17">
        <v>6</v>
      </c>
      <c r="AE1061" s="17">
        <v>3</v>
      </c>
      <c r="AF1061" s="17">
        <v>5</v>
      </c>
      <c r="AG1061" s="17">
        <v>5</v>
      </c>
      <c r="AH1061" s="17">
        <v>0</v>
      </c>
      <c r="AI1061" s="17">
        <v>0</v>
      </c>
      <c r="AJ1061" s="17">
        <v>0</v>
      </c>
      <c r="AK1061" s="17">
        <v>0</v>
      </c>
      <c r="AL1061" s="17">
        <v>0</v>
      </c>
      <c r="AM1061" s="17">
        <v>0</v>
      </c>
      <c r="AN1061" s="17">
        <v>0</v>
      </c>
      <c r="AO1061" s="18">
        <v>0</v>
      </c>
      <c r="AP1061" s="17">
        <v>3</v>
      </c>
      <c r="AQ1061" s="17">
        <v>11</v>
      </c>
      <c r="AR1061" s="19">
        <v>363</v>
      </c>
      <c r="AS1061" s="19">
        <v>385</v>
      </c>
    </row>
    <row r="1062" spans="1:45" x14ac:dyDescent="0.25">
      <c r="A1062">
        <v>1819</v>
      </c>
      <c r="B1062" s="11">
        <f t="shared" si="16"/>
        <v>65735</v>
      </c>
      <c r="C1062" s="16">
        <v>657350</v>
      </c>
      <c r="D1062" s="17">
        <v>1</v>
      </c>
      <c r="E1062" s="17">
        <v>1</v>
      </c>
      <c r="F1062" s="17">
        <v>37</v>
      </c>
      <c r="G1062" s="17">
        <v>55</v>
      </c>
      <c r="H1062" s="13" t="str" cm="1">
        <f t="array" ref="H1062">_xlfn.IFS(G1062&lt;=20,"0-20",G1062&lt;=30,"20-30",G1062&lt;=40,"30-40",G1062&lt;=50,"50-60",G1062&lt;=60,"60-70",G1062&lt;=70,"70-80",G1062&lt;=80,"80-90")</f>
        <v>60-70</v>
      </c>
      <c r="I1062" s="17">
        <v>2363</v>
      </c>
      <c r="J1062" s="13" t="str" cm="1">
        <f t="array" ref="J1062">_xlfn.IFS(K1062=1,"Divorciado",L1062=1,"Casado",M1062=1,"Solteiro",N1062=1,"Juntos",O1062=1,"Viuvo")</f>
        <v>Juntos</v>
      </c>
      <c r="K1062" s="17">
        <v>0</v>
      </c>
      <c r="L1062" s="17">
        <v>0</v>
      </c>
      <c r="M1062" s="17">
        <v>0</v>
      </c>
      <c r="N1062" s="17">
        <v>1</v>
      </c>
      <c r="O1062" s="17">
        <v>0</v>
      </c>
      <c r="P1062" s="17">
        <v>0</v>
      </c>
      <c r="Q1062" s="17">
        <v>0</v>
      </c>
      <c r="R1062" s="17">
        <v>0</v>
      </c>
      <c r="S1062" s="17">
        <v>1</v>
      </c>
      <c r="T1062" s="17">
        <v>0</v>
      </c>
      <c r="U1062" s="17">
        <v>239</v>
      </c>
      <c r="V1062" s="13" t="str" cm="1">
        <f t="array" ref="V1062">_xlfn.IFS(U1062&lt;=250,"0-R$250",U1062&lt;=500,"251-R$500",U1062&lt;=750,"501-R$750",U1062&lt;=1000,"751-R$1000",U1062&lt;=1250,"1001-R$1250",U1062&lt;=1500,"1251-R$1500")</f>
        <v>0-R$250</v>
      </c>
      <c r="W1062" s="17">
        <v>7</v>
      </c>
      <c r="X1062" s="13" t="str" cm="1">
        <f t="array" ref="X1062">_xlfn.IFS(W1062 = 0, "0", W1062&lt;=20, "até R$20",W1062&lt;=40, "21 - R$40",W1062&lt;=60, "41- R$60",W1062&lt;=80, "61 - R$80", W1062&lt;=100, "81 - R$100",W1062&lt;=120, "101 - R$120",W1062&lt;=140, "121 - R$140", W1062&lt;=160, "141- R$160", W1062&lt;=180, "161 - R$180", W1062&lt;=200, "181-R$194")</f>
        <v>até R$20</v>
      </c>
      <c r="Y1062" s="17">
        <v>119</v>
      </c>
      <c r="Z1062" s="17">
        <v>4</v>
      </c>
      <c r="AA1062" s="17">
        <v>15</v>
      </c>
      <c r="AB1062" s="17">
        <v>11</v>
      </c>
      <c r="AC1062" s="17">
        <v>5</v>
      </c>
      <c r="AD1062" s="17">
        <v>6</v>
      </c>
      <c r="AE1062" s="17">
        <v>2</v>
      </c>
      <c r="AF1062" s="17">
        <v>6</v>
      </c>
      <c r="AG1062" s="17">
        <v>7</v>
      </c>
      <c r="AH1062" s="17">
        <v>0</v>
      </c>
      <c r="AI1062" s="17">
        <v>0</v>
      </c>
      <c r="AJ1062" s="17">
        <v>0</v>
      </c>
      <c r="AK1062" s="17">
        <v>0</v>
      </c>
      <c r="AL1062" s="17">
        <v>0</v>
      </c>
      <c r="AM1062" s="17">
        <v>0</v>
      </c>
      <c r="AN1062" s="17">
        <v>0</v>
      </c>
      <c r="AO1062" s="18">
        <v>0</v>
      </c>
      <c r="AP1062" s="17">
        <v>3</v>
      </c>
      <c r="AQ1062" s="17">
        <v>11</v>
      </c>
      <c r="AR1062" s="19">
        <v>373</v>
      </c>
      <c r="AS1062" s="19">
        <v>384</v>
      </c>
    </row>
    <row r="1063" spans="1:45" x14ac:dyDescent="0.25">
      <c r="A1063">
        <v>1948</v>
      </c>
      <c r="B1063" s="11">
        <f t="shared" si="16"/>
        <v>40794</v>
      </c>
      <c r="C1063" s="12">
        <v>407940</v>
      </c>
      <c r="D1063" s="13">
        <v>0</v>
      </c>
      <c r="E1063" s="13">
        <v>1</v>
      </c>
      <c r="F1063" s="13">
        <v>18</v>
      </c>
      <c r="G1063" s="13">
        <v>45</v>
      </c>
      <c r="H1063" s="13" t="str" cm="1">
        <f t="array" ref="H1063">_xlfn.IFS(G1063&lt;=20,"0-20",G1063&lt;=30,"20-30",G1063&lt;=40,"30-40",G1063&lt;=50,"50-60",G1063&lt;=60,"60-70",G1063&lt;=70,"70-80",G1063&lt;=80,"80-90")</f>
        <v>50-60</v>
      </c>
      <c r="I1063" s="13">
        <v>2607</v>
      </c>
      <c r="J1063" s="13" t="str" cm="1">
        <f t="array" ref="J1063">_xlfn.IFS(K1063=1,"Divorciado",L1063=1,"Casado",M1063=1,"Solteiro",N1063=1,"Juntos",O1063=1,"Viuvo")</f>
        <v>Casado</v>
      </c>
      <c r="K1063" s="13">
        <v>0</v>
      </c>
      <c r="L1063" s="13">
        <v>1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1</v>
      </c>
      <c r="S1063" s="13">
        <v>0</v>
      </c>
      <c r="T1063" s="13">
        <v>0</v>
      </c>
      <c r="U1063" s="13">
        <v>261</v>
      </c>
      <c r="V1063" s="13" t="str" cm="1">
        <f t="array" ref="V1063">_xlfn.IFS(U1063&lt;=250,"0-R$250",U1063&lt;=500,"251-R$500",U1063&lt;=750,"501-R$750",U1063&lt;=1000,"751-R$1000",U1063&lt;=1250,"1001-R$1250",U1063&lt;=1500,"1251-R$1500")</f>
        <v>251-R$500</v>
      </c>
      <c r="W1063" s="13">
        <v>23</v>
      </c>
      <c r="X1063" s="13" t="str" cm="1">
        <f t="array" ref="X1063">_xlfn.IFS(W1063 = 0, "0", W1063&lt;=20, "até R$20",W1063&lt;=40, "21 - R$40",W1063&lt;=60, "41- R$60",W1063&lt;=80, "61 - R$80", W1063&lt;=100, "81 - R$100",W1063&lt;=120, "101 - R$120",W1063&lt;=140, "121 - R$140", W1063&lt;=160, "141- R$160", W1063&lt;=180, "161 - R$180", W1063&lt;=200, "181-R$194")</f>
        <v>21 - R$40</v>
      </c>
      <c r="Y1063" s="13">
        <v>73</v>
      </c>
      <c r="Z1063" s="13">
        <v>4</v>
      </c>
      <c r="AA1063" s="13">
        <v>23</v>
      </c>
      <c r="AB1063" s="13">
        <v>50</v>
      </c>
      <c r="AC1063" s="13">
        <v>2</v>
      </c>
      <c r="AD1063" s="13">
        <v>6</v>
      </c>
      <c r="AE1063" s="13">
        <v>3</v>
      </c>
      <c r="AF1063" s="13">
        <v>5</v>
      </c>
      <c r="AG1063" s="13">
        <v>7</v>
      </c>
      <c r="AH1063" s="13">
        <v>0</v>
      </c>
      <c r="AI1063" s="13">
        <v>0</v>
      </c>
      <c r="AJ1063" s="13">
        <v>0</v>
      </c>
      <c r="AK1063" s="13">
        <v>0</v>
      </c>
      <c r="AL1063" s="13">
        <v>0</v>
      </c>
      <c r="AM1063" s="13">
        <v>0</v>
      </c>
      <c r="AN1063" s="13">
        <v>0</v>
      </c>
      <c r="AO1063" s="14">
        <v>0</v>
      </c>
      <c r="AP1063" s="13">
        <v>3</v>
      </c>
      <c r="AQ1063" s="13">
        <v>11</v>
      </c>
      <c r="AR1063" s="15">
        <v>334</v>
      </c>
      <c r="AS1063" s="15">
        <v>384</v>
      </c>
    </row>
    <row r="1064" spans="1:45" x14ac:dyDescent="0.25">
      <c r="A1064">
        <v>2103</v>
      </c>
      <c r="B1064" s="11">
        <f t="shared" si="16"/>
        <v>58692</v>
      </c>
      <c r="C1064" s="16">
        <v>586920</v>
      </c>
      <c r="D1064" s="17">
        <v>0</v>
      </c>
      <c r="E1064" s="17">
        <v>1</v>
      </c>
      <c r="F1064" s="17">
        <v>21</v>
      </c>
      <c r="G1064" s="17">
        <v>55</v>
      </c>
      <c r="H1064" s="13" t="str" cm="1">
        <f t="array" ref="H1064">_xlfn.IFS(G1064&lt;=20,"0-20",G1064&lt;=30,"20-30",G1064&lt;=40,"30-40",G1064&lt;=50,"50-60",G1064&lt;=60,"60-70",G1064&lt;=70,"70-80",G1064&lt;=80,"80-90")</f>
        <v>60-70</v>
      </c>
      <c r="I1064" s="17">
        <v>2243</v>
      </c>
      <c r="J1064" s="13" t="str" cm="1">
        <f t="array" ref="J1064">_xlfn.IFS(K1064=1,"Divorciado",L1064=1,"Casado",M1064=1,"Solteiro",N1064=1,"Juntos",O1064=1,"Viuvo")</f>
        <v>Casado</v>
      </c>
      <c r="K1064" s="17">
        <v>0</v>
      </c>
      <c r="L1064" s="17">
        <v>1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1</v>
      </c>
      <c r="S1064" s="17">
        <v>0</v>
      </c>
      <c r="T1064" s="17">
        <v>0</v>
      </c>
      <c r="U1064" s="17">
        <v>301</v>
      </c>
      <c r="V1064" s="13" t="str" cm="1">
        <f t="array" ref="V1064">_xlfn.IFS(U1064&lt;=250,"0-R$250",U1064&lt;=500,"251-R$500",U1064&lt;=750,"501-R$750",U1064&lt;=1000,"751-R$1000",U1064&lt;=1250,"1001-R$1250",U1064&lt;=1500,"1251-R$1500")</f>
        <v>251-R$500</v>
      </c>
      <c r="W1064" s="17">
        <v>11</v>
      </c>
      <c r="X1064" s="13" t="str" cm="1">
        <f t="array" ref="X1064">_xlfn.IFS(W1064 = 0, "0", W1064&lt;=20, "até R$20",W1064&lt;=40, "21 - R$40",W1064&lt;=60, "41- R$60",W1064&lt;=80, "61 - R$80", W1064&lt;=100, "81 - R$100",W1064&lt;=120, "101 - R$120",W1064&lt;=140, "121 - R$140", W1064&lt;=160, "141- R$160", W1064&lt;=180, "161 - R$180", W1064&lt;=200, "181-R$194")</f>
        <v>até R$20</v>
      </c>
      <c r="Y1064" s="17">
        <v>61</v>
      </c>
      <c r="Z1064" s="17">
        <v>4</v>
      </c>
      <c r="AA1064" s="17">
        <v>7</v>
      </c>
      <c r="AB1064" s="17">
        <v>11</v>
      </c>
      <c r="AC1064" s="17">
        <v>1</v>
      </c>
      <c r="AD1064" s="17">
        <v>8</v>
      </c>
      <c r="AE1064" s="17">
        <v>2</v>
      </c>
      <c r="AF1064" s="17">
        <v>4</v>
      </c>
      <c r="AG1064" s="17">
        <v>7</v>
      </c>
      <c r="AH1064" s="17">
        <v>0</v>
      </c>
      <c r="AI1064" s="17">
        <v>0</v>
      </c>
      <c r="AJ1064" s="17">
        <v>0</v>
      </c>
      <c r="AK1064" s="17">
        <v>0</v>
      </c>
      <c r="AL1064" s="17">
        <v>0</v>
      </c>
      <c r="AM1064" s="17">
        <v>0</v>
      </c>
      <c r="AN1064" s="17">
        <v>0</v>
      </c>
      <c r="AO1064" s="18">
        <v>0</v>
      </c>
      <c r="AP1064" s="17">
        <v>3</v>
      </c>
      <c r="AQ1064" s="17">
        <v>11</v>
      </c>
      <c r="AR1064" s="19">
        <v>373</v>
      </c>
      <c r="AS1064" s="19">
        <v>384</v>
      </c>
    </row>
    <row r="1065" spans="1:45" x14ac:dyDescent="0.25">
      <c r="A1065">
        <v>578</v>
      </c>
      <c r="B1065" s="11">
        <f t="shared" si="16"/>
        <v>59973</v>
      </c>
      <c r="C1065" s="12">
        <v>599730</v>
      </c>
      <c r="D1065" s="13">
        <v>0</v>
      </c>
      <c r="E1065" s="13">
        <v>0</v>
      </c>
      <c r="F1065" s="13">
        <v>47</v>
      </c>
      <c r="G1065" s="13">
        <v>48</v>
      </c>
      <c r="H1065" s="13" t="str" cm="1">
        <f t="array" ref="H1065">_xlfn.IFS(G1065&lt;=20,"0-20",G1065&lt;=30,"20-30",G1065&lt;=40,"30-40",G1065&lt;=50,"50-60",G1065&lt;=60,"60-70",G1065&lt;=70,"70-80",G1065&lt;=80,"80-90")</f>
        <v>50-60</v>
      </c>
      <c r="I1065" s="13">
        <v>2450</v>
      </c>
      <c r="J1065" s="13" t="str" cm="1">
        <f t="array" ref="J1065">_xlfn.IFS(K1065=1,"Divorciado",L1065=1,"Casado",M1065=1,"Solteiro",N1065=1,"Juntos",O1065=1,"Viuvo")</f>
        <v>Casado</v>
      </c>
      <c r="K1065" s="13">
        <v>0</v>
      </c>
      <c r="L1065" s="13">
        <v>1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1</v>
      </c>
      <c r="U1065" s="13">
        <v>130</v>
      </c>
      <c r="V1065" s="13" t="str" cm="1">
        <f t="array" ref="V1065">_xlfn.IFS(U1065&lt;=250,"0-R$250",U1065&lt;=500,"251-R$500",U1065&lt;=750,"501-R$750",U1065&lt;=1000,"751-R$1000",U1065&lt;=1250,"1001-R$1250",U1065&lt;=1500,"1251-R$1500")</f>
        <v>0-R$250</v>
      </c>
      <c r="W1065" s="13">
        <v>30</v>
      </c>
      <c r="X1065" s="13" t="str" cm="1">
        <f t="array" ref="X1065">_xlfn.IFS(W1065 = 0, "0", W1065&lt;=20, "até R$20",W1065&lt;=40, "21 - R$40",W1065&lt;=60, "41- R$60",W1065&lt;=80, "61 - R$80", W1065&lt;=100, "81 - R$100",W1065&lt;=120, "101 - R$120",W1065&lt;=140, "121 - R$140", W1065&lt;=160, "141- R$160", W1065&lt;=180, "161 - R$180", W1065&lt;=200, "181-R$194")</f>
        <v>21 - R$40</v>
      </c>
      <c r="Y1065" s="13">
        <v>168</v>
      </c>
      <c r="Z1065" s="13">
        <v>20</v>
      </c>
      <c r="AA1065" s="13">
        <v>34</v>
      </c>
      <c r="AB1065" s="13">
        <v>0</v>
      </c>
      <c r="AC1065" s="13">
        <v>1</v>
      </c>
      <c r="AD1065" s="13">
        <v>3</v>
      </c>
      <c r="AE1065" s="13">
        <v>4</v>
      </c>
      <c r="AF1065" s="13">
        <v>7</v>
      </c>
      <c r="AG1065" s="13">
        <v>1</v>
      </c>
      <c r="AH1065" s="13">
        <v>0</v>
      </c>
      <c r="AI1065" s="13">
        <v>0</v>
      </c>
      <c r="AJ1065" s="13">
        <v>0</v>
      </c>
      <c r="AK1065" s="13">
        <v>0</v>
      </c>
      <c r="AL1065" s="13">
        <v>0</v>
      </c>
      <c r="AM1065" s="13">
        <v>0</v>
      </c>
      <c r="AN1065" s="13">
        <v>0</v>
      </c>
      <c r="AO1065" s="14">
        <v>0</v>
      </c>
      <c r="AP1065" s="13">
        <v>3</v>
      </c>
      <c r="AQ1065" s="13">
        <v>11</v>
      </c>
      <c r="AR1065" s="15">
        <v>382</v>
      </c>
      <c r="AS1065" s="15">
        <v>382</v>
      </c>
    </row>
    <row r="1066" spans="1:45" x14ac:dyDescent="0.25">
      <c r="A1066">
        <v>966</v>
      </c>
      <c r="B1066" s="11">
        <f t="shared" si="16"/>
        <v>65352</v>
      </c>
      <c r="C1066" s="12">
        <v>653520</v>
      </c>
      <c r="D1066" s="13">
        <v>0</v>
      </c>
      <c r="E1066" s="13">
        <v>1</v>
      </c>
      <c r="F1066" s="13">
        <v>43</v>
      </c>
      <c r="G1066" s="13">
        <v>46</v>
      </c>
      <c r="H1066" s="13" t="str" cm="1">
        <f t="array" ref="H1066">_xlfn.IFS(G1066&lt;=20,"0-20",G1066&lt;=30,"20-30",G1066&lt;=40,"30-40",G1066&lt;=50,"50-60",G1066&lt;=60,"60-70",G1066&lt;=70,"70-80",G1066&lt;=80,"80-90")</f>
        <v>50-60</v>
      </c>
      <c r="I1066" s="13">
        <v>2471</v>
      </c>
      <c r="J1066" s="13" t="str" cm="1">
        <f t="array" ref="J1066">_xlfn.IFS(K1066=1,"Divorciado",L1066=1,"Casado",M1066=1,"Solteiro",N1066=1,"Juntos",O1066=1,"Viuvo")</f>
        <v>Casado</v>
      </c>
      <c r="K1066" s="13">
        <v>0</v>
      </c>
      <c r="L1066" s="13">
        <v>1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1</v>
      </c>
      <c r="U1066" s="13">
        <v>284</v>
      </c>
      <c r="V1066" s="13" t="str" cm="1">
        <f t="array" ref="V1066">_xlfn.IFS(U1066&lt;=250,"0-R$250",U1066&lt;=500,"251-R$500",U1066&lt;=750,"501-R$750",U1066&lt;=1000,"751-R$1000",U1066&lt;=1250,"1001-R$1250",U1066&lt;=1500,"1251-R$1500")</f>
        <v>251-R$500</v>
      </c>
      <c r="W1066" s="13">
        <v>3</v>
      </c>
      <c r="X1066" s="13" t="str" cm="1">
        <f t="array" ref="X1066">_xlfn.IFS(W1066 = 0, "0", W1066&lt;=20, "até R$20",W1066&lt;=40, "21 - R$40",W1066&lt;=60, "41- R$60",W1066&lt;=80, "61 - R$80", W1066&lt;=100, "81 - R$100",W1066&lt;=120, "101 - R$120",W1066&lt;=140, "121 - R$140", W1066&lt;=160, "141- R$160", W1066&lt;=180, "161 - R$180", W1066&lt;=200, "181-R$194")</f>
        <v>até R$20</v>
      </c>
      <c r="Y1066" s="13">
        <v>84</v>
      </c>
      <c r="Z1066" s="13">
        <v>4</v>
      </c>
      <c r="AA1066" s="13">
        <v>7</v>
      </c>
      <c r="AB1066" s="13">
        <v>23</v>
      </c>
      <c r="AC1066" s="13">
        <v>2</v>
      </c>
      <c r="AD1066" s="13">
        <v>4</v>
      </c>
      <c r="AE1066" s="13">
        <v>2</v>
      </c>
      <c r="AF1066" s="13">
        <v>8</v>
      </c>
      <c r="AG1066" s="13">
        <v>4</v>
      </c>
      <c r="AH1066" s="13">
        <v>0</v>
      </c>
      <c r="AI1066" s="13">
        <v>0</v>
      </c>
      <c r="AJ1066" s="13">
        <v>0</v>
      </c>
      <c r="AK1066" s="13">
        <v>0</v>
      </c>
      <c r="AL1066" s="13">
        <v>0</v>
      </c>
      <c r="AM1066" s="13">
        <v>0</v>
      </c>
      <c r="AN1066" s="13">
        <v>0</v>
      </c>
      <c r="AO1066" s="14">
        <v>0</v>
      </c>
      <c r="AP1066" s="13">
        <v>3</v>
      </c>
      <c r="AQ1066" s="13">
        <v>11</v>
      </c>
      <c r="AR1066" s="15">
        <v>359</v>
      </c>
      <c r="AS1066" s="15">
        <v>382</v>
      </c>
    </row>
    <row r="1067" spans="1:45" x14ac:dyDescent="0.25">
      <c r="A1067">
        <v>1571</v>
      </c>
      <c r="B1067" s="11">
        <f t="shared" si="16"/>
        <v>48432</v>
      </c>
      <c r="C1067" s="16">
        <v>484320</v>
      </c>
      <c r="D1067" s="17">
        <v>0</v>
      </c>
      <c r="E1067" s="17">
        <v>1</v>
      </c>
      <c r="F1067" s="17">
        <v>3</v>
      </c>
      <c r="G1067" s="17">
        <v>47</v>
      </c>
      <c r="H1067" s="13" t="str" cm="1">
        <f t="array" ref="H1067">_xlfn.IFS(G1067&lt;=20,"0-20",G1067&lt;=30,"20-30",G1067&lt;=40,"30-40",G1067&lt;=50,"50-60",G1067&lt;=60,"60-70",G1067&lt;=70,"70-80",G1067&lt;=80,"80-90")</f>
        <v>50-60</v>
      </c>
      <c r="I1067" s="17">
        <v>2778</v>
      </c>
      <c r="J1067" s="13" t="str" cm="1">
        <f t="array" ref="J1067">_xlfn.IFS(K1067=1,"Divorciado",L1067=1,"Casado",M1067=1,"Solteiro",N1067=1,"Juntos",O1067=1,"Viuvo")</f>
        <v>Solteiro</v>
      </c>
      <c r="K1067" s="17">
        <v>0</v>
      </c>
      <c r="L1067" s="17">
        <v>0</v>
      </c>
      <c r="M1067" s="17">
        <v>1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1</v>
      </c>
      <c r="U1067" s="17">
        <v>322</v>
      </c>
      <c r="V1067" s="13" t="str" cm="1">
        <f t="array" ref="V1067">_xlfn.IFS(U1067&lt;=250,"0-R$250",U1067&lt;=500,"251-R$500",U1067&lt;=750,"501-R$750",U1067&lt;=1000,"751-R$1000",U1067&lt;=1250,"1001-R$1250",U1067&lt;=1500,"1251-R$1500")</f>
        <v>251-R$500</v>
      </c>
      <c r="W1067" s="17">
        <v>3</v>
      </c>
      <c r="X1067" s="13" t="str" cm="1">
        <f t="array" ref="X1067">_xlfn.IFS(W1067 = 0, "0", W1067&lt;=20, "até R$20",W1067&lt;=40, "21 - R$40",W1067&lt;=60, "41- R$60",W1067&lt;=80, "61 - R$80", W1067&lt;=100, "81 - R$100",W1067&lt;=120, "101 - R$120",W1067&lt;=140, "121 - R$140", W1067&lt;=160, "141- R$160", W1067&lt;=180, "161 - R$180", W1067&lt;=200, "181-R$194")</f>
        <v>até R$20</v>
      </c>
      <c r="Y1067" s="17">
        <v>50</v>
      </c>
      <c r="Z1067" s="17">
        <v>4</v>
      </c>
      <c r="AA1067" s="17">
        <v>3</v>
      </c>
      <c r="AB1067" s="17">
        <v>42</v>
      </c>
      <c r="AC1067" s="17">
        <v>5</v>
      </c>
      <c r="AD1067" s="17">
        <v>7</v>
      </c>
      <c r="AE1067" s="17">
        <v>1</v>
      </c>
      <c r="AF1067" s="17">
        <v>6</v>
      </c>
      <c r="AG1067" s="17">
        <v>8</v>
      </c>
      <c r="AH1067" s="17">
        <v>0</v>
      </c>
      <c r="AI1067" s="17">
        <v>0</v>
      </c>
      <c r="AJ1067" s="17">
        <v>0</v>
      </c>
      <c r="AK1067" s="17">
        <v>0</v>
      </c>
      <c r="AL1067" s="17">
        <v>0</v>
      </c>
      <c r="AM1067" s="17">
        <v>0</v>
      </c>
      <c r="AN1067" s="17">
        <v>1</v>
      </c>
      <c r="AO1067" s="18">
        <v>0</v>
      </c>
      <c r="AP1067" s="17">
        <v>3</v>
      </c>
      <c r="AQ1067" s="17">
        <v>11</v>
      </c>
      <c r="AR1067" s="19">
        <v>340</v>
      </c>
      <c r="AS1067" s="19">
        <v>382</v>
      </c>
    </row>
    <row r="1068" spans="1:45" x14ac:dyDescent="0.25">
      <c r="A1068">
        <v>2145</v>
      </c>
      <c r="B1068" s="11">
        <f t="shared" si="16"/>
        <v>48432</v>
      </c>
      <c r="C1068" s="16">
        <v>484320</v>
      </c>
      <c r="D1068" s="17">
        <v>0</v>
      </c>
      <c r="E1068" s="17">
        <v>1</v>
      </c>
      <c r="F1068" s="17">
        <v>3</v>
      </c>
      <c r="G1068" s="17">
        <v>47</v>
      </c>
      <c r="H1068" s="13" t="str" cm="1">
        <f t="array" ref="H1068">_xlfn.IFS(G1068&lt;=20,"0-20",G1068&lt;=30,"20-30",G1068&lt;=40,"30-40",G1068&lt;=50,"50-60",G1068&lt;=60,"60-70",G1068&lt;=70,"70-80",G1068&lt;=80,"80-90")</f>
        <v>50-60</v>
      </c>
      <c r="I1068" s="17">
        <v>2778</v>
      </c>
      <c r="J1068" s="13" t="str" cm="1">
        <f t="array" ref="J1068">_xlfn.IFS(K1068=1,"Divorciado",L1068=1,"Casado",M1068=1,"Solteiro",N1068=1,"Juntos",O1068=1,"Viuvo")</f>
        <v>Solteiro</v>
      </c>
      <c r="K1068" s="17">
        <v>0</v>
      </c>
      <c r="L1068" s="17">
        <v>0</v>
      </c>
      <c r="M1068" s="17">
        <v>1</v>
      </c>
      <c r="N1068" s="17">
        <v>0</v>
      </c>
      <c r="O1068" s="17">
        <v>0</v>
      </c>
      <c r="P1068" s="17">
        <v>0</v>
      </c>
      <c r="Q1068" s="17">
        <v>0</v>
      </c>
      <c r="R1068" s="17">
        <v>0</v>
      </c>
      <c r="S1068" s="17">
        <v>0</v>
      </c>
      <c r="T1068" s="17">
        <v>1</v>
      </c>
      <c r="U1068" s="17">
        <v>322</v>
      </c>
      <c r="V1068" s="13" t="str" cm="1">
        <f t="array" ref="V1068">_xlfn.IFS(U1068&lt;=250,"0-R$250",U1068&lt;=500,"251-R$500",U1068&lt;=750,"501-R$750",U1068&lt;=1000,"751-R$1000",U1068&lt;=1250,"1001-R$1250",U1068&lt;=1500,"1251-R$1500")</f>
        <v>251-R$500</v>
      </c>
      <c r="W1068" s="17">
        <v>3</v>
      </c>
      <c r="X1068" s="13" t="str" cm="1">
        <f t="array" ref="X1068">_xlfn.IFS(W1068 = 0, "0", W1068&lt;=20, "até R$20",W1068&lt;=40, "21 - R$40",W1068&lt;=60, "41- R$60",W1068&lt;=80, "61 - R$80", W1068&lt;=100, "81 - R$100",W1068&lt;=120, "101 - R$120",W1068&lt;=140, "121 - R$140", W1068&lt;=160, "141- R$160", W1068&lt;=180, "161 - R$180", W1068&lt;=200, "181-R$194")</f>
        <v>até R$20</v>
      </c>
      <c r="Y1068" s="17">
        <v>50</v>
      </c>
      <c r="Z1068" s="17">
        <v>4</v>
      </c>
      <c r="AA1068" s="17">
        <v>3</v>
      </c>
      <c r="AB1068" s="17">
        <v>42</v>
      </c>
      <c r="AC1068" s="17">
        <v>5</v>
      </c>
      <c r="AD1068" s="17">
        <v>7</v>
      </c>
      <c r="AE1068" s="17">
        <v>1</v>
      </c>
      <c r="AF1068" s="17">
        <v>6</v>
      </c>
      <c r="AG1068" s="17">
        <v>8</v>
      </c>
      <c r="AH1068" s="17">
        <v>0</v>
      </c>
      <c r="AI1068" s="17">
        <v>0</v>
      </c>
      <c r="AJ1068" s="17">
        <v>0</v>
      </c>
      <c r="AK1068" s="17">
        <v>0</v>
      </c>
      <c r="AL1068" s="17">
        <v>0</v>
      </c>
      <c r="AM1068" s="17">
        <v>0</v>
      </c>
      <c r="AN1068" s="17">
        <v>0</v>
      </c>
      <c r="AO1068" s="18">
        <v>0</v>
      </c>
      <c r="AP1068" s="17">
        <v>3</v>
      </c>
      <c r="AQ1068" s="17">
        <v>11</v>
      </c>
      <c r="AR1068" s="19">
        <v>340</v>
      </c>
      <c r="AS1068" s="19">
        <v>382</v>
      </c>
    </row>
    <row r="1069" spans="1:45" x14ac:dyDescent="0.25">
      <c r="A1069">
        <v>2170</v>
      </c>
      <c r="B1069" s="11">
        <f t="shared" si="16"/>
        <v>48432</v>
      </c>
      <c r="C1069" s="12">
        <v>484320</v>
      </c>
      <c r="D1069" s="13">
        <v>0</v>
      </c>
      <c r="E1069" s="13">
        <v>1</v>
      </c>
      <c r="F1069" s="13">
        <v>3</v>
      </c>
      <c r="G1069" s="13">
        <v>47</v>
      </c>
      <c r="H1069" s="13" t="str" cm="1">
        <f t="array" ref="H1069">_xlfn.IFS(G1069&lt;=20,"0-20",G1069&lt;=30,"20-30",G1069&lt;=40,"30-40",G1069&lt;=50,"50-60",G1069&lt;=60,"60-70",G1069&lt;=70,"70-80",G1069&lt;=80,"80-90")</f>
        <v>50-60</v>
      </c>
      <c r="I1069" s="13">
        <v>2778</v>
      </c>
      <c r="J1069" s="13" t="str" cm="1">
        <f t="array" ref="J1069">_xlfn.IFS(K1069=1,"Divorciado",L1069=1,"Casado",M1069=1,"Solteiro",N1069=1,"Juntos",O1069=1,"Viuvo")</f>
        <v>Solteiro</v>
      </c>
      <c r="K1069" s="13">
        <v>0</v>
      </c>
      <c r="L1069" s="13">
        <v>0</v>
      </c>
      <c r="M1069" s="13">
        <v>1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1</v>
      </c>
      <c r="U1069" s="13">
        <v>322</v>
      </c>
      <c r="V1069" s="13" t="str" cm="1">
        <f t="array" ref="V1069">_xlfn.IFS(U1069&lt;=250,"0-R$250",U1069&lt;=500,"251-R$500",U1069&lt;=750,"501-R$750",U1069&lt;=1000,"751-R$1000",U1069&lt;=1250,"1001-R$1250",U1069&lt;=1500,"1251-R$1500")</f>
        <v>251-R$500</v>
      </c>
      <c r="W1069" s="13">
        <v>3</v>
      </c>
      <c r="X1069" s="13" t="str" cm="1">
        <f t="array" ref="X1069">_xlfn.IFS(W1069 = 0, "0", W1069&lt;=20, "até R$20",W1069&lt;=40, "21 - R$40",W1069&lt;=60, "41- R$60",W1069&lt;=80, "61 - R$80", W1069&lt;=100, "81 - R$100",W1069&lt;=120, "101 - R$120",W1069&lt;=140, "121 - R$140", W1069&lt;=160, "141- R$160", W1069&lt;=180, "161 - R$180", W1069&lt;=200, "181-R$194")</f>
        <v>até R$20</v>
      </c>
      <c r="Y1069" s="13">
        <v>50</v>
      </c>
      <c r="Z1069" s="13">
        <v>4</v>
      </c>
      <c r="AA1069" s="13">
        <v>3</v>
      </c>
      <c r="AB1069" s="13">
        <v>42</v>
      </c>
      <c r="AC1069" s="13">
        <v>5</v>
      </c>
      <c r="AD1069" s="13">
        <v>7</v>
      </c>
      <c r="AE1069" s="13">
        <v>1</v>
      </c>
      <c r="AF1069" s="13">
        <v>6</v>
      </c>
      <c r="AG1069" s="13">
        <v>8</v>
      </c>
      <c r="AH1069" s="13">
        <v>0</v>
      </c>
      <c r="AI1069" s="13">
        <v>0</v>
      </c>
      <c r="AJ1069" s="13">
        <v>0</v>
      </c>
      <c r="AK1069" s="13">
        <v>0</v>
      </c>
      <c r="AL1069" s="13">
        <v>0</v>
      </c>
      <c r="AM1069" s="13">
        <v>0</v>
      </c>
      <c r="AN1069" s="13">
        <v>1</v>
      </c>
      <c r="AO1069" s="14">
        <v>0</v>
      </c>
      <c r="AP1069" s="13">
        <v>3</v>
      </c>
      <c r="AQ1069" s="13">
        <v>11</v>
      </c>
      <c r="AR1069" s="15">
        <v>340</v>
      </c>
      <c r="AS1069" s="15">
        <v>382</v>
      </c>
    </row>
    <row r="1070" spans="1:45" x14ac:dyDescent="0.25">
      <c r="A1070">
        <v>1653</v>
      </c>
      <c r="B1070" s="11">
        <f t="shared" si="16"/>
        <v>49544</v>
      </c>
      <c r="C1070" s="16">
        <v>495440</v>
      </c>
      <c r="D1070" s="17">
        <v>1</v>
      </c>
      <c r="E1070" s="17">
        <v>0</v>
      </c>
      <c r="F1070" s="17">
        <v>0</v>
      </c>
      <c r="G1070" s="17">
        <v>44</v>
      </c>
      <c r="H1070" s="13" t="str" cm="1">
        <f t="array" ref="H1070">_xlfn.IFS(G1070&lt;=20,"0-20",G1070&lt;=30,"20-30",G1070&lt;=40,"30-40",G1070&lt;=50,"50-60",G1070&lt;=60,"60-70",G1070&lt;=70,"70-80",G1070&lt;=80,"80-90")</f>
        <v>50-60</v>
      </c>
      <c r="I1070" s="17">
        <v>2661</v>
      </c>
      <c r="J1070" s="13" t="str" cm="1">
        <f t="array" ref="J1070">_xlfn.IFS(K1070=1,"Divorciado",L1070=1,"Casado",M1070=1,"Solteiro",N1070=1,"Juntos",O1070=1,"Viuvo")</f>
        <v>Casado</v>
      </c>
      <c r="K1070" s="17">
        <v>0</v>
      </c>
      <c r="L1070" s="17">
        <v>1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1</v>
      </c>
      <c r="U1070" s="17">
        <v>308</v>
      </c>
      <c r="V1070" s="13" t="str" cm="1">
        <f t="array" ref="V1070">_xlfn.IFS(U1070&lt;=250,"0-R$250",U1070&lt;=500,"251-R$500",U1070&lt;=750,"501-R$750",U1070&lt;=1000,"751-R$1000",U1070&lt;=1250,"1001-R$1250",U1070&lt;=1500,"1251-R$1500")</f>
        <v>251-R$500</v>
      </c>
      <c r="W1070" s="17">
        <v>0</v>
      </c>
      <c r="X1070" s="13" t="str" cm="1">
        <f t="array" ref="X1070">_xlfn.IFS(W1070 = 0, "0", W1070&lt;=20, "até R$20",W1070&lt;=40, "21 - R$40",W1070&lt;=60, "41- R$60",W1070&lt;=80, "61 - R$80", W1070&lt;=100, "81 - R$100",W1070&lt;=120, "101 - R$120",W1070&lt;=140, "121 - R$140", W1070&lt;=160, "141- R$160", W1070&lt;=180, "161 - R$180", W1070&lt;=200, "181-R$194")</f>
        <v>0</v>
      </c>
      <c r="Y1070" s="17">
        <v>73</v>
      </c>
      <c r="Z1070" s="17">
        <v>0</v>
      </c>
      <c r="AA1070" s="17">
        <v>0</v>
      </c>
      <c r="AB1070" s="17">
        <v>23</v>
      </c>
      <c r="AC1070" s="17">
        <v>2</v>
      </c>
      <c r="AD1070" s="17">
        <v>5</v>
      </c>
      <c r="AE1070" s="17">
        <v>1</v>
      </c>
      <c r="AF1070" s="17">
        <v>8</v>
      </c>
      <c r="AG1070" s="17">
        <v>7</v>
      </c>
      <c r="AH1070" s="17">
        <v>0</v>
      </c>
      <c r="AI1070" s="17">
        <v>0</v>
      </c>
      <c r="AJ1070" s="17">
        <v>0</v>
      </c>
      <c r="AK1070" s="17">
        <v>0</v>
      </c>
      <c r="AL1070" s="17">
        <v>0</v>
      </c>
      <c r="AM1070" s="17">
        <v>0</v>
      </c>
      <c r="AN1070" s="17">
        <v>0</v>
      </c>
      <c r="AO1070" s="18">
        <v>0</v>
      </c>
      <c r="AP1070" s="17">
        <v>3</v>
      </c>
      <c r="AQ1070" s="17">
        <v>11</v>
      </c>
      <c r="AR1070" s="19">
        <v>358</v>
      </c>
      <c r="AS1070" s="19">
        <v>381</v>
      </c>
    </row>
    <row r="1071" spans="1:45" x14ac:dyDescent="0.25">
      <c r="A1071">
        <v>1622</v>
      </c>
      <c r="B1071" s="11">
        <f t="shared" si="16"/>
        <v>58494</v>
      </c>
      <c r="C1071" s="12">
        <v>584940</v>
      </c>
      <c r="D1071" s="13">
        <v>0</v>
      </c>
      <c r="E1071" s="13">
        <v>1</v>
      </c>
      <c r="F1071" s="13">
        <v>56</v>
      </c>
      <c r="G1071" s="13">
        <v>46</v>
      </c>
      <c r="H1071" s="13" t="str" cm="1">
        <f t="array" ref="H1071">_xlfn.IFS(G1071&lt;=20,"0-20",G1071&lt;=30,"20-30",G1071&lt;=40,"30-40",G1071&lt;=50,"50-60",G1071&lt;=60,"60-70",G1071&lt;=70,"70-80",G1071&lt;=80,"80-90")</f>
        <v>50-60</v>
      </c>
      <c r="I1071" s="13">
        <v>2358</v>
      </c>
      <c r="J1071" s="13" t="str" cm="1">
        <f t="array" ref="J1071">_xlfn.IFS(K1071=1,"Divorciado",L1071=1,"Casado",M1071=1,"Solteiro",N1071=1,"Juntos",O1071=1,"Viuvo")</f>
        <v>Casado</v>
      </c>
      <c r="K1071" s="13">
        <v>0</v>
      </c>
      <c r="L1071" s="13">
        <v>1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1</v>
      </c>
      <c r="T1071" s="13">
        <v>0</v>
      </c>
      <c r="U1071" s="13">
        <v>298</v>
      </c>
      <c r="V1071" s="13" t="str" cm="1">
        <f t="array" ref="V1071">_xlfn.IFS(U1071&lt;=250,"0-R$250",U1071&lt;=500,"251-R$500",U1071&lt;=750,"501-R$750",U1071&lt;=1000,"751-R$1000",U1071&lt;=1250,"1001-R$1250",U1071&lt;=1500,"1251-R$1500")</f>
        <v>251-R$500</v>
      </c>
      <c r="W1071" s="13">
        <v>7</v>
      </c>
      <c r="X1071" s="13" t="str" cm="1">
        <f t="array" ref="X1071">_xlfn.IFS(W1071 = 0, "0", W1071&lt;=20, "até R$20",W1071&lt;=40, "21 - R$40",W1071&lt;=60, "41- R$60",W1071&lt;=80, "61 - R$80", W1071&lt;=100, "81 - R$100",W1071&lt;=120, "101 - R$120",W1071&lt;=140, "121 - R$140", W1071&lt;=160, "141- R$160", W1071&lt;=180, "161 - R$180", W1071&lt;=200, "181-R$194")</f>
        <v>até R$20</v>
      </c>
      <c r="Y1071" s="13">
        <v>68</v>
      </c>
      <c r="Z1071" s="13">
        <v>4</v>
      </c>
      <c r="AA1071" s="13">
        <v>0</v>
      </c>
      <c r="AB1071" s="13">
        <v>19</v>
      </c>
      <c r="AC1071" s="13">
        <v>2</v>
      </c>
      <c r="AD1071" s="13">
        <v>6</v>
      </c>
      <c r="AE1071" s="13">
        <v>2</v>
      </c>
      <c r="AF1071" s="13">
        <v>6</v>
      </c>
      <c r="AG1071" s="13">
        <v>6</v>
      </c>
      <c r="AH1071" s="13">
        <v>0</v>
      </c>
      <c r="AI1071" s="13">
        <v>0</v>
      </c>
      <c r="AJ1071" s="13">
        <v>0</v>
      </c>
      <c r="AK1071" s="13">
        <v>0</v>
      </c>
      <c r="AL1071" s="13">
        <v>0</v>
      </c>
      <c r="AM1071" s="13">
        <v>0</v>
      </c>
      <c r="AN1071" s="13">
        <v>0</v>
      </c>
      <c r="AO1071" s="14">
        <v>0</v>
      </c>
      <c r="AP1071" s="13">
        <v>3</v>
      </c>
      <c r="AQ1071" s="13">
        <v>11</v>
      </c>
      <c r="AR1071" s="15">
        <v>358</v>
      </c>
      <c r="AS1071" s="15">
        <v>377</v>
      </c>
    </row>
    <row r="1072" spans="1:45" x14ac:dyDescent="0.25">
      <c r="A1072">
        <v>2195</v>
      </c>
      <c r="B1072" s="11">
        <f t="shared" si="16"/>
        <v>57967</v>
      </c>
      <c r="C1072" s="16">
        <v>579670</v>
      </c>
      <c r="D1072" s="17">
        <v>0</v>
      </c>
      <c r="E1072" s="17">
        <v>1</v>
      </c>
      <c r="F1072" s="17">
        <v>39</v>
      </c>
      <c r="G1072" s="17">
        <v>58</v>
      </c>
      <c r="H1072" s="13" t="str" cm="1">
        <f t="array" ref="H1072">_xlfn.IFS(G1072&lt;=20,"0-20",G1072&lt;=30,"20-30",G1072&lt;=40,"30-40",G1072&lt;=50,"50-60",G1072&lt;=60,"60-70",G1072&lt;=70,"70-80",G1072&lt;=80,"80-90")</f>
        <v>60-70</v>
      </c>
      <c r="I1072" s="17">
        <v>2642</v>
      </c>
      <c r="J1072" s="13" t="str" cm="1">
        <f t="array" ref="J1072">_xlfn.IFS(K1072=1,"Divorciado",L1072=1,"Casado",M1072=1,"Solteiro",N1072=1,"Juntos",O1072=1,"Viuvo")</f>
        <v>Solteiro</v>
      </c>
      <c r="K1072" s="17">
        <v>0</v>
      </c>
      <c r="L1072" s="17">
        <v>0</v>
      </c>
      <c r="M1072" s="17">
        <v>1</v>
      </c>
      <c r="N1072" s="17">
        <v>0</v>
      </c>
      <c r="O1072" s="17">
        <v>0</v>
      </c>
      <c r="P1072" s="17">
        <v>0</v>
      </c>
      <c r="Q1072" s="17">
        <v>0</v>
      </c>
      <c r="R1072" s="17">
        <v>1</v>
      </c>
      <c r="S1072" s="17">
        <v>0</v>
      </c>
      <c r="T1072" s="17">
        <v>0</v>
      </c>
      <c r="U1072" s="17">
        <v>229</v>
      </c>
      <c r="V1072" s="13" t="str" cm="1">
        <f t="array" ref="V1072">_xlfn.IFS(U1072&lt;=250,"0-R$250",U1072&lt;=500,"251-R$500",U1072&lt;=750,"501-R$750",U1072&lt;=1000,"751-R$1000",U1072&lt;=1250,"1001-R$1250",U1072&lt;=1500,"1251-R$1500")</f>
        <v>0-R$250</v>
      </c>
      <c r="W1072" s="17">
        <v>7</v>
      </c>
      <c r="X1072" s="13" t="str" cm="1">
        <f t="array" ref="X1072">_xlfn.IFS(W1072 = 0, "0", W1072&lt;=20, "até R$20",W1072&lt;=40, "21 - R$40",W1072&lt;=60, "41- R$60",W1072&lt;=80, "61 - R$80", W1072&lt;=100, "81 - R$100",W1072&lt;=120, "101 - R$120",W1072&lt;=140, "121 - R$140", W1072&lt;=160, "141- R$160", W1072&lt;=180, "161 - R$180", W1072&lt;=200, "181-R$194")</f>
        <v>até R$20</v>
      </c>
      <c r="Y1072" s="17">
        <v>137</v>
      </c>
      <c r="Z1072" s="17">
        <v>4</v>
      </c>
      <c r="AA1072" s="17">
        <v>0</v>
      </c>
      <c r="AB1072" s="17">
        <v>91</v>
      </c>
      <c r="AC1072" s="17">
        <v>5</v>
      </c>
      <c r="AD1072" s="17">
        <v>4</v>
      </c>
      <c r="AE1072" s="17">
        <v>2</v>
      </c>
      <c r="AF1072" s="17">
        <v>8</v>
      </c>
      <c r="AG1072" s="17">
        <v>5</v>
      </c>
      <c r="AH1072" s="17">
        <v>0</v>
      </c>
      <c r="AI1072" s="17">
        <v>0</v>
      </c>
      <c r="AJ1072" s="17">
        <v>0</v>
      </c>
      <c r="AK1072" s="17">
        <v>0</v>
      </c>
      <c r="AL1072" s="17">
        <v>0</v>
      </c>
      <c r="AM1072" s="17">
        <v>0</v>
      </c>
      <c r="AN1072" s="17">
        <v>0</v>
      </c>
      <c r="AO1072" s="18">
        <v>0</v>
      </c>
      <c r="AP1072" s="17">
        <v>3</v>
      </c>
      <c r="AQ1072" s="17">
        <v>11</v>
      </c>
      <c r="AR1072" s="19">
        <v>286</v>
      </c>
      <c r="AS1072" s="19">
        <v>377</v>
      </c>
    </row>
    <row r="1073" spans="1:45" x14ac:dyDescent="0.25">
      <c r="A1073">
        <v>1405</v>
      </c>
      <c r="B1073" s="11">
        <f t="shared" si="16"/>
        <v>31907</v>
      </c>
      <c r="C1073" s="16">
        <v>319070</v>
      </c>
      <c r="D1073" s="17">
        <v>0</v>
      </c>
      <c r="E1073" s="17">
        <v>0</v>
      </c>
      <c r="F1073" s="17">
        <v>75</v>
      </c>
      <c r="G1073" s="17">
        <v>48</v>
      </c>
      <c r="H1073" s="13" t="str" cm="1">
        <f t="array" ref="H1073">_xlfn.IFS(G1073&lt;=20,"0-20",G1073&lt;=30,"20-30",G1073&lt;=40,"30-40",G1073&lt;=50,"50-60",G1073&lt;=60,"60-70",G1073&lt;=70,"70-80",G1073&lt;=80,"80-90")</f>
        <v>50-60</v>
      </c>
      <c r="I1073" s="17">
        <v>2641</v>
      </c>
      <c r="J1073" s="13" t="str" cm="1">
        <f t="array" ref="J1073">_xlfn.IFS(K1073=1,"Divorciado",L1073=1,"Casado",M1073=1,"Solteiro",N1073=1,"Juntos",O1073=1,"Viuvo")</f>
        <v>Solteiro</v>
      </c>
      <c r="K1073" s="17">
        <v>0</v>
      </c>
      <c r="L1073" s="17">
        <v>0</v>
      </c>
      <c r="M1073" s="17">
        <v>1</v>
      </c>
      <c r="N1073" s="17">
        <v>0</v>
      </c>
      <c r="O1073" s="17">
        <v>0</v>
      </c>
      <c r="P1073" s="17">
        <v>0</v>
      </c>
      <c r="Q1073" s="17">
        <v>0</v>
      </c>
      <c r="R1073" s="17">
        <v>1</v>
      </c>
      <c r="S1073" s="17">
        <v>0</v>
      </c>
      <c r="T1073" s="17">
        <v>0</v>
      </c>
      <c r="U1073" s="17">
        <v>33</v>
      </c>
      <c r="V1073" s="13" t="str" cm="1">
        <f t="array" ref="V1073">_xlfn.IFS(U1073&lt;=250,"0-R$250",U1073&lt;=500,"251-R$500",U1073&lt;=750,"501-R$750",U1073&lt;=1000,"751-R$1000",U1073&lt;=1250,"1001-R$1250",U1073&lt;=1500,"1251-R$1500")</f>
        <v>0-R$250</v>
      </c>
      <c r="W1073" s="17">
        <v>87</v>
      </c>
      <c r="X1073" s="13" t="str" cm="1">
        <f t="array" ref="X1073">_xlfn.IFS(W1073 = 0, "0", W1073&lt;=20, "até R$20",W1073&lt;=40, "21 - R$40",W1073&lt;=60, "41- R$60",W1073&lt;=80, "61 - R$80", W1073&lt;=100, "81 - R$100",W1073&lt;=120, "101 - R$120",W1073&lt;=140, "121 - R$140", W1073&lt;=160, "141- R$160", W1073&lt;=180, "161 - R$180", W1073&lt;=200, "181-R$194")</f>
        <v>81 - R$100</v>
      </c>
      <c r="Y1073" s="17">
        <v>64</v>
      </c>
      <c r="Z1073" s="17">
        <v>175</v>
      </c>
      <c r="AA1073" s="17">
        <v>16</v>
      </c>
      <c r="AB1073" s="17">
        <v>74</v>
      </c>
      <c r="AC1073" s="17">
        <v>1</v>
      </c>
      <c r="AD1073" s="17">
        <v>6</v>
      </c>
      <c r="AE1073" s="17">
        <v>1</v>
      </c>
      <c r="AF1073" s="17">
        <v>6</v>
      </c>
      <c r="AG1073" s="17">
        <v>7</v>
      </c>
      <c r="AH1073" s="17">
        <v>0</v>
      </c>
      <c r="AI1073" s="17">
        <v>0</v>
      </c>
      <c r="AJ1073" s="17">
        <v>0</v>
      </c>
      <c r="AK1073" s="17">
        <v>0</v>
      </c>
      <c r="AL1073" s="17">
        <v>0</v>
      </c>
      <c r="AM1073" s="17">
        <v>0</v>
      </c>
      <c r="AN1073" s="17">
        <v>0</v>
      </c>
      <c r="AO1073" s="18">
        <v>0</v>
      </c>
      <c r="AP1073" s="17">
        <v>3</v>
      </c>
      <c r="AQ1073" s="17">
        <v>11</v>
      </c>
      <c r="AR1073" s="19">
        <v>301</v>
      </c>
      <c r="AS1073" s="19">
        <v>375</v>
      </c>
    </row>
    <row r="1074" spans="1:45" x14ac:dyDescent="0.25">
      <c r="A1074">
        <v>2076</v>
      </c>
      <c r="B1074" s="11">
        <f t="shared" si="16"/>
        <v>72967</v>
      </c>
      <c r="C1074" s="12">
        <v>729670</v>
      </c>
      <c r="D1074" s="13">
        <v>0</v>
      </c>
      <c r="E1074" s="13">
        <v>1</v>
      </c>
      <c r="F1074" s="13">
        <v>1</v>
      </c>
      <c r="G1074" s="13">
        <v>50</v>
      </c>
      <c r="H1074" s="13" t="str" cm="1">
        <f t="array" ref="H1074">_xlfn.IFS(G1074&lt;=20,"0-20",G1074&lt;=30,"20-30",G1074&lt;=40,"30-40",G1074&lt;=50,"50-60",G1074&lt;=60,"60-70",G1074&lt;=70,"70-80",G1074&lt;=80,"80-90")</f>
        <v>50-60</v>
      </c>
      <c r="I1074" s="13">
        <v>2720</v>
      </c>
      <c r="J1074" s="13" t="str" cm="1">
        <f t="array" ref="J1074">_xlfn.IFS(K1074=1,"Divorciado",L1074=1,"Casado",M1074=1,"Solteiro",N1074=1,"Juntos",O1074=1,"Viuvo")</f>
        <v>Divorciado</v>
      </c>
      <c r="K1074" s="13">
        <v>1</v>
      </c>
      <c r="L1074" s="13">
        <v>0</v>
      </c>
      <c r="M1074" s="13">
        <v>0</v>
      </c>
      <c r="N1074" s="13">
        <v>0</v>
      </c>
      <c r="O1074" s="13">
        <v>0</v>
      </c>
      <c r="P1074" s="13">
        <v>0</v>
      </c>
      <c r="Q1074" s="13">
        <v>0</v>
      </c>
      <c r="R1074" s="13">
        <v>1</v>
      </c>
      <c r="S1074" s="13">
        <v>0</v>
      </c>
      <c r="T1074" s="13">
        <v>0</v>
      </c>
      <c r="U1074" s="13">
        <v>158</v>
      </c>
      <c r="V1074" s="13" t="str" cm="1">
        <f t="array" ref="V1074">_xlfn.IFS(U1074&lt;=250,"0-R$250",U1074&lt;=500,"251-R$500",U1074&lt;=750,"501-R$750",U1074&lt;=1000,"751-R$1000",U1074&lt;=1250,"1001-R$1250",U1074&lt;=1500,"1251-R$1500")</f>
        <v>0-R$250</v>
      </c>
      <c r="W1074" s="13">
        <v>35</v>
      </c>
      <c r="X1074" s="13" t="str" cm="1">
        <f t="array" ref="X1074">_xlfn.IFS(W1074 = 0, "0", W1074&lt;=20, "até R$20",W1074&lt;=40, "21 - R$40",W1074&lt;=60, "41- R$60",W1074&lt;=80, "61 - R$80", W1074&lt;=100, "81 - R$100",W1074&lt;=120, "101 - R$120",W1074&lt;=140, "121 - R$140", W1074&lt;=160, "141- R$160", W1074&lt;=180, "161 - R$180", W1074&lt;=200, "181-R$194")</f>
        <v>21 - R$40</v>
      </c>
      <c r="Y1074" s="13">
        <v>179</v>
      </c>
      <c r="Z1074" s="13">
        <v>0</v>
      </c>
      <c r="AA1074" s="13">
        <v>0</v>
      </c>
      <c r="AB1074" s="13">
        <v>125</v>
      </c>
      <c r="AC1074" s="13">
        <v>2</v>
      </c>
      <c r="AD1074" s="13">
        <v>7</v>
      </c>
      <c r="AE1074" s="13">
        <v>2</v>
      </c>
      <c r="AF1074" s="13">
        <v>8</v>
      </c>
      <c r="AG1074" s="13">
        <v>5</v>
      </c>
      <c r="AH1074" s="13">
        <v>0</v>
      </c>
      <c r="AI1074" s="13">
        <v>1</v>
      </c>
      <c r="AJ1074" s="13">
        <v>0</v>
      </c>
      <c r="AK1074" s="13">
        <v>0</v>
      </c>
      <c r="AL1074" s="13">
        <v>0</v>
      </c>
      <c r="AM1074" s="13">
        <v>0</v>
      </c>
      <c r="AN1074" s="13">
        <v>1</v>
      </c>
      <c r="AO1074" s="14">
        <v>1</v>
      </c>
      <c r="AP1074" s="13">
        <v>3</v>
      </c>
      <c r="AQ1074" s="13">
        <v>11</v>
      </c>
      <c r="AR1074" s="15">
        <v>247</v>
      </c>
      <c r="AS1074" s="15">
        <v>372</v>
      </c>
    </row>
    <row r="1075" spans="1:45" x14ac:dyDescent="0.25">
      <c r="A1075">
        <v>397</v>
      </c>
      <c r="B1075" s="11">
        <f t="shared" si="16"/>
        <v>46923</v>
      </c>
      <c r="C1075" s="16">
        <v>469230</v>
      </c>
      <c r="D1075" s="17">
        <v>1</v>
      </c>
      <c r="E1075" s="17">
        <v>0</v>
      </c>
      <c r="F1075" s="17">
        <v>90</v>
      </c>
      <c r="G1075" s="17">
        <v>33</v>
      </c>
      <c r="H1075" s="13" t="str" cm="1">
        <f t="array" ref="H1075">_xlfn.IFS(G1075&lt;=20,"0-20",G1075&lt;=30,"20-30",G1075&lt;=40,"30-40",G1075&lt;=50,"50-60",G1075&lt;=60,"60-70",G1075&lt;=70,"70-80",G1075&lt;=80,"80-90")</f>
        <v>30-40</v>
      </c>
      <c r="I1075" s="17">
        <v>2835</v>
      </c>
      <c r="J1075" s="13" t="str" cm="1">
        <f t="array" ref="J1075">_xlfn.IFS(K1075=1,"Divorciado",L1075=1,"Casado",M1075=1,"Solteiro",N1075=1,"Juntos",O1075=1,"Viuvo")</f>
        <v>Solteiro</v>
      </c>
      <c r="K1075" s="17">
        <v>0</v>
      </c>
      <c r="L1075" s="17">
        <v>0</v>
      </c>
      <c r="M1075" s="17">
        <v>1</v>
      </c>
      <c r="N1075" s="17">
        <v>0</v>
      </c>
      <c r="O1075" s="17">
        <v>0</v>
      </c>
      <c r="P1075" s="17">
        <v>0</v>
      </c>
      <c r="Q1075" s="17">
        <v>0</v>
      </c>
      <c r="R1075" s="17">
        <v>1</v>
      </c>
      <c r="S1075" s="17">
        <v>0</v>
      </c>
      <c r="T1075" s="17">
        <v>0</v>
      </c>
      <c r="U1075" s="17">
        <v>85</v>
      </c>
      <c r="V1075" s="13" t="str" cm="1">
        <f t="array" ref="V1075">_xlfn.IFS(U1075&lt;=250,"0-R$250",U1075&lt;=500,"251-R$500",U1075&lt;=750,"501-R$750",U1075&lt;=1000,"751-R$1000",U1075&lt;=1250,"1001-R$1250",U1075&lt;=1500,"1251-R$1500")</f>
        <v>0-R$250</v>
      </c>
      <c r="W1075" s="17">
        <v>44</v>
      </c>
      <c r="X1075" s="13" t="str" cm="1">
        <f t="array" ref="X1075">_xlfn.IFS(W1075 = 0, "0", W1075&lt;=20, "até R$20",W1075&lt;=40, "21 - R$40",W1075&lt;=60, "41- R$60",W1075&lt;=80, "61 - R$80", W1075&lt;=100, "81 - R$100",W1075&lt;=120, "101 - R$120",W1075&lt;=140, "121 - R$140", W1075&lt;=160, "141- R$160", W1075&lt;=180, "161 - R$180", W1075&lt;=200, "181-R$194")</f>
        <v>41- R$60</v>
      </c>
      <c r="Y1075" s="17">
        <v>54</v>
      </c>
      <c r="Z1075" s="17">
        <v>102</v>
      </c>
      <c r="AA1075" s="17">
        <v>78</v>
      </c>
      <c r="AB1075" s="17">
        <v>6</v>
      </c>
      <c r="AC1075" s="17">
        <v>3</v>
      </c>
      <c r="AD1075" s="17">
        <v>5</v>
      </c>
      <c r="AE1075" s="17">
        <v>1</v>
      </c>
      <c r="AF1075" s="17">
        <v>7</v>
      </c>
      <c r="AG1075" s="17">
        <v>7</v>
      </c>
      <c r="AH1075" s="17">
        <v>0</v>
      </c>
      <c r="AI1075" s="17">
        <v>0</v>
      </c>
      <c r="AJ1075" s="17">
        <v>0</v>
      </c>
      <c r="AK1075" s="17">
        <v>0</v>
      </c>
      <c r="AL1075" s="17">
        <v>0</v>
      </c>
      <c r="AM1075" s="17">
        <v>0</v>
      </c>
      <c r="AN1075" s="17">
        <v>0</v>
      </c>
      <c r="AO1075" s="18">
        <v>0</v>
      </c>
      <c r="AP1075" s="17">
        <v>3</v>
      </c>
      <c r="AQ1075" s="17">
        <v>11</v>
      </c>
      <c r="AR1075" s="19">
        <v>357</v>
      </c>
      <c r="AS1075" s="19">
        <v>363</v>
      </c>
    </row>
    <row r="1076" spans="1:45" x14ac:dyDescent="0.25">
      <c r="A1076">
        <v>849</v>
      </c>
      <c r="B1076" s="11">
        <f t="shared" si="16"/>
        <v>53172</v>
      </c>
      <c r="C1076" s="16">
        <v>531720</v>
      </c>
      <c r="D1076" s="17">
        <v>0</v>
      </c>
      <c r="E1076" s="17">
        <v>1</v>
      </c>
      <c r="F1076" s="17">
        <v>54</v>
      </c>
      <c r="G1076" s="17">
        <v>42</v>
      </c>
      <c r="H1076" s="13" t="str" cm="1">
        <f t="array" ref="H1076">_xlfn.IFS(G1076&lt;=20,"0-20",G1076&lt;=30,"20-30",G1076&lt;=40,"30-40",G1076&lt;=50,"50-60",G1076&lt;=60,"60-70",G1076&lt;=70,"70-80",G1076&lt;=80,"80-90")</f>
        <v>50-60</v>
      </c>
      <c r="I1076" s="17">
        <v>2578</v>
      </c>
      <c r="J1076" s="13" t="str" cm="1">
        <f t="array" ref="J1076">_xlfn.IFS(K1076=1,"Divorciado",L1076=1,"Casado",M1076=1,"Solteiro",N1076=1,"Juntos",O1076=1,"Viuvo")</f>
        <v>Juntos</v>
      </c>
      <c r="K1076" s="17">
        <v>0</v>
      </c>
      <c r="L1076" s="17">
        <v>0</v>
      </c>
      <c r="M1076" s="17">
        <v>0</v>
      </c>
      <c r="N1076" s="17">
        <v>1</v>
      </c>
      <c r="O1076" s="17">
        <v>0</v>
      </c>
      <c r="P1076" s="17">
        <v>0</v>
      </c>
      <c r="Q1076" s="17">
        <v>0</v>
      </c>
      <c r="R1076" s="17">
        <v>1</v>
      </c>
      <c r="S1076" s="17">
        <v>0</v>
      </c>
      <c r="T1076" s="17">
        <v>0</v>
      </c>
      <c r="U1076" s="17">
        <v>121</v>
      </c>
      <c r="V1076" s="13" t="str" cm="1">
        <f t="array" ref="V1076">_xlfn.IFS(U1076&lt;=250,"0-R$250",U1076&lt;=500,"251-R$500",U1076&lt;=750,"501-R$750",U1076&lt;=1000,"751-R$1000",U1076&lt;=1250,"1001-R$1250",U1076&lt;=1500,"1251-R$1500")</f>
        <v>0-R$250</v>
      </c>
      <c r="W1076" s="17">
        <v>62</v>
      </c>
      <c r="X1076" s="13" t="str" cm="1">
        <f t="array" ref="X1076">_xlfn.IFS(W1076 = 0, "0", W1076&lt;=20, "até R$20",W1076&lt;=40, "21 - R$40",W1076&lt;=60, "41- R$60",W1076&lt;=80, "61 - R$80", W1076&lt;=100, "81 - R$100",W1076&lt;=120, "101 - R$120",W1076&lt;=140, "121 - R$140", W1076&lt;=160, "141- R$160", W1076&lt;=180, "161 - R$180", W1076&lt;=200, "181-R$194")</f>
        <v>61 - R$80</v>
      </c>
      <c r="Y1076" s="17">
        <v>90</v>
      </c>
      <c r="Z1076" s="17">
        <v>68</v>
      </c>
      <c r="AA1076" s="17">
        <v>20</v>
      </c>
      <c r="AB1076" s="17">
        <v>125</v>
      </c>
      <c r="AC1076" s="17">
        <v>3</v>
      </c>
      <c r="AD1076" s="17">
        <v>2</v>
      </c>
      <c r="AE1076" s="17">
        <v>3</v>
      </c>
      <c r="AF1076" s="17">
        <v>8</v>
      </c>
      <c r="AG1076" s="17">
        <v>3</v>
      </c>
      <c r="AH1076" s="17">
        <v>0</v>
      </c>
      <c r="AI1076" s="17">
        <v>0</v>
      </c>
      <c r="AJ1076" s="17">
        <v>0</v>
      </c>
      <c r="AK1076" s="17">
        <v>0</v>
      </c>
      <c r="AL1076" s="17">
        <v>0</v>
      </c>
      <c r="AM1076" s="17">
        <v>0</v>
      </c>
      <c r="AN1076" s="17">
        <v>0</v>
      </c>
      <c r="AO1076" s="18">
        <v>0</v>
      </c>
      <c r="AP1076" s="17">
        <v>3</v>
      </c>
      <c r="AQ1076" s="17">
        <v>11</v>
      </c>
      <c r="AR1076" s="19">
        <v>236</v>
      </c>
      <c r="AS1076" s="19">
        <v>361</v>
      </c>
    </row>
    <row r="1077" spans="1:45" x14ac:dyDescent="0.25">
      <c r="A1077">
        <v>788</v>
      </c>
      <c r="B1077" s="11">
        <f t="shared" si="16"/>
        <v>55267</v>
      </c>
      <c r="C1077" s="12">
        <v>552670</v>
      </c>
      <c r="D1077" s="13">
        <v>0</v>
      </c>
      <c r="E1077" s="13">
        <v>1</v>
      </c>
      <c r="F1077" s="13">
        <v>28</v>
      </c>
      <c r="G1077" s="13">
        <v>63</v>
      </c>
      <c r="H1077" s="13" t="str" cm="1">
        <f t="array" ref="H1077">_xlfn.IFS(G1077&lt;=20,"0-20",G1077&lt;=30,"20-30",G1077&lt;=40,"30-40",G1077&lt;=50,"50-60",G1077&lt;=60,"60-70",G1077&lt;=70,"70-80",G1077&lt;=80,"80-90")</f>
        <v>70-80</v>
      </c>
      <c r="I1077" s="13">
        <v>2410</v>
      </c>
      <c r="J1077" s="13" t="str" cm="1">
        <f t="array" ref="J1077">_xlfn.IFS(K1077=1,"Divorciado",L1077=1,"Casado",M1077=1,"Solteiro",N1077=1,"Juntos",O1077=1,"Viuvo")</f>
        <v>Casado</v>
      </c>
      <c r="K1077" s="13">
        <v>0</v>
      </c>
      <c r="L1077" s="13">
        <v>1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1</v>
      </c>
      <c r="S1077" s="13">
        <v>0</v>
      </c>
      <c r="T1077" s="13">
        <v>0</v>
      </c>
      <c r="U1077" s="13">
        <v>161</v>
      </c>
      <c r="V1077" s="13" t="str" cm="1">
        <f t="array" ref="V1077">_xlfn.IFS(U1077&lt;=250,"0-R$250",U1077&lt;=500,"251-R$500",U1077&lt;=750,"501-R$750",U1077&lt;=1000,"751-R$1000",U1077&lt;=1250,"1001-R$1250",U1077&lt;=1500,"1251-R$1500")</f>
        <v>0-R$250</v>
      </c>
      <c r="W1077" s="13">
        <v>28</v>
      </c>
      <c r="X1077" s="13" t="str" cm="1">
        <f t="array" ref="X1077">_xlfn.IFS(W1077 = 0, "0", W1077&lt;=20, "até R$20",W1077&lt;=40, "21 - R$40",W1077&lt;=60, "41- R$60",W1077&lt;=80, "61 - R$80", W1077&lt;=100, "81 - R$100",W1077&lt;=120, "101 - R$120",W1077&lt;=140, "121 - R$140", W1077&lt;=160, "141- R$160", W1077&lt;=180, "161 - R$180", W1077&lt;=200, "181-R$194")</f>
        <v>21 - R$40</v>
      </c>
      <c r="Y1077" s="13">
        <v>136</v>
      </c>
      <c r="Z1077" s="13">
        <v>32</v>
      </c>
      <c r="AA1077" s="13">
        <v>3</v>
      </c>
      <c r="AB1077" s="13">
        <v>45</v>
      </c>
      <c r="AC1077" s="13">
        <v>4</v>
      </c>
      <c r="AD1077" s="13">
        <v>3</v>
      </c>
      <c r="AE1077" s="13">
        <v>4</v>
      </c>
      <c r="AF1077" s="13">
        <v>6</v>
      </c>
      <c r="AG1077" s="13">
        <v>3</v>
      </c>
      <c r="AH1077" s="13">
        <v>0</v>
      </c>
      <c r="AI1077" s="13">
        <v>0</v>
      </c>
      <c r="AJ1077" s="13">
        <v>0</v>
      </c>
      <c r="AK1077" s="13">
        <v>0</v>
      </c>
      <c r="AL1077" s="13">
        <v>0</v>
      </c>
      <c r="AM1077" s="13">
        <v>0</v>
      </c>
      <c r="AN1077" s="13">
        <v>0</v>
      </c>
      <c r="AO1077" s="14">
        <v>0</v>
      </c>
      <c r="AP1077" s="13">
        <v>3</v>
      </c>
      <c r="AQ1077" s="13">
        <v>11</v>
      </c>
      <c r="AR1077" s="15">
        <v>315</v>
      </c>
      <c r="AS1077" s="15">
        <v>360</v>
      </c>
    </row>
    <row r="1078" spans="1:45" x14ac:dyDescent="0.25">
      <c r="A1078">
        <v>1296</v>
      </c>
      <c r="B1078" s="11">
        <f t="shared" si="16"/>
        <v>47009</v>
      </c>
      <c r="C1078" s="12">
        <v>470090</v>
      </c>
      <c r="D1078" s="13">
        <v>0</v>
      </c>
      <c r="E1078" s="13">
        <v>1</v>
      </c>
      <c r="F1078" s="13">
        <v>89</v>
      </c>
      <c r="G1078" s="13">
        <v>55</v>
      </c>
      <c r="H1078" s="13" t="str" cm="1">
        <f t="array" ref="H1078">_xlfn.IFS(G1078&lt;=20,"0-20",G1078&lt;=30,"20-30",G1078&lt;=40,"30-40",G1078&lt;=50,"50-60",G1078&lt;=60,"60-70",G1078&lt;=70,"70-80",G1078&lt;=80,"80-90")</f>
        <v>60-70</v>
      </c>
      <c r="I1078" s="13">
        <v>2430</v>
      </c>
      <c r="J1078" s="13" t="str" cm="1">
        <f t="array" ref="J1078">_xlfn.IFS(K1078=1,"Divorciado",L1078=1,"Casado",M1078=1,"Solteiro",N1078=1,"Juntos",O1078=1,"Viuvo")</f>
        <v>Juntos</v>
      </c>
      <c r="K1078" s="13">
        <v>0</v>
      </c>
      <c r="L1078" s="13">
        <v>0</v>
      </c>
      <c r="M1078" s="13">
        <v>0</v>
      </c>
      <c r="N1078" s="13">
        <v>1</v>
      </c>
      <c r="O1078" s="13">
        <v>0</v>
      </c>
      <c r="P1078" s="13">
        <v>0</v>
      </c>
      <c r="Q1078" s="13">
        <v>0</v>
      </c>
      <c r="R1078" s="13">
        <v>1</v>
      </c>
      <c r="S1078" s="13">
        <v>0</v>
      </c>
      <c r="T1078" s="13">
        <v>0</v>
      </c>
      <c r="U1078" s="13">
        <v>171</v>
      </c>
      <c r="V1078" s="13" t="str" cm="1">
        <f t="array" ref="V1078">_xlfn.IFS(U1078&lt;=250,"0-R$250",U1078&lt;=500,"251-R$500",U1078&lt;=750,"501-R$750",U1078&lt;=1000,"751-R$1000",U1078&lt;=1250,"1001-R$1250",U1078&lt;=1500,"1251-R$1500")</f>
        <v>0-R$250</v>
      </c>
      <c r="W1078" s="13">
        <v>45</v>
      </c>
      <c r="X1078" s="13" t="str" cm="1">
        <f t="array" ref="X1078">_xlfn.IFS(W1078 = 0, "0", W1078&lt;=20, "até R$20",W1078&lt;=40, "21 - R$40",W1078&lt;=60, "41- R$60",W1078&lt;=80, "61 - R$80", W1078&lt;=100, "81 - R$100",W1078&lt;=120, "101 - R$120",W1078&lt;=140, "121 - R$140", W1078&lt;=160, "141- R$160", W1078&lt;=180, "161 - R$180", W1078&lt;=200, "181-R$194")</f>
        <v>41- R$60</v>
      </c>
      <c r="Y1078" s="13">
        <v>73</v>
      </c>
      <c r="Z1078" s="13">
        <v>59</v>
      </c>
      <c r="AA1078" s="13">
        <v>10</v>
      </c>
      <c r="AB1078" s="13">
        <v>90</v>
      </c>
      <c r="AC1078" s="13">
        <v>4</v>
      </c>
      <c r="AD1078" s="13">
        <v>3</v>
      </c>
      <c r="AE1078" s="13">
        <v>2</v>
      </c>
      <c r="AF1078" s="13">
        <v>8</v>
      </c>
      <c r="AG1078" s="13">
        <v>4</v>
      </c>
      <c r="AH1078" s="13">
        <v>0</v>
      </c>
      <c r="AI1078" s="13">
        <v>0</v>
      </c>
      <c r="AJ1078" s="13">
        <v>0</v>
      </c>
      <c r="AK1078" s="13">
        <v>0</v>
      </c>
      <c r="AL1078" s="13">
        <v>0</v>
      </c>
      <c r="AM1078" s="13">
        <v>0</v>
      </c>
      <c r="AN1078" s="13">
        <v>0</v>
      </c>
      <c r="AO1078" s="14">
        <v>0</v>
      </c>
      <c r="AP1078" s="13">
        <v>3</v>
      </c>
      <c r="AQ1078" s="13">
        <v>11</v>
      </c>
      <c r="AR1078" s="15">
        <v>268</v>
      </c>
      <c r="AS1078" s="15">
        <v>358</v>
      </c>
    </row>
    <row r="1079" spans="1:45" x14ac:dyDescent="0.25">
      <c r="A1079">
        <v>1864</v>
      </c>
      <c r="B1079" s="11">
        <f t="shared" si="16"/>
        <v>42081</v>
      </c>
      <c r="C1079" s="12">
        <v>420810</v>
      </c>
      <c r="D1079" s="13">
        <v>1</v>
      </c>
      <c r="E1079" s="13">
        <v>0</v>
      </c>
      <c r="F1079" s="13">
        <v>86</v>
      </c>
      <c r="G1079" s="13">
        <v>38</v>
      </c>
      <c r="H1079" s="13" t="str" cm="1">
        <f t="array" ref="H1079">_xlfn.IFS(G1079&lt;=20,"0-20",G1079&lt;=30,"20-30",G1079&lt;=40,"30-40",G1079&lt;=50,"50-60",G1079&lt;=60,"60-70",G1079&lt;=70,"70-80",G1079&lt;=80,"80-90")</f>
        <v>30-40</v>
      </c>
      <c r="I1079" s="13">
        <v>2647</v>
      </c>
      <c r="J1079" s="13" t="str" cm="1">
        <f t="array" ref="J1079">_xlfn.IFS(K1079=1,"Divorciado",L1079=1,"Casado",M1079=1,"Solteiro",N1079=1,"Juntos",O1079=1,"Viuvo")</f>
        <v>Casado</v>
      </c>
      <c r="K1079" s="13">
        <v>0</v>
      </c>
      <c r="L1079" s="13">
        <v>1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3">
        <v>1</v>
      </c>
      <c r="S1079" s="13">
        <v>0</v>
      </c>
      <c r="T1079" s="13">
        <v>0</v>
      </c>
      <c r="U1079" s="13">
        <v>175</v>
      </c>
      <c r="V1079" s="13" t="str" cm="1">
        <f t="array" ref="V1079">_xlfn.IFS(U1079&lt;=250,"0-R$250",U1079&lt;=500,"251-R$500",U1079&lt;=750,"501-R$750",U1079&lt;=1000,"751-R$1000",U1079&lt;=1250,"1001-R$1250",U1079&lt;=1500,"1251-R$1500")</f>
        <v>0-R$250</v>
      </c>
      <c r="W1079" s="13">
        <v>10</v>
      </c>
      <c r="X1079" s="13" t="str" cm="1">
        <f t="array" ref="X1079">_xlfn.IFS(W1079 = 0, "0", W1079&lt;=20, "até R$20",W1079&lt;=40, "21 - R$40",W1079&lt;=60, "41- R$60",W1079&lt;=80, "61 - R$80", W1079&lt;=100, "81 - R$100",W1079&lt;=120, "101 - R$120",W1079&lt;=140, "121 - R$140", W1079&lt;=160, "141- R$160", W1079&lt;=180, "161 - R$180", W1079&lt;=200, "181-R$194")</f>
        <v>até R$20</v>
      </c>
      <c r="Y1079" s="13">
        <v>110</v>
      </c>
      <c r="Z1079" s="13">
        <v>54</v>
      </c>
      <c r="AA1079" s="13">
        <v>6</v>
      </c>
      <c r="AB1079" s="13">
        <v>27</v>
      </c>
      <c r="AC1079" s="13">
        <v>2</v>
      </c>
      <c r="AD1079" s="13">
        <v>6</v>
      </c>
      <c r="AE1079" s="13">
        <v>3</v>
      </c>
      <c r="AF1079" s="13">
        <v>4</v>
      </c>
      <c r="AG1079" s="13">
        <v>6</v>
      </c>
      <c r="AH1079" s="13">
        <v>0</v>
      </c>
      <c r="AI1079" s="13">
        <v>1</v>
      </c>
      <c r="AJ1079" s="13">
        <v>0</v>
      </c>
      <c r="AK1079" s="13">
        <v>0</v>
      </c>
      <c r="AL1079" s="13">
        <v>0</v>
      </c>
      <c r="AM1079" s="13">
        <v>0</v>
      </c>
      <c r="AN1079" s="13">
        <v>0</v>
      </c>
      <c r="AO1079" s="14">
        <v>1</v>
      </c>
      <c r="AP1079" s="13">
        <v>3</v>
      </c>
      <c r="AQ1079" s="13">
        <v>11</v>
      </c>
      <c r="AR1079" s="15">
        <v>328</v>
      </c>
      <c r="AS1079" s="15">
        <v>355</v>
      </c>
    </row>
    <row r="1080" spans="1:45" x14ac:dyDescent="0.25">
      <c r="A1080">
        <v>1059</v>
      </c>
      <c r="B1080" s="11">
        <f t="shared" si="16"/>
        <v>50014</v>
      </c>
      <c r="C1080" s="16">
        <v>500140</v>
      </c>
      <c r="D1080" s="17">
        <v>1</v>
      </c>
      <c r="E1080" s="17">
        <v>0</v>
      </c>
      <c r="F1080" s="17">
        <v>9</v>
      </c>
      <c r="G1080" s="17">
        <v>52</v>
      </c>
      <c r="H1080" s="13" t="str" cm="1">
        <f t="array" ref="H1080">_xlfn.IFS(G1080&lt;=20,"0-20",G1080&lt;=30,"20-30",G1080&lt;=40,"30-40",G1080&lt;=50,"50-60",G1080&lt;=60,"60-70",G1080&lt;=70,"70-80",G1080&lt;=80,"80-90")</f>
        <v>60-70</v>
      </c>
      <c r="I1080" s="17">
        <v>2317</v>
      </c>
      <c r="J1080" s="13" t="str" cm="1">
        <f t="array" ref="J1080">_xlfn.IFS(K1080=1,"Divorciado",L1080=1,"Casado",M1080=1,"Solteiro",N1080=1,"Juntos",O1080=1,"Viuvo")</f>
        <v>Solteiro</v>
      </c>
      <c r="K1080" s="17">
        <v>0</v>
      </c>
      <c r="L1080" s="17">
        <v>0</v>
      </c>
      <c r="M1080" s="17">
        <v>1</v>
      </c>
      <c r="N1080" s="17">
        <v>0</v>
      </c>
      <c r="O1080" s="17">
        <v>0</v>
      </c>
      <c r="P1080" s="17">
        <v>0</v>
      </c>
      <c r="Q1080" s="17">
        <v>0</v>
      </c>
      <c r="R1080" s="17">
        <v>0</v>
      </c>
      <c r="S1080" s="17">
        <v>1</v>
      </c>
      <c r="T1080" s="17">
        <v>0</v>
      </c>
      <c r="U1080" s="17">
        <v>234</v>
      </c>
      <c r="V1080" s="13" t="str" cm="1">
        <f t="array" ref="V1080">_xlfn.IFS(U1080&lt;=250,"0-R$250",U1080&lt;=500,"251-R$500",U1080&lt;=750,"501-R$750",U1080&lt;=1000,"751-R$1000",U1080&lt;=1250,"1001-R$1250",U1080&lt;=1500,"1251-R$1500")</f>
        <v>0-R$250</v>
      </c>
      <c r="W1080" s="17">
        <v>14</v>
      </c>
      <c r="X1080" s="13" t="str" cm="1">
        <f t="array" ref="X1080">_xlfn.IFS(W1080 = 0, "0", W1080&lt;=20, "até R$20",W1080&lt;=40, "21 - R$40",W1080&lt;=60, "41- R$60",W1080&lt;=80, "61 - R$80", W1080&lt;=100, "81 - R$100",W1080&lt;=120, "101 - R$120",W1080&lt;=140, "121 - R$140", W1080&lt;=160, "141- R$160", W1080&lt;=180, "161 - R$180", W1080&lt;=200, "181-R$194")</f>
        <v>até R$20</v>
      </c>
      <c r="Y1080" s="17">
        <v>77</v>
      </c>
      <c r="Z1080" s="17">
        <v>19</v>
      </c>
      <c r="AA1080" s="17">
        <v>10</v>
      </c>
      <c r="AB1080" s="17">
        <v>42</v>
      </c>
      <c r="AC1080" s="17">
        <v>2</v>
      </c>
      <c r="AD1080" s="17">
        <v>4</v>
      </c>
      <c r="AE1080" s="17">
        <v>1</v>
      </c>
      <c r="AF1080" s="17">
        <v>8</v>
      </c>
      <c r="AG1080" s="17">
        <v>5</v>
      </c>
      <c r="AH1080" s="17">
        <v>0</v>
      </c>
      <c r="AI1080" s="17">
        <v>0</v>
      </c>
      <c r="AJ1080" s="17">
        <v>0</v>
      </c>
      <c r="AK1080" s="17">
        <v>0</v>
      </c>
      <c r="AL1080" s="17">
        <v>0</v>
      </c>
      <c r="AM1080" s="17">
        <v>0</v>
      </c>
      <c r="AN1080" s="17">
        <v>0</v>
      </c>
      <c r="AO1080" s="18">
        <v>0</v>
      </c>
      <c r="AP1080" s="17">
        <v>3</v>
      </c>
      <c r="AQ1080" s="17">
        <v>11</v>
      </c>
      <c r="AR1080" s="19">
        <v>312</v>
      </c>
      <c r="AS1080" s="19">
        <v>354</v>
      </c>
    </row>
    <row r="1081" spans="1:45" x14ac:dyDescent="0.25">
      <c r="A1081">
        <v>2010</v>
      </c>
      <c r="B1081" s="11">
        <f t="shared" si="16"/>
        <v>60905</v>
      </c>
      <c r="C1081" s="12">
        <v>609050</v>
      </c>
      <c r="D1081" s="13">
        <v>0</v>
      </c>
      <c r="E1081" s="13">
        <v>1</v>
      </c>
      <c r="F1081" s="13">
        <v>27</v>
      </c>
      <c r="G1081" s="13">
        <v>70</v>
      </c>
      <c r="H1081" s="13" t="str" cm="1">
        <f t="array" ref="H1081">_xlfn.IFS(G1081&lt;=20,"0-20",G1081&lt;=30,"20-30",G1081&lt;=40,"30-40",G1081&lt;=50,"50-60",G1081&lt;=60,"60-70",G1081&lt;=70,"70-80",G1081&lt;=80,"80-90")</f>
        <v>70-80</v>
      </c>
      <c r="I1081" s="13">
        <v>2365</v>
      </c>
      <c r="J1081" s="13" t="str" cm="1">
        <f t="array" ref="J1081">_xlfn.IFS(K1081=1,"Divorciado",L1081=1,"Casado",M1081=1,"Solteiro",N1081=1,"Juntos",O1081=1,"Viuvo")</f>
        <v>Juntos</v>
      </c>
      <c r="K1081" s="13">
        <v>0</v>
      </c>
      <c r="L1081" s="13">
        <v>0</v>
      </c>
      <c r="M1081" s="13">
        <v>0</v>
      </c>
      <c r="N1081" s="13">
        <v>1</v>
      </c>
      <c r="O1081" s="13">
        <v>0</v>
      </c>
      <c r="P1081" s="13">
        <v>0</v>
      </c>
      <c r="Q1081" s="13">
        <v>0</v>
      </c>
      <c r="R1081" s="13">
        <v>1</v>
      </c>
      <c r="S1081" s="13">
        <v>0</v>
      </c>
      <c r="T1081" s="13">
        <v>0</v>
      </c>
      <c r="U1081" s="13">
        <v>208</v>
      </c>
      <c r="V1081" s="13" t="str" cm="1">
        <f t="array" ref="V1081">_xlfn.IFS(U1081&lt;=250,"0-R$250",U1081&lt;=500,"251-R$500",U1081&lt;=750,"501-R$750",U1081&lt;=1000,"751-R$1000",U1081&lt;=1250,"1001-R$1250",U1081&lt;=1500,"1251-R$1500")</f>
        <v>0-R$250</v>
      </c>
      <c r="W1081" s="13">
        <v>17</v>
      </c>
      <c r="X1081" s="13" t="str" cm="1">
        <f t="array" ref="X1081">_xlfn.IFS(W1081 = 0, "0", W1081&lt;=20, "até R$20",W1081&lt;=40, "21 - R$40",W1081&lt;=60, "41- R$60",W1081&lt;=80, "61 - R$80", W1081&lt;=100, "81 - R$100",W1081&lt;=120, "101 - R$120",W1081&lt;=140, "121 - R$140", W1081&lt;=160, "141- R$160", W1081&lt;=180, "161 - R$180", W1081&lt;=200, "181-R$194")</f>
        <v>até R$20</v>
      </c>
      <c r="Y1081" s="13">
        <v>76</v>
      </c>
      <c r="Z1081" s="13">
        <v>36</v>
      </c>
      <c r="AA1081" s="13">
        <v>17</v>
      </c>
      <c r="AB1081" s="13">
        <v>38</v>
      </c>
      <c r="AC1081" s="13">
        <v>2</v>
      </c>
      <c r="AD1081" s="13">
        <v>3</v>
      </c>
      <c r="AE1081" s="13">
        <v>3</v>
      </c>
      <c r="AF1081" s="13">
        <v>7</v>
      </c>
      <c r="AG1081" s="13">
        <v>2</v>
      </c>
      <c r="AH1081" s="13">
        <v>0</v>
      </c>
      <c r="AI1081" s="13">
        <v>0</v>
      </c>
      <c r="AJ1081" s="13">
        <v>0</v>
      </c>
      <c r="AK1081" s="13">
        <v>0</v>
      </c>
      <c r="AL1081" s="13">
        <v>0</v>
      </c>
      <c r="AM1081" s="13">
        <v>0</v>
      </c>
      <c r="AN1081" s="13">
        <v>0</v>
      </c>
      <c r="AO1081" s="14">
        <v>0</v>
      </c>
      <c r="AP1081" s="13">
        <v>3</v>
      </c>
      <c r="AQ1081" s="13">
        <v>11</v>
      </c>
      <c r="AR1081" s="15">
        <v>316</v>
      </c>
      <c r="AS1081" s="15">
        <v>354</v>
      </c>
    </row>
    <row r="1082" spans="1:45" x14ac:dyDescent="0.25">
      <c r="A1082">
        <v>2187</v>
      </c>
      <c r="B1082" s="11">
        <f t="shared" si="16"/>
        <v>40101</v>
      </c>
      <c r="C1082" s="16">
        <v>401010</v>
      </c>
      <c r="D1082" s="17">
        <v>1</v>
      </c>
      <c r="E1082" s="17">
        <v>0</v>
      </c>
      <c r="F1082" s="17">
        <v>73</v>
      </c>
      <c r="G1082" s="17">
        <v>35</v>
      </c>
      <c r="H1082" s="13" t="str" cm="1">
        <f t="array" ref="H1082">_xlfn.IFS(G1082&lt;=20,"0-20",G1082&lt;=30,"20-30",G1082&lt;=40,"30-40",G1082&lt;=50,"50-60",G1082&lt;=60,"60-70",G1082&lt;=70,"70-80",G1082&lt;=80,"80-90")</f>
        <v>30-40</v>
      </c>
      <c r="I1082" s="17">
        <v>2782</v>
      </c>
      <c r="J1082" s="13" t="str" cm="1">
        <f t="array" ref="J1082">_xlfn.IFS(K1082=1,"Divorciado",L1082=1,"Casado",M1082=1,"Solteiro",N1082=1,"Juntos",O1082=1,"Viuvo")</f>
        <v>Juntos</v>
      </c>
      <c r="K1082" s="17">
        <v>0</v>
      </c>
      <c r="L1082" s="17">
        <v>0</v>
      </c>
      <c r="M1082" s="17">
        <v>0</v>
      </c>
      <c r="N1082" s="17">
        <v>1</v>
      </c>
      <c r="O1082" s="17">
        <v>0</v>
      </c>
      <c r="P1082" s="17">
        <v>0</v>
      </c>
      <c r="Q1082" s="17">
        <v>0</v>
      </c>
      <c r="R1082" s="17">
        <v>0</v>
      </c>
      <c r="S1082" s="17">
        <v>1</v>
      </c>
      <c r="T1082" s="17">
        <v>0</v>
      </c>
      <c r="U1082" s="17">
        <v>171</v>
      </c>
      <c r="V1082" s="13" t="str" cm="1">
        <f t="array" ref="V1082">_xlfn.IFS(U1082&lt;=250,"0-R$250",U1082&lt;=500,"251-R$500",U1082&lt;=750,"501-R$750",U1082&lt;=1000,"751-R$1000",U1082&lt;=1250,"1001-R$1250",U1082&lt;=1500,"1251-R$1500")</f>
        <v>0-R$250</v>
      </c>
      <c r="W1082" s="17">
        <v>3</v>
      </c>
      <c r="X1082" s="13" t="str" cm="1">
        <f t="array" ref="X1082">_xlfn.IFS(W1082 = 0, "0", W1082&lt;=20, "até R$20",W1082&lt;=40, "21 - R$40",W1082&lt;=60, "41- R$60",W1082&lt;=80, "61 - R$80", W1082&lt;=100, "81 - R$100",W1082&lt;=120, "101 - R$120",W1082&lt;=140, "121 - R$140", W1082&lt;=160, "141- R$160", W1082&lt;=180, "161 - R$180", W1082&lt;=200, "181-R$194")</f>
        <v>até R$20</v>
      </c>
      <c r="Y1082" s="17">
        <v>129</v>
      </c>
      <c r="Z1082" s="17">
        <v>26</v>
      </c>
      <c r="AA1082" s="17">
        <v>24</v>
      </c>
      <c r="AB1082" s="17">
        <v>62</v>
      </c>
      <c r="AC1082" s="17">
        <v>4</v>
      </c>
      <c r="AD1082" s="17">
        <v>6</v>
      </c>
      <c r="AE1082" s="17">
        <v>1</v>
      </c>
      <c r="AF1082" s="17">
        <v>6</v>
      </c>
      <c r="AG1082" s="17">
        <v>7</v>
      </c>
      <c r="AH1082" s="17">
        <v>0</v>
      </c>
      <c r="AI1082" s="17">
        <v>0</v>
      </c>
      <c r="AJ1082" s="17">
        <v>0</v>
      </c>
      <c r="AK1082" s="17">
        <v>0</v>
      </c>
      <c r="AL1082" s="17">
        <v>0</v>
      </c>
      <c r="AM1082" s="17">
        <v>0</v>
      </c>
      <c r="AN1082" s="17">
        <v>0</v>
      </c>
      <c r="AO1082" s="18">
        <v>0</v>
      </c>
      <c r="AP1082" s="17">
        <v>3</v>
      </c>
      <c r="AQ1082" s="17">
        <v>11</v>
      </c>
      <c r="AR1082" s="19">
        <v>291</v>
      </c>
      <c r="AS1082" s="19">
        <v>353</v>
      </c>
    </row>
    <row r="1083" spans="1:45" x14ac:dyDescent="0.25">
      <c r="A1083">
        <v>906</v>
      </c>
      <c r="B1083" s="11">
        <f t="shared" si="16"/>
        <v>24401</v>
      </c>
      <c r="C1083" s="12">
        <v>244010</v>
      </c>
      <c r="D1083" s="13">
        <v>0</v>
      </c>
      <c r="E1083" s="13">
        <v>0</v>
      </c>
      <c r="F1083" s="13">
        <v>98</v>
      </c>
      <c r="G1083" s="13">
        <v>41</v>
      </c>
      <c r="H1083" s="13" t="str" cm="1">
        <f t="array" ref="H1083">_xlfn.IFS(G1083&lt;=20,"0-20",G1083&lt;=30,"20-30",G1083&lt;=40,"30-40",G1083&lt;=50,"50-60",G1083&lt;=60,"60-70",G1083&lt;=70,"70-80",G1083&lt;=80,"80-90")</f>
        <v>50-60</v>
      </c>
      <c r="I1083" s="13">
        <v>2826</v>
      </c>
      <c r="J1083" s="13" t="str" cm="1">
        <f t="array" ref="J1083">_xlfn.IFS(K1083=1,"Divorciado",L1083=1,"Casado",M1083=1,"Solteiro",N1083=1,"Juntos",O1083=1,"Viuvo")</f>
        <v>Juntos</v>
      </c>
      <c r="K1083" s="13">
        <v>0</v>
      </c>
      <c r="L1083" s="13">
        <v>0</v>
      </c>
      <c r="M1083" s="13">
        <v>0</v>
      </c>
      <c r="N1083" s="13">
        <v>1</v>
      </c>
      <c r="O1083" s="13">
        <v>0</v>
      </c>
      <c r="P1083" s="13">
        <v>0</v>
      </c>
      <c r="Q1083" s="13">
        <v>0</v>
      </c>
      <c r="R1083" s="13">
        <v>0</v>
      </c>
      <c r="S1083" s="13">
        <v>1</v>
      </c>
      <c r="T1083" s="13">
        <v>0</v>
      </c>
      <c r="U1083" s="13">
        <v>73</v>
      </c>
      <c r="V1083" s="13" t="str" cm="1">
        <f t="array" ref="V1083">_xlfn.IFS(U1083&lt;=250,"0-R$250",U1083&lt;=500,"251-R$500",U1083&lt;=750,"501-R$750",U1083&lt;=1000,"751-R$1000",U1083&lt;=1250,"1001-R$1250",U1083&lt;=1500,"1251-R$1500")</f>
        <v>0-R$250</v>
      </c>
      <c r="W1083" s="13">
        <v>28</v>
      </c>
      <c r="X1083" s="13" t="str" cm="1">
        <f t="array" ref="X1083">_xlfn.IFS(W1083 = 0, "0", W1083&lt;=20, "até R$20",W1083&lt;=40, "21 - R$40",W1083&lt;=60, "41- R$60",W1083&lt;=80, "61 - R$80", W1083&lt;=100, "81 - R$100",W1083&lt;=120, "101 - R$120",W1083&lt;=140, "121 - R$140", W1083&lt;=160, "141- R$160", W1083&lt;=180, "161 - R$180", W1083&lt;=200, "181-R$194")</f>
        <v>21 - R$40</v>
      </c>
      <c r="Y1083" s="13">
        <v>217</v>
      </c>
      <c r="Z1083" s="13">
        <v>10</v>
      </c>
      <c r="AA1083" s="13">
        <v>24</v>
      </c>
      <c r="AB1083" s="13">
        <v>115</v>
      </c>
      <c r="AC1083" s="13">
        <v>3</v>
      </c>
      <c r="AD1083" s="13">
        <v>6</v>
      </c>
      <c r="AE1083" s="13">
        <v>1</v>
      </c>
      <c r="AF1083" s="13">
        <v>6</v>
      </c>
      <c r="AG1083" s="13">
        <v>8</v>
      </c>
      <c r="AH1083" s="13">
        <v>0</v>
      </c>
      <c r="AI1083" s="13">
        <v>0</v>
      </c>
      <c r="AJ1083" s="13">
        <v>0</v>
      </c>
      <c r="AK1083" s="13">
        <v>0</v>
      </c>
      <c r="AL1083" s="13">
        <v>0</v>
      </c>
      <c r="AM1083" s="13">
        <v>0</v>
      </c>
      <c r="AN1083" s="13">
        <v>0</v>
      </c>
      <c r="AO1083" s="14">
        <v>0</v>
      </c>
      <c r="AP1083" s="13">
        <v>3</v>
      </c>
      <c r="AQ1083" s="13">
        <v>11</v>
      </c>
      <c r="AR1083" s="15">
        <v>237</v>
      </c>
      <c r="AS1083" s="15">
        <v>352</v>
      </c>
    </row>
    <row r="1084" spans="1:45" x14ac:dyDescent="0.25">
      <c r="A1084">
        <v>1713</v>
      </c>
      <c r="B1084" s="11">
        <f t="shared" si="16"/>
        <v>54984</v>
      </c>
      <c r="C1084" s="16">
        <v>549840</v>
      </c>
      <c r="D1084" s="17">
        <v>0</v>
      </c>
      <c r="E1084" s="17">
        <v>1</v>
      </c>
      <c r="F1084" s="17">
        <v>51</v>
      </c>
      <c r="G1084" s="17">
        <v>61</v>
      </c>
      <c r="H1084" s="13" t="str" cm="1">
        <f t="array" ref="H1084">_xlfn.IFS(G1084&lt;=20,"0-20",G1084&lt;=30,"20-30",G1084&lt;=40,"30-40",G1084&lt;=50,"50-60",G1084&lt;=60,"60-70",G1084&lt;=70,"70-80",G1084&lt;=80,"80-90")</f>
        <v>70-80</v>
      </c>
      <c r="I1084" s="17">
        <v>2195</v>
      </c>
      <c r="J1084" s="13" t="str" cm="1">
        <f t="array" ref="J1084">_xlfn.IFS(K1084=1,"Divorciado",L1084=1,"Casado",M1084=1,"Solteiro",N1084=1,"Juntos",O1084=1,"Viuvo")</f>
        <v>Casado</v>
      </c>
      <c r="K1084" s="17">
        <v>0</v>
      </c>
      <c r="L1084" s="17">
        <v>1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1</v>
      </c>
      <c r="S1084" s="17">
        <v>0</v>
      </c>
      <c r="T1084" s="17">
        <v>0</v>
      </c>
      <c r="U1084" s="17">
        <v>173</v>
      </c>
      <c r="V1084" s="13" t="str" cm="1">
        <f t="array" ref="V1084">_xlfn.IFS(U1084&lt;=250,"0-R$250",U1084&lt;=500,"251-R$500",U1084&lt;=750,"501-R$750",U1084&lt;=1000,"751-R$1000",U1084&lt;=1250,"1001-R$1250",U1084&lt;=1500,"1251-R$1500")</f>
        <v>0-R$250</v>
      </c>
      <c r="W1084" s="17">
        <v>13</v>
      </c>
      <c r="X1084" s="13" t="str" cm="1">
        <f t="array" ref="X1084">_xlfn.IFS(W1084 = 0, "0", W1084&lt;=20, "até R$20",W1084&lt;=40, "21 - R$40",W1084&lt;=60, "41- R$60",W1084&lt;=80, "61 - R$80", W1084&lt;=100, "81 - R$100",W1084&lt;=120, "101 - R$120",W1084&lt;=140, "121 - R$140", W1084&lt;=160, "141- R$160", W1084&lt;=180, "161 - R$180", W1084&lt;=200, "181-R$194")</f>
        <v>até R$20</v>
      </c>
      <c r="Y1084" s="17">
        <v>131</v>
      </c>
      <c r="Z1084" s="17">
        <v>32</v>
      </c>
      <c r="AA1084" s="17">
        <v>3</v>
      </c>
      <c r="AB1084" s="17">
        <v>6</v>
      </c>
      <c r="AC1084" s="17">
        <v>4</v>
      </c>
      <c r="AD1084" s="17">
        <v>6</v>
      </c>
      <c r="AE1084" s="17">
        <v>1</v>
      </c>
      <c r="AF1084" s="17">
        <v>6</v>
      </c>
      <c r="AG1084" s="17">
        <v>7</v>
      </c>
      <c r="AH1084" s="17">
        <v>0</v>
      </c>
      <c r="AI1084" s="17">
        <v>0</v>
      </c>
      <c r="AJ1084" s="17">
        <v>0</v>
      </c>
      <c r="AK1084" s="17">
        <v>0</v>
      </c>
      <c r="AL1084" s="17">
        <v>1</v>
      </c>
      <c r="AM1084" s="17">
        <v>0</v>
      </c>
      <c r="AN1084" s="17">
        <v>0</v>
      </c>
      <c r="AO1084" s="18">
        <v>1</v>
      </c>
      <c r="AP1084" s="17">
        <v>3</v>
      </c>
      <c r="AQ1084" s="17">
        <v>11</v>
      </c>
      <c r="AR1084" s="19">
        <v>346</v>
      </c>
      <c r="AS1084" s="19">
        <v>352</v>
      </c>
    </row>
    <row r="1085" spans="1:45" x14ac:dyDescent="0.25">
      <c r="A1085">
        <v>303</v>
      </c>
      <c r="B1085" s="11">
        <f t="shared" si="16"/>
        <v>66503</v>
      </c>
      <c r="C1085" s="16">
        <v>665030</v>
      </c>
      <c r="D1085" s="17">
        <v>1</v>
      </c>
      <c r="E1085" s="17">
        <v>0</v>
      </c>
      <c r="F1085" s="17">
        <v>30</v>
      </c>
      <c r="G1085" s="17">
        <v>35</v>
      </c>
      <c r="H1085" s="13" t="str" cm="1">
        <f t="array" ref="H1085">_xlfn.IFS(G1085&lt;=20,"0-20",G1085&lt;=30,"20-30",G1085&lt;=40,"30-40",G1085&lt;=50,"50-60",G1085&lt;=60,"60-70",G1085&lt;=70,"70-80",G1085&lt;=80,"80-90")</f>
        <v>30-40</v>
      </c>
      <c r="I1085" s="17">
        <v>2843</v>
      </c>
      <c r="J1085" s="13" t="str" cm="1">
        <f t="array" ref="J1085">_xlfn.IFS(K1085=1,"Divorciado",L1085=1,"Casado",M1085=1,"Solteiro",N1085=1,"Juntos",O1085=1,"Viuvo")</f>
        <v>Solteiro</v>
      </c>
      <c r="K1085" s="17">
        <v>0</v>
      </c>
      <c r="L1085" s="17">
        <v>0</v>
      </c>
      <c r="M1085" s="17">
        <v>1</v>
      </c>
      <c r="N1085" s="17">
        <v>0</v>
      </c>
      <c r="O1085" s="17">
        <v>0</v>
      </c>
      <c r="P1085" s="17">
        <v>0</v>
      </c>
      <c r="Q1085" s="17">
        <v>0</v>
      </c>
      <c r="R1085" s="17">
        <v>1</v>
      </c>
      <c r="S1085" s="17">
        <v>0</v>
      </c>
      <c r="T1085" s="17">
        <v>0</v>
      </c>
      <c r="U1085" s="17">
        <v>91</v>
      </c>
      <c r="V1085" s="13" t="str" cm="1">
        <f t="array" ref="V1085">_xlfn.IFS(U1085&lt;=250,"0-R$250",U1085&lt;=500,"251-R$500",U1085&lt;=750,"501-R$750",U1085&lt;=1000,"751-R$1000",U1085&lt;=1250,"1001-R$1250",U1085&lt;=1500,"1251-R$1500")</f>
        <v>0-R$250</v>
      </c>
      <c r="W1085" s="17">
        <v>64</v>
      </c>
      <c r="X1085" s="13" t="str" cm="1">
        <f t="array" ref="X1085">_xlfn.IFS(W1085 = 0, "0", W1085&lt;=20, "até R$20",W1085&lt;=40, "21 - R$40",W1085&lt;=60, "41- R$60",W1085&lt;=80, "61 - R$80", W1085&lt;=100, "81 - R$100",W1085&lt;=120, "101 - R$120",W1085&lt;=140, "121 - R$140", W1085&lt;=160, "141- R$160", W1085&lt;=180, "161 - R$180", W1085&lt;=200, "181-R$194")</f>
        <v>61 - R$80</v>
      </c>
      <c r="Y1085" s="17">
        <v>128</v>
      </c>
      <c r="Z1085" s="17">
        <v>65</v>
      </c>
      <c r="AA1085" s="17">
        <v>3</v>
      </c>
      <c r="AB1085" s="17">
        <v>50</v>
      </c>
      <c r="AC1085" s="17">
        <v>2</v>
      </c>
      <c r="AD1085" s="17">
        <v>4</v>
      </c>
      <c r="AE1085" s="17">
        <v>3</v>
      </c>
      <c r="AF1085" s="17">
        <v>6</v>
      </c>
      <c r="AG1085" s="17">
        <v>3</v>
      </c>
      <c r="AH1085" s="17">
        <v>0</v>
      </c>
      <c r="AI1085" s="17">
        <v>0</v>
      </c>
      <c r="AJ1085" s="17">
        <v>0</v>
      </c>
      <c r="AK1085" s="17">
        <v>0</v>
      </c>
      <c r="AL1085" s="17">
        <v>0</v>
      </c>
      <c r="AM1085" s="17">
        <v>0</v>
      </c>
      <c r="AN1085" s="17">
        <v>0</v>
      </c>
      <c r="AO1085" s="18">
        <v>0</v>
      </c>
      <c r="AP1085" s="17">
        <v>3</v>
      </c>
      <c r="AQ1085" s="17">
        <v>11</v>
      </c>
      <c r="AR1085" s="19">
        <v>301</v>
      </c>
      <c r="AS1085" s="19">
        <v>351</v>
      </c>
    </row>
    <row r="1086" spans="1:45" x14ac:dyDescent="0.25">
      <c r="A1086">
        <v>2019</v>
      </c>
      <c r="B1086" s="11">
        <f t="shared" si="16"/>
        <v>37150</v>
      </c>
      <c r="C1086" s="16">
        <v>371500</v>
      </c>
      <c r="D1086" s="17">
        <v>1</v>
      </c>
      <c r="E1086" s="17">
        <v>0</v>
      </c>
      <c r="F1086" s="17">
        <v>80</v>
      </c>
      <c r="G1086" s="17">
        <v>49</v>
      </c>
      <c r="H1086" s="13" t="str" cm="1">
        <f t="array" ref="H1086">_xlfn.IFS(G1086&lt;=20,"0-20",G1086&lt;=30,"20-30",G1086&lt;=40,"30-40",G1086&lt;=50,"50-60",G1086&lt;=60,"60-70",G1086&lt;=70,"70-80",G1086&lt;=80,"80-90")</f>
        <v>50-60</v>
      </c>
      <c r="I1086" s="17">
        <v>2815</v>
      </c>
      <c r="J1086" s="13" t="str" cm="1">
        <f t="array" ref="J1086">_xlfn.IFS(K1086=1,"Divorciado",L1086=1,"Casado",M1086=1,"Solteiro",N1086=1,"Juntos",O1086=1,"Viuvo")</f>
        <v>Casado</v>
      </c>
      <c r="K1086" s="17">
        <v>0</v>
      </c>
      <c r="L1086" s="17">
        <v>1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1</v>
      </c>
      <c r="S1086" s="17">
        <v>0</v>
      </c>
      <c r="T1086" s="17">
        <v>0</v>
      </c>
      <c r="U1086" s="17">
        <v>167</v>
      </c>
      <c r="V1086" s="13" t="str" cm="1">
        <f t="array" ref="V1086">_xlfn.IFS(U1086&lt;=250,"0-R$250",U1086&lt;=500,"251-R$500",U1086&lt;=750,"501-R$750",U1086&lt;=1000,"751-R$1000",U1086&lt;=1250,"1001-R$1250",U1086&lt;=1500,"1251-R$1500")</f>
        <v>0-R$250</v>
      </c>
      <c r="W1086" s="17">
        <v>37</v>
      </c>
      <c r="X1086" s="13" t="str" cm="1">
        <f t="array" ref="X1086">_xlfn.IFS(W1086 = 0, "0", W1086&lt;=20, "até R$20",W1086&lt;=40, "21 - R$40",W1086&lt;=60, "41- R$60",W1086&lt;=80, "61 - R$80", W1086&lt;=100, "81 - R$100",W1086&lt;=120, "101 - R$120",W1086&lt;=140, "121 - R$140", W1086&lt;=160, "141- R$160", W1086&lt;=180, "161 - R$180", W1086&lt;=200, "181-R$194")</f>
        <v>21 - R$40</v>
      </c>
      <c r="Y1086" s="17">
        <v>64</v>
      </c>
      <c r="Z1086" s="17">
        <v>49</v>
      </c>
      <c r="AA1086" s="17">
        <v>34</v>
      </c>
      <c r="AB1086" s="17">
        <v>116</v>
      </c>
      <c r="AC1086" s="17">
        <v>8</v>
      </c>
      <c r="AD1086" s="17">
        <v>4</v>
      </c>
      <c r="AE1086" s="17">
        <v>3</v>
      </c>
      <c r="AF1086" s="17">
        <v>6</v>
      </c>
      <c r="AG1086" s="17">
        <v>7</v>
      </c>
      <c r="AH1086" s="17">
        <v>0</v>
      </c>
      <c r="AI1086" s="17">
        <v>0</v>
      </c>
      <c r="AJ1086" s="17">
        <v>0</v>
      </c>
      <c r="AK1086" s="17">
        <v>0</v>
      </c>
      <c r="AL1086" s="17">
        <v>0</v>
      </c>
      <c r="AM1086" s="17">
        <v>0</v>
      </c>
      <c r="AN1086" s="17">
        <v>0</v>
      </c>
      <c r="AO1086" s="18">
        <v>0</v>
      </c>
      <c r="AP1086" s="17">
        <v>3</v>
      </c>
      <c r="AQ1086" s="17">
        <v>11</v>
      </c>
      <c r="AR1086" s="19">
        <v>235</v>
      </c>
      <c r="AS1086" s="19">
        <v>351</v>
      </c>
    </row>
    <row r="1087" spans="1:45" x14ac:dyDescent="0.25">
      <c r="A1087">
        <v>1465</v>
      </c>
      <c r="B1087" s="11">
        <f t="shared" si="16"/>
        <v>49854</v>
      </c>
      <c r="C1087" s="16">
        <v>498540</v>
      </c>
      <c r="D1087" s="17">
        <v>1</v>
      </c>
      <c r="E1087" s="17">
        <v>0</v>
      </c>
      <c r="F1087" s="17">
        <v>63</v>
      </c>
      <c r="G1087" s="17">
        <v>48</v>
      </c>
      <c r="H1087" s="13" t="str" cm="1">
        <f t="array" ref="H1087">_xlfn.IFS(G1087&lt;=20,"0-20",G1087&lt;=30,"20-30",G1087&lt;=40,"30-40",G1087&lt;=50,"50-60",G1087&lt;=60,"60-70",G1087&lt;=70,"70-80",G1087&lt;=80,"80-90")</f>
        <v>50-60</v>
      </c>
      <c r="I1087" s="17">
        <v>2390</v>
      </c>
      <c r="J1087" s="13" t="str" cm="1">
        <f t="array" ref="J1087">_xlfn.IFS(K1087=1,"Divorciado",L1087=1,"Casado",M1087=1,"Solteiro",N1087=1,"Juntos",O1087=1,"Viuvo")</f>
        <v>Juntos</v>
      </c>
      <c r="K1087" s="17">
        <v>0</v>
      </c>
      <c r="L1087" s="17">
        <v>0</v>
      </c>
      <c r="M1087" s="17">
        <v>0</v>
      </c>
      <c r="N1087" s="17">
        <v>1</v>
      </c>
      <c r="O1087" s="17">
        <v>0</v>
      </c>
      <c r="P1087" s="17">
        <v>0</v>
      </c>
      <c r="Q1087" s="17">
        <v>0</v>
      </c>
      <c r="R1087" s="17">
        <v>0</v>
      </c>
      <c r="S1087" s="17">
        <v>1</v>
      </c>
      <c r="T1087" s="17">
        <v>0</v>
      </c>
      <c r="U1087" s="17">
        <v>123</v>
      </c>
      <c r="V1087" s="13" t="str" cm="1">
        <f t="array" ref="V1087">_xlfn.IFS(U1087&lt;=250,"0-R$250",U1087&lt;=500,"251-R$500",U1087&lt;=750,"501-R$750",U1087&lt;=1000,"751-R$1000",U1087&lt;=1250,"1001-R$1250",U1087&lt;=1500,"1251-R$1500")</f>
        <v>0-R$250</v>
      </c>
      <c r="W1087" s="17">
        <v>17</v>
      </c>
      <c r="X1087" s="13" t="str" cm="1">
        <f t="array" ref="X1087">_xlfn.IFS(W1087 = 0, "0", W1087&lt;=20, "até R$20",W1087&lt;=40, "21 - R$40",W1087&lt;=60, "41- R$60",W1087&lt;=80, "61 - R$80", W1087&lt;=100, "81 - R$100",W1087&lt;=120, "101 - R$120",W1087&lt;=140, "121 - R$140", W1087&lt;=160, "141- R$160", W1087&lt;=180, "161 - R$180", W1087&lt;=200, "181-R$194")</f>
        <v>até R$20</v>
      </c>
      <c r="Y1087" s="17">
        <v>171</v>
      </c>
      <c r="Z1087" s="17">
        <v>39</v>
      </c>
      <c r="AA1087" s="17">
        <v>0</v>
      </c>
      <c r="AB1087" s="17">
        <v>30</v>
      </c>
      <c r="AC1087" s="17">
        <v>5</v>
      </c>
      <c r="AD1087" s="17">
        <v>6</v>
      </c>
      <c r="AE1087" s="17">
        <v>2</v>
      </c>
      <c r="AF1087" s="17">
        <v>5</v>
      </c>
      <c r="AG1087" s="17">
        <v>6</v>
      </c>
      <c r="AH1087" s="17">
        <v>0</v>
      </c>
      <c r="AI1087" s="17">
        <v>0</v>
      </c>
      <c r="AJ1087" s="17">
        <v>0</v>
      </c>
      <c r="AK1087" s="17">
        <v>0</v>
      </c>
      <c r="AL1087" s="17">
        <v>0</v>
      </c>
      <c r="AM1087" s="17">
        <v>0</v>
      </c>
      <c r="AN1087" s="17">
        <v>0</v>
      </c>
      <c r="AO1087" s="18">
        <v>0</v>
      </c>
      <c r="AP1087" s="17">
        <v>3</v>
      </c>
      <c r="AQ1087" s="17">
        <v>11</v>
      </c>
      <c r="AR1087" s="19">
        <v>320</v>
      </c>
      <c r="AS1087" s="19">
        <v>350</v>
      </c>
    </row>
    <row r="1088" spans="1:45" x14ac:dyDescent="0.25">
      <c r="A1088">
        <v>1932</v>
      </c>
      <c r="B1088" s="11">
        <f t="shared" si="16"/>
        <v>46998</v>
      </c>
      <c r="C1088" s="12">
        <v>469980</v>
      </c>
      <c r="D1088" s="13">
        <v>0</v>
      </c>
      <c r="E1088" s="13">
        <v>1</v>
      </c>
      <c r="F1088" s="13">
        <v>55</v>
      </c>
      <c r="G1088" s="13">
        <v>64</v>
      </c>
      <c r="H1088" s="13" t="str" cm="1">
        <f t="array" ref="H1088">_xlfn.IFS(G1088&lt;=20,"0-20",G1088&lt;=30,"20-30",G1088&lt;=40,"30-40",G1088&lt;=50,"50-60",G1088&lt;=60,"60-70",G1088&lt;=70,"70-80",G1088&lt;=80,"80-90")</f>
        <v>70-80</v>
      </c>
      <c r="I1088" s="13">
        <v>2774</v>
      </c>
      <c r="J1088" s="13" t="str" cm="1">
        <f t="array" ref="J1088">_xlfn.IFS(K1088=1,"Divorciado",L1088=1,"Casado",M1088=1,"Solteiro",N1088=1,"Juntos",O1088=1,"Viuvo")</f>
        <v>Solteiro</v>
      </c>
      <c r="K1088" s="13">
        <v>0</v>
      </c>
      <c r="L1088" s="13">
        <v>0</v>
      </c>
      <c r="M1088" s="13">
        <v>1</v>
      </c>
      <c r="N1088" s="13">
        <v>0</v>
      </c>
      <c r="O1088" s="13">
        <v>0</v>
      </c>
      <c r="P1088" s="13">
        <v>0</v>
      </c>
      <c r="Q1088" s="13">
        <v>0</v>
      </c>
      <c r="R1088" s="13">
        <v>1</v>
      </c>
      <c r="S1088" s="13">
        <v>0</v>
      </c>
      <c r="T1088" s="13">
        <v>0</v>
      </c>
      <c r="U1088" s="13">
        <v>172</v>
      </c>
      <c r="V1088" s="13" t="str" cm="1">
        <f t="array" ref="V1088">_xlfn.IFS(U1088&lt;=250,"0-R$250",U1088&lt;=500,"251-R$500",U1088&lt;=750,"501-R$750",U1088&lt;=1000,"751-R$1000",U1088&lt;=1250,"1001-R$1250",U1088&lt;=1500,"1251-R$1500")</f>
        <v>0-R$250</v>
      </c>
      <c r="W1088" s="13">
        <v>41</v>
      </c>
      <c r="X1088" s="13" t="str" cm="1">
        <f t="array" ref="X1088">_xlfn.IFS(W1088 = 0, "0", W1088&lt;=20, "até R$20",W1088&lt;=40, "21 - R$40",W1088&lt;=60, "41- R$60",W1088&lt;=80, "61 - R$80", W1088&lt;=100, "81 - R$100",W1088&lt;=120, "101 - R$120",W1088&lt;=140, "121 - R$140", W1088&lt;=160, "141- R$160", W1088&lt;=180, "161 - R$180", W1088&lt;=200, "181-R$194")</f>
        <v>41- R$60</v>
      </c>
      <c r="Y1088" s="13">
        <v>86</v>
      </c>
      <c r="Z1088" s="13">
        <v>45</v>
      </c>
      <c r="AA1088" s="13">
        <v>6</v>
      </c>
      <c r="AB1088" s="13">
        <v>27</v>
      </c>
      <c r="AC1088" s="13">
        <v>5</v>
      </c>
      <c r="AD1088" s="13">
        <v>5</v>
      </c>
      <c r="AE1088" s="13">
        <v>3</v>
      </c>
      <c r="AF1088" s="13">
        <v>5</v>
      </c>
      <c r="AG1088" s="13">
        <v>7</v>
      </c>
      <c r="AH1088" s="13">
        <v>0</v>
      </c>
      <c r="AI1088" s="13">
        <v>1</v>
      </c>
      <c r="AJ1088" s="13">
        <v>0</v>
      </c>
      <c r="AK1088" s="13">
        <v>0</v>
      </c>
      <c r="AL1088" s="13">
        <v>0</v>
      </c>
      <c r="AM1088" s="13">
        <v>0</v>
      </c>
      <c r="AN1088" s="13">
        <v>0</v>
      </c>
      <c r="AO1088" s="14">
        <v>1</v>
      </c>
      <c r="AP1088" s="13">
        <v>3</v>
      </c>
      <c r="AQ1088" s="13">
        <v>11</v>
      </c>
      <c r="AR1088" s="15">
        <v>323</v>
      </c>
      <c r="AS1088" s="15">
        <v>350</v>
      </c>
    </row>
    <row r="1089" spans="1:45" x14ac:dyDescent="0.25">
      <c r="A1089">
        <v>1982</v>
      </c>
      <c r="B1089" s="11">
        <f t="shared" si="16"/>
        <v>41638</v>
      </c>
      <c r="C1089" s="12">
        <v>416380</v>
      </c>
      <c r="D1089" s="13">
        <v>0</v>
      </c>
      <c r="E1089" s="13">
        <v>1</v>
      </c>
      <c r="F1089" s="13">
        <v>68</v>
      </c>
      <c r="G1089" s="13">
        <v>56</v>
      </c>
      <c r="H1089" s="13" t="str" cm="1">
        <f t="array" ref="H1089">_xlfn.IFS(G1089&lt;=20,"0-20",G1089&lt;=30,"20-30",G1089&lt;=40,"30-40",G1089&lt;=50,"50-60",G1089&lt;=60,"60-70",G1089&lt;=70,"70-80",G1089&lt;=80,"80-90")</f>
        <v>60-70</v>
      </c>
      <c r="I1089" s="13">
        <v>2660</v>
      </c>
      <c r="J1089" s="13" t="str" cm="1">
        <f t="array" ref="J1089">_xlfn.IFS(K1089=1,"Divorciado",L1089=1,"Casado",M1089=1,"Solteiro",N1089=1,"Juntos",O1089=1,"Viuvo")</f>
        <v>Divorciado</v>
      </c>
      <c r="K1089" s="13">
        <v>1</v>
      </c>
      <c r="L1089" s="13">
        <v>0</v>
      </c>
      <c r="M1089" s="13">
        <v>0</v>
      </c>
      <c r="N1089" s="13">
        <v>0</v>
      </c>
      <c r="O1089" s="13">
        <v>0</v>
      </c>
      <c r="P1089" s="13">
        <v>0</v>
      </c>
      <c r="Q1089" s="13">
        <v>0</v>
      </c>
      <c r="R1089" s="13">
        <v>1</v>
      </c>
      <c r="S1089" s="13">
        <v>0</v>
      </c>
      <c r="T1089" s="13">
        <v>0</v>
      </c>
      <c r="U1089" s="13">
        <v>315</v>
      </c>
      <c r="V1089" s="13" t="str" cm="1">
        <f t="array" ref="V1089">_xlfn.IFS(U1089&lt;=250,"0-R$250",U1089&lt;=500,"251-R$500",U1089&lt;=750,"501-R$750",U1089&lt;=1000,"751-R$1000",U1089&lt;=1250,"1001-R$1250",U1089&lt;=1500,"1251-R$1500")</f>
        <v>251-R$500</v>
      </c>
      <c r="W1089" s="13">
        <v>0</v>
      </c>
      <c r="X1089" s="13" t="str" cm="1">
        <f t="array" ref="X1089">_xlfn.IFS(W1089 = 0, "0", W1089&lt;=20, "até R$20",W1089&lt;=40, "21 - R$40",W1089&lt;=60, "41- R$60",W1089&lt;=80, "61 - R$80", W1089&lt;=100, "81 - R$100",W1089&lt;=120, "101 - R$120",W1089&lt;=140, "121 - R$140", W1089&lt;=160, "141- R$160", W1089&lt;=180, "161 - R$180", W1089&lt;=200, "181-R$194")</f>
        <v>0</v>
      </c>
      <c r="Y1089" s="13">
        <v>31</v>
      </c>
      <c r="Z1089" s="13">
        <v>4</v>
      </c>
      <c r="AA1089" s="13">
        <v>0</v>
      </c>
      <c r="AB1089" s="13">
        <v>91</v>
      </c>
      <c r="AC1089" s="13">
        <v>4</v>
      </c>
      <c r="AD1089" s="13">
        <v>5</v>
      </c>
      <c r="AE1089" s="13">
        <v>5</v>
      </c>
      <c r="AF1089" s="13">
        <v>3</v>
      </c>
      <c r="AG1089" s="13">
        <v>8</v>
      </c>
      <c r="AH1089" s="13">
        <v>0</v>
      </c>
      <c r="AI1089" s="13">
        <v>1</v>
      </c>
      <c r="AJ1089" s="13">
        <v>0</v>
      </c>
      <c r="AK1089" s="13">
        <v>0</v>
      </c>
      <c r="AL1089" s="13">
        <v>0</v>
      </c>
      <c r="AM1089" s="13">
        <v>0</v>
      </c>
      <c r="AN1089" s="13">
        <v>0</v>
      </c>
      <c r="AO1089" s="14">
        <v>1</v>
      </c>
      <c r="AP1089" s="13">
        <v>3</v>
      </c>
      <c r="AQ1089" s="13">
        <v>11</v>
      </c>
      <c r="AR1089" s="15">
        <v>259</v>
      </c>
      <c r="AS1089" s="15">
        <v>350</v>
      </c>
    </row>
    <row r="1090" spans="1:45" x14ac:dyDescent="0.25">
      <c r="A1090">
        <v>599</v>
      </c>
      <c r="B1090" s="11">
        <f t="shared" ref="B1090:B1153" si="17">C1090/10</f>
        <v>45837</v>
      </c>
      <c r="C1090" s="16">
        <v>458370</v>
      </c>
      <c r="D1090" s="17">
        <v>1</v>
      </c>
      <c r="E1090" s="17">
        <v>1</v>
      </c>
      <c r="F1090" s="17">
        <v>88</v>
      </c>
      <c r="G1090" s="17">
        <v>46</v>
      </c>
      <c r="H1090" s="13" t="str" cm="1">
        <f t="array" ref="H1090">_xlfn.IFS(G1090&lt;=20,"0-20",G1090&lt;=30,"20-30",G1090&lt;=40,"30-40",G1090&lt;=50,"50-60",G1090&lt;=60,"60-70",G1090&lt;=70,"70-80",G1090&lt;=80,"80-90")</f>
        <v>50-60</v>
      </c>
      <c r="I1090" s="17">
        <v>2497</v>
      </c>
      <c r="J1090" s="13" t="str" cm="1">
        <f t="array" ref="J1090">_xlfn.IFS(K1090=1,"Divorciado",L1090=1,"Casado",M1090=1,"Solteiro",N1090=1,"Juntos",O1090=1,"Viuvo")</f>
        <v>Casado</v>
      </c>
      <c r="K1090" s="17">
        <v>0</v>
      </c>
      <c r="L1090" s="17">
        <v>1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1</v>
      </c>
      <c r="S1090" s="17">
        <v>0</v>
      </c>
      <c r="T1090" s="17">
        <v>0</v>
      </c>
      <c r="U1090" s="17">
        <v>215</v>
      </c>
      <c r="V1090" s="13" t="str" cm="1">
        <f t="array" ref="V1090">_xlfn.IFS(U1090&lt;=250,"0-R$250",U1090&lt;=500,"251-R$500",U1090&lt;=750,"501-R$750",U1090&lt;=1000,"751-R$1000",U1090&lt;=1250,"1001-R$1250",U1090&lt;=1500,"1251-R$1500")</f>
        <v>0-R$250</v>
      </c>
      <c r="W1090" s="17">
        <v>13</v>
      </c>
      <c r="X1090" s="13" t="str" cm="1">
        <f t="array" ref="X1090">_xlfn.IFS(W1090 = 0, "0", W1090&lt;=20, "até R$20",W1090&lt;=40, "21 - R$40",W1090&lt;=60, "41- R$60",W1090&lt;=80, "61 - R$80", W1090&lt;=100, "81 - R$100",W1090&lt;=120, "101 - R$120",W1090&lt;=140, "121 - R$140", W1090&lt;=160, "141- R$160", W1090&lt;=180, "161 - R$180", W1090&lt;=200, "181-R$194")</f>
        <v>até R$20</v>
      </c>
      <c r="Y1090" s="17">
        <v>87</v>
      </c>
      <c r="Z1090" s="17">
        <v>17</v>
      </c>
      <c r="AA1090" s="17">
        <v>17</v>
      </c>
      <c r="AB1090" s="17">
        <v>24</v>
      </c>
      <c r="AC1090" s="17">
        <v>5</v>
      </c>
      <c r="AD1090" s="17">
        <v>6</v>
      </c>
      <c r="AE1090" s="17">
        <v>2</v>
      </c>
      <c r="AF1090" s="17">
        <v>5</v>
      </c>
      <c r="AG1090" s="17">
        <v>7</v>
      </c>
      <c r="AH1090" s="17">
        <v>0</v>
      </c>
      <c r="AI1090" s="17">
        <v>0</v>
      </c>
      <c r="AJ1090" s="17">
        <v>0</v>
      </c>
      <c r="AK1090" s="17">
        <v>0</v>
      </c>
      <c r="AL1090" s="17">
        <v>0</v>
      </c>
      <c r="AM1090" s="17">
        <v>0</v>
      </c>
      <c r="AN1090" s="17">
        <v>0</v>
      </c>
      <c r="AO1090" s="18">
        <v>0</v>
      </c>
      <c r="AP1090" s="17">
        <v>3</v>
      </c>
      <c r="AQ1090" s="17">
        <v>11</v>
      </c>
      <c r="AR1090" s="19">
        <v>325</v>
      </c>
      <c r="AS1090" s="19">
        <v>349</v>
      </c>
    </row>
    <row r="1091" spans="1:45" x14ac:dyDescent="0.25">
      <c r="A1091">
        <v>1209</v>
      </c>
      <c r="B1091" s="11">
        <f t="shared" si="17"/>
        <v>54730</v>
      </c>
      <c r="C1091" s="16">
        <v>547300</v>
      </c>
      <c r="D1091" s="17">
        <v>0</v>
      </c>
      <c r="E1091" s="17">
        <v>1</v>
      </c>
      <c r="F1091" s="17">
        <v>64</v>
      </c>
      <c r="G1091" s="17">
        <v>45</v>
      </c>
      <c r="H1091" s="13" t="str" cm="1">
        <f t="array" ref="H1091">_xlfn.IFS(G1091&lt;=20,"0-20",G1091&lt;=30,"20-30",G1091&lt;=40,"30-40",G1091&lt;=50,"50-60",G1091&lt;=60,"60-70",G1091&lt;=70,"70-80",G1091&lt;=80,"80-90")</f>
        <v>50-60</v>
      </c>
      <c r="I1091" s="17">
        <v>2477</v>
      </c>
      <c r="J1091" s="13" t="str" cm="1">
        <f t="array" ref="J1091">_xlfn.IFS(K1091=1,"Divorciado",L1091=1,"Casado",M1091=1,"Solteiro",N1091=1,"Juntos",O1091=1,"Viuvo")</f>
        <v>Casado</v>
      </c>
      <c r="K1091" s="17">
        <v>0</v>
      </c>
      <c r="L1091" s="17">
        <v>1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1</v>
      </c>
      <c r="T1091" s="17">
        <v>0</v>
      </c>
      <c r="U1091" s="17">
        <v>318</v>
      </c>
      <c r="V1091" s="13" t="str" cm="1">
        <f t="array" ref="V1091">_xlfn.IFS(U1091&lt;=250,"0-R$250",U1091&lt;=500,"251-R$500",U1091&lt;=750,"501-R$750",U1091&lt;=1000,"751-R$1000",U1091&lt;=1250,"1001-R$1250",U1091&lt;=1500,"1251-R$1500")</f>
        <v>251-R$500</v>
      </c>
      <c r="W1091" s="17">
        <v>3</v>
      </c>
      <c r="X1091" s="13" t="str" cm="1">
        <f t="array" ref="X1091">_xlfn.IFS(W1091 = 0, "0", W1091&lt;=20, "até R$20",W1091&lt;=40, "21 - R$40",W1091&lt;=60, "41- R$60",W1091&lt;=80, "61 - R$80", W1091&lt;=100, "81 - R$100",W1091&lt;=120, "101 - R$120",W1091&lt;=140, "121 - R$140", W1091&lt;=160, "141- R$160", W1091&lt;=180, "161 - R$180", W1091&lt;=200, "181-R$194")</f>
        <v>até R$20</v>
      </c>
      <c r="Y1091" s="17">
        <v>17</v>
      </c>
      <c r="Z1091" s="17">
        <v>4</v>
      </c>
      <c r="AA1091" s="17">
        <v>7</v>
      </c>
      <c r="AB1091" s="17">
        <v>56</v>
      </c>
      <c r="AC1091" s="17">
        <v>5</v>
      </c>
      <c r="AD1091" s="17">
        <v>4</v>
      </c>
      <c r="AE1091" s="17">
        <v>1</v>
      </c>
      <c r="AF1091" s="17">
        <v>8</v>
      </c>
      <c r="AG1091" s="17">
        <v>4</v>
      </c>
      <c r="AH1091" s="17">
        <v>0</v>
      </c>
      <c r="AI1091" s="17">
        <v>0</v>
      </c>
      <c r="AJ1091" s="17">
        <v>0</v>
      </c>
      <c r="AK1091" s="17">
        <v>0</v>
      </c>
      <c r="AL1091" s="17">
        <v>0</v>
      </c>
      <c r="AM1091" s="17">
        <v>0</v>
      </c>
      <c r="AN1091" s="17">
        <v>0</v>
      </c>
      <c r="AO1091" s="18">
        <v>0</v>
      </c>
      <c r="AP1091" s="17">
        <v>3</v>
      </c>
      <c r="AQ1091" s="17">
        <v>11</v>
      </c>
      <c r="AR1091" s="19">
        <v>293</v>
      </c>
      <c r="AS1091" s="19">
        <v>349</v>
      </c>
    </row>
    <row r="1092" spans="1:45" x14ac:dyDescent="0.25">
      <c r="A1092">
        <v>637</v>
      </c>
      <c r="B1092" s="11">
        <f t="shared" si="17"/>
        <v>49431</v>
      </c>
      <c r="C1092" s="16">
        <v>494310</v>
      </c>
      <c r="D1092" s="17">
        <v>0</v>
      </c>
      <c r="E1092" s="17">
        <v>1</v>
      </c>
      <c r="F1092" s="17">
        <v>9</v>
      </c>
      <c r="G1092" s="17">
        <v>65</v>
      </c>
      <c r="H1092" s="13" t="str" cm="1">
        <f t="array" ref="H1092">_xlfn.IFS(G1092&lt;=20,"0-20",G1092&lt;=30,"20-30",G1092&lt;=40,"30-40",G1092&lt;=50,"50-60",G1092&lt;=60,"60-70",G1092&lt;=70,"70-80",G1092&lt;=80,"80-90")</f>
        <v>70-80</v>
      </c>
      <c r="I1092" s="17">
        <v>2854</v>
      </c>
      <c r="J1092" s="13" t="str" cm="1">
        <f t="array" ref="J1092">_xlfn.IFS(K1092=1,"Divorciado",L1092=1,"Casado",M1092=1,"Solteiro",N1092=1,"Juntos",O1092=1,"Viuvo")</f>
        <v>Divorciado</v>
      </c>
      <c r="K1092" s="17">
        <v>1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1</v>
      </c>
      <c r="S1092" s="17">
        <v>0</v>
      </c>
      <c r="T1092" s="17">
        <v>0</v>
      </c>
      <c r="U1092" s="17">
        <v>219</v>
      </c>
      <c r="V1092" s="13" t="str" cm="1">
        <f t="array" ref="V1092">_xlfn.IFS(U1092&lt;=250,"0-R$250",U1092&lt;=500,"251-R$500",U1092&lt;=750,"501-R$750",U1092&lt;=1000,"751-R$1000",U1092&lt;=1250,"1001-R$1250",U1092&lt;=1500,"1251-R$1500")</f>
        <v>0-R$250</v>
      </c>
      <c r="W1092" s="17">
        <v>3</v>
      </c>
      <c r="X1092" s="13" t="str" cm="1">
        <f t="array" ref="X1092">_xlfn.IFS(W1092 = 0, "0", W1092&lt;=20, "até R$20",W1092&lt;=40, "21 - R$40",W1092&lt;=60, "41- R$60",W1092&lt;=80, "61 - R$80", W1092&lt;=100, "81 - R$100",W1092&lt;=120, "101 - R$120",W1092&lt;=140, "121 - R$140", W1092&lt;=160, "141- R$160", W1092&lt;=180, "161 - R$180", W1092&lt;=200, "181-R$194")</f>
        <v>até R$20</v>
      </c>
      <c r="Y1092" s="17">
        <v>100</v>
      </c>
      <c r="Z1092" s="17">
        <v>26</v>
      </c>
      <c r="AA1092" s="17">
        <v>0</v>
      </c>
      <c r="AB1092" s="17">
        <v>17</v>
      </c>
      <c r="AC1092" s="17">
        <v>2</v>
      </c>
      <c r="AD1092" s="17">
        <v>7</v>
      </c>
      <c r="AE1092" s="17">
        <v>1</v>
      </c>
      <c r="AF1092" s="17">
        <v>5</v>
      </c>
      <c r="AG1092" s="17">
        <v>8</v>
      </c>
      <c r="AH1092" s="17">
        <v>0</v>
      </c>
      <c r="AI1092" s="17">
        <v>0</v>
      </c>
      <c r="AJ1092" s="17">
        <v>0</v>
      </c>
      <c r="AK1092" s="17">
        <v>0</v>
      </c>
      <c r="AL1092" s="17">
        <v>0</v>
      </c>
      <c r="AM1092" s="17">
        <v>0</v>
      </c>
      <c r="AN1092" s="17">
        <v>0</v>
      </c>
      <c r="AO1092" s="18">
        <v>0</v>
      </c>
      <c r="AP1092" s="17">
        <v>3</v>
      </c>
      <c r="AQ1092" s="17">
        <v>11</v>
      </c>
      <c r="AR1092" s="19">
        <v>331</v>
      </c>
      <c r="AS1092" s="19">
        <v>348</v>
      </c>
    </row>
    <row r="1093" spans="1:45" x14ac:dyDescent="0.25">
      <c r="A1093">
        <v>2146</v>
      </c>
      <c r="B1093" s="11">
        <f t="shared" si="17"/>
        <v>52914</v>
      </c>
      <c r="C1093" s="12">
        <v>529140</v>
      </c>
      <c r="D1093" s="13">
        <v>0</v>
      </c>
      <c r="E1093" s="13">
        <v>1</v>
      </c>
      <c r="F1093" s="13">
        <v>32</v>
      </c>
      <c r="G1093" s="13">
        <v>49</v>
      </c>
      <c r="H1093" s="13" t="str" cm="1">
        <f t="array" ref="H1093">_xlfn.IFS(G1093&lt;=20,"0-20",G1093&lt;=30,"20-30",G1093&lt;=40,"30-40",G1093&lt;=50,"50-60",G1093&lt;=60,"60-70",G1093&lt;=70,"70-80",G1093&lt;=80,"80-90")</f>
        <v>50-60</v>
      </c>
      <c r="I1093" s="13">
        <v>2697</v>
      </c>
      <c r="J1093" s="13" t="str" cm="1">
        <f t="array" ref="J1093">_xlfn.IFS(K1093=1,"Divorciado",L1093=1,"Casado",M1093=1,"Solteiro",N1093=1,"Juntos",O1093=1,"Viuvo")</f>
        <v>Casado</v>
      </c>
      <c r="K1093" s="13">
        <v>0</v>
      </c>
      <c r="L1093" s="13">
        <v>1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1</v>
      </c>
      <c r="S1093" s="13">
        <v>0</v>
      </c>
      <c r="T1093" s="13">
        <v>0</v>
      </c>
      <c r="U1093" s="13">
        <v>254</v>
      </c>
      <c r="V1093" s="13" t="str" cm="1">
        <f t="array" ref="V1093">_xlfn.IFS(U1093&lt;=250,"0-R$250",U1093&lt;=500,"251-R$500",U1093&lt;=750,"501-R$750",U1093&lt;=1000,"751-R$1000",U1093&lt;=1250,"1001-R$1250",U1093&lt;=1500,"1251-R$1500")</f>
        <v>251-R$500</v>
      </c>
      <c r="W1093" s="13">
        <v>10</v>
      </c>
      <c r="X1093" s="13" t="str" cm="1">
        <f t="array" ref="X1093">_xlfn.IFS(W1093 = 0, "0", W1093&lt;=20, "até R$20",W1093&lt;=40, "21 - R$40",W1093&lt;=60, "41- R$60",W1093&lt;=80, "61 - R$80", W1093&lt;=100, "81 - R$100",W1093&lt;=120, "101 - R$120",W1093&lt;=140, "121 - R$140", W1093&lt;=160, "141- R$160", W1093&lt;=180, "161 - R$180", W1093&lt;=200, "181-R$194")</f>
        <v>até R$20</v>
      </c>
      <c r="Y1093" s="13">
        <v>44</v>
      </c>
      <c r="Z1093" s="13">
        <v>30</v>
      </c>
      <c r="AA1093" s="13">
        <v>10</v>
      </c>
      <c r="AB1093" s="13">
        <v>227</v>
      </c>
      <c r="AC1093" s="13">
        <v>2</v>
      </c>
      <c r="AD1093" s="13">
        <v>7</v>
      </c>
      <c r="AE1093" s="13">
        <v>3</v>
      </c>
      <c r="AF1093" s="13">
        <v>3</v>
      </c>
      <c r="AG1093" s="13">
        <v>7</v>
      </c>
      <c r="AH1093" s="13">
        <v>0</v>
      </c>
      <c r="AI1093" s="13">
        <v>1</v>
      </c>
      <c r="AJ1093" s="13">
        <v>0</v>
      </c>
      <c r="AK1093" s="13">
        <v>0</v>
      </c>
      <c r="AL1093" s="13">
        <v>0</v>
      </c>
      <c r="AM1093" s="13">
        <v>0</v>
      </c>
      <c r="AN1093" s="13">
        <v>0</v>
      </c>
      <c r="AO1093" s="14">
        <v>1</v>
      </c>
      <c r="AP1093" s="13">
        <v>3</v>
      </c>
      <c r="AQ1093" s="13">
        <v>11</v>
      </c>
      <c r="AR1093" s="15">
        <v>121</v>
      </c>
      <c r="AS1093" s="15">
        <v>348</v>
      </c>
    </row>
    <row r="1094" spans="1:45" x14ac:dyDescent="0.25">
      <c r="A1094">
        <v>2166</v>
      </c>
      <c r="B1094" s="11">
        <f t="shared" si="17"/>
        <v>50501</v>
      </c>
      <c r="C1094" s="12">
        <v>505010</v>
      </c>
      <c r="D1094" s="13">
        <v>1</v>
      </c>
      <c r="E1094" s="13">
        <v>1</v>
      </c>
      <c r="F1094" s="13">
        <v>10</v>
      </c>
      <c r="G1094" s="13">
        <v>66</v>
      </c>
      <c r="H1094" s="13" t="str" cm="1">
        <f t="array" ref="H1094">_xlfn.IFS(G1094&lt;=20,"0-20",G1094&lt;=30,"20-30",G1094&lt;=40,"30-40",G1094&lt;=50,"50-60",G1094&lt;=60,"60-70",G1094&lt;=70,"70-80",G1094&lt;=80,"80-90")</f>
        <v>70-80</v>
      </c>
      <c r="I1094" s="13">
        <v>2535</v>
      </c>
      <c r="J1094" s="13" t="str" cm="1">
        <f t="array" ref="J1094">_xlfn.IFS(K1094=1,"Divorciado",L1094=1,"Casado",M1094=1,"Solteiro",N1094=1,"Juntos",O1094=1,"Viuvo")</f>
        <v>Casado</v>
      </c>
      <c r="K1094" s="13">
        <v>0</v>
      </c>
      <c r="L1094" s="13">
        <v>1</v>
      </c>
      <c r="M1094" s="13">
        <v>0</v>
      </c>
      <c r="N1094" s="13">
        <v>0</v>
      </c>
      <c r="O1094" s="13">
        <v>0</v>
      </c>
      <c r="P1094" s="13">
        <v>0</v>
      </c>
      <c r="Q1094" s="13">
        <v>0</v>
      </c>
      <c r="R1094" s="13">
        <v>1</v>
      </c>
      <c r="S1094" s="13">
        <v>0</v>
      </c>
      <c r="T1094" s="13">
        <v>0</v>
      </c>
      <c r="U1094" s="13">
        <v>297</v>
      </c>
      <c r="V1094" s="13" t="str" cm="1">
        <f t="array" ref="V1094">_xlfn.IFS(U1094&lt;=250,"0-R$250",U1094&lt;=500,"251-R$500",U1094&lt;=750,"501-R$750",U1094&lt;=1000,"751-R$1000",U1094&lt;=1250,"1001-R$1250",U1094&lt;=1500,"1251-R$1500")</f>
        <v>251-R$500</v>
      </c>
      <c r="W1094" s="13">
        <v>0</v>
      </c>
      <c r="X1094" s="13" t="str" cm="1">
        <f t="array" ref="X1094">_xlfn.IFS(W1094 = 0, "0", W1094&lt;=20, "até R$20",W1094&lt;=40, "21 - R$40",W1094&lt;=60, "41- R$60",W1094&lt;=80, "61 - R$80", W1094&lt;=100, "81 - R$100",W1094&lt;=120, "101 - R$120",W1094&lt;=140, "121 - R$140", W1094&lt;=160, "141- R$160", W1094&lt;=180, "161 - R$180", W1094&lt;=200, "181-R$194")</f>
        <v>0</v>
      </c>
      <c r="Y1094" s="13">
        <v>38</v>
      </c>
      <c r="Z1094" s="13">
        <v>13</v>
      </c>
      <c r="AA1094" s="13">
        <v>0</v>
      </c>
      <c r="AB1094" s="13">
        <v>152</v>
      </c>
      <c r="AC1094" s="13">
        <v>7</v>
      </c>
      <c r="AD1094" s="13">
        <v>5</v>
      </c>
      <c r="AE1094" s="13">
        <v>4</v>
      </c>
      <c r="AF1094" s="13">
        <v>4</v>
      </c>
      <c r="AG1094" s="13">
        <v>6</v>
      </c>
      <c r="AH1094" s="13">
        <v>0</v>
      </c>
      <c r="AI1094" s="13">
        <v>1</v>
      </c>
      <c r="AJ1094" s="13">
        <v>0</v>
      </c>
      <c r="AK1094" s="13">
        <v>0</v>
      </c>
      <c r="AL1094" s="13">
        <v>0</v>
      </c>
      <c r="AM1094" s="13">
        <v>0</v>
      </c>
      <c r="AN1094" s="13">
        <v>1</v>
      </c>
      <c r="AO1094" s="14">
        <v>1</v>
      </c>
      <c r="AP1094" s="13">
        <v>3</v>
      </c>
      <c r="AQ1094" s="13">
        <v>11</v>
      </c>
      <c r="AR1094" s="15">
        <v>196</v>
      </c>
      <c r="AS1094" s="15">
        <v>348</v>
      </c>
    </row>
    <row r="1095" spans="1:45" x14ac:dyDescent="0.25">
      <c r="A1095">
        <v>1843</v>
      </c>
      <c r="B1095" s="11">
        <f t="shared" si="17"/>
        <v>30538</v>
      </c>
      <c r="C1095" s="16">
        <v>305380</v>
      </c>
      <c r="D1095" s="17">
        <v>1</v>
      </c>
      <c r="E1095" s="17">
        <v>0</v>
      </c>
      <c r="F1095" s="17">
        <v>27</v>
      </c>
      <c r="G1095" s="17">
        <v>49</v>
      </c>
      <c r="H1095" s="13" t="str" cm="1">
        <f t="array" ref="H1095">_xlfn.IFS(G1095&lt;=20,"0-20",G1095&lt;=30,"20-30",G1095&lt;=40,"30-40",G1095&lt;=50,"50-60",G1095&lt;=60,"60-70",G1095&lt;=70,"70-80",G1095&lt;=80,"80-90")</f>
        <v>50-60</v>
      </c>
      <c r="I1095" s="17">
        <v>2795</v>
      </c>
      <c r="J1095" s="13" t="str" cm="1">
        <f t="array" ref="J1095">_xlfn.IFS(K1095=1,"Divorciado",L1095=1,"Casado",M1095=1,"Solteiro",N1095=1,"Juntos",O1095=1,"Viuvo")</f>
        <v>Juntos</v>
      </c>
      <c r="K1095" s="17">
        <v>0</v>
      </c>
      <c r="L1095" s="17">
        <v>0</v>
      </c>
      <c r="M1095" s="17">
        <v>0</v>
      </c>
      <c r="N1095" s="17">
        <v>1</v>
      </c>
      <c r="O1095" s="17">
        <v>0</v>
      </c>
      <c r="P1095" s="17">
        <v>0</v>
      </c>
      <c r="Q1095" s="17">
        <v>0</v>
      </c>
      <c r="R1095" s="17">
        <v>0</v>
      </c>
      <c r="S1095" s="17">
        <v>1</v>
      </c>
      <c r="T1095" s="17">
        <v>0</v>
      </c>
      <c r="U1095" s="17">
        <v>284</v>
      </c>
      <c r="V1095" s="13" t="str" cm="1">
        <f t="array" ref="V1095">_xlfn.IFS(U1095&lt;=250,"0-R$250",U1095&lt;=500,"251-R$500",U1095&lt;=750,"501-R$750",U1095&lt;=1000,"751-R$1000",U1095&lt;=1250,"1001-R$1250",U1095&lt;=1500,"1251-R$1500")</f>
        <v>251-R$500</v>
      </c>
      <c r="W1095" s="17">
        <v>0</v>
      </c>
      <c r="X1095" s="13" t="str" cm="1">
        <f t="array" ref="X1095">_xlfn.IFS(W1095 = 0, "0", W1095&lt;=20, "até R$20",W1095&lt;=40, "21 - R$40",W1095&lt;=60, "41- R$60",W1095&lt;=80, "61 - R$80", W1095&lt;=100, "81 - R$100",W1095&lt;=120, "101 - R$120",W1095&lt;=140, "121 - R$140", W1095&lt;=160, "141- R$160", W1095&lt;=180, "161 - R$180", W1095&lt;=200, "181-R$194")</f>
        <v>0</v>
      </c>
      <c r="Y1095" s="17">
        <v>52</v>
      </c>
      <c r="Z1095" s="17">
        <v>8</v>
      </c>
      <c r="AA1095" s="17">
        <v>3</v>
      </c>
      <c r="AB1095" s="17">
        <v>20</v>
      </c>
      <c r="AC1095" s="17">
        <v>4</v>
      </c>
      <c r="AD1095" s="17">
        <v>9</v>
      </c>
      <c r="AE1095" s="17">
        <v>0</v>
      </c>
      <c r="AF1095" s="17">
        <v>4</v>
      </c>
      <c r="AG1095" s="17">
        <v>10</v>
      </c>
      <c r="AH1095" s="17">
        <v>0</v>
      </c>
      <c r="AI1095" s="17">
        <v>0</v>
      </c>
      <c r="AJ1095" s="17">
        <v>0</v>
      </c>
      <c r="AK1095" s="17">
        <v>0</v>
      </c>
      <c r="AL1095" s="17">
        <v>0</v>
      </c>
      <c r="AM1095" s="17">
        <v>0</v>
      </c>
      <c r="AN1095" s="17">
        <v>0</v>
      </c>
      <c r="AO1095" s="18">
        <v>0</v>
      </c>
      <c r="AP1095" s="17">
        <v>3</v>
      </c>
      <c r="AQ1095" s="17">
        <v>11</v>
      </c>
      <c r="AR1095" s="19">
        <v>327</v>
      </c>
      <c r="AS1095" s="19">
        <v>347</v>
      </c>
    </row>
    <row r="1096" spans="1:45" x14ac:dyDescent="0.25">
      <c r="A1096">
        <v>1771</v>
      </c>
      <c r="B1096" s="11">
        <f t="shared" si="17"/>
        <v>62535</v>
      </c>
      <c r="C1096" s="16">
        <v>625350</v>
      </c>
      <c r="D1096" s="17">
        <v>0</v>
      </c>
      <c r="E1096" s="17">
        <v>1</v>
      </c>
      <c r="F1096" s="17">
        <v>13</v>
      </c>
      <c r="G1096" s="17">
        <v>65</v>
      </c>
      <c r="H1096" s="13" t="str" cm="1">
        <f t="array" ref="H1096">_xlfn.IFS(G1096&lt;=20,"0-20",G1096&lt;=30,"20-30",G1096&lt;=40,"30-40",G1096&lt;=50,"50-60",G1096&lt;=60,"60-70",G1096&lt;=70,"70-80",G1096&lt;=80,"80-90")</f>
        <v>70-80</v>
      </c>
      <c r="I1096" s="17">
        <v>2428</v>
      </c>
      <c r="J1096" s="13" t="str" cm="1">
        <f t="array" ref="J1096">_xlfn.IFS(K1096=1,"Divorciado",L1096=1,"Casado",M1096=1,"Solteiro",N1096=1,"Juntos",O1096=1,"Viuvo")</f>
        <v>Solteiro</v>
      </c>
      <c r="K1096" s="17">
        <v>0</v>
      </c>
      <c r="L1096" s="17">
        <v>0</v>
      </c>
      <c r="M1096" s="17">
        <v>1</v>
      </c>
      <c r="N1096" s="17">
        <v>0</v>
      </c>
      <c r="O1096" s="17">
        <v>0</v>
      </c>
      <c r="P1096" s="17">
        <v>0</v>
      </c>
      <c r="Q1096" s="17">
        <v>0</v>
      </c>
      <c r="R1096" s="17">
        <v>1</v>
      </c>
      <c r="S1096" s="17">
        <v>0</v>
      </c>
      <c r="T1096" s="17">
        <v>0</v>
      </c>
      <c r="U1096" s="17">
        <v>163</v>
      </c>
      <c r="V1096" s="13" t="str" cm="1">
        <f t="array" ref="V1096">_xlfn.IFS(U1096&lt;=250,"0-R$250",U1096&lt;=500,"251-R$500",U1096&lt;=750,"501-R$750",U1096&lt;=1000,"751-R$1000",U1096&lt;=1250,"1001-R$1250",U1096&lt;=1500,"1251-R$1500")</f>
        <v>0-R$250</v>
      </c>
      <c r="W1096" s="17">
        <v>48</v>
      </c>
      <c r="X1096" s="13" t="str" cm="1">
        <f t="array" ref="X1096">_xlfn.IFS(W1096 = 0, "0", W1096&lt;=20, "até R$20",W1096&lt;=40, "21 - R$40",W1096&lt;=60, "41- R$60",W1096&lt;=80, "61 - R$80", W1096&lt;=100, "81 - R$100",W1096&lt;=120, "101 - R$120",W1096&lt;=140, "121 - R$140", W1096&lt;=160, "141- R$160", W1096&lt;=180, "161 - R$180", W1096&lt;=200, "181-R$194")</f>
        <v>41- R$60</v>
      </c>
      <c r="Y1096" s="17">
        <v>90</v>
      </c>
      <c r="Z1096" s="17">
        <v>0</v>
      </c>
      <c r="AA1096" s="17">
        <v>45</v>
      </c>
      <c r="AB1096" s="17">
        <v>52</v>
      </c>
      <c r="AC1096" s="17">
        <v>1</v>
      </c>
      <c r="AD1096" s="17">
        <v>3</v>
      </c>
      <c r="AE1096" s="17">
        <v>2</v>
      </c>
      <c r="AF1096" s="17">
        <v>8</v>
      </c>
      <c r="AG1096" s="17">
        <v>3</v>
      </c>
      <c r="AH1096" s="17">
        <v>0</v>
      </c>
      <c r="AI1096" s="17">
        <v>0</v>
      </c>
      <c r="AJ1096" s="17">
        <v>0</v>
      </c>
      <c r="AK1096" s="17">
        <v>0</v>
      </c>
      <c r="AL1096" s="17">
        <v>0</v>
      </c>
      <c r="AM1096" s="17">
        <v>0</v>
      </c>
      <c r="AN1096" s="17">
        <v>0</v>
      </c>
      <c r="AO1096" s="18">
        <v>0</v>
      </c>
      <c r="AP1096" s="17">
        <v>3</v>
      </c>
      <c r="AQ1096" s="17">
        <v>11</v>
      </c>
      <c r="AR1096" s="19">
        <v>294</v>
      </c>
      <c r="AS1096" s="19">
        <v>346</v>
      </c>
    </row>
    <row r="1097" spans="1:45" x14ac:dyDescent="0.25">
      <c r="A1097">
        <v>24</v>
      </c>
      <c r="B1097" s="11">
        <f t="shared" si="17"/>
        <v>40689</v>
      </c>
      <c r="C1097" s="12">
        <v>406890</v>
      </c>
      <c r="D1097" s="13">
        <v>0</v>
      </c>
      <c r="E1097" s="13">
        <v>1</v>
      </c>
      <c r="F1097" s="13">
        <v>69</v>
      </c>
      <c r="G1097" s="13">
        <v>69</v>
      </c>
      <c r="H1097" s="13" t="str" cm="1">
        <f t="array" ref="H1097">_xlfn.IFS(G1097&lt;=20,"0-20",G1097&lt;=30,"20-30",G1097&lt;=40,"30-40",G1097&lt;=50,"50-60",G1097&lt;=60,"60-70",G1097&lt;=70,"70-80",G1097&lt;=80,"80-90")</f>
        <v>70-80</v>
      </c>
      <c r="I1097" s="13">
        <v>2627</v>
      </c>
      <c r="J1097" s="13" t="str" cm="1">
        <f t="array" ref="J1097">_xlfn.IFS(K1097=1,"Divorciado",L1097=1,"Casado",M1097=1,"Solteiro",N1097=1,"Juntos",O1097=1,"Viuvo")</f>
        <v>Juntos</v>
      </c>
      <c r="K1097" s="13">
        <v>0</v>
      </c>
      <c r="L1097" s="13">
        <v>0</v>
      </c>
      <c r="M1097" s="13">
        <v>0</v>
      </c>
      <c r="N1097" s="13">
        <v>1</v>
      </c>
      <c r="O1097" s="13">
        <v>0</v>
      </c>
      <c r="P1097" s="13">
        <v>0</v>
      </c>
      <c r="Q1097" s="13">
        <v>0</v>
      </c>
      <c r="R1097" s="13">
        <v>1</v>
      </c>
      <c r="S1097" s="13">
        <v>0</v>
      </c>
      <c r="T1097" s="13">
        <v>0</v>
      </c>
      <c r="U1097" s="13">
        <v>270</v>
      </c>
      <c r="V1097" s="13" t="str" cm="1">
        <f t="array" ref="V1097">_xlfn.IFS(U1097&lt;=250,"0-R$250",U1097&lt;=500,"251-R$500",U1097&lt;=750,"501-R$750",U1097&lt;=1000,"751-R$1000",U1097&lt;=1250,"1001-R$1250",U1097&lt;=1500,"1251-R$1500")</f>
        <v>251-R$500</v>
      </c>
      <c r="W1097" s="13">
        <v>3</v>
      </c>
      <c r="X1097" s="13" t="str" cm="1">
        <f t="array" ref="X1097">_xlfn.IFS(W1097 = 0, "0", W1097&lt;=20, "até R$20",W1097&lt;=40, "21 - R$40",W1097&lt;=60, "41- R$60",W1097&lt;=80, "61 - R$80", W1097&lt;=100, "81 - R$100",W1097&lt;=120, "101 - R$120",W1097&lt;=140, "121 - R$140", W1097&lt;=160, "141- R$160", W1097&lt;=180, "161 - R$180", W1097&lt;=200, "181-R$194")</f>
        <v>até R$20</v>
      </c>
      <c r="Y1097" s="13">
        <v>27</v>
      </c>
      <c r="Z1097" s="13">
        <v>39</v>
      </c>
      <c r="AA1097" s="13">
        <v>6</v>
      </c>
      <c r="AB1097" s="13">
        <v>99</v>
      </c>
      <c r="AC1097" s="13">
        <v>7</v>
      </c>
      <c r="AD1097" s="13">
        <v>7</v>
      </c>
      <c r="AE1097" s="13">
        <v>1</v>
      </c>
      <c r="AF1097" s="13">
        <v>5</v>
      </c>
      <c r="AG1097" s="13">
        <v>8</v>
      </c>
      <c r="AH1097" s="13">
        <v>0</v>
      </c>
      <c r="AI1097" s="13">
        <v>0</v>
      </c>
      <c r="AJ1097" s="13">
        <v>0</v>
      </c>
      <c r="AK1097" s="13">
        <v>0</v>
      </c>
      <c r="AL1097" s="13">
        <v>0</v>
      </c>
      <c r="AM1097" s="13">
        <v>0</v>
      </c>
      <c r="AN1097" s="13">
        <v>0</v>
      </c>
      <c r="AO1097" s="14">
        <v>0</v>
      </c>
      <c r="AP1097" s="13">
        <v>3</v>
      </c>
      <c r="AQ1097" s="13">
        <v>11</v>
      </c>
      <c r="AR1097" s="15">
        <v>246</v>
      </c>
      <c r="AS1097" s="15">
        <v>345</v>
      </c>
    </row>
    <row r="1098" spans="1:45" x14ac:dyDescent="0.25">
      <c r="A1098">
        <v>498</v>
      </c>
      <c r="B1098" s="11">
        <f t="shared" si="17"/>
        <v>44124</v>
      </c>
      <c r="C1098" s="12">
        <v>441240</v>
      </c>
      <c r="D1098" s="13">
        <v>0</v>
      </c>
      <c r="E1098" s="13">
        <v>1</v>
      </c>
      <c r="F1098" s="13">
        <v>62</v>
      </c>
      <c r="G1098" s="13">
        <v>74</v>
      </c>
      <c r="H1098" s="13" t="str" cm="1">
        <f t="array" ref="H1098">_xlfn.IFS(G1098&lt;=20,"0-20",G1098&lt;=30,"20-30",G1098&lt;=40,"30-40",G1098&lt;=50,"50-60",G1098&lt;=60,"60-70",G1098&lt;=70,"70-80",G1098&lt;=80,"80-90")</f>
        <v>80-90</v>
      </c>
      <c r="I1098" s="13">
        <v>2573</v>
      </c>
      <c r="J1098" s="13" t="str" cm="1">
        <f t="array" ref="J1098">_xlfn.IFS(K1098=1,"Divorciado",L1098=1,"Casado",M1098=1,"Solteiro",N1098=1,"Juntos",O1098=1,"Viuvo")</f>
        <v>Juntos</v>
      </c>
      <c r="K1098" s="13">
        <v>0</v>
      </c>
      <c r="L1098" s="13">
        <v>0</v>
      </c>
      <c r="M1098" s="13">
        <v>0</v>
      </c>
      <c r="N1098" s="13">
        <v>1</v>
      </c>
      <c r="O1098" s="13">
        <v>0</v>
      </c>
      <c r="P1098" s="13">
        <v>0</v>
      </c>
      <c r="Q1098" s="13">
        <v>0</v>
      </c>
      <c r="R1098" s="13">
        <v>0</v>
      </c>
      <c r="S1098" s="13">
        <v>0</v>
      </c>
      <c r="T1098" s="13">
        <v>1</v>
      </c>
      <c r="U1098" s="13">
        <v>284</v>
      </c>
      <c r="V1098" s="13" t="str" cm="1">
        <f t="array" ref="V1098">_xlfn.IFS(U1098&lt;=250,"0-R$250",U1098&lt;=500,"251-R$500",U1098&lt;=750,"501-R$750",U1098&lt;=1000,"751-R$1000",U1098&lt;=1250,"1001-R$1250",U1098&lt;=1500,"1251-R$1500")</f>
        <v>251-R$500</v>
      </c>
      <c r="W1098" s="13">
        <v>0</v>
      </c>
      <c r="X1098" s="13" t="str" cm="1">
        <f t="array" ref="X1098">_xlfn.IFS(W1098 = 0, "0", W1098&lt;=20, "até R$20",W1098&lt;=40, "21 - R$40",W1098&lt;=60, "41- R$60",W1098&lt;=80, "61 - R$80", W1098&lt;=100, "81 - R$100",W1098&lt;=120, "101 - R$120",W1098&lt;=140, "121 - R$140", W1098&lt;=160, "141- R$160", W1098&lt;=180, "161 - R$180", W1098&lt;=200, "181-R$194")</f>
        <v>0</v>
      </c>
      <c r="Y1098" s="13">
        <v>55</v>
      </c>
      <c r="Z1098" s="13">
        <v>0</v>
      </c>
      <c r="AA1098" s="13">
        <v>6</v>
      </c>
      <c r="AB1098" s="13">
        <v>52</v>
      </c>
      <c r="AC1098" s="13">
        <v>4</v>
      </c>
      <c r="AD1098" s="13">
        <v>6</v>
      </c>
      <c r="AE1098" s="13">
        <v>2</v>
      </c>
      <c r="AF1098" s="13">
        <v>5</v>
      </c>
      <c r="AG1098" s="13">
        <v>8</v>
      </c>
      <c r="AH1098" s="13">
        <v>0</v>
      </c>
      <c r="AI1098" s="13">
        <v>0</v>
      </c>
      <c r="AJ1098" s="13">
        <v>0</v>
      </c>
      <c r="AK1098" s="13">
        <v>0</v>
      </c>
      <c r="AL1098" s="13">
        <v>0</v>
      </c>
      <c r="AM1098" s="13">
        <v>0</v>
      </c>
      <c r="AN1098" s="13">
        <v>0</v>
      </c>
      <c r="AO1098" s="14">
        <v>0</v>
      </c>
      <c r="AP1098" s="13">
        <v>3</v>
      </c>
      <c r="AQ1098" s="13">
        <v>11</v>
      </c>
      <c r="AR1098" s="15">
        <v>293</v>
      </c>
      <c r="AS1098" s="15">
        <v>345</v>
      </c>
    </row>
    <row r="1099" spans="1:45" x14ac:dyDescent="0.25">
      <c r="A1099">
        <v>565</v>
      </c>
      <c r="B1099" s="11">
        <f t="shared" si="17"/>
        <v>40689</v>
      </c>
      <c r="C1099" s="16">
        <v>406890</v>
      </c>
      <c r="D1099" s="17">
        <v>0</v>
      </c>
      <c r="E1099" s="17">
        <v>1</v>
      </c>
      <c r="F1099" s="17">
        <v>69</v>
      </c>
      <c r="G1099" s="17">
        <v>69</v>
      </c>
      <c r="H1099" s="13" t="str" cm="1">
        <f t="array" ref="H1099">_xlfn.IFS(G1099&lt;=20,"0-20",G1099&lt;=30,"20-30",G1099&lt;=40,"30-40",G1099&lt;=50,"50-60",G1099&lt;=60,"60-70",G1099&lt;=70,"70-80",G1099&lt;=80,"80-90")</f>
        <v>70-80</v>
      </c>
      <c r="I1099" s="17">
        <v>2627</v>
      </c>
      <c r="J1099" s="13" t="str" cm="1">
        <f t="array" ref="J1099">_xlfn.IFS(K1099=1,"Divorciado",L1099=1,"Casado",M1099=1,"Solteiro",N1099=1,"Juntos",O1099=1,"Viuvo")</f>
        <v>Juntos</v>
      </c>
      <c r="K1099" s="17">
        <v>0</v>
      </c>
      <c r="L1099" s="17">
        <v>0</v>
      </c>
      <c r="M1099" s="17">
        <v>0</v>
      </c>
      <c r="N1099" s="17">
        <v>1</v>
      </c>
      <c r="O1099" s="17">
        <v>0</v>
      </c>
      <c r="P1099" s="17">
        <v>0</v>
      </c>
      <c r="Q1099" s="17">
        <v>0</v>
      </c>
      <c r="R1099" s="17">
        <v>1</v>
      </c>
      <c r="S1099" s="17">
        <v>0</v>
      </c>
      <c r="T1099" s="17">
        <v>0</v>
      </c>
      <c r="U1099" s="17">
        <v>270</v>
      </c>
      <c r="V1099" s="13" t="str" cm="1">
        <f t="array" ref="V1099">_xlfn.IFS(U1099&lt;=250,"0-R$250",U1099&lt;=500,"251-R$500",U1099&lt;=750,"501-R$750",U1099&lt;=1000,"751-R$1000",U1099&lt;=1250,"1001-R$1250",U1099&lt;=1500,"1251-R$1500")</f>
        <v>251-R$500</v>
      </c>
      <c r="W1099" s="17">
        <v>3</v>
      </c>
      <c r="X1099" s="13" t="str" cm="1">
        <f t="array" ref="X1099">_xlfn.IFS(W1099 = 0, "0", W1099&lt;=20, "até R$20",W1099&lt;=40, "21 - R$40",W1099&lt;=60, "41- R$60",W1099&lt;=80, "61 - R$80", W1099&lt;=100, "81 - R$100",W1099&lt;=120, "101 - R$120",W1099&lt;=140, "121 - R$140", W1099&lt;=160, "141- R$160", W1099&lt;=180, "161 - R$180", W1099&lt;=200, "181-R$194")</f>
        <v>até R$20</v>
      </c>
      <c r="Y1099" s="17">
        <v>27</v>
      </c>
      <c r="Z1099" s="17">
        <v>39</v>
      </c>
      <c r="AA1099" s="17">
        <v>6</v>
      </c>
      <c r="AB1099" s="17">
        <v>99</v>
      </c>
      <c r="AC1099" s="17">
        <v>7</v>
      </c>
      <c r="AD1099" s="17">
        <v>7</v>
      </c>
      <c r="AE1099" s="17">
        <v>1</v>
      </c>
      <c r="AF1099" s="17">
        <v>5</v>
      </c>
      <c r="AG1099" s="17">
        <v>8</v>
      </c>
      <c r="AH1099" s="17">
        <v>0</v>
      </c>
      <c r="AI1099" s="17">
        <v>0</v>
      </c>
      <c r="AJ1099" s="17">
        <v>0</v>
      </c>
      <c r="AK1099" s="17">
        <v>0</v>
      </c>
      <c r="AL1099" s="17">
        <v>0</v>
      </c>
      <c r="AM1099" s="17">
        <v>0</v>
      </c>
      <c r="AN1099" s="17">
        <v>0</v>
      </c>
      <c r="AO1099" s="18">
        <v>0</v>
      </c>
      <c r="AP1099" s="17">
        <v>3</v>
      </c>
      <c r="AQ1099" s="17">
        <v>11</v>
      </c>
      <c r="AR1099" s="19">
        <v>246</v>
      </c>
      <c r="AS1099" s="19">
        <v>345</v>
      </c>
    </row>
    <row r="1100" spans="1:45" x14ac:dyDescent="0.25">
      <c r="A1100">
        <v>620</v>
      </c>
      <c r="B1100" s="11">
        <f t="shared" si="17"/>
        <v>56181</v>
      </c>
      <c r="C1100" s="12">
        <v>561810</v>
      </c>
      <c r="D1100" s="13">
        <v>0</v>
      </c>
      <c r="E1100" s="13">
        <v>1</v>
      </c>
      <c r="F1100" s="13">
        <v>6</v>
      </c>
      <c r="G1100" s="13">
        <v>58</v>
      </c>
      <c r="H1100" s="13" t="str" cm="1">
        <f t="array" ref="H1100">_xlfn.IFS(G1100&lt;=20,"0-20",G1100&lt;=30,"20-30",G1100&lt;=40,"30-40",G1100&lt;=50,"50-60",G1100&lt;=60,"60-70",G1100&lt;=70,"70-80",G1100&lt;=80,"80-90")</f>
        <v>60-70</v>
      </c>
      <c r="I1100" s="13">
        <v>2696</v>
      </c>
      <c r="J1100" s="13" t="str" cm="1">
        <f t="array" ref="J1100">_xlfn.IFS(K1100=1,"Divorciado",L1100=1,"Casado",M1100=1,"Solteiro",N1100=1,"Juntos",O1100=1,"Viuvo")</f>
        <v>Casado</v>
      </c>
      <c r="K1100" s="13">
        <v>0</v>
      </c>
      <c r="L1100" s="13">
        <v>1</v>
      </c>
      <c r="M1100" s="13">
        <v>0</v>
      </c>
      <c r="N1100" s="13">
        <v>0</v>
      </c>
      <c r="O1100" s="13">
        <v>0</v>
      </c>
      <c r="P1100" s="13">
        <v>0</v>
      </c>
      <c r="Q1100" s="13">
        <v>0</v>
      </c>
      <c r="R1100" s="13">
        <v>1</v>
      </c>
      <c r="S1100" s="13">
        <v>0</v>
      </c>
      <c r="T1100" s="13">
        <v>0</v>
      </c>
      <c r="U1100" s="13">
        <v>121</v>
      </c>
      <c r="V1100" s="13" t="str" cm="1">
        <f t="array" ref="V1100">_xlfn.IFS(U1100&lt;=250,"0-R$250",U1100&lt;=500,"251-R$500",U1100&lt;=750,"501-R$750",U1100&lt;=1000,"751-R$1000",U1100&lt;=1250,"1001-R$1250",U1100&lt;=1500,"1251-R$1500")</f>
        <v>0-R$250</v>
      </c>
      <c r="W1100" s="13">
        <v>103</v>
      </c>
      <c r="X1100" s="13" t="str" cm="1">
        <f t="array" ref="X1100">_xlfn.IFS(W1100 = 0, "0", W1100&lt;=20, "até R$20",W1100&lt;=40, "21 - R$40",W1100&lt;=60, "41- R$60",W1100&lt;=80, "61 - R$80", W1100&lt;=100, "81 - R$100",W1100&lt;=120, "101 - R$120",W1100&lt;=140, "121 - R$140", W1100&lt;=160, "141- R$160", W1100&lt;=180, "161 - R$180", W1100&lt;=200, "181-R$194")</f>
        <v>101 - R$120</v>
      </c>
      <c r="Y1100" s="13">
        <v>69</v>
      </c>
      <c r="Z1100" s="13">
        <v>8</v>
      </c>
      <c r="AA1100" s="13">
        <v>44</v>
      </c>
      <c r="AB1100" s="13">
        <v>48</v>
      </c>
      <c r="AC1100" s="13">
        <v>1</v>
      </c>
      <c r="AD1100" s="13">
        <v>4</v>
      </c>
      <c r="AE1100" s="13">
        <v>2</v>
      </c>
      <c r="AF1100" s="13">
        <v>7</v>
      </c>
      <c r="AG1100" s="13">
        <v>4</v>
      </c>
      <c r="AH1100" s="13">
        <v>0</v>
      </c>
      <c r="AI1100" s="13">
        <v>0</v>
      </c>
      <c r="AJ1100" s="13">
        <v>0</v>
      </c>
      <c r="AK1100" s="13">
        <v>0</v>
      </c>
      <c r="AL1100" s="13">
        <v>0</v>
      </c>
      <c r="AM1100" s="13">
        <v>0</v>
      </c>
      <c r="AN1100" s="13">
        <v>0</v>
      </c>
      <c r="AO1100" s="14">
        <v>0</v>
      </c>
      <c r="AP1100" s="13">
        <v>3</v>
      </c>
      <c r="AQ1100" s="13">
        <v>11</v>
      </c>
      <c r="AR1100" s="15">
        <v>297</v>
      </c>
      <c r="AS1100" s="15">
        <v>345</v>
      </c>
    </row>
    <row r="1101" spans="1:45" x14ac:dyDescent="0.25">
      <c r="A1101">
        <v>1906</v>
      </c>
      <c r="B1101" s="11">
        <f t="shared" si="17"/>
        <v>67472</v>
      </c>
      <c r="C1101" s="12">
        <v>674720</v>
      </c>
      <c r="D1101" s="13">
        <v>0</v>
      </c>
      <c r="E1101" s="13">
        <v>1</v>
      </c>
      <c r="F1101" s="13">
        <v>93</v>
      </c>
      <c r="G1101" s="13">
        <v>73</v>
      </c>
      <c r="H1101" s="13" t="str" cm="1">
        <f t="array" ref="H1101">_xlfn.IFS(G1101&lt;=20,"0-20",G1101&lt;=30,"20-30",G1101&lt;=40,"30-40",G1101&lt;=50,"50-60",G1101&lt;=60,"60-70",G1101&lt;=70,"70-80",G1101&lt;=80,"80-90")</f>
        <v>80-90</v>
      </c>
      <c r="I1101" s="13">
        <v>2433</v>
      </c>
      <c r="J1101" s="13" t="str" cm="1">
        <f t="array" ref="J1101">_xlfn.IFS(K1101=1,"Divorciado",L1101=1,"Casado",M1101=1,"Solteiro",N1101=1,"Juntos",O1101=1,"Viuvo")</f>
        <v>Casado</v>
      </c>
      <c r="K1101" s="13">
        <v>0</v>
      </c>
      <c r="L1101" s="13">
        <v>1</v>
      </c>
      <c r="M1101" s="13">
        <v>0</v>
      </c>
      <c r="N1101" s="13">
        <v>0</v>
      </c>
      <c r="O1101" s="13">
        <v>0</v>
      </c>
      <c r="P1101" s="13">
        <v>0</v>
      </c>
      <c r="Q1101" s="13">
        <v>0</v>
      </c>
      <c r="R1101" s="13">
        <v>0</v>
      </c>
      <c r="S1101" s="13">
        <v>0</v>
      </c>
      <c r="T1101" s="13">
        <v>1</v>
      </c>
      <c r="U1101" s="13">
        <v>162</v>
      </c>
      <c r="V1101" s="13" t="str" cm="1">
        <f t="array" ref="V1101">_xlfn.IFS(U1101&lt;=250,"0-R$250",U1101&lt;=500,"251-R$500",U1101&lt;=750,"501-R$750",U1101&lt;=1000,"751-R$1000",U1101&lt;=1250,"1001-R$1250",U1101&lt;=1500,"1251-R$1500")</f>
        <v>0-R$250</v>
      </c>
      <c r="W1101" s="13">
        <v>31</v>
      </c>
      <c r="X1101" s="13" t="str" cm="1">
        <f t="array" ref="X1101">_xlfn.IFS(W1101 = 0, "0", W1101&lt;=20, "até R$20",W1101&lt;=40, "21 - R$40",W1101&lt;=60, "41- R$60",W1101&lt;=80, "61 - R$80", W1101&lt;=100, "81 - R$100",W1101&lt;=120, "101 - R$120",W1101&lt;=140, "121 - R$140", W1101&lt;=160, "141- R$160", W1101&lt;=180, "161 - R$180", W1101&lt;=200, "181-R$194")</f>
        <v>21 - R$40</v>
      </c>
      <c r="Y1101" s="13">
        <v>127</v>
      </c>
      <c r="Z1101" s="13">
        <v>8</v>
      </c>
      <c r="AA1101" s="13">
        <v>17</v>
      </c>
      <c r="AB1101" s="13">
        <v>69</v>
      </c>
      <c r="AC1101" s="13">
        <v>2</v>
      </c>
      <c r="AD1101" s="13">
        <v>4</v>
      </c>
      <c r="AE1101" s="13">
        <v>2</v>
      </c>
      <c r="AF1101" s="13">
        <v>7</v>
      </c>
      <c r="AG1101" s="13">
        <v>3</v>
      </c>
      <c r="AH1101" s="13">
        <v>0</v>
      </c>
      <c r="AI1101" s="13">
        <v>0</v>
      </c>
      <c r="AJ1101" s="13">
        <v>0</v>
      </c>
      <c r="AK1101" s="13">
        <v>0</v>
      </c>
      <c r="AL1101" s="13">
        <v>0</v>
      </c>
      <c r="AM1101" s="13">
        <v>0</v>
      </c>
      <c r="AN1101" s="13">
        <v>0</v>
      </c>
      <c r="AO1101" s="14">
        <v>0</v>
      </c>
      <c r="AP1101" s="13">
        <v>3</v>
      </c>
      <c r="AQ1101" s="13">
        <v>11</v>
      </c>
      <c r="AR1101" s="15">
        <v>276</v>
      </c>
      <c r="AS1101" s="15">
        <v>345</v>
      </c>
    </row>
    <row r="1102" spans="1:45" x14ac:dyDescent="0.25">
      <c r="A1102">
        <v>1355</v>
      </c>
      <c r="B1102" s="11">
        <f t="shared" si="17"/>
        <v>48904</v>
      </c>
      <c r="C1102" s="16">
        <v>489040</v>
      </c>
      <c r="D1102" s="17">
        <v>0</v>
      </c>
      <c r="E1102" s="17">
        <v>1</v>
      </c>
      <c r="F1102" s="17">
        <v>1</v>
      </c>
      <c r="G1102" s="17">
        <v>60</v>
      </c>
      <c r="H1102" s="13" t="str" cm="1">
        <f t="array" ref="H1102">_xlfn.IFS(G1102&lt;=20,"0-20",G1102&lt;=30,"20-30",G1102&lt;=40,"30-40",G1102&lt;=50,"50-60",G1102&lt;=60,"60-70",G1102&lt;=70,"70-80",G1102&lt;=80,"80-90")</f>
        <v>60-70</v>
      </c>
      <c r="I1102" s="17">
        <v>2733</v>
      </c>
      <c r="J1102" s="13" t="str" cm="1">
        <f t="array" ref="J1102">_xlfn.IFS(K1102=1,"Divorciado",L1102=1,"Casado",M1102=1,"Solteiro",N1102=1,"Juntos",O1102=1,"Viuvo")</f>
        <v>Solteiro</v>
      </c>
      <c r="K1102" s="17">
        <v>0</v>
      </c>
      <c r="L1102" s="17">
        <v>0</v>
      </c>
      <c r="M1102" s="17">
        <v>1</v>
      </c>
      <c r="N1102" s="17">
        <v>0</v>
      </c>
      <c r="O1102" s="17">
        <v>0</v>
      </c>
      <c r="P1102" s="17">
        <v>0</v>
      </c>
      <c r="Q1102" s="17">
        <v>0</v>
      </c>
      <c r="R1102" s="17">
        <v>1</v>
      </c>
      <c r="S1102" s="17">
        <v>0</v>
      </c>
      <c r="T1102" s="17">
        <v>0</v>
      </c>
      <c r="U1102" s="17">
        <v>283</v>
      </c>
      <c r="V1102" s="13" t="str" cm="1">
        <f t="array" ref="V1102">_xlfn.IFS(U1102&lt;=250,"0-R$250",U1102&lt;=500,"251-R$500",U1102&lt;=750,"501-R$750",U1102&lt;=1000,"751-R$1000",U1102&lt;=1250,"1001-R$1250",U1102&lt;=1500,"1251-R$1500")</f>
        <v>251-R$500</v>
      </c>
      <c r="W1102" s="17">
        <v>10</v>
      </c>
      <c r="X1102" s="13" t="str" cm="1">
        <f t="array" ref="X1102">_xlfn.IFS(W1102 = 0, "0", W1102&lt;=20, "até R$20",W1102&lt;=40, "21 - R$40",W1102&lt;=60, "41- R$60",W1102&lt;=80, "61 - R$80", W1102&lt;=100, "81 - R$100",W1102&lt;=120, "101 - R$120",W1102&lt;=140, "121 - R$140", W1102&lt;=160, "141- R$160", W1102&lt;=180, "161 - R$180", W1102&lt;=200, "181-R$194")</f>
        <v>até R$20</v>
      </c>
      <c r="Y1102" s="17">
        <v>38</v>
      </c>
      <c r="Z1102" s="17">
        <v>0</v>
      </c>
      <c r="AA1102" s="17">
        <v>13</v>
      </c>
      <c r="AB1102" s="17">
        <v>27</v>
      </c>
      <c r="AC1102" s="17">
        <v>4</v>
      </c>
      <c r="AD1102" s="17">
        <v>7</v>
      </c>
      <c r="AE1102" s="17">
        <v>2</v>
      </c>
      <c r="AF1102" s="17">
        <v>4</v>
      </c>
      <c r="AG1102" s="17">
        <v>8</v>
      </c>
      <c r="AH1102" s="17">
        <v>0</v>
      </c>
      <c r="AI1102" s="17">
        <v>0</v>
      </c>
      <c r="AJ1102" s="17">
        <v>0</v>
      </c>
      <c r="AK1102" s="17">
        <v>0</v>
      </c>
      <c r="AL1102" s="17">
        <v>0</v>
      </c>
      <c r="AM1102" s="17">
        <v>0</v>
      </c>
      <c r="AN1102" s="17">
        <v>0</v>
      </c>
      <c r="AO1102" s="18">
        <v>0</v>
      </c>
      <c r="AP1102" s="17">
        <v>3</v>
      </c>
      <c r="AQ1102" s="17">
        <v>11</v>
      </c>
      <c r="AR1102" s="19">
        <v>317</v>
      </c>
      <c r="AS1102" s="19">
        <v>344</v>
      </c>
    </row>
    <row r="1103" spans="1:45" x14ac:dyDescent="0.25">
      <c r="A1103">
        <v>770</v>
      </c>
      <c r="B1103" s="11">
        <f t="shared" si="17"/>
        <v>40780</v>
      </c>
      <c r="C1103" s="12">
        <v>407800</v>
      </c>
      <c r="D1103" s="13">
        <v>0</v>
      </c>
      <c r="E1103" s="13">
        <v>1</v>
      </c>
      <c r="F1103" s="13">
        <v>30</v>
      </c>
      <c r="G1103" s="13">
        <v>44</v>
      </c>
      <c r="H1103" s="13" t="str" cm="1">
        <f t="array" ref="H1103">_xlfn.IFS(G1103&lt;=20,"0-20",G1103&lt;=30,"20-30",G1103&lt;=40,"30-40",G1103&lt;=50,"50-60",G1103&lt;=60,"60-70",G1103&lt;=70,"70-80",G1103&lt;=80,"80-90")</f>
        <v>50-60</v>
      </c>
      <c r="I1103" s="13">
        <v>2818</v>
      </c>
      <c r="J1103" s="13" t="str" cm="1">
        <f t="array" ref="J1103">_xlfn.IFS(K1103=1,"Divorciado",L1103=1,"Casado",M1103=1,"Solteiro",N1103=1,"Juntos",O1103=1,"Viuvo")</f>
        <v>Divorciado</v>
      </c>
      <c r="K1103" s="13">
        <v>1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1</v>
      </c>
      <c r="S1103" s="13">
        <v>0</v>
      </c>
      <c r="T1103" s="13">
        <v>0</v>
      </c>
      <c r="U1103" s="13">
        <v>229</v>
      </c>
      <c r="V1103" s="13" t="str" cm="1">
        <f t="array" ref="V1103">_xlfn.IFS(U1103&lt;=250,"0-R$250",U1103&lt;=500,"251-R$500",U1103&lt;=750,"501-R$750",U1103&lt;=1000,"751-R$1000",U1103&lt;=1250,"1001-R$1250",U1103&lt;=1500,"1251-R$1500")</f>
        <v>0-R$250</v>
      </c>
      <c r="W1103" s="13">
        <v>27</v>
      </c>
      <c r="X1103" s="13" t="str" cm="1">
        <f t="array" ref="X1103">_xlfn.IFS(W1103 = 0, "0", W1103&lt;=20, "até R$20",W1103&lt;=40, "21 - R$40",W1103&lt;=60, "41- R$60",W1103&lt;=80, "61 - R$80", W1103&lt;=100, "81 - R$100",W1103&lt;=120, "101 - R$120",W1103&lt;=140, "121 - R$140", W1103&lt;=160, "141- R$160", W1103&lt;=180, "161 - R$180", W1103&lt;=200, "181-R$194")</f>
        <v>21 - R$40</v>
      </c>
      <c r="Y1103" s="13">
        <v>71</v>
      </c>
      <c r="Z1103" s="13">
        <v>13</v>
      </c>
      <c r="AA1103" s="13">
        <v>3</v>
      </c>
      <c r="AB1103" s="13">
        <v>34</v>
      </c>
      <c r="AC1103" s="13">
        <v>4</v>
      </c>
      <c r="AD1103" s="13">
        <v>7</v>
      </c>
      <c r="AE1103" s="13">
        <v>1</v>
      </c>
      <c r="AF1103" s="13">
        <v>5</v>
      </c>
      <c r="AG1103" s="13">
        <v>9</v>
      </c>
      <c r="AH1103" s="13">
        <v>0</v>
      </c>
      <c r="AI1103" s="13">
        <v>0</v>
      </c>
      <c r="AJ1103" s="13">
        <v>0</v>
      </c>
      <c r="AK1103" s="13">
        <v>0</v>
      </c>
      <c r="AL1103" s="13">
        <v>0</v>
      </c>
      <c r="AM1103" s="13">
        <v>0</v>
      </c>
      <c r="AN1103" s="13">
        <v>0</v>
      </c>
      <c r="AO1103" s="14">
        <v>0</v>
      </c>
      <c r="AP1103" s="13">
        <v>3</v>
      </c>
      <c r="AQ1103" s="13">
        <v>11</v>
      </c>
      <c r="AR1103" s="15">
        <v>309</v>
      </c>
      <c r="AS1103" s="15">
        <v>343</v>
      </c>
    </row>
    <row r="1104" spans="1:45" x14ac:dyDescent="0.25">
      <c r="A1104">
        <v>1106</v>
      </c>
      <c r="B1104" s="11">
        <f t="shared" si="17"/>
        <v>39552</v>
      </c>
      <c r="C1104" s="12">
        <v>395520</v>
      </c>
      <c r="D1104" s="13">
        <v>1</v>
      </c>
      <c r="E1104" s="13">
        <v>1</v>
      </c>
      <c r="F1104" s="13">
        <v>54</v>
      </c>
      <c r="G1104" s="13">
        <v>58</v>
      </c>
      <c r="H1104" s="13" t="str" cm="1">
        <f t="array" ref="H1104">_xlfn.IFS(G1104&lt;=20,"0-20",G1104&lt;=30,"20-30",G1104&lt;=40,"30-40",G1104&lt;=50,"50-60",G1104&lt;=60,"60-70",G1104&lt;=70,"70-80",G1104&lt;=80,"80-90")</f>
        <v>60-70</v>
      </c>
      <c r="I1104" s="13">
        <v>2717</v>
      </c>
      <c r="J1104" s="13" t="str" cm="1">
        <f t="array" ref="J1104">_xlfn.IFS(K1104=1,"Divorciado",L1104=1,"Casado",M1104=1,"Solteiro",N1104=1,"Juntos",O1104=1,"Viuvo")</f>
        <v>Divorciado</v>
      </c>
      <c r="K1104" s="13">
        <v>1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3">
        <v>1</v>
      </c>
      <c r="S1104" s="13">
        <v>0</v>
      </c>
      <c r="T1104" s="13">
        <v>0</v>
      </c>
      <c r="U1104" s="13">
        <v>165</v>
      </c>
      <c r="V1104" s="13" t="str" cm="1">
        <f t="array" ref="V1104">_xlfn.IFS(U1104&lt;=250,"0-R$250",U1104&lt;=500,"251-R$500",U1104&lt;=750,"501-R$750",U1104&lt;=1000,"751-R$1000",U1104&lt;=1250,"1001-R$1250",U1104&lt;=1500,"1251-R$1500")</f>
        <v>0-R$250</v>
      </c>
      <c r="W1104" s="13">
        <v>3</v>
      </c>
      <c r="X1104" s="13" t="str" cm="1">
        <f t="array" ref="X1104">_xlfn.IFS(W1104 = 0, "0", W1104&lt;=20, "até R$20",W1104&lt;=40, "21 - R$40",W1104&lt;=60, "41- R$60",W1104&lt;=80, "61 - R$80", W1104&lt;=100, "81 - R$100",W1104&lt;=120, "101 - R$120",W1104&lt;=140, "121 - R$140", W1104&lt;=160, "141- R$160", W1104&lt;=180, "161 - R$180", W1104&lt;=200, "181-R$194")</f>
        <v>até R$20</v>
      </c>
      <c r="Y1104" s="13">
        <v>147</v>
      </c>
      <c r="Z1104" s="13">
        <v>4</v>
      </c>
      <c r="AA1104" s="13">
        <v>24</v>
      </c>
      <c r="AB1104" s="13">
        <v>41</v>
      </c>
      <c r="AC1104" s="13">
        <v>7</v>
      </c>
      <c r="AD1104" s="13">
        <v>6</v>
      </c>
      <c r="AE1104" s="13">
        <v>2</v>
      </c>
      <c r="AF1104" s="13">
        <v>5</v>
      </c>
      <c r="AG1104" s="13">
        <v>8</v>
      </c>
      <c r="AH1104" s="13">
        <v>0</v>
      </c>
      <c r="AI1104" s="13">
        <v>0</v>
      </c>
      <c r="AJ1104" s="13">
        <v>0</v>
      </c>
      <c r="AK1104" s="13">
        <v>0</v>
      </c>
      <c r="AL1104" s="13">
        <v>0</v>
      </c>
      <c r="AM1104" s="13">
        <v>0</v>
      </c>
      <c r="AN1104" s="13">
        <v>1</v>
      </c>
      <c r="AO1104" s="14">
        <v>0</v>
      </c>
      <c r="AP1104" s="13">
        <v>3</v>
      </c>
      <c r="AQ1104" s="13">
        <v>11</v>
      </c>
      <c r="AR1104" s="15">
        <v>302</v>
      </c>
      <c r="AS1104" s="15">
        <v>343</v>
      </c>
    </row>
    <row r="1105" spans="1:45" x14ac:dyDescent="0.25">
      <c r="A1105">
        <v>1191</v>
      </c>
      <c r="B1105" s="11">
        <f t="shared" si="17"/>
        <v>42213</v>
      </c>
      <c r="C1105" s="16">
        <v>422130</v>
      </c>
      <c r="D1105" s="17">
        <v>0</v>
      </c>
      <c r="E1105" s="17">
        <v>1</v>
      </c>
      <c r="F1105" s="17">
        <v>96</v>
      </c>
      <c r="G1105" s="17">
        <v>63</v>
      </c>
      <c r="H1105" s="13" t="str" cm="1">
        <f t="array" ref="H1105">_xlfn.IFS(G1105&lt;=20,"0-20",G1105&lt;=30,"20-30",G1105&lt;=40,"30-40",G1105&lt;=50,"50-60",G1105&lt;=60,"60-70",G1105&lt;=70,"70-80",G1105&lt;=80,"80-90")</f>
        <v>70-80</v>
      </c>
      <c r="I1105" s="17">
        <v>2419</v>
      </c>
      <c r="J1105" s="13" t="str" cm="1">
        <f t="array" ref="J1105">_xlfn.IFS(K1105=1,"Divorciado",L1105=1,"Casado",M1105=1,"Solteiro",N1105=1,"Juntos",O1105=1,"Viuvo")</f>
        <v>Juntos</v>
      </c>
      <c r="K1105" s="17">
        <v>0</v>
      </c>
      <c r="L1105" s="17">
        <v>0</v>
      </c>
      <c r="M1105" s="17">
        <v>0</v>
      </c>
      <c r="N1105" s="17">
        <v>1</v>
      </c>
      <c r="O1105" s="17">
        <v>0</v>
      </c>
      <c r="P1105" s="17">
        <v>0</v>
      </c>
      <c r="Q1105" s="17">
        <v>0</v>
      </c>
      <c r="R1105" s="17">
        <v>1</v>
      </c>
      <c r="S1105" s="17">
        <v>0</v>
      </c>
      <c r="T1105" s="17">
        <v>0</v>
      </c>
      <c r="U1105" s="17">
        <v>309</v>
      </c>
      <c r="V1105" s="13" t="str" cm="1">
        <f t="array" ref="V1105">_xlfn.IFS(U1105&lt;=250,"0-R$250",U1105&lt;=500,"251-R$500",U1105&lt;=750,"501-R$750",U1105&lt;=1000,"751-R$1000",U1105&lt;=1250,"1001-R$1250",U1105&lt;=1500,"1251-R$1500")</f>
        <v>251-R$500</v>
      </c>
      <c r="W1105" s="17">
        <v>3</v>
      </c>
      <c r="X1105" s="13" t="str" cm="1">
        <f t="array" ref="X1105">_xlfn.IFS(W1105 = 0, "0", W1105&lt;=20, "até R$20",W1105&lt;=40, "21 - R$40",W1105&lt;=60, "41- R$60",W1105&lt;=80, "61 - R$80", W1105&lt;=100, "81 - R$100",W1105&lt;=120, "101 - R$120",W1105&lt;=140, "121 - R$140", W1105&lt;=160, "141- R$160", W1105&lt;=180, "161 - R$180", W1105&lt;=200, "181-R$194")</f>
        <v>até R$20</v>
      </c>
      <c r="Y1105" s="17">
        <v>24</v>
      </c>
      <c r="Z1105" s="17">
        <v>4</v>
      </c>
      <c r="AA1105" s="17">
        <v>3</v>
      </c>
      <c r="AB1105" s="17">
        <v>20</v>
      </c>
      <c r="AC1105" s="17">
        <v>2</v>
      </c>
      <c r="AD1105" s="17">
        <v>5</v>
      </c>
      <c r="AE1105" s="17">
        <v>1</v>
      </c>
      <c r="AF1105" s="17">
        <v>7</v>
      </c>
      <c r="AG1105" s="17">
        <v>7</v>
      </c>
      <c r="AH1105" s="17">
        <v>0</v>
      </c>
      <c r="AI1105" s="17">
        <v>0</v>
      </c>
      <c r="AJ1105" s="17">
        <v>1</v>
      </c>
      <c r="AK1105" s="17">
        <v>0</v>
      </c>
      <c r="AL1105" s="17">
        <v>0</v>
      </c>
      <c r="AM1105" s="17">
        <v>0</v>
      </c>
      <c r="AN1105" s="17">
        <v>0</v>
      </c>
      <c r="AO1105" s="18">
        <v>1</v>
      </c>
      <c r="AP1105" s="17">
        <v>3</v>
      </c>
      <c r="AQ1105" s="17">
        <v>11</v>
      </c>
      <c r="AR1105" s="19">
        <v>323</v>
      </c>
      <c r="AS1105" s="19">
        <v>343</v>
      </c>
    </row>
    <row r="1106" spans="1:45" x14ac:dyDescent="0.25">
      <c r="A1106">
        <v>626</v>
      </c>
      <c r="B1106" s="11">
        <f t="shared" si="17"/>
        <v>45906</v>
      </c>
      <c r="C1106" s="12">
        <v>459060</v>
      </c>
      <c r="D1106" s="13">
        <v>0</v>
      </c>
      <c r="E1106" s="13">
        <v>1</v>
      </c>
      <c r="F1106" s="13">
        <v>20</v>
      </c>
      <c r="G1106" s="13">
        <v>56</v>
      </c>
      <c r="H1106" s="13" t="str" cm="1">
        <f t="array" ref="H1106">_xlfn.IFS(G1106&lt;=20,"0-20",G1106&lt;=30,"20-30",G1106&lt;=40,"30-40",G1106&lt;=50,"50-60",G1106&lt;=60,"60-70",G1106&lt;=70,"70-80",G1106&lt;=80,"80-90")</f>
        <v>60-70</v>
      </c>
      <c r="I1106" s="13">
        <v>2577</v>
      </c>
      <c r="J1106" s="13" t="str" cm="1">
        <f t="array" ref="J1106">_xlfn.IFS(K1106=1,"Divorciado",L1106=1,"Casado",M1106=1,"Solteiro",N1106=1,"Juntos",O1106=1,"Viuvo")</f>
        <v>Solteiro</v>
      </c>
      <c r="K1106" s="13">
        <v>0</v>
      </c>
      <c r="L1106" s="13">
        <v>0</v>
      </c>
      <c r="M1106" s="13">
        <v>1</v>
      </c>
      <c r="N1106" s="13">
        <v>0</v>
      </c>
      <c r="O1106" s="13">
        <v>0</v>
      </c>
      <c r="P1106" s="13">
        <v>0</v>
      </c>
      <c r="Q1106" s="13">
        <v>0</v>
      </c>
      <c r="R1106" s="13">
        <v>1</v>
      </c>
      <c r="S1106" s="13">
        <v>0</v>
      </c>
      <c r="T1106" s="13">
        <v>0</v>
      </c>
      <c r="U1106" s="13">
        <v>305</v>
      </c>
      <c r="V1106" s="13" t="str" cm="1">
        <f t="array" ref="V1106">_xlfn.IFS(U1106&lt;=250,"0-R$250",U1106&lt;=500,"251-R$500",U1106&lt;=750,"501-R$750",U1106&lt;=1000,"751-R$1000",U1106&lt;=1250,"1001-R$1250",U1106&lt;=1500,"1251-R$1500")</f>
        <v>251-R$500</v>
      </c>
      <c r="W1106" s="13">
        <v>3</v>
      </c>
      <c r="X1106" s="13" t="str" cm="1">
        <f t="array" ref="X1106">_xlfn.IFS(W1106 = 0, "0", W1106&lt;=20, "até R$20",W1106&lt;=40, "21 - R$40",W1106&lt;=60, "41- R$60",W1106&lt;=80, "61 - R$80", W1106&lt;=100, "81 - R$100",W1106&lt;=120, "101 - R$120",W1106&lt;=140, "121 - R$140", W1106&lt;=160, "141- R$160", W1106&lt;=180, "161 - R$180", W1106&lt;=200, "181-R$194")</f>
        <v>até R$20</v>
      </c>
      <c r="Y1106" s="13">
        <v>27</v>
      </c>
      <c r="Z1106" s="13">
        <v>4</v>
      </c>
      <c r="AA1106" s="13">
        <v>3</v>
      </c>
      <c r="AB1106" s="13">
        <v>144</v>
      </c>
      <c r="AC1106" s="13">
        <v>2</v>
      </c>
      <c r="AD1106" s="13">
        <v>5</v>
      </c>
      <c r="AE1106" s="13">
        <v>4</v>
      </c>
      <c r="AF1106" s="13">
        <v>4</v>
      </c>
      <c r="AG1106" s="13">
        <v>5</v>
      </c>
      <c r="AH1106" s="13">
        <v>0</v>
      </c>
      <c r="AI1106" s="13">
        <v>1</v>
      </c>
      <c r="AJ1106" s="13">
        <v>0</v>
      </c>
      <c r="AK1106" s="13">
        <v>0</v>
      </c>
      <c r="AL1106" s="13">
        <v>0</v>
      </c>
      <c r="AM1106" s="13">
        <v>0</v>
      </c>
      <c r="AN1106" s="13">
        <v>0</v>
      </c>
      <c r="AO1106" s="14">
        <v>1</v>
      </c>
      <c r="AP1106" s="13">
        <v>3</v>
      </c>
      <c r="AQ1106" s="13">
        <v>11</v>
      </c>
      <c r="AR1106" s="15">
        <v>198</v>
      </c>
      <c r="AS1106" s="15">
        <v>342</v>
      </c>
    </row>
    <row r="1107" spans="1:45" x14ac:dyDescent="0.25">
      <c r="A1107">
        <v>1055</v>
      </c>
      <c r="B1107" s="11">
        <f t="shared" si="17"/>
        <v>46610</v>
      </c>
      <c r="C1107" s="16">
        <v>466100</v>
      </c>
      <c r="D1107" s="17">
        <v>0</v>
      </c>
      <c r="E1107" s="17">
        <v>0</v>
      </c>
      <c r="F1107" s="17">
        <v>4</v>
      </c>
      <c r="G1107" s="17">
        <v>62</v>
      </c>
      <c r="H1107" s="13" t="str" cm="1">
        <f t="array" ref="H1107">_xlfn.IFS(G1107&lt;=20,"0-20",G1107&lt;=30,"20-30",G1107&lt;=40,"30-40",G1107&lt;=50,"50-60",G1107&lt;=60,"60-70",G1107&lt;=70,"70-80",G1107&lt;=80,"80-90")</f>
        <v>70-80</v>
      </c>
      <c r="I1107" s="17">
        <v>2505</v>
      </c>
      <c r="J1107" s="13" t="str" cm="1">
        <f t="array" ref="J1107">_xlfn.IFS(K1107=1,"Divorciado",L1107=1,"Casado",M1107=1,"Solteiro",N1107=1,"Juntos",O1107=1,"Viuvo")</f>
        <v>Juntos</v>
      </c>
      <c r="K1107" s="17">
        <v>0</v>
      </c>
      <c r="L1107" s="17">
        <v>0</v>
      </c>
      <c r="M1107" s="17">
        <v>0</v>
      </c>
      <c r="N1107" s="17">
        <v>1</v>
      </c>
      <c r="O1107" s="17">
        <v>0</v>
      </c>
      <c r="P1107" s="17">
        <v>0</v>
      </c>
      <c r="Q1107" s="17">
        <v>0</v>
      </c>
      <c r="R1107" s="17">
        <v>1</v>
      </c>
      <c r="S1107" s="17">
        <v>0</v>
      </c>
      <c r="T1107" s="17">
        <v>0</v>
      </c>
      <c r="U1107" s="17">
        <v>288</v>
      </c>
      <c r="V1107" s="13" t="str" cm="1">
        <f t="array" ref="V1107">_xlfn.IFS(U1107&lt;=250,"0-R$250",U1107&lt;=500,"251-R$500",U1107&lt;=750,"501-R$750",U1107&lt;=1000,"751-R$1000",U1107&lt;=1250,"1001-R$1250",U1107&lt;=1500,"1251-R$1500")</f>
        <v>251-R$500</v>
      </c>
      <c r="W1107" s="17">
        <v>10</v>
      </c>
      <c r="X1107" s="13" t="str" cm="1">
        <f t="array" ref="X1107">_xlfn.IFS(W1107 = 0, "0", W1107&lt;=20, "até R$20",W1107&lt;=40, "21 - R$40",W1107&lt;=60, "41- R$60",W1107&lt;=80, "61 - R$80", W1107&lt;=100, "81 - R$100",W1107&lt;=120, "101 - R$120",W1107&lt;=140, "121 - R$140", W1107&lt;=160, "141- R$160", W1107&lt;=180, "161 - R$180", W1107&lt;=200, "181-R$194")</f>
        <v>até R$20</v>
      </c>
      <c r="Y1107" s="17">
        <v>30</v>
      </c>
      <c r="Z1107" s="17">
        <v>4</v>
      </c>
      <c r="AA1107" s="17">
        <v>10</v>
      </c>
      <c r="AB1107" s="17">
        <v>125</v>
      </c>
      <c r="AC1107" s="17">
        <v>1</v>
      </c>
      <c r="AD1107" s="17">
        <v>6</v>
      </c>
      <c r="AE1107" s="17">
        <v>1</v>
      </c>
      <c r="AF1107" s="17">
        <v>6</v>
      </c>
      <c r="AG1107" s="17">
        <v>6</v>
      </c>
      <c r="AH1107" s="17">
        <v>0</v>
      </c>
      <c r="AI1107" s="17">
        <v>0</v>
      </c>
      <c r="AJ1107" s="17">
        <v>0</v>
      </c>
      <c r="AK1107" s="17">
        <v>0</v>
      </c>
      <c r="AL1107" s="17">
        <v>0</v>
      </c>
      <c r="AM1107" s="17">
        <v>0</v>
      </c>
      <c r="AN1107" s="17">
        <v>0</v>
      </c>
      <c r="AO1107" s="18">
        <v>0</v>
      </c>
      <c r="AP1107" s="17">
        <v>3</v>
      </c>
      <c r="AQ1107" s="17">
        <v>11</v>
      </c>
      <c r="AR1107" s="19">
        <v>217</v>
      </c>
      <c r="AS1107" s="19">
        <v>342</v>
      </c>
    </row>
    <row r="1108" spans="1:45" x14ac:dyDescent="0.25">
      <c r="A1108">
        <v>496</v>
      </c>
      <c r="B1108" s="11">
        <f t="shared" si="17"/>
        <v>48920</v>
      </c>
      <c r="C1108" s="12">
        <v>489200</v>
      </c>
      <c r="D1108" s="13">
        <v>0</v>
      </c>
      <c r="E1108" s="13">
        <v>2</v>
      </c>
      <c r="F1108" s="13">
        <v>93</v>
      </c>
      <c r="G1108" s="13">
        <v>56</v>
      </c>
      <c r="H1108" s="13" t="str" cm="1">
        <f t="array" ref="H1108">_xlfn.IFS(G1108&lt;=20,"0-20",G1108&lt;=30,"20-30",G1108&lt;=40,"30-40",G1108&lt;=50,"50-60",G1108&lt;=60,"60-70",G1108&lt;=70,"70-80",G1108&lt;=80,"80-90")</f>
        <v>60-70</v>
      </c>
      <c r="I1108" s="13">
        <v>2411</v>
      </c>
      <c r="J1108" s="13" t="str" cm="1">
        <f t="array" ref="J1108">_xlfn.IFS(K1108=1,"Divorciado",L1108=1,"Casado",M1108=1,"Solteiro",N1108=1,"Juntos",O1108=1,"Viuvo")</f>
        <v>Casado</v>
      </c>
      <c r="K1108" s="13">
        <v>0</v>
      </c>
      <c r="L1108" s="13">
        <v>1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1</v>
      </c>
      <c r="S1108" s="13">
        <v>0</v>
      </c>
      <c r="T1108" s="13">
        <v>0</v>
      </c>
      <c r="U1108" s="13">
        <v>238</v>
      </c>
      <c r="V1108" s="13" t="str" cm="1">
        <f t="array" ref="V1108">_xlfn.IFS(U1108&lt;=250,"0-R$250",U1108&lt;=500,"251-R$500",U1108&lt;=750,"501-R$750",U1108&lt;=1000,"751-R$1000",U1108&lt;=1250,"1001-R$1250",U1108&lt;=1500,"1251-R$1500")</f>
        <v>0-R$250</v>
      </c>
      <c r="W1108" s="13">
        <v>17</v>
      </c>
      <c r="X1108" s="13" t="str" cm="1">
        <f t="array" ref="X1108">_xlfn.IFS(W1108 = 0, "0", W1108&lt;=20, "até R$20",W1108&lt;=40, "21 - R$40",W1108&lt;=60, "41- R$60",W1108&lt;=80, "61 - R$80", W1108&lt;=100, "81 - R$100",W1108&lt;=120, "101 - R$120",W1108&lt;=140, "121 - R$140", W1108&lt;=160, "141- R$160", W1108&lt;=180, "161 - R$180", W1108&lt;=200, "181-R$194")</f>
        <v>até R$20</v>
      </c>
      <c r="Y1108" s="13">
        <v>68</v>
      </c>
      <c r="Z1108" s="13">
        <v>8</v>
      </c>
      <c r="AA1108" s="13">
        <v>10</v>
      </c>
      <c r="AB1108" s="13">
        <v>6</v>
      </c>
      <c r="AC1108" s="13">
        <v>3</v>
      </c>
      <c r="AD1108" s="13">
        <v>6</v>
      </c>
      <c r="AE1108" s="13">
        <v>2</v>
      </c>
      <c r="AF1108" s="13">
        <v>5</v>
      </c>
      <c r="AG1108" s="13">
        <v>7</v>
      </c>
      <c r="AH1108" s="13">
        <v>0</v>
      </c>
      <c r="AI1108" s="13">
        <v>0</v>
      </c>
      <c r="AJ1108" s="13">
        <v>1</v>
      </c>
      <c r="AK1108" s="13">
        <v>0</v>
      </c>
      <c r="AL1108" s="13">
        <v>0</v>
      </c>
      <c r="AM1108" s="13">
        <v>0</v>
      </c>
      <c r="AN1108" s="13">
        <v>0</v>
      </c>
      <c r="AO1108" s="14">
        <v>1</v>
      </c>
      <c r="AP1108" s="13">
        <v>3</v>
      </c>
      <c r="AQ1108" s="13">
        <v>11</v>
      </c>
      <c r="AR1108" s="15">
        <v>335</v>
      </c>
      <c r="AS1108" s="15">
        <v>341</v>
      </c>
    </row>
    <row r="1109" spans="1:45" x14ac:dyDescent="0.25">
      <c r="A1109">
        <v>1062</v>
      </c>
      <c r="B1109" s="11">
        <f t="shared" si="17"/>
        <v>36715</v>
      </c>
      <c r="C1109" s="12">
        <v>367150</v>
      </c>
      <c r="D1109" s="13">
        <v>1</v>
      </c>
      <c r="E1109" s="13">
        <v>0</v>
      </c>
      <c r="F1109" s="13">
        <v>16</v>
      </c>
      <c r="G1109" s="13">
        <v>49</v>
      </c>
      <c r="H1109" s="13" t="str" cm="1">
        <f t="array" ref="H1109">_xlfn.IFS(G1109&lt;=20,"0-20",G1109&lt;=30,"20-30",G1109&lt;=40,"30-40",G1109&lt;=50,"50-60",G1109&lt;=60,"60-70",G1109&lt;=70,"70-80",G1109&lt;=80,"80-90")</f>
        <v>50-60</v>
      </c>
      <c r="I1109" s="13">
        <v>2748</v>
      </c>
      <c r="J1109" s="13" t="str" cm="1">
        <f t="array" ref="J1109">_xlfn.IFS(K1109=1,"Divorciado",L1109=1,"Casado",M1109=1,"Solteiro",N1109=1,"Juntos",O1109=1,"Viuvo")</f>
        <v>Casado</v>
      </c>
      <c r="K1109" s="13">
        <v>0</v>
      </c>
      <c r="L1109" s="13">
        <v>1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1</v>
      </c>
      <c r="S1109" s="13">
        <v>0</v>
      </c>
      <c r="T1109" s="13">
        <v>0</v>
      </c>
      <c r="U1109" s="13">
        <v>172</v>
      </c>
      <c r="V1109" s="13" t="str" cm="1">
        <f t="array" ref="V1109">_xlfn.IFS(U1109&lt;=250,"0-R$250",U1109&lt;=500,"251-R$500",U1109&lt;=750,"501-R$750",U1109&lt;=1000,"751-R$1000",U1109&lt;=1250,"1001-R$1250",U1109&lt;=1500,"1251-R$1500")</f>
        <v>0-R$250</v>
      </c>
      <c r="W1109" s="13">
        <v>10</v>
      </c>
      <c r="X1109" s="13" t="str" cm="1">
        <f t="array" ref="X1109">_xlfn.IFS(W1109 = 0, "0", W1109&lt;=20, "até R$20",W1109&lt;=40, "21 - R$40",W1109&lt;=60, "41- R$60",W1109&lt;=80, "61 - R$80", W1109&lt;=100, "81 - R$100",W1109&lt;=120, "101 - R$120",W1109&lt;=140, "121 - R$140", W1109&lt;=160, "141- R$160", W1109&lt;=180, "161 - R$180", W1109&lt;=200, "181-R$194")</f>
        <v>até R$20</v>
      </c>
      <c r="Y1109" s="13">
        <v>125</v>
      </c>
      <c r="Z1109" s="13">
        <v>21</v>
      </c>
      <c r="AA1109" s="13">
        <v>13</v>
      </c>
      <c r="AB1109" s="13">
        <v>16</v>
      </c>
      <c r="AC1109" s="13">
        <v>6</v>
      </c>
      <c r="AD1109" s="13">
        <v>7</v>
      </c>
      <c r="AE1109" s="13">
        <v>2</v>
      </c>
      <c r="AF1109" s="13">
        <v>4</v>
      </c>
      <c r="AG1109" s="13">
        <v>9</v>
      </c>
      <c r="AH1109" s="13">
        <v>0</v>
      </c>
      <c r="AI1109" s="13">
        <v>0</v>
      </c>
      <c r="AJ1109" s="13">
        <v>0</v>
      </c>
      <c r="AK1109" s="13">
        <v>0</v>
      </c>
      <c r="AL1109" s="13">
        <v>0</v>
      </c>
      <c r="AM1109" s="13">
        <v>0</v>
      </c>
      <c r="AN1109" s="13">
        <v>1</v>
      </c>
      <c r="AO1109" s="14">
        <v>0</v>
      </c>
      <c r="AP1109" s="13">
        <v>3</v>
      </c>
      <c r="AQ1109" s="13">
        <v>11</v>
      </c>
      <c r="AR1109" s="15">
        <v>325</v>
      </c>
      <c r="AS1109" s="15">
        <v>341</v>
      </c>
    </row>
    <row r="1110" spans="1:45" x14ac:dyDescent="0.25">
      <c r="A1110">
        <v>2052</v>
      </c>
      <c r="B1110" s="11">
        <f t="shared" si="17"/>
        <v>51651</v>
      </c>
      <c r="C1110" s="12">
        <v>516510</v>
      </c>
      <c r="D1110" s="13">
        <v>0</v>
      </c>
      <c r="E1110" s="13">
        <v>1</v>
      </c>
      <c r="F1110" s="13">
        <v>32</v>
      </c>
      <c r="G1110" s="13">
        <v>60</v>
      </c>
      <c r="H1110" s="13" t="str" cm="1">
        <f t="array" ref="H1110">_xlfn.IFS(G1110&lt;=20,"0-20",G1110&lt;=30,"20-30",G1110&lt;=40,"30-40",G1110&lt;=50,"50-60",G1110&lt;=60,"60-70",G1110&lt;=70,"70-80",G1110&lt;=80,"80-90")</f>
        <v>60-70</v>
      </c>
      <c r="I1110" s="13">
        <v>2758</v>
      </c>
      <c r="J1110" s="13" t="str" cm="1">
        <f t="array" ref="J1110">_xlfn.IFS(K1110=1,"Divorciado",L1110=1,"Casado",M1110=1,"Solteiro",N1110=1,"Juntos",O1110=1,"Viuvo")</f>
        <v>Casado</v>
      </c>
      <c r="K1110" s="13">
        <v>0</v>
      </c>
      <c r="L1110" s="13">
        <v>1</v>
      </c>
      <c r="M1110" s="13">
        <v>0</v>
      </c>
      <c r="N1110" s="13">
        <v>0</v>
      </c>
      <c r="O1110" s="13">
        <v>0</v>
      </c>
      <c r="P1110" s="13">
        <v>0</v>
      </c>
      <c r="Q1110" s="13">
        <v>0</v>
      </c>
      <c r="R1110" s="13">
        <v>1</v>
      </c>
      <c r="S1110" s="13">
        <v>0</v>
      </c>
      <c r="T1110" s="13">
        <v>0</v>
      </c>
      <c r="U1110" s="13">
        <v>293</v>
      </c>
      <c r="V1110" s="13" t="str" cm="1">
        <f t="array" ref="V1110">_xlfn.IFS(U1110&lt;=250,"0-R$250",U1110&lt;=500,"251-R$500",U1110&lt;=750,"501-R$750",U1110&lt;=1000,"751-R$1000",U1110&lt;=1250,"1001-R$1250",U1110&lt;=1500,"1251-R$1500")</f>
        <v>251-R$500</v>
      </c>
      <c r="W1110" s="13">
        <v>6</v>
      </c>
      <c r="X1110" s="13" t="str" cm="1">
        <f t="array" ref="X1110">_xlfn.IFS(W1110 = 0, "0", W1110&lt;=20, "até R$20",W1110&lt;=40, "21 - R$40",W1110&lt;=60, "41- R$60",W1110&lt;=80, "61 - R$80", W1110&lt;=100, "81 - R$100",W1110&lt;=120, "101 - R$120",W1110&lt;=140, "121 - R$140", W1110&lt;=160, "141- R$160", W1110&lt;=180, "161 - R$180", W1110&lt;=200, "181-R$194")</f>
        <v>até R$20</v>
      </c>
      <c r="Y1110" s="13">
        <v>23</v>
      </c>
      <c r="Z1110" s="13">
        <v>13</v>
      </c>
      <c r="AA1110" s="13">
        <v>6</v>
      </c>
      <c r="AB1110" s="13">
        <v>92</v>
      </c>
      <c r="AC1110" s="13">
        <v>4</v>
      </c>
      <c r="AD1110" s="13">
        <v>6</v>
      </c>
      <c r="AE1110" s="13">
        <v>2</v>
      </c>
      <c r="AF1110" s="13">
        <v>5</v>
      </c>
      <c r="AG1110" s="13">
        <v>8</v>
      </c>
      <c r="AH1110" s="13">
        <v>0</v>
      </c>
      <c r="AI1110" s="13">
        <v>0</v>
      </c>
      <c r="AJ1110" s="13">
        <v>0</v>
      </c>
      <c r="AK1110" s="13">
        <v>0</v>
      </c>
      <c r="AL1110" s="13">
        <v>0</v>
      </c>
      <c r="AM1110" s="13">
        <v>0</v>
      </c>
      <c r="AN1110" s="13">
        <v>0</v>
      </c>
      <c r="AO1110" s="14">
        <v>0</v>
      </c>
      <c r="AP1110" s="13">
        <v>3</v>
      </c>
      <c r="AQ1110" s="13">
        <v>11</v>
      </c>
      <c r="AR1110" s="15">
        <v>249</v>
      </c>
      <c r="AS1110" s="15">
        <v>341</v>
      </c>
    </row>
    <row r="1111" spans="1:45" x14ac:dyDescent="0.25">
      <c r="A1111">
        <v>513</v>
      </c>
      <c r="B1111" s="11">
        <f t="shared" si="17"/>
        <v>49154</v>
      </c>
      <c r="C1111" s="16">
        <v>491540</v>
      </c>
      <c r="D1111" s="17">
        <v>1</v>
      </c>
      <c r="E1111" s="17">
        <v>1</v>
      </c>
      <c r="F1111" s="17">
        <v>69</v>
      </c>
      <c r="G1111" s="17">
        <v>60</v>
      </c>
      <c r="H1111" s="13" t="str" cm="1">
        <f t="array" ref="H1111">_xlfn.IFS(G1111&lt;=20,"0-20",G1111&lt;=30,"20-30",G1111&lt;=40,"30-40",G1111&lt;=50,"50-60",G1111&lt;=60,"60-70",G1111&lt;=70,"70-80",G1111&lt;=80,"80-90")</f>
        <v>60-70</v>
      </c>
      <c r="I1111" s="17">
        <v>2397</v>
      </c>
      <c r="J1111" s="13" t="str" cm="1">
        <f t="array" ref="J1111">_xlfn.IFS(K1111=1,"Divorciado",L1111=1,"Casado",M1111=1,"Solteiro",N1111=1,"Juntos",O1111=1,"Viuvo")</f>
        <v>Casado</v>
      </c>
      <c r="K1111" s="17">
        <v>0</v>
      </c>
      <c r="L1111" s="17">
        <v>1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1</v>
      </c>
      <c r="U1111" s="17">
        <v>206</v>
      </c>
      <c r="V1111" s="13" t="str" cm="1">
        <f t="array" ref="V1111">_xlfn.IFS(U1111&lt;=250,"0-R$250",U1111&lt;=500,"251-R$500",U1111&lt;=750,"501-R$750",U1111&lt;=1000,"751-R$1000",U1111&lt;=1250,"1001-R$1250",U1111&lt;=1500,"1251-R$1500")</f>
        <v>0-R$250</v>
      </c>
      <c r="W1111" s="17">
        <v>10</v>
      </c>
      <c r="X1111" s="13" t="str" cm="1">
        <f t="array" ref="X1111">_xlfn.IFS(W1111 = 0, "0", W1111&lt;=20, "até R$20",W1111&lt;=40, "21 - R$40",W1111&lt;=60, "41- R$60",W1111&lt;=80, "61 - R$80", W1111&lt;=100, "81 - R$100",W1111&lt;=120, "101 - R$120",W1111&lt;=140, "121 - R$140", W1111&lt;=160, "141- R$160", W1111&lt;=180, "161 - R$180", W1111&lt;=200, "181-R$194")</f>
        <v>até R$20</v>
      </c>
      <c r="Y1111" s="17">
        <v>67</v>
      </c>
      <c r="Z1111" s="17">
        <v>30</v>
      </c>
      <c r="AA1111" s="17">
        <v>27</v>
      </c>
      <c r="AB1111" s="17">
        <v>71</v>
      </c>
      <c r="AC1111" s="17">
        <v>6</v>
      </c>
      <c r="AD1111" s="17">
        <v>4</v>
      </c>
      <c r="AE1111" s="17">
        <v>1</v>
      </c>
      <c r="AF1111" s="17">
        <v>8</v>
      </c>
      <c r="AG1111" s="17">
        <v>6</v>
      </c>
      <c r="AH1111" s="17">
        <v>0</v>
      </c>
      <c r="AI1111" s="17">
        <v>0</v>
      </c>
      <c r="AJ1111" s="17">
        <v>0</v>
      </c>
      <c r="AK1111" s="17">
        <v>0</v>
      </c>
      <c r="AL1111" s="17">
        <v>0</v>
      </c>
      <c r="AM1111" s="17">
        <v>0</v>
      </c>
      <c r="AN1111" s="17">
        <v>0</v>
      </c>
      <c r="AO1111" s="18">
        <v>0</v>
      </c>
      <c r="AP1111" s="17">
        <v>3</v>
      </c>
      <c r="AQ1111" s="17">
        <v>11</v>
      </c>
      <c r="AR1111" s="19">
        <v>269</v>
      </c>
      <c r="AS1111" s="19">
        <v>340</v>
      </c>
    </row>
    <row r="1112" spans="1:45" x14ac:dyDescent="0.25">
      <c r="A1112">
        <v>276</v>
      </c>
      <c r="B1112" s="11">
        <f t="shared" si="17"/>
        <v>35416</v>
      </c>
      <c r="C1112" s="12">
        <v>354160</v>
      </c>
      <c r="D1112" s="13">
        <v>0</v>
      </c>
      <c r="E1112" s="13">
        <v>0</v>
      </c>
      <c r="F1112" s="13">
        <v>62</v>
      </c>
      <c r="G1112" s="13">
        <v>71</v>
      </c>
      <c r="H1112" s="13" t="str" cm="1">
        <f t="array" ref="H1112">_xlfn.IFS(G1112&lt;=20,"0-20",G1112&lt;=30,"20-30",G1112&lt;=40,"30-40",G1112&lt;=50,"50-60",G1112&lt;=60,"60-70",G1112&lt;=70,"70-80",G1112&lt;=80,"80-90")</f>
        <v>80-90</v>
      </c>
      <c r="I1112" s="13">
        <v>2540</v>
      </c>
      <c r="J1112" s="13" t="str" cm="1">
        <f t="array" ref="J1112">_xlfn.IFS(K1112=1,"Divorciado",L1112=1,"Casado",M1112=1,"Solteiro",N1112=1,"Juntos",O1112=1,"Viuvo")</f>
        <v>Divorciado</v>
      </c>
      <c r="K1112" s="13">
        <v>1</v>
      </c>
      <c r="L1112" s="13">
        <v>0</v>
      </c>
      <c r="M1112" s="13">
        <v>0</v>
      </c>
      <c r="N1112" s="13">
        <v>0</v>
      </c>
      <c r="O1112" s="13">
        <v>0</v>
      </c>
      <c r="P1112" s="13">
        <v>0</v>
      </c>
      <c r="Q1112" s="13">
        <v>0</v>
      </c>
      <c r="R1112" s="13">
        <v>0</v>
      </c>
      <c r="S1112" s="13">
        <v>1</v>
      </c>
      <c r="T1112" s="13">
        <v>0</v>
      </c>
      <c r="U1112" s="13">
        <v>248</v>
      </c>
      <c r="V1112" s="13" t="str" cm="1">
        <f t="array" ref="V1112">_xlfn.IFS(U1112&lt;=250,"0-R$250",U1112&lt;=500,"251-R$500",U1112&lt;=750,"501-R$750",U1112&lt;=1000,"751-R$1000",U1112&lt;=1250,"1001-R$1250",U1112&lt;=1500,"1251-R$1500")</f>
        <v>0-R$250</v>
      </c>
      <c r="W1112" s="13">
        <v>3</v>
      </c>
      <c r="X1112" s="13" t="str" cm="1">
        <f t="array" ref="X1112">_xlfn.IFS(W1112 = 0, "0", W1112&lt;=20, "até R$20",W1112&lt;=40, "21 - R$40",W1112&lt;=60, "41- R$60",W1112&lt;=80, "61 - R$80", W1112&lt;=100, "81 - R$100",W1112&lt;=120, "101 - R$120",W1112&lt;=140, "121 - R$140", W1112&lt;=160, "141- R$160", W1112&lt;=180, "161 - R$180", W1112&lt;=200, "181-R$194")</f>
        <v>até R$20</v>
      </c>
      <c r="Y1112" s="13">
        <v>81</v>
      </c>
      <c r="Z1112" s="13">
        <v>4</v>
      </c>
      <c r="AA1112" s="13">
        <v>3</v>
      </c>
      <c r="AB1112" s="13">
        <v>51</v>
      </c>
      <c r="AC1112" s="13">
        <v>3</v>
      </c>
      <c r="AD1112" s="13">
        <v>7</v>
      </c>
      <c r="AE1112" s="13">
        <v>1</v>
      </c>
      <c r="AF1112" s="13">
        <v>5</v>
      </c>
      <c r="AG1112" s="13">
        <v>8</v>
      </c>
      <c r="AH1112" s="13">
        <v>0</v>
      </c>
      <c r="AI1112" s="13">
        <v>0</v>
      </c>
      <c r="AJ1112" s="13">
        <v>0</v>
      </c>
      <c r="AK1112" s="13">
        <v>0</v>
      </c>
      <c r="AL1112" s="13">
        <v>0</v>
      </c>
      <c r="AM1112" s="13">
        <v>0</v>
      </c>
      <c r="AN1112" s="13">
        <v>0</v>
      </c>
      <c r="AO1112" s="14">
        <v>0</v>
      </c>
      <c r="AP1112" s="13">
        <v>3</v>
      </c>
      <c r="AQ1112" s="13">
        <v>11</v>
      </c>
      <c r="AR1112" s="15">
        <v>288</v>
      </c>
      <c r="AS1112" s="15">
        <v>339</v>
      </c>
    </row>
    <row r="1113" spans="1:45" x14ac:dyDescent="0.25">
      <c r="A1113">
        <v>1321</v>
      </c>
      <c r="B1113" s="11">
        <f t="shared" si="17"/>
        <v>43263</v>
      </c>
      <c r="C1113" s="16">
        <v>432630</v>
      </c>
      <c r="D1113" s="17">
        <v>0</v>
      </c>
      <c r="E1113" s="17">
        <v>1</v>
      </c>
      <c r="F1113" s="17">
        <v>2</v>
      </c>
      <c r="G1113" s="17">
        <v>43</v>
      </c>
      <c r="H1113" s="13" t="str" cm="1">
        <f t="array" ref="H1113">_xlfn.IFS(G1113&lt;=20,"0-20",G1113&lt;=30,"20-30",G1113&lt;=40,"30-40",G1113&lt;=50,"50-60",G1113&lt;=60,"60-70",G1113&lt;=70,"70-80",G1113&lt;=80,"80-90")</f>
        <v>50-60</v>
      </c>
      <c r="I1113" s="17">
        <v>2744</v>
      </c>
      <c r="J1113" s="13" t="str" cm="1">
        <f t="array" ref="J1113">_xlfn.IFS(K1113=1,"Divorciado",L1113=1,"Casado",M1113=1,"Solteiro",N1113=1,"Juntos",O1113=1,"Viuvo")</f>
        <v>Casado</v>
      </c>
      <c r="K1113" s="17">
        <v>0</v>
      </c>
      <c r="L1113" s="17">
        <v>1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1</v>
      </c>
      <c r="T1113" s="17">
        <v>0</v>
      </c>
      <c r="U1113" s="17">
        <v>262</v>
      </c>
      <c r="V1113" s="13" t="str" cm="1">
        <f t="array" ref="V1113">_xlfn.IFS(U1113&lt;=250,"0-R$250",U1113&lt;=500,"251-R$500",U1113&lt;=750,"501-R$750",U1113&lt;=1000,"751-R$1000",U1113&lt;=1250,"1001-R$1250",U1113&lt;=1500,"1251-R$1500")</f>
        <v>251-R$500</v>
      </c>
      <c r="W1113" s="17">
        <v>6</v>
      </c>
      <c r="X1113" s="13" t="str" cm="1">
        <f t="array" ref="X1113">_xlfn.IFS(W1113 = 0, "0", W1113&lt;=20, "até R$20",W1113&lt;=40, "21 - R$40",W1113&lt;=60, "41- R$60",W1113&lt;=80, "61 - R$80", W1113&lt;=100, "81 - R$100",W1113&lt;=120, "101 - R$120",W1113&lt;=140, "121 - R$140", W1113&lt;=160, "141- R$160", W1113&lt;=180, "161 - R$180", W1113&lt;=200, "181-R$194")</f>
        <v>até R$20</v>
      </c>
      <c r="Y1113" s="17">
        <v>61</v>
      </c>
      <c r="Z1113" s="17">
        <v>0</v>
      </c>
      <c r="AA1113" s="17">
        <v>10</v>
      </c>
      <c r="AB1113" s="17">
        <v>102</v>
      </c>
      <c r="AC1113" s="17">
        <v>3</v>
      </c>
      <c r="AD1113" s="17">
        <v>5</v>
      </c>
      <c r="AE1113" s="17">
        <v>2</v>
      </c>
      <c r="AF1113" s="17">
        <v>6</v>
      </c>
      <c r="AG1113" s="17">
        <v>5</v>
      </c>
      <c r="AH1113" s="17">
        <v>0</v>
      </c>
      <c r="AI1113" s="17">
        <v>0</v>
      </c>
      <c r="AJ1113" s="17">
        <v>0</v>
      </c>
      <c r="AK1113" s="17">
        <v>0</v>
      </c>
      <c r="AL1113" s="17">
        <v>0</v>
      </c>
      <c r="AM1113" s="17">
        <v>0</v>
      </c>
      <c r="AN1113" s="17">
        <v>0</v>
      </c>
      <c r="AO1113" s="18">
        <v>0</v>
      </c>
      <c r="AP1113" s="17">
        <v>3</v>
      </c>
      <c r="AQ1113" s="17">
        <v>11</v>
      </c>
      <c r="AR1113" s="19">
        <v>237</v>
      </c>
      <c r="AS1113" s="19">
        <v>339</v>
      </c>
    </row>
    <row r="1114" spans="1:45" x14ac:dyDescent="0.25">
      <c r="A1114">
        <v>82</v>
      </c>
      <c r="B1114" s="11">
        <f t="shared" si="17"/>
        <v>50388</v>
      </c>
      <c r="C1114" s="12">
        <v>503880</v>
      </c>
      <c r="D1114" s="13">
        <v>0</v>
      </c>
      <c r="E1114" s="13">
        <v>1</v>
      </c>
      <c r="F1114" s="13">
        <v>3</v>
      </c>
      <c r="G1114" s="13">
        <v>63</v>
      </c>
      <c r="H1114" s="13" t="str" cm="1">
        <f t="array" ref="H1114">_xlfn.IFS(G1114&lt;=20,"0-20",G1114&lt;=30,"20-30",G1114&lt;=40,"30-40",G1114&lt;=50,"50-60",G1114&lt;=60,"60-70",G1114&lt;=70,"70-80",G1114&lt;=80,"80-90")</f>
        <v>70-80</v>
      </c>
      <c r="I1114" s="13">
        <v>2191</v>
      </c>
      <c r="J1114" s="13" t="str" cm="1">
        <f t="array" ref="J1114">_xlfn.IFS(K1114=1,"Divorciado",L1114=1,"Casado",M1114=1,"Solteiro",N1114=1,"Juntos",O1114=1,"Viuvo")</f>
        <v>Solteiro</v>
      </c>
      <c r="K1114" s="13">
        <v>0</v>
      </c>
      <c r="L1114" s="13">
        <v>0</v>
      </c>
      <c r="M1114" s="13">
        <v>1</v>
      </c>
      <c r="N1114" s="13">
        <v>0</v>
      </c>
      <c r="O1114" s="13">
        <v>0</v>
      </c>
      <c r="P1114" s="13">
        <v>0</v>
      </c>
      <c r="Q1114" s="13">
        <v>0</v>
      </c>
      <c r="R1114" s="13">
        <v>1</v>
      </c>
      <c r="S1114" s="13">
        <v>0</v>
      </c>
      <c r="T1114" s="13">
        <v>0</v>
      </c>
      <c r="U1114" s="13">
        <v>292</v>
      </c>
      <c r="V1114" s="13" t="str" cm="1">
        <f t="array" ref="V1114">_xlfn.IFS(U1114&lt;=250,"0-R$250",U1114&lt;=500,"251-R$500",U1114&lt;=750,"501-R$750",U1114&lt;=1000,"751-R$1000",U1114&lt;=1250,"1001-R$1250",U1114&lt;=1500,"1251-R$1500")</f>
        <v>251-R$500</v>
      </c>
      <c r="W1114" s="13">
        <v>6</v>
      </c>
      <c r="X1114" s="13" t="str" cm="1">
        <f t="array" ref="X1114">_xlfn.IFS(W1114 = 0, "0", W1114&lt;=20, "até R$20",W1114&lt;=40, "21 - R$40",W1114&lt;=60, "41- R$60",W1114&lt;=80, "61 - R$80", W1114&lt;=100, "81 - R$100",W1114&lt;=120, "101 - R$120",W1114&lt;=140, "121 - R$140", W1114&lt;=160, "141- R$160", W1114&lt;=180, "161 - R$180", W1114&lt;=200, "181-R$194")</f>
        <v>até R$20</v>
      </c>
      <c r="Y1114" s="13">
        <v>37</v>
      </c>
      <c r="Z1114" s="13">
        <v>0</v>
      </c>
      <c r="AA1114" s="13">
        <v>3</v>
      </c>
      <c r="AB1114" s="13">
        <v>34</v>
      </c>
      <c r="AC1114" s="13">
        <v>4</v>
      </c>
      <c r="AD1114" s="13">
        <v>6</v>
      </c>
      <c r="AE1114" s="13">
        <v>1</v>
      </c>
      <c r="AF1114" s="13">
        <v>6</v>
      </c>
      <c r="AG1114" s="13">
        <v>7</v>
      </c>
      <c r="AH1114" s="13">
        <v>0</v>
      </c>
      <c r="AI1114" s="13">
        <v>0</v>
      </c>
      <c r="AJ1114" s="13">
        <v>1</v>
      </c>
      <c r="AK1114" s="13">
        <v>0</v>
      </c>
      <c r="AL1114" s="13">
        <v>1</v>
      </c>
      <c r="AM1114" s="13">
        <v>0</v>
      </c>
      <c r="AN1114" s="13">
        <v>1</v>
      </c>
      <c r="AO1114" s="14">
        <v>2</v>
      </c>
      <c r="AP1114" s="13">
        <v>3</v>
      </c>
      <c r="AQ1114" s="13">
        <v>11</v>
      </c>
      <c r="AR1114" s="15">
        <v>304</v>
      </c>
      <c r="AS1114" s="15">
        <v>338</v>
      </c>
    </row>
    <row r="1115" spans="1:45" x14ac:dyDescent="0.25">
      <c r="A1115">
        <v>142</v>
      </c>
      <c r="B1115" s="11">
        <f t="shared" si="17"/>
        <v>46344</v>
      </c>
      <c r="C1115" s="12">
        <v>463440</v>
      </c>
      <c r="D1115" s="13">
        <v>0</v>
      </c>
      <c r="E1115" s="13">
        <v>1</v>
      </c>
      <c r="F1115" s="13">
        <v>28</v>
      </c>
      <c r="G1115" s="13">
        <v>48</v>
      </c>
      <c r="H1115" s="13" t="str" cm="1">
        <f t="array" ref="H1115">_xlfn.IFS(G1115&lt;=20,"0-20",G1115&lt;=30,"20-30",G1115&lt;=40,"30-40",G1115&lt;=50,"50-60",G1115&lt;=60,"60-70",G1115&lt;=70,"70-80",G1115&lt;=80,"80-90")</f>
        <v>50-60</v>
      </c>
      <c r="I1115" s="13">
        <v>2721</v>
      </c>
      <c r="J1115" s="13" t="str" cm="1">
        <f t="array" ref="J1115">_xlfn.IFS(K1115=1,"Divorciado",L1115=1,"Casado",M1115=1,"Solteiro",N1115=1,"Juntos",O1115=1,"Viuvo")</f>
        <v>Juntos</v>
      </c>
      <c r="K1115" s="13">
        <v>0</v>
      </c>
      <c r="L1115" s="13">
        <v>0</v>
      </c>
      <c r="M1115" s="13">
        <v>0</v>
      </c>
      <c r="N1115" s="13">
        <v>1</v>
      </c>
      <c r="O1115" s="13">
        <v>0</v>
      </c>
      <c r="P1115" s="13">
        <v>1</v>
      </c>
      <c r="Q1115" s="13">
        <v>0</v>
      </c>
      <c r="R1115" s="13">
        <v>0</v>
      </c>
      <c r="S1115" s="13">
        <v>0</v>
      </c>
      <c r="T1115" s="13">
        <v>0</v>
      </c>
      <c r="U1115" s="13">
        <v>233</v>
      </c>
      <c r="V1115" s="13" t="str" cm="1">
        <f t="array" ref="V1115">_xlfn.IFS(U1115&lt;=250,"0-R$250",U1115&lt;=500,"251-R$500",U1115&lt;=750,"501-R$750",U1115&lt;=1000,"751-R$1000",U1115&lt;=1250,"1001-R$1250",U1115&lt;=1500,"1251-R$1500")</f>
        <v>0-R$250</v>
      </c>
      <c r="W1115" s="13">
        <v>20</v>
      </c>
      <c r="X1115" s="13" t="str" cm="1">
        <f t="array" ref="X1115">_xlfn.IFS(W1115 = 0, "0", W1115&lt;=20, "até R$20",W1115&lt;=40, "21 - R$40",W1115&lt;=60, "41- R$60",W1115&lt;=80, "61 - R$80", W1115&lt;=100, "81 - R$100",W1115&lt;=120, "101 - R$120",W1115&lt;=140, "121 - R$140", W1115&lt;=160, "141- R$160", W1115&lt;=180, "161 - R$180", W1115&lt;=200, "181-R$194")</f>
        <v>até R$20</v>
      </c>
      <c r="Y1115" s="13">
        <v>57</v>
      </c>
      <c r="Z1115" s="13">
        <v>8</v>
      </c>
      <c r="AA1115" s="13">
        <v>20</v>
      </c>
      <c r="AB1115" s="13">
        <v>91</v>
      </c>
      <c r="AC1115" s="13">
        <v>4</v>
      </c>
      <c r="AD1115" s="13">
        <v>7</v>
      </c>
      <c r="AE1115" s="13">
        <v>1</v>
      </c>
      <c r="AF1115" s="13">
        <v>5</v>
      </c>
      <c r="AG1115" s="13">
        <v>7</v>
      </c>
      <c r="AH1115" s="13">
        <v>0</v>
      </c>
      <c r="AI1115" s="13">
        <v>0</v>
      </c>
      <c r="AJ1115" s="13">
        <v>0</v>
      </c>
      <c r="AK1115" s="13">
        <v>0</v>
      </c>
      <c r="AL1115" s="13">
        <v>0</v>
      </c>
      <c r="AM1115" s="13">
        <v>0</v>
      </c>
      <c r="AN1115" s="13">
        <v>0</v>
      </c>
      <c r="AO1115" s="14">
        <v>0</v>
      </c>
      <c r="AP1115" s="13">
        <v>3</v>
      </c>
      <c r="AQ1115" s="13">
        <v>11</v>
      </c>
      <c r="AR1115" s="15">
        <v>247</v>
      </c>
      <c r="AS1115" s="15">
        <v>338</v>
      </c>
    </row>
    <row r="1116" spans="1:45" x14ac:dyDescent="0.25">
      <c r="A1116">
        <v>1801</v>
      </c>
      <c r="B1116" s="11">
        <f t="shared" si="17"/>
        <v>54111</v>
      </c>
      <c r="C1116" s="16">
        <v>541110</v>
      </c>
      <c r="D1116" s="17">
        <v>0</v>
      </c>
      <c r="E1116" s="17">
        <v>1</v>
      </c>
      <c r="F1116" s="17">
        <v>97</v>
      </c>
      <c r="G1116" s="17">
        <v>55</v>
      </c>
      <c r="H1116" s="13" t="str" cm="1">
        <f t="array" ref="H1116">_xlfn.IFS(G1116&lt;=20,"0-20",G1116&lt;=30,"20-30",G1116&lt;=40,"30-40",G1116&lt;=50,"50-60",G1116&lt;=60,"60-70",G1116&lt;=70,"70-80",G1116&lt;=80,"80-90")</f>
        <v>60-70</v>
      </c>
      <c r="I1116" s="17">
        <v>2467</v>
      </c>
      <c r="J1116" s="13" t="str" cm="1">
        <f t="array" ref="J1116">_xlfn.IFS(K1116=1,"Divorciado",L1116=1,"Casado",M1116=1,"Solteiro",N1116=1,"Juntos",O1116=1,"Viuvo")</f>
        <v>Viuvo</v>
      </c>
      <c r="K1116" s="17">
        <v>0</v>
      </c>
      <c r="L1116" s="17">
        <v>0</v>
      </c>
      <c r="M1116" s="17">
        <v>0</v>
      </c>
      <c r="N1116" s="17">
        <v>0</v>
      </c>
      <c r="O1116" s="17">
        <v>1</v>
      </c>
      <c r="P1116" s="17">
        <v>0</v>
      </c>
      <c r="Q1116" s="17">
        <v>0</v>
      </c>
      <c r="R1116" s="17">
        <v>0</v>
      </c>
      <c r="S1116" s="17">
        <v>0</v>
      </c>
      <c r="T1116" s="17">
        <v>1</v>
      </c>
      <c r="U1116" s="17">
        <v>267</v>
      </c>
      <c r="V1116" s="13" t="str" cm="1">
        <f t="array" ref="V1116">_xlfn.IFS(U1116&lt;=250,"0-R$250",U1116&lt;=500,"251-R$500",U1116&lt;=750,"501-R$750",U1116&lt;=1000,"751-R$1000",U1116&lt;=1250,"1001-R$1250",U1116&lt;=1500,"1251-R$1500")</f>
        <v>251-R$500</v>
      </c>
      <c r="W1116" s="17">
        <v>6</v>
      </c>
      <c r="X1116" s="13" t="str" cm="1">
        <f t="array" ref="X1116">_xlfn.IFS(W1116 = 0, "0", W1116&lt;=20, "até R$20",W1116&lt;=40, "21 - R$40",W1116&lt;=60, "41- R$60",W1116&lt;=80, "61 - R$80", W1116&lt;=100, "81 - R$100",W1116&lt;=120, "101 - R$120",W1116&lt;=140, "121 - R$140", W1116&lt;=160, "141- R$160", W1116&lt;=180, "161 - R$180", W1116&lt;=200, "181-R$194")</f>
        <v>até R$20</v>
      </c>
      <c r="Y1116" s="17">
        <v>54</v>
      </c>
      <c r="Z1116" s="17">
        <v>8</v>
      </c>
      <c r="AA1116" s="17">
        <v>3</v>
      </c>
      <c r="AB1116" s="17">
        <v>50</v>
      </c>
      <c r="AC1116" s="17">
        <v>2</v>
      </c>
      <c r="AD1116" s="17">
        <v>5</v>
      </c>
      <c r="AE1116" s="17">
        <v>2</v>
      </c>
      <c r="AF1116" s="17">
        <v>6</v>
      </c>
      <c r="AG1116" s="17">
        <v>5</v>
      </c>
      <c r="AH1116" s="17">
        <v>0</v>
      </c>
      <c r="AI1116" s="17">
        <v>0</v>
      </c>
      <c r="AJ1116" s="17">
        <v>0</v>
      </c>
      <c r="AK1116" s="17">
        <v>0</v>
      </c>
      <c r="AL1116" s="17">
        <v>0</v>
      </c>
      <c r="AM1116" s="17">
        <v>0</v>
      </c>
      <c r="AN1116" s="17">
        <v>0</v>
      </c>
      <c r="AO1116" s="18">
        <v>0</v>
      </c>
      <c r="AP1116" s="17">
        <v>3</v>
      </c>
      <c r="AQ1116" s="17">
        <v>11</v>
      </c>
      <c r="AR1116" s="19">
        <v>288</v>
      </c>
      <c r="AS1116" s="19">
        <v>338</v>
      </c>
    </row>
    <row r="1117" spans="1:45" x14ac:dyDescent="0.25">
      <c r="A1117">
        <v>1286</v>
      </c>
      <c r="B1117" s="11">
        <f t="shared" si="17"/>
        <v>50200</v>
      </c>
      <c r="C1117" s="12">
        <v>502000</v>
      </c>
      <c r="D1117" s="13">
        <v>1</v>
      </c>
      <c r="E1117" s="13">
        <v>1</v>
      </c>
      <c r="F1117" s="13">
        <v>70</v>
      </c>
      <c r="G1117" s="13">
        <v>44</v>
      </c>
      <c r="H1117" s="13" t="str" cm="1">
        <f t="array" ref="H1117">_xlfn.IFS(G1117&lt;=20,"0-20",G1117&lt;=30,"20-30",G1117&lt;=40,"30-40",G1117&lt;=50,"50-60",G1117&lt;=60,"60-70",G1117&lt;=70,"70-80",G1117&lt;=80,"80-90")</f>
        <v>50-60</v>
      </c>
      <c r="I1117" s="13">
        <v>2611</v>
      </c>
      <c r="J1117" s="13" t="str" cm="1">
        <f t="array" ref="J1117">_xlfn.IFS(K1117=1,"Divorciado",L1117=1,"Casado",M1117=1,"Solteiro",N1117=1,"Juntos",O1117=1,"Viuvo")</f>
        <v>Juntos</v>
      </c>
      <c r="K1117" s="13">
        <v>0</v>
      </c>
      <c r="L1117" s="13">
        <v>0</v>
      </c>
      <c r="M1117" s="13">
        <v>0</v>
      </c>
      <c r="N1117" s="13">
        <v>1</v>
      </c>
      <c r="O1117" s="13">
        <v>0</v>
      </c>
      <c r="P1117" s="13">
        <v>0</v>
      </c>
      <c r="Q1117" s="13">
        <v>0</v>
      </c>
      <c r="R1117" s="13">
        <v>1</v>
      </c>
      <c r="S1117" s="13">
        <v>0</v>
      </c>
      <c r="T1117" s="13">
        <v>0</v>
      </c>
      <c r="U1117" s="13">
        <v>266</v>
      </c>
      <c r="V1117" s="13" t="str" cm="1">
        <f t="array" ref="V1117">_xlfn.IFS(U1117&lt;=250,"0-R$250",U1117&lt;=500,"251-R$500",U1117&lt;=750,"501-R$750",U1117&lt;=1000,"751-R$1000",U1117&lt;=1250,"1001-R$1250",U1117&lt;=1500,"1251-R$1500")</f>
        <v>251-R$500</v>
      </c>
      <c r="W1117" s="13">
        <v>6</v>
      </c>
      <c r="X1117" s="13" t="str" cm="1">
        <f t="array" ref="X1117">_xlfn.IFS(W1117 = 0, "0", W1117&lt;=20, "até R$20",W1117&lt;=40, "21 - R$40",W1117&lt;=60, "41- R$60",W1117&lt;=80, "61 - R$80", W1117&lt;=100, "81 - R$100",W1117&lt;=120, "101 - R$120",W1117&lt;=140, "121 - R$140", W1117&lt;=160, "141- R$160", W1117&lt;=180, "161 - R$180", W1117&lt;=200, "181-R$194")</f>
        <v>até R$20</v>
      </c>
      <c r="Y1117" s="13">
        <v>51</v>
      </c>
      <c r="Z1117" s="13">
        <v>8</v>
      </c>
      <c r="AA1117" s="13">
        <v>6</v>
      </c>
      <c r="AB1117" s="13">
        <v>64</v>
      </c>
      <c r="AC1117" s="13">
        <v>6</v>
      </c>
      <c r="AD1117" s="13">
        <v>7</v>
      </c>
      <c r="AE1117" s="13">
        <v>1</v>
      </c>
      <c r="AF1117" s="13">
        <v>5</v>
      </c>
      <c r="AG1117" s="13">
        <v>8</v>
      </c>
      <c r="AH1117" s="13">
        <v>0</v>
      </c>
      <c r="AI1117" s="13">
        <v>0</v>
      </c>
      <c r="AJ1117" s="13">
        <v>0</v>
      </c>
      <c r="AK1117" s="13">
        <v>0</v>
      </c>
      <c r="AL1117" s="13">
        <v>0</v>
      </c>
      <c r="AM1117" s="13">
        <v>0</v>
      </c>
      <c r="AN1117" s="13">
        <v>0</v>
      </c>
      <c r="AO1117" s="14">
        <v>0</v>
      </c>
      <c r="AP1117" s="13">
        <v>3</v>
      </c>
      <c r="AQ1117" s="13">
        <v>11</v>
      </c>
      <c r="AR1117" s="15">
        <v>273</v>
      </c>
      <c r="AS1117" s="15">
        <v>337</v>
      </c>
    </row>
    <row r="1118" spans="1:45" x14ac:dyDescent="0.25">
      <c r="A1118">
        <v>937</v>
      </c>
      <c r="B1118" s="11">
        <f t="shared" si="17"/>
        <v>59754</v>
      </c>
      <c r="C1118" s="16">
        <v>597540</v>
      </c>
      <c r="D1118" s="17">
        <v>0</v>
      </c>
      <c r="E1118" s="17">
        <v>1</v>
      </c>
      <c r="F1118" s="17">
        <v>96</v>
      </c>
      <c r="G1118" s="17">
        <v>55</v>
      </c>
      <c r="H1118" s="13" t="str" cm="1">
        <f t="array" ref="H1118">_xlfn.IFS(G1118&lt;=20,"0-20",G1118&lt;=30,"20-30",G1118&lt;=40,"30-40",G1118&lt;=50,"50-60",G1118&lt;=60,"60-70",G1118&lt;=70,"70-80",G1118&lt;=80,"80-90")</f>
        <v>60-70</v>
      </c>
      <c r="I1118" s="17">
        <v>2734</v>
      </c>
      <c r="J1118" s="13" t="str" cm="1">
        <f t="array" ref="J1118">_xlfn.IFS(K1118=1,"Divorciado",L1118=1,"Casado",M1118=1,"Solteiro",N1118=1,"Juntos",O1118=1,"Viuvo")</f>
        <v>Casado</v>
      </c>
      <c r="K1118" s="17">
        <v>0</v>
      </c>
      <c r="L1118" s="17">
        <v>1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1</v>
      </c>
      <c r="S1118" s="17">
        <v>0</v>
      </c>
      <c r="T1118" s="17">
        <v>0</v>
      </c>
      <c r="U1118" s="17">
        <v>115</v>
      </c>
      <c r="V1118" s="13" t="str" cm="1">
        <f t="array" ref="V1118">_xlfn.IFS(U1118&lt;=250,"0-R$250",U1118&lt;=500,"251-R$500",U1118&lt;=750,"501-R$750",U1118&lt;=1000,"751-R$1000",U1118&lt;=1250,"1001-R$1250",U1118&lt;=1500,"1251-R$1500")</f>
        <v>0-R$250</v>
      </c>
      <c r="W1118" s="17">
        <v>27</v>
      </c>
      <c r="X1118" s="13" t="str" cm="1">
        <f t="array" ref="X1118">_xlfn.IFS(W1118 = 0, "0", W1118&lt;=20, "até R$20",W1118&lt;=40, "21 - R$40",W1118&lt;=60, "41- R$60",W1118&lt;=80, "61 - R$80", W1118&lt;=100, "81 - R$100",W1118&lt;=120, "101 - R$120",W1118&lt;=140, "121 - R$140", W1118&lt;=160, "141- R$160", W1118&lt;=180, "161 - R$180", W1118&lt;=200, "181-R$194")</f>
        <v>21 - R$40</v>
      </c>
      <c r="Y1118" s="17">
        <v>44</v>
      </c>
      <c r="Z1118" s="17">
        <v>4</v>
      </c>
      <c r="AA1118" s="17">
        <v>146</v>
      </c>
      <c r="AB1118" s="17">
        <v>139</v>
      </c>
      <c r="AC1118" s="17">
        <v>3</v>
      </c>
      <c r="AD1118" s="17">
        <v>5</v>
      </c>
      <c r="AE1118" s="17">
        <v>2</v>
      </c>
      <c r="AF1118" s="17">
        <v>6</v>
      </c>
      <c r="AG1118" s="17">
        <v>5</v>
      </c>
      <c r="AH1118" s="17">
        <v>0</v>
      </c>
      <c r="AI1118" s="17">
        <v>0</v>
      </c>
      <c r="AJ1118" s="17">
        <v>0</v>
      </c>
      <c r="AK1118" s="17">
        <v>0</v>
      </c>
      <c r="AL1118" s="17">
        <v>0</v>
      </c>
      <c r="AM1118" s="17">
        <v>0</v>
      </c>
      <c r="AN1118" s="17">
        <v>1</v>
      </c>
      <c r="AO1118" s="18">
        <v>0</v>
      </c>
      <c r="AP1118" s="17">
        <v>3</v>
      </c>
      <c r="AQ1118" s="17">
        <v>11</v>
      </c>
      <c r="AR1118" s="19">
        <v>197</v>
      </c>
      <c r="AS1118" s="19">
        <v>336</v>
      </c>
    </row>
    <row r="1119" spans="1:45" x14ac:dyDescent="0.25">
      <c r="A1119">
        <v>1260</v>
      </c>
      <c r="B1119" s="11">
        <f t="shared" si="17"/>
        <v>46149</v>
      </c>
      <c r="C1119" s="12">
        <v>461490</v>
      </c>
      <c r="D1119" s="13">
        <v>0</v>
      </c>
      <c r="E1119" s="13">
        <v>1</v>
      </c>
      <c r="F1119" s="13">
        <v>36</v>
      </c>
      <c r="G1119" s="13">
        <v>45</v>
      </c>
      <c r="H1119" s="13" t="str" cm="1">
        <f t="array" ref="H1119">_xlfn.IFS(G1119&lt;=20,"0-20",G1119&lt;=30,"20-30",G1119&lt;=40,"30-40",G1119&lt;=50,"50-60",G1119&lt;=60,"60-70",G1119&lt;=70,"70-80",G1119&lt;=80,"80-90")</f>
        <v>50-60</v>
      </c>
      <c r="I1119" s="13">
        <v>2371</v>
      </c>
      <c r="J1119" s="13" t="str" cm="1">
        <f t="array" ref="J1119">_xlfn.IFS(K1119=1,"Divorciado",L1119=1,"Casado",M1119=1,"Solteiro",N1119=1,"Juntos",O1119=1,"Viuvo")</f>
        <v>Casado</v>
      </c>
      <c r="K1119" s="13">
        <v>0</v>
      </c>
      <c r="L1119" s="13">
        <v>1</v>
      </c>
      <c r="M1119" s="13">
        <v>0</v>
      </c>
      <c r="N1119" s="13">
        <v>0</v>
      </c>
      <c r="O1119" s="13">
        <v>0</v>
      </c>
      <c r="P1119" s="13">
        <v>0</v>
      </c>
      <c r="Q1119" s="13">
        <v>0</v>
      </c>
      <c r="R1119" s="13">
        <v>1</v>
      </c>
      <c r="S1119" s="13">
        <v>0</v>
      </c>
      <c r="T1119" s="13">
        <v>0</v>
      </c>
      <c r="U1119" s="13">
        <v>254</v>
      </c>
      <c r="V1119" s="13" t="str" cm="1">
        <f t="array" ref="V1119">_xlfn.IFS(U1119&lt;=250,"0-R$250",U1119&lt;=500,"251-R$500",U1119&lt;=750,"501-R$750",U1119&lt;=1000,"751-R$1000",U1119&lt;=1250,"1001-R$1250",U1119&lt;=1500,"1251-R$1500")</f>
        <v>251-R$500</v>
      </c>
      <c r="W1119" s="13">
        <v>6</v>
      </c>
      <c r="X1119" s="13" t="str" cm="1">
        <f t="array" ref="X1119">_xlfn.IFS(W1119 = 0, "0", W1119&lt;=20, "até R$20",W1119&lt;=40, "21 - R$40",W1119&lt;=60, "41- R$60",W1119&lt;=80, "61 - R$80", W1119&lt;=100, "81 - R$100",W1119&lt;=120, "101 - R$120",W1119&lt;=140, "121 - R$140", W1119&lt;=160, "141- R$160", W1119&lt;=180, "161 - R$180", W1119&lt;=200, "181-R$194")</f>
        <v>até R$20</v>
      </c>
      <c r="Y1119" s="13">
        <v>71</v>
      </c>
      <c r="Z1119" s="13">
        <v>4</v>
      </c>
      <c r="AA1119" s="13">
        <v>0</v>
      </c>
      <c r="AB1119" s="13">
        <v>27</v>
      </c>
      <c r="AC1119" s="13">
        <v>5</v>
      </c>
      <c r="AD1119" s="13">
        <v>5</v>
      </c>
      <c r="AE1119" s="13">
        <v>1</v>
      </c>
      <c r="AF1119" s="13">
        <v>7</v>
      </c>
      <c r="AG1119" s="13">
        <v>5</v>
      </c>
      <c r="AH1119" s="13">
        <v>0</v>
      </c>
      <c r="AI1119" s="13">
        <v>0</v>
      </c>
      <c r="AJ1119" s="13">
        <v>0</v>
      </c>
      <c r="AK1119" s="13">
        <v>0</v>
      </c>
      <c r="AL1119" s="13">
        <v>0</v>
      </c>
      <c r="AM1119" s="13">
        <v>0</v>
      </c>
      <c r="AN1119" s="13">
        <v>0</v>
      </c>
      <c r="AO1119" s="14">
        <v>0</v>
      </c>
      <c r="AP1119" s="13">
        <v>3</v>
      </c>
      <c r="AQ1119" s="13">
        <v>11</v>
      </c>
      <c r="AR1119" s="15">
        <v>308</v>
      </c>
      <c r="AS1119" s="15">
        <v>335</v>
      </c>
    </row>
    <row r="1120" spans="1:45" x14ac:dyDescent="0.25">
      <c r="A1120">
        <v>1082</v>
      </c>
      <c r="B1120" s="11">
        <f t="shared" si="17"/>
        <v>54210</v>
      </c>
      <c r="C1120" s="12">
        <v>542100</v>
      </c>
      <c r="D1120" s="13">
        <v>0</v>
      </c>
      <c r="E1120" s="13">
        <v>1</v>
      </c>
      <c r="F1120" s="13">
        <v>18</v>
      </c>
      <c r="G1120" s="13">
        <v>41</v>
      </c>
      <c r="H1120" s="13" t="str" cm="1">
        <f t="array" ref="H1120">_xlfn.IFS(G1120&lt;=20,"0-20",G1120&lt;=30,"20-30",G1120&lt;=40,"30-40",G1120&lt;=50,"50-60",G1120&lt;=60,"60-70",G1120&lt;=70,"70-80",G1120&lt;=80,"80-90")</f>
        <v>50-60</v>
      </c>
      <c r="I1120" s="13">
        <v>2564</v>
      </c>
      <c r="J1120" s="13" t="str" cm="1">
        <f t="array" ref="J1120">_xlfn.IFS(K1120=1,"Divorciado",L1120=1,"Casado",M1120=1,"Solteiro",N1120=1,"Juntos",O1120=1,"Viuvo")</f>
        <v>Casado</v>
      </c>
      <c r="K1120" s="13">
        <v>0</v>
      </c>
      <c r="L1120" s="13">
        <v>1</v>
      </c>
      <c r="M1120" s="13">
        <v>0</v>
      </c>
      <c r="N1120" s="13">
        <v>0</v>
      </c>
      <c r="O1120" s="13">
        <v>0</v>
      </c>
      <c r="P1120" s="13">
        <v>1</v>
      </c>
      <c r="Q1120" s="13">
        <v>0</v>
      </c>
      <c r="R1120" s="13">
        <v>0</v>
      </c>
      <c r="S1120" s="13">
        <v>0</v>
      </c>
      <c r="T1120" s="13">
        <v>0</v>
      </c>
      <c r="U1120" s="13">
        <v>70</v>
      </c>
      <c r="V1120" s="13" t="str" cm="1">
        <f t="array" ref="V1120">_xlfn.IFS(U1120&lt;=250,"0-R$250",U1120&lt;=500,"251-R$500",U1120&lt;=750,"501-R$750",U1120&lt;=1000,"751-R$1000",U1120&lt;=1250,"1001-R$1250",U1120&lt;=1500,"1251-R$1500")</f>
        <v>0-R$250</v>
      </c>
      <c r="W1120" s="13">
        <v>54</v>
      </c>
      <c r="X1120" s="13" t="str" cm="1">
        <f t="array" ref="X1120">_xlfn.IFS(W1120 = 0, "0", W1120&lt;=20, "até R$20",W1120&lt;=40, "21 - R$40",W1120&lt;=60, "41- R$60",W1120&lt;=80, "61 - R$80", W1120&lt;=100, "81 - R$100",W1120&lt;=120, "101 - R$120",W1120&lt;=140, "121 - R$140", W1120&lt;=160, "141- R$160", W1120&lt;=180, "161 - R$180", W1120&lt;=200, "181-R$194")</f>
        <v>41- R$60</v>
      </c>
      <c r="Y1120" s="13">
        <v>109</v>
      </c>
      <c r="Z1120" s="13">
        <v>80</v>
      </c>
      <c r="AA1120" s="13">
        <v>9</v>
      </c>
      <c r="AB1120" s="13">
        <v>45</v>
      </c>
      <c r="AC1120" s="13">
        <v>2</v>
      </c>
      <c r="AD1120" s="13">
        <v>4</v>
      </c>
      <c r="AE1120" s="13">
        <v>1</v>
      </c>
      <c r="AF1120" s="13">
        <v>7</v>
      </c>
      <c r="AG1120" s="13">
        <v>5</v>
      </c>
      <c r="AH1120" s="13">
        <v>0</v>
      </c>
      <c r="AI1120" s="13">
        <v>0</v>
      </c>
      <c r="AJ1120" s="13">
        <v>0</v>
      </c>
      <c r="AK1120" s="13">
        <v>0</v>
      </c>
      <c r="AL1120" s="13">
        <v>0</v>
      </c>
      <c r="AM1120" s="13">
        <v>0</v>
      </c>
      <c r="AN1120" s="13">
        <v>0</v>
      </c>
      <c r="AO1120" s="14">
        <v>0</v>
      </c>
      <c r="AP1120" s="13">
        <v>3</v>
      </c>
      <c r="AQ1120" s="13">
        <v>11</v>
      </c>
      <c r="AR1120" s="15">
        <v>277</v>
      </c>
      <c r="AS1120" s="15">
        <v>322</v>
      </c>
    </row>
    <row r="1121" spans="1:45" x14ac:dyDescent="0.25">
      <c r="A1121">
        <v>1311</v>
      </c>
      <c r="B1121" s="11">
        <f t="shared" si="17"/>
        <v>48752</v>
      </c>
      <c r="C1121" s="16">
        <v>487520</v>
      </c>
      <c r="D1121" s="17">
        <v>1</v>
      </c>
      <c r="E1121" s="17">
        <v>1</v>
      </c>
      <c r="F1121" s="17">
        <v>8</v>
      </c>
      <c r="G1121" s="17">
        <v>51</v>
      </c>
      <c r="H1121" s="13" t="str" cm="1">
        <f t="array" ref="H1121">_xlfn.IFS(G1121&lt;=20,"0-20",G1121&lt;=30,"20-30",G1121&lt;=40,"30-40",G1121&lt;=50,"50-60",G1121&lt;=60,"60-70",G1121&lt;=70,"70-80",G1121&lt;=80,"80-90")</f>
        <v>60-70</v>
      </c>
      <c r="I1121" s="17">
        <v>2723</v>
      </c>
      <c r="J1121" s="13" t="str" cm="1">
        <f t="array" ref="J1121">_xlfn.IFS(K1121=1,"Divorciado",L1121=1,"Casado",M1121=1,"Solteiro",N1121=1,"Juntos",O1121=1,"Viuvo")</f>
        <v>Casado</v>
      </c>
      <c r="K1121" s="17">
        <v>0</v>
      </c>
      <c r="L1121" s="17">
        <v>1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1</v>
      </c>
      <c r="S1121" s="17">
        <v>0</v>
      </c>
      <c r="T1121" s="17">
        <v>0</v>
      </c>
      <c r="U1121" s="17">
        <v>73</v>
      </c>
      <c r="V1121" s="13" t="str" cm="1">
        <f t="array" ref="V1121">_xlfn.IFS(U1121&lt;=250,"0-R$250",U1121&lt;=500,"251-R$500",U1121&lt;=750,"501-R$750",U1121&lt;=1000,"751-R$1000",U1121&lt;=1250,"1001-R$1250",U1121&lt;=1500,"1251-R$1500")</f>
        <v>0-R$250</v>
      </c>
      <c r="W1121" s="17">
        <v>57</v>
      </c>
      <c r="X1121" s="13" t="str" cm="1">
        <f t="array" ref="X1121">_xlfn.IFS(W1121 = 0, "0", W1121&lt;=20, "até R$20",W1121&lt;=40, "21 - R$40",W1121&lt;=60, "41- R$60",W1121&lt;=80, "61 - R$80", W1121&lt;=100, "81 - R$100",W1121&lt;=120, "101 - R$120",W1121&lt;=140, "121 - R$140", W1121&lt;=160, "141- R$160", W1121&lt;=180, "161 - R$180", W1121&lt;=200, "181-R$194")</f>
        <v>41- R$60</v>
      </c>
      <c r="Y1121" s="17">
        <v>100</v>
      </c>
      <c r="Z1121" s="17">
        <v>71</v>
      </c>
      <c r="AA1121" s="17">
        <v>15</v>
      </c>
      <c r="AB1121" s="17">
        <v>0</v>
      </c>
      <c r="AC1121" s="17">
        <v>5</v>
      </c>
      <c r="AD1121" s="17">
        <v>6</v>
      </c>
      <c r="AE1121" s="17">
        <v>1</v>
      </c>
      <c r="AF1121" s="17">
        <v>5</v>
      </c>
      <c r="AG1121" s="17">
        <v>9</v>
      </c>
      <c r="AH1121" s="17">
        <v>0</v>
      </c>
      <c r="AI1121" s="17">
        <v>0</v>
      </c>
      <c r="AJ1121" s="17">
        <v>0</v>
      </c>
      <c r="AK1121" s="17">
        <v>0</v>
      </c>
      <c r="AL1121" s="17">
        <v>0</v>
      </c>
      <c r="AM1121" s="17">
        <v>0</v>
      </c>
      <c r="AN1121" s="17">
        <v>1</v>
      </c>
      <c r="AO1121" s="18">
        <v>0</v>
      </c>
      <c r="AP1121" s="17">
        <v>3</v>
      </c>
      <c r="AQ1121" s="17">
        <v>11</v>
      </c>
      <c r="AR1121" s="19">
        <v>316</v>
      </c>
      <c r="AS1121" s="19">
        <v>316</v>
      </c>
    </row>
    <row r="1122" spans="1:45" x14ac:dyDescent="0.25">
      <c r="A1122">
        <v>718</v>
      </c>
      <c r="B1122" s="11">
        <f t="shared" si="17"/>
        <v>70545</v>
      </c>
      <c r="C1122" s="12">
        <v>705450</v>
      </c>
      <c r="D1122" s="13">
        <v>0</v>
      </c>
      <c r="E1122" s="13">
        <v>1</v>
      </c>
      <c r="F1122" s="13">
        <v>29</v>
      </c>
      <c r="G1122" s="13">
        <v>68</v>
      </c>
      <c r="H1122" s="13" t="str" cm="1">
        <f t="array" ref="H1122">_xlfn.IFS(G1122&lt;=20,"0-20",G1122&lt;=30,"20-30",G1122&lt;=40,"30-40",G1122&lt;=50,"50-60",G1122&lt;=60,"60-70",G1122&lt;=70,"70-80",G1122&lt;=80,"80-90")</f>
        <v>70-80</v>
      </c>
      <c r="I1122" s="13">
        <v>2185</v>
      </c>
      <c r="J1122" s="13" t="str" cm="1">
        <f t="array" ref="J1122">_xlfn.IFS(K1122=1,"Divorciado",L1122=1,"Casado",M1122=1,"Solteiro",N1122=1,"Juntos",O1122=1,"Viuvo")</f>
        <v>Juntos</v>
      </c>
      <c r="K1122" s="13">
        <v>0</v>
      </c>
      <c r="L1122" s="13">
        <v>0</v>
      </c>
      <c r="M1122" s="13">
        <v>0</v>
      </c>
      <c r="N1122" s="13">
        <v>1</v>
      </c>
      <c r="O1122" s="13">
        <v>0</v>
      </c>
      <c r="P1122" s="13">
        <v>0</v>
      </c>
      <c r="Q1122" s="13">
        <v>0</v>
      </c>
      <c r="R1122" s="13">
        <v>0</v>
      </c>
      <c r="S1122" s="13">
        <v>1</v>
      </c>
      <c r="T1122" s="13">
        <v>0</v>
      </c>
      <c r="U1122" s="13">
        <v>138</v>
      </c>
      <c r="V1122" s="13" t="str" cm="1">
        <f t="array" ref="V1122">_xlfn.IFS(U1122&lt;=250,"0-R$250",U1122&lt;=500,"251-R$500",U1122&lt;=750,"501-R$750",U1122&lt;=1000,"751-R$1000",U1122&lt;=1250,"1001-R$1250",U1122&lt;=1500,"1251-R$1500")</f>
        <v>0-R$250</v>
      </c>
      <c r="W1122" s="13">
        <v>39</v>
      </c>
      <c r="X1122" s="13" t="str" cm="1">
        <f t="array" ref="X1122">_xlfn.IFS(W1122 = 0, "0", W1122&lt;=20, "até R$20",W1122&lt;=40, "21 - R$40",W1122&lt;=60, "41- R$60",W1122&lt;=80, "61 - R$80", W1122&lt;=100, "81 - R$100",W1122&lt;=120, "101 - R$120",W1122&lt;=140, "121 - R$140", W1122&lt;=160, "141- R$160", W1122&lt;=180, "161 - R$180", W1122&lt;=200, "181-R$194")</f>
        <v>21 - R$40</v>
      </c>
      <c r="Y1122" s="13">
        <v>63</v>
      </c>
      <c r="Z1122" s="13">
        <v>55</v>
      </c>
      <c r="AA1122" s="13">
        <v>18</v>
      </c>
      <c r="AB1122" s="13">
        <v>21</v>
      </c>
      <c r="AC1122" s="13">
        <v>1</v>
      </c>
      <c r="AD1122" s="13">
        <v>4</v>
      </c>
      <c r="AE1122" s="13">
        <v>1</v>
      </c>
      <c r="AF1122" s="13">
        <v>7</v>
      </c>
      <c r="AG1122" s="13">
        <v>2</v>
      </c>
      <c r="AH1122" s="13">
        <v>0</v>
      </c>
      <c r="AI1122" s="13">
        <v>0</v>
      </c>
      <c r="AJ1122" s="13">
        <v>0</v>
      </c>
      <c r="AK1122" s="13">
        <v>0</v>
      </c>
      <c r="AL1122" s="13">
        <v>0</v>
      </c>
      <c r="AM1122" s="13">
        <v>0</v>
      </c>
      <c r="AN1122" s="13">
        <v>0</v>
      </c>
      <c r="AO1122" s="14">
        <v>0</v>
      </c>
      <c r="AP1122" s="13">
        <v>3</v>
      </c>
      <c r="AQ1122" s="13">
        <v>11</v>
      </c>
      <c r="AR1122" s="15">
        <v>292</v>
      </c>
      <c r="AS1122" s="15">
        <v>313</v>
      </c>
    </row>
    <row r="1123" spans="1:45" x14ac:dyDescent="0.25">
      <c r="A1123">
        <v>884</v>
      </c>
      <c r="B1123" s="11">
        <f t="shared" si="17"/>
        <v>57100</v>
      </c>
      <c r="C1123" s="12">
        <v>571000</v>
      </c>
      <c r="D1123" s="13">
        <v>0</v>
      </c>
      <c r="E1123" s="13">
        <v>0</v>
      </c>
      <c r="F1123" s="13">
        <v>19</v>
      </c>
      <c r="G1123" s="13">
        <v>47</v>
      </c>
      <c r="H1123" s="13" t="str" cm="1">
        <f t="array" ref="H1123">_xlfn.IFS(G1123&lt;=20,"0-20",G1123&lt;=30,"20-30",G1123&lt;=40,"30-40",G1123&lt;=50,"50-60",G1123&lt;=60,"60-70",G1123&lt;=70,"70-80",G1123&lt;=80,"80-90")</f>
        <v>50-60</v>
      </c>
      <c r="I1123" s="13">
        <v>2366</v>
      </c>
      <c r="J1123" s="13" t="str" cm="1">
        <f t="array" ref="J1123">_xlfn.IFS(K1123=1,"Divorciado",L1123=1,"Casado",M1123=1,"Solteiro",N1123=1,"Juntos",O1123=1,"Viuvo")</f>
        <v>Juntos</v>
      </c>
      <c r="K1123" s="13">
        <v>0</v>
      </c>
      <c r="L1123" s="13">
        <v>0</v>
      </c>
      <c r="M1123" s="13">
        <v>0</v>
      </c>
      <c r="N1123" s="13">
        <v>1</v>
      </c>
      <c r="O1123" s="13">
        <v>0</v>
      </c>
      <c r="P1123" s="13">
        <v>0</v>
      </c>
      <c r="Q1123" s="13">
        <v>0</v>
      </c>
      <c r="R1123" s="13">
        <v>1</v>
      </c>
      <c r="S1123" s="13">
        <v>0</v>
      </c>
      <c r="T1123" s="13">
        <v>0</v>
      </c>
      <c r="U1123" s="13">
        <v>181</v>
      </c>
      <c r="V1123" s="13" t="str" cm="1">
        <f t="array" ref="V1123">_xlfn.IFS(U1123&lt;=250,"0-R$250",U1123&lt;=500,"251-R$500",U1123&lt;=750,"501-R$750",U1123&lt;=1000,"751-R$1000",U1123&lt;=1250,"1001-R$1250",U1123&lt;=1500,"1251-R$1500")</f>
        <v>0-R$250</v>
      </c>
      <c r="W1123" s="13">
        <v>21</v>
      </c>
      <c r="X1123" s="13" t="str" cm="1">
        <f t="array" ref="X1123">_xlfn.IFS(W1123 = 0, "0", W1123&lt;=20, "até R$20",W1123&lt;=40, "21 - R$40",W1123&lt;=60, "41- R$60",W1123&lt;=80, "61 - R$80", W1123&lt;=100, "81 - R$100",W1123&lt;=120, "101 - R$120",W1123&lt;=140, "121 - R$140", W1123&lt;=160, "141- R$160", W1123&lt;=180, "161 - R$180", W1123&lt;=200, "181-R$194")</f>
        <v>21 - R$40</v>
      </c>
      <c r="Y1123" s="13">
        <v>69</v>
      </c>
      <c r="Z1123" s="13">
        <v>39</v>
      </c>
      <c r="AA1123" s="13">
        <v>3</v>
      </c>
      <c r="AB1123" s="13">
        <v>96</v>
      </c>
      <c r="AC1123" s="13">
        <v>1</v>
      </c>
      <c r="AD1123" s="13">
        <v>3</v>
      </c>
      <c r="AE1123" s="13">
        <v>3</v>
      </c>
      <c r="AF1123" s="13">
        <v>6</v>
      </c>
      <c r="AG1123" s="13">
        <v>3</v>
      </c>
      <c r="AH1123" s="13">
        <v>0</v>
      </c>
      <c r="AI1123" s="13">
        <v>0</v>
      </c>
      <c r="AJ1123" s="13">
        <v>0</v>
      </c>
      <c r="AK1123" s="13">
        <v>0</v>
      </c>
      <c r="AL1123" s="13">
        <v>0</v>
      </c>
      <c r="AM1123" s="13">
        <v>0</v>
      </c>
      <c r="AN1123" s="13">
        <v>0</v>
      </c>
      <c r="AO1123" s="14">
        <v>0</v>
      </c>
      <c r="AP1123" s="13">
        <v>3</v>
      </c>
      <c r="AQ1123" s="13">
        <v>11</v>
      </c>
      <c r="AR1123" s="15">
        <v>217</v>
      </c>
      <c r="AS1123" s="15">
        <v>313</v>
      </c>
    </row>
    <row r="1124" spans="1:45" x14ac:dyDescent="0.25">
      <c r="A1124">
        <v>1476</v>
      </c>
      <c r="B1124" s="11">
        <f t="shared" si="17"/>
        <v>53253</v>
      </c>
      <c r="C1124" s="12">
        <v>532530</v>
      </c>
      <c r="D1124" s="13">
        <v>1</v>
      </c>
      <c r="E1124" s="13">
        <v>1</v>
      </c>
      <c r="F1124" s="13">
        <v>61</v>
      </c>
      <c r="G1124" s="13">
        <v>45</v>
      </c>
      <c r="H1124" s="13" t="str" cm="1">
        <f t="array" ref="H1124">_xlfn.IFS(G1124&lt;=20,"0-20",G1124&lt;=30,"20-30",G1124&lt;=40,"30-40",G1124&lt;=50,"50-60",G1124&lt;=60,"60-70",G1124&lt;=70,"70-80",G1124&lt;=80,"80-90")</f>
        <v>50-60</v>
      </c>
      <c r="I1124" s="13">
        <v>2662</v>
      </c>
      <c r="J1124" s="13" t="str" cm="1">
        <f t="array" ref="J1124">_xlfn.IFS(K1124=1,"Divorciado",L1124=1,"Casado",M1124=1,"Solteiro",N1124=1,"Juntos",O1124=1,"Viuvo")</f>
        <v>Juntos</v>
      </c>
      <c r="K1124" s="13">
        <v>0</v>
      </c>
      <c r="L1124" s="13">
        <v>0</v>
      </c>
      <c r="M1124" s="13">
        <v>0</v>
      </c>
      <c r="N1124" s="13">
        <v>1</v>
      </c>
      <c r="O1124" s="13">
        <v>0</v>
      </c>
      <c r="P1124" s="13">
        <v>0</v>
      </c>
      <c r="Q1124" s="13">
        <v>0</v>
      </c>
      <c r="R1124" s="13">
        <v>0</v>
      </c>
      <c r="S1124" s="13">
        <v>1</v>
      </c>
      <c r="T1124" s="13">
        <v>0</v>
      </c>
      <c r="U1124" s="13">
        <v>216</v>
      </c>
      <c r="V1124" s="13" t="str" cm="1">
        <f t="array" ref="V1124">_xlfn.IFS(U1124&lt;=250,"0-R$250",U1124&lt;=500,"251-R$500",U1124&lt;=750,"501-R$750",U1124&lt;=1000,"751-R$1000",U1124&lt;=1250,"1001-R$1250",U1124&lt;=1500,"1251-R$1500")</f>
        <v>0-R$250</v>
      </c>
      <c r="W1124" s="13">
        <v>9</v>
      </c>
      <c r="X1124" s="13" t="str" cm="1">
        <f t="array" ref="X1124">_xlfn.IFS(W1124 = 0, "0", W1124&lt;=20, "até R$20",W1124&lt;=40, "21 - R$40",W1124&lt;=60, "41- R$60",W1124&lt;=80, "61 - R$80", W1124&lt;=100, "81 - R$100",W1124&lt;=120, "101 - R$120",W1124&lt;=140, "121 - R$140", W1124&lt;=160, "141- R$160", W1124&lt;=180, "161 - R$180", W1124&lt;=200, "181-R$194")</f>
        <v>até R$20</v>
      </c>
      <c r="Y1124" s="13">
        <v>57</v>
      </c>
      <c r="Z1124" s="13">
        <v>20</v>
      </c>
      <c r="AA1124" s="13">
        <v>9</v>
      </c>
      <c r="AB1124" s="13">
        <v>125</v>
      </c>
      <c r="AC1124" s="13">
        <v>7</v>
      </c>
      <c r="AD1124" s="13">
        <v>4</v>
      </c>
      <c r="AE1124" s="13">
        <v>3</v>
      </c>
      <c r="AF1124" s="13">
        <v>5</v>
      </c>
      <c r="AG1124" s="13">
        <v>5</v>
      </c>
      <c r="AH1124" s="13">
        <v>0</v>
      </c>
      <c r="AI1124" s="13">
        <v>0</v>
      </c>
      <c r="AJ1124" s="13">
        <v>0</v>
      </c>
      <c r="AK1124" s="13">
        <v>0</v>
      </c>
      <c r="AL1124" s="13">
        <v>0</v>
      </c>
      <c r="AM1124" s="13">
        <v>0</v>
      </c>
      <c r="AN1124" s="13">
        <v>0</v>
      </c>
      <c r="AO1124" s="14">
        <v>0</v>
      </c>
      <c r="AP1124" s="13">
        <v>3</v>
      </c>
      <c r="AQ1124" s="13">
        <v>11</v>
      </c>
      <c r="AR1124" s="15">
        <v>186</v>
      </c>
      <c r="AS1124" s="15">
        <v>311</v>
      </c>
    </row>
    <row r="1125" spans="1:45" x14ac:dyDescent="0.25">
      <c r="A1125">
        <v>244</v>
      </c>
      <c r="B1125" s="11">
        <f t="shared" si="17"/>
        <v>45989</v>
      </c>
      <c r="C1125" s="12">
        <v>459890</v>
      </c>
      <c r="D1125" s="13">
        <v>0</v>
      </c>
      <c r="E1125" s="13">
        <v>1</v>
      </c>
      <c r="F1125" s="13">
        <v>97</v>
      </c>
      <c r="G1125" s="13">
        <v>56</v>
      </c>
      <c r="H1125" s="13" t="str" cm="1">
        <f t="array" ref="H1125">_xlfn.IFS(G1125&lt;=20,"0-20",G1125&lt;=30,"20-30",G1125&lt;=40,"30-40",G1125&lt;=50,"50-60",G1125&lt;=60,"60-70",G1125&lt;=70,"70-80",G1125&lt;=80,"80-90")</f>
        <v>60-70</v>
      </c>
      <c r="I1125" s="13">
        <v>2774</v>
      </c>
      <c r="J1125" s="13" t="str" cm="1">
        <f t="array" ref="J1125">_xlfn.IFS(K1125=1,"Divorciado",L1125=1,"Casado",M1125=1,"Solteiro",N1125=1,"Juntos",O1125=1,"Viuvo")</f>
        <v>Solteiro</v>
      </c>
      <c r="K1125" s="13">
        <v>0</v>
      </c>
      <c r="L1125" s="13">
        <v>0</v>
      </c>
      <c r="M1125" s="13">
        <v>1</v>
      </c>
      <c r="N1125" s="13">
        <v>0</v>
      </c>
      <c r="O1125" s="13">
        <v>0</v>
      </c>
      <c r="P1125" s="13">
        <v>0</v>
      </c>
      <c r="Q1125" s="13">
        <v>0</v>
      </c>
      <c r="R1125" s="13">
        <v>1</v>
      </c>
      <c r="S1125" s="13">
        <v>0</v>
      </c>
      <c r="T1125" s="13">
        <v>0</v>
      </c>
      <c r="U1125" s="13">
        <v>138</v>
      </c>
      <c r="V1125" s="13" t="str" cm="1">
        <f t="array" ref="V1125">_xlfn.IFS(U1125&lt;=250,"0-R$250",U1125&lt;=500,"251-R$500",U1125&lt;=750,"501-R$750",U1125&lt;=1000,"751-R$1000",U1125&lt;=1250,"1001-R$1250",U1125&lt;=1500,"1251-R$1500")</f>
        <v>0-R$250</v>
      </c>
      <c r="W1125" s="13">
        <v>33</v>
      </c>
      <c r="X1125" s="13" t="str" cm="1">
        <f t="array" ref="X1125">_xlfn.IFS(W1125 = 0, "0", W1125&lt;=20, "até R$20",W1125&lt;=40, "21 - R$40",W1125&lt;=60, "41- R$60",W1125&lt;=80, "61 - R$80", W1125&lt;=100, "81 - R$100",W1125&lt;=120, "101 - R$120",W1125&lt;=140, "121 - R$140", W1125&lt;=160, "141- R$160", W1125&lt;=180, "161 - R$180", W1125&lt;=200, "181-R$194")</f>
        <v>21 - R$40</v>
      </c>
      <c r="Y1125" s="13">
        <v>87</v>
      </c>
      <c r="Z1125" s="13">
        <v>28</v>
      </c>
      <c r="AA1125" s="13">
        <v>24</v>
      </c>
      <c r="AB1125" s="13">
        <v>12</v>
      </c>
      <c r="AC1125" s="13">
        <v>4</v>
      </c>
      <c r="AD1125" s="13">
        <v>3</v>
      </c>
      <c r="AE1125" s="13">
        <v>2</v>
      </c>
      <c r="AF1125" s="13">
        <v>7</v>
      </c>
      <c r="AG1125" s="13">
        <v>3</v>
      </c>
      <c r="AH1125" s="13">
        <v>0</v>
      </c>
      <c r="AI1125" s="13">
        <v>0</v>
      </c>
      <c r="AJ1125" s="13">
        <v>0</v>
      </c>
      <c r="AK1125" s="13">
        <v>0</v>
      </c>
      <c r="AL1125" s="13">
        <v>0</v>
      </c>
      <c r="AM1125" s="13">
        <v>0</v>
      </c>
      <c r="AN1125" s="13">
        <v>0</v>
      </c>
      <c r="AO1125" s="14">
        <v>0</v>
      </c>
      <c r="AP1125" s="13">
        <v>3</v>
      </c>
      <c r="AQ1125" s="13">
        <v>11</v>
      </c>
      <c r="AR1125" s="15">
        <v>298</v>
      </c>
      <c r="AS1125" s="15">
        <v>310</v>
      </c>
    </row>
    <row r="1126" spans="1:45" x14ac:dyDescent="0.25">
      <c r="A1126">
        <v>1029</v>
      </c>
      <c r="B1126" s="11">
        <f t="shared" si="17"/>
        <v>35196</v>
      </c>
      <c r="C1126" s="16">
        <v>351960</v>
      </c>
      <c r="D1126" s="17">
        <v>1</v>
      </c>
      <c r="E1126" s="17">
        <v>0</v>
      </c>
      <c r="F1126" s="17">
        <v>68</v>
      </c>
      <c r="G1126" s="17">
        <v>36</v>
      </c>
      <c r="H1126" s="13" t="str" cm="1">
        <f t="array" ref="H1126">_xlfn.IFS(G1126&lt;=20,"0-20",G1126&lt;=30,"20-30",G1126&lt;=40,"30-40",G1126&lt;=50,"50-60",G1126&lt;=60,"60-70",G1126&lt;=70,"70-80",G1126&lt;=80,"80-90")</f>
        <v>30-40</v>
      </c>
      <c r="I1126" s="17">
        <v>2752</v>
      </c>
      <c r="J1126" s="13" t="str" cm="1">
        <f t="array" ref="J1126">_xlfn.IFS(K1126=1,"Divorciado",L1126=1,"Casado",M1126=1,"Solteiro",N1126=1,"Juntos",O1126=1,"Viuvo")</f>
        <v>Juntos</v>
      </c>
      <c r="K1126" s="17">
        <v>0</v>
      </c>
      <c r="L1126" s="17">
        <v>0</v>
      </c>
      <c r="M1126" s="17">
        <v>0</v>
      </c>
      <c r="N1126" s="17">
        <v>1</v>
      </c>
      <c r="O1126" s="17">
        <v>0</v>
      </c>
      <c r="P1126" s="17">
        <v>0</v>
      </c>
      <c r="Q1126" s="17">
        <v>0</v>
      </c>
      <c r="R1126" s="17">
        <v>1</v>
      </c>
      <c r="S1126" s="17">
        <v>0</v>
      </c>
      <c r="T1126" s="17">
        <v>0</v>
      </c>
      <c r="U1126" s="17">
        <v>75</v>
      </c>
      <c r="V1126" s="13" t="str" cm="1">
        <f t="array" ref="V1126">_xlfn.IFS(U1126&lt;=250,"0-R$250",U1126&lt;=500,"251-R$500",U1126&lt;=750,"501-R$750",U1126&lt;=1000,"751-R$1000",U1126&lt;=1250,"1001-R$1250",U1126&lt;=1500,"1251-R$1500")</f>
        <v>0-R$250</v>
      </c>
      <c r="W1126" s="17">
        <v>12</v>
      </c>
      <c r="X1126" s="13" t="str" cm="1">
        <f t="array" ref="X1126">_xlfn.IFS(W1126 = 0, "0", W1126&lt;=20, "até R$20",W1126&lt;=40, "21 - R$40",W1126&lt;=60, "41- R$60",W1126&lt;=80, "61 - R$80", W1126&lt;=100, "81 - R$100",W1126&lt;=120, "101 - R$120",W1126&lt;=140, "121 - R$140", W1126&lt;=160, "141- R$160", W1126&lt;=180, "161 - R$180", W1126&lt;=200, "181-R$194")</f>
        <v>até R$20</v>
      </c>
      <c r="Y1126" s="17">
        <v>141</v>
      </c>
      <c r="Z1126" s="17">
        <v>43</v>
      </c>
      <c r="AA1126" s="17">
        <v>39</v>
      </c>
      <c r="AB1126" s="17">
        <v>187</v>
      </c>
      <c r="AC1126" s="17">
        <v>6</v>
      </c>
      <c r="AD1126" s="17">
        <v>6</v>
      </c>
      <c r="AE1126" s="17">
        <v>1</v>
      </c>
      <c r="AF1126" s="17">
        <v>5</v>
      </c>
      <c r="AG1126" s="17">
        <v>8</v>
      </c>
      <c r="AH1126" s="17">
        <v>0</v>
      </c>
      <c r="AI1126" s="17">
        <v>0</v>
      </c>
      <c r="AJ1126" s="17">
        <v>0</v>
      </c>
      <c r="AK1126" s="17">
        <v>0</v>
      </c>
      <c r="AL1126" s="17">
        <v>0</v>
      </c>
      <c r="AM1126" s="17">
        <v>0</v>
      </c>
      <c r="AN1126" s="17">
        <v>1</v>
      </c>
      <c r="AO1126" s="18">
        <v>0</v>
      </c>
      <c r="AP1126" s="17">
        <v>3</v>
      </c>
      <c r="AQ1126" s="17">
        <v>11</v>
      </c>
      <c r="AR1126" s="19">
        <v>123</v>
      </c>
      <c r="AS1126" s="19">
        <v>310</v>
      </c>
    </row>
    <row r="1127" spans="1:45" x14ac:dyDescent="0.25">
      <c r="A1127">
        <v>1690</v>
      </c>
      <c r="B1127" s="11">
        <f t="shared" si="17"/>
        <v>35196</v>
      </c>
      <c r="C1127" s="12">
        <v>351960</v>
      </c>
      <c r="D1127" s="13">
        <v>1</v>
      </c>
      <c r="E1127" s="13">
        <v>0</v>
      </c>
      <c r="F1127" s="13">
        <v>68</v>
      </c>
      <c r="G1127" s="13">
        <v>36</v>
      </c>
      <c r="H1127" s="13" t="str" cm="1">
        <f t="array" ref="H1127">_xlfn.IFS(G1127&lt;=20,"0-20",G1127&lt;=30,"20-30",G1127&lt;=40,"30-40",G1127&lt;=50,"50-60",G1127&lt;=60,"60-70",G1127&lt;=70,"70-80",G1127&lt;=80,"80-90")</f>
        <v>30-40</v>
      </c>
      <c r="I1127" s="13">
        <v>2752</v>
      </c>
      <c r="J1127" s="13" t="str" cm="1">
        <f t="array" ref="J1127">_xlfn.IFS(K1127=1,"Divorciado",L1127=1,"Casado",M1127=1,"Solteiro",N1127=1,"Juntos",O1127=1,"Viuvo")</f>
        <v>Juntos</v>
      </c>
      <c r="K1127" s="13">
        <v>0</v>
      </c>
      <c r="L1127" s="13">
        <v>0</v>
      </c>
      <c r="M1127" s="13">
        <v>0</v>
      </c>
      <c r="N1127" s="13">
        <v>1</v>
      </c>
      <c r="O1127" s="13">
        <v>0</v>
      </c>
      <c r="P1127" s="13">
        <v>0</v>
      </c>
      <c r="Q1127" s="13">
        <v>0</v>
      </c>
      <c r="R1127" s="13">
        <v>1</v>
      </c>
      <c r="S1127" s="13">
        <v>0</v>
      </c>
      <c r="T1127" s="13">
        <v>0</v>
      </c>
      <c r="U1127" s="13">
        <v>75</v>
      </c>
      <c r="V1127" s="13" t="str" cm="1">
        <f t="array" ref="V1127">_xlfn.IFS(U1127&lt;=250,"0-R$250",U1127&lt;=500,"251-R$500",U1127&lt;=750,"501-R$750",U1127&lt;=1000,"751-R$1000",U1127&lt;=1250,"1001-R$1250",U1127&lt;=1500,"1251-R$1500")</f>
        <v>0-R$250</v>
      </c>
      <c r="W1127" s="13">
        <v>12</v>
      </c>
      <c r="X1127" s="13" t="str" cm="1">
        <f t="array" ref="X1127">_xlfn.IFS(W1127 = 0, "0", W1127&lt;=20, "até R$20",W1127&lt;=40, "21 - R$40",W1127&lt;=60, "41- R$60",W1127&lt;=80, "61 - R$80", W1127&lt;=100, "81 - R$100",W1127&lt;=120, "101 - R$120",W1127&lt;=140, "121 - R$140", W1127&lt;=160, "141- R$160", W1127&lt;=180, "161 - R$180", W1127&lt;=200, "181-R$194")</f>
        <v>até R$20</v>
      </c>
      <c r="Y1127" s="13">
        <v>141</v>
      </c>
      <c r="Z1127" s="13">
        <v>43</v>
      </c>
      <c r="AA1127" s="13">
        <v>39</v>
      </c>
      <c r="AB1127" s="13">
        <v>187</v>
      </c>
      <c r="AC1127" s="13">
        <v>6</v>
      </c>
      <c r="AD1127" s="13">
        <v>6</v>
      </c>
      <c r="AE1127" s="13">
        <v>1</v>
      </c>
      <c r="AF1127" s="13">
        <v>5</v>
      </c>
      <c r="AG1127" s="13">
        <v>8</v>
      </c>
      <c r="AH1127" s="13">
        <v>0</v>
      </c>
      <c r="AI1127" s="13">
        <v>0</v>
      </c>
      <c r="AJ1127" s="13">
        <v>0</v>
      </c>
      <c r="AK1127" s="13">
        <v>0</v>
      </c>
      <c r="AL1127" s="13">
        <v>0</v>
      </c>
      <c r="AM1127" s="13">
        <v>0</v>
      </c>
      <c r="AN1127" s="13">
        <v>0</v>
      </c>
      <c r="AO1127" s="14">
        <v>0</v>
      </c>
      <c r="AP1127" s="13">
        <v>3</v>
      </c>
      <c r="AQ1127" s="13">
        <v>11</v>
      </c>
      <c r="AR1127" s="15">
        <v>123</v>
      </c>
      <c r="AS1127" s="15">
        <v>310</v>
      </c>
    </row>
    <row r="1128" spans="1:45" x14ac:dyDescent="0.25">
      <c r="A1128">
        <v>1301</v>
      </c>
      <c r="B1128" s="11">
        <f t="shared" si="17"/>
        <v>46692</v>
      </c>
      <c r="C1128" s="16">
        <v>466920</v>
      </c>
      <c r="D1128" s="17">
        <v>0</v>
      </c>
      <c r="E1128" s="17">
        <v>1</v>
      </c>
      <c r="F1128" s="17">
        <v>37</v>
      </c>
      <c r="G1128" s="17">
        <v>62</v>
      </c>
      <c r="H1128" s="13" t="str" cm="1">
        <f t="array" ref="H1128">_xlfn.IFS(G1128&lt;=20,"0-20",G1128&lt;=30,"20-30",G1128&lt;=40,"30-40",G1128&lt;=50,"50-60",G1128&lt;=60,"60-70",G1128&lt;=70,"70-80",G1128&lt;=80,"80-90")</f>
        <v>70-80</v>
      </c>
      <c r="I1128" s="17">
        <v>2547</v>
      </c>
      <c r="J1128" s="13" t="str" cm="1">
        <f t="array" ref="J1128">_xlfn.IFS(K1128=1,"Divorciado",L1128=1,"Casado",M1128=1,"Solteiro",N1128=1,"Juntos",O1128=1,"Viuvo")</f>
        <v>Juntos</v>
      </c>
      <c r="K1128" s="17">
        <v>0</v>
      </c>
      <c r="L1128" s="17">
        <v>0</v>
      </c>
      <c r="M1128" s="17">
        <v>0</v>
      </c>
      <c r="N1128" s="17">
        <v>1</v>
      </c>
      <c r="O1128" s="17">
        <v>0</v>
      </c>
      <c r="P1128" s="17">
        <v>0</v>
      </c>
      <c r="Q1128" s="17">
        <v>0</v>
      </c>
      <c r="R1128" s="17">
        <v>0</v>
      </c>
      <c r="S1128" s="17">
        <v>1</v>
      </c>
      <c r="T1128" s="17">
        <v>0</v>
      </c>
      <c r="U1128" s="17">
        <v>170</v>
      </c>
      <c r="V1128" s="13" t="str" cm="1">
        <f t="array" ref="V1128">_xlfn.IFS(U1128&lt;=250,"0-R$250",U1128&lt;=500,"251-R$500",U1128&lt;=750,"501-R$750",U1128&lt;=1000,"751-R$1000",U1128&lt;=1250,"1001-R$1250",U1128&lt;=1500,"1251-R$1500")</f>
        <v>0-R$250</v>
      </c>
      <c r="W1128" s="17">
        <v>6</v>
      </c>
      <c r="X1128" s="13" t="str" cm="1">
        <f t="array" ref="X1128">_xlfn.IFS(W1128 = 0, "0", W1128&lt;=20, "até R$20",W1128&lt;=40, "21 - R$40",W1128&lt;=60, "41- R$60",W1128&lt;=80, "61 - R$80", W1128&lt;=100, "81 - R$100",W1128&lt;=120, "101 - R$120",W1128&lt;=140, "121 - R$140", W1128&lt;=160, "141- R$160", W1128&lt;=180, "161 - R$180", W1128&lt;=200, "181-R$194")</f>
        <v>até R$20</v>
      </c>
      <c r="Y1128" s="17">
        <v>97</v>
      </c>
      <c r="Z1128" s="17">
        <v>24</v>
      </c>
      <c r="AA1128" s="17">
        <v>12</v>
      </c>
      <c r="AB1128" s="17">
        <v>88</v>
      </c>
      <c r="AC1128" s="17">
        <v>3</v>
      </c>
      <c r="AD1128" s="17">
        <v>6</v>
      </c>
      <c r="AE1128" s="17">
        <v>1</v>
      </c>
      <c r="AF1128" s="17">
        <v>5</v>
      </c>
      <c r="AG1128" s="17">
        <v>6</v>
      </c>
      <c r="AH1128" s="17">
        <v>0</v>
      </c>
      <c r="AI1128" s="17">
        <v>0</v>
      </c>
      <c r="AJ1128" s="17">
        <v>0</v>
      </c>
      <c r="AK1128" s="17">
        <v>0</v>
      </c>
      <c r="AL1128" s="17">
        <v>0</v>
      </c>
      <c r="AM1128" s="17">
        <v>0</v>
      </c>
      <c r="AN1128" s="17">
        <v>0</v>
      </c>
      <c r="AO1128" s="18">
        <v>0</v>
      </c>
      <c r="AP1128" s="17">
        <v>3</v>
      </c>
      <c r="AQ1128" s="17">
        <v>11</v>
      </c>
      <c r="AR1128" s="19">
        <v>221</v>
      </c>
      <c r="AS1128" s="19">
        <v>309</v>
      </c>
    </row>
    <row r="1129" spans="1:45" x14ac:dyDescent="0.25">
      <c r="A1129">
        <v>1375</v>
      </c>
      <c r="B1129" s="11">
        <f t="shared" si="17"/>
        <v>51039</v>
      </c>
      <c r="C1129" s="16">
        <v>510390</v>
      </c>
      <c r="D1129" s="17">
        <v>1</v>
      </c>
      <c r="E1129" s="17">
        <v>1</v>
      </c>
      <c r="F1129" s="17">
        <v>11</v>
      </c>
      <c r="G1129" s="17">
        <v>51</v>
      </c>
      <c r="H1129" s="13" t="str" cm="1">
        <f t="array" ref="H1129">_xlfn.IFS(G1129&lt;=20,"0-20",G1129&lt;=30,"20-30",G1129&lt;=40,"30-40",G1129&lt;=50,"50-60",G1129&lt;=60,"60-70",G1129&lt;=70,"70-80",G1129&lt;=80,"80-90")</f>
        <v>60-70</v>
      </c>
      <c r="I1129" s="17">
        <v>2725</v>
      </c>
      <c r="J1129" s="13" t="str" cm="1">
        <f t="array" ref="J1129">_xlfn.IFS(K1129=1,"Divorciado",L1129=1,"Casado",M1129=1,"Solteiro",N1129=1,"Juntos",O1129=1,"Viuvo")</f>
        <v>Casado</v>
      </c>
      <c r="K1129" s="17">
        <v>0</v>
      </c>
      <c r="L1129" s="17">
        <v>1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1</v>
      </c>
      <c r="U1129" s="17">
        <v>100</v>
      </c>
      <c r="V1129" s="13" t="str" cm="1">
        <f t="array" ref="V1129">_xlfn.IFS(U1129&lt;=250,"0-R$250",U1129&lt;=500,"251-R$500",U1129&lt;=750,"501-R$750",U1129&lt;=1000,"751-R$1000",U1129&lt;=1250,"1001-R$1250",U1129&lt;=1500,"1251-R$1500")</f>
        <v>0-R$250</v>
      </c>
      <c r="W1129" s="17">
        <v>64</v>
      </c>
      <c r="X1129" s="13" t="str" cm="1">
        <f t="array" ref="X1129">_xlfn.IFS(W1129 = 0, "0", W1129&lt;=20, "até R$20",W1129&lt;=40, "21 - R$40",W1129&lt;=60, "41- R$60",W1129&lt;=80, "61 - R$80", W1129&lt;=100, "81 - R$100",W1129&lt;=120, "101 - R$120",W1129&lt;=140, "121 - R$140", W1129&lt;=160, "141- R$160", W1129&lt;=180, "161 - R$180", W1129&lt;=200, "181-R$194")</f>
        <v>61 - R$80</v>
      </c>
      <c r="Y1129" s="17">
        <v>79</v>
      </c>
      <c r="Z1129" s="17">
        <v>65</v>
      </c>
      <c r="AA1129" s="17">
        <v>0</v>
      </c>
      <c r="AB1129" s="17">
        <v>109</v>
      </c>
      <c r="AC1129" s="17">
        <v>2</v>
      </c>
      <c r="AD1129" s="17">
        <v>6</v>
      </c>
      <c r="AE1129" s="17">
        <v>2</v>
      </c>
      <c r="AF1129" s="17">
        <v>4</v>
      </c>
      <c r="AG1129" s="17">
        <v>7</v>
      </c>
      <c r="AH1129" s="17">
        <v>0</v>
      </c>
      <c r="AI1129" s="17">
        <v>0</v>
      </c>
      <c r="AJ1129" s="17">
        <v>0</v>
      </c>
      <c r="AK1129" s="17">
        <v>0</v>
      </c>
      <c r="AL1129" s="17">
        <v>0</v>
      </c>
      <c r="AM1129" s="17">
        <v>0</v>
      </c>
      <c r="AN1129" s="17">
        <v>0</v>
      </c>
      <c r="AO1129" s="18">
        <v>0</v>
      </c>
      <c r="AP1129" s="17">
        <v>3</v>
      </c>
      <c r="AQ1129" s="17">
        <v>11</v>
      </c>
      <c r="AR1129" s="19">
        <v>199</v>
      </c>
      <c r="AS1129" s="19">
        <v>308</v>
      </c>
    </row>
    <row r="1130" spans="1:45" x14ac:dyDescent="0.25">
      <c r="A1130">
        <v>2061</v>
      </c>
      <c r="B1130" s="11">
        <f t="shared" si="17"/>
        <v>71322</v>
      </c>
      <c r="C1130" s="16">
        <v>713220</v>
      </c>
      <c r="D1130" s="17">
        <v>0</v>
      </c>
      <c r="E1130" s="17">
        <v>1</v>
      </c>
      <c r="F1130" s="17">
        <v>31</v>
      </c>
      <c r="G1130" s="17">
        <v>44</v>
      </c>
      <c r="H1130" s="13" t="str" cm="1">
        <f t="array" ref="H1130">_xlfn.IFS(G1130&lt;=20,"0-20",G1130&lt;=30,"20-30",G1130&lt;=40,"30-40",G1130&lt;=50,"50-60",G1130&lt;=60,"60-70",G1130&lt;=70,"70-80",G1130&lt;=80,"80-90")</f>
        <v>50-60</v>
      </c>
      <c r="I1130" s="17">
        <v>2217</v>
      </c>
      <c r="J1130" s="13" t="str" cm="1">
        <f t="array" ref="J1130">_xlfn.IFS(K1130=1,"Divorciado",L1130=1,"Casado",M1130=1,"Solteiro",N1130=1,"Juntos",O1130=1,"Viuvo")</f>
        <v>Juntos</v>
      </c>
      <c r="K1130" s="17">
        <v>0</v>
      </c>
      <c r="L1130" s="17">
        <v>0</v>
      </c>
      <c r="M1130" s="17">
        <v>0</v>
      </c>
      <c r="N1130" s="17">
        <v>1</v>
      </c>
      <c r="O1130" s="17">
        <v>0</v>
      </c>
      <c r="P1130" s="17">
        <v>0</v>
      </c>
      <c r="Q1130" s="17">
        <v>0</v>
      </c>
      <c r="R1130" s="17">
        <v>1</v>
      </c>
      <c r="S1130" s="17">
        <v>0</v>
      </c>
      <c r="T1130" s="17">
        <v>0</v>
      </c>
      <c r="U1130" s="17">
        <v>121</v>
      </c>
      <c r="V1130" s="13" t="str" cm="1">
        <f t="array" ref="V1130">_xlfn.IFS(U1130&lt;=250,"0-R$250",U1130&lt;=500,"251-R$500",U1130&lt;=750,"501-R$750",U1130&lt;=1000,"751-R$1000",U1130&lt;=1250,"1001-R$1250",U1130&lt;=1500,"1251-R$1500")</f>
        <v>0-R$250</v>
      </c>
      <c r="W1130" s="17">
        <v>24</v>
      </c>
      <c r="X1130" s="13" t="str" cm="1">
        <f t="array" ref="X1130">_xlfn.IFS(W1130 = 0, "0", W1130&lt;=20, "até R$20",W1130&lt;=40, "21 - R$40",W1130&lt;=60, "41- R$60",W1130&lt;=80, "61 - R$80", W1130&lt;=100, "81 - R$100",W1130&lt;=120, "101 - R$120",W1130&lt;=140, "121 - R$140", W1130&lt;=160, "141- R$160", W1130&lt;=180, "161 - R$180", W1130&lt;=200, "181-R$194")</f>
        <v>21 - R$40</v>
      </c>
      <c r="Y1130" s="17">
        <v>124</v>
      </c>
      <c r="Z1130" s="17">
        <v>24</v>
      </c>
      <c r="AA1130" s="17">
        <v>15</v>
      </c>
      <c r="AB1130" s="17">
        <v>42</v>
      </c>
      <c r="AC1130" s="17">
        <v>1</v>
      </c>
      <c r="AD1130" s="17">
        <v>4</v>
      </c>
      <c r="AE1130" s="17">
        <v>1</v>
      </c>
      <c r="AF1130" s="17">
        <v>7</v>
      </c>
      <c r="AG1130" s="17">
        <v>2</v>
      </c>
      <c r="AH1130" s="17">
        <v>0</v>
      </c>
      <c r="AI1130" s="17">
        <v>0</v>
      </c>
      <c r="AJ1130" s="17">
        <v>0</v>
      </c>
      <c r="AK1130" s="17">
        <v>0</v>
      </c>
      <c r="AL1130" s="17">
        <v>0</v>
      </c>
      <c r="AM1130" s="17">
        <v>0</v>
      </c>
      <c r="AN1130" s="17">
        <v>0</v>
      </c>
      <c r="AO1130" s="18">
        <v>0</v>
      </c>
      <c r="AP1130" s="17">
        <v>3</v>
      </c>
      <c r="AQ1130" s="17">
        <v>11</v>
      </c>
      <c r="AR1130" s="19">
        <v>266</v>
      </c>
      <c r="AS1130" s="19">
        <v>308</v>
      </c>
    </row>
    <row r="1131" spans="1:45" x14ac:dyDescent="0.25">
      <c r="A1131">
        <v>548</v>
      </c>
      <c r="B1131" s="11">
        <f t="shared" si="17"/>
        <v>48799</v>
      </c>
      <c r="C1131" s="12">
        <v>487990</v>
      </c>
      <c r="D1131" s="13">
        <v>0</v>
      </c>
      <c r="E1131" s="13">
        <v>1</v>
      </c>
      <c r="F1131" s="13">
        <v>9</v>
      </c>
      <c r="G1131" s="13">
        <v>57</v>
      </c>
      <c r="H1131" s="13" t="str" cm="1">
        <f t="array" ref="H1131">_xlfn.IFS(G1131&lt;=20,"0-20",G1131&lt;=30,"20-30",G1131&lt;=40,"30-40",G1131&lt;=50,"50-60",G1131&lt;=60,"60-70",G1131&lt;=70,"70-80",G1131&lt;=80,"80-90")</f>
        <v>60-70</v>
      </c>
      <c r="I1131" s="13">
        <v>2395</v>
      </c>
      <c r="J1131" s="13" t="str" cm="1">
        <f t="array" ref="J1131">_xlfn.IFS(K1131=1,"Divorciado",L1131=1,"Casado",M1131=1,"Solteiro",N1131=1,"Juntos",O1131=1,"Viuvo")</f>
        <v>Divorciado</v>
      </c>
      <c r="K1131" s="13">
        <v>1</v>
      </c>
      <c r="L1131" s="13">
        <v>0</v>
      </c>
      <c r="M1131" s="13">
        <v>0</v>
      </c>
      <c r="N1131" s="13">
        <v>0</v>
      </c>
      <c r="O1131" s="13">
        <v>0</v>
      </c>
      <c r="P1131" s="13">
        <v>0</v>
      </c>
      <c r="Q1131" s="13">
        <v>0</v>
      </c>
      <c r="R1131" s="13">
        <v>0</v>
      </c>
      <c r="S1131" s="13">
        <v>0</v>
      </c>
      <c r="T1131" s="13">
        <v>1</v>
      </c>
      <c r="U1131" s="13">
        <v>174</v>
      </c>
      <c r="V1131" s="13" t="str" cm="1">
        <f t="array" ref="V1131">_xlfn.IFS(U1131&lt;=250,"0-R$250",U1131&lt;=500,"251-R$500",U1131&lt;=750,"501-R$750",U1131&lt;=1000,"751-R$1000",U1131&lt;=1250,"1001-R$1250",U1131&lt;=1500,"1251-R$1500")</f>
        <v>0-R$250</v>
      </c>
      <c r="W1131" s="13">
        <v>18</v>
      </c>
      <c r="X1131" s="13" t="str" cm="1">
        <f t="array" ref="X1131">_xlfn.IFS(W1131 = 0, "0", W1131&lt;=20, "até R$20",W1131&lt;=40, "21 - R$40",W1131&lt;=60, "41- R$60",W1131&lt;=80, "61 - R$80", W1131&lt;=100, "81 - R$100",W1131&lt;=120, "101 - R$120",W1131&lt;=140, "121 - R$140", W1131&lt;=160, "141- R$160", W1131&lt;=180, "161 - R$180", W1131&lt;=200, "181-R$194")</f>
        <v>até R$20</v>
      </c>
      <c r="Y1131" s="13">
        <v>81</v>
      </c>
      <c r="Z1131" s="13">
        <v>28</v>
      </c>
      <c r="AA1131" s="13">
        <v>6</v>
      </c>
      <c r="AB1131" s="13">
        <v>24</v>
      </c>
      <c r="AC1131" s="13">
        <v>3</v>
      </c>
      <c r="AD1131" s="13">
        <v>3</v>
      </c>
      <c r="AE1131" s="13">
        <v>2</v>
      </c>
      <c r="AF1131" s="13">
        <v>7</v>
      </c>
      <c r="AG1131" s="13">
        <v>3</v>
      </c>
      <c r="AH1131" s="13">
        <v>0</v>
      </c>
      <c r="AI1131" s="13">
        <v>0</v>
      </c>
      <c r="AJ1131" s="13">
        <v>0</v>
      </c>
      <c r="AK1131" s="13">
        <v>0</v>
      </c>
      <c r="AL1131" s="13">
        <v>0</v>
      </c>
      <c r="AM1131" s="13">
        <v>0</v>
      </c>
      <c r="AN1131" s="13">
        <v>0</v>
      </c>
      <c r="AO1131" s="14">
        <v>0</v>
      </c>
      <c r="AP1131" s="13">
        <v>3</v>
      </c>
      <c r="AQ1131" s="13">
        <v>11</v>
      </c>
      <c r="AR1131" s="15">
        <v>283</v>
      </c>
      <c r="AS1131" s="15">
        <v>307</v>
      </c>
    </row>
    <row r="1132" spans="1:45" x14ac:dyDescent="0.25">
      <c r="A1132">
        <v>439</v>
      </c>
      <c r="B1132" s="11">
        <f t="shared" si="17"/>
        <v>38988</v>
      </c>
      <c r="C1132" s="16">
        <v>389880</v>
      </c>
      <c r="D1132" s="17">
        <v>1</v>
      </c>
      <c r="E1132" s="17">
        <v>2</v>
      </c>
      <c r="F1132" s="17">
        <v>90</v>
      </c>
      <c r="G1132" s="17">
        <v>48</v>
      </c>
      <c r="H1132" s="13" t="str" cm="1">
        <f t="array" ref="H1132">_xlfn.IFS(G1132&lt;=20,"0-20",G1132&lt;=30,"20-30",G1132&lt;=40,"30-40",G1132&lt;=50,"50-60",G1132&lt;=60,"60-70",G1132&lt;=70,"70-80",G1132&lt;=80,"80-90")</f>
        <v>50-60</v>
      </c>
      <c r="I1132" s="17">
        <v>2837</v>
      </c>
      <c r="J1132" s="13" t="str" cm="1">
        <f t="array" ref="J1132">_xlfn.IFS(K1132=1,"Divorciado",L1132=1,"Casado",M1132=1,"Solteiro",N1132=1,"Juntos",O1132=1,"Viuvo")</f>
        <v>Casado</v>
      </c>
      <c r="K1132" s="17">
        <v>0</v>
      </c>
      <c r="L1132" s="17">
        <v>1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1</v>
      </c>
      <c r="S1132" s="17">
        <v>0</v>
      </c>
      <c r="T1132" s="17">
        <v>0</v>
      </c>
      <c r="U1132" s="17">
        <v>164</v>
      </c>
      <c r="V1132" s="13" t="str" cm="1">
        <f t="array" ref="V1132">_xlfn.IFS(U1132&lt;=250,"0-R$250",U1132&lt;=500,"251-R$500",U1132&lt;=750,"501-R$750",U1132&lt;=1000,"751-R$1000",U1132&lt;=1250,"1001-R$1250",U1132&lt;=1500,"1251-R$1500")</f>
        <v>0-R$250</v>
      </c>
      <c r="W1132" s="17">
        <v>24</v>
      </c>
      <c r="X1132" s="13" t="str" cm="1">
        <f t="array" ref="X1132">_xlfn.IFS(W1132 = 0, "0", W1132&lt;=20, "até R$20",W1132&lt;=40, "21 - R$40",W1132&lt;=60, "41- R$60",W1132&lt;=80, "61 - R$80", W1132&lt;=100, "81 - R$100",W1132&lt;=120, "101 - R$120",W1132&lt;=140, "121 - R$140", W1132&lt;=160, "141- R$160", W1132&lt;=180, "161 - R$180", W1132&lt;=200, "181-R$194")</f>
        <v>21 - R$40</v>
      </c>
      <c r="Y1132" s="17">
        <v>103</v>
      </c>
      <c r="Z1132" s="17">
        <v>12</v>
      </c>
      <c r="AA1132" s="17">
        <v>3</v>
      </c>
      <c r="AB1132" s="17">
        <v>42</v>
      </c>
      <c r="AC1132" s="17">
        <v>7</v>
      </c>
      <c r="AD1132" s="17">
        <v>5</v>
      </c>
      <c r="AE1132" s="17">
        <v>1</v>
      </c>
      <c r="AF1132" s="17">
        <v>6</v>
      </c>
      <c r="AG1132" s="17">
        <v>8</v>
      </c>
      <c r="AH1132" s="17">
        <v>0</v>
      </c>
      <c r="AI1132" s="17">
        <v>0</v>
      </c>
      <c r="AJ1132" s="17">
        <v>0</v>
      </c>
      <c r="AK1132" s="17">
        <v>0</v>
      </c>
      <c r="AL1132" s="17">
        <v>0</v>
      </c>
      <c r="AM1132" s="17">
        <v>0</v>
      </c>
      <c r="AN1132" s="17">
        <v>0</v>
      </c>
      <c r="AO1132" s="18">
        <v>0</v>
      </c>
      <c r="AP1132" s="17">
        <v>3</v>
      </c>
      <c r="AQ1132" s="17">
        <v>11</v>
      </c>
      <c r="AR1132" s="19">
        <v>264</v>
      </c>
      <c r="AS1132" s="19">
        <v>306</v>
      </c>
    </row>
    <row r="1133" spans="1:45" x14ac:dyDescent="0.25">
      <c r="A1133">
        <v>1090</v>
      </c>
      <c r="B1133" s="11">
        <f t="shared" si="17"/>
        <v>66480</v>
      </c>
      <c r="C1133" s="12">
        <v>664800</v>
      </c>
      <c r="D1133" s="13">
        <v>1</v>
      </c>
      <c r="E1133" s="13">
        <v>1</v>
      </c>
      <c r="F1133" s="13">
        <v>71</v>
      </c>
      <c r="G1133" s="13">
        <v>55</v>
      </c>
      <c r="H1133" s="13" t="str" cm="1">
        <f t="array" ref="H1133">_xlfn.IFS(G1133&lt;=20,"0-20",G1133&lt;=30,"20-30",G1133&lt;=40,"30-40",G1133&lt;=50,"50-60",G1133&lt;=60,"60-70",G1133&lt;=70,"70-80",G1133&lt;=80,"80-90")</f>
        <v>60-70</v>
      </c>
      <c r="I1133" s="13">
        <v>2188</v>
      </c>
      <c r="J1133" s="13" t="str" cm="1">
        <f t="array" ref="J1133">_xlfn.IFS(K1133=1,"Divorciado",L1133=1,"Casado",M1133=1,"Solteiro",N1133=1,"Juntos",O1133=1,"Viuvo")</f>
        <v>Casado</v>
      </c>
      <c r="K1133" s="13">
        <v>0</v>
      </c>
      <c r="L1133" s="13">
        <v>1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1</v>
      </c>
      <c r="S1133" s="13">
        <v>0</v>
      </c>
      <c r="T1133" s="13">
        <v>0</v>
      </c>
      <c r="U1133" s="13">
        <v>199</v>
      </c>
      <c r="V1133" s="13" t="str" cm="1">
        <f t="array" ref="V1133">_xlfn.IFS(U1133&lt;=250,"0-R$250",U1133&lt;=500,"251-R$500",U1133&lt;=750,"501-R$750",U1133&lt;=1000,"751-R$1000",U1133&lt;=1250,"1001-R$1250",U1133&lt;=1500,"1251-R$1500")</f>
        <v>0-R$250</v>
      </c>
      <c r="W1133" s="13">
        <v>9</v>
      </c>
      <c r="X1133" s="13" t="str" cm="1">
        <f t="array" ref="X1133">_xlfn.IFS(W1133 = 0, "0", W1133&lt;=20, "até R$20",W1133&lt;=40, "21 - R$40",W1133&lt;=60, "41- R$60",W1133&lt;=80, "61 - R$80", W1133&lt;=100, "81 - R$100",W1133&lt;=120, "101 - R$120",W1133&lt;=140, "121 - R$140", W1133&lt;=160, "141- R$160", W1133&lt;=180, "161 - R$180", W1133&lt;=200, "181-R$194")</f>
        <v>até R$20</v>
      </c>
      <c r="Y1133" s="13">
        <v>57</v>
      </c>
      <c r="Z1133" s="13">
        <v>20</v>
      </c>
      <c r="AA1133" s="13">
        <v>21</v>
      </c>
      <c r="AB1133" s="13">
        <v>6</v>
      </c>
      <c r="AC1133" s="13">
        <v>7</v>
      </c>
      <c r="AD1133" s="13">
        <v>4</v>
      </c>
      <c r="AE1133" s="13">
        <v>1</v>
      </c>
      <c r="AF1133" s="13">
        <v>7</v>
      </c>
      <c r="AG1133" s="13">
        <v>4</v>
      </c>
      <c r="AH1133" s="13">
        <v>0</v>
      </c>
      <c r="AI1133" s="13">
        <v>0</v>
      </c>
      <c r="AJ1133" s="13">
        <v>0</v>
      </c>
      <c r="AK1133" s="13">
        <v>0</v>
      </c>
      <c r="AL1133" s="13">
        <v>0</v>
      </c>
      <c r="AM1133" s="13">
        <v>0</v>
      </c>
      <c r="AN1133" s="13">
        <v>0</v>
      </c>
      <c r="AO1133" s="14">
        <v>0</v>
      </c>
      <c r="AP1133" s="13">
        <v>3</v>
      </c>
      <c r="AQ1133" s="13">
        <v>11</v>
      </c>
      <c r="AR1133" s="15">
        <v>300</v>
      </c>
      <c r="AS1133" s="15">
        <v>306</v>
      </c>
    </row>
    <row r="1134" spans="1:45" x14ac:dyDescent="0.25">
      <c r="A1134">
        <v>1225</v>
      </c>
      <c r="B1134" s="11">
        <f t="shared" si="17"/>
        <v>27683</v>
      </c>
      <c r="C1134" s="16">
        <v>276830</v>
      </c>
      <c r="D1134" s="17">
        <v>1</v>
      </c>
      <c r="E1134" s="17">
        <v>0</v>
      </c>
      <c r="F1134" s="17">
        <v>90</v>
      </c>
      <c r="G1134" s="17">
        <v>42</v>
      </c>
      <c r="H1134" s="13" t="str" cm="1">
        <f t="array" ref="H1134">_xlfn.IFS(G1134&lt;=20,"0-20",G1134&lt;=30,"20-30",G1134&lt;=40,"30-40",G1134&lt;=50,"50-60",G1134&lt;=60,"60-70",G1134&lt;=70,"70-80",G1134&lt;=80,"80-90")</f>
        <v>50-60</v>
      </c>
      <c r="I1134" s="17">
        <v>2853</v>
      </c>
      <c r="J1134" s="13" t="str" cm="1">
        <f t="array" ref="J1134">_xlfn.IFS(K1134=1,"Divorciado",L1134=1,"Casado",M1134=1,"Solteiro",N1134=1,"Juntos",O1134=1,"Viuvo")</f>
        <v>Juntos</v>
      </c>
      <c r="K1134" s="17">
        <v>0</v>
      </c>
      <c r="L1134" s="17">
        <v>0</v>
      </c>
      <c r="M1134" s="17">
        <v>0</v>
      </c>
      <c r="N1134" s="17">
        <v>1</v>
      </c>
      <c r="O1134" s="17">
        <v>0</v>
      </c>
      <c r="P1134" s="17">
        <v>0</v>
      </c>
      <c r="Q1134" s="17">
        <v>0</v>
      </c>
      <c r="R1134" s="17">
        <v>0</v>
      </c>
      <c r="S1134" s="17">
        <v>0</v>
      </c>
      <c r="T1134" s="17">
        <v>1</v>
      </c>
      <c r="U1134" s="17">
        <v>152</v>
      </c>
      <c r="V1134" s="13" t="str" cm="1">
        <f t="array" ref="V1134">_xlfn.IFS(U1134&lt;=250,"0-R$250",U1134&lt;=500,"251-R$500",U1134&lt;=750,"501-R$750",U1134&lt;=1000,"751-R$1000",U1134&lt;=1250,"1001-R$1250",U1134&lt;=1500,"1251-R$1500")</f>
        <v>0-R$250</v>
      </c>
      <c r="W1134" s="17">
        <v>9</v>
      </c>
      <c r="X1134" s="13" t="str" cm="1">
        <f t="array" ref="X1134">_xlfn.IFS(W1134 = 0, "0", W1134&lt;=20, "até R$20",W1134&lt;=40, "21 - R$40",W1134&lt;=60, "41- R$60",W1134&lt;=80, "61 - R$80", W1134&lt;=100, "81 - R$100",W1134&lt;=120, "101 - R$120",W1134&lt;=140, "121 - R$140", W1134&lt;=160, "141- R$160", W1134&lt;=180, "161 - R$180", W1134&lt;=200, "181-R$194")</f>
        <v>até R$20</v>
      </c>
      <c r="Y1134" s="17">
        <v>121</v>
      </c>
      <c r="Z1134" s="17">
        <v>12</v>
      </c>
      <c r="AA1134" s="17">
        <v>12</v>
      </c>
      <c r="AB1134" s="17">
        <v>45</v>
      </c>
      <c r="AC1134" s="17">
        <v>4</v>
      </c>
      <c r="AD1134" s="17">
        <v>6</v>
      </c>
      <c r="AE1134" s="17">
        <v>2</v>
      </c>
      <c r="AF1134" s="17">
        <v>4</v>
      </c>
      <c r="AG1134" s="17">
        <v>8</v>
      </c>
      <c r="AH1134" s="17">
        <v>0</v>
      </c>
      <c r="AI1134" s="17">
        <v>0</v>
      </c>
      <c r="AJ1134" s="17">
        <v>0</v>
      </c>
      <c r="AK1134" s="17">
        <v>0</v>
      </c>
      <c r="AL1134" s="17">
        <v>0</v>
      </c>
      <c r="AM1134" s="17">
        <v>0</v>
      </c>
      <c r="AN1134" s="17">
        <v>0</v>
      </c>
      <c r="AO1134" s="18">
        <v>0</v>
      </c>
      <c r="AP1134" s="17">
        <v>3</v>
      </c>
      <c r="AQ1134" s="17">
        <v>11</v>
      </c>
      <c r="AR1134" s="19">
        <v>261</v>
      </c>
      <c r="AS1134" s="19">
        <v>306</v>
      </c>
    </row>
    <row r="1135" spans="1:45" x14ac:dyDescent="0.25">
      <c r="A1135">
        <v>1699</v>
      </c>
      <c r="B1135" s="11">
        <f t="shared" si="17"/>
        <v>38513</v>
      </c>
      <c r="C1135" s="16">
        <v>385130</v>
      </c>
      <c r="D1135" s="17">
        <v>1</v>
      </c>
      <c r="E1135" s="17">
        <v>0</v>
      </c>
      <c r="F1135" s="17">
        <v>20</v>
      </c>
      <c r="G1135" s="17">
        <v>38</v>
      </c>
      <c r="H1135" s="13" t="str" cm="1">
        <f t="array" ref="H1135">_xlfn.IFS(G1135&lt;=20,"0-20",G1135&lt;=30,"20-30",G1135&lt;=40,"30-40",G1135&lt;=50,"50-60",G1135&lt;=60,"60-70",G1135&lt;=70,"70-80",G1135&lt;=80,"80-90")</f>
        <v>30-40</v>
      </c>
      <c r="I1135" s="17">
        <v>2311</v>
      </c>
      <c r="J1135" s="13" t="str" cm="1">
        <f t="array" ref="J1135">_xlfn.IFS(K1135=1,"Divorciado",L1135=1,"Casado",M1135=1,"Solteiro",N1135=1,"Juntos",O1135=1,"Viuvo")</f>
        <v>Solteiro</v>
      </c>
      <c r="K1135" s="17">
        <v>0</v>
      </c>
      <c r="L1135" s="17">
        <v>0</v>
      </c>
      <c r="M1135" s="17">
        <v>1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1</v>
      </c>
      <c r="U1135" s="17">
        <v>172</v>
      </c>
      <c r="V1135" s="13" t="str" cm="1">
        <f t="array" ref="V1135">_xlfn.IFS(U1135&lt;=250,"0-R$250",U1135&lt;=500,"251-R$500",U1135&lt;=750,"501-R$750",U1135&lt;=1000,"751-R$1000",U1135&lt;=1250,"1001-R$1250",U1135&lt;=1500,"1251-R$1500")</f>
        <v>0-R$250</v>
      </c>
      <c r="W1135" s="17">
        <v>3</v>
      </c>
      <c r="X1135" s="13" t="str" cm="1">
        <f t="array" ref="X1135">_xlfn.IFS(W1135 = 0, "0", W1135&lt;=20, "até R$20",W1135&lt;=40, "21 - R$40",W1135&lt;=60, "41- R$60",W1135&lt;=80, "61 - R$80", W1135&lt;=100, "81 - R$100",W1135&lt;=120, "101 - R$120",W1135&lt;=140, "121 - R$140", W1135&lt;=160, "141- R$160", W1135&lt;=180, "161 - R$180", W1135&lt;=200, "181-R$194")</f>
        <v>até R$20</v>
      </c>
      <c r="Y1135" s="17">
        <v>115</v>
      </c>
      <c r="Z1135" s="17">
        <v>16</v>
      </c>
      <c r="AA1135" s="17">
        <v>0</v>
      </c>
      <c r="AB1135" s="17">
        <v>18</v>
      </c>
      <c r="AC1135" s="17">
        <v>5</v>
      </c>
      <c r="AD1135" s="17">
        <v>6</v>
      </c>
      <c r="AE1135" s="17">
        <v>1</v>
      </c>
      <c r="AF1135" s="17">
        <v>5</v>
      </c>
      <c r="AG1135" s="17">
        <v>8</v>
      </c>
      <c r="AH1135" s="17">
        <v>0</v>
      </c>
      <c r="AI1135" s="17">
        <v>0</v>
      </c>
      <c r="AJ1135" s="17">
        <v>0</v>
      </c>
      <c r="AK1135" s="17">
        <v>0</v>
      </c>
      <c r="AL1135" s="17">
        <v>0</v>
      </c>
      <c r="AM1135" s="17">
        <v>0</v>
      </c>
      <c r="AN1135" s="17">
        <v>1</v>
      </c>
      <c r="AO1135" s="18">
        <v>0</v>
      </c>
      <c r="AP1135" s="17">
        <v>3</v>
      </c>
      <c r="AQ1135" s="17">
        <v>11</v>
      </c>
      <c r="AR1135" s="19">
        <v>288</v>
      </c>
      <c r="AS1135" s="19">
        <v>306</v>
      </c>
    </row>
    <row r="1136" spans="1:45" x14ac:dyDescent="0.25">
      <c r="A1136">
        <v>1320</v>
      </c>
      <c r="B1136" s="11">
        <f t="shared" si="17"/>
        <v>50127</v>
      </c>
      <c r="C1136" s="12">
        <v>501270</v>
      </c>
      <c r="D1136" s="13">
        <v>0</v>
      </c>
      <c r="E1136" s="13">
        <v>1</v>
      </c>
      <c r="F1136" s="13">
        <v>88</v>
      </c>
      <c r="G1136" s="13">
        <v>58</v>
      </c>
      <c r="H1136" s="13" t="str" cm="1">
        <f t="array" ref="H1136">_xlfn.IFS(G1136&lt;=20,"0-20",G1136&lt;=30,"20-30",G1136&lt;=40,"30-40",G1136&lt;=50,"50-60",G1136&lt;=60,"60-70",G1136&lt;=70,"70-80",G1136&lt;=80,"80-90")</f>
        <v>60-70</v>
      </c>
      <c r="I1136" s="13">
        <v>2190</v>
      </c>
      <c r="J1136" s="13" t="str" cm="1">
        <f t="array" ref="J1136">_xlfn.IFS(K1136=1,"Divorciado",L1136=1,"Casado",M1136=1,"Solteiro",N1136=1,"Juntos",O1136=1,"Viuvo")</f>
        <v>Juntos</v>
      </c>
      <c r="K1136" s="13">
        <v>0</v>
      </c>
      <c r="L1136" s="13">
        <v>0</v>
      </c>
      <c r="M1136" s="13">
        <v>0</v>
      </c>
      <c r="N1136" s="13">
        <v>1</v>
      </c>
      <c r="O1136" s="13">
        <v>0</v>
      </c>
      <c r="P1136" s="13">
        <v>0</v>
      </c>
      <c r="Q1136" s="13">
        <v>0</v>
      </c>
      <c r="R1136" s="13">
        <v>1</v>
      </c>
      <c r="S1136" s="13">
        <v>0</v>
      </c>
      <c r="T1136" s="13">
        <v>0</v>
      </c>
      <c r="U1136" s="13">
        <v>274</v>
      </c>
      <c r="V1136" s="13" t="str" cm="1">
        <f t="array" ref="V1136">_xlfn.IFS(U1136&lt;=250,"0-R$250",U1136&lt;=500,"251-R$500",U1136&lt;=750,"501-R$750",U1136&lt;=1000,"751-R$1000",U1136&lt;=1250,"1001-R$1250",U1136&lt;=1500,"1251-R$1500")</f>
        <v>251-R$500</v>
      </c>
      <c r="W1136" s="13">
        <v>0</v>
      </c>
      <c r="X1136" s="13" t="str" cm="1">
        <f t="array" ref="X1136">_xlfn.IFS(W1136 = 0, "0", W1136&lt;=20, "até R$20",W1136&lt;=40, "21 - R$40",W1136&lt;=60, "41- R$60",W1136&lt;=80, "61 - R$80", W1136&lt;=100, "81 - R$100",W1136&lt;=120, "101 - R$120",W1136&lt;=140, "121 - R$140", W1136&lt;=160, "141- R$160", W1136&lt;=180, "161 - R$180", W1136&lt;=200, "181-R$194")</f>
        <v>0</v>
      </c>
      <c r="Y1136" s="13">
        <v>21</v>
      </c>
      <c r="Z1136" s="13">
        <v>4</v>
      </c>
      <c r="AA1136" s="13">
        <v>6</v>
      </c>
      <c r="AB1136" s="13">
        <v>15</v>
      </c>
      <c r="AC1136" s="13">
        <v>1</v>
      </c>
      <c r="AD1136" s="13">
        <v>5</v>
      </c>
      <c r="AE1136" s="13">
        <v>1</v>
      </c>
      <c r="AF1136" s="13">
        <v>6</v>
      </c>
      <c r="AG1136" s="13">
        <v>6</v>
      </c>
      <c r="AH1136" s="13">
        <v>0</v>
      </c>
      <c r="AI1136" s="13">
        <v>0</v>
      </c>
      <c r="AJ1136" s="13">
        <v>1</v>
      </c>
      <c r="AK1136" s="13">
        <v>0</v>
      </c>
      <c r="AL1136" s="13">
        <v>0</v>
      </c>
      <c r="AM1136" s="13">
        <v>0</v>
      </c>
      <c r="AN1136" s="13">
        <v>0</v>
      </c>
      <c r="AO1136" s="14">
        <v>1</v>
      </c>
      <c r="AP1136" s="13">
        <v>3</v>
      </c>
      <c r="AQ1136" s="13">
        <v>11</v>
      </c>
      <c r="AR1136" s="15">
        <v>290</v>
      </c>
      <c r="AS1136" s="15">
        <v>305</v>
      </c>
    </row>
    <row r="1137" spans="1:45" x14ac:dyDescent="0.25">
      <c r="A1137">
        <v>1631</v>
      </c>
      <c r="B1137" s="11">
        <f t="shared" si="17"/>
        <v>36634</v>
      </c>
      <c r="C1137" s="16">
        <v>366340</v>
      </c>
      <c r="D1137" s="17">
        <v>0</v>
      </c>
      <c r="E1137" s="17">
        <v>1</v>
      </c>
      <c r="F1137" s="17">
        <v>0</v>
      </c>
      <c r="G1137" s="17">
        <v>66</v>
      </c>
      <c r="H1137" s="13" t="str" cm="1">
        <f t="array" ref="H1137">_xlfn.IFS(G1137&lt;=20,"0-20",G1137&lt;=30,"20-30",G1137&lt;=40,"30-40",G1137&lt;=50,"50-60",G1137&lt;=60,"60-70",G1137&lt;=70,"70-80",G1137&lt;=80,"80-90")</f>
        <v>70-80</v>
      </c>
      <c r="I1137" s="17">
        <v>2556</v>
      </c>
      <c r="J1137" s="13" t="str" cm="1">
        <f t="array" ref="J1137">_xlfn.IFS(K1137=1,"Divorciado",L1137=1,"Casado",M1137=1,"Solteiro",N1137=1,"Juntos",O1137=1,"Viuvo")</f>
        <v>Juntos</v>
      </c>
      <c r="K1137" s="17">
        <v>0</v>
      </c>
      <c r="L1137" s="17">
        <v>0</v>
      </c>
      <c r="M1137" s="17">
        <v>0</v>
      </c>
      <c r="N1137" s="17">
        <v>1</v>
      </c>
      <c r="O1137" s="17">
        <v>0</v>
      </c>
      <c r="P1137" s="17">
        <v>0</v>
      </c>
      <c r="Q1137" s="17">
        <v>0</v>
      </c>
      <c r="R1137" s="17">
        <v>0</v>
      </c>
      <c r="S1137" s="17">
        <v>1</v>
      </c>
      <c r="T1137" s="17">
        <v>0</v>
      </c>
      <c r="U1137" s="17">
        <v>213</v>
      </c>
      <c r="V1137" s="13" t="str" cm="1">
        <f t="array" ref="V1137">_xlfn.IFS(U1137&lt;=250,"0-R$250",U1137&lt;=500,"251-R$500",U1137&lt;=750,"501-R$750",U1137&lt;=1000,"751-R$1000",U1137&lt;=1250,"1001-R$1250",U1137&lt;=1500,"1251-R$1500")</f>
        <v>0-R$250</v>
      </c>
      <c r="W1137" s="17">
        <v>9</v>
      </c>
      <c r="X1137" s="13" t="str" cm="1">
        <f t="array" ref="X1137">_xlfn.IFS(W1137 = 0, "0", W1137&lt;=20, "até R$20",W1137&lt;=40, "21 - R$40",W1137&lt;=60, "41- R$60",W1137&lt;=80, "61 - R$80", W1137&lt;=100, "81 - R$100",W1137&lt;=120, "101 - R$120",W1137&lt;=140, "121 - R$140", W1137&lt;=160, "141- R$160", W1137&lt;=180, "161 - R$180", W1137&lt;=200, "181-R$194")</f>
        <v>até R$20</v>
      </c>
      <c r="Y1137" s="17">
        <v>76</v>
      </c>
      <c r="Z1137" s="17">
        <v>4</v>
      </c>
      <c r="AA1137" s="17">
        <v>3</v>
      </c>
      <c r="AB1137" s="17">
        <v>30</v>
      </c>
      <c r="AC1137" s="17">
        <v>3</v>
      </c>
      <c r="AD1137" s="17">
        <v>5</v>
      </c>
      <c r="AE1137" s="17">
        <v>2</v>
      </c>
      <c r="AF1137" s="17">
        <v>5</v>
      </c>
      <c r="AG1137" s="17">
        <v>7</v>
      </c>
      <c r="AH1137" s="17">
        <v>0</v>
      </c>
      <c r="AI1137" s="17">
        <v>0</v>
      </c>
      <c r="AJ1137" s="17">
        <v>0</v>
      </c>
      <c r="AK1137" s="17">
        <v>0</v>
      </c>
      <c r="AL1137" s="17">
        <v>0</v>
      </c>
      <c r="AM1137" s="17">
        <v>0</v>
      </c>
      <c r="AN1137" s="17">
        <v>0</v>
      </c>
      <c r="AO1137" s="18">
        <v>0</v>
      </c>
      <c r="AP1137" s="17">
        <v>3</v>
      </c>
      <c r="AQ1137" s="17">
        <v>11</v>
      </c>
      <c r="AR1137" s="19">
        <v>275</v>
      </c>
      <c r="AS1137" s="19">
        <v>305</v>
      </c>
    </row>
    <row r="1138" spans="1:45" x14ac:dyDescent="0.25">
      <c r="A1138">
        <v>519</v>
      </c>
      <c r="B1138" s="11">
        <f t="shared" si="17"/>
        <v>47352</v>
      </c>
      <c r="C1138" s="16">
        <v>473520</v>
      </c>
      <c r="D1138" s="17">
        <v>0</v>
      </c>
      <c r="E1138" s="17">
        <v>1</v>
      </c>
      <c r="F1138" s="17">
        <v>70</v>
      </c>
      <c r="G1138" s="17">
        <v>69</v>
      </c>
      <c r="H1138" s="13" t="str" cm="1">
        <f t="array" ref="H1138">_xlfn.IFS(G1138&lt;=20,"0-20",G1138&lt;=30,"20-30",G1138&lt;=40,"30-40",G1138&lt;=50,"50-60",G1138&lt;=60,"60-70",G1138&lt;=70,"70-80",G1138&lt;=80,"80-90")</f>
        <v>70-80</v>
      </c>
      <c r="I1138" s="17">
        <v>2603</v>
      </c>
      <c r="J1138" s="13" t="str" cm="1">
        <f t="array" ref="J1138">_xlfn.IFS(K1138=1,"Divorciado",L1138=1,"Casado",M1138=1,"Solteiro",N1138=1,"Juntos",O1138=1,"Viuvo")</f>
        <v>Juntos</v>
      </c>
      <c r="K1138" s="17">
        <v>0</v>
      </c>
      <c r="L1138" s="17">
        <v>0</v>
      </c>
      <c r="M1138" s="17">
        <v>0</v>
      </c>
      <c r="N1138" s="17">
        <v>1</v>
      </c>
      <c r="O1138" s="17">
        <v>0</v>
      </c>
      <c r="P1138" s="17">
        <v>0</v>
      </c>
      <c r="Q1138" s="17">
        <v>0</v>
      </c>
      <c r="R1138" s="17">
        <v>0</v>
      </c>
      <c r="S1138" s="17">
        <v>1</v>
      </c>
      <c r="T1138" s="17">
        <v>0</v>
      </c>
      <c r="U1138" s="17">
        <v>172</v>
      </c>
      <c r="V1138" s="13" t="str" cm="1">
        <f t="array" ref="V1138">_xlfn.IFS(U1138&lt;=250,"0-R$250",U1138&lt;=500,"251-R$500",U1138&lt;=750,"501-R$750",U1138&lt;=1000,"751-R$1000",U1138&lt;=1250,"1001-R$1250",U1138&lt;=1500,"1251-R$1500")</f>
        <v>0-R$250</v>
      </c>
      <c r="W1138" s="17">
        <v>12</v>
      </c>
      <c r="X1138" s="13" t="str" cm="1">
        <f t="array" ref="X1138">_xlfn.IFS(W1138 = 0, "0", W1138&lt;=20, "até R$20",W1138&lt;=40, "21 - R$40",W1138&lt;=60, "41- R$60",W1138&lt;=80, "61 - R$80", W1138&lt;=100, "81 - R$100",W1138&lt;=120, "101 - R$120",W1138&lt;=140, "121 - R$140", W1138&lt;=160, "141- R$160", W1138&lt;=180, "161 - R$180", W1138&lt;=200, "181-R$194")</f>
        <v>até R$20</v>
      </c>
      <c r="Y1138" s="17">
        <v>112</v>
      </c>
      <c r="Z1138" s="17">
        <v>8</v>
      </c>
      <c r="AA1138" s="17">
        <v>0</v>
      </c>
      <c r="AB1138" s="17">
        <v>15</v>
      </c>
      <c r="AC1138" s="17">
        <v>4</v>
      </c>
      <c r="AD1138" s="17">
        <v>6</v>
      </c>
      <c r="AE1138" s="17">
        <v>1</v>
      </c>
      <c r="AF1138" s="17">
        <v>5</v>
      </c>
      <c r="AG1138" s="17">
        <v>7</v>
      </c>
      <c r="AH1138" s="17">
        <v>0</v>
      </c>
      <c r="AI1138" s="17">
        <v>0</v>
      </c>
      <c r="AJ1138" s="17">
        <v>0</v>
      </c>
      <c r="AK1138" s="17">
        <v>0</v>
      </c>
      <c r="AL1138" s="17">
        <v>0</v>
      </c>
      <c r="AM1138" s="17">
        <v>0</v>
      </c>
      <c r="AN1138" s="17">
        <v>0</v>
      </c>
      <c r="AO1138" s="18">
        <v>0</v>
      </c>
      <c r="AP1138" s="17">
        <v>3</v>
      </c>
      <c r="AQ1138" s="17">
        <v>11</v>
      </c>
      <c r="AR1138" s="19">
        <v>289</v>
      </c>
      <c r="AS1138" s="19">
        <v>304</v>
      </c>
    </row>
    <row r="1139" spans="1:45" x14ac:dyDescent="0.25">
      <c r="A1139">
        <v>526</v>
      </c>
      <c r="B1139" s="11">
        <f t="shared" si="17"/>
        <v>42710</v>
      </c>
      <c r="C1139" s="12">
        <v>427100</v>
      </c>
      <c r="D1139" s="13">
        <v>1</v>
      </c>
      <c r="E1139" s="13">
        <v>0</v>
      </c>
      <c r="F1139" s="13">
        <v>38</v>
      </c>
      <c r="G1139" s="13">
        <v>36</v>
      </c>
      <c r="H1139" s="13" t="str" cm="1">
        <f t="array" ref="H1139">_xlfn.IFS(G1139&lt;=20,"0-20",G1139&lt;=30,"20-30",G1139&lt;=40,"30-40",G1139&lt;=50,"50-60",G1139&lt;=60,"60-70",G1139&lt;=70,"70-80",G1139&lt;=80,"80-90")</f>
        <v>30-40</v>
      </c>
      <c r="I1139" s="13">
        <v>2737</v>
      </c>
      <c r="J1139" s="13" t="str" cm="1">
        <f t="array" ref="J1139">_xlfn.IFS(K1139=1,"Divorciado",L1139=1,"Casado",M1139=1,"Solteiro",N1139=1,"Juntos",O1139=1,"Viuvo")</f>
        <v>Solteiro</v>
      </c>
      <c r="K1139" s="13">
        <v>0</v>
      </c>
      <c r="L1139" s="13">
        <v>0</v>
      </c>
      <c r="M1139" s="13">
        <v>1</v>
      </c>
      <c r="N1139" s="13">
        <v>0</v>
      </c>
      <c r="O1139" s="13">
        <v>0</v>
      </c>
      <c r="P1139" s="13">
        <v>0</v>
      </c>
      <c r="Q1139" s="13">
        <v>0</v>
      </c>
      <c r="R1139" s="13">
        <v>0</v>
      </c>
      <c r="S1139" s="13">
        <v>0</v>
      </c>
      <c r="T1139" s="13">
        <v>1</v>
      </c>
      <c r="U1139" s="13">
        <v>252</v>
      </c>
      <c r="V1139" s="13" t="str" cm="1">
        <f t="array" ref="V1139">_xlfn.IFS(U1139&lt;=250,"0-R$250",U1139&lt;=500,"251-R$500",U1139&lt;=750,"501-R$750",U1139&lt;=1000,"751-R$1000",U1139&lt;=1250,"1001-R$1250",U1139&lt;=1500,"1251-R$1500")</f>
        <v>251-R$500</v>
      </c>
      <c r="W1139" s="13">
        <v>3</v>
      </c>
      <c r="X1139" s="13" t="str" cm="1">
        <f t="array" ref="X1139">_xlfn.IFS(W1139 = 0, "0", W1139&lt;=20, "até R$20",W1139&lt;=40, "21 - R$40",W1139&lt;=60, "41- R$60",W1139&lt;=80, "61 - R$80", W1139&lt;=100, "81 - R$100",W1139&lt;=120, "101 - R$120",W1139&lt;=140, "121 - R$140", W1139&lt;=160, "141- R$160", W1139&lt;=180, "161 - R$180", W1139&lt;=200, "181-R$194")</f>
        <v>até R$20</v>
      </c>
      <c r="Y1139" s="13">
        <v>42</v>
      </c>
      <c r="Z1139" s="13">
        <v>4</v>
      </c>
      <c r="AA1139" s="13">
        <v>3</v>
      </c>
      <c r="AB1139" s="13">
        <v>102</v>
      </c>
      <c r="AC1139" s="13">
        <v>2</v>
      </c>
      <c r="AD1139" s="13">
        <v>4</v>
      </c>
      <c r="AE1139" s="13">
        <v>5</v>
      </c>
      <c r="AF1139" s="13">
        <v>3</v>
      </c>
      <c r="AG1139" s="13">
        <v>6</v>
      </c>
      <c r="AH1139" s="13">
        <v>0</v>
      </c>
      <c r="AI1139" s="13">
        <v>0</v>
      </c>
      <c r="AJ1139" s="13">
        <v>0</v>
      </c>
      <c r="AK1139" s="13">
        <v>0</v>
      </c>
      <c r="AL1139" s="13">
        <v>0</v>
      </c>
      <c r="AM1139" s="13">
        <v>0</v>
      </c>
      <c r="AN1139" s="13">
        <v>0</v>
      </c>
      <c r="AO1139" s="14">
        <v>0</v>
      </c>
      <c r="AP1139" s="13">
        <v>3</v>
      </c>
      <c r="AQ1139" s="13">
        <v>11</v>
      </c>
      <c r="AR1139" s="15">
        <v>202</v>
      </c>
      <c r="AS1139" s="15">
        <v>304</v>
      </c>
    </row>
    <row r="1140" spans="1:45" x14ac:dyDescent="0.25">
      <c r="A1140">
        <v>940</v>
      </c>
      <c r="B1140" s="11">
        <f t="shared" si="17"/>
        <v>54237</v>
      </c>
      <c r="C1140" s="12">
        <v>542370</v>
      </c>
      <c r="D1140" s="13">
        <v>0</v>
      </c>
      <c r="E1140" s="13">
        <v>1</v>
      </c>
      <c r="F1140" s="13">
        <v>48</v>
      </c>
      <c r="G1140" s="13">
        <v>63</v>
      </c>
      <c r="H1140" s="13" t="str" cm="1">
        <f t="array" ref="H1140">_xlfn.IFS(G1140&lt;=20,"0-20",G1140&lt;=30,"20-30",G1140&lt;=40,"30-40",G1140&lt;=50,"50-60",G1140&lt;=60,"60-70",G1140&lt;=70,"70-80",G1140&lt;=80,"80-90")</f>
        <v>70-80</v>
      </c>
      <c r="I1140" s="13">
        <v>2587</v>
      </c>
      <c r="J1140" s="13" t="str" cm="1">
        <f t="array" ref="J1140">_xlfn.IFS(K1140=1,"Divorciado",L1140=1,"Casado",M1140=1,"Solteiro",N1140=1,"Juntos",O1140=1,"Viuvo")</f>
        <v>Divorciado</v>
      </c>
      <c r="K1140" s="13">
        <v>1</v>
      </c>
      <c r="L1140" s="13">
        <v>0</v>
      </c>
      <c r="M1140" s="13">
        <v>0</v>
      </c>
      <c r="N1140" s="13">
        <v>0</v>
      </c>
      <c r="O1140" s="13">
        <v>0</v>
      </c>
      <c r="P1140" s="13">
        <v>0</v>
      </c>
      <c r="Q1140" s="13">
        <v>0</v>
      </c>
      <c r="R1140" s="13">
        <v>0</v>
      </c>
      <c r="S1140" s="13">
        <v>0</v>
      </c>
      <c r="T1140" s="13">
        <v>1</v>
      </c>
      <c r="U1140" s="13">
        <v>267</v>
      </c>
      <c r="V1140" s="13" t="str" cm="1">
        <f t="array" ref="V1140">_xlfn.IFS(U1140&lt;=250,"0-R$250",U1140&lt;=500,"251-R$500",U1140&lt;=750,"501-R$750",U1140&lt;=1000,"751-R$1000",U1140&lt;=1250,"1001-R$1250",U1140&lt;=1500,"1251-R$1500")</f>
        <v>251-R$500</v>
      </c>
      <c r="W1140" s="13">
        <v>3</v>
      </c>
      <c r="X1140" s="13" t="str" cm="1">
        <f t="array" ref="X1140">_xlfn.IFS(W1140 = 0, "0", W1140&lt;=20, "até R$20",W1140&lt;=40, "21 - R$40",W1140&lt;=60, "41- R$60",W1140&lt;=80, "61 - R$80", W1140&lt;=100, "81 - R$100",W1140&lt;=120, "101 - R$120",W1140&lt;=140, "121 - R$140", W1140&lt;=160, "141- R$160", W1140&lt;=180, "161 - R$180", W1140&lt;=200, "181-R$194")</f>
        <v>até R$20</v>
      </c>
      <c r="Y1140" s="13">
        <v>30</v>
      </c>
      <c r="Z1140" s="13">
        <v>4</v>
      </c>
      <c r="AA1140" s="13">
        <v>0</v>
      </c>
      <c r="AB1140" s="13">
        <v>57</v>
      </c>
      <c r="AC1140" s="13">
        <v>4</v>
      </c>
      <c r="AD1140" s="13">
        <v>5</v>
      </c>
      <c r="AE1140" s="13">
        <v>2</v>
      </c>
      <c r="AF1140" s="13">
        <v>5</v>
      </c>
      <c r="AG1140" s="13">
        <v>6</v>
      </c>
      <c r="AH1140" s="13">
        <v>0</v>
      </c>
      <c r="AI1140" s="13">
        <v>0</v>
      </c>
      <c r="AJ1140" s="13">
        <v>0</v>
      </c>
      <c r="AK1140" s="13">
        <v>0</v>
      </c>
      <c r="AL1140" s="13">
        <v>0</v>
      </c>
      <c r="AM1140" s="13">
        <v>0</v>
      </c>
      <c r="AN1140" s="13">
        <v>0</v>
      </c>
      <c r="AO1140" s="14">
        <v>0</v>
      </c>
      <c r="AP1140" s="13">
        <v>3</v>
      </c>
      <c r="AQ1140" s="13">
        <v>11</v>
      </c>
      <c r="AR1140" s="15">
        <v>247</v>
      </c>
      <c r="AS1140" s="15">
        <v>304</v>
      </c>
    </row>
    <row r="1141" spans="1:45" x14ac:dyDescent="0.25">
      <c r="A1141">
        <v>1382</v>
      </c>
      <c r="B1141" s="11">
        <f t="shared" si="17"/>
        <v>47352</v>
      </c>
      <c r="C1141" s="12">
        <v>473520</v>
      </c>
      <c r="D1141" s="13">
        <v>0</v>
      </c>
      <c r="E1141" s="13">
        <v>1</v>
      </c>
      <c r="F1141" s="13">
        <v>70</v>
      </c>
      <c r="G1141" s="13">
        <v>69</v>
      </c>
      <c r="H1141" s="13" t="str" cm="1">
        <f t="array" ref="H1141">_xlfn.IFS(G1141&lt;=20,"0-20",G1141&lt;=30,"20-30",G1141&lt;=40,"30-40",G1141&lt;=50,"50-60",G1141&lt;=60,"60-70",G1141&lt;=70,"70-80",G1141&lt;=80,"80-90")</f>
        <v>70-80</v>
      </c>
      <c r="I1141" s="13">
        <v>2603</v>
      </c>
      <c r="J1141" s="13" t="str" cm="1">
        <f t="array" ref="J1141">_xlfn.IFS(K1141=1,"Divorciado",L1141=1,"Casado",M1141=1,"Solteiro",N1141=1,"Juntos",O1141=1,"Viuvo")</f>
        <v>Juntos</v>
      </c>
      <c r="K1141" s="13">
        <v>0</v>
      </c>
      <c r="L1141" s="13">
        <v>0</v>
      </c>
      <c r="M1141" s="13">
        <v>0</v>
      </c>
      <c r="N1141" s="13">
        <v>1</v>
      </c>
      <c r="O1141" s="13">
        <v>0</v>
      </c>
      <c r="P1141" s="13">
        <v>0</v>
      </c>
      <c r="Q1141" s="13">
        <v>0</v>
      </c>
      <c r="R1141" s="13">
        <v>0</v>
      </c>
      <c r="S1141" s="13">
        <v>1</v>
      </c>
      <c r="T1141" s="13">
        <v>0</v>
      </c>
      <c r="U1141" s="13">
        <v>172</v>
      </c>
      <c r="V1141" s="13" t="str" cm="1">
        <f t="array" ref="V1141">_xlfn.IFS(U1141&lt;=250,"0-R$250",U1141&lt;=500,"251-R$500",U1141&lt;=750,"501-R$750",U1141&lt;=1000,"751-R$1000",U1141&lt;=1250,"1001-R$1250",U1141&lt;=1500,"1251-R$1500")</f>
        <v>0-R$250</v>
      </c>
      <c r="W1141" s="13">
        <v>12</v>
      </c>
      <c r="X1141" s="13" t="str" cm="1">
        <f t="array" ref="X1141">_xlfn.IFS(W1141 = 0, "0", W1141&lt;=20, "até R$20",W1141&lt;=40, "21 - R$40",W1141&lt;=60, "41- R$60",W1141&lt;=80, "61 - R$80", W1141&lt;=100, "81 - R$100",W1141&lt;=120, "101 - R$120",W1141&lt;=140, "121 - R$140", W1141&lt;=160, "141- R$160", W1141&lt;=180, "161 - R$180", W1141&lt;=200, "181-R$194")</f>
        <v>até R$20</v>
      </c>
      <c r="Y1141" s="13">
        <v>112</v>
      </c>
      <c r="Z1141" s="13">
        <v>8</v>
      </c>
      <c r="AA1141" s="13">
        <v>0</v>
      </c>
      <c r="AB1141" s="13">
        <v>15</v>
      </c>
      <c r="AC1141" s="13">
        <v>4</v>
      </c>
      <c r="AD1141" s="13">
        <v>6</v>
      </c>
      <c r="AE1141" s="13">
        <v>1</v>
      </c>
      <c r="AF1141" s="13">
        <v>5</v>
      </c>
      <c r="AG1141" s="13">
        <v>7</v>
      </c>
      <c r="AH1141" s="13">
        <v>0</v>
      </c>
      <c r="AI1141" s="13">
        <v>0</v>
      </c>
      <c r="AJ1141" s="13">
        <v>0</v>
      </c>
      <c r="AK1141" s="13">
        <v>0</v>
      </c>
      <c r="AL1141" s="13">
        <v>0</v>
      </c>
      <c r="AM1141" s="13">
        <v>0</v>
      </c>
      <c r="AN1141" s="13">
        <v>0</v>
      </c>
      <c r="AO1141" s="14">
        <v>0</v>
      </c>
      <c r="AP1141" s="13">
        <v>3</v>
      </c>
      <c r="AQ1141" s="13">
        <v>11</v>
      </c>
      <c r="AR1141" s="15">
        <v>289</v>
      </c>
      <c r="AS1141" s="15">
        <v>304</v>
      </c>
    </row>
    <row r="1142" spans="1:45" x14ac:dyDescent="0.25">
      <c r="A1142">
        <v>1421</v>
      </c>
      <c r="B1142" s="11">
        <f t="shared" si="17"/>
        <v>51876</v>
      </c>
      <c r="C1142" s="16">
        <v>518760</v>
      </c>
      <c r="D1142" s="17">
        <v>0</v>
      </c>
      <c r="E1142" s="17">
        <v>0</v>
      </c>
      <c r="F1142" s="17">
        <v>88</v>
      </c>
      <c r="G1142" s="17">
        <v>62</v>
      </c>
      <c r="H1142" s="13" t="str" cm="1">
        <f t="array" ref="H1142">_xlfn.IFS(G1142&lt;=20,"0-20",G1142&lt;=30,"20-30",G1142&lt;=40,"30-40",G1142&lt;=50,"50-60",G1142&lt;=60,"60-70",G1142&lt;=70,"70-80",G1142&lt;=80,"80-90")</f>
        <v>70-80</v>
      </c>
      <c r="I1142" s="17">
        <v>2416</v>
      </c>
      <c r="J1142" s="13" t="str" cm="1">
        <f t="array" ref="J1142">_xlfn.IFS(K1142=1,"Divorciado",L1142=1,"Casado",M1142=1,"Solteiro",N1142=1,"Juntos",O1142=1,"Viuvo")</f>
        <v>Casado</v>
      </c>
      <c r="K1142" s="17">
        <v>0</v>
      </c>
      <c r="L1142" s="17">
        <v>1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1</v>
      </c>
      <c r="S1142" s="17">
        <v>0</v>
      </c>
      <c r="T1142" s="17">
        <v>0</v>
      </c>
      <c r="U1142" s="17">
        <v>99</v>
      </c>
      <c r="V1142" s="13" t="str" cm="1">
        <f t="array" ref="V1142">_xlfn.IFS(U1142&lt;=250,"0-R$250",U1142&lt;=500,"251-R$500",U1142&lt;=750,"501-R$750",U1142&lt;=1000,"751-R$1000",U1142&lt;=1250,"1001-R$1250",U1142&lt;=1500,"1251-R$1500")</f>
        <v>0-R$250</v>
      </c>
      <c r="W1142" s="17">
        <v>27</v>
      </c>
      <c r="X1142" s="13" t="str" cm="1">
        <f t="array" ref="X1142">_xlfn.IFS(W1142 = 0, "0", W1142&lt;=20, "até R$20",W1142&lt;=40, "21 - R$40",W1142&lt;=60, "41- R$60",W1142&lt;=80, "61 - R$80", W1142&lt;=100, "81 - R$100",W1142&lt;=120, "101 - R$120",W1142&lt;=140, "121 - R$140", W1142&lt;=160, "141- R$160", W1142&lt;=180, "161 - R$180", W1142&lt;=200, "181-R$194")</f>
        <v>21 - R$40</v>
      </c>
      <c r="Y1142" s="17">
        <v>102</v>
      </c>
      <c r="Z1142" s="17">
        <v>28</v>
      </c>
      <c r="AA1142" s="17">
        <v>48</v>
      </c>
      <c r="AB1142" s="17">
        <v>6</v>
      </c>
      <c r="AC1142" s="17">
        <v>1</v>
      </c>
      <c r="AD1142" s="17">
        <v>2</v>
      </c>
      <c r="AE1142" s="17">
        <v>2</v>
      </c>
      <c r="AF1142" s="17">
        <v>8</v>
      </c>
      <c r="AG1142" s="17">
        <v>1</v>
      </c>
      <c r="AH1142" s="17">
        <v>0</v>
      </c>
      <c r="AI1142" s="17">
        <v>0</v>
      </c>
      <c r="AJ1142" s="17">
        <v>0</v>
      </c>
      <c r="AK1142" s="17">
        <v>0</v>
      </c>
      <c r="AL1142" s="17">
        <v>0</v>
      </c>
      <c r="AM1142" s="17">
        <v>0</v>
      </c>
      <c r="AN1142" s="17">
        <v>0</v>
      </c>
      <c r="AO1142" s="18">
        <v>0</v>
      </c>
      <c r="AP1142" s="17">
        <v>3</v>
      </c>
      <c r="AQ1142" s="17">
        <v>11</v>
      </c>
      <c r="AR1142" s="19">
        <v>298</v>
      </c>
      <c r="AS1142" s="19">
        <v>304</v>
      </c>
    </row>
    <row r="1143" spans="1:45" x14ac:dyDescent="0.25">
      <c r="A1143">
        <v>146</v>
      </c>
      <c r="B1143" s="11">
        <f t="shared" si="17"/>
        <v>49967</v>
      </c>
      <c r="C1143" s="12">
        <v>499670</v>
      </c>
      <c r="D1143" s="13">
        <v>0</v>
      </c>
      <c r="E1143" s="13">
        <v>1</v>
      </c>
      <c r="F1143" s="13">
        <v>4</v>
      </c>
      <c r="G1143" s="13">
        <v>62</v>
      </c>
      <c r="H1143" s="13" t="str" cm="1">
        <f t="array" ref="H1143">_xlfn.IFS(G1143&lt;=20,"0-20",G1143&lt;=30,"20-30",G1143&lt;=40,"30-40",G1143&lt;=50,"50-60",G1143&lt;=60,"60-70",G1143&lt;=70,"70-80",G1143&lt;=80,"80-90")</f>
        <v>70-80</v>
      </c>
      <c r="I1143" s="13">
        <v>2515</v>
      </c>
      <c r="J1143" s="13" t="str" cm="1">
        <f t="array" ref="J1143">_xlfn.IFS(K1143=1,"Divorciado",L1143=1,"Casado",M1143=1,"Solteiro",N1143=1,"Juntos",O1143=1,"Viuvo")</f>
        <v>Solteiro</v>
      </c>
      <c r="K1143" s="13">
        <v>0</v>
      </c>
      <c r="L1143" s="13">
        <v>0</v>
      </c>
      <c r="M1143" s="13">
        <v>1</v>
      </c>
      <c r="N1143" s="13">
        <v>0</v>
      </c>
      <c r="O1143" s="13">
        <v>0</v>
      </c>
      <c r="P1143" s="13">
        <v>0</v>
      </c>
      <c r="Q1143" s="13">
        <v>0</v>
      </c>
      <c r="R1143" s="13">
        <v>1</v>
      </c>
      <c r="S1143" s="13">
        <v>0</v>
      </c>
      <c r="T1143" s="13">
        <v>0</v>
      </c>
      <c r="U1143" s="13">
        <v>212</v>
      </c>
      <c r="V1143" s="13" t="str" cm="1">
        <f t="array" ref="V1143">_xlfn.IFS(U1143&lt;=250,"0-R$250",U1143&lt;=500,"251-R$500",U1143&lt;=750,"501-R$750",U1143&lt;=1000,"751-R$1000",U1143&lt;=1250,"1001-R$1250",U1143&lt;=1500,"1251-R$1500")</f>
        <v>0-R$250</v>
      </c>
      <c r="W1143" s="13">
        <v>6</v>
      </c>
      <c r="X1143" s="13" t="str" cm="1">
        <f t="array" ref="X1143">_xlfn.IFS(W1143 = 0, "0", W1143&lt;=20, "até R$20",W1143&lt;=40, "21 - R$40",W1143&lt;=60, "41- R$60",W1143&lt;=80, "61 - R$80", W1143&lt;=100, "81 - R$100",W1143&lt;=120, "101 - R$120",W1143&lt;=140, "121 - R$140", W1143&lt;=160, "141- R$160", W1143&lt;=180, "161 - R$180", W1143&lt;=200, "181-R$194")</f>
        <v>até R$20</v>
      </c>
      <c r="Y1143" s="13">
        <v>69</v>
      </c>
      <c r="Z1143" s="13">
        <v>4</v>
      </c>
      <c r="AA1143" s="13">
        <v>12</v>
      </c>
      <c r="AB1143" s="13">
        <v>3</v>
      </c>
      <c r="AC1143" s="13">
        <v>3</v>
      </c>
      <c r="AD1143" s="13">
        <v>6</v>
      </c>
      <c r="AE1143" s="13">
        <v>1</v>
      </c>
      <c r="AF1143" s="13">
        <v>5</v>
      </c>
      <c r="AG1143" s="13">
        <v>7</v>
      </c>
      <c r="AH1143" s="13">
        <v>0</v>
      </c>
      <c r="AI1143" s="13">
        <v>0</v>
      </c>
      <c r="AJ1143" s="13">
        <v>0</v>
      </c>
      <c r="AK1143" s="13">
        <v>0</v>
      </c>
      <c r="AL1143" s="13">
        <v>0</v>
      </c>
      <c r="AM1143" s="13">
        <v>0</v>
      </c>
      <c r="AN1143" s="13">
        <v>0</v>
      </c>
      <c r="AO1143" s="14">
        <v>0</v>
      </c>
      <c r="AP1143" s="13">
        <v>3</v>
      </c>
      <c r="AQ1143" s="13">
        <v>11</v>
      </c>
      <c r="AR1143" s="15">
        <v>300</v>
      </c>
      <c r="AS1143" s="15">
        <v>303</v>
      </c>
    </row>
    <row r="1144" spans="1:45" x14ac:dyDescent="0.25">
      <c r="A1144">
        <v>182</v>
      </c>
      <c r="B1144" s="11">
        <f t="shared" si="17"/>
        <v>51148</v>
      </c>
      <c r="C1144" s="12">
        <v>511480</v>
      </c>
      <c r="D1144" s="13">
        <v>1</v>
      </c>
      <c r="E1144" s="13">
        <v>1</v>
      </c>
      <c r="F1144" s="13">
        <v>38</v>
      </c>
      <c r="G1144" s="13">
        <v>47</v>
      </c>
      <c r="H1144" s="13" t="str" cm="1">
        <f t="array" ref="H1144">_xlfn.IFS(G1144&lt;=20,"0-20",G1144&lt;=30,"20-30",G1144&lt;=40,"30-40",G1144&lt;=50,"50-60",G1144&lt;=60,"60-70",G1144&lt;=70,"70-80",G1144&lt;=80,"80-90")</f>
        <v>50-60</v>
      </c>
      <c r="I1144" s="13">
        <v>2655</v>
      </c>
      <c r="J1144" s="13" t="str" cm="1">
        <f t="array" ref="J1144">_xlfn.IFS(K1144=1,"Divorciado",L1144=1,"Casado",M1144=1,"Solteiro",N1144=1,"Juntos",O1144=1,"Viuvo")</f>
        <v>Casado</v>
      </c>
      <c r="K1144" s="13">
        <v>0</v>
      </c>
      <c r="L1144" s="13">
        <v>1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1</v>
      </c>
      <c r="S1144" s="13">
        <v>0</v>
      </c>
      <c r="T1144" s="13">
        <v>0</v>
      </c>
      <c r="U1144" s="13">
        <v>235</v>
      </c>
      <c r="V1144" s="13" t="str" cm="1">
        <f t="array" ref="V1144">_xlfn.IFS(U1144&lt;=250,"0-R$250",U1144&lt;=500,"251-R$500",U1144&lt;=750,"501-R$750",U1144&lt;=1000,"751-R$1000",U1144&lt;=1250,"1001-R$1250",U1144&lt;=1500,"1251-R$1500")</f>
        <v>0-R$250</v>
      </c>
      <c r="W1144" s="13">
        <v>6</v>
      </c>
      <c r="X1144" s="13" t="str" cm="1">
        <f t="array" ref="X1144">_xlfn.IFS(W1144 = 0, "0", W1144&lt;=20, "até R$20",W1144&lt;=40, "21 - R$40",W1144&lt;=60, "41- R$60",W1144&lt;=80, "61 - R$80", W1144&lt;=100, "81 - R$100",W1144&lt;=120, "101 - R$120",W1144&lt;=140, "121 - R$140", W1144&lt;=160, "141- R$160", W1144&lt;=180, "161 - R$180", W1144&lt;=200, "181-R$194")</f>
        <v>até R$20</v>
      </c>
      <c r="Y1144" s="13">
        <v>45</v>
      </c>
      <c r="Z1144" s="13">
        <v>8</v>
      </c>
      <c r="AA1144" s="13">
        <v>9</v>
      </c>
      <c r="AB1144" s="13">
        <v>12</v>
      </c>
      <c r="AC1144" s="13">
        <v>4</v>
      </c>
      <c r="AD1144" s="13">
        <v>5</v>
      </c>
      <c r="AE1144" s="13">
        <v>1</v>
      </c>
      <c r="AF1144" s="13">
        <v>6</v>
      </c>
      <c r="AG1144" s="13">
        <v>6</v>
      </c>
      <c r="AH1144" s="13">
        <v>0</v>
      </c>
      <c r="AI1144" s="13">
        <v>0</v>
      </c>
      <c r="AJ1144" s="13">
        <v>0</v>
      </c>
      <c r="AK1144" s="13">
        <v>0</v>
      </c>
      <c r="AL1144" s="13">
        <v>0</v>
      </c>
      <c r="AM1144" s="13">
        <v>0</v>
      </c>
      <c r="AN1144" s="13">
        <v>0</v>
      </c>
      <c r="AO1144" s="14">
        <v>0</v>
      </c>
      <c r="AP1144" s="13">
        <v>3</v>
      </c>
      <c r="AQ1144" s="13">
        <v>11</v>
      </c>
      <c r="AR1144" s="15">
        <v>291</v>
      </c>
      <c r="AS1144" s="15">
        <v>303</v>
      </c>
    </row>
    <row r="1145" spans="1:45" x14ac:dyDescent="0.25">
      <c r="A1145">
        <v>776</v>
      </c>
      <c r="B1145" s="11">
        <f t="shared" si="17"/>
        <v>45183</v>
      </c>
      <c r="C1145" s="12">
        <v>451830</v>
      </c>
      <c r="D1145" s="13">
        <v>0</v>
      </c>
      <c r="E1145" s="13">
        <v>0</v>
      </c>
      <c r="F1145" s="13">
        <v>33</v>
      </c>
      <c r="G1145" s="13">
        <v>58</v>
      </c>
      <c r="H1145" s="13" t="str" cm="1">
        <f t="array" ref="H1145">_xlfn.IFS(G1145&lt;=20,"0-20",G1145&lt;=30,"20-30",G1145&lt;=40,"30-40",G1145&lt;=50,"50-60",G1145&lt;=60,"60-70",G1145&lt;=70,"70-80",G1145&lt;=80,"80-90")</f>
        <v>60-70</v>
      </c>
      <c r="I1145" s="13">
        <v>2684</v>
      </c>
      <c r="J1145" s="13" t="str" cm="1">
        <f t="array" ref="J1145">_xlfn.IFS(K1145=1,"Divorciado",L1145=1,"Casado",M1145=1,"Solteiro",N1145=1,"Juntos",O1145=1,"Viuvo")</f>
        <v>Solteiro</v>
      </c>
      <c r="K1145" s="13">
        <v>0</v>
      </c>
      <c r="L1145" s="13">
        <v>0</v>
      </c>
      <c r="M1145" s="13">
        <v>1</v>
      </c>
      <c r="N1145" s="13">
        <v>0</v>
      </c>
      <c r="O1145" s="13">
        <v>0</v>
      </c>
      <c r="P1145" s="13">
        <v>0</v>
      </c>
      <c r="Q1145" s="13">
        <v>0</v>
      </c>
      <c r="R1145" s="13">
        <v>0</v>
      </c>
      <c r="S1145" s="13">
        <v>1</v>
      </c>
      <c r="T1145" s="13">
        <v>0</v>
      </c>
      <c r="U1145" s="13">
        <v>219</v>
      </c>
      <c r="V1145" s="13" t="str" cm="1">
        <f t="array" ref="V1145">_xlfn.IFS(U1145&lt;=250,"0-R$250",U1145&lt;=500,"251-R$500",U1145&lt;=750,"501-R$750",U1145&lt;=1000,"751-R$1000",U1145&lt;=1250,"1001-R$1250",U1145&lt;=1500,"1251-R$1500")</f>
        <v>0-R$250</v>
      </c>
      <c r="W1145" s="13">
        <v>3</v>
      </c>
      <c r="X1145" s="13" t="str" cm="1">
        <f t="array" ref="X1145">_xlfn.IFS(W1145 = 0, "0", W1145&lt;=20, "até R$20",W1145&lt;=40, "21 - R$40",W1145&lt;=60, "41- R$60",W1145&lt;=80, "61 - R$80", W1145&lt;=100, "81 - R$100",W1145&lt;=120, "101 - R$120",W1145&lt;=140, "121 - R$140", W1145&lt;=160, "141- R$160", W1145&lt;=180, "161 - R$180", W1145&lt;=200, "181-R$194")</f>
        <v>até R$20</v>
      </c>
      <c r="Y1145" s="13">
        <v>60</v>
      </c>
      <c r="Z1145" s="13">
        <v>12</v>
      </c>
      <c r="AA1145" s="13">
        <v>9</v>
      </c>
      <c r="AB1145" s="13">
        <v>12</v>
      </c>
      <c r="AC1145" s="13">
        <v>1</v>
      </c>
      <c r="AD1145" s="13">
        <v>4</v>
      </c>
      <c r="AE1145" s="13">
        <v>1</v>
      </c>
      <c r="AF1145" s="13">
        <v>7</v>
      </c>
      <c r="AG1145" s="13">
        <v>7</v>
      </c>
      <c r="AH1145" s="13">
        <v>0</v>
      </c>
      <c r="AI1145" s="13">
        <v>0</v>
      </c>
      <c r="AJ1145" s="13">
        <v>1</v>
      </c>
      <c r="AK1145" s="13">
        <v>0</v>
      </c>
      <c r="AL1145" s="13">
        <v>0</v>
      </c>
      <c r="AM1145" s="13">
        <v>0</v>
      </c>
      <c r="AN1145" s="13">
        <v>0</v>
      </c>
      <c r="AO1145" s="14">
        <v>1</v>
      </c>
      <c r="AP1145" s="13">
        <v>3</v>
      </c>
      <c r="AQ1145" s="13">
        <v>11</v>
      </c>
      <c r="AR1145" s="15">
        <v>291</v>
      </c>
      <c r="AS1145" s="15">
        <v>303</v>
      </c>
    </row>
    <row r="1146" spans="1:45" x14ac:dyDescent="0.25">
      <c r="A1146">
        <v>817</v>
      </c>
      <c r="B1146" s="11">
        <f t="shared" si="17"/>
        <v>49494</v>
      </c>
      <c r="C1146" s="16">
        <v>494940</v>
      </c>
      <c r="D1146" s="17">
        <v>1</v>
      </c>
      <c r="E1146" s="17">
        <v>0</v>
      </c>
      <c r="F1146" s="17">
        <v>46</v>
      </c>
      <c r="G1146" s="17">
        <v>48</v>
      </c>
      <c r="H1146" s="13" t="str" cm="1">
        <f t="array" ref="H1146">_xlfn.IFS(G1146&lt;=20,"0-20",G1146&lt;=30,"20-30",G1146&lt;=40,"30-40",G1146&lt;=50,"50-60",G1146&lt;=60,"60-70",G1146&lt;=70,"70-80",G1146&lt;=80,"80-90")</f>
        <v>50-60</v>
      </c>
      <c r="I1146" s="17">
        <v>2589</v>
      </c>
      <c r="J1146" s="13" t="str" cm="1">
        <f t="array" ref="J1146">_xlfn.IFS(K1146=1,"Divorciado",L1146=1,"Casado",M1146=1,"Solteiro",N1146=1,"Juntos",O1146=1,"Viuvo")</f>
        <v>Solteiro</v>
      </c>
      <c r="K1146" s="17">
        <v>0</v>
      </c>
      <c r="L1146" s="17">
        <v>0</v>
      </c>
      <c r="M1146" s="17">
        <v>1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1</v>
      </c>
      <c r="T1146" s="17">
        <v>0</v>
      </c>
      <c r="U1146" s="17">
        <v>191</v>
      </c>
      <c r="V1146" s="13" t="str" cm="1">
        <f t="array" ref="V1146">_xlfn.IFS(U1146&lt;=250,"0-R$250",U1146&lt;=500,"251-R$500",U1146&lt;=750,"501-R$750",U1146&lt;=1000,"751-R$1000",U1146&lt;=1250,"1001-R$1250",U1146&lt;=1500,"1251-R$1500")</f>
        <v>0-R$250</v>
      </c>
      <c r="W1146" s="17">
        <v>9</v>
      </c>
      <c r="X1146" s="13" t="str" cm="1">
        <f t="array" ref="X1146">_xlfn.IFS(W1146 = 0, "0", W1146&lt;=20, "até R$20",W1146&lt;=40, "21 - R$40",W1146&lt;=60, "41- R$60",W1146&lt;=80, "61 - R$80", W1146&lt;=100, "81 - R$100",W1146&lt;=120, "101 - R$120",W1146&lt;=140, "121 - R$140", W1146&lt;=160, "141- R$160", W1146&lt;=180, "161 - R$180", W1146&lt;=200, "181-R$194")</f>
        <v>até R$20</v>
      </c>
      <c r="Y1146" s="17">
        <v>97</v>
      </c>
      <c r="Z1146" s="17">
        <v>0</v>
      </c>
      <c r="AA1146" s="17">
        <v>6</v>
      </c>
      <c r="AB1146" s="17">
        <v>82</v>
      </c>
      <c r="AC1146" s="17">
        <v>2</v>
      </c>
      <c r="AD1146" s="17">
        <v>6</v>
      </c>
      <c r="AE1146" s="17">
        <v>1</v>
      </c>
      <c r="AF1146" s="17">
        <v>5</v>
      </c>
      <c r="AG1146" s="17">
        <v>7</v>
      </c>
      <c r="AH1146" s="17">
        <v>0</v>
      </c>
      <c r="AI1146" s="17">
        <v>0</v>
      </c>
      <c r="AJ1146" s="17">
        <v>0</v>
      </c>
      <c r="AK1146" s="17">
        <v>0</v>
      </c>
      <c r="AL1146" s="17">
        <v>0</v>
      </c>
      <c r="AM1146" s="17">
        <v>0</v>
      </c>
      <c r="AN1146" s="17">
        <v>0</v>
      </c>
      <c r="AO1146" s="18">
        <v>0</v>
      </c>
      <c r="AP1146" s="17">
        <v>3</v>
      </c>
      <c r="AQ1146" s="17">
        <v>11</v>
      </c>
      <c r="AR1146" s="19">
        <v>221</v>
      </c>
      <c r="AS1146" s="19">
        <v>303</v>
      </c>
    </row>
    <row r="1147" spans="1:45" x14ac:dyDescent="0.25">
      <c r="A1147">
        <v>899</v>
      </c>
      <c r="B1147" s="11">
        <f t="shared" si="17"/>
        <v>42607</v>
      </c>
      <c r="C1147" s="16">
        <v>426070</v>
      </c>
      <c r="D1147" s="17">
        <v>0</v>
      </c>
      <c r="E1147" s="17">
        <v>1</v>
      </c>
      <c r="F1147" s="17">
        <v>30</v>
      </c>
      <c r="G1147" s="17">
        <v>66</v>
      </c>
      <c r="H1147" s="13" t="str" cm="1">
        <f t="array" ref="H1147">_xlfn.IFS(G1147&lt;=20,"0-20",G1147&lt;=30,"20-30",G1147&lt;=40,"30-40",G1147&lt;=50,"50-60",G1147&lt;=60,"60-70",G1147&lt;=70,"70-80",G1147&lt;=80,"80-90")</f>
        <v>70-80</v>
      </c>
      <c r="I1147" s="17">
        <v>2383</v>
      </c>
      <c r="J1147" s="13" t="str" cm="1">
        <f t="array" ref="J1147">_xlfn.IFS(K1147=1,"Divorciado",L1147=1,"Casado",M1147=1,"Solteiro",N1147=1,"Juntos",O1147=1,"Viuvo")</f>
        <v>Solteiro</v>
      </c>
      <c r="K1147" s="17">
        <v>0</v>
      </c>
      <c r="L1147" s="17">
        <v>0</v>
      </c>
      <c r="M1147" s="17">
        <v>1</v>
      </c>
      <c r="N1147" s="17">
        <v>0</v>
      </c>
      <c r="O1147" s="17">
        <v>0</v>
      </c>
      <c r="P1147" s="17">
        <v>1</v>
      </c>
      <c r="Q1147" s="17">
        <v>0</v>
      </c>
      <c r="R1147" s="17">
        <v>0</v>
      </c>
      <c r="S1147" s="17">
        <v>0</v>
      </c>
      <c r="T1147" s="17">
        <v>0</v>
      </c>
      <c r="U1147" s="17">
        <v>156</v>
      </c>
      <c r="V1147" s="13" t="str" cm="1">
        <f t="array" ref="V1147">_xlfn.IFS(U1147&lt;=250,"0-R$250",U1147&lt;=500,"251-R$500",U1147&lt;=750,"501-R$750",U1147&lt;=1000,"751-R$1000",U1147&lt;=1250,"1001-R$1250",U1147&lt;=1500,"1251-R$1500")</f>
        <v>0-R$250</v>
      </c>
      <c r="W1147" s="17">
        <v>29</v>
      </c>
      <c r="X1147" s="13" t="str" cm="1">
        <f t="array" ref="X1147">_xlfn.IFS(W1147 = 0, "0", W1147&lt;=20, "até R$20",W1147&lt;=40, "21 - R$40",W1147&lt;=60, "41- R$60",W1147&lt;=80, "61 - R$80", W1147&lt;=100, "81 - R$100",W1147&lt;=120, "101 - R$120",W1147&lt;=140, "121 - R$140", W1147&lt;=160, "141- R$160", W1147&lt;=180, "161 - R$180", W1147&lt;=200, "181-R$194")</f>
        <v>21 - R$40</v>
      </c>
      <c r="Y1147" s="17">
        <v>56</v>
      </c>
      <c r="Z1147" s="17">
        <v>30</v>
      </c>
      <c r="AA1147" s="17">
        <v>32</v>
      </c>
      <c r="AB1147" s="17">
        <v>47</v>
      </c>
      <c r="AC1147" s="17">
        <v>2</v>
      </c>
      <c r="AD1147" s="17">
        <v>3</v>
      </c>
      <c r="AE1147" s="17">
        <v>2</v>
      </c>
      <c r="AF1147" s="17">
        <v>7</v>
      </c>
      <c r="AG1147" s="17">
        <v>3</v>
      </c>
      <c r="AH1147" s="17">
        <v>0</v>
      </c>
      <c r="AI1147" s="17">
        <v>0</v>
      </c>
      <c r="AJ1147" s="17">
        <v>0</v>
      </c>
      <c r="AK1147" s="17">
        <v>0</v>
      </c>
      <c r="AL1147" s="17">
        <v>0</v>
      </c>
      <c r="AM1147" s="17">
        <v>0</v>
      </c>
      <c r="AN1147" s="17">
        <v>0</v>
      </c>
      <c r="AO1147" s="18">
        <v>0</v>
      </c>
      <c r="AP1147" s="17">
        <v>3</v>
      </c>
      <c r="AQ1147" s="17">
        <v>11</v>
      </c>
      <c r="AR1147" s="19">
        <v>256</v>
      </c>
      <c r="AS1147" s="19">
        <v>303</v>
      </c>
    </row>
    <row r="1148" spans="1:45" x14ac:dyDescent="0.25">
      <c r="A1148">
        <v>1759</v>
      </c>
      <c r="B1148" s="11">
        <f t="shared" si="17"/>
        <v>34600</v>
      </c>
      <c r="C1148" s="16">
        <v>346000</v>
      </c>
      <c r="D1148" s="17">
        <v>1</v>
      </c>
      <c r="E1148" s="17">
        <v>1</v>
      </c>
      <c r="F1148" s="17">
        <v>8</v>
      </c>
      <c r="G1148" s="17">
        <v>49</v>
      </c>
      <c r="H1148" s="13" t="str" cm="1">
        <f t="array" ref="H1148">_xlfn.IFS(G1148&lt;=20,"0-20",G1148&lt;=30,"20-30",G1148&lt;=40,"30-40",G1148&lt;=50,"50-60",G1148&lt;=60,"60-70",G1148&lt;=70,"70-80",G1148&lt;=80,"80-90")</f>
        <v>50-60</v>
      </c>
      <c r="I1148" s="17">
        <v>2703</v>
      </c>
      <c r="J1148" s="13" t="str" cm="1">
        <f t="array" ref="J1148">_xlfn.IFS(K1148=1,"Divorciado",L1148=1,"Casado",M1148=1,"Solteiro",N1148=1,"Juntos",O1148=1,"Viuvo")</f>
        <v>Juntos</v>
      </c>
      <c r="K1148" s="17">
        <v>0</v>
      </c>
      <c r="L1148" s="17">
        <v>0</v>
      </c>
      <c r="M1148" s="17">
        <v>0</v>
      </c>
      <c r="N1148" s="17">
        <v>1</v>
      </c>
      <c r="O1148" s="17">
        <v>0</v>
      </c>
      <c r="P1148" s="17">
        <v>0</v>
      </c>
      <c r="Q1148" s="17">
        <v>0</v>
      </c>
      <c r="R1148" s="17">
        <v>1</v>
      </c>
      <c r="S1148" s="17">
        <v>0</v>
      </c>
      <c r="T1148" s="17">
        <v>0</v>
      </c>
      <c r="U1148" s="17">
        <v>199</v>
      </c>
      <c r="V1148" s="13" t="str" cm="1">
        <f t="array" ref="V1148">_xlfn.IFS(U1148&lt;=250,"0-R$250",U1148&lt;=500,"251-R$500",U1148&lt;=750,"501-R$750",U1148&lt;=1000,"751-R$1000",U1148&lt;=1250,"1001-R$1250",U1148&lt;=1500,"1251-R$1500")</f>
        <v>0-R$250</v>
      </c>
      <c r="W1148" s="17">
        <v>33</v>
      </c>
      <c r="X1148" s="13" t="str" cm="1">
        <f t="array" ref="X1148">_xlfn.IFS(W1148 = 0, "0", W1148&lt;=20, "até R$20",W1148&lt;=40, "21 - R$40",W1148&lt;=60, "41- R$60",W1148&lt;=80, "61 - R$80", W1148&lt;=100, "81 - R$100",W1148&lt;=120, "101 - R$120",W1148&lt;=140, "121 - R$140", W1148&lt;=160, "141- R$160", W1148&lt;=180, "161 - R$180", W1148&lt;=200, "181-R$194")</f>
        <v>21 - R$40</v>
      </c>
      <c r="Y1148" s="17">
        <v>60</v>
      </c>
      <c r="Z1148" s="17">
        <v>8</v>
      </c>
      <c r="AA1148" s="17">
        <v>3</v>
      </c>
      <c r="AB1148" s="17">
        <v>15</v>
      </c>
      <c r="AC1148" s="17">
        <v>5</v>
      </c>
      <c r="AD1148" s="17">
        <v>5</v>
      </c>
      <c r="AE1148" s="17">
        <v>2</v>
      </c>
      <c r="AF1148" s="17">
        <v>5</v>
      </c>
      <c r="AG1148" s="17">
        <v>8</v>
      </c>
      <c r="AH1148" s="17">
        <v>0</v>
      </c>
      <c r="AI1148" s="17">
        <v>0</v>
      </c>
      <c r="AJ1148" s="17">
        <v>0</v>
      </c>
      <c r="AK1148" s="17">
        <v>0</v>
      </c>
      <c r="AL1148" s="17">
        <v>0</v>
      </c>
      <c r="AM1148" s="17">
        <v>0</v>
      </c>
      <c r="AN1148" s="17">
        <v>1</v>
      </c>
      <c r="AO1148" s="18">
        <v>0</v>
      </c>
      <c r="AP1148" s="17">
        <v>3</v>
      </c>
      <c r="AQ1148" s="17">
        <v>11</v>
      </c>
      <c r="AR1148" s="19">
        <v>288</v>
      </c>
      <c r="AS1148" s="19">
        <v>303</v>
      </c>
    </row>
    <row r="1149" spans="1:45" x14ac:dyDescent="0.25">
      <c r="A1149">
        <v>1947</v>
      </c>
      <c r="B1149" s="11">
        <f t="shared" si="17"/>
        <v>34600</v>
      </c>
      <c r="C1149" s="16">
        <v>346000</v>
      </c>
      <c r="D1149" s="17">
        <v>1</v>
      </c>
      <c r="E1149" s="17">
        <v>1</v>
      </c>
      <c r="F1149" s="17">
        <v>8</v>
      </c>
      <c r="G1149" s="17">
        <v>49</v>
      </c>
      <c r="H1149" s="13" t="str" cm="1">
        <f t="array" ref="H1149">_xlfn.IFS(G1149&lt;=20,"0-20",G1149&lt;=30,"20-30",G1149&lt;=40,"30-40",G1149&lt;=50,"50-60",G1149&lt;=60,"60-70",G1149&lt;=70,"70-80",G1149&lt;=80,"80-90")</f>
        <v>50-60</v>
      </c>
      <c r="I1149" s="17">
        <v>2703</v>
      </c>
      <c r="J1149" s="13" t="str" cm="1">
        <f t="array" ref="J1149">_xlfn.IFS(K1149=1,"Divorciado",L1149=1,"Casado",M1149=1,"Solteiro",N1149=1,"Juntos",O1149=1,"Viuvo")</f>
        <v>Juntos</v>
      </c>
      <c r="K1149" s="17">
        <v>0</v>
      </c>
      <c r="L1149" s="17">
        <v>0</v>
      </c>
      <c r="M1149" s="17">
        <v>0</v>
      </c>
      <c r="N1149" s="17">
        <v>1</v>
      </c>
      <c r="O1149" s="17">
        <v>0</v>
      </c>
      <c r="P1149" s="17">
        <v>0</v>
      </c>
      <c r="Q1149" s="17">
        <v>0</v>
      </c>
      <c r="R1149" s="17">
        <v>1</v>
      </c>
      <c r="S1149" s="17">
        <v>0</v>
      </c>
      <c r="T1149" s="17">
        <v>0</v>
      </c>
      <c r="U1149" s="17">
        <v>199</v>
      </c>
      <c r="V1149" s="13" t="str" cm="1">
        <f t="array" ref="V1149">_xlfn.IFS(U1149&lt;=250,"0-R$250",U1149&lt;=500,"251-R$500",U1149&lt;=750,"501-R$750",U1149&lt;=1000,"751-R$1000",U1149&lt;=1250,"1001-R$1250",U1149&lt;=1500,"1251-R$1500")</f>
        <v>0-R$250</v>
      </c>
      <c r="W1149" s="17">
        <v>33</v>
      </c>
      <c r="X1149" s="13" t="str" cm="1">
        <f t="array" ref="X1149">_xlfn.IFS(W1149 = 0, "0", W1149&lt;=20, "até R$20",W1149&lt;=40, "21 - R$40",W1149&lt;=60, "41- R$60",W1149&lt;=80, "61 - R$80", W1149&lt;=100, "81 - R$100",W1149&lt;=120, "101 - R$120",W1149&lt;=140, "121 - R$140", W1149&lt;=160, "141- R$160", W1149&lt;=180, "161 - R$180", W1149&lt;=200, "181-R$194")</f>
        <v>21 - R$40</v>
      </c>
      <c r="Y1149" s="17">
        <v>60</v>
      </c>
      <c r="Z1149" s="17">
        <v>8</v>
      </c>
      <c r="AA1149" s="17">
        <v>3</v>
      </c>
      <c r="AB1149" s="17">
        <v>15</v>
      </c>
      <c r="AC1149" s="17">
        <v>5</v>
      </c>
      <c r="AD1149" s="17">
        <v>5</v>
      </c>
      <c r="AE1149" s="17">
        <v>2</v>
      </c>
      <c r="AF1149" s="17">
        <v>5</v>
      </c>
      <c r="AG1149" s="17">
        <v>8</v>
      </c>
      <c r="AH1149" s="17">
        <v>0</v>
      </c>
      <c r="AI1149" s="17">
        <v>0</v>
      </c>
      <c r="AJ1149" s="17">
        <v>0</v>
      </c>
      <c r="AK1149" s="17">
        <v>0</v>
      </c>
      <c r="AL1149" s="17">
        <v>0</v>
      </c>
      <c r="AM1149" s="17">
        <v>0</v>
      </c>
      <c r="AN1149" s="17">
        <v>1</v>
      </c>
      <c r="AO1149" s="18">
        <v>0</v>
      </c>
      <c r="AP1149" s="17">
        <v>3</v>
      </c>
      <c r="AQ1149" s="17">
        <v>11</v>
      </c>
      <c r="AR1149" s="19">
        <v>288</v>
      </c>
      <c r="AS1149" s="19">
        <v>303</v>
      </c>
    </row>
    <row r="1150" spans="1:45" x14ac:dyDescent="0.25">
      <c r="A1150">
        <v>1105</v>
      </c>
      <c r="B1150" s="11">
        <f t="shared" si="17"/>
        <v>46734</v>
      </c>
      <c r="C1150" s="16">
        <v>467340</v>
      </c>
      <c r="D1150" s="17">
        <v>0</v>
      </c>
      <c r="E1150" s="17">
        <v>1</v>
      </c>
      <c r="F1150" s="17">
        <v>40</v>
      </c>
      <c r="G1150" s="17">
        <v>66</v>
      </c>
      <c r="H1150" s="13" t="str" cm="1">
        <f t="array" ref="H1150">_xlfn.IFS(G1150&lt;=20,"0-20",G1150&lt;=30,"20-30",G1150&lt;=40,"30-40",G1150&lt;=50,"50-60",G1150&lt;=60,"60-70",G1150&lt;=70,"70-80",G1150&lt;=80,"80-90")</f>
        <v>70-80</v>
      </c>
      <c r="I1150" s="17">
        <v>2747</v>
      </c>
      <c r="J1150" s="13" t="str" cm="1">
        <f t="array" ref="J1150">_xlfn.IFS(K1150=1,"Divorciado",L1150=1,"Casado",M1150=1,"Solteiro",N1150=1,"Juntos",O1150=1,"Viuvo")</f>
        <v>Casado</v>
      </c>
      <c r="K1150" s="17">
        <v>0</v>
      </c>
      <c r="L1150" s="17">
        <v>1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1</v>
      </c>
      <c r="S1150" s="17">
        <v>0</v>
      </c>
      <c r="T1150" s="17">
        <v>0</v>
      </c>
      <c r="U1150" s="17">
        <v>110</v>
      </c>
      <c r="V1150" s="13" t="str" cm="1">
        <f t="array" ref="V1150">_xlfn.IFS(U1150&lt;=250,"0-R$250",U1150&lt;=500,"251-R$500",U1150&lt;=750,"501-R$750",U1150&lt;=1000,"751-R$1000",U1150&lt;=1250,"1001-R$1250",U1150&lt;=1500,"1251-R$1500")</f>
        <v>0-R$250</v>
      </c>
      <c r="W1150" s="17">
        <v>5</v>
      </c>
      <c r="X1150" s="13" t="str" cm="1">
        <f t="array" ref="X1150">_xlfn.IFS(W1150 = 0, "0", W1150&lt;=20, "até R$20",W1150&lt;=40, "21 - R$40",W1150&lt;=60, "41- R$60",W1150&lt;=80, "61 - R$80", W1150&lt;=100, "81 - R$100",W1150&lt;=120, "101 - R$120",W1150&lt;=140, "121 - R$140", W1150&lt;=160, "141- R$160", W1150&lt;=180, "161 - R$180", W1150&lt;=200, "181-R$194")</f>
        <v>até R$20</v>
      </c>
      <c r="Y1150" s="17">
        <v>137</v>
      </c>
      <c r="Z1150" s="17">
        <v>26</v>
      </c>
      <c r="AA1150" s="17">
        <v>23</v>
      </c>
      <c r="AB1150" s="17">
        <v>29</v>
      </c>
      <c r="AC1150" s="17">
        <v>2</v>
      </c>
      <c r="AD1150" s="17">
        <v>6</v>
      </c>
      <c r="AE1150" s="17">
        <v>1</v>
      </c>
      <c r="AF1150" s="17">
        <v>5</v>
      </c>
      <c r="AG1150" s="17">
        <v>7</v>
      </c>
      <c r="AH1150" s="17">
        <v>0</v>
      </c>
      <c r="AI1150" s="17">
        <v>0</v>
      </c>
      <c r="AJ1150" s="17">
        <v>0</v>
      </c>
      <c r="AK1150" s="17">
        <v>0</v>
      </c>
      <c r="AL1150" s="17">
        <v>0</v>
      </c>
      <c r="AM1150" s="17">
        <v>0</v>
      </c>
      <c r="AN1150" s="17">
        <v>0</v>
      </c>
      <c r="AO1150" s="18">
        <v>0</v>
      </c>
      <c r="AP1150" s="17">
        <v>3</v>
      </c>
      <c r="AQ1150" s="17">
        <v>11</v>
      </c>
      <c r="AR1150" s="19">
        <v>272</v>
      </c>
      <c r="AS1150" s="19">
        <v>301</v>
      </c>
    </row>
    <row r="1151" spans="1:45" x14ac:dyDescent="0.25">
      <c r="A1151">
        <v>506</v>
      </c>
      <c r="B1151" s="11">
        <f t="shared" si="17"/>
        <v>42691</v>
      </c>
      <c r="C1151" s="12">
        <v>426910</v>
      </c>
      <c r="D1151" s="13">
        <v>0</v>
      </c>
      <c r="E1151" s="13">
        <v>0</v>
      </c>
      <c r="F1151" s="13">
        <v>48</v>
      </c>
      <c r="G1151" s="13">
        <v>29</v>
      </c>
      <c r="H1151" s="13" t="str" cm="1">
        <f t="array" ref="H1151">_xlfn.IFS(G1151&lt;=20,"0-20",G1151&lt;=30,"20-30",G1151&lt;=40,"30-40",G1151&lt;=50,"50-60",G1151&lt;=60,"60-70",G1151&lt;=70,"70-80",G1151&lt;=80,"80-90")</f>
        <v>20-30</v>
      </c>
      <c r="I1151" s="13">
        <v>2476</v>
      </c>
      <c r="J1151" s="13" t="str" cm="1">
        <f t="array" ref="J1151">_xlfn.IFS(K1151=1,"Divorciado",L1151=1,"Casado",M1151=1,"Solteiro",N1151=1,"Juntos",O1151=1,"Viuvo")</f>
        <v>Casado</v>
      </c>
      <c r="K1151" s="13">
        <v>0</v>
      </c>
      <c r="L1151" s="13">
        <v>1</v>
      </c>
      <c r="M1151" s="13">
        <v>0</v>
      </c>
      <c r="N1151" s="13">
        <v>0</v>
      </c>
      <c r="O1151" s="13">
        <v>0</v>
      </c>
      <c r="P1151" s="13">
        <v>0</v>
      </c>
      <c r="Q1151" s="13">
        <v>0</v>
      </c>
      <c r="R1151" s="13">
        <v>1</v>
      </c>
      <c r="S1151" s="13">
        <v>0</v>
      </c>
      <c r="T1151" s="13">
        <v>0</v>
      </c>
      <c r="U1151" s="13">
        <v>179</v>
      </c>
      <c r="V1151" s="13" t="str" cm="1">
        <f t="array" ref="V1151">_xlfn.IFS(U1151&lt;=250,"0-R$250",U1151&lt;=500,"251-R$500",U1151&lt;=750,"501-R$750",U1151&lt;=1000,"751-R$1000",U1151&lt;=1250,"1001-R$1250",U1151&lt;=1500,"1251-R$1500")</f>
        <v>0-R$250</v>
      </c>
      <c r="W1151" s="13">
        <v>2</v>
      </c>
      <c r="X1151" s="13" t="str" cm="1">
        <f t="array" ref="X1151">_xlfn.IFS(W1151 = 0, "0", W1151&lt;=20, "até R$20",W1151&lt;=40, "21 - R$40",W1151&lt;=60, "41- R$60",W1151&lt;=80, "61 - R$80", W1151&lt;=100, "81 - R$100",W1151&lt;=120, "101 - R$120",W1151&lt;=140, "121 - R$140", W1151&lt;=160, "141- R$160", W1151&lt;=180, "161 - R$180", W1151&lt;=200, "181-R$194")</f>
        <v>até R$20</v>
      </c>
      <c r="Y1151" s="13">
        <v>64</v>
      </c>
      <c r="Z1151" s="13">
        <v>38</v>
      </c>
      <c r="AA1151" s="13">
        <v>17</v>
      </c>
      <c r="AB1151" s="13">
        <v>58</v>
      </c>
      <c r="AC1151" s="13">
        <v>1</v>
      </c>
      <c r="AD1151" s="13">
        <v>5</v>
      </c>
      <c r="AE1151" s="13">
        <v>1</v>
      </c>
      <c r="AF1151" s="13">
        <v>6</v>
      </c>
      <c r="AG1151" s="13">
        <v>5</v>
      </c>
      <c r="AH1151" s="13">
        <v>0</v>
      </c>
      <c r="AI1151" s="13">
        <v>0</v>
      </c>
      <c r="AJ1151" s="13">
        <v>0</v>
      </c>
      <c r="AK1151" s="13">
        <v>0</v>
      </c>
      <c r="AL1151" s="13">
        <v>0</v>
      </c>
      <c r="AM1151" s="13">
        <v>0</v>
      </c>
      <c r="AN1151" s="13">
        <v>0</v>
      </c>
      <c r="AO1151" s="14">
        <v>0</v>
      </c>
      <c r="AP1151" s="13">
        <v>3</v>
      </c>
      <c r="AQ1151" s="13">
        <v>11</v>
      </c>
      <c r="AR1151" s="15">
        <v>242</v>
      </c>
      <c r="AS1151" s="15">
        <v>300</v>
      </c>
    </row>
    <row r="1152" spans="1:45" x14ac:dyDescent="0.25">
      <c r="A1152">
        <v>602</v>
      </c>
      <c r="B1152" s="11">
        <f t="shared" si="17"/>
        <v>30522</v>
      </c>
      <c r="C1152" s="12">
        <v>305220</v>
      </c>
      <c r="D1152" s="13">
        <v>0</v>
      </c>
      <c r="E1152" s="13">
        <v>1</v>
      </c>
      <c r="F1152" s="13">
        <v>6</v>
      </c>
      <c r="G1152" s="13">
        <v>60</v>
      </c>
      <c r="H1152" s="13" t="str" cm="1">
        <f t="array" ref="H1152">_xlfn.IFS(G1152&lt;=20,"0-20",G1152&lt;=30,"20-30",G1152&lt;=40,"30-40",G1152&lt;=50,"50-60",G1152&lt;=60,"60-70",G1152&lt;=70,"70-80",G1152&lt;=80,"80-90")</f>
        <v>60-70</v>
      </c>
      <c r="I1152" s="13">
        <v>2840</v>
      </c>
      <c r="J1152" s="13" t="str" cm="1">
        <f t="array" ref="J1152">_xlfn.IFS(K1152=1,"Divorciado",L1152=1,"Casado",M1152=1,"Solteiro",N1152=1,"Juntos",O1152=1,"Viuvo")</f>
        <v>Casado</v>
      </c>
      <c r="K1152" s="13">
        <v>0</v>
      </c>
      <c r="L1152" s="13">
        <v>1</v>
      </c>
      <c r="M1152" s="13">
        <v>0</v>
      </c>
      <c r="N1152" s="13">
        <v>0</v>
      </c>
      <c r="O1152" s="13">
        <v>0</v>
      </c>
      <c r="P1152" s="13">
        <v>0</v>
      </c>
      <c r="Q1152" s="13">
        <v>0</v>
      </c>
      <c r="R1152" s="13">
        <v>0</v>
      </c>
      <c r="S1152" s="13">
        <v>1</v>
      </c>
      <c r="T1152" s="13">
        <v>0</v>
      </c>
      <c r="U1152" s="13">
        <v>179</v>
      </c>
      <c r="V1152" s="13" t="str" cm="1">
        <f t="array" ref="V1152">_xlfn.IFS(U1152&lt;=250,"0-R$250",U1152&lt;=500,"251-R$500",U1152&lt;=750,"501-R$750",U1152&lt;=1000,"751-R$1000",U1152&lt;=1250,"1001-R$1250",U1152&lt;=1500,"1251-R$1500")</f>
        <v>0-R$250</v>
      </c>
      <c r="W1152" s="13">
        <v>8</v>
      </c>
      <c r="X1152" s="13" t="str" cm="1">
        <f t="array" ref="X1152">_xlfn.IFS(W1152 = 0, "0", W1152&lt;=20, "até R$20",W1152&lt;=40, "21 - R$40",W1152&lt;=60, "41- R$60",W1152&lt;=80, "61 - R$80", W1152&lt;=100, "81 - R$100",W1152&lt;=120, "101 - R$120",W1152&lt;=140, "121 - R$140", W1152&lt;=160, "141- R$160", W1152&lt;=180, "161 - R$180", W1152&lt;=200, "181-R$194")</f>
        <v>até R$20</v>
      </c>
      <c r="Y1152" s="13">
        <v>83</v>
      </c>
      <c r="Z1152" s="13">
        <v>19</v>
      </c>
      <c r="AA1152" s="13">
        <v>11</v>
      </c>
      <c r="AB1152" s="13">
        <v>26</v>
      </c>
      <c r="AC1152" s="13">
        <v>5</v>
      </c>
      <c r="AD1152" s="13">
        <v>1</v>
      </c>
      <c r="AE1152" s="13">
        <v>2</v>
      </c>
      <c r="AF1152" s="13">
        <v>9</v>
      </c>
      <c r="AG1152" s="13">
        <v>2</v>
      </c>
      <c r="AH1152" s="13">
        <v>0</v>
      </c>
      <c r="AI1152" s="13">
        <v>0</v>
      </c>
      <c r="AJ1152" s="13">
        <v>0</v>
      </c>
      <c r="AK1152" s="13">
        <v>0</v>
      </c>
      <c r="AL1152" s="13">
        <v>0</v>
      </c>
      <c r="AM1152" s="13">
        <v>0</v>
      </c>
      <c r="AN1152" s="13">
        <v>0</v>
      </c>
      <c r="AO1152" s="14">
        <v>0</v>
      </c>
      <c r="AP1152" s="13">
        <v>3</v>
      </c>
      <c r="AQ1152" s="13">
        <v>11</v>
      </c>
      <c r="AR1152" s="15">
        <v>274</v>
      </c>
      <c r="AS1152" s="15">
        <v>300</v>
      </c>
    </row>
    <row r="1153" spans="1:45" x14ac:dyDescent="0.25">
      <c r="A1153">
        <v>2129</v>
      </c>
      <c r="B1153" s="11">
        <f t="shared" si="17"/>
        <v>62994</v>
      </c>
      <c r="C1153" s="16">
        <v>629940</v>
      </c>
      <c r="D1153" s="17">
        <v>1</v>
      </c>
      <c r="E1153" s="17">
        <v>0</v>
      </c>
      <c r="F1153" s="17">
        <v>74</v>
      </c>
      <c r="G1153" s="17">
        <v>40</v>
      </c>
      <c r="H1153" s="13" t="str" cm="1">
        <f t="array" ref="H1153">_xlfn.IFS(G1153&lt;=20,"0-20",G1153&lt;=30,"20-30",G1153&lt;=40,"30-40",G1153&lt;=50,"50-60",G1153&lt;=60,"60-70",G1153&lt;=70,"70-80",G1153&lt;=80,"80-90")</f>
        <v>30-40</v>
      </c>
      <c r="I1153" s="17">
        <v>2276</v>
      </c>
      <c r="J1153" s="13" t="str" cm="1">
        <f t="array" ref="J1153">_xlfn.IFS(K1153=1,"Divorciado",L1153=1,"Casado",M1153=1,"Solteiro",N1153=1,"Juntos",O1153=1,"Viuvo")</f>
        <v>Juntos</v>
      </c>
      <c r="K1153" s="17">
        <v>0</v>
      </c>
      <c r="L1153" s="17">
        <v>0</v>
      </c>
      <c r="M1153" s="17">
        <v>0</v>
      </c>
      <c r="N1153" s="17">
        <v>1</v>
      </c>
      <c r="O1153" s="17">
        <v>0</v>
      </c>
      <c r="P1153" s="17">
        <v>0</v>
      </c>
      <c r="Q1153" s="17">
        <v>0</v>
      </c>
      <c r="R1153" s="17">
        <v>1</v>
      </c>
      <c r="S1153" s="17">
        <v>0</v>
      </c>
      <c r="T1153" s="17">
        <v>0</v>
      </c>
      <c r="U1153" s="17">
        <v>224</v>
      </c>
      <c r="V1153" s="13" t="str" cm="1">
        <f t="array" ref="V1153">_xlfn.IFS(U1153&lt;=250,"0-R$250",U1153&lt;=500,"251-R$500",U1153&lt;=750,"501-R$750",U1153&lt;=1000,"751-R$1000",U1153&lt;=1250,"1001-R$1250",U1153&lt;=1500,"1251-R$1500")</f>
        <v>0-R$250</v>
      </c>
      <c r="W1153" s="17">
        <v>12</v>
      </c>
      <c r="X1153" s="13" t="str" cm="1">
        <f t="array" ref="X1153">_xlfn.IFS(W1153 = 0, "0", W1153&lt;=20, "até R$20",W1153&lt;=40, "21 - R$40",W1153&lt;=60, "41- R$60",W1153&lt;=80, "61 - R$80", W1153&lt;=100, "81 - R$100",W1153&lt;=120, "101 - R$120",W1153&lt;=140, "121 - R$140", W1153&lt;=160, "141- R$160", W1153&lt;=180, "161 - R$180", W1153&lt;=200, "181-R$194")</f>
        <v>até R$20</v>
      </c>
      <c r="Y1153" s="17">
        <v>48</v>
      </c>
      <c r="Z1153" s="17">
        <v>4</v>
      </c>
      <c r="AA1153" s="17">
        <v>12</v>
      </c>
      <c r="AB1153" s="17">
        <v>12</v>
      </c>
      <c r="AC1153" s="17">
        <v>1</v>
      </c>
      <c r="AD1153" s="17">
        <v>6</v>
      </c>
      <c r="AE1153" s="17">
        <v>2</v>
      </c>
      <c r="AF1153" s="17">
        <v>4</v>
      </c>
      <c r="AG1153" s="17">
        <v>6</v>
      </c>
      <c r="AH1153" s="17">
        <v>0</v>
      </c>
      <c r="AI1153" s="17">
        <v>0</v>
      </c>
      <c r="AJ1153" s="17">
        <v>0</v>
      </c>
      <c r="AK1153" s="17">
        <v>0</v>
      </c>
      <c r="AL1153" s="17">
        <v>0</v>
      </c>
      <c r="AM1153" s="17">
        <v>0</v>
      </c>
      <c r="AN1153" s="17">
        <v>0</v>
      </c>
      <c r="AO1153" s="18">
        <v>0</v>
      </c>
      <c r="AP1153" s="17">
        <v>3</v>
      </c>
      <c r="AQ1153" s="17">
        <v>11</v>
      </c>
      <c r="AR1153" s="19">
        <v>288</v>
      </c>
      <c r="AS1153" s="19">
        <v>300</v>
      </c>
    </row>
    <row r="1154" spans="1:45" x14ac:dyDescent="0.25">
      <c r="A1154">
        <v>1358</v>
      </c>
      <c r="B1154" s="11">
        <f t="shared" ref="B1154:B1217" si="18">C1154/10</f>
        <v>57420</v>
      </c>
      <c r="C1154" s="12">
        <v>574200</v>
      </c>
      <c r="D1154" s="13">
        <v>0</v>
      </c>
      <c r="E1154" s="13">
        <v>1</v>
      </c>
      <c r="F1154" s="13">
        <v>22</v>
      </c>
      <c r="G1154" s="13">
        <v>49</v>
      </c>
      <c r="H1154" s="13" t="str" cm="1">
        <f t="array" ref="H1154">_xlfn.IFS(G1154&lt;=20,"0-20",G1154&lt;=30,"20-30",G1154&lt;=40,"30-40",G1154&lt;=50,"50-60",G1154&lt;=60,"60-70",G1154&lt;=70,"70-80",G1154&lt;=80,"80-90")</f>
        <v>50-60</v>
      </c>
      <c r="I1154" s="13">
        <v>2528</v>
      </c>
      <c r="J1154" s="13" t="str" cm="1">
        <f t="array" ref="J1154">_xlfn.IFS(K1154=1,"Divorciado",L1154=1,"Casado",M1154=1,"Solteiro",N1154=1,"Juntos",O1154=1,"Viuvo")</f>
        <v>Juntos</v>
      </c>
      <c r="K1154" s="13">
        <v>0</v>
      </c>
      <c r="L1154" s="13">
        <v>0</v>
      </c>
      <c r="M1154" s="13">
        <v>0</v>
      </c>
      <c r="N1154" s="13">
        <v>1</v>
      </c>
      <c r="O1154" s="13">
        <v>0</v>
      </c>
      <c r="P1154" s="13">
        <v>0</v>
      </c>
      <c r="Q1154" s="13">
        <v>0</v>
      </c>
      <c r="R1154" s="13">
        <v>0</v>
      </c>
      <c r="S1154" s="13">
        <v>1</v>
      </c>
      <c r="T1154" s="13">
        <v>0</v>
      </c>
      <c r="U1154" s="13">
        <v>280</v>
      </c>
      <c r="V1154" s="13" t="str" cm="1">
        <f t="array" ref="V1154">_xlfn.IFS(U1154&lt;=250,"0-R$250",U1154&lt;=500,"251-R$500",U1154&lt;=750,"501-R$750",U1154&lt;=1000,"751-R$1000",U1154&lt;=1250,"1001-R$1250",U1154&lt;=1500,"1251-R$1500")</f>
        <v>251-R$500</v>
      </c>
      <c r="W1154" s="13">
        <v>0</v>
      </c>
      <c r="X1154" s="13" t="str" cm="1">
        <f t="array" ref="X1154">_xlfn.IFS(W1154 = 0, "0", W1154&lt;=20, "até R$20",W1154&lt;=40, "21 - R$40",W1154&lt;=60, "41- R$60",W1154&lt;=80, "61 - R$80", W1154&lt;=100, "81 - R$100",W1154&lt;=120, "101 - R$120",W1154&lt;=140, "121 - R$140", W1154&lt;=160, "141- R$160", W1154&lt;=180, "161 - R$180", W1154&lt;=200, "181-R$194")</f>
        <v>0</v>
      </c>
      <c r="Y1154" s="13">
        <v>18</v>
      </c>
      <c r="Z1154" s="13">
        <v>0</v>
      </c>
      <c r="AA1154" s="13">
        <v>0</v>
      </c>
      <c r="AB1154" s="13">
        <v>24</v>
      </c>
      <c r="AC1154" s="13">
        <v>3</v>
      </c>
      <c r="AD1154" s="13">
        <v>5</v>
      </c>
      <c r="AE1154" s="13">
        <v>1</v>
      </c>
      <c r="AF1154" s="13">
        <v>6</v>
      </c>
      <c r="AG1154" s="13">
        <v>7</v>
      </c>
      <c r="AH1154" s="13">
        <v>0</v>
      </c>
      <c r="AI1154" s="13">
        <v>0</v>
      </c>
      <c r="AJ1154" s="13">
        <v>1</v>
      </c>
      <c r="AK1154" s="13">
        <v>0</v>
      </c>
      <c r="AL1154" s="13">
        <v>0</v>
      </c>
      <c r="AM1154" s="13">
        <v>0</v>
      </c>
      <c r="AN1154" s="13">
        <v>0</v>
      </c>
      <c r="AO1154" s="14">
        <v>1</v>
      </c>
      <c r="AP1154" s="13">
        <v>3</v>
      </c>
      <c r="AQ1154" s="13">
        <v>11</v>
      </c>
      <c r="AR1154" s="15">
        <v>274</v>
      </c>
      <c r="AS1154" s="15">
        <v>298</v>
      </c>
    </row>
    <row r="1155" spans="1:45" x14ac:dyDescent="0.25">
      <c r="A1155">
        <v>872</v>
      </c>
      <c r="B1155" s="11">
        <f t="shared" si="18"/>
        <v>51390</v>
      </c>
      <c r="C1155" s="12">
        <v>513900</v>
      </c>
      <c r="D1155" s="13">
        <v>1</v>
      </c>
      <c r="E1155" s="13">
        <v>1</v>
      </c>
      <c r="F1155" s="13">
        <v>54</v>
      </c>
      <c r="G1155" s="13">
        <v>55</v>
      </c>
      <c r="H1155" s="13" t="str" cm="1">
        <f t="array" ref="H1155">_xlfn.IFS(G1155&lt;=20,"0-20",G1155&lt;=30,"20-30",G1155&lt;=40,"30-40",G1155&lt;=50,"50-60",G1155&lt;=60,"60-70",G1155&lt;=70,"70-80",G1155&lt;=80,"80-90")</f>
        <v>60-70</v>
      </c>
      <c r="I1155" s="13">
        <v>2818</v>
      </c>
      <c r="J1155" s="13" t="str" cm="1">
        <f t="array" ref="J1155">_xlfn.IFS(K1155=1,"Divorciado",L1155=1,"Casado",M1155=1,"Solteiro",N1155=1,"Juntos",O1155=1,"Viuvo")</f>
        <v>Viuvo</v>
      </c>
      <c r="K1155" s="13">
        <v>0</v>
      </c>
      <c r="L1155" s="13">
        <v>0</v>
      </c>
      <c r="M1155" s="13">
        <v>0</v>
      </c>
      <c r="N1155" s="13">
        <v>0</v>
      </c>
      <c r="O1155" s="13">
        <v>1</v>
      </c>
      <c r="P1155" s="13">
        <v>0</v>
      </c>
      <c r="Q1155" s="13">
        <v>0</v>
      </c>
      <c r="R1155" s="13">
        <v>0</v>
      </c>
      <c r="S1155" s="13">
        <v>1</v>
      </c>
      <c r="T1155" s="13">
        <v>0</v>
      </c>
      <c r="U1155" s="13">
        <v>205</v>
      </c>
      <c r="V1155" s="13" t="str" cm="1">
        <f t="array" ref="V1155">_xlfn.IFS(U1155&lt;=250,"0-R$250",U1155&lt;=500,"251-R$500",U1155&lt;=750,"501-R$750",U1155&lt;=1000,"751-R$1000",U1155&lt;=1250,"1001-R$1250",U1155&lt;=1500,"1251-R$1500")</f>
        <v>0-R$250</v>
      </c>
      <c r="W1155" s="13">
        <v>20</v>
      </c>
      <c r="X1155" s="13" t="str" cm="1">
        <f t="array" ref="X1155">_xlfn.IFS(W1155 = 0, "0", W1155&lt;=20, "até R$20",W1155&lt;=40, "21 - R$40",W1155&lt;=60, "41- R$60",W1155&lt;=80, "61 - R$80", W1155&lt;=100, "81 - R$100",W1155&lt;=120, "101 - R$120",W1155&lt;=140, "121 - R$140", W1155&lt;=160, "141- R$160", W1155&lt;=180, "161 - R$180", W1155&lt;=200, "181-R$194")</f>
        <v>até R$20</v>
      </c>
      <c r="Y1155" s="13">
        <v>47</v>
      </c>
      <c r="Z1155" s="13">
        <v>23</v>
      </c>
      <c r="AA1155" s="13">
        <v>2</v>
      </c>
      <c r="AB1155" s="13">
        <v>56</v>
      </c>
      <c r="AC1155" s="13">
        <v>6</v>
      </c>
      <c r="AD1155" s="13">
        <v>5</v>
      </c>
      <c r="AE1155" s="13">
        <v>2</v>
      </c>
      <c r="AF1155" s="13">
        <v>5</v>
      </c>
      <c r="AG1155" s="13">
        <v>5</v>
      </c>
      <c r="AH1155" s="13">
        <v>0</v>
      </c>
      <c r="AI1155" s="13">
        <v>0</v>
      </c>
      <c r="AJ1155" s="13">
        <v>0</v>
      </c>
      <c r="AK1155" s="13">
        <v>0</v>
      </c>
      <c r="AL1155" s="13">
        <v>0</v>
      </c>
      <c r="AM1155" s="13">
        <v>0</v>
      </c>
      <c r="AN1155" s="13">
        <v>0</v>
      </c>
      <c r="AO1155" s="14">
        <v>0</v>
      </c>
      <c r="AP1155" s="13">
        <v>3</v>
      </c>
      <c r="AQ1155" s="13">
        <v>11</v>
      </c>
      <c r="AR1155" s="15">
        <v>241</v>
      </c>
      <c r="AS1155" s="15">
        <v>297</v>
      </c>
    </row>
    <row r="1156" spans="1:45" x14ac:dyDescent="0.25">
      <c r="A1156">
        <v>1116</v>
      </c>
      <c r="B1156" s="11">
        <f t="shared" si="18"/>
        <v>49669</v>
      </c>
      <c r="C1156" s="12">
        <v>496690</v>
      </c>
      <c r="D1156" s="13">
        <v>1</v>
      </c>
      <c r="E1156" s="13">
        <v>0</v>
      </c>
      <c r="F1156" s="13">
        <v>97</v>
      </c>
      <c r="G1156" s="13">
        <v>46</v>
      </c>
      <c r="H1156" s="13" t="str" cm="1">
        <f t="array" ref="H1156">_xlfn.IFS(G1156&lt;=20,"0-20",G1156&lt;=30,"20-30",G1156&lt;=40,"30-40",G1156&lt;=50,"50-60",G1156&lt;=60,"60-70",G1156&lt;=70,"70-80",G1156&lt;=80,"80-90")</f>
        <v>50-60</v>
      </c>
      <c r="I1156" s="13">
        <v>2195</v>
      </c>
      <c r="J1156" s="13" t="str" cm="1">
        <f t="array" ref="J1156">_xlfn.IFS(K1156=1,"Divorciado",L1156=1,"Casado",M1156=1,"Solteiro",N1156=1,"Juntos",O1156=1,"Viuvo")</f>
        <v>Juntos</v>
      </c>
      <c r="K1156" s="13">
        <v>0</v>
      </c>
      <c r="L1156" s="13">
        <v>0</v>
      </c>
      <c r="M1156" s="13">
        <v>0</v>
      </c>
      <c r="N1156" s="13">
        <v>1</v>
      </c>
      <c r="O1156" s="13">
        <v>0</v>
      </c>
      <c r="P1156" s="13">
        <v>1</v>
      </c>
      <c r="Q1156" s="13">
        <v>0</v>
      </c>
      <c r="R1156" s="13">
        <v>0</v>
      </c>
      <c r="S1156" s="13">
        <v>0</v>
      </c>
      <c r="T1156" s="13">
        <v>0</v>
      </c>
      <c r="U1156" s="13">
        <v>166</v>
      </c>
      <c r="V1156" s="13" t="str" cm="1">
        <f t="array" ref="V1156">_xlfn.IFS(U1156&lt;=250,"0-R$250",U1156&lt;=500,"251-R$500",U1156&lt;=750,"501-R$750",U1156&lt;=1000,"751-R$1000",U1156&lt;=1250,"1001-R$1250",U1156&lt;=1500,"1251-R$1500")</f>
        <v>0-R$250</v>
      </c>
      <c r="W1156" s="13">
        <v>5</v>
      </c>
      <c r="X1156" s="13" t="str" cm="1">
        <f t="array" ref="X1156">_xlfn.IFS(W1156 = 0, "0", W1156&lt;=20, "até R$20",W1156&lt;=40, "21 - R$40",W1156&lt;=60, "41- R$60",W1156&lt;=80, "61 - R$80", W1156&lt;=100, "81 - R$100",W1156&lt;=120, "101 - R$120",W1156&lt;=140, "121 - R$140", W1156&lt;=160, "141- R$160", W1156&lt;=180, "161 - R$180", W1156&lt;=200, "181-R$194")</f>
        <v>até R$20</v>
      </c>
      <c r="Y1156" s="13">
        <v>107</v>
      </c>
      <c r="Z1156" s="13">
        <v>11</v>
      </c>
      <c r="AA1156" s="13">
        <v>8</v>
      </c>
      <c r="AB1156" s="13">
        <v>29</v>
      </c>
      <c r="AC1156" s="13">
        <v>2</v>
      </c>
      <c r="AD1156" s="13">
        <v>5</v>
      </c>
      <c r="AE1156" s="13">
        <v>1</v>
      </c>
      <c r="AF1156" s="13">
        <v>6</v>
      </c>
      <c r="AG1156" s="13">
        <v>6</v>
      </c>
      <c r="AH1156" s="13">
        <v>0</v>
      </c>
      <c r="AI1156" s="13">
        <v>0</v>
      </c>
      <c r="AJ1156" s="13">
        <v>0</v>
      </c>
      <c r="AK1156" s="13">
        <v>0</v>
      </c>
      <c r="AL1156" s="13">
        <v>0</v>
      </c>
      <c r="AM1156" s="13">
        <v>0</v>
      </c>
      <c r="AN1156" s="13">
        <v>0</v>
      </c>
      <c r="AO1156" s="14">
        <v>0</v>
      </c>
      <c r="AP1156" s="13">
        <v>3</v>
      </c>
      <c r="AQ1156" s="13">
        <v>11</v>
      </c>
      <c r="AR1156" s="15">
        <v>268</v>
      </c>
      <c r="AS1156" s="15">
        <v>297</v>
      </c>
    </row>
    <row r="1157" spans="1:45" x14ac:dyDescent="0.25">
      <c r="A1157">
        <v>1292</v>
      </c>
      <c r="B1157" s="11">
        <f t="shared" si="18"/>
        <v>45143</v>
      </c>
      <c r="C1157" s="12">
        <v>451430</v>
      </c>
      <c r="D1157" s="13">
        <v>0</v>
      </c>
      <c r="E1157" s="13">
        <v>1</v>
      </c>
      <c r="F1157" s="13">
        <v>74</v>
      </c>
      <c r="G1157" s="13">
        <v>55</v>
      </c>
      <c r="H1157" s="13" t="str" cm="1">
        <f t="array" ref="H1157">_xlfn.IFS(G1157&lt;=20,"0-20",G1157&lt;=30,"20-30",G1157&lt;=40,"30-40",G1157&lt;=50,"50-60",G1157&lt;=60,"60-70",G1157&lt;=70,"70-80",G1157&lt;=80,"80-90")</f>
        <v>60-70</v>
      </c>
      <c r="I1157" s="13">
        <v>2466</v>
      </c>
      <c r="J1157" s="13" t="str" cm="1">
        <f t="array" ref="J1157">_xlfn.IFS(K1157=1,"Divorciado",L1157=1,"Casado",M1157=1,"Solteiro",N1157=1,"Juntos",O1157=1,"Viuvo")</f>
        <v>Juntos</v>
      </c>
      <c r="K1157" s="13">
        <v>0</v>
      </c>
      <c r="L1157" s="13">
        <v>0</v>
      </c>
      <c r="M1157" s="13">
        <v>0</v>
      </c>
      <c r="N1157" s="13">
        <v>1</v>
      </c>
      <c r="O1157" s="13">
        <v>0</v>
      </c>
      <c r="P1157" s="13">
        <v>0</v>
      </c>
      <c r="Q1157" s="13">
        <v>0</v>
      </c>
      <c r="R1157" s="13">
        <v>0</v>
      </c>
      <c r="S1157" s="13">
        <v>1</v>
      </c>
      <c r="T1157" s="13">
        <v>0</v>
      </c>
      <c r="U1157" s="13">
        <v>202</v>
      </c>
      <c r="V1157" s="13" t="str" cm="1">
        <f t="array" ref="V1157">_xlfn.IFS(U1157&lt;=250,"0-R$250",U1157&lt;=500,"251-R$500",U1157&lt;=750,"501-R$750",U1157&lt;=1000,"751-R$1000",U1157&lt;=1250,"1001-R$1250",U1157&lt;=1500,"1251-R$1500")</f>
        <v>0-R$250</v>
      </c>
      <c r="W1157" s="13">
        <v>5</v>
      </c>
      <c r="X1157" s="13" t="str" cm="1">
        <f t="array" ref="X1157">_xlfn.IFS(W1157 = 0, "0", W1157&lt;=20, "até R$20",W1157&lt;=40, "21 - R$40",W1157&lt;=60, "41- R$60",W1157&lt;=80, "61 - R$80", W1157&lt;=100, "81 - R$100",W1157&lt;=120, "101 - R$120",W1157&lt;=140, "121 - R$140", W1157&lt;=160, "141- R$160", W1157&lt;=180, "161 - R$180", W1157&lt;=200, "181-R$194")</f>
        <v>até R$20</v>
      </c>
      <c r="Y1157" s="13">
        <v>74</v>
      </c>
      <c r="Z1157" s="13">
        <v>11</v>
      </c>
      <c r="AA1157" s="13">
        <v>5</v>
      </c>
      <c r="AB1157" s="13">
        <v>14</v>
      </c>
      <c r="AC1157" s="13">
        <v>3</v>
      </c>
      <c r="AD1157" s="13">
        <v>6</v>
      </c>
      <c r="AE1157" s="13">
        <v>1</v>
      </c>
      <c r="AF1157" s="13">
        <v>5</v>
      </c>
      <c r="AG1157" s="13">
        <v>7</v>
      </c>
      <c r="AH1157" s="13">
        <v>0</v>
      </c>
      <c r="AI1157" s="13">
        <v>0</v>
      </c>
      <c r="AJ1157" s="13">
        <v>0</v>
      </c>
      <c r="AK1157" s="13">
        <v>0</v>
      </c>
      <c r="AL1157" s="13">
        <v>0</v>
      </c>
      <c r="AM1157" s="13">
        <v>0</v>
      </c>
      <c r="AN1157" s="13">
        <v>0</v>
      </c>
      <c r="AO1157" s="14">
        <v>0</v>
      </c>
      <c r="AP1157" s="13">
        <v>3</v>
      </c>
      <c r="AQ1157" s="13">
        <v>11</v>
      </c>
      <c r="AR1157" s="15">
        <v>283</v>
      </c>
      <c r="AS1157" s="15">
        <v>297</v>
      </c>
    </row>
    <row r="1158" spans="1:45" x14ac:dyDescent="0.25">
      <c r="A1158">
        <v>1303</v>
      </c>
      <c r="B1158" s="11">
        <f t="shared" si="18"/>
        <v>37774</v>
      </c>
      <c r="C1158" s="16">
        <v>377740</v>
      </c>
      <c r="D1158" s="17">
        <v>2</v>
      </c>
      <c r="E1158" s="17">
        <v>0</v>
      </c>
      <c r="F1158" s="17">
        <v>28</v>
      </c>
      <c r="G1158" s="17">
        <v>43</v>
      </c>
      <c r="H1158" s="13" t="str" cm="1">
        <f t="array" ref="H1158">_xlfn.IFS(G1158&lt;=20,"0-20",G1158&lt;=30,"20-30",G1158&lt;=40,"30-40",G1158&lt;=50,"50-60",G1158&lt;=60,"60-70",G1158&lt;=70,"70-80",G1158&lt;=80,"80-90")</f>
        <v>50-60</v>
      </c>
      <c r="I1158" s="17">
        <v>2823</v>
      </c>
      <c r="J1158" s="13" t="str" cm="1">
        <f t="array" ref="J1158">_xlfn.IFS(K1158=1,"Divorciado",L1158=1,"Casado",M1158=1,"Solteiro",N1158=1,"Juntos",O1158=1,"Viuvo")</f>
        <v>Solteiro</v>
      </c>
      <c r="K1158" s="17">
        <v>0</v>
      </c>
      <c r="L1158" s="17">
        <v>0</v>
      </c>
      <c r="M1158" s="17">
        <v>1</v>
      </c>
      <c r="N1158" s="17">
        <v>0</v>
      </c>
      <c r="O1158" s="17">
        <v>0</v>
      </c>
      <c r="P1158" s="17">
        <v>0</v>
      </c>
      <c r="Q1158" s="17">
        <v>0</v>
      </c>
      <c r="R1158" s="17">
        <v>1</v>
      </c>
      <c r="S1158" s="17">
        <v>0</v>
      </c>
      <c r="T1158" s="17">
        <v>0</v>
      </c>
      <c r="U1158" s="17">
        <v>173</v>
      </c>
      <c r="V1158" s="13" t="str" cm="1">
        <f t="array" ref="V1158">_xlfn.IFS(U1158&lt;=250,"0-R$250",U1158&lt;=500,"251-R$500",U1158&lt;=750,"501-R$750",U1158&lt;=1000,"751-R$1000",U1158&lt;=1250,"1001-R$1250",U1158&lt;=1500,"1251-R$1500")</f>
        <v>0-R$250</v>
      </c>
      <c r="W1158" s="17">
        <v>8</v>
      </c>
      <c r="X1158" s="13" t="str" cm="1">
        <f t="array" ref="X1158">_xlfn.IFS(W1158 = 0, "0", W1158&lt;=20, "até R$20",W1158&lt;=40, "21 - R$40",W1158&lt;=60, "41- R$60",W1158&lt;=80, "61 - R$80", W1158&lt;=100, "81 - R$100",W1158&lt;=120, "101 - R$120",W1158&lt;=140, "121 - R$140", W1158&lt;=160, "141- R$160", W1158&lt;=180, "161 - R$180", W1158&lt;=200, "181-R$194")</f>
        <v>até R$20</v>
      </c>
      <c r="Y1158" s="17">
        <v>107</v>
      </c>
      <c r="Z1158" s="17">
        <v>7</v>
      </c>
      <c r="AA1158" s="17">
        <v>2</v>
      </c>
      <c r="AB1158" s="17">
        <v>176</v>
      </c>
      <c r="AC1158" s="17">
        <v>4</v>
      </c>
      <c r="AD1158" s="17">
        <v>7</v>
      </c>
      <c r="AE1158" s="17">
        <v>2</v>
      </c>
      <c r="AF1158" s="17">
        <v>3</v>
      </c>
      <c r="AG1158" s="17">
        <v>9</v>
      </c>
      <c r="AH1158" s="17">
        <v>1</v>
      </c>
      <c r="AI1158" s="17">
        <v>1</v>
      </c>
      <c r="AJ1158" s="17">
        <v>0</v>
      </c>
      <c r="AK1158" s="17">
        <v>0</v>
      </c>
      <c r="AL1158" s="17">
        <v>0</v>
      </c>
      <c r="AM1158" s="17">
        <v>0</v>
      </c>
      <c r="AN1158" s="17">
        <v>1</v>
      </c>
      <c r="AO1158" s="18">
        <v>1</v>
      </c>
      <c r="AP1158" s="17">
        <v>3</v>
      </c>
      <c r="AQ1158" s="17">
        <v>11</v>
      </c>
      <c r="AR1158" s="19">
        <v>121</v>
      </c>
      <c r="AS1158" s="19">
        <v>297</v>
      </c>
    </row>
    <row r="1159" spans="1:45" x14ac:dyDescent="0.25">
      <c r="A1159">
        <v>1569</v>
      </c>
      <c r="B1159" s="11">
        <f t="shared" si="18"/>
        <v>45143</v>
      </c>
      <c r="C1159" s="16">
        <v>451430</v>
      </c>
      <c r="D1159" s="17">
        <v>0</v>
      </c>
      <c r="E1159" s="17">
        <v>1</v>
      </c>
      <c r="F1159" s="17">
        <v>74</v>
      </c>
      <c r="G1159" s="17">
        <v>55</v>
      </c>
      <c r="H1159" s="13" t="str" cm="1">
        <f t="array" ref="H1159">_xlfn.IFS(G1159&lt;=20,"0-20",G1159&lt;=30,"20-30",G1159&lt;=40,"30-40",G1159&lt;=50,"50-60",G1159&lt;=60,"60-70",G1159&lt;=70,"70-80",G1159&lt;=80,"80-90")</f>
        <v>60-70</v>
      </c>
      <c r="I1159" s="17">
        <v>2466</v>
      </c>
      <c r="J1159" s="13" t="str" cm="1">
        <f t="array" ref="J1159">_xlfn.IFS(K1159=1,"Divorciado",L1159=1,"Casado",M1159=1,"Solteiro",N1159=1,"Juntos",O1159=1,"Viuvo")</f>
        <v>Juntos</v>
      </c>
      <c r="K1159" s="17">
        <v>0</v>
      </c>
      <c r="L1159" s="17">
        <v>0</v>
      </c>
      <c r="M1159" s="17">
        <v>0</v>
      </c>
      <c r="N1159" s="17">
        <v>1</v>
      </c>
      <c r="O1159" s="17">
        <v>0</v>
      </c>
      <c r="P1159" s="17">
        <v>0</v>
      </c>
      <c r="Q1159" s="17">
        <v>0</v>
      </c>
      <c r="R1159" s="17">
        <v>0</v>
      </c>
      <c r="S1159" s="17">
        <v>1</v>
      </c>
      <c r="T1159" s="17">
        <v>0</v>
      </c>
      <c r="U1159" s="17">
        <v>202</v>
      </c>
      <c r="V1159" s="13" t="str" cm="1">
        <f t="array" ref="V1159">_xlfn.IFS(U1159&lt;=250,"0-R$250",U1159&lt;=500,"251-R$500",U1159&lt;=750,"501-R$750",U1159&lt;=1000,"751-R$1000",U1159&lt;=1250,"1001-R$1250",U1159&lt;=1500,"1251-R$1500")</f>
        <v>0-R$250</v>
      </c>
      <c r="W1159" s="17">
        <v>5</v>
      </c>
      <c r="X1159" s="13" t="str" cm="1">
        <f t="array" ref="X1159">_xlfn.IFS(W1159 = 0, "0", W1159&lt;=20, "até R$20",W1159&lt;=40, "21 - R$40",W1159&lt;=60, "41- R$60",W1159&lt;=80, "61 - R$80", W1159&lt;=100, "81 - R$100",W1159&lt;=120, "101 - R$120",W1159&lt;=140, "121 - R$140", W1159&lt;=160, "141- R$160", W1159&lt;=180, "161 - R$180", W1159&lt;=200, "181-R$194")</f>
        <v>até R$20</v>
      </c>
      <c r="Y1159" s="17">
        <v>74</v>
      </c>
      <c r="Z1159" s="17">
        <v>11</v>
      </c>
      <c r="AA1159" s="17">
        <v>5</v>
      </c>
      <c r="AB1159" s="17">
        <v>14</v>
      </c>
      <c r="AC1159" s="17">
        <v>3</v>
      </c>
      <c r="AD1159" s="17">
        <v>6</v>
      </c>
      <c r="AE1159" s="17">
        <v>1</v>
      </c>
      <c r="AF1159" s="17">
        <v>5</v>
      </c>
      <c r="AG1159" s="17">
        <v>7</v>
      </c>
      <c r="AH1159" s="17">
        <v>0</v>
      </c>
      <c r="AI1159" s="17">
        <v>0</v>
      </c>
      <c r="AJ1159" s="17">
        <v>0</v>
      </c>
      <c r="AK1159" s="17">
        <v>0</v>
      </c>
      <c r="AL1159" s="17">
        <v>0</v>
      </c>
      <c r="AM1159" s="17">
        <v>0</v>
      </c>
      <c r="AN1159" s="17">
        <v>0</v>
      </c>
      <c r="AO1159" s="18">
        <v>0</v>
      </c>
      <c r="AP1159" s="17">
        <v>3</v>
      </c>
      <c r="AQ1159" s="17">
        <v>11</v>
      </c>
      <c r="AR1159" s="19">
        <v>283</v>
      </c>
      <c r="AS1159" s="19">
        <v>297</v>
      </c>
    </row>
    <row r="1160" spans="1:45" x14ac:dyDescent="0.25">
      <c r="A1160">
        <v>1879</v>
      </c>
      <c r="B1160" s="11">
        <f t="shared" si="18"/>
        <v>45688</v>
      </c>
      <c r="C1160" s="16">
        <v>456880</v>
      </c>
      <c r="D1160" s="17">
        <v>0</v>
      </c>
      <c r="E1160" s="17">
        <v>1</v>
      </c>
      <c r="F1160" s="17">
        <v>20</v>
      </c>
      <c r="G1160" s="17">
        <v>52</v>
      </c>
      <c r="H1160" s="13" t="str" cm="1">
        <f t="array" ref="H1160">_xlfn.IFS(G1160&lt;=20,"0-20",G1160&lt;=30,"20-30",G1160&lt;=40,"30-40",G1160&lt;=50,"50-60",G1160&lt;=60,"60-70",G1160&lt;=70,"70-80",G1160&lt;=80,"80-90")</f>
        <v>60-70</v>
      </c>
      <c r="I1160" s="17">
        <v>2314</v>
      </c>
      <c r="J1160" s="13" t="str" cm="1">
        <f t="array" ref="J1160">_xlfn.IFS(K1160=1,"Divorciado",L1160=1,"Casado",M1160=1,"Solteiro",N1160=1,"Juntos",O1160=1,"Viuvo")</f>
        <v>Casado</v>
      </c>
      <c r="K1160" s="17">
        <v>0</v>
      </c>
      <c r="L1160" s="17">
        <v>1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1</v>
      </c>
      <c r="S1160" s="17">
        <v>0</v>
      </c>
      <c r="T1160" s="17">
        <v>0</v>
      </c>
      <c r="U1160" s="17">
        <v>279</v>
      </c>
      <c r="V1160" s="13" t="str" cm="1">
        <f t="array" ref="V1160">_xlfn.IFS(U1160&lt;=250,"0-R$250",U1160&lt;=500,"251-R$500",U1160&lt;=750,"501-R$750",U1160&lt;=1000,"751-R$1000",U1160&lt;=1250,"1001-R$1250",U1160&lt;=1500,"1251-R$1500")</f>
        <v>251-R$500</v>
      </c>
      <c r="W1160" s="17">
        <v>0</v>
      </c>
      <c r="X1160" s="13" t="str" cm="1">
        <f t="array" ref="X1160">_xlfn.IFS(W1160 = 0, "0", W1160&lt;=20, "até R$20",W1160&lt;=40, "21 - R$40",W1160&lt;=60, "41- R$60",W1160&lt;=80, "61 - R$80", W1160&lt;=100, "81 - R$100",W1160&lt;=120, "101 - R$120",W1160&lt;=140, "121 - R$140", W1160&lt;=160, "141- R$160", W1160&lt;=180, "161 - R$180", W1160&lt;=200, "181-R$194")</f>
        <v>0</v>
      </c>
      <c r="Y1160" s="17">
        <v>18</v>
      </c>
      <c r="Z1160" s="17">
        <v>0</v>
      </c>
      <c r="AA1160" s="17">
        <v>0</v>
      </c>
      <c r="AB1160" s="17">
        <v>9</v>
      </c>
      <c r="AC1160" s="17">
        <v>2</v>
      </c>
      <c r="AD1160" s="17">
        <v>3</v>
      </c>
      <c r="AE1160" s="17">
        <v>1</v>
      </c>
      <c r="AF1160" s="17">
        <v>8</v>
      </c>
      <c r="AG1160" s="17">
        <v>4</v>
      </c>
      <c r="AH1160" s="17">
        <v>0</v>
      </c>
      <c r="AI1160" s="17">
        <v>0</v>
      </c>
      <c r="AJ1160" s="17">
        <v>1</v>
      </c>
      <c r="AK1160" s="17">
        <v>0</v>
      </c>
      <c r="AL1160" s="17">
        <v>0</v>
      </c>
      <c r="AM1160" s="17">
        <v>0</v>
      </c>
      <c r="AN1160" s="17">
        <v>0</v>
      </c>
      <c r="AO1160" s="18">
        <v>1</v>
      </c>
      <c r="AP1160" s="17">
        <v>3</v>
      </c>
      <c r="AQ1160" s="17">
        <v>11</v>
      </c>
      <c r="AR1160" s="19">
        <v>288</v>
      </c>
      <c r="AS1160" s="19">
        <v>297</v>
      </c>
    </row>
    <row r="1161" spans="1:45" x14ac:dyDescent="0.25">
      <c r="A1161">
        <v>13</v>
      </c>
      <c r="B1161" s="11">
        <f t="shared" si="18"/>
        <v>59354</v>
      </c>
      <c r="C1161" s="16">
        <v>593540</v>
      </c>
      <c r="D1161" s="17">
        <v>1</v>
      </c>
      <c r="E1161" s="17">
        <v>1</v>
      </c>
      <c r="F1161" s="17">
        <v>53</v>
      </c>
      <c r="G1161" s="17">
        <v>68</v>
      </c>
      <c r="H1161" s="13" t="str" cm="1">
        <f t="array" ref="H1161">_xlfn.IFS(G1161&lt;=20,"0-20",G1161&lt;=30,"20-30",G1161&lt;=40,"30-40",G1161&lt;=50,"50-60",G1161&lt;=60,"60-70",G1161&lt;=70,"70-80",G1161&lt;=80,"80-90")</f>
        <v>70-80</v>
      </c>
      <c r="I1161" s="17">
        <v>2385</v>
      </c>
      <c r="J1161" s="13" t="str" cm="1">
        <f t="array" ref="J1161">_xlfn.IFS(K1161=1,"Divorciado",L1161=1,"Casado",M1161=1,"Solteiro",N1161=1,"Juntos",O1161=1,"Viuvo")</f>
        <v>Divorciado</v>
      </c>
      <c r="K1161" s="17">
        <v>1</v>
      </c>
      <c r="L1161" s="17">
        <v>0</v>
      </c>
      <c r="M1161" s="17">
        <v>0</v>
      </c>
      <c r="N1161" s="17">
        <v>0</v>
      </c>
      <c r="O1161" s="17">
        <v>0</v>
      </c>
      <c r="P1161" s="17">
        <v>0</v>
      </c>
      <c r="Q1161" s="17">
        <v>0</v>
      </c>
      <c r="R1161" s="17">
        <v>0</v>
      </c>
      <c r="S1161" s="17">
        <v>1</v>
      </c>
      <c r="T1161" s="17">
        <v>0</v>
      </c>
      <c r="U1161" s="17">
        <v>233</v>
      </c>
      <c r="V1161" s="13" t="str" cm="1">
        <f t="array" ref="V1161">_xlfn.IFS(U1161&lt;=250,"0-R$250",U1161&lt;=500,"251-R$500",U1161&lt;=750,"501-R$750",U1161&lt;=1000,"751-R$1000",U1161&lt;=1250,"1001-R$1250",U1161&lt;=1500,"1251-R$1500")</f>
        <v>0-R$250</v>
      </c>
      <c r="W1161" s="17">
        <v>2</v>
      </c>
      <c r="X1161" s="13" t="str" cm="1">
        <f t="array" ref="X1161">_xlfn.IFS(W1161 = 0, "0", W1161&lt;=20, "até R$20",W1161&lt;=40, "21 - R$40",W1161&lt;=60, "41- R$60",W1161&lt;=80, "61 - R$80", W1161&lt;=100, "81 - R$100",W1161&lt;=120, "101 - R$120",W1161&lt;=140, "121 - R$140", W1161&lt;=160, "141- R$160", W1161&lt;=180, "161 - R$180", W1161&lt;=200, "181-R$194")</f>
        <v>até R$20</v>
      </c>
      <c r="Y1161" s="17">
        <v>53</v>
      </c>
      <c r="Z1161" s="17">
        <v>3</v>
      </c>
      <c r="AA1161" s="17">
        <v>5</v>
      </c>
      <c r="AB1161" s="17">
        <v>14</v>
      </c>
      <c r="AC1161" s="17">
        <v>3</v>
      </c>
      <c r="AD1161" s="17">
        <v>6</v>
      </c>
      <c r="AE1161" s="17">
        <v>1</v>
      </c>
      <c r="AF1161" s="17">
        <v>5</v>
      </c>
      <c r="AG1161" s="17">
        <v>6</v>
      </c>
      <c r="AH1161" s="17">
        <v>0</v>
      </c>
      <c r="AI1161" s="17">
        <v>0</v>
      </c>
      <c r="AJ1161" s="17">
        <v>0</v>
      </c>
      <c r="AK1161" s="17">
        <v>0</v>
      </c>
      <c r="AL1161" s="17">
        <v>0</v>
      </c>
      <c r="AM1161" s="17">
        <v>0</v>
      </c>
      <c r="AN1161" s="17">
        <v>0</v>
      </c>
      <c r="AO1161" s="18">
        <v>0</v>
      </c>
      <c r="AP1161" s="17">
        <v>3</v>
      </c>
      <c r="AQ1161" s="17">
        <v>11</v>
      </c>
      <c r="AR1161" s="19">
        <v>282</v>
      </c>
      <c r="AS1161" s="19">
        <v>296</v>
      </c>
    </row>
    <row r="1162" spans="1:45" x14ac:dyDescent="0.25">
      <c r="A1162">
        <v>475</v>
      </c>
      <c r="B1162" s="11">
        <f t="shared" si="18"/>
        <v>46310</v>
      </c>
      <c r="C1162" s="16">
        <v>463100</v>
      </c>
      <c r="D1162" s="17">
        <v>1</v>
      </c>
      <c r="E1162" s="17">
        <v>0</v>
      </c>
      <c r="F1162" s="17">
        <v>99</v>
      </c>
      <c r="G1162" s="17">
        <v>44</v>
      </c>
      <c r="H1162" s="13" t="str" cm="1">
        <f t="array" ref="H1162">_xlfn.IFS(G1162&lt;=20,"0-20",G1162&lt;=30,"20-30",G1162&lt;=40,"30-40",G1162&lt;=50,"50-60",G1162&lt;=60,"60-70",G1162&lt;=70,"70-80",G1162&lt;=80,"80-90")</f>
        <v>50-60</v>
      </c>
      <c r="I1162" s="17">
        <v>2732</v>
      </c>
      <c r="J1162" s="13" t="str" cm="1">
        <f t="array" ref="J1162">_xlfn.IFS(K1162=1,"Divorciado",L1162=1,"Casado",M1162=1,"Solteiro",N1162=1,"Juntos",O1162=1,"Viuvo")</f>
        <v>Divorciado</v>
      </c>
      <c r="K1162" s="17">
        <v>1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1</v>
      </c>
      <c r="S1162" s="17">
        <v>0</v>
      </c>
      <c r="T1162" s="17">
        <v>0</v>
      </c>
      <c r="U1162" s="17">
        <v>185</v>
      </c>
      <c r="V1162" s="13" t="str" cm="1">
        <f t="array" ref="V1162">_xlfn.IFS(U1162&lt;=250,"0-R$250",U1162&lt;=500,"251-R$500",U1162&lt;=750,"501-R$750",U1162&lt;=1000,"751-R$1000",U1162&lt;=1250,"1001-R$1250",U1162&lt;=1500,"1251-R$1500")</f>
        <v>0-R$250</v>
      </c>
      <c r="W1162" s="17">
        <v>2</v>
      </c>
      <c r="X1162" s="13" t="str" cm="1">
        <f t="array" ref="X1162">_xlfn.IFS(W1162 = 0, "0", W1162&lt;=20, "até R$20",W1162&lt;=40, "21 - R$40",W1162&lt;=60, "41- R$60",W1162&lt;=80, "61 - R$80", W1162&lt;=100, "81 - R$100",W1162&lt;=120, "101 - R$120",W1162&lt;=140, "121 - R$140", W1162&lt;=160, "141- R$160", W1162&lt;=180, "161 - R$180", W1162&lt;=200, "181-R$194")</f>
        <v>até R$20</v>
      </c>
      <c r="Y1162" s="17">
        <v>88</v>
      </c>
      <c r="Z1162" s="17">
        <v>15</v>
      </c>
      <c r="AA1162" s="17">
        <v>5</v>
      </c>
      <c r="AB1162" s="17">
        <v>14</v>
      </c>
      <c r="AC1162" s="17">
        <v>2</v>
      </c>
      <c r="AD1162" s="17">
        <v>6</v>
      </c>
      <c r="AE1162" s="17">
        <v>1</v>
      </c>
      <c r="AF1162" s="17">
        <v>5</v>
      </c>
      <c r="AG1162" s="17">
        <v>8</v>
      </c>
      <c r="AH1162" s="17">
        <v>0</v>
      </c>
      <c r="AI1162" s="17">
        <v>0</v>
      </c>
      <c r="AJ1162" s="17">
        <v>0</v>
      </c>
      <c r="AK1162" s="17">
        <v>0</v>
      </c>
      <c r="AL1162" s="17">
        <v>0</v>
      </c>
      <c r="AM1162" s="17">
        <v>0</v>
      </c>
      <c r="AN1162" s="17">
        <v>0</v>
      </c>
      <c r="AO1162" s="18">
        <v>0</v>
      </c>
      <c r="AP1162" s="17">
        <v>3</v>
      </c>
      <c r="AQ1162" s="17">
        <v>11</v>
      </c>
      <c r="AR1162" s="19">
        <v>281</v>
      </c>
      <c r="AS1162" s="19">
        <v>295</v>
      </c>
    </row>
    <row r="1163" spans="1:45" x14ac:dyDescent="0.25">
      <c r="A1163">
        <v>1120</v>
      </c>
      <c r="B1163" s="11">
        <f t="shared" si="18"/>
        <v>49678</v>
      </c>
      <c r="C1163" s="12">
        <v>496780</v>
      </c>
      <c r="D1163" s="13">
        <v>0</v>
      </c>
      <c r="E1163" s="13">
        <v>1</v>
      </c>
      <c r="F1163" s="13">
        <v>81</v>
      </c>
      <c r="G1163" s="13">
        <v>59</v>
      </c>
      <c r="H1163" s="13" t="str" cm="1">
        <f t="array" ref="H1163">_xlfn.IFS(G1163&lt;=20,"0-20",G1163&lt;=30,"20-30",G1163&lt;=40,"30-40",G1163&lt;=50,"50-60",G1163&lt;=60,"60-70",G1163&lt;=70,"70-80",G1163&lt;=80,"80-90")</f>
        <v>60-70</v>
      </c>
      <c r="I1163" s="13">
        <v>2671</v>
      </c>
      <c r="J1163" s="13" t="str" cm="1">
        <f t="array" ref="J1163">_xlfn.IFS(K1163=1,"Divorciado",L1163=1,"Casado",M1163=1,"Solteiro",N1163=1,"Juntos",O1163=1,"Viuvo")</f>
        <v>Casado</v>
      </c>
      <c r="K1163" s="13">
        <v>0</v>
      </c>
      <c r="L1163" s="13">
        <v>1</v>
      </c>
      <c r="M1163" s="13">
        <v>0</v>
      </c>
      <c r="N1163" s="13">
        <v>0</v>
      </c>
      <c r="O1163" s="13">
        <v>0</v>
      </c>
      <c r="P1163" s="13">
        <v>0</v>
      </c>
      <c r="Q1163" s="13">
        <v>0</v>
      </c>
      <c r="R1163" s="13">
        <v>1</v>
      </c>
      <c r="S1163" s="13">
        <v>0</v>
      </c>
      <c r="T1163" s="13">
        <v>0</v>
      </c>
      <c r="U1163" s="13">
        <v>229</v>
      </c>
      <c r="V1163" s="13" t="str" cm="1">
        <f t="array" ref="V1163">_xlfn.IFS(U1163&lt;=250,"0-R$250",U1163&lt;=500,"251-R$500",U1163&lt;=750,"501-R$750",U1163&lt;=1000,"751-R$1000",U1163&lt;=1250,"1001-R$1250",U1163&lt;=1500,"1251-R$1500")</f>
        <v>0-R$250</v>
      </c>
      <c r="W1163" s="13">
        <v>5</v>
      </c>
      <c r="X1163" s="13" t="str" cm="1">
        <f t="array" ref="X1163">_xlfn.IFS(W1163 = 0, "0", W1163&lt;=20, "até R$20",W1163&lt;=40, "21 - R$40",W1163&lt;=60, "41- R$60",W1163&lt;=80, "61 - R$80", W1163&lt;=100, "81 - R$100",W1163&lt;=120, "101 - R$120",W1163&lt;=140, "121 - R$140", W1163&lt;=160, "141- R$160", W1163&lt;=180, "161 - R$180", W1163&lt;=200, "181-R$194")</f>
        <v>até R$20</v>
      </c>
      <c r="Y1163" s="13">
        <v>56</v>
      </c>
      <c r="Z1163" s="13">
        <v>3</v>
      </c>
      <c r="AA1163" s="13">
        <v>2</v>
      </c>
      <c r="AB1163" s="13">
        <v>20</v>
      </c>
      <c r="AC1163" s="13">
        <v>2</v>
      </c>
      <c r="AD1163" s="13">
        <v>6</v>
      </c>
      <c r="AE1163" s="13">
        <v>2</v>
      </c>
      <c r="AF1163" s="13">
        <v>4</v>
      </c>
      <c r="AG1163" s="13">
        <v>7</v>
      </c>
      <c r="AH1163" s="13">
        <v>0</v>
      </c>
      <c r="AI1163" s="13">
        <v>0</v>
      </c>
      <c r="AJ1163" s="13">
        <v>0</v>
      </c>
      <c r="AK1163" s="13">
        <v>0</v>
      </c>
      <c r="AL1163" s="13">
        <v>0</v>
      </c>
      <c r="AM1163" s="13">
        <v>0</v>
      </c>
      <c r="AN1163" s="13">
        <v>0</v>
      </c>
      <c r="AO1163" s="14">
        <v>0</v>
      </c>
      <c r="AP1163" s="13">
        <v>3</v>
      </c>
      <c r="AQ1163" s="13">
        <v>11</v>
      </c>
      <c r="AR1163" s="15">
        <v>275</v>
      </c>
      <c r="AS1163" s="15">
        <v>295</v>
      </c>
    </row>
    <row r="1164" spans="1:45" x14ac:dyDescent="0.25">
      <c r="A1164">
        <v>2116</v>
      </c>
      <c r="B1164" s="11">
        <f t="shared" si="18"/>
        <v>63516</v>
      </c>
      <c r="C1164" s="12">
        <v>635160</v>
      </c>
      <c r="D1164" s="13">
        <v>1</v>
      </c>
      <c r="E1164" s="13">
        <v>1</v>
      </c>
      <c r="F1164" s="13">
        <v>30</v>
      </c>
      <c r="G1164" s="13">
        <v>47</v>
      </c>
      <c r="H1164" s="13" t="str" cm="1">
        <f t="array" ref="H1164">_xlfn.IFS(G1164&lt;=20,"0-20",G1164&lt;=30,"20-30",G1164&lt;=40,"30-40",G1164&lt;=50,"50-60",G1164&lt;=60,"60-70",G1164&lt;=70,"70-80",G1164&lt;=80,"80-90")</f>
        <v>50-60</v>
      </c>
      <c r="I1164" s="13">
        <v>2517</v>
      </c>
      <c r="J1164" s="13" t="str" cm="1">
        <f t="array" ref="J1164">_xlfn.IFS(K1164=1,"Divorciado",L1164=1,"Casado",M1164=1,"Solteiro",N1164=1,"Juntos",O1164=1,"Viuvo")</f>
        <v>Juntos</v>
      </c>
      <c r="K1164" s="13">
        <v>0</v>
      </c>
      <c r="L1164" s="13">
        <v>0</v>
      </c>
      <c r="M1164" s="13">
        <v>0</v>
      </c>
      <c r="N1164" s="13">
        <v>1</v>
      </c>
      <c r="O1164" s="13">
        <v>0</v>
      </c>
      <c r="P1164" s="13">
        <v>0</v>
      </c>
      <c r="Q1164" s="13">
        <v>0</v>
      </c>
      <c r="R1164" s="13">
        <v>0</v>
      </c>
      <c r="S1164" s="13">
        <v>0</v>
      </c>
      <c r="T1164" s="13">
        <v>1</v>
      </c>
      <c r="U1164" s="13">
        <v>141</v>
      </c>
      <c r="V1164" s="13" t="str" cm="1">
        <f t="array" ref="V1164">_xlfn.IFS(U1164&lt;=250,"0-R$250",U1164&lt;=500,"251-R$500",U1164&lt;=750,"501-R$750",U1164&lt;=1000,"751-R$1000",U1164&lt;=1250,"1001-R$1250",U1164&lt;=1500,"1251-R$1500")</f>
        <v>0-R$250</v>
      </c>
      <c r="W1164" s="13">
        <v>11</v>
      </c>
      <c r="X1164" s="13" t="str" cm="1">
        <f t="array" ref="X1164">_xlfn.IFS(W1164 = 0, "0", W1164&lt;=20, "até R$20",W1164&lt;=40, "21 - R$40",W1164&lt;=60, "41- R$60",W1164&lt;=80, "61 - R$80", W1164&lt;=100, "81 - R$100",W1164&lt;=120, "101 - R$120",W1164&lt;=140, "121 - R$140", W1164&lt;=160, "141- R$160", W1164&lt;=180, "161 - R$180", W1164&lt;=200, "181-R$194")</f>
        <v>até R$20</v>
      </c>
      <c r="Y1164" s="13">
        <v>114</v>
      </c>
      <c r="Z1164" s="13">
        <v>15</v>
      </c>
      <c r="AA1164" s="13">
        <v>14</v>
      </c>
      <c r="AB1164" s="13">
        <v>5</v>
      </c>
      <c r="AC1164" s="13">
        <v>4</v>
      </c>
      <c r="AD1164" s="13">
        <v>4</v>
      </c>
      <c r="AE1164" s="13">
        <v>1</v>
      </c>
      <c r="AF1164" s="13">
        <v>7</v>
      </c>
      <c r="AG1164" s="13">
        <v>5</v>
      </c>
      <c r="AH1164" s="13">
        <v>0</v>
      </c>
      <c r="AI1164" s="13">
        <v>0</v>
      </c>
      <c r="AJ1164" s="13">
        <v>0</v>
      </c>
      <c r="AK1164" s="13">
        <v>0</v>
      </c>
      <c r="AL1164" s="13">
        <v>0</v>
      </c>
      <c r="AM1164" s="13">
        <v>0</v>
      </c>
      <c r="AN1164" s="13">
        <v>0</v>
      </c>
      <c r="AO1164" s="14">
        <v>0</v>
      </c>
      <c r="AP1164" s="13">
        <v>3</v>
      </c>
      <c r="AQ1164" s="13">
        <v>11</v>
      </c>
      <c r="AR1164" s="15">
        <v>290</v>
      </c>
      <c r="AS1164" s="15">
        <v>295</v>
      </c>
    </row>
    <row r="1165" spans="1:45" x14ac:dyDescent="0.25">
      <c r="A1165">
        <v>1593</v>
      </c>
      <c r="B1165" s="11">
        <f t="shared" si="18"/>
        <v>57100</v>
      </c>
      <c r="C1165" s="16">
        <v>571000</v>
      </c>
      <c r="D1165" s="17">
        <v>1</v>
      </c>
      <c r="E1165" s="17">
        <v>0</v>
      </c>
      <c r="F1165" s="17">
        <v>9</v>
      </c>
      <c r="G1165" s="17">
        <v>33</v>
      </c>
      <c r="H1165" s="13" t="str" cm="1">
        <f t="array" ref="H1165">_xlfn.IFS(G1165&lt;=20,"0-20",G1165&lt;=30,"20-30",G1165&lt;=40,"30-40",G1165&lt;=50,"50-60",G1165&lt;=60,"60-70",G1165&lt;=70,"70-80",G1165&lt;=80,"80-90")</f>
        <v>30-40</v>
      </c>
      <c r="I1165" s="17">
        <v>2201</v>
      </c>
      <c r="J1165" s="13" t="str" cm="1">
        <f t="array" ref="J1165">_xlfn.IFS(K1165=1,"Divorciado",L1165=1,"Casado",M1165=1,"Solteiro",N1165=1,"Juntos",O1165=1,"Viuvo")</f>
        <v>Solteiro</v>
      </c>
      <c r="K1165" s="17">
        <v>0</v>
      </c>
      <c r="L1165" s="17">
        <v>0</v>
      </c>
      <c r="M1165" s="17">
        <v>1</v>
      </c>
      <c r="N1165" s="17">
        <v>0</v>
      </c>
      <c r="O1165" s="17">
        <v>0</v>
      </c>
      <c r="P1165" s="17">
        <v>0</v>
      </c>
      <c r="Q1165" s="17">
        <v>0</v>
      </c>
      <c r="R1165" s="17">
        <v>1</v>
      </c>
      <c r="S1165" s="17">
        <v>0</v>
      </c>
      <c r="T1165" s="17">
        <v>0</v>
      </c>
      <c r="U1165" s="17">
        <v>158</v>
      </c>
      <c r="V1165" s="13" t="str" cm="1">
        <f t="array" ref="V1165">_xlfn.IFS(U1165&lt;=250,"0-R$250",U1165&lt;=500,"251-R$500",U1165&lt;=750,"501-R$750",U1165&lt;=1000,"751-R$1000",U1165&lt;=1250,"1001-R$1250",U1165&lt;=1500,"1251-R$1500")</f>
        <v>0-R$250</v>
      </c>
      <c r="W1165" s="17">
        <v>11</v>
      </c>
      <c r="X1165" s="13" t="str" cm="1">
        <f t="array" ref="X1165">_xlfn.IFS(W1165 = 0, "0", W1165&lt;=20, "até R$20",W1165&lt;=40, "21 - R$40",W1165&lt;=60, "41- R$60",W1165&lt;=80, "61 - R$80", W1165&lt;=100, "81 - R$100",W1165&lt;=120, "101 - R$120",W1165&lt;=140, "121 - R$140", W1165&lt;=160, "141- R$160", W1165&lt;=180, "161 - R$180", W1165&lt;=200, "181-R$194")</f>
        <v>até R$20</v>
      </c>
      <c r="Y1165" s="17">
        <v>99</v>
      </c>
      <c r="Z1165" s="17">
        <v>15</v>
      </c>
      <c r="AA1165" s="17">
        <v>11</v>
      </c>
      <c r="AB1165" s="17">
        <v>17</v>
      </c>
      <c r="AC1165" s="17">
        <v>2</v>
      </c>
      <c r="AD1165" s="17">
        <v>3</v>
      </c>
      <c r="AE1165" s="17">
        <v>2</v>
      </c>
      <c r="AF1165" s="17">
        <v>7</v>
      </c>
      <c r="AG1165" s="17">
        <v>3</v>
      </c>
      <c r="AH1165" s="17">
        <v>0</v>
      </c>
      <c r="AI1165" s="17">
        <v>0</v>
      </c>
      <c r="AJ1165" s="17">
        <v>0</v>
      </c>
      <c r="AK1165" s="17">
        <v>0</v>
      </c>
      <c r="AL1165" s="17">
        <v>0</v>
      </c>
      <c r="AM1165" s="17">
        <v>0</v>
      </c>
      <c r="AN1165" s="17">
        <v>0</v>
      </c>
      <c r="AO1165" s="18">
        <v>0</v>
      </c>
      <c r="AP1165" s="17">
        <v>3</v>
      </c>
      <c r="AQ1165" s="17">
        <v>11</v>
      </c>
      <c r="AR1165" s="19">
        <v>277</v>
      </c>
      <c r="AS1165" s="19">
        <v>294</v>
      </c>
    </row>
    <row r="1166" spans="1:45" x14ac:dyDescent="0.25">
      <c r="A1166">
        <v>980</v>
      </c>
      <c r="B1166" s="11">
        <f t="shared" si="18"/>
        <v>46086</v>
      </c>
      <c r="C1166" s="12">
        <v>460860</v>
      </c>
      <c r="D1166" s="13">
        <v>0</v>
      </c>
      <c r="E1166" s="13">
        <v>1</v>
      </c>
      <c r="F1166" s="13">
        <v>34</v>
      </c>
      <c r="G1166" s="13">
        <v>64</v>
      </c>
      <c r="H1166" s="13" t="str" cm="1">
        <f t="array" ref="H1166">_xlfn.IFS(G1166&lt;=20,"0-20",G1166&lt;=30,"20-30",G1166&lt;=40,"30-40",G1166&lt;=50,"50-60",G1166&lt;=60,"60-70",G1166&lt;=70,"70-80",G1166&lt;=80,"80-90")</f>
        <v>70-80</v>
      </c>
      <c r="I1166" s="13">
        <v>2397</v>
      </c>
      <c r="J1166" s="13" t="str" cm="1">
        <f t="array" ref="J1166">_xlfn.IFS(K1166=1,"Divorciado",L1166=1,"Casado",M1166=1,"Solteiro",N1166=1,"Juntos",O1166=1,"Viuvo")</f>
        <v>Divorciado</v>
      </c>
      <c r="K1166" s="13">
        <v>1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1</v>
      </c>
      <c r="S1166" s="13">
        <v>0</v>
      </c>
      <c r="T1166" s="13">
        <v>0</v>
      </c>
      <c r="U1166" s="13">
        <v>244</v>
      </c>
      <c r="V1166" s="13" t="str" cm="1">
        <f t="array" ref="V1166">_xlfn.IFS(U1166&lt;=250,"0-R$250",U1166&lt;=500,"251-R$500",U1166&lt;=750,"501-R$750",U1166&lt;=1000,"751-R$1000",U1166&lt;=1250,"1001-R$1250",U1166&lt;=1500,"1251-R$1500")</f>
        <v>0-R$250</v>
      </c>
      <c r="W1166" s="13">
        <v>8</v>
      </c>
      <c r="X1166" s="13" t="str" cm="1">
        <f t="array" ref="X1166">_xlfn.IFS(W1166 = 0, "0", W1166&lt;=20, "até R$20",W1166&lt;=40, "21 - R$40",W1166&lt;=60, "41- R$60",W1166&lt;=80, "61 - R$80", W1166&lt;=100, "81 - R$100",W1166&lt;=120, "101 - R$120",W1166&lt;=140, "121 - R$140", W1166&lt;=160, "141- R$160", W1166&lt;=180, "161 - R$180", W1166&lt;=200, "181-R$194")</f>
        <v>até R$20</v>
      </c>
      <c r="Y1166" s="13">
        <v>32</v>
      </c>
      <c r="Z1166" s="13">
        <v>7</v>
      </c>
      <c r="AA1166" s="13">
        <v>2</v>
      </c>
      <c r="AB1166" s="13">
        <v>50</v>
      </c>
      <c r="AC1166" s="13">
        <v>4</v>
      </c>
      <c r="AD1166" s="13">
        <v>3</v>
      </c>
      <c r="AE1166" s="13">
        <v>1</v>
      </c>
      <c r="AF1166" s="13">
        <v>8</v>
      </c>
      <c r="AG1166" s="13">
        <v>4</v>
      </c>
      <c r="AH1166" s="13">
        <v>0</v>
      </c>
      <c r="AI1166" s="13">
        <v>0</v>
      </c>
      <c r="AJ1166" s="13">
        <v>0</v>
      </c>
      <c r="AK1166" s="13">
        <v>0</v>
      </c>
      <c r="AL1166" s="13">
        <v>0</v>
      </c>
      <c r="AM1166" s="13">
        <v>0</v>
      </c>
      <c r="AN1166" s="13">
        <v>0</v>
      </c>
      <c r="AO1166" s="14">
        <v>0</v>
      </c>
      <c r="AP1166" s="13">
        <v>3</v>
      </c>
      <c r="AQ1166" s="13">
        <v>11</v>
      </c>
      <c r="AR1166" s="15">
        <v>243</v>
      </c>
      <c r="AS1166" s="15">
        <v>293</v>
      </c>
    </row>
    <row r="1167" spans="1:45" x14ac:dyDescent="0.25">
      <c r="A1167">
        <v>1410</v>
      </c>
      <c r="B1167" s="11">
        <f t="shared" si="18"/>
        <v>70844</v>
      </c>
      <c r="C1167" s="12">
        <v>708440</v>
      </c>
      <c r="D1167" s="13">
        <v>1</v>
      </c>
      <c r="E1167" s="13">
        <v>1</v>
      </c>
      <c r="F1167" s="13">
        <v>16</v>
      </c>
      <c r="G1167" s="13">
        <v>53</v>
      </c>
      <c r="H1167" s="13" t="str" cm="1">
        <f t="array" ref="H1167">_xlfn.IFS(G1167&lt;=20,"0-20",G1167&lt;=30,"20-30",G1167&lt;=40,"30-40",G1167&lt;=50,"50-60",G1167&lt;=60,"60-70",G1167&lt;=70,"70-80",G1167&lt;=80,"80-90")</f>
        <v>60-70</v>
      </c>
      <c r="I1167" s="13">
        <v>2401</v>
      </c>
      <c r="J1167" s="13" t="str" cm="1">
        <f t="array" ref="J1167">_xlfn.IFS(K1167=1,"Divorciado",L1167=1,"Casado",M1167=1,"Solteiro",N1167=1,"Juntos",O1167=1,"Viuvo")</f>
        <v>Divorciado</v>
      </c>
      <c r="K1167" s="13">
        <v>1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1</v>
      </c>
      <c r="S1167" s="13">
        <v>0</v>
      </c>
      <c r="T1167" s="13">
        <v>0</v>
      </c>
      <c r="U1167" s="13">
        <v>129</v>
      </c>
      <c r="V1167" s="13" t="str" cm="1">
        <f t="array" ref="V1167">_xlfn.IFS(U1167&lt;=250,"0-R$250",U1167&lt;=500,"251-R$500",U1167&lt;=750,"501-R$750",U1167&lt;=1000,"751-R$1000",U1167&lt;=1250,"1001-R$1250",U1167&lt;=1500,"1251-R$1500")</f>
        <v>0-R$250</v>
      </c>
      <c r="W1167" s="13">
        <v>26</v>
      </c>
      <c r="X1167" s="13" t="str" cm="1">
        <f t="array" ref="X1167">_xlfn.IFS(W1167 = 0, "0", W1167&lt;=20, "até R$20",W1167&lt;=40, "21 - R$40",W1167&lt;=60, "41- R$60",W1167&lt;=80, "61 - R$80", W1167&lt;=100, "81 - R$100",W1167&lt;=120, "101 - R$120",W1167&lt;=140, "121 - R$140", W1167&lt;=160, "141- R$160", W1167&lt;=180, "161 - R$180", W1167&lt;=200, "181-R$194")</f>
        <v>21 - R$40</v>
      </c>
      <c r="Y1167" s="13">
        <v>67</v>
      </c>
      <c r="Z1167" s="13">
        <v>3</v>
      </c>
      <c r="AA1167" s="13">
        <v>67</v>
      </c>
      <c r="AB1167" s="13">
        <v>2</v>
      </c>
      <c r="AC1167" s="13">
        <v>5</v>
      </c>
      <c r="AD1167" s="13">
        <v>6</v>
      </c>
      <c r="AE1167" s="13">
        <v>1</v>
      </c>
      <c r="AF1167" s="13">
        <v>5</v>
      </c>
      <c r="AG1167" s="13">
        <v>7</v>
      </c>
      <c r="AH1167" s="13">
        <v>0</v>
      </c>
      <c r="AI1167" s="13">
        <v>0</v>
      </c>
      <c r="AJ1167" s="13">
        <v>0</v>
      </c>
      <c r="AK1167" s="13">
        <v>0</v>
      </c>
      <c r="AL1167" s="13">
        <v>0</v>
      </c>
      <c r="AM1167" s="13">
        <v>0</v>
      </c>
      <c r="AN1167" s="13">
        <v>0</v>
      </c>
      <c r="AO1167" s="14">
        <v>0</v>
      </c>
      <c r="AP1167" s="13">
        <v>3</v>
      </c>
      <c r="AQ1167" s="13">
        <v>11</v>
      </c>
      <c r="AR1167" s="15">
        <v>290</v>
      </c>
      <c r="AS1167" s="15">
        <v>292</v>
      </c>
    </row>
    <row r="1168" spans="1:45" x14ac:dyDescent="0.25">
      <c r="A1168">
        <v>1573</v>
      </c>
      <c r="B1168" s="11">
        <f t="shared" si="18"/>
        <v>36108</v>
      </c>
      <c r="C1168" s="16">
        <v>361080</v>
      </c>
      <c r="D1168" s="17">
        <v>1</v>
      </c>
      <c r="E1168" s="17">
        <v>0</v>
      </c>
      <c r="F1168" s="17">
        <v>68</v>
      </c>
      <c r="G1168" s="17">
        <v>36</v>
      </c>
      <c r="H1168" s="13" t="str" cm="1">
        <f t="array" ref="H1168">_xlfn.IFS(G1168&lt;=20,"0-20",G1168&lt;=30,"20-30",G1168&lt;=40,"30-40",G1168&lt;=50,"50-60",G1168&lt;=60,"60-70",G1168&lt;=70,"70-80",G1168&lt;=80,"80-90")</f>
        <v>30-40</v>
      </c>
      <c r="I1168" s="17">
        <v>2416</v>
      </c>
      <c r="J1168" s="13" t="str" cm="1">
        <f t="array" ref="J1168">_xlfn.IFS(K1168=1,"Divorciado",L1168=1,"Casado",M1168=1,"Solteiro",N1168=1,"Juntos",O1168=1,"Viuvo")</f>
        <v>Solteiro</v>
      </c>
      <c r="K1168" s="17">
        <v>0</v>
      </c>
      <c r="L1168" s="17">
        <v>0</v>
      </c>
      <c r="M1168" s="17">
        <v>1</v>
      </c>
      <c r="N1168" s="17">
        <v>0</v>
      </c>
      <c r="O1168" s="17">
        <v>0</v>
      </c>
      <c r="P1168" s="17">
        <v>0</v>
      </c>
      <c r="Q1168" s="17">
        <v>0</v>
      </c>
      <c r="R1168" s="17">
        <v>1</v>
      </c>
      <c r="S1168" s="17">
        <v>0</v>
      </c>
      <c r="T1168" s="17">
        <v>0</v>
      </c>
      <c r="U1168" s="17">
        <v>141</v>
      </c>
      <c r="V1168" s="13" t="str" cm="1">
        <f t="array" ref="V1168">_xlfn.IFS(U1168&lt;=250,"0-R$250",U1168&lt;=500,"251-R$500",U1168&lt;=750,"501-R$750",U1168&lt;=1000,"751-R$1000",U1168&lt;=1250,"1001-R$1250",U1168&lt;=1500,"1251-R$1500")</f>
        <v>0-R$250</v>
      </c>
      <c r="W1168" s="17">
        <v>8</v>
      </c>
      <c r="X1168" s="13" t="str" cm="1">
        <f t="array" ref="X1168">_xlfn.IFS(W1168 = 0, "0", W1168&lt;=20, "até R$20",W1168&lt;=40, "21 - R$40",W1168&lt;=60, "41- R$60",W1168&lt;=80, "61 - R$80", W1168&lt;=100, "81 - R$100",W1168&lt;=120, "101 - R$120",W1168&lt;=140, "121 - R$140", W1168&lt;=160, "141- R$160", W1168&lt;=180, "161 - R$180", W1168&lt;=200, "181-R$194")</f>
        <v>até R$20</v>
      </c>
      <c r="Y1168" s="17">
        <v>129</v>
      </c>
      <c r="Z1168" s="17">
        <v>3</v>
      </c>
      <c r="AA1168" s="17">
        <v>11</v>
      </c>
      <c r="AB1168" s="17">
        <v>47</v>
      </c>
      <c r="AC1168" s="17">
        <v>3</v>
      </c>
      <c r="AD1168" s="17">
        <v>7</v>
      </c>
      <c r="AE1168" s="17">
        <v>1</v>
      </c>
      <c r="AF1168" s="17">
        <v>4</v>
      </c>
      <c r="AG1168" s="17">
        <v>9</v>
      </c>
      <c r="AH1168" s="17">
        <v>0</v>
      </c>
      <c r="AI1168" s="17">
        <v>1</v>
      </c>
      <c r="AJ1168" s="17">
        <v>0</v>
      </c>
      <c r="AK1168" s="17">
        <v>0</v>
      </c>
      <c r="AL1168" s="17">
        <v>0</v>
      </c>
      <c r="AM1168" s="17">
        <v>0</v>
      </c>
      <c r="AN1168" s="17">
        <v>0</v>
      </c>
      <c r="AO1168" s="18">
        <v>1</v>
      </c>
      <c r="AP1168" s="17">
        <v>3</v>
      </c>
      <c r="AQ1168" s="17">
        <v>11</v>
      </c>
      <c r="AR1168" s="19">
        <v>245</v>
      </c>
      <c r="AS1168" s="19">
        <v>292</v>
      </c>
    </row>
    <row r="1169" spans="1:45" x14ac:dyDescent="0.25">
      <c r="A1169">
        <v>1265</v>
      </c>
      <c r="B1169" s="11">
        <f t="shared" si="18"/>
        <v>26997</v>
      </c>
      <c r="C1169" s="16">
        <v>269970</v>
      </c>
      <c r="D1169" s="17">
        <v>0</v>
      </c>
      <c r="E1169" s="17">
        <v>0</v>
      </c>
      <c r="F1169" s="17">
        <v>89</v>
      </c>
      <c r="G1169" s="17">
        <v>69</v>
      </c>
      <c r="H1169" s="13" t="str" cm="1">
        <f t="array" ref="H1169">_xlfn.IFS(G1169&lt;=20,"0-20",G1169&lt;=30,"20-30",G1169&lt;=40,"30-40",G1169&lt;=50,"50-60",G1169&lt;=60,"60-70",G1169&lt;=70,"70-80",G1169&lt;=80,"80-90")</f>
        <v>70-80</v>
      </c>
      <c r="I1169" s="17">
        <v>2760</v>
      </c>
      <c r="J1169" s="13" t="str" cm="1">
        <f t="array" ref="J1169">_xlfn.IFS(K1169=1,"Divorciado",L1169=1,"Casado",M1169=1,"Solteiro",N1169=1,"Juntos",O1169=1,"Viuvo")</f>
        <v>Casado</v>
      </c>
      <c r="K1169" s="17">
        <v>0</v>
      </c>
      <c r="L1169" s="17">
        <v>1</v>
      </c>
      <c r="M1169" s="17">
        <v>0</v>
      </c>
      <c r="N1169" s="17">
        <v>0</v>
      </c>
      <c r="O1169" s="17">
        <v>0</v>
      </c>
      <c r="P1169" s="17">
        <v>0</v>
      </c>
      <c r="Q1169" s="17">
        <v>1</v>
      </c>
      <c r="R1169" s="17">
        <v>0</v>
      </c>
      <c r="S1169" s="17">
        <v>0</v>
      </c>
      <c r="T1169" s="17">
        <v>0</v>
      </c>
      <c r="U1169" s="17">
        <v>7</v>
      </c>
      <c r="V1169" s="13" t="str" cm="1">
        <f t="array" ref="V1169">_xlfn.IFS(U1169&lt;=250,"0-R$250",U1169&lt;=500,"251-R$500",U1169&lt;=750,"501-R$750",U1169&lt;=1000,"751-R$1000",U1169&lt;=1250,"1001-R$1250",U1169&lt;=1500,"1251-R$1500")</f>
        <v>0-R$250</v>
      </c>
      <c r="W1169" s="17">
        <v>23</v>
      </c>
      <c r="X1169" s="13" t="str" cm="1">
        <f t="array" ref="X1169">_xlfn.IFS(W1169 = 0, "0", W1169&lt;=20, "até R$20",W1169&lt;=40, "21 - R$40",W1169&lt;=60, "41- R$60",W1169&lt;=80, "61 - R$80", W1169&lt;=100, "81 - R$100",W1169&lt;=120, "101 - R$120",W1169&lt;=140, "121 - R$140", W1169&lt;=160, "141- R$160", W1169&lt;=180, "161 - R$180", W1169&lt;=200, "181-R$194")</f>
        <v>21 - R$40</v>
      </c>
      <c r="Y1169" s="17">
        <v>78</v>
      </c>
      <c r="Z1169" s="17">
        <v>133</v>
      </c>
      <c r="AA1169" s="17">
        <v>49</v>
      </c>
      <c r="AB1169" s="17">
        <v>144</v>
      </c>
      <c r="AC1169" s="17">
        <v>2</v>
      </c>
      <c r="AD1169" s="17">
        <v>4</v>
      </c>
      <c r="AE1169" s="17">
        <v>2</v>
      </c>
      <c r="AF1169" s="17">
        <v>5</v>
      </c>
      <c r="AG1169" s="17">
        <v>7</v>
      </c>
      <c r="AH1169" s="17">
        <v>0</v>
      </c>
      <c r="AI1169" s="17">
        <v>0</v>
      </c>
      <c r="AJ1169" s="17">
        <v>0</v>
      </c>
      <c r="AK1169" s="17">
        <v>0</v>
      </c>
      <c r="AL1169" s="17">
        <v>0</v>
      </c>
      <c r="AM1169" s="17">
        <v>0</v>
      </c>
      <c r="AN1169" s="17">
        <v>0</v>
      </c>
      <c r="AO1169" s="18">
        <v>0</v>
      </c>
      <c r="AP1169" s="17">
        <v>3</v>
      </c>
      <c r="AQ1169" s="17">
        <v>11</v>
      </c>
      <c r="AR1169" s="19">
        <v>146</v>
      </c>
      <c r="AS1169" s="19">
        <v>290</v>
      </c>
    </row>
    <row r="1170" spans="1:45" x14ac:dyDescent="0.25">
      <c r="A1170">
        <v>17</v>
      </c>
      <c r="B1170" s="11">
        <f t="shared" si="18"/>
        <v>37760</v>
      </c>
      <c r="C1170" s="16">
        <v>377600</v>
      </c>
      <c r="D1170" s="17">
        <v>0</v>
      </c>
      <c r="E1170" s="17">
        <v>0</v>
      </c>
      <c r="F1170" s="17">
        <v>20</v>
      </c>
      <c r="G1170" s="17">
        <v>74</v>
      </c>
      <c r="H1170" s="13" t="str" cm="1">
        <f t="array" ref="H1170">_xlfn.IFS(G1170&lt;=20,"0-20",G1170&lt;=30,"20-30",G1170&lt;=40,"30-40",G1170&lt;=50,"50-60",G1170&lt;=60,"60-70",G1170&lt;=70,"70-80",G1170&lt;=80,"80-90")</f>
        <v>80-90</v>
      </c>
      <c r="I1170" s="17">
        <v>2826</v>
      </c>
      <c r="J1170" s="13" t="str" cm="1">
        <f t="array" ref="J1170">_xlfn.IFS(K1170=1,"Divorciado",L1170=1,"Casado",M1170=1,"Solteiro",N1170=1,"Juntos",O1170=1,"Viuvo")</f>
        <v>Juntos</v>
      </c>
      <c r="K1170" s="17">
        <v>0</v>
      </c>
      <c r="L1170" s="17">
        <v>0</v>
      </c>
      <c r="M1170" s="17">
        <v>0</v>
      </c>
      <c r="N1170" s="17">
        <v>1</v>
      </c>
      <c r="O1170" s="17">
        <v>0</v>
      </c>
      <c r="P1170" s="17">
        <v>0</v>
      </c>
      <c r="Q1170" s="17">
        <v>0</v>
      </c>
      <c r="R1170" s="17">
        <v>1</v>
      </c>
      <c r="S1170" s="17">
        <v>0</v>
      </c>
      <c r="T1170" s="17">
        <v>0</v>
      </c>
      <c r="U1170" s="17">
        <v>84</v>
      </c>
      <c r="V1170" s="13" t="str" cm="1">
        <f t="array" ref="V1170">_xlfn.IFS(U1170&lt;=250,"0-R$250",U1170&lt;=500,"251-R$500",U1170&lt;=750,"501-R$750",U1170&lt;=1000,"751-R$1000",U1170&lt;=1250,"1001-R$1250",U1170&lt;=1500,"1251-R$1500")</f>
        <v>0-R$250</v>
      </c>
      <c r="W1170" s="17">
        <v>5</v>
      </c>
      <c r="X1170" s="13" t="str" cm="1">
        <f t="array" ref="X1170">_xlfn.IFS(W1170 = 0, "0", W1170&lt;=20, "até R$20",W1170&lt;=40, "21 - R$40",W1170&lt;=60, "41- R$60",W1170&lt;=80, "61 - R$80", W1170&lt;=100, "81 - R$100",W1170&lt;=120, "101 - R$120",W1170&lt;=140, "121 - R$140", W1170&lt;=160, "141- R$160", W1170&lt;=180, "161 - R$180", W1170&lt;=200, "181-R$194")</f>
        <v>até R$20</v>
      </c>
      <c r="Y1170" s="17">
        <v>38</v>
      </c>
      <c r="Z1170" s="17">
        <v>150</v>
      </c>
      <c r="AA1170" s="17">
        <v>12</v>
      </c>
      <c r="AB1170" s="17">
        <v>28</v>
      </c>
      <c r="AC1170" s="17">
        <v>2</v>
      </c>
      <c r="AD1170" s="17">
        <v>4</v>
      </c>
      <c r="AE1170" s="17">
        <v>1</v>
      </c>
      <c r="AF1170" s="17">
        <v>6</v>
      </c>
      <c r="AG1170" s="17">
        <v>7</v>
      </c>
      <c r="AH1170" s="17">
        <v>0</v>
      </c>
      <c r="AI1170" s="17">
        <v>0</v>
      </c>
      <c r="AJ1170" s="17">
        <v>0</v>
      </c>
      <c r="AK1170" s="17">
        <v>0</v>
      </c>
      <c r="AL1170" s="17">
        <v>0</v>
      </c>
      <c r="AM1170" s="17">
        <v>0</v>
      </c>
      <c r="AN1170" s="17">
        <v>0</v>
      </c>
      <c r="AO1170" s="18">
        <v>0</v>
      </c>
      <c r="AP1170" s="17">
        <v>3</v>
      </c>
      <c r="AQ1170" s="17">
        <v>11</v>
      </c>
      <c r="AR1170" s="19">
        <v>261</v>
      </c>
      <c r="AS1170" s="19">
        <v>289</v>
      </c>
    </row>
    <row r="1171" spans="1:45" x14ac:dyDescent="0.25">
      <c r="A1171">
        <v>269</v>
      </c>
      <c r="B1171" s="11">
        <f t="shared" si="18"/>
        <v>37760</v>
      </c>
      <c r="C1171" s="16">
        <v>377600</v>
      </c>
      <c r="D1171" s="17">
        <v>0</v>
      </c>
      <c r="E1171" s="17">
        <v>0</v>
      </c>
      <c r="F1171" s="17">
        <v>20</v>
      </c>
      <c r="G1171" s="17">
        <v>74</v>
      </c>
      <c r="H1171" s="13" t="str" cm="1">
        <f t="array" ref="H1171">_xlfn.IFS(G1171&lt;=20,"0-20",G1171&lt;=30,"20-30",G1171&lt;=40,"30-40",G1171&lt;=50,"50-60",G1171&lt;=60,"60-70",G1171&lt;=70,"70-80",G1171&lt;=80,"80-90")</f>
        <v>80-90</v>
      </c>
      <c r="I1171" s="17">
        <v>2826</v>
      </c>
      <c r="J1171" s="13" t="str" cm="1">
        <f t="array" ref="J1171">_xlfn.IFS(K1171=1,"Divorciado",L1171=1,"Casado",M1171=1,"Solteiro",N1171=1,"Juntos",O1171=1,"Viuvo")</f>
        <v>Juntos</v>
      </c>
      <c r="K1171" s="17">
        <v>0</v>
      </c>
      <c r="L1171" s="17">
        <v>0</v>
      </c>
      <c r="M1171" s="17">
        <v>0</v>
      </c>
      <c r="N1171" s="17">
        <v>1</v>
      </c>
      <c r="O1171" s="17">
        <v>0</v>
      </c>
      <c r="P1171" s="17">
        <v>0</v>
      </c>
      <c r="Q1171" s="17">
        <v>0</v>
      </c>
      <c r="R1171" s="17">
        <v>1</v>
      </c>
      <c r="S1171" s="17">
        <v>0</v>
      </c>
      <c r="T1171" s="17">
        <v>0</v>
      </c>
      <c r="U1171" s="17">
        <v>84</v>
      </c>
      <c r="V1171" s="13" t="str" cm="1">
        <f t="array" ref="V1171">_xlfn.IFS(U1171&lt;=250,"0-R$250",U1171&lt;=500,"251-R$500",U1171&lt;=750,"501-R$750",U1171&lt;=1000,"751-R$1000",U1171&lt;=1250,"1001-R$1250",U1171&lt;=1500,"1251-R$1500")</f>
        <v>0-R$250</v>
      </c>
      <c r="W1171" s="17">
        <v>5</v>
      </c>
      <c r="X1171" s="13" t="str" cm="1">
        <f t="array" ref="X1171">_xlfn.IFS(W1171 = 0, "0", W1171&lt;=20, "até R$20",W1171&lt;=40, "21 - R$40",W1171&lt;=60, "41- R$60",W1171&lt;=80, "61 - R$80", W1171&lt;=100, "81 - R$100",W1171&lt;=120, "101 - R$120",W1171&lt;=140, "121 - R$140", W1171&lt;=160, "141- R$160", W1171&lt;=180, "161 - R$180", W1171&lt;=200, "181-R$194")</f>
        <v>até R$20</v>
      </c>
      <c r="Y1171" s="17">
        <v>38</v>
      </c>
      <c r="Z1171" s="17">
        <v>150</v>
      </c>
      <c r="AA1171" s="17">
        <v>12</v>
      </c>
      <c r="AB1171" s="17">
        <v>28</v>
      </c>
      <c r="AC1171" s="17">
        <v>2</v>
      </c>
      <c r="AD1171" s="17">
        <v>4</v>
      </c>
      <c r="AE1171" s="17">
        <v>1</v>
      </c>
      <c r="AF1171" s="17">
        <v>6</v>
      </c>
      <c r="AG1171" s="17">
        <v>7</v>
      </c>
      <c r="AH1171" s="17">
        <v>0</v>
      </c>
      <c r="AI1171" s="17">
        <v>0</v>
      </c>
      <c r="AJ1171" s="17">
        <v>0</v>
      </c>
      <c r="AK1171" s="17">
        <v>0</v>
      </c>
      <c r="AL1171" s="17">
        <v>0</v>
      </c>
      <c r="AM1171" s="17">
        <v>0</v>
      </c>
      <c r="AN1171" s="17">
        <v>0</v>
      </c>
      <c r="AO1171" s="18">
        <v>0</v>
      </c>
      <c r="AP1171" s="17">
        <v>3</v>
      </c>
      <c r="AQ1171" s="17">
        <v>11</v>
      </c>
      <c r="AR1171" s="19">
        <v>261</v>
      </c>
      <c r="AS1171" s="19">
        <v>289</v>
      </c>
    </row>
    <row r="1172" spans="1:45" x14ac:dyDescent="0.25">
      <c r="A1172">
        <v>1890</v>
      </c>
      <c r="B1172" s="11">
        <f t="shared" si="18"/>
        <v>57107</v>
      </c>
      <c r="C1172" s="12">
        <v>571070</v>
      </c>
      <c r="D1172" s="13">
        <v>0</v>
      </c>
      <c r="E1172" s="13">
        <v>1</v>
      </c>
      <c r="F1172" s="13">
        <v>44</v>
      </c>
      <c r="G1172" s="13">
        <v>52</v>
      </c>
      <c r="H1172" s="13" t="str" cm="1">
        <f t="array" ref="H1172">_xlfn.IFS(G1172&lt;=20,"0-20",G1172&lt;=30,"20-30",G1172&lt;=40,"30-40",G1172&lt;=50,"50-60",G1172&lt;=60,"60-70",G1172&lt;=70,"70-80",G1172&lt;=80,"80-90")</f>
        <v>60-70</v>
      </c>
      <c r="I1172" s="13">
        <v>2833</v>
      </c>
      <c r="J1172" s="13" t="str" cm="1">
        <f t="array" ref="J1172">_xlfn.IFS(K1172=1,"Divorciado",L1172=1,"Casado",M1172=1,"Solteiro",N1172=1,"Juntos",O1172=1,"Viuvo")</f>
        <v>Solteiro</v>
      </c>
      <c r="K1172" s="13">
        <v>0</v>
      </c>
      <c r="L1172" s="13">
        <v>0</v>
      </c>
      <c r="M1172" s="13">
        <v>1</v>
      </c>
      <c r="N1172" s="13">
        <v>0</v>
      </c>
      <c r="O1172" s="13">
        <v>0</v>
      </c>
      <c r="P1172" s="13">
        <v>0</v>
      </c>
      <c r="Q1172" s="13">
        <v>0</v>
      </c>
      <c r="R1172" s="13">
        <v>1</v>
      </c>
      <c r="S1172" s="13">
        <v>0</v>
      </c>
      <c r="T1172" s="13">
        <v>0</v>
      </c>
      <c r="U1172" s="13">
        <v>159</v>
      </c>
      <c r="V1172" s="13" t="str" cm="1">
        <f t="array" ref="V1172">_xlfn.IFS(U1172&lt;=250,"0-R$250",U1172&lt;=500,"251-R$500",U1172&lt;=750,"501-R$750",U1172&lt;=1000,"751-R$1000",U1172&lt;=1250,"1001-R$1250",U1172&lt;=1500,"1251-R$1500")</f>
        <v>0-R$250</v>
      </c>
      <c r="W1172" s="13">
        <v>0</v>
      </c>
      <c r="X1172" s="13" t="str" cm="1">
        <f t="array" ref="X1172">_xlfn.IFS(W1172 = 0, "0", W1172&lt;=20, "até R$20",W1172&lt;=40, "21 - R$40",W1172&lt;=60, "41- R$60",W1172&lt;=80, "61 - R$80", W1172&lt;=100, "81 - R$100",W1172&lt;=120, "101 - R$120",W1172&lt;=140, "121 - R$140", W1172&lt;=160, "141- R$160", W1172&lt;=180, "161 - R$180", W1172&lt;=200, "181-R$194")</f>
        <v>0</v>
      </c>
      <c r="Y1172" s="13">
        <v>120</v>
      </c>
      <c r="Z1172" s="13">
        <v>0</v>
      </c>
      <c r="AA1172" s="13">
        <v>0</v>
      </c>
      <c r="AB1172" s="13">
        <v>137</v>
      </c>
      <c r="AC1172" s="13">
        <v>7</v>
      </c>
      <c r="AD1172" s="13">
        <v>4</v>
      </c>
      <c r="AE1172" s="13">
        <v>4</v>
      </c>
      <c r="AF1172" s="13">
        <v>8</v>
      </c>
      <c r="AG1172" s="13">
        <v>8</v>
      </c>
      <c r="AH1172" s="13">
        <v>0</v>
      </c>
      <c r="AI1172" s="13">
        <v>0</v>
      </c>
      <c r="AJ1172" s="13">
        <v>1</v>
      </c>
      <c r="AK1172" s="13">
        <v>0</v>
      </c>
      <c r="AL1172" s="13">
        <v>0</v>
      </c>
      <c r="AM1172" s="13">
        <v>1</v>
      </c>
      <c r="AN1172" s="13">
        <v>1</v>
      </c>
      <c r="AO1172" s="14">
        <v>2</v>
      </c>
      <c r="AP1172" s="13">
        <v>3</v>
      </c>
      <c r="AQ1172" s="13">
        <v>11</v>
      </c>
      <c r="AR1172" s="15">
        <v>142</v>
      </c>
      <c r="AS1172" s="15">
        <v>279</v>
      </c>
    </row>
    <row r="1173" spans="1:45" x14ac:dyDescent="0.25">
      <c r="A1173">
        <v>845</v>
      </c>
      <c r="B1173" s="11">
        <f t="shared" si="18"/>
        <v>49514</v>
      </c>
      <c r="C1173" s="16">
        <v>495140</v>
      </c>
      <c r="D1173" s="17">
        <v>1</v>
      </c>
      <c r="E1173" s="17">
        <v>0</v>
      </c>
      <c r="F1173" s="17">
        <v>61</v>
      </c>
      <c r="G1173" s="17">
        <v>45</v>
      </c>
      <c r="H1173" s="13" t="str" cm="1">
        <f t="array" ref="H1173">_xlfn.IFS(G1173&lt;=20,"0-20",G1173&lt;=30,"20-30",G1173&lt;=40,"30-40",G1173&lt;=50,"50-60",G1173&lt;=60,"60-70",G1173&lt;=70,"70-80",G1173&lt;=80,"80-90")</f>
        <v>50-60</v>
      </c>
      <c r="I1173" s="17">
        <v>2353</v>
      </c>
      <c r="J1173" s="13" t="str" cm="1">
        <f t="array" ref="J1173">_xlfn.IFS(K1173=1,"Divorciado",L1173=1,"Casado",M1173=1,"Solteiro",N1173=1,"Juntos",O1173=1,"Viuvo")</f>
        <v>Solteiro</v>
      </c>
      <c r="K1173" s="17">
        <v>0</v>
      </c>
      <c r="L1173" s="17">
        <v>0</v>
      </c>
      <c r="M1173" s="17">
        <v>1</v>
      </c>
      <c r="N1173" s="17">
        <v>0</v>
      </c>
      <c r="O1173" s="17">
        <v>0</v>
      </c>
      <c r="P1173" s="17">
        <v>1</v>
      </c>
      <c r="Q1173" s="17">
        <v>0</v>
      </c>
      <c r="R1173" s="17">
        <v>0</v>
      </c>
      <c r="S1173" s="17">
        <v>0</v>
      </c>
      <c r="T1173" s="17">
        <v>0</v>
      </c>
      <c r="U1173" s="17">
        <v>88</v>
      </c>
      <c r="V1173" s="13" t="str" cm="1">
        <f t="array" ref="V1173">_xlfn.IFS(U1173&lt;=250,"0-R$250",U1173&lt;=500,"251-R$500",U1173&lt;=750,"501-R$750",U1173&lt;=1000,"751-R$1000",U1173&lt;=1250,"1001-R$1250",U1173&lt;=1500,"1251-R$1500")</f>
        <v>0-R$250</v>
      </c>
      <c r="W1173" s="17">
        <v>39</v>
      </c>
      <c r="X1173" s="13" t="str" cm="1">
        <f t="array" ref="X1173">_xlfn.IFS(W1173 = 0, "0", W1173&lt;=20, "até R$20",W1173&lt;=40, "21 - R$40",W1173&lt;=60, "41- R$60",W1173&lt;=80, "61 - R$80", W1173&lt;=100, "81 - R$100",W1173&lt;=120, "101 - R$120",W1173&lt;=140, "121 - R$140", W1173&lt;=160, "141- R$160", W1173&lt;=180, "161 - R$180", W1173&lt;=200, "181-R$194")</f>
        <v>21 - R$40</v>
      </c>
      <c r="Y1173" s="17">
        <v>78</v>
      </c>
      <c r="Z1173" s="17">
        <v>58</v>
      </c>
      <c r="AA1173" s="17">
        <v>13</v>
      </c>
      <c r="AB1173" s="17">
        <v>93</v>
      </c>
      <c r="AC1173" s="17">
        <v>2</v>
      </c>
      <c r="AD1173" s="17">
        <v>6</v>
      </c>
      <c r="AE1173" s="17">
        <v>1</v>
      </c>
      <c r="AF1173" s="17">
        <v>4</v>
      </c>
      <c r="AG1173" s="17">
        <v>7</v>
      </c>
      <c r="AH1173" s="17">
        <v>0</v>
      </c>
      <c r="AI1173" s="17">
        <v>0</v>
      </c>
      <c r="AJ1173" s="17">
        <v>0</v>
      </c>
      <c r="AK1173" s="17">
        <v>0</v>
      </c>
      <c r="AL1173" s="17">
        <v>0</v>
      </c>
      <c r="AM1173" s="17">
        <v>0</v>
      </c>
      <c r="AN1173" s="17">
        <v>0</v>
      </c>
      <c r="AO1173" s="18">
        <v>0</v>
      </c>
      <c r="AP1173" s="17">
        <v>3</v>
      </c>
      <c r="AQ1173" s="17">
        <v>11</v>
      </c>
      <c r="AR1173" s="19">
        <v>183</v>
      </c>
      <c r="AS1173" s="19">
        <v>276</v>
      </c>
    </row>
    <row r="1174" spans="1:45" x14ac:dyDescent="0.25">
      <c r="A1174">
        <v>1962</v>
      </c>
      <c r="B1174" s="11">
        <f t="shared" si="18"/>
        <v>51373</v>
      </c>
      <c r="C1174" s="12">
        <v>513730</v>
      </c>
      <c r="D1174" s="13">
        <v>0</v>
      </c>
      <c r="E1174" s="13">
        <v>0</v>
      </c>
      <c r="F1174" s="13">
        <v>37</v>
      </c>
      <c r="G1174" s="13">
        <v>29</v>
      </c>
      <c r="H1174" s="13" t="str" cm="1">
        <f t="array" ref="H1174">_xlfn.IFS(G1174&lt;=20,"0-20",G1174&lt;=30,"20-30",G1174&lt;=40,"30-40",G1174&lt;=50,"50-60",G1174&lt;=60,"60-70",G1174&lt;=70,"70-80",G1174&lt;=80,"80-90")</f>
        <v>20-30</v>
      </c>
      <c r="I1174" s="13">
        <v>2531</v>
      </c>
      <c r="J1174" s="13" t="str" cm="1">
        <f t="array" ref="J1174">_xlfn.IFS(K1174=1,"Divorciado",L1174=1,"Casado",M1174=1,"Solteiro",N1174=1,"Juntos",O1174=1,"Viuvo")</f>
        <v>Casado</v>
      </c>
      <c r="K1174" s="13">
        <v>0</v>
      </c>
      <c r="L1174" s="13">
        <v>1</v>
      </c>
      <c r="M1174" s="13">
        <v>0</v>
      </c>
      <c r="N1174" s="13">
        <v>0</v>
      </c>
      <c r="O1174" s="13">
        <v>0</v>
      </c>
      <c r="P1174" s="13">
        <v>0</v>
      </c>
      <c r="Q1174" s="13">
        <v>0</v>
      </c>
      <c r="R1174" s="13">
        <v>1</v>
      </c>
      <c r="S1174" s="13">
        <v>0</v>
      </c>
      <c r="T1174" s="13">
        <v>0</v>
      </c>
      <c r="U1174" s="13">
        <v>83</v>
      </c>
      <c r="V1174" s="13" t="str" cm="1">
        <f t="array" ref="V1174">_xlfn.IFS(U1174&lt;=250,"0-R$250",U1174&lt;=500,"251-R$500",U1174&lt;=750,"501-R$750",U1174&lt;=1000,"751-R$1000",U1174&lt;=1250,"1001-R$1250",U1174&lt;=1500,"1251-R$1500")</f>
        <v>0-R$250</v>
      </c>
      <c r="W1174" s="13">
        <v>2</v>
      </c>
      <c r="X1174" s="13" t="str" cm="1">
        <f t="array" ref="X1174">_xlfn.IFS(W1174 = 0, "0", W1174&lt;=20, "até R$20",W1174&lt;=40, "21 - R$40",W1174&lt;=60, "41- R$60",W1174&lt;=80, "61 - R$80", W1174&lt;=100, "81 - R$100",W1174&lt;=120, "101 - R$120",W1174&lt;=140, "121 - R$140", W1174&lt;=160, "141- R$160", W1174&lt;=180, "161 - R$180", W1174&lt;=200, "181-R$194")</f>
        <v>até R$20</v>
      </c>
      <c r="Y1174" s="13">
        <v>101</v>
      </c>
      <c r="Z1174" s="13">
        <v>64</v>
      </c>
      <c r="AA1174" s="13">
        <v>26</v>
      </c>
      <c r="AB1174" s="13">
        <v>117</v>
      </c>
      <c r="AC1174" s="13">
        <v>1</v>
      </c>
      <c r="AD1174" s="13">
        <v>3</v>
      </c>
      <c r="AE1174" s="13">
        <v>5</v>
      </c>
      <c r="AF1174" s="13">
        <v>3</v>
      </c>
      <c r="AG1174" s="13">
        <v>4</v>
      </c>
      <c r="AH1174" s="13">
        <v>0</v>
      </c>
      <c r="AI1174" s="13">
        <v>0</v>
      </c>
      <c r="AJ1174" s="13">
        <v>0</v>
      </c>
      <c r="AK1174" s="13">
        <v>0</v>
      </c>
      <c r="AL1174" s="13">
        <v>0</v>
      </c>
      <c r="AM1174" s="13">
        <v>0</v>
      </c>
      <c r="AN1174" s="13">
        <v>0</v>
      </c>
      <c r="AO1174" s="14">
        <v>0</v>
      </c>
      <c r="AP1174" s="13">
        <v>3</v>
      </c>
      <c r="AQ1174" s="13">
        <v>11</v>
      </c>
      <c r="AR1174" s="15">
        <v>159</v>
      </c>
      <c r="AS1174" s="15">
        <v>276</v>
      </c>
    </row>
    <row r="1175" spans="1:45" x14ac:dyDescent="0.25">
      <c r="A1175">
        <v>844</v>
      </c>
      <c r="B1175" s="11">
        <f t="shared" si="18"/>
        <v>38683</v>
      </c>
      <c r="C1175" s="12">
        <v>386830</v>
      </c>
      <c r="D1175" s="13">
        <v>1</v>
      </c>
      <c r="E1175" s="13">
        <v>0</v>
      </c>
      <c r="F1175" s="13">
        <v>80</v>
      </c>
      <c r="G1175" s="13">
        <v>31</v>
      </c>
      <c r="H1175" s="13" t="str" cm="1">
        <f t="array" ref="H1175">_xlfn.IFS(G1175&lt;=20,"0-20",G1175&lt;=30,"20-30",G1175&lt;=40,"30-40",G1175&lt;=50,"50-60",G1175&lt;=60,"60-70",G1175&lt;=70,"70-80",G1175&lt;=80,"80-90")</f>
        <v>30-40</v>
      </c>
      <c r="I1175" s="13">
        <v>2792</v>
      </c>
      <c r="J1175" s="13" t="str" cm="1">
        <f t="array" ref="J1175">_xlfn.IFS(K1175=1,"Divorciado",L1175=1,"Casado",M1175=1,"Solteiro",N1175=1,"Juntos",O1175=1,"Viuvo")</f>
        <v>Juntos</v>
      </c>
      <c r="K1175" s="13">
        <v>0</v>
      </c>
      <c r="L1175" s="13">
        <v>0</v>
      </c>
      <c r="M1175" s="13">
        <v>0</v>
      </c>
      <c r="N1175" s="13">
        <v>1</v>
      </c>
      <c r="O1175" s="13">
        <v>0</v>
      </c>
      <c r="P1175" s="13">
        <v>1</v>
      </c>
      <c r="Q1175" s="13">
        <v>0</v>
      </c>
      <c r="R1175" s="13">
        <v>0</v>
      </c>
      <c r="S1175" s="13">
        <v>0</v>
      </c>
      <c r="T1175" s="13">
        <v>0</v>
      </c>
      <c r="U1175" s="13">
        <v>46</v>
      </c>
      <c r="V1175" s="13" t="str" cm="1">
        <f t="array" ref="V1175">_xlfn.IFS(U1175&lt;=250,"0-R$250",U1175&lt;=500,"251-R$500",U1175&lt;=750,"501-R$750",U1175&lt;=1000,"751-R$1000",U1175&lt;=1250,"1001-R$1250",U1175&lt;=1500,"1251-R$1500")</f>
        <v>0-R$250</v>
      </c>
      <c r="W1175" s="13">
        <v>35</v>
      </c>
      <c r="X1175" s="13" t="str" cm="1">
        <f t="array" ref="X1175">_xlfn.IFS(W1175 = 0, "0", W1175&lt;=20, "até R$20",W1175&lt;=40, "21 - R$40",W1175&lt;=60, "41- R$60",W1175&lt;=80, "61 - R$80", W1175&lt;=100, "81 - R$100",W1175&lt;=120, "101 - R$120",W1175&lt;=140, "121 - R$140", W1175&lt;=160, "141- R$160", W1175&lt;=180, "161 - R$180", W1175&lt;=200, "181-R$194")</f>
        <v>21 - R$40</v>
      </c>
      <c r="Y1175" s="13">
        <v>69</v>
      </c>
      <c r="Z1175" s="13">
        <v>84</v>
      </c>
      <c r="AA1175" s="13">
        <v>41</v>
      </c>
      <c r="AB1175" s="13">
        <v>66</v>
      </c>
      <c r="AC1175" s="13">
        <v>6</v>
      </c>
      <c r="AD1175" s="13">
        <v>4</v>
      </c>
      <c r="AE1175" s="13">
        <v>1</v>
      </c>
      <c r="AF1175" s="13">
        <v>6</v>
      </c>
      <c r="AG1175" s="13">
        <v>7</v>
      </c>
      <c r="AH1175" s="13">
        <v>0</v>
      </c>
      <c r="AI1175" s="13">
        <v>0</v>
      </c>
      <c r="AJ1175" s="13">
        <v>0</v>
      </c>
      <c r="AK1175" s="13">
        <v>0</v>
      </c>
      <c r="AL1175" s="13">
        <v>0</v>
      </c>
      <c r="AM1175" s="13">
        <v>0</v>
      </c>
      <c r="AN1175" s="13">
        <v>0</v>
      </c>
      <c r="AO1175" s="14">
        <v>0</v>
      </c>
      <c r="AP1175" s="13">
        <v>3</v>
      </c>
      <c r="AQ1175" s="13">
        <v>11</v>
      </c>
      <c r="AR1175" s="15">
        <v>209</v>
      </c>
      <c r="AS1175" s="15">
        <v>275</v>
      </c>
    </row>
    <row r="1176" spans="1:45" x14ac:dyDescent="0.25">
      <c r="A1176">
        <v>1873</v>
      </c>
      <c r="B1176" s="11">
        <f t="shared" si="18"/>
        <v>113734</v>
      </c>
      <c r="C1176" s="16">
        <v>1137340</v>
      </c>
      <c r="D1176" s="17">
        <v>0</v>
      </c>
      <c r="E1176" s="17">
        <v>0</v>
      </c>
      <c r="F1176" s="17">
        <v>9</v>
      </c>
      <c r="G1176" s="17">
        <v>75</v>
      </c>
      <c r="H1176" s="13" t="str" cm="1">
        <f t="array" ref="H1176">_xlfn.IFS(G1176&lt;=20,"0-20",G1176&lt;=30,"20-30",G1176&lt;=40,"30-40",G1176&lt;=50,"50-60",G1176&lt;=60,"60-70",G1176&lt;=70,"70-80",G1176&lt;=80,"80-90")</f>
        <v>80-90</v>
      </c>
      <c r="I1176" s="17">
        <v>2191</v>
      </c>
      <c r="J1176" s="13" t="str" cm="1">
        <f t="array" ref="J1176">_xlfn.IFS(K1176=1,"Divorciado",L1176=1,"Casado",M1176=1,"Solteiro",N1176=1,"Juntos",O1176=1,"Viuvo")</f>
        <v>Solteiro</v>
      </c>
      <c r="K1176" s="17">
        <v>0</v>
      </c>
      <c r="L1176" s="17">
        <v>0</v>
      </c>
      <c r="M1176" s="17">
        <v>1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1</v>
      </c>
      <c r="U1176" s="17">
        <v>6</v>
      </c>
      <c r="V1176" s="13" t="str" cm="1">
        <f t="array" ref="V1176">_xlfn.IFS(U1176&lt;=250,"0-R$250",U1176&lt;=500,"251-R$500",U1176&lt;=750,"501-R$750",U1176&lt;=1000,"751-R$1000",U1176&lt;=1250,"1001-R$1250",U1176&lt;=1500,"1251-R$1500")</f>
        <v>0-R$250</v>
      </c>
      <c r="W1176" s="17">
        <v>2</v>
      </c>
      <c r="X1176" s="13" t="str" cm="1">
        <f t="array" ref="X1176">_xlfn.IFS(W1176 = 0, "0", W1176&lt;=20, "até R$20",W1176&lt;=40, "21 - R$40",W1176&lt;=60, "41- R$60",W1176&lt;=80, "61 - R$80", W1176&lt;=100, "81 - R$100",W1176&lt;=120, "101 - R$120",W1176&lt;=140, "121 - R$140", W1176&lt;=160, "141- R$160", W1176&lt;=180, "161 - R$180", W1176&lt;=200, "181-R$194")</f>
        <v>até R$20</v>
      </c>
      <c r="Y1176" s="17">
        <v>3</v>
      </c>
      <c r="Z1176" s="17">
        <v>1</v>
      </c>
      <c r="AA1176" s="17">
        <v>262</v>
      </c>
      <c r="AB1176" s="17">
        <v>3</v>
      </c>
      <c r="AC1176" s="17">
        <v>0</v>
      </c>
      <c r="AD1176" s="17">
        <v>27</v>
      </c>
      <c r="AE1176" s="17">
        <v>0</v>
      </c>
      <c r="AF1176" s="17">
        <v>0</v>
      </c>
      <c r="AG1176" s="17">
        <v>1</v>
      </c>
      <c r="AH1176" s="17">
        <v>0</v>
      </c>
      <c r="AI1176" s="17">
        <v>0</v>
      </c>
      <c r="AJ1176" s="17">
        <v>0</v>
      </c>
      <c r="AK1176" s="17">
        <v>0</v>
      </c>
      <c r="AL1176" s="17">
        <v>0</v>
      </c>
      <c r="AM1176" s="17">
        <v>0</v>
      </c>
      <c r="AN1176" s="17">
        <v>0</v>
      </c>
      <c r="AO1176" s="18">
        <v>0</v>
      </c>
      <c r="AP1176" s="17">
        <v>3</v>
      </c>
      <c r="AQ1176" s="17">
        <v>11</v>
      </c>
      <c r="AR1176" s="19">
        <v>271</v>
      </c>
      <c r="AS1176" s="19">
        <v>274</v>
      </c>
    </row>
    <row r="1177" spans="1:45" x14ac:dyDescent="0.25">
      <c r="A1177">
        <v>1098</v>
      </c>
      <c r="B1177" s="11">
        <f t="shared" si="18"/>
        <v>36262</v>
      </c>
      <c r="C1177" s="12">
        <v>362620</v>
      </c>
      <c r="D1177" s="13">
        <v>0</v>
      </c>
      <c r="E1177" s="13">
        <v>0</v>
      </c>
      <c r="F1177" s="13">
        <v>24</v>
      </c>
      <c r="G1177" s="13">
        <v>37</v>
      </c>
      <c r="H1177" s="13" t="str" cm="1">
        <f t="array" ref="H1177">_xlfn.IFS(G1177&lt;=20,"0-20",G1177&lt;=30,"20-30",G1177&lt;=40,"30-40",G1177&lt;=50,"50-60",G1177&lt;=60,"60-70",G1177&lt;=70,"70-80",G1177&lt;=80,"80-90")</f>
        <v>30-40</v>
      </c>
      <c r="I1177" s="13">
        <v>2441</v>
      </c>
      <c r="J1177" s="13" t="str" cm="1">
        <f t="array" ref="J1177">_xlfn.IFS(K1177=1,"Divorciado",L1177=1,"Casado",M1177=1,"Solteiro",N1177=1,"Juntos",O1177=1,"Viuvo")</f>
        <v>Casado</v>
      </c>
      <c r="K1177" s="13">
        <v>0</v>
      </c>
      <c r="L1177" s="13">
        <v>1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1</v>
      </c>
      <c r="T1177" s="13">
        <v>0</v>
      </c>
      <c r="U1177" s="13">
        <v>88</v>
      </c>
      <c r="V1177" s="13" t="str" cm="1">
        <f t="array" ref="V1177">_xlfn.IFS(U1177&lt;=250,"0-R$250",U1177&lt;=500,"251-R$500",U1177&lt;=750,"501-R$750",U1177&lt;=1000,"751-R$1000",U1177&lt;=1250,"1001-R$1250",U1177&lt;=1500,"1251-R$1500")</f>
        <v>0-R$250</v>
      </c>
      <c r="W1177" s="13">
        <v>39</v>
      </c>
      <c r="X1177" s="13" t="str" cm="1">
        <f t="array" ref="X1177">_xlfn.IFS(W1177 = 0, "0", W1177&lt;=20, "até R$20",W1177&lt;=40, "21 - R$40",W1177&lt;=60, "41- R$60",W1177&lt;=80, "61 - R$80", W1177&lt;=100, "81 - R$100",W1177&lt;=120, "101 - R$120",W1177&lt;=140, "121 - R$140", W1177&lt;=160, "141- R$160", W1177&lt;=180, "161 - R$180", W1177&lt;=200, "181-R$194")</f>
        <v>21 - R$40</v>
      </c>
      <c r="Y1177" s="13">
        <v>54</v>
      </c>
      <c r="Z1177" s="13">
        <v>64</v>
      </c>
      <c r="AA1177" s="13">
        <v>28</v>
      </c>
      <c r="AB1177" s="13">
        <v>153</v>
      </c>
      <c r="AC1177" s="13">
        <v>1</v>
      </c>
      <c r="AD1177" s="13">
        <v>3</v>
      </c>
      <c r="AE1177" s="13">
        <v>5</v>
      </c>
      <c r="AF1177" s="13">
        <v>3</v>
      </c>
      <c r="AG1177" s="13">
        <v>6</v>
      </c>
      <c r="AH1177" s="13">
        <v>0</v>
      </c>
      <c r="AI1177" s="13">
        <v>1</v>
      </c>
      <c r="AJ1177" s="13">
        <v>0</v>
      </c>
      <c r="AK1177" s="13">
        <v>0</v>
      </c>
      <c r="AL1177" s="13">
        <v>0</v>
      </c>
      <c r="AM1177" s="13">
        <v>0</v>
      </c>
      <c r="AN1177" s="13">
        <v>1</v>
      </c>
      <c r="AO1177" s="14">
        <v>1</v>
      </c>
      <c r="AP1177" s="13">
        <v>3</v>
      </c>
      <c r="AQ1177" s="13">
        <v>11</v>
      </c>
      <c r="AR1177" s="15">
        <v>120</v>
      </c>
      <c r="AS1177" s="15">
        <v>273</v>
      </c>
    </row>
    <row r="1178" spans="1:45" x14ac:dyDescent="0.25">
      <c r="A1178">
        <v>195</v>
      </c>
      <c r="B1178" s="11">
        <f t="shared" si="18"/>
        <v>48721</v>
      </c>
      <c r="C1178" s="16">
        <v>487210</v>
      </c>
      <c r="D1178" s="17">
        <v>1</v>
      </c>
      <c r="E1178" s="17">
        <v>1</v>
      </c>
      <c r="F1178" s="17">
        <v>50</v>
      </c>
      <c r="G1178" s="17">
        <v>57</v>
      </c>
      <c r="H1178" s="13" t="str" cm="1">
        <f t="array" ref="H1178">_xlfn.IFS(G1178&lt;=20,"0-20",G1178&lt;=30,"20-30",G1178&lt;=40,"30-40",G1178&lt;=50,"50-60",G1178&lt;=60,"60-70",G1178&lt;=70,"70-80",G1178&lt;=80,"80-90")</f>
        <v>60-70</v>
      </c>
      <c r="I1178" s="17">
        <v>2571</v>
      </c>
      <c r="J1178" s="13" t="str" cm="1">
        <f t="array" ref="J1178">_xlfn.IFS(K1178=1,"Divorciado",L1178=1,"Casado",M1178=1,"Solteiro",N1178=1,"Juntos",O1178=1,"Viuvo")</f>
        <v>Divorciado</v>
      </c>
      <c r="K1178" s="17">
        <v>1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1</v>
      </c>
      <c r="T1178" s="17">
        <v>0</v>
      </c>
      <c r="U1178" s="17">
        <v>81</v>
      </c>
      <c r="V1178" s="13" t="str" cm="1">
        <f t="array" ref="V1178">_xlfn.IFS(U1178&lt;=250,"0-R$250",U1178&lt;=500,"251-R$500",U1178&lt;=750,"501-R$750",U1178&lt;=1000,"751-R$1000",U1178&lt;=1250,"1001-R$1250",U1178&lt;=1500,"1251-R$1500")</f>
        <v>0-R$250</v>
      </c>
      <c r="W1178" s="17">
        <v>18</v>
      </c>
      <c r="X1178" s="13" t="str" cm="1">
        <f t="array" ref="X1178">_xlfn.IFS(W1178 = 0, "0", W1178&lt;=20, "até R$20",W1178&lt;=40, "21 - R$40",W1178&lt;=60, "41- R$60",W1178&lt;=80, "61 - R$80", W1178&lt;=100, "81 - R$100",W1178&lt;=120, "101 - R$120",W1178&lt;=140, "121 - R$140", W1178&lt;=160, "141- R$160", W1178&lt;=180, "161 - R$180", W1178&lt;=200, "181-R$194")</f>
        <v>até R$20</v>
      </c>
      <c r="Y1178" s="17">
        <v>113</v>
      </c>
      <c r="Z1178" s="17">
        <v>47</v>
      </c>
      <c r="AA1178" s="17">
        <v>13</v>
      </c>
      <c r="AB1178" s="17">
        <v>21</v>
      </c>
      <c r="AC1178" s="17">
        <v>6</v>
      </c>
      <c r="AD1178" s="17">
        <v>4</v>
      </c>
      <c r="AE1178" s="17">
        <v>2</v>
      </c>
      <c r="AF1178" s="17">
        <v>5</v>
      </c>
      <c r="AG1178" s="17">
        <v>6</v>
      </c>
      <c r="AH1178" s="17">
        <v>0</v>
      </c>
      <c r="AI1178" s="17">
        <v>0</v>
      </c>
      <c r="AJ1178" s="17">
        <v>0</v>
      </c>
      <c r="AK1178" s="17">
        <v>0</v>
      </c>
      <c r="AL1178" s="17">
        <v>0</v>
      </c>
      <c r="AM1178" s="17">
        <v>0</v>
      </c>
      <c r="AN1178" s="17">
        <v>0</v>
      </c>
      <c r="AO1178" s="18">
        <v>0</v>
      </c>
      <c r="AP1178" s="17">
        <v>3</v>
      </c>
      <c r="AQ1178" s="17">
        <v>11</v>
      </c>
      <c r="AR1178" s="19">
        <v>251</v>
      </c>
      <c r="AS1178" s="19">
        <v>272</v>
      </c>
    </row>
    <row r="1179" spans="1:45" x14ac:dyDescent="0.25">
      <c r="A1179">
        <v>1315</v>
      </c>
      <c r="B1179" s="11">
        <f t="shared" si="18"/>
        <v>51948</v>
      </c>
      <c r="C1179" s="16">
        <v>519480</v>
      </c>
      <c r="D1179" s="17">
        <v>0</v>
      </c>
      <c r="E1179" s="17">
        <v>1</v>
      </c>
      <c r="F1179" s="17">
        <v>51</v>
      </c>
      <c r="G1179" s="17">
        <v>45</v>
      </c>
      <c r="H1179" s="13" t="str" cm="1">
        <f t="array" ref="H1179">_xlfn.IFS(G1179&lt;=20,"0-20",G1179&lt;=30,"20-30",G1179&lt;=40,"30-40",G1179&lt;=50,"50-60",G1179&lt;=60,"60-70",G1179&lt;=70,"70-80",G1179&lt;=80,"80-90")</f>
        <v>50-60</v>
      </c>
      <c r="I1179" s="17">
        <v>2444</v>
      </c>
      <c r="J1179" s="13" t="str" cm="1">
        <f t="array" ref="J1179">_xlfn.IFS(K1179=1,"Divorciado",L1179=1,"Casado",M1179=1,"Solteiro",N1179=1,"Juntos",O1179=1,"Viuvo")</f>
        <v>Casado</v>
      </c>
      <c r="K1179" s="17">
        <v>0</v>
      </c>
      <c r="L1179" s="17">
        <v>1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1</v>
      </c>
      <c r="S1179" s="17">
        <v>0</v>
      </c>
      <c r="T1179" s="17">
        <v>0</v>
      </c>
      <c r="U1179" s="17">
        <v>82</v>
      </c>
      <c r="V1179" s="13" t="str" cm="1">
        <f t="array" ref="V1179">_xlfn.IFS(U1179&lt;=250,"0-R$250",U1179&lt;=500,"251-R$500",U1179&lt;=750,"501-R$750",U1179&lt;=1000,"751-R$1000",U1179&lt;=1250,"1001-R$1250",U1179&lt;=1500,"1251-R$1500")</f>
        <v>0-R$250</v>
      </c>
      <c r="W1179" s="17">
        <v>33</v>
      </c>
      <c r="X1179" s="13" t="str" cm="1">
        <f t="array" ref="X1179">_xlfn.IFS(W1179 = 0, "0", W1179&lt;=20, "até R$20",W1179&lt;=40, "21 - R$40",W1179&lt;=60, "41- R$60",W1179&lt;=80, "61 - R$80", W1179&lt;=100, "81 - R$100",W1179&lt;=120, "101 - R$120",W1179&lt;=140, "121 - R$140", W1179&lt;=160, "141- R$160", W1179&lt;=180, "161 - R$180", W1179&lt;=200, "181-R$194")</f>
        <v>21 - R$40</v>
      </c>
      <c r="Y1179" s="17">
        <v>54</v>
      </c>
      <c r="Z1179" s="17">
        <v>71</v>
      </c>
      <c r="AA1179" s="17">
        <v>30</v>
      </c>
      <c r="AB1179" s="17">
        <v>41</v>
      </c>
      <c r="AC1179" s="17">
        <v>2</v>
      </c>
      <c r="AD1179" s="17">
        <v>5</v>
      </c>
      <c r="AE1179" s="17">
        <v>2</v>
      </c>
      <c r="AF1179" s="17">
        <v>4</v>
      </c>
      <c r="AG1179" s="17">
        <v>5</v>
      </c>
      <c r="AH1179" s="17">
        <v>0</v>
      </c>
      <c r="AI1179" s="17">
        <v>0</v>
      </c>
      <c r="AJ1179" s="17">
        <v>0</v>
      </c>
      <c r="AK1179" s="17">
        <v>0</v>
      </c>
      <c r="AL1179" s="17">
        <v>0</v>
      </c>
      <c r="AM1179" s="17">
        <v>0</v>
      </c>
      <c r="AN1179" s="17">
        <v>0</v>
      </c>
      <c r="AO1179" s="18">
        <v>0</v>
      </c>
      <c r="AP1179" s="17">
        <v>3</v>
      </c>
      <c r="AQ1179" s="17">
        <v>11</v>
      </c>
      <c r="AR1179" s="19">
        <v>229</v>
      </c>
      <c r="AS1179" s="19">
        <v>270</v>
      </c>
    </row>
    <row r="1180" spans="1:45" x14ac:dyDescent="0.25">
      <c r="A1180">
        <v>366</v>
      </c>
      <c r="B1180" s="11">
        <f t="shared" si="18"/>
        <v>27421</v>
      </c>
      <c r="C1180" s="12">
        <v>274210</v>
      </c>
      <c r="D1180" s="13">
        <v>0</v>
      </c>
      <c r="E1180" s="13">
        <v>0</v>
      </c>
      <c r="F1180" s="13">
        <v>14</v>
      </c>
      <c r="G1180" s="13">
        <v>66</v>
      </c>
      <c r="H1180" s="13" t="str" cm="1">
        <f t="array" ref="H1180">_xlfn.IFS(G1180&lt;=20,"0-20",G1180&lt;=30,"20-30",G1180&lt;=40,"30-40",G1180&lt;=50,"50-60",G1180&lt;=60,"60-70",G1180&lt;=70,"70-80",G1180&lt;=80,"80-90")</f>
        <v>70-80</v>
      </c>
      <c r="I1180" s="13">
        <v>2723</v>
      </c>
      <c r="J1180" s="13" t="str" cm="1">
        <f t="array" ref="J1180">_xlfn.IFS(K1180=1,"Divorciado",L1180=1,"Casado",M1180=1,"Solteiro",N1180=1,"Juntos",O1180=1,"Viuvo")</f>
        <v>Viuvo</v>
      </c>
      <c r="K1180" s="13">
        <v>0</v>
      </c>
      <c r="L1180" s="13">
        <v>0</v>
      </c>
      <c r="M1180" s="13">
        <v>0</v>
      </c>
      <c r="N1180" s="13">
        <v>0</v>
      </c>
      <c r="O1180" s="13">
        <v>1</v>
      </c>
      <c r="P1180" s="13">
        <v>0</v>
      </c>
      <c r="Q1180" s="13">
        <v>0</v>
      </c>
      <c r="R1180" s="13">
        <v>1</v>
      </c>
      <c r="S1180" s="13">
        <v>0</v>
      </c>
      <c r="T1180" s="13">
        <v>0</v>
      </c>
      <c r="U1180" s="13">
        <v>43</v>
      </c>
      <c r="V1180" s="13" t="str" cm="1">
        <f t="array" ref="V1180">_xlfn.IFS(U1180&lt;=250,"0-R$250",U1180&lt;=500,"251-R$500",U1180&lt;=750,"501-R$750",U1180&lt;=1000,"751-R$1000",U1180&lt;=1250,"1001-R$1250",U1180&lt;=1500,"1251-R$1500")</f>
        <v>0-R$250</v>
      </c>
      <c r="W1180" s="13">
        <v>12</v>
      </c>
      <c r="X1180" s="13" t="str" cm="1">
        <f t="array" ref="X1180">_xlfn.IFS(W1180 = 0, "0", W1180&lt;=20, "até R$20",W1180&lt;=40, "21 - R$40",W1180&lt;=60, "41- R$60",W1180&lt;=80, "61 - R$80", W1180&lt;=100, "81 - R$100",W1180&lt;=120, "101 - R$120",W1180&lt;=140, "121 - R$140", W1180&lt;=160, "141- R$160", W1180&lt;=180, "161 - R$180", W1180&lt;=200, "181-R$194")</f>
        <v>até R$20</v>
      </c>
      <c r="Y1180" s="13">
        <v>96</v>
      </c>
      <c r="Z1180" s="13">
        <v>78</v>
      </c>
      <c r="AA1180" s="13">
        <v>40</v>
      </c>
      <c r="AB1180" s="13">
        <v>55</v>
      </c>
      <c r="AC1180" s="13">
        <v>3</v>
      </c>
      <c r="AD1180" s="13">
        <v>4</v>
      </c>
      <c r="AE1180" s="13">
        <v>1</v>
      </c>
      <c r="AF1180" s="13">
        <v>6</v>
      </c>
      <c r="AG1180" s="13">
        <v>7</v>
      </c>
      <c r="AH1180" s="13">
        <v>0</v>
      </c>
      <c r="AI1180" s="13">
        <v>0</v>
      </c>
      <c r="AJ1180" s="13">
        <v>0</v>
      </c>
      <c r="AK1180" s="13">
        <v>0</v>
      </c>
      <c r="AL1180" s="13">
        <v>0</v>
      </c>
      <c r="AM1180" s="13">
        <v>0</v>
      </c>
      <c r="AN1180" s="13">
        <v>0</v>
      </c>
      <c r="AO1180" s="14">
        <v>0</v>
      </c>
      <c r="AP1180" s="13">
        <v>3</v>
      </c>
      <c r="AQ1180" s="13">
        <v>11</v>
      </c>
      <c r="AR1180" s="15">
        <v>214</v>
      </c>
      <c r="AS1180" s="15">
        <v>269</v>
      </c>
    </row>
    <row r="1181" spans="1:45" x14ac:dyDescent="0.25">
      <c r="A1181">
        <v>1016</v>
      </c>
      <c r="B1181" s="11">
        <f t="shared" si="18"/>
        <v>28071</v>
      </c>
      <c r="C1181" s="12">
        <v>280710</v>
      </c>
      <c r="D1181" s="13">
        <v>0</v>
      </c>
      <c r="E1181" s="13">
        <v>0</v>
      </c>
      <c r="F1181" s="13">
        <v>65</v>
      </c>
      <c r="G1181" s="13">
        <v>40</v>
      </c>
      <c r="H1181" s="13" t="str" cm="1">
        <f t="array" ref="H1181">_xlfn.IFS(G1181&lt;=20,"0-20",G1181&lt;=30,"20-30",G1181&lt;=40,"30-40",G1181&lt;=50,"50-60",G1181&lt;=60,"60-70",G1181&lt;=70,"70-80",G1181&lt;=80,"80-90")</f>
        <v>30-40</v>
      </c>
      <c r="I1181" s="13">
        <v>2828</v>
      </c>
      <c r="J1181" s="13" t="str" cm="1">
        <f t="array" ref="J1181">_xlfn.IFS(K1181=1,"Divorciado",L1181=1,"Casado",M1181=1,"Solteiro",N1181=1,"Juntos",O1181=1,"Viuvo")</f>
        <v>Solteiro</v>
      </c>
      <c r="K1181" s="13">
        <v>0</v>
      </c>
      <c r="L1181" s="13">
        <v>0</v>
      </c>
      <c r="M1181" s="13">
        <v>1</v>
      </c>
      <c r="N1181" s="13">
        <v>0</v>
      </c>
      <c r="O1181" s="13">
        <v>0</v>
      </c>
      <c r="P1181" s="13">
        <v>0</v>
      </c>
      <c r="Q1181" s="13">
        <v>0</v>
      </c>
      <c r="R1181" s="13">
        <v>1</v>
      </c>
      <c r="S1181" s="13">
        <v>0</v>
      </c>
      <c r="T1181" s="13">
        <v>0</v>
      </c>
      <c r="U1181" s="13">
        <v>39</v>
      </c>
      <c r="V1181" s="13" t="str" cm="1">
        <f t="array" ref="V1181">_xlfn.IFS(U1181&lt;=250,"0-R$250",U1181&lt;=500,"251-R$500",U1181&lt;=750,"501-R$750",U1181&lt;=1000,"751-R$1000",U1181&lt;=1250,"1001-R$1250",U1181&lt;=1500,"1251-R$1500")</f>
        <v>0-R$250</v>
      </c>
      <c r="W1181" s="13">
        <v>33</v>
      </c>
      <c r="X1181" s="13" t="str" cm="1">
        <f t="array" ref="X1181">_xlfn.IFS(W1181 = 0, "0", W1181&lt;=20, "até R$20",W1181&lt;=40, "21 - R$40",W1181&lt;=60, "41- R$60",W1181&lt;=80, "61 - R$80", W1181&lt;=100, "81 - R$100",W1181&lt;=120, "101 - R$120",W1181&lt;=140, "121 - R$140", W1181&lt;=160, "141- R$160", W1181&lt;=180, "161 - R$180", W1181&lt;=200, "181-R$194")</f>
        <v>21 - R$40</v>
      </c>
      <c r="Y1181" s="13">
        <v>130</v>
      </c>
      <c r="Z1181" s="13">
        <v>41</v>
      </c>
      <c r="AA1181" s="13">
        <v>26</v>
      </c>
      <c r="AB1181" s="13">
        <v>44</v>
      </c>
      <c r="AC1181" s="13">
        <v>2</v>
      </c>
      <c r="AD1181" s="13">
        <v>5</v>
      </c>
      <c r="AE1181" s="13">
        <v>1</v>
      </c>
      <c r="AF1181" s="13">
        <v>5</v>
      </c>
      <c r="AG1181" s="13">
        <v>8</v>
      </c>
      <c r="AH1181" s="13">
        <v>0</v>
      </c>
      <c r="AI1181" s="13">
        <v>0</v>
      </c>
      <c r="AJ1181" s="13">
        <v>0</v>
      </c>
      <c r="AK1181" s="13">
        <v>0</v>
      </c>
      <c r="AL1181" s="13">
        <v>0</v>
      </c>
      <c r="AM1181" s="13">
        <v>0</v>
      </c>
      <c r="AN1181" s="13">
        <v>0</v>
      </c>
      <c r="AO1181" s="14">
        <v>0</v>
      </c>
      <c r="AP1181" s="13">
        <v>3</v>
      </c>
      <c r="AQ1181" s="13">
        <v>11</v>
      </c>
      <c r="AR1181" s="15">
        <v>225</v>
      </c>
      <c r="AS1181" s="15">
        <v>269</v>
      </c>
    </row>
    <row r="1182" spans="1:45" x14ac:dyDescent="0.25">
      <c r="A1182">
        <v>2009</v>
      </c>
      <c r="B1182" s="11">
        <f t="shared" si="18"/>
        <v>40059</v>
      </c>
      <c r="C1182" s="16">
        <v>400590</v>
      </c>
      <c r="D1182" s="17">
        <v>1</v>
      </c>
      <c r="E1182" s="17">
        <v>0</v>
      </c>
      <c r="F1182" s="17">
        <v>82</v>
      </c>
      <c r="G1182" s="17">
        <v>36</v>
      </c>
      <c r="H1182" s="13" t="str" cm="1">
        <f t="array" ref="H1182">_xlfn.IFS(G1182&lt;=20,"0-20",G1182&lt;=30,"20-30",G1182&lt;=40,"30-40",G1182&lt;=50,"50-60",G1182&lt;=60,"60-70",G1182&lt;=70,"70-80",G1182&lt;=80,"80-90")</f>
        <v>30-40</v>
      </c>
      <c r="I1182" s="17">
        <v>2433</v>
      </c>
      <c r="J1182" s="13" t="str" cm="1">
        <f t="array" ref="J1182">_xlfn.IFS(K1182=1,"Divorciado",L1182=1,"Casado",M1182=1,"Solteiro",N1182=1,"Juntos",O1182=1,"Viuvo")</f>
        <v>Casado</v>
      </c>
      <c r="K1182" s="17">
        <v>0</v>
      </c>
      <c r="L1182" s="17">
        <v>1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1</v>
      </c>
      <c r="S1182" s="17">
        <v>0</v>
      </c>
      <c r="T1182" s="17">
        <v>0</v>
      </c>
      <c r="U1182" s="17">
        <v>110</v>
      </c>
      <c r="V1182" s="13" t="str" cm="1">
        <f t="array" ref="V1182">_xlfn.IFS(U1182&lt;=250,"0-R$250",U1182&lt;=500,"251-R$500",U1182&lt;=750,"501-R$750",U1182&lt;=1000,"751-R$1000",U1182&lt;=1250,"1001-R$1250",U1182&lt;=1500,"1251-R$1500")</f>
        <v>0-R$250</v>
      </c>
      <c r="W1182" s="17">
        <v>29</v>
      </c>
      <c r="X1182" s="13" t="str" cm="1">
        <f t="array" ref="X1182">_xlfn.IFS(W1182 = 0, "0", W1182&lt;=20, "até R$20",W1182&lt;=40, "21 - R$40",W1182&lt;=60, "41- R$60",W1182&lt;=80, "61 - R$80", W1182&lt;=100, "81 - R$100",W1182&lt;=120, "101 - R$120",W1182&lt;=140, "121 - R$140", W1182&lt;=160, "141- R$160", W1182&lt;=180, "161 - R$180", W1182&lt;=200, "181-R$194")</f>
        <v>21 - R$40</v>
      </c>
      <c r="Y1182" s="17">
        <v>92</v>
      </c>
      <c r="Z1182" s="17">
        <v>28</v>
      </c>
      <c r="AA1182" s="17">
        <v>10</v>
      </c>
      <c r="AB1182" s="17">
        <v>145</v>
      </c>
      <c r="AC1182" s="17">
        <v>1</v>
      </c>
      <c r="AD1182" s="17">
        <v>6</v>
      </c>
      <c r="AE1182" s="17">
        <v>2</v>
      </c>
      <c r="AF1182" s="17">
        <v>3</v>
      </c>
      <c r="AG1182" s="17">
        <v>8</v>
      </c>
      <c r="AH1182" s="17">
        <v>0</v>
      </c>
      <c r="AI1182" s="17">
        <v>1</v>
      </c>
      <c r="AJ1182" s="17">
        <v>0</v>
      </c>
      <c r="AK1182" s="17">
        <v>0</v>
      </c>
      <c r="AL1182" s="17">
        <v>0</v>
      </c>
      <c r="AM1182" s="17">
        <v>0</v>
      </c>
      <c r="AN1182" s="17">
        <v>0</v>
      </c>
      <c r="AO1182" s="18">
        <v>1</v>
      </c>
      <c r="AP1182" s="17">
        <v>3</v>
      </c>
      <c r="AQ1182" s="17">
        <v>11</v>
      </c>
      <c r="AR1182" s="19">
        <v>124</v>
      </c>
      <c r="AS1182" s="19">
        <v>269</v>
      </c>
    </row>
    <row r="1183" spans="1:45" x14ac:dyDescent="0.25">
      <c r="A1183">
        <v>2127</v>
      </c>
      <c r="B1183" s="11">
        <f t="shared" si="18"/>
        <v>59686</v>
      </c>
      <c r="C1183" s="16">
        <v>596860</v>
      </c>
      <c r="D1183" s="17">
        <v>0</v>
      </c>
      <c r="E1183" s="17">
        <v>1</v>
      </c>
      <c r="F1183" s="17">
        <v>78</v>
      </c>
      <c r="G1183" s="17">
        <v>55</v>
      </c>
      <c r="H1183" s="13" t="str" cm="1">
        <f t="array" ref="H1183">_xlfn.IFS(G1183&lt;=20,"0-20",G1183&lt;=30,"20-30",G1183&lt;=40,"30-40",G1183&lt;=50,"50-60",G1183&lt;=60,"60-70",G1183&lt;=70,"70-80",G1183&lt;=80,"80-90")</f>
        <v>60-70</v>
      </c>
      <c r="I1183" s="17">
        <v>2314</v>
      </c>
      <c r="J1183" s="13" t="str" cm="1">
        <f t="array" ref="J1183">_xlfn.IFS(K1183=1,"Divorciado",L1183=1,"Casado",M1183=1,"Solteiro",N1183=1,"Juntos",O1183=1,"Viuvo")</f>
        <v>Solteiro</v>
      </c>
      <c r="K1183" s="17">
        <v>0</v>
      </c>
      <c r="L1183" s="17">
        <v>0</v>
      </c>
      <c r="M1183" s="17">
        <v>1</v>
      </c>
      <c r="N1183" s="17">
        <v>0</v>
      </c>
      <c r="O1183" s="17">
        <v>0</v>
      </c>
      <c r="P1183" s="17">
        <v>0</v>
      </c>
      <c r="Q1183" s="17">
        <v>0</v>
      </c>
      <c r="R1183" s="17">
        <v>1</v>
      </c>
      <c r="S1183" s="17">
        <v>0</v>
      </c>
      <c r="T1183" s="17">
        <v>0</v>
      </c>
      <c r="U1183" s="17">
        <v>89</v>
      </c>
      <c r="V1183" s="13" t="str" cm="1">
        <f t="array" ref="V1183">_xlfn.IFS(U1183&lt;=250,"0-R$250",U1183&lt;=500,"251-R$500",U1183&lt;=750,"501-R$750",U1183&lt;=1000,"751-R$1000",U1183&lt;=1250,"1001-R$1250",U1183&lt;=1500,"1251-R$1500")</f>
        <v>0-R$250</v>
      </c>
      <c r="W1183" s="17">
        <v>15</v>
      </c>
      <c r="X1183" s="13" t="str" cm="1">
        <f t="array" ref="X1183">_xlfn.IFS(W1183 = 0, "0", W1183&lt;=20, "até R$20",W1183&lt;=40, "21 - R$40",W1183&lt;=60, "41- R$60",W1183&lt;=80, "61 - R$80", W1183&lt;=100, "81 - R$100",W1183&lt;=120, "101 - R$120",W1183&lt;=140, "121 - R$140", W1183&lt;=160, "141- R$160", W1183&lt;=180, "161 - R$180", W1183&lt;=200, "181-R$194")</f>
        <v>até R$20</v>
      </c>
      <c r="Y1183" s="17">
        <v>89</v>
      </c>
      <c r="Z1183" s="17">
        <v>34</v>
      </c>
      <c r="AA1183" s="17">
        <v>42</v>
      </c>
      <c r="AB1183" s="17">
        <v>5</v>
      </c>
      <c r="AC1183" s="17">
        <v>1</v>
      </c>
      <c r="AD1183" s="17">
        <v>4</v>
      </c>
      <c r="AE1183" s="17">
        <v>1</v>
      </c>
      <c r="AF1183" s="17">
        <v>6</v>
      </c>
      <c r="AG1183" s="17">
        <v>4</v>
      </c>
      <c r="AH1183" s="17">
        <v>0</v>
      </c>
      <c r="AI1183" s="17">
        <v>0</v>
      </c>
      <c r="AJ1183" s="17">
        <v>0</v>
      </c>
      <c r="AK1183" s="17">
        <v>0</v>
      </c>
      <c r="AL1183" s="17">
        <v>0</v>
      </c>
      <c r="AM1183" s="17">
        <v>0</v>
      </c>
      <c r="AN1183" s="17">
        <v>0</v>
      </c>
      <c r="AO1183" s="18">
        <v>0</v>
      </c>
      <c r="AP1183" s="17">
        <v>3</v>
      </c>
      <c r="AQ1183" s="17">
        <v>11</v>
      </c>
      <c r="AR1183" s="19">
        <v>264</v>
      </c>
      <c r="AS1183" s="19">
        <v>269</v>
      </c>
    </row>
    <row r="1184" spans="1:45" x14ac:dyDescent="0.25">
      <c r="A1184">
        <v>20</v>
      </c>
      <c r="B1184" s="11">
        <f t="shared" si="18"/>
        <v>37040</v>
      </c>
      <c r="C1184" s="12">
        <v>370400</v>
      </c>
      <c r="D1184" s="13">
        <v>0</v>
      </c>
      <c r="E1184" s="13">
        <v>0</v>
      </c>
      <c r="F1184" s="13">
        <v>41</v>
      </c>
      <c r="G1184" s="13">
        <v>38</v>
      </c>
      <c r="H1184" s="13" t="str" cm="1">
        <f t="array" ref="H1184">_xlfn.IFS(G1184&lt;=20,"0-20",G1184&lt;=30,"20-30",G1184&lt;=40,"30-40",G1184&lt;=50,"50-60",G1184&lt;=60,"60-70",G1184&lt;=70,"70-80",G1184&lt;=80,"80-90")</f>
        <v>30-40</v>
      </c>
      <c r="I1184" s="13">
        <v>2849</v>
      </c>
      <c r="J1184" s="13" t="str" cm="1">
        <f t="array" ref="J1184">_xlfn.IFS(K1184=1,"Divorciado",L1184=1,"Casado",M1184=1,"Solteiro",N1184=1,"Juntos",O1184=1,"Viuvo")</f>
        <v>Casado</v>
      </c>
      <c r="K1184" s="13">
        <v>0</v>
      </c>
      <c r="L1184" s="13">
        <v>1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1</v>
      </c>
      <c r="S1184" s="13">
        <v>0</v>
      </c>
      <c r="T1184" s="13">
        <v>0</v>
      </c>
      <c r="U1184" s="13">
        <v>86</v>
      </c>
      <c r="V1184" s="13" t="str" cm="1">
        <f t="array" ref="V1184">_xlfn.IFS(U1184&lt;=250,"0-R$250",U1184&lt;=500,"251-R$500",U1184&lt;=750,"501-R$750",U1184&lt;=1000,"751-R$1000",U1184&lt;=1250,"1001-R$1250",U1184&lt;=1500,"1251-R$1500")</f>
        <v>0-R$250</v>
      </c>
      <c r="W1184" s="13">
        <v>2</v>
      </c>
      <c r="X1184" s="13" t="str" cm="1">
        <f t="array" ref="X1184">_xlfn.IFS(W1184 = 0, "0", W1184&lt;=20, "até R$20",W1184&lt;=40, "21 - R$40",W1184&lt;=60, "41- R$60",W1184&lt;=80, "61 - R$80", W1184&lt;=100, "81 - R$100",W1184&lt;=120, "101 - R$120",W1184&lt;=140, "121 - R$140", W1184&lt;=160, "141- R$160", W1184&lt;=180, "161 - R$180", W1184&lt;=200, "181-R$194")</f>
        <v>até R$20</v>
      </c>
      <c r="Y1184" s="13">
        <v>73</v>
      </c>
      <c r="Z1184" s="13">
        <v>69</v>
      </c>
      <c r="AA1184" s="13">
        <v>38</v>
      </c>
      <c r="AB1184" s="13">
        <v>48</v>
      </c>
      <c r="AC1184" s="13">
        <v>1</v>
      </c>
      <c r="AD1184" s="13">
        <v>4</v>
      </c>
      <c r="AE1184" s="13">
        <v>2</v>
      </c>
      <c r="AF1184" s="13">
        <v>5</v>
      </c>
      <c r="AG1184" s="13">
        <v>8</v>
      </c>
      <c r="AH1184" s="13">
        <v>0</v>
      </c>
      <c r="AI1184" s="13">
        <v>0</v>
      </c>
      <c r="AJ1184" s="13">
        <v>0</v>
      </c>
      <c r="AK1184" s="13">
        <v>0</v>
      </c>
      <c r="AL1184" s="13">
        <v>0</v>
      </c>
      <c r="AM1184" s="13">
        <v>0</v>
      </c>
      <c r="AN1184" s="13">
        <v>0</v>
      </c>
      <c r="AO1184" s="14">
        <v>0</v>
      </c>
      <c r="AP1184" s="13">
        <v>3</v>
      </c>
      <c r="AQ1184" s="13">
        <v>11</v>
      </c>
      <c r="AR1184" s="15">
        <v>220</v>
      </c>
      <c r="AS1184" s="15">
        <v>268</v>
      </c>
    </row>
    <row r="1185" spans="1:45" x14ac:dyDescent="0.25">
      <c r="A1185">
        <v>249</v>
      </c>
      <c r="B1185" s="11">
        <f t="shared" si="18"/>
        <v>44159</v>
      </c>
      <c r="C1185" s="16">
        <v>441590</v>
      </c>
      <c r="D1185" s="17">
        <v>1</v>
      </c>
      <c r="E1185" s="17">
        <v>0</v>
      </c>
      <c r="F1185" s="17">
        <v>85</v>
      </c>
      <c r="G1185" s="17">
        <v>50</v>
      </c>
      <c r="H1185" s="13" t="str" cm="1">
        <f t="array" ref="H1185">_xlfn.IFS(G1185&lt;=20,"0-20",G1185&lt;=30,"20-30",G1185&lt;=40,"30-40",G1185&lt;=50,"50-60",G1185&lt;=60,"60-70",G1185&lt;=70,"70-80",G1185&lt;=80,"80-90")</f>
        <v>50-60</v>
      </c>
      <c r="I1185" s="17">
        <v>2171</v>
      </c>
      <c r="J1185" s="13" t="str" cm="1">
        <f t="array" ref="J1185">_xlfn.IFS(K1185=1,"Divorciado",L1185=1,"Casado",M1185=1,"Solteiro",N1185=1,"Juntos",O1185=1,"Viuvo")</f>
        <v>Casado</v>
      </c>
      <c r="K1185" s="17">
        <v>0</v>
      </c>
      <c r="L1185" s="17">
        <v>1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1</v>
      </c>
      <c r="T1185" s="17">
        <v>0</v>
      </c>
      <c r="U1185" s="17">
        <v>167</v>
      </c>
      <c r="V1185" s="13" t="str" cm="1">
        <f t="array" ref="V1185">_xlfn.IFS(U1185&lt;=250,"0-R$250",U1185&lt;=500,"251-R$500",U1185&lt;=750,"501-R$750",U1185&lt;=1000,"751-R$1000",U1185&lt;=1250,"1001-R$1250",U1185&lt;=1500,"1251-R$1500")</f>
        <v>0-R$250</v>
      </c>
      <c r="W1185" s="17">
        <v>2</v>
      </c>
      <c r="X1185" s="13" t="str" cm="1">
        <f t="array" ref="X1185">_xlfn.IFS(W1185 = 0, "0", W1185&lt;=20, "até R$20",W1185&lt;=40, "21 - R$40",W1185&lt;=60, "41- R$60",W1185&lt;=80, "61 - R$80", W1185&lt;=100, "81 - R$100",W1185&lt;=120, "101 - R$120",W1185&lt;=140, "121 - R$140", W1185&lt;=160, "141- R$160", W1185&lt;=180, "161 - R$180", W1185&lt;=200, "181-R$194")</f>
        <v>até R$20</v>
      </c>
      <c r="Y1185" s="17">
        <v>62</v>
      </c>
      <c r="Z1185" s="17">
        <v>24</v>
      </c>
      <c r="AA1185" s="17">
        <v>13</v>
      </c>
      <c r="AB1185" s="17">
        <v>7</v>
      </c>
      <c r="AC1185" s="17">
        <v>4</v>
      </c>
      <c r="AD1185" s="17">
        <v>4</v>
      </c>
      <c r="AE1185" s="17">
        <v>1</v>
      </c>
      <c r="AF1185" s="17">
        <v>6</v>
      </c>
      <c r="AG1185" s="17">
        <v>5</v>
      </c>
      <c r="AH1185" s="17">
        <v>0</v>
      </c>
      <c r="AI1185" s="17">
        <v>0</v>
      </c>
      <c r="AJ1185" s="17">
        <v>0</v>
      </c>
      <c r="AK1185" s="17">
        <v>0</v>
      </c>
      <c r="AL1185" s="17">
        <v>0</v>
      </c>
      <c r="AM1185" s="17">
        <v>0</v>
      </c>
      <c r="AN1185" s="17">
        <v>0</v>
      </c>
      <c r="AO1185" s="18">
        <v>0</v>
      </c>
      <c r="AP1185" s="17">
        <v>3</v>
      </c>
      <c r="AQ1185" s="17">
        <v>11</v>
      </c>
      <c r="AR1185" s="19">
        <v>261</v>
      </c>
      <c r="AS1185" s="19">
        <v>268</v>
      </c>
    </row>
    <row r="1186" spans="1:45" x14ac:dyDescent="0.25">
      <c r="A1186">
        <v>442</v>
      </c>
      <c r="B1186" s="11">
        <f t="shared" si="18"/>
        <v>50300</v>
      </c>
      <c r="C1186" s="12">
        <v>503000</v>
      </c>
      <c r="D1186" s="13">
        <v>0</v>
      </c>
      <c r="E1186" s="13">
        <v>1</v>
      </c>
      <c r="F1186" s="13">
        <v>52</v>
      </c>
      <c r="G1186" s="13">
        <v>68</v>
      </c>
      <c r="H1186" s="13" t="str" cm="1">
        <f t="array" ref="H1186">_xlfn.IFS(G1186&lt;=20,"0-20",G1186&lt;=30,"20-30",G1186&lt;=40,"30-40",G1186&lt;=50,"50-60",G1186&lt;=60,"60-70",G1186&lt;=70,"70-80",G1186&lt;=80,"80-90")</f>
        <v>70-80</v>
      </c>
      <c r="I1186" s="13">
        <v>2194</v>
      </c>
      <c r="J1186" s="13" t="str" cm="1">
        <f t="array" ref="J1186">_xlfn.IFS(K1186=1,"Divorciado",L1186=1,"Casado",M1186=1,"Solteiro",N1186=1,"Juntos",O1186=1,"Viuvo")</f>
        <v>Casado</v>
      </c>
      <c r="K1186" s="13">
        <v>0</v>
      </c>
      <c r="L1186" s="13">
        <v>1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1</v>
      </c>
      <c r="S1186" s="13">
        <v>0</v>
      </c>
      <c r="T1186" s="13">
        <v>0</v>
      </c>
      <c r="U1186" s="13">
        <v>143</v>
      </c>
      <c r="V1186" s="13" t="str" cm="1">
        <f t="array" ref="V1186">_xlfn.IFS(U1186&lt;=250,"0-R$250",U1186&lt;=500,"251-R$500",U1186&lt;=750,"501-R$750",U1186&lt;=1000,"751-R$1000",U1186&lt;=1250,"1001-R$1250",U1186&lt;=1500,"1251-R$1500")</f>
        <v>0-R$250</v>
      </c>
      <c r="W1186" s="13">
        <v>15</v>
      </c>
      <c r="X1186" s="13" t="str" cm="1">
        <f t="array" ref="X1186">_xlfn.IFS(W1186 = 0, "0", W1186&lt;=20, "até R$20",W1186&lt;=40, "21 - R$40",W1186&lt;=60, "41- R$60",W1186&lt;=80, "61 - R$80", W1186&lt;=100, "81 - R$100",W1186&lt;=120, "101 - R$120",W1186&lt;=140, "121 - R$140", W1186&lt;=160, "141- R$160", W1186&lt;=180, "161 - R$180", W1186&lt;=200, "181-R$194")</f>
        <v>até R$20</v>
      </c>
      <c r="Y1186" s="13">
        <v>60</v>
      </c>
      <c r="Z1186" s="13">
        <v>24</v>
      </c>
      <c r="AA1186" s="13">
        <v>23</v>
      </c>
      <c r="AB1186" s="13">
        <v>5</v>
      </c>
      <c r="AC1186" s="13">
        <v>2</v>
      </c>
      <c r="AD1186" s="13">
        <v>2</v>
      </c>
      <c r="AE1186" s="13">
        <v>1</v>
      </c>
      <c r="AF1186" s="13">
        <v>8</v>
      </c>
      <c r="AG1186" s="13">
        <v>2</v>
      </c>
      <c r="AH1186" s="13">
        <v>0</v>
      </c>
      <c r="AI1186" s="13">
        <v>0</v>
      </c>
      <c r="AJ1186" s="13">
        <v>0</v>
      </c>
      <c r="AK1186" s="13">
        <v>0</v>
      </c>
      <c r="AL1186" s="13">
        <v>0</v>
      </c>
      <c r="AM1186" s="13">
        <v>0</v>
      </c>
      <c r="AN1186" s="13">
        <v>0</v>
      </c>
      <c r="AO1186" s="14">
        <v>0</v>
      </c>
      <c r="AP1186" s="13">
        <v>3</v>
      </c>
      <c r="AQ1186" s="13">
        <v>11</v>
      </c>
      <c r="AR1186" s="15">
        <v>260</v>
      </c>
      <c r="AS1186" s="15">
        <v>265</v>
      </c>
    </row>
    <row r="1187" spans="1:45" x14ac:dyDescent="0.25">
      <c r="A1187">
        <v>1379</v>
      </c>
      <c r="B1187" s="11">
        <f t="shared" si="18"/>
        <v>36864</v>
      </c>
      <c r="C1187" s="16">
        <v>368640</v>
      </c>
      <c r="D1187" s="17">
        <v>0</v>
      </c>
      <c r="E1187" s="17">
        <v>1</v>
      </c>
      <c r="F1187" s="17">
        <v>53</v>
      </c>
      <c r="G1187" s="17">
        <v>63</v>
      </c>
      <c r="H1187" s="13" t="str" cm="1">
        <f t="array" ref="H1187">_xlfn.IFS(G1187&lt;=20,"0-20",G1187&lt;=30,"20-30",G1187&lt;=40,"30-40",G1187&lt;=50,"50-60",G1187&lt;=60,"60-70",G1187&lt;=70,"70-80",G1187&lt;=80,"80-90")</f>
        <v>70-80</v>
      </c>
      <c r="I1187" s="17">
        <v>2844</v>
      </c>
      <c r="J1187" s="13" t="str" cm="1">
        <f t="array" ref="J1187">_xlfn.IFS(K1187=1,"Divorciado",L1187=1,"Casado",M1187=1,"Solteiro",N1187=1,"Juntos",O1187=1,"Viuvo")</f>
        <v>Solteiro</v>
      </c>
      <c r="K1187" s="17">
        <v>0</v>
      </c>
      <c r="L1187" s="17">
        <v>0</v>
      </c>
      <c r="M1187" s="17">
        <v>1</v>
      </c>
      <c r="N1187" s="17">
        <v>0</v>
      </c>
      <c r="O1187" s="17">
        <v>0</v>
      </c>
      <c r="P1187" s="17">
        <v>0</v>
      </c>
      <c r="Q1187" s="17">
        <v>0</v>
      </c>
      <c r="R1187" s="17">
        <v>1</v>
      </c>
      <c r="S1187" s="17">
        <v>0</v>
      </c>
      <c r="T1187" s="17">
        <v>0</v>
      </c>
      <c r="U1187" s="17">
        <v>204</v>
      </c>
      <c r="V1187" s="13" t="str" cm="1">
        <f t="array" ref="V1187">_xlfn.IFS(U1187&lt;=250,"0-R$250",U1187&lt;=500,"251-R$500",U1187&lt;=750,"501-R$750",U1187&lt;=1000,"751-R$1000",U1187&lt;=1250,"1001-R$1250",U1187&lt;=1500,"1251-R$1500")</f>
        <v>0-R$250</v>
      </c>
      <c r="W1187" s="17">
        <v>5</v>
      </c>
      <c r="X1187" s="13" t="str" cm="1">
        <f t="array" ref="X1187">_xlfn.IFS(W1187 = 0, "0", W1187&lt;=20, "até R$20",W1187&lt;=40, "21 - R$40",W1187&lt;=60, "41- R$60",W1187&lt;=80, "61 - R$80", W1187&lt;=100, "81 - R$100",W1187&lt;=120, "101 - R$120",W1187&lt;=140, "121 - R$140", W1187&lt;=160, "141- R$160", W1187&lt;=180, "161 - R$180", W1187&lt;=200, "181-R$194")</f>
        <v>até R$20</v>
      </c>
      <c r="Y1187" s="17">
        <v>39</v>
      </c>
      <c r="Z1187" s="17">
        <v>17</v>
      </c>
      <c r="AA1187" s="17">
        <v>0</v>
      </c>
      <c r="AB1187" s="17">
        <v>89</v>
      </c>
      <c r="AC1187" s="17">
        <v>3</v>
      </c>
      <c r="AD1187" s="17">
        <v>5</v>
      </c>
      <c r="AE1187" s="17">
        <v>2</v>
      </c>
      <c r="AF1187" s="17">
        <v>4</v>
      </c>
      <c r="AG1187" s="17">
        <v>8</v>
      </c>
      <c r="AH1187" s="17">
        <v>0</v>
      </c>
      <c r="AI1187" s="17">
        <v>0</v>
      </c>
      <c r="AJ1187" s="17">
        <v>0</v>
      </c>
      <c r="AK1187" s="17">
        <v>0</v>
      </c>
      <c r="AL1187" s="17">
        <v>0</v>
      </c>
      <c r="AM1187" s="17">
        <v>0</v>
      </c>
      <c r="AN1187" s="17">
        <v>1</v>
      </c>
      <c r="AO1187" s="18">
        <v>0</v>
      </c>
      <c r="AP1187" s="17">
        <v>3</v>
      </c>
      <c r="AQ1187" s="17">
        <v>11</v>
      </c>
      <c r="AR1187" s="19">
        <v>176</v>
      </c>
      <c r="AS1187" s="19">
        <v>265</v>
      </c>
    </row>
    <row r="1188" spans="1:45" x14ac:dyDescent="0.25">
      <c r="A1188">
        <v>1511</v>
      </c>
      <c r="B1188" s="11">
        <f t="shared" si="18"/>
        <v>23331</v>
      </c>
      <c r="C1188" s="16">
        <v>233310</v>
      </c>
      <c r="D1188" s="17">
        <v>1</v>
      </c>
      <c r="E1188" s="17">
        <v>0</v>
      </c>
      <c r="F1188" s="17">
        <v>97</v>
      </c>
      <c r="G1188" s="17">
        <v>32</v>
      </c>
      <c r="H1188" s="13" t="str" cm="1">
        <f t="array" ref="H1188">_xlfn.IFS(G1188&lt;=20,"0-20",G1188&lt;=30,"20-30",G1188&lt;=40,"30-40",G1188&lt;=50,"50-60",G1188&lt;=60,"60-70",G1188&lt;=70,"70-80",G1188&lt;=80,"80-90")</f>
        <v>30-40</v>
      </c>
      <c r="I1188" s="17">
        <v>2791</v>
      </c>
      <c r="J1188" s="13" t="str" cm="1">
        <f t="array" ref="J1188">_xlfn.IFS(K1188=1,"Divorciado",L1188=1,"Casado",M1188=1,"Solteiro",N1188=1,"Juntos",O1188=1,"Viuvo")</f>
        <v>Solteiro</v>
      </c>
      <c r="K1188" s="17">
        <v>0</v>
      </c>
      <c r="L1188" s="17">
        <v>0</v>
      </c>
      <c r="M1188" s="17">
        <v>1</v>
      </c>
      <c r="N1188" s="17">
        <v>0</v>
      </c>
      <c r="O1188" s="17">
        <v>0</v>
      </c>
      <c r="P1188" s="17">
        <v>1</v>
      </c>
      <c r="Q1188" s="17">
        <v>0</v>
      </c>
      <c r="R1188" s="17">
        <v>0</v>
      </c>
      <c r="S1188" s="17">
        <v>0</v>
      </c>
      <c r="T1188" s="17">
        <v>0</v>
      </c>
      <c r="U1188" s="17">
        <v>104</v>
      </c>
      <c r="V1188" s="13" t="str" cm="1">
        <f t="array" ref="V1188">_xlfn.IFS(U1188&lt;=250,"0-R$250",U1188&lt;=500,"251-R$500",U1188&lt;=750,"501-R$750",U1188&lt;=1000,"751-R$1000",U1188&lt;=1250,"1001-R$1250",U1188&lt;=1500,"1251-R$1500")</f>
        <v>0-R$250</v>
      </c>
      <c r="W1188" s="17">
        <v>20</v>
      </c>
      <c r="X1188" s="13" t="str" cm="1">
        <f t="array" ref="X1188">_xlfn.IFS(W1188 = 0, "0", W1188&lt;=20, "até R$20",W1188&lt;=40, "21 - R$40",W1188&lt;=60, "41- R$60",W1188&lt;=80, "61 - R$80", W1188&lt;=100, "81 - R$100",W1188&lt;=120, "101 - R$120",W1188&lt;=140, "121 - R$140", W1188&lt;=160, "141- R$160", W1188&lt;=180, "161 - R$180", W1188&lt;=200, "181-R$194")</f>
        <v>até R$20</v>
      </c>
      <c r="Y1188" s="17">
        <v>101</v>
      </c>
      <c r="Z1188" s="17">
        <v>24</v>
      </c>
      <c r="AA1188" s="17">
        <v>15</v>
      </c>
      <c r="AB1188" s="17">
        <v>5</v>
      </c>
      <c r="AC1188" s="17">
        <v>6</v>
      </c>
      <c r="AD1188" s="17">
        <v>5</v>
      </c>
      <c r="AE1188" s="17">
        <v>1</v>
      </c>
      <c r="AF1188" s="17">
        <v>5</v>
      </c>
      <c r="AG1188" s="17">
        <v>9</v>
      </c>
      <c r="AH1188" s="17">
        <v>0</v>
      </c>
      <c r="AI1188" s="17">
        <v>0</v>
      </c>
      <c r="AJ1188" s="17">
        <v>0</v>
      </c>
      <c r="AK1188" s="17">
        <v>0</v>
      </c>
      <c r="AL1188" s="17">
        <v>0</v>
      </c>
      <c r="AM1188" s="17">
        <v>0</v>
      </c>
      <c r="AN1188" s="17">
        <v>0</v>
      </c>
      <c r="AO1188" s="18">
        <v>0</v>
      </c>
      <c r="AP1188" s="17">
        <v>3</v>
      </c>
      <c r="AQ1188" s="17">
        <v>11</v>
      </c>
      <c r="AR1188" s="19">
        <v>259</v>
      </c>
      <c r="AS1188" s="19">
        <v>264</v>
      </c>
    </row>
    <row r="1189" spans="1:45" x14ac:dyDescent="0.25">
      <c r="A1189">
        <v>1974</v>
      </c>
      <c r="B1189" s="11">
        <f t="shared" si="18"/>
        <v>67506</v>
      </c>
      <c r="C1189" s="12">
        <v>675060</v>
      </c>
      <c r="D1189" s="13">
        <v>0</v>
      </c>
      <c r="E1189" s="13">
        <v>1</v>
      </c>
      <c r="F1189" s="13">
        <v>73</v>
      </c>
      <c r="G1189" s="13">
        <v>40</v>
      </c>
      <c r="H1189" s="13" t="str" cm="1">
        <f t="array" ref="H1189">_xlfn.IFS(G1189&lt;=20,"0-20",G1189&lt;=30,"20-30",G1189&lt;=40,"30-40",G1189&lt;=50,"50-60",G1189&lt;=60,"60-70",G1189&lt;=70,"70-80",G1189&lt;=80,"80-90")</f>
        <v>30-40</v>
      </c>
      <c r="I1189" s="13">
        <v>2337</v>
      </c>
      <c r="J1189" s="13" t="str" cm="1">
        <f t="array" ref="J1189">_xlfn.IFS(K1189=1,"Divorciado",L1189=1,"Casado",M1189=1,"Solteiro",N1189=1,"Juntos",O1189=1,"Viuvo")</f>
        <v>Solteiro</v>
      </c>
      <c r="K1189" s="13">
        <v>0</v>
      </c>
      <c r="L1189" s="13">
        <v>0</v>
      </c>
      <c r="M1189" s="13">
        <v>1</v>
      </c>
      <c r="N1189" s="13">
        <v>0</v>
      </c>
      <c r="O1189" s="13">
        <v>0</v>
      </c>
      <c r="P1189" s="13">
        <v>1</v>
      </c>
      <c r="Q1189" s="13">
        <v>0</v>
      </c>
      <c r="R1189" s="13">
        <v>0</v>
      </c>
      <c r="S1189" s="13">
        <v>0</v>
      </c>
      <c r="T1189" s="13">
        <v>0</v>
      </c>
      <c r="U1189" s="13">
        <v>90</v>
      </c>
      <c r="V1189" s="13" t="str" cm="1">
        <f t="array" ref="V1189">_xlfn.IFS(U1189&lt;=250,"0-R$250",U1189&lt;=500,"251-R$500",U1189&lt;=750,"501-R$750",U1189&lt;=1000,"751-R$1000",U1189&lt;=1250,"1001-R$1250",U1189&lt;=1500,"1251-R$1500")</f>
        <v>0-R$250</v>
      </c>
      <c r="W1189" s="13">
        <v>38</v>
      </c>
      <c r="X1189" s="13" t="str" cm="1">
        <f t="array" ref="X1189">_xlfn.IFS(W1189 = 0, "0", W1189&lt;=20, "até R$20",W1189&lt;=40, "21 - R$40",W1189&lt;=60, "41- R$60",W1189&lt;=80, "61 - R$80", W1189&lt;=100, "81 - R$100",W1189&lt;=120, "101 - R$120",W1189&lt;=140, "121 - R$140", W1189&lt;=160, "141- R$160", W1189&lt;=180, "161 - R$180", W1189&lt;=200, "181-R$194")</f>
        <v>21 - R$40</v>
      </c>
      <c r="Y1189" s="13">
        <v>67</v>
      </c>
      <c r="Z1189" s="13">
        <v>33</v>
      </c>
      <c r="AA1189" s="13">
        <v>36</v>
      </c>
      <c r="AB1189" s="13">
        <v>67</v>
      </c>
      <c r="AC1189" s="13">
        <v>1</v>
      </c>
      <c r="AD1189" s="13">
        <v>4</v>
      </c>
      <c r="AE1189" s="13">
        <v>1</v>
      </c>
      <c r="AF1189" s="13">
        <v>6</v>
      </c>
      <c r="AG1189" s="13">
        <v>3</v>
      </c>
      <c r="AH1189" s="13">
        <v>0</v>
      </c>
      <c r="AI1189" s="13">
        <v>0</v>
      </c>
      <c r="AJ1189" s="13">
        <v>0</v>
      </c>
      <c r="AK1189" s="13">
        <v>0</v>
      </c>
      <c r="AL1189" s="13">
        <v>0</v>
      </c>
      <c r="AM1189" s="13">
        <v>0</v>
      </c>
      <c r="AN1189" s="13">
        <v>0</v>
      </c>
      <c r="AO1189" s="14">
        <v>0</v>
      </c>
      <c r="AP1189" s="13">
        <v>3</v>
      </c>
      <c r="AQ1189" s="13">
        <v>11</v>
      </c>
      <c r="AR1189" s="15">
        <v>197</v>
      </c>
      <c r="AS1189" s="15">
        <v>264</v>
      </c>
    </row>
    <row r="1190" spans="1:45" x14ac:dyDescent="0.25">
      <c r="A1190">
        <v>554</v>
      </c>
      <c r="B1190" s="11">
        <f t="shared" si="18"/>
        <v>44989</v>
      </c>
      <c r="C1190" s="12">
        <v>449890</v>
      </c>
      <c r="D1190" s="13">
        <v>0</v>
      </c>
      <c r="E1190" s="13">
        <v>1</v>
      </c>
      <c r="F1190" s="13">
        <v>26</v>
      </c>
      <c r="G1190" s="13">
        <v>46</v>
      </c>
      <c r="H1190" s="13" t="str" cm="1">
        <f t="array" ref="H1190">_xlfn.IFS(G1190&lt;=20,"0-20",G1190&lt;=30,"20-30",G1190&lt;=40,"30-40",G1190&lt;=50,"50-60",G1190&lt;=60,"60-70",G1190&lt;=70,"70-80",G1190&lt;=80,"80-90")</f>
        <v>50-60</v>
      </c>
      <c r="I1190" s="13">
        <v>2814</v>
      </c>
      <c r="J1190" s="13" t="str" cm="1">
        <f t="array" ref="J1190">_xlfn.IFS(K1190=1,"Divorciado",L1190=1,"Casado",M1190=1,"Solteiro",N1190=1,"Juntos",O1190=1,"Viuvo")</f>
        <v>Casado</v>
      </c>
      <c r="K1190" s="13">
        <v>0</v>
      </c>
      <c r="L1190" s="13">
        <v>1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1</v>
      </c>
      <c r="S1190" s="13">
        <v>0</v>
      </c>
      <c r="T1190" s="13">
        <v>0</v>
      </c>
      <c r="U1190" s="13">
        <v>98</v>
      </c>
      <c r="V1190" s="13" t="str" cm="1">
        <f t="array" ref="V1190">_xlfn.IFS(U1190&lt;=250,"0-R$250",U1190&lt;=500,"251-R$500",U1190&lt;=750,"501-R$750",U1190&lt;=1000,"751-R$1000",U1190&lt;=1250,"1001-R$1250",U1190&lt;=1500,"1251-R$1500")</f>
        <v>0-R$250</v>
      </c>
      <c r="W1190" s="13">
        <v>0</v>
      </c>
      <c r="X1190" s="13" t="str" cm="1">
        <f t="array" ref="X1190">_xlfn.IFS(W1190 = 0, "0", W1190&lt;=20, "até R$20",W1190&lt;=40, "21 - R$40",W1190&lt;=60, "41- R$60",W1190&lt;=80, "61 - R$80", W1190&lt;=100, "81 - R$100",W1190&lt;=120, "101 - R$120",W1190&lt;=140, "121 - R$140", W1190&lt;=160, "141- R$160", W1190&lt;=180, "161 - R$180", W1190&lt;=200, "181-R$194")</f>
        <v>0</v>
      </c>
      <c r="Y1190" s="13">
        <v>106</v>
      </c>
      <c r="Z1190" s="13">
        <v>49</v>
      </c>
      <c r="AA1190" s="13">
        <v>10</v>
      </c>
      <c r="AB1190" s="13">
        <v>106</v>
      </c>
      <c r="AC1190" s="13">
        <v>5</v>
      </c>
      <c r="AD1190" s="13">
        <v>5</v>
      </c>
      <c r="AE1190" s="13">
        <v>1</v>
      </c>
      <c r="AF1190" s="13">
        <v>5</v>
      </c>
      <c r="AG1190" s="13">
        <v>6</v>
      </c>
      <c r="AH1190" s="13">
        <v>0</v>
      </c>
      <c r="AI1190" s="13">
        <v>0</v>
      </c>
      <c r="AJ1190" s="13">
        <v>0</v>
      </c>
      <c r="AK1190" s="13">
        <v>0</v>
      </c>
      <c r="AL1190" s="13">
        <v>0</v>
      </c>
      <c r="AM1190" s="13">
        <v>0</v>
      </c>
      <c r="AN1190" s="13">
        <v>0</v>
      </c>
      <c r="AO1190" s="14">
        <v>0</v>
      </c>
      <c r="AP1190" s="13">
        <v>3</v>
      </c>
      <c r="AQ1190" s="13">
        <v>11</v>
      </c>
      <c r="AR1190" s="15">
        <v>157</v>
      </c>
      <c r="AS1190" s="15">
        <v>263</v>
      </c>
    </row>
    <row r="1191" spans="1:45" x14ac:dyDescent="0.25">
      <c r="A1191">
        <v>1319</v>
      </c>
      <c r="B1191" s="11">
        <f t="shared" si="18"/>
        <v>39660</v>
      </c>
      <c r="C1191" s="16">
        <v>396600</v>
      </c>
      <c r="D1191" s="17">
        <v>1</v>
      </c>
      <c r="E1191" s="17">
        <v>0</v>
      </c>
      <c r="F1191" s="17">
        <v>36</v>
      </c>
      <c r="G1191" s="17">
        <v>38</v>
      </c>
      <c r="H1191" s="13" t="str" cm="1">
        <f t="array" ref="H1191">_xlfn.IFS(G1191&lt;=20,"0-20",G1191&lt;=30,"20-30",G1191&lt;=40,"30-40",G1191&lt;=50,"50-60",G1191&lt;=60,"60-70",G1191&lt;=70,"70-80",G1191&lt;=80,"80-90")</f>
        <v>30-40</v>
      </c>
      <c r="I1191" s="17">
        <v>2849</v>
      </c>
      <c r="J1191" s="13" t="str" cm="1">
        <f t="array" ref="J1191">_xlfn.IFS(K1191=1,"Divorciado",L1191=1,"Casado",M1191=1,"Solteiro",N1191=1,"Juntos",O1191=1,"Viuvo")</f>
        <v>Solteiro</v>
      </c>
      <c r="K1191" s="17">
        <v>0</v>
      </c>
      <c r="L1191" s="17">
        <v>0</v>
      </c>
      <c r="M1191" s="17">
        <v>1</v>
      </c>
      <c r="N1191" s="17">
        <v>0</v>
      </c>
      <c r="O1191" s="17">
        <v>0</v>
      </c>
      <c r="P1191" s="17">
        <v>0</v>
      </c>
      <c r="Q1191" s="17">
        <v>0</v>
      </c>
      <c r="R1191" s="17">
        <v>1</v>
      </c>
      <c r="S1191" s="17">
        <v>0</v>
      </c>
      <c r="T1191" s="17">
        <v>0</v>
      </c>
      <c r="U1191" s="17">
        <v>139</v>
      </c>
      <c r="V1191" s="13" t="str" cm="1">
        <f t="array" ref="V1191">_xlfn.IFS(U1191&lt;=250,"0-R$250",U1191&lt;=500,"251-R$500",U1191&lt;=750,"501-R$750",U1191&lt;=1000,"751-R$1000",U1191&lt;=1250,"1001-R$1250",U1191&lt;=1500,"1251-R$1500")</f>
        <v>0-R$250</v>
      </c>
      <c r="W1191" s="17">
        <v>13</v>
      </c>
      <c r="X1191" s="13" t="str" cm="1">
        <f t="array" ref="X1191">_xlfn.IFS(W1191 = 0, "0", W1191&lt;=20, "até R$20",W1191&lt;=40, "21 - R$40",W1191&lt;=60, "41- R$60",W1191&lt;=80, "61 - R$80", W1191&lt;=100, "81 - R$100",W1191&lt;=120, "101 - R$120",W1191&lt;=140, "121 - R$140", W1191&lt;=160, "141- R$160", W1191&lt;=180, "161 - R$180", W1191&lt;=200, "181-R$194")</f>
        <v>até R$20</v>
      </c>
      <c r="Y1191" s="17">
        <v>78</v>
      </c>
      <c r="Z1191" s="17">
        <v>20</v>
      </c>
      <c r="AA1191" s="17">
        <v>13</v>
      </c>
      <c r="AB1191" s="17">
        <v>36</v>
      </c>
      <c r="AC1191" s="17">
        <v>3</v>
      </c>
      <c r="AD1191" s="17">
        <v>7</v>
      </c>
      <c r="AE1191" s="17">
        <v>1</v>
      </c>
      <c r="AF1191" s="17">
        <v>3</v>
      </c>
      <c r="AG1191" s="17">
        <v>9</v>
      </c>
      <c r="AH1191" s="17">
        <v>0</v>
      </c>
      <c r="AI1191" s="17">
        <v>0</v>
      </c>
      <c r="AJ1191" s="17">
        <v>0</v>
      </c>
      <c r="AK1191" s="17">
        <v>0</v>
      </c>
      <c r="AL1191" s="17">
        <v>0</v>
      </c>
      <c r="AM1191" s="17">
        <v>0</v>
      </c>
      <c r="AN1191" s="17">
        <v>1</v>
      </c>
      <c r="AO1191" s="18">
        <v>0</v>
      </c>
      <c r="AP1191" s="17">
        <v>3</v>
      </c>
      <c r="AQ1191" s="17">
        <v>11</v>
      </c>
      <c r="AR1191" s="19">
        <v>227</v>
      </c>
      <c r="AS1191" s="19">
        <v>263</v>
      </c>
    </row>
    <row r="1192" spans="1:45" x14ac:dyDescent="0.25">
      <c r="A1192">
        <v>1726</v>
      </c>
      <c r="B1192" s="11">
        <f t="shared" si="18"/>
        <v>44989</v>
      </c>
      <c r="C1192" s="12">
        <v>449890</v>
      </c>
      <c r="D1192" s="13">
        <v>0</v>
      </c>
      <c r="E1192" s="13">
        <v>1</v>
      </c>
      <c r="F1192" s="13">
        <v>26</v>
      </c>
      <c r="G1192" s="13">
        <v>46</v>
      </c>
      <c r="H1192" s="13" t="str" cm="1">
        <f t="array" ref="H1192">_xlfn.IFS(G1192&lt;=20,"0-20",G1192&lt;=30,"20-30",G1192&lt;=40,"30-40",G1192&lt;=50,"50-60",G1192&lt;=60,"60-70",G1192&lt;=70,"70-80",G1192&lt;=80,"80-90")</f>
        <v>50-60</v>
      </c>
      <c r="I1192" s="13">
        <v>2814</v>
      </c>
      <c r="J1192" s="13" t="str" cm="1">
        <f t="array" ref="J1192">_xlfn.IFS(K1192=1,"Divorciado",L1192=1,"Casado",M1192=1,"Solteiro",N1192=1,"Juntos",O1192=1,"Viuvo")</f>
        <v>Casado</v>
      </c>
      <c r="K1192" s="13">
        <v>0</v>
      </c>
      <c r="L1192" s="13">
        <v>1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1</v>
      </c>
      <c r="S1192" s="13">
        <v>0</v>
      </c>
      <c r="T1192" s="13">
        <v>0</v>
      </c>
      <c r="U1192" s="13">
        <v>98</v>
      </c>
      <c r="V1192" s="13" t="str" cm="1">
        <f t="array" ref="V1192">_xlfn.IFS(U1192&lt;=250,"0-R$250",U1192&lt;=500,"251-R$500",U1192&lt;=750,"501-R$750",U1192&lt;=1000,"751-R$1000",U1192&lt;=1250,"1001-R$1250",U1192&lt;=1500,"1251-R$1500")</f>
        <v>0-R$250</v>
      </c>
      <c r="W1192" s="13">
        <v>0</v>
      </c>
      <c r="X1192" s="13" t="str" cm="1">
        <f t="array" ref="X1192">_xlfn.IFS(W1192 = 0, "0", W1192&lt;=20, "até R$20",W1192&lt;=40, "21 - R$40",W1192&lt;=60, "41- R$60",W1192&lt;=80, "61 - R$80", W1192&lt;=100, "81 - R$100",W1192&lt;=120, "101 - R$120",W1192&lt;=140, "121 - R$140", W1192&lt;=160, "141- R$160", W1192&lt;=180, "161 - R$180", W1192&lt;=200, "181-R$194")</f>
        <v>0</v>
      </c>
      <c r="Y1192" s="13">
        <v>106</v>
      </c>
      <c r="Z1192" s="13">
        <v>49</v>
      </c>
      <c r="AA1192" s="13">
        <v>10</v>
      </c>
      <c r="AB1192" s="13">
        <v>106</v>
      </c>
      <c r="AC1192" s="13">
        <v>5</v>
      </c>
      <c r="AD1192" s="13">
        <v>5</v>
      </c>
      <c r="AE1192" s="13">
        <v>1</v>
      </c>
      <c r="AF1192" s="13">
        <v>5</v>
      </c>
      <c r="AG1192" s="13">
        <v>6</v>
      </c>
      <c r="AH1192" s="13">
        <v>0</v>
      </c>
      <c r="AI1192" s="13">
        <v>0</v>
      </c>
      <c r="AJ1192" s="13">
        <v>0</v>
      </c>
      <c r="AK1192" s="13">
        <v>0</v>
      </c>
      <c r="AL1192" s="13">
        <v>0</v>
      </c>
      <c r="AM1192" s="13">
        <v>0</v>
      </c>
      <c r="AN1192" s="13">
        <v>0</v>
      </c>
      <c r="AO1192" s="14">
        <v>0</v>
      </c>
      <c r="AP1192" s="13">
        <v>3</v>
      </c>
      <c r="AQ1192" s="13">
        <v>11</v>
      </c>
      <c r="AR1192" s="15">
        <v>157</v>
      </c>
      <c r="AS1192" s="15">
        <v>263</v>
      </c>
    </row>
    <row r="1193" spans="1:45" x14ac:dyDescent="0.25">
      <c r="A1193">
        <v>1983</v>
      </c>
      <c r="B1193" s="11">
        <f t="shared" si="18"/>
        <v>68805</v>
      </c>
      <c r="C1193" s="16">
        <v>688050</v>
      </c>
      <c r="D1193" s="17">
        <v>0</v>
      </c>
      <c r="E1193" s="17">
        <v>1</v>
      </c>
      <c r="F1193" s="17">
        <v>73</v>
      </c>
      <c r="G1193" s="17">
        <v>61</v>
      </c>
      <c r="H1193" s="13" t="str" cm="1">
        <f t="array" ref="H1193">_xlfn.IFS(G1193&lt;=20,"0-20",G1193&lt;=30,"20-30",G1193&lt;=40,"30-40",G1193&lt;=50,"50-60",G1193&lt;=60,"60-70",G1193&lt;=70,"70-80",G1193&lt;=80,"80-90")</f>
        <v>70-80</v>
      </c>
      <c r="I1193" s="17">
        <v>2444</v>
      </c>
      <c r="J1193" s="13" t="str" cm="1">
        <f t="array" ref="J1193">_xlfn.IFS(K1193=1,"Divorciado",L1193=1,"Casado",M1193=1,"Solteiro",N1193=1,"Juntos",O1193=1,"Viuvo")</f>
        <v>Divorciado</v>
      </c>
      <c r="K1193" s="17">
        <v>1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1</v>
      </c>
      <c r="U1193" s="17">
        <v>182</v>
      </c>
      <c r="V1193" s="13" t="str" cm="1">
        <f t="array" ref="V1193">_xlfn.IFS(U1193&lt;=250,"0-R$250",U1193&lt;=500,"251-R$500",U1193&lt;=750,"501-R$750",U1193&lt;=1000,"751-R$1000",U1193&lt;=1250,"1001-R$1250",U1193&lt;=1500,"1251-R$1500")</f>
        <v>0-R$250</v>
      </c>
      <c r="W1193" s="17">
        <v>2</v>
      </c>
      <c r="X1193" s="13" t="str" cm="1">
        <f t="array" ref="X1193">_xlfn.IFS(W1193 = 0, "0", W1193&lt;=20, "até R$20",W1193&lt;=40, "21 - R$40",W1193&lt;=60, "41- R$60",W1193&lt;=80, "61 - R$80", W1193&lt;=100, "81 - R$100",W1193&lt;=120, "101 - R$120",W1193&lt;=140, "121 - R$140", W1193&lt;=160, "141- R$160", W1193&lt;=180, "161 - R$180", W1193&lt;=200, "181-R$194")</f>
        <v>até R$20</v>
      </c>
      <c r="Y1193" s="17">
        <v>49</v>
      </c>
      <c r="Z1193" s="17">
        <v>17</v>
      </c>
      <c r="AA1193" s="17">
        <v>13</v>
      </c>
      <c r="AB1193" s="17">
        <v>20</v>
      </c>
      <c r="AC1193" s="17">
        <v>1</v>
      </c>
      <c r="AD1193" s="17">
        <v>3</v>
      </c>
      <c r="AE1193" s="17">
        <v>1</v>
      </c>
      <c r="AF1193" s="17">
        <v>7</v>
      </c>
      <c r="AG1193" s="17">
        <v>2</v>
      </c>
      <c r="AH1193" s="17">
        <v>0</v>
      </c>
      <c r="AI1193" s="17">
        <v>0</v>
      </c>
      <c r="AJ1193" s="17">
        <v>0</v>
      </c>
      <c r="AK1193" s="17">
        <v>0</v>
      </c>
      <c r="AL1193" s="17">
        <v>0</v>
      </c>
      <c r="AM1193" s="17">
        <v>0</v>
      </c>
      <c r="AN1193" s="17">
        <v>0</v>
      </c>
      <c r="AO1193" s="18">
        <v>0</v>
      </c>
      <c r="AP1193" s="17">
        <v>3</v>
      </c>
      <c r="AQ1193" s="17">
        <v>11</v>
      </c>
      <c r="AR1193" s="19">
        <v>243</v>
      </c>
      <c r="AS1193" s="19">
        <v>263</v>
      </c>
    </row>
    <row r="1194" spans="1:45" x14ac:dyDescent="0.25">
      <c r="A1194">
        <v>391</v>
      </c>
      <c r="B1194" s="11">
        <f t="shared" si="18"/>
        <v>65808</v>
      </c>
      <c r="C1194" s="16">
        <v>658080</v>
      </c>
      <c r="D1194" s="17">
        <v>1</v>
      </c>
      <c r="E1194" s="17">
        <v>1</v>
      </c>
      <c r="F1194" s="17">
        <v>1</v>
      </c>
      <c r="G1194" s="17">
        <v>49</v>
      </c>
      <c r="H1194" s="13" t="str" cm="1">
        <f t="array" ref="H1194">_xlfn.IFS(G1194&lt;=20,"0-20",G1194&lt;=30,"20-30",G1194&lt;=40,"30-40",G1194&lt;=50,"50-60",G1194&lt;=60,"60-70",G1194&lt;=70,"70-80",G1194&lt;=80,"80-90")</f>
        <v>50-60</v>
      </c>
      <c r="I1194" s="17">
        <v>2189</v>
      </c>
      <c r="J1194" s="13" t="str" cm="1">
        <f t="array" ref="J1194">_xlfn.IFS(K1194=1,"Divorciado",L1194=1,"Casado",M1194=1,"Solteiro",N1194=1,"Juntos",O1194=1,"Viuvo")</f>
        <v>Divorciado</v>
      </c>
      <c r="K1194" s="17">
        <v>1</v>
      </c>
      <c r="L1194" s="17">
        <v>0</v>
      </c>
      <c r="M1194" s="17">
        <v>0</v>
      </c>
      <c r="N1194" s="17">
        <v>0</v>
      </c>
      <c r="O1194" s="17">
        <v>0</v>
      </c>
      <c r="P1194" s="17">
        <v>0</v>
      </c>
      <c r="Q1194" s="17">
        <v>0</v>
      </c>
      <c r="R1194" s="17">
        <v>0</v>
      </c>
      <c r="S1194" s="17">
        <v>0</v>
      </c>
      <c r="T1194" s="17">
        <v>1</v>
      </c>
      <c r="U1194" s="17">
        <v>155</v>
      </c>
      <c r="V1194" s="13" t="str" cm="1">
        <f t="array" ref="V1194">_xlfn.IFS(U1194&lt;=250,"0-R$250",U1194&lt;=500,"251-R$500",U1194&lt;=750,"501-R$750",U1194&lt;=1000,"751-R$1000",U1194&lt;=1250,"1001-R$1250",U1194&lt;=1500,"1251-R$1500")</f>
        <v>0-R$250</v>
      </c>
      <c r="W1194" s="17">
        <v>7</v>
      </c>
      <c r="X1194" s="13" t="str" cm="1">
        <f t="array" ref="X1194">_xlfn.IFS(W1194 = 0, "0", W1194&lt;=20, "até R$20",W1194&lt;=40, "21 - R$40",W1194&lt;=60, "41- R$60",W1194&lt;=80, "61 - R$80", W1194&lt;=100, "81 - R$100",W1194&lt;=120, "101 - R$120",W1194&lt;=140, "121 - R$140", W1194&lt;=160, "141- R$160", W1194&lt;=180, "161 - R$180", W1194&lt;=200, "181-R$194")</f>
        <v>até R$20</v>
      </c>
      <c r="Y1194" s="17">
        <v>80</v>
      </c>
      <c r="Z1194" s="17">
        <v>13</v>
      </c>
      <c r="AA1194" s="17">
        <v>7</v>
      </c>
      <c r="AB1194" s="17">
        <v>10</v>
      </c>
      <c r="AC1194" s="17">
        <v>3</v>
      </c>
      <c r="AD1194" s="17">
        <v>5</v>
      </c>
      <c r="AE1194" s="17">
        <v>1</v>
      </c>
      <c r="AF1194" s="17">
        <v>5</v>
      </c>
      <c r="AG1194" s="17">
        <v>6</v>
      </c>
      <c r="AH1194" s="17">
        <v>0</v>
      </c>
      <c r="AI1194" s="17">
        <v>0</v>
      </c>
      <c r="AJ1194" s="17">
        <v>0</v>
      </c>
      <c r="AK1194" s="17">
        <v>0</v>
      </c>
      <c r="AL1194" s="17">
        <v>0</v>
      </c>
      <c r="AM1194" s="17">
        <v>0</v>
      </c>
      <c r="AN1194" s="17">
        <v>0</v>
      </c>
      <c r="AO1194" s="18">
        <v>0</v>
      </c>
      <c r="AP1194" s="17">
        <v>3</v>
      </c>
      <c r="AQ1194" s="17">
        <v>11</v>
      </c>
      <c r="AR1194" s="19">
        <v>252</v>
      </c>
      <c r="AS1194" s="19">
        <v>262</v>
      </c>
    </row>
    <row r="1195" spans="1:45" x14ac:dyDescent="0.25">
      <c r="A1195">
        <v>822</v>
      </c>
      <c r="B1195" s="11">
        <f t="shared" si="18"/>
        <v>40049</v>
      </c>
      <c r="C1195" s="12">
        <v>400490</v>
      </c>
      <c r="D1195" s="13">
        <v>0</v>
      </c>
      <c r="E1195" s="13">
        <v>1</v>
      </c>
      <c r="F1195" s="13">
        <v>61</v>
      </c>
      <c r="G1195" s="13">
        <v>46</v>
      </c>
      <c r="H1195" s="13" t="str" cm="1">
        <f t="array" ref="H1195">_xlfn.IFS(G1195&lt;=20,"0-20",G1195&lt;=30,"20-30",G1195&lt;=40,"30-40",G1195&lt;=50,"50-60",G1195&lt;=60,"60-70",G1195&lt;=70,"70-80",G1195&lt;=80,"80-90")</f>
        <v>50-60</v>
      </c>
      <c r="I1195" s="13">
        <v>2736</v>
      </c>
      <c r="J1195" s="13" t="str" cm="1">
        <f t="array" ref="J1195">_xlfn.IFS(K1195=1,"Divorciado",L1195=1,"Casado",M1195=1,"Solteiro",N1195=1,"Juntos",O1195=1,"Viuvo")</f>
        <v>Casado</v>
      </c>
      <c r="K1195" s="13">
        <v>0</v>
      </c>
      <c r="L1195" s="13">
        <v>1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1</v>
      </c>
      <c r="S1195" s="13">
        <v>0</v>
      </c>
      <c r="T1195" s="13">
        <v>0</v>
      </c>
      <c r="U1195" s="13">
        <v>91</v>
      </c>
      <c r="V1195" s="13" t="str" cm="1">
        <f t="array" ref="V1195">_xlfn.IFS(U1195&lt;=250,"0-R$250",U1195&lt;=500,"251-R$500",U1195&lt;=750,"501-R$750",U1195&lt;=1000,"751-R$1000",U1195&lt;=1250,"1001-R$1250",U1195&lt;=1500,"1251-R$1500")</f>
        <v>0-R$250</v>
      </c>
      <c r="W1195" s="13">
        <v>65</v>
      </c>
      <c r="X1195" s="13" t="str" cm="1">
        <f t="array" ref="X1195">_xlfn.IFS(W1195 = 0, "0", W1195&lt;=20, "até R$20",W1195&lt;=40, "21 - R$40",W1195&lt;=60, "41- R$60",W1195&lt;=80, "61 - R$80", W1195&lt;=100, "81 - R$100",W1195&lt;=120, "101 - R$120",W1195&lt;=140, "121 - R$140", W1195&lt;=160, "141- R$160", W1195&lt;=180, "161 - R$180", W1195&lt;=200, "181-R$194")</f>
        <v>61 - R$80</v>
      </c>
      <c r="Y1195" s="13">
        <v>52</v>
      </c>
      <c r="Z1195" s="13">
        <v>10</v>
      </c>
      <c r="AA1195" s="13">
        <v>44</v>
      </c>
      <c r="AB1195" s="13">
        <v>28</v>
      </c>
      <c r="AC1195" s="13">
        <v>3</v>
      </c>
      <c r="AD1195" s="13">
        <v>3</v>
      </c>
      <c r="AE1195" s="13">
        <v>2</v>
      </c>
      <c r="AF1195" s="13">
        <v>6</v>
      </c>
      <c r="AG1195" s="13">
        <v>5</v>
      </c>
      <c r="AH1195" s="13">
        <v>0</v>
      </c>
      <c r="AI1195" s="13">
        <v>0</v>
      </c>
      <c r="AJ1195" s="13">
        <v>0</v>
      </c>
      <c r="AK1195" s="13">
        <v>0</v>
      </c>
      <c r="AL1195" s="13">
        <v>0</v>
      </c>
      <c r="AM1195" s="13">
        <v>0</v>
      </c>
      <c r="AN1195" s="13">
        <v>0</v>
      </c>
      <c r="AO1195" s="14">
        <v>0</v>
      </c>
      <c r="AP1195" s="13">
        <v>3</v>
      </c>
      <c r="AQ1195" s="13">
        <v>11</v>
      </c>
      <c r="AR1195" s="15">
        <v>234</v>
      </c>
      <c r="AS1195" s="15">
        <v>262</v>
      </c>
    </row>
    <row r="1196" spans="1:45" x14ac:dyDescent="0.25">
      <c r="A1196">
        <v>1294</v>
      </c>
      <c r="B1196" s="11">
        <f t="shared" si="18"/>
        <v>59060</v>
      </c>
      <c r="C1196" s="12">
        <v>590600</v>
      </c>
      <c r="D1196" s="13">
        <v>1</v>
      </c>
      <c r="E1196" s="13">
        <v>0</v>
      </c>
      <c r="F1196" s="13">
        <v>77</v>
      </c>
      <c r="G1196" s="13">
        <v>31</v>
      </c>
      <c r="H1196" s="13" t="str" cm="1">
        <f t="array" ref="H1196">_xlfn.IFS(G1196&lt;=20,"0-20",G1196&lt;=30,"20-30",G1196&lt;=40,"30-40",G1196&lt;=50,"50-60",G1196&lt;=60,"60-70",G1196&lt;=70,"70-80",G1196&lt;=80,"80-90")</f>
        <v>30-40</v>
      </c>
      <c r="I1196" s="13">
        <v>2328</v>
      </c>
      <c r="J1196" s="13" t="str" cm="1">
        <f t="array" ref="J1196">_xlfn.IFS(K1196=1,"Divorciado",L1196=1,"Casado",M1196=1,"Solteiro",N1196=1,"Juntos",O1196=1,"Viuvo")</f>
        <v>Casado</v>
      </c>
      <c r="K1196" s="13">
        <v>0</v>
      </c>
      <c r="L1196" s="13">
        <v>1</v>
      </c>
      <c r="M1196" s="13">
        <v>0</v>
      </c>
      <c r="N1196" s="13">
        <v>0</v>
      </c>
      <c r="O1196" s="13">
        <v>0</v>
      </c>
      <c r="P1196" s="13">
        <v>1</v>
      </c>
      <c r="Q1196" s="13">
        <v>0</v>
      </c>
      <c r="R1196" s="13">
        <v>0</v>
      </c>
      <c r="S1196" s="13">
        <v>0</v>
      </c>
      <c r="T1196" s="13">
        <v>0</v>
      </c>
      <c r="U1196" s="13">
        <v>35</v>
      </c>
      <c r="V1196" s="13" t="str" cm="1">
        <f t="array" ref="V1196">_xlfn.IFS(U1196&lt;=250,"0-R$250",U1196&lt;=500,"251-R$500",U1196&lt;=750,"501-R$750",U1196&lt;=1000,"751-R$1000",U1196&lt;=1250,"1001-R$1250",U1196&lt;=1500,"1251-R$1500")</f>
        <v>0-R$250</v>
      </c>
      <c r="W1196" s="13">
        <v>40</v>
      </c>
      <c r="X1196" s="13" t="str" cm="1">
        <f t="array" ref="X1196">_xlfn.IFS(W1196 = 0, "0", W1196&lt;=20, "até R$20",W1196&lt;=40, "21 - R$40",W1196&lt;=60, "41- R$60",W1196&lt;=80, "61 - R$80", W1196&lt;=100, "81 - R$100",W1196&lt;=120, "101 - R$120",W1196&lt;=140, "121 - R$140", W1196&lt;=160, "141- R$160", W1196&lt;=180, "161 - R$180", W1196&lt;=200, "181-R$194")</f>
        <v>21 - R$40</v>
      </c>
      <c r="Y1196" s="13">
        <v>111</v>
      </c>
      <c r="Z1196" s="13">
        <v>36</v>
      </c>
      <c r="AA1196" s="13">
        <v>40</v>
      </c>
      <c r="AB1196" s="13">
        <v>12</v>
      </c>
      <c r="AC1196" s="13">
        <v>3</v>
      </c>
      <c r="AD1196" s="13">
        <v>3</v>
      </c>
      <c r="AE1196" s="13">
        <v>1</v>
      </c>
      <c r="AF1196" s="13">
        <v>7</v>
      </c>
      <c r="AG1196" s="13">
        <v>4</v>
      </c>
      <c r="AH1196" s="13">
        <v>0</v>
      </c>
      <c r="AI1196" s="13">
        <v>0</v>
      </c>
      <c r="AJ1196" s="13">
        <v>0</v>
      </c>
      <c r="AK1196" s="13">
        <v>0</v>
      </c>
      <c r="AL1196" s="13">
        <v>0</v>
      </c>
      <c r="AM1196" s="13">
        <v>0</v>
      </c>
      <c r="AN1196" s="13">
        <v>0</v>
      </c>
      <c r="AO1196" s="14">
        <v>0</v>
      </c>
      <c r="AP1196" s="13">
        <v>3</v>
      </c>
      <c r="AQ1196" s="13">
        <v>11</v>
      </c>
      <c r="AR1196" s="15">
        <v>250</v>
      </c>
      <c r="AS1196" s="15">
        <v>262</v>
      </c>
    </row>
    <row r="1197" spans="1:45" x14ac:dyDescent="0.25">
      <c r="A1197">
        <v>467</v>
      </c>
      <c r="B1197" s="11">
        <f t="shared" si="18"/>
        <v>43057</v>
      </c>
      <c r="C1197" s="16">
        <v>430570</v>
      </c>
      <c r="D1197" s="17">
        <v>0</v>
      </c>
      <c r="E1197" s="17">
        <v>1</v>
      </c>
      <c r="F1197" s="17">
        <v>30</v>
      </c>
      <c r="G1197" s="17">
        <v>45</v>
      </c>
      <c r="H1197" s="13" t="str" cm="1">
        <f t="array" ref="H1197">_xlfn.IFS(G1197&lt;=20,"0-20",G1197&lt;=30,"20-30",G1197&lt;=40,"30-40",G1197&lt;=50,"50-60",G1197&lt;=60,"60-70",G1197&lt;=70,"70-80",G1197&lt;=80,"80-90")</f>
        <v>50-60</v>
      </c>
      <c r="I1197" s="17">
        <v>2401</v>
      </c>
      <c r="J1197" s="13" t="str" cm="1">
        <f t="array" ref="J1197">_xlfn.IFS(K1197=1,"Divorciado",L1197=1,"Casado",M1197=1,"Solteiro",N1197=1,"Juntos",O1197=1,"Viuvo")</f>
        <v>Casado</v>
      </c>
      <c r="K1197" s="17">
        <v>0</v>
      </c>
      <c r="L1197" s="17">
        <v>1</v>
      </c>
      <c r="M1197" s="17">
        <v>0</v>
      </c>
      <c r="N1197" s="17">
        <v>0</v>
      </c>
      <c r="O1197" s="17">
        <v>0</v>
      </c>
      <c r="P1197" s="17">
        <v>0</v>
      </c>
      <c r="Q1197" s="17">
        <v>0</v>
      </c>
      <c r="R1197" s="17">
        <v>1</v>
      </c>
      <c r="S1197" s="17">
        <v>0</v>
      </c>
      <c r="T1197" s="17">
        <v>0</v>
      </c>
      <c r="U1197" s="17">
        <v>213</v>
      </c>
      <c r="V1197" s="13" t="str" cm="1">
        <f t="array" ref="V1197">_xlfn.IFS(U1197&lt;=250,"0-R$250",U1197&lt;=500,"251-R$500",U1197&lt;=750,"501-R$750",U1197&lt;=1000,"751-R$1000",U1197&lt;=1250,"1001-R$1250",U1197&lt;=1500,"1251-R$1500")</f>
        <v>0-R$250</v>
      </c>
      <c r="W1197" s="17">
        <v>2</v>
      </c>
      <c r="X1197" s="13" t="str" cm="1">
        <f t="array" ref="X1197">_xlfn.IFS(W1197 = 0, "0", W1197&lt;=20, "até R$20",W1197&lt;=40, "21 - R$40",W1197&lt;=60, "41- R$60",W1197&lt;=80, "61 - R$80", W1197&lt;=100, "81 - R$100",W1197&lt;=120, "101 - R$120",W1197&lt;=140, "121 - R$140", W1197&lt;=160, "141- R$160", W1197&lt;=180, "161 - R$180", W1197&lt;=200, "181-R$194")</f>
        <v>até R$20</v>
      </c>
      <c r="Y1197" s="17">
        <v>44</v>
      </c>
      <c r="Z1197" s="17">
        <v>0</v>
      </c>
      <c r="AA1197" s="17">
        <v>2</v>
      </c>
      <c r="AB1197" s="17">
        <v>5</v>
      </c>
      <c r="AC1197" s="17">
        <v>4</v>
      </c>
      <c r="AD1197" s="17">
        <v>4</v>
      </c>
      <c r="AE1197" s="17">
        <v>2</v>
      </c>
      <c r="AF1197" s="17">
        <v>5</v>
      </c>
      <c r="AG1197" s="17">
        <v>5</v>
      </c>
      <c r="AH1197" s="17">
        <v>0</v>
      </c>
      <c r="AI1197" s="17">
        <v>0</v>
      </c>
      <c r="AJ1197" s="17">
        <v>0</v>
      </c>
      <c r="AK1197" s="17">
        <v>0</v>
      </c>
      <c r="AL1197" s="17">
        <v>0</v>
      </c>
      <c r="AM1197" s="17">
        <v>0</v>
      </c>
      <c r="AN1197" s="17">
        <v>0</v>
      </c>
      <c r="AO1197" s="18">
        <v>0</v>
      </c>
      <c r="AP1197" s="17">
        <v>3</v>
      </c>
      <c r="AQ1197" s="17">
        <v>11</v>
      </c>
      <c r="AR1197" s="19">
        <v>256</v>
      </c>
      <c r="AS1197" s="19">
        <v>261</v>
      </c>
    </row>
    <row r="1198" spans="1:45" x14ac:dyDescent="0.25">
      <c r="A1198">
        <v>1283</v>
      </c>
      <c r="B1198" s="11">
        <f t="shared" si="18"/>
        <v>44267</v>
      </c>
      <c r="C1198" s="16">
        <v>442670</v>
      </c>
      <c r="D1198" s="17">
        <v>1</v>
      </c>
      <c r="E1198" s="17">
        <v>1</v>
      </c>
      <c r="F1198" s="17">
        <v>48</v>
      </c>
      <c r="G1198" s="17">
        <v>50</v>
      </c>
      <c r="H1198" s="13" t="str" cm="1">
        <f t="array" ref="H1198">_xlfn.IFS(G1198&lt;=20,"0-20",G1198&lt;=30,"20-30",G1198&lt;=40,"30-40",G1198&lt;=50,"50-60",G1198&lt;=60,"60-70",G1198&lt;=70,"70-80",G1198&lt;=80,"80-90")</f>
        <v>50-60</v>
      </c>
      <c r="I1198" s="17">
        <v>2648</v>
      </c>
      <c r="J1198" s="13" t="str" cm="1">
        <f t="array" ref="J1198">_xlfn.IFS(K1198=1,"Divorciado",L1198=1,"Casado",M1198=1,"Solteiro",N1198=1,"Juntos",O1198=1,"Viuvo")</f>
        <v>Divorciado</v>
      </c>
      <c r="K1198" s="17">
        <v>1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1</v>
      </c>
      <c r="S1198" s="17">
        <v>0</v>
      </c>
      <c r="T1198" s="17">
        <v>0</v>
      </c>
      <c r="U1198" s="17">
        <v>183</v>
      </c>
      <c r="V1198" s="13" t="str" cm="1">
        <f t="array" ref="V1198">_xlfn.IFS(U1198&lt;=250,"0-R$250",U1198&lt;=500,"251-R$500",U1198&lt;=750,"501-R$750",U1198&lt;=1000,"751-R$1000",U1198&lt;=1250,"1001-R$1250",U1198&lt;=1500,"1251-R$1500")</f>
        <v>0-R$250</v>
      </c>
      <c r="W1198" s="17">
        <v>5</v>
      </c>
      <c r="X1198" s="13" t="str" cm="1">
        <f t="array" ref="X1198">_xlfn.IFS(W1198 = 0, "0", W1198&lt;=20, "até R$20",W1198&lt;=40, "21 - R$40",W1198&lt;=60, "41- R$60",W1198&lt;=80, "61 - R$80", W1198&lt;=100, "81 - R$100",W1198&lt;=120, "101 - R$120",W1198&lt;=140, "121 - R$140", W1198&lt;=160, "141- R$160", W1198&lt;=180, "161 - R$180", W1198&lt;=200, "181-R$194")</f>
        <v>até R$20</v>
      </c>
      <c r="Y1198" s="17">
        <v>65</v>
      </c>
      <c r="Z1198" s="17">
        <v>3</v>
      </c>
      <c r="AA1198" s="17">
        <v>5</v>
      </c>
      <c r="AB1198" s="17">
        <v>49</v>
      </c>
      <c r="AC1198" s="17">
        <v>5</v>
      </c>
      <c r="AD1198" s="17">
        <v>5</v>
      </c>
      <c r="AE1198" s="17">
        <v>2</v>
      </c>
      <c r="AF1198" s="17">
        <v>4</v>
      </c>
      <c r="AG1198" s="17">
        <v>9</v>
      </c>
      <c r="AH1198" s="17">
        <v>0</v>
      </c>
      <c r="AI1198" s="17">
        <v>0</v>
      </c>
      <c r="AJ1198" s="17">
        <v>0</v>
      </c>
      <c r="AK1198" s="17">
        <v>0</v>
      </c>
      <c r="AL1198" s="17">
        <v>0</v>
      </c>
      <c r="AM1198" s="17">
        <v>0</v>
      </c>
      <c r="AN1198" s="17">
        <v>0</v>
      </c>
      <c r="AO1198" s="18">
        <v>0</v>
      </c>
      <c r="AP1198" s="17">
        <v>3</v>
      </c>
      <c r="AQ1198" s="17">
        <v>11</v>
      </c>
      <c r="AR1198" s="19">
        <v>212</v>
      </c>
      <c r="AS1198" s="19">
        <v>261</v>
      </c>
    </row>
    <row r="1199" spans="1:45" x14ac:dyDescent="0.25">
      <c r="A1199">
        <v>1141</v>
      </c>
      <c r="B1199" s="11">
        <f t="shared" si="18"/>
        <v>44375</v>
      </c>
      <c r="C1199" s="16">
        <v>443750</v>
      </c>
      <c r="D1199" s="17">
        <v>0</v>
      </c>
      <c r="E1199" s="17">
        <v>1</v>
      </c>
      <c r="F1199" s="17">
        <v>73</v>
      </c>
      <c r="G1199" s="17">
        <v>55</v>
      </c>
      <c r="H1199" s="13" t="str" cm="1">
        <f t="array" ref="H1199">_xlfn.IFS(G1199&lt;=20,"0-20",G1199&lt;=30,"20-30",G1199&lt;=40,"30-40",G1199&lt;=50,"50-60",G1199&lt;=60,"60-70",G1199&lt;=70,"70-80",G1199&lt;=80,"80-90")</f>
        <v>60-70</v>
      </c>
      <c r="I1199" s="17">
        <v>2257</v>
      </c>
      <c r="J1199" s="13" t="str" cm="1">
        <f t="array" ref="J1199">_xlfn.IFS(K1199=1,"Divorciado",L1199=1,"Casado",M1199=1,"Solteiro",N1199=1,"Juntos",O1199=1,"Viuvo")</f>
        <v>Casado</v>
      </c>
      <c r="K1199" s="17">
        <v>0</v>
      </c>
      <c r="L1199" s="17">
        <v>1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1</v>
      </c>
      <c r="S1199" s="17">
        <v>0</v>
      </c>
      <c r="T1199" s="17">
        <v>0</v>
      </c>
      <c r="U1199" s="17">
        <v>213</v>
      </c>
      <c r="V1199" s="13" t="str" cm="1">
        <f t="array" ref="V1199">_xlfn.IFS(U1199&lt;=250,"0-R$250",U1199&lt;=500,"251-R$500",U1199&lt;=750,"501-R$750",U1199&lt;=1000,"751-R$1000",U1199&lt;=1250,"1001-R$1250",U1199&lt;=1500,"1251-R$1500")</f>
        <v>0-R$250</v>
      </c>
      <c r="W1199" s="17">
        <v>5</v>
      </c>
      <c r="X1199" s="13" t="str" cm="1">
        <f t="array" ref="X1199">_xlfn.IFS(W1199 = 0, "0", W1199&lt;=20, "até R$20",W1199&lt;=40, "21 - R$40",W1199&lt;=60, "41- R$60",W1199&lt;=80, "61 - R$80", W1199&lt;=100, "81 - R$100",W1199&lt;=120, "101 - R$120",W1199&lt;=140, "121 - R$140", W1199&lt;=160, "141- R$160", W1199&lt;=180, "161 - R$180", W1199&lt;=200, "181-R$194")</f>
        <v>até R$20</v>
      </c>
      <c r="Y1199" s="17">
        <v>28</v>
      </c>
      <c r="Z1199" s="17">
        <v>7</v>
      </c>
      <c r="AA1199" s="17">
        <v>7</v>
      </c>
      <c r="AB1199" s="17">
        <v>41</v>
      </c>
      <c r="AC1199" s="17">
        <v>1</v>
      </c>
      <c r="AD1199" s="17">
        <v>4</v>
      </c>
      <c r="AE1199" s="17">
        <v>1</v>
      </c>
      <c r="AF1199" s="17">
        <v>6</v>
      </c>
      <c r="AG1199" s="17">
        <v>5</v>
      </c>
      <c r="AH1199" s="17">
        <v>0</v>
      </c>
      <c r="AI1199" s="17">
        <v>0</v>
      </c>
      <c r="AJ1199" s="17">
        <v>0</v>
      </c>
      <c r="AK1199" s="17">
        <v>0</v>
      </c>
      <c r="AL1199" s="17">
        <v>0</v>
      </c>
      <c r="AM1199" s="17">
        <v>0</v>
      </c>
      <c r="AN1199" s="17">
        <v>0</v>
      </c>
      <c r="AO1199" s="18">
        <v>0</v>
      </c>
      <c r="AP1199" s="17">
        <v>3</v>
      </c>
      <c r="AQ1199" s="17">
        <v>11</v>
      </c>
      <c r="AR1199" s="19">
        <v>219</v>
      </c>
      <c r="AS1199" s="19">
        <v>260</v>
      </c>
    </row>
    <row r="1200" spans="1:45" x14ac:dyDescent="0.25">
      <c r="A1200">
        <v>1589</v>
      </c>
      <c r="B1200" s="11">
        <f t="shared" si="18"/>
        <v>33955</v>
      </c>
      <c r="C1200" s="16">
        <v>339550</v>
      </c>
      <c r="D1200" s="17">
        <v>1</v>
      </c>
      <c r="E1200" s="17">
        <v>0</v>
      </c>
      <c r="F1200" s="17">
        <v>92</v>
      </c>
      <c r="G1200" s="17">
        <v>45</v>
      </c>
      <c r="H1200" s="13" t="str" cm="1">
        <f t="array" ref="H1200">_xlfn.IFS(G1200&lt;=20,"0-20",G1200&lt;=30,"20-30",G1200&lt;=40,"30-40",G1200&lt;=50,"50-60",G1200&lt;=60,"60-70",G1200&lt;=70,"70-80",G1200&lt;=80,"80-90")</f>
        <v>50-60</v>
      </c>
      <c r="I1200" s="17">
        <v>2483</v>
      </c>
      <c r="J1200" s="13" t="str" cm="1">
        <f t="array" ref="J1200">_xlfn.IFS(K1200=1,"Divorciado",L1200=1,"Casado",M1200=1,"Solteiro",N1200=1,"Juntos",O1200=1,"Viuvo")</f>
        <v>Solteiro</v>
      </c>
      <c r="K1200" s="17">
        <v>0</v>
      </c>
      <c r="L1200" s="17">
        <v>0</v>
      </c>
      <c r="M1200" s="17">
        <v>1</v>
      </c>
      <c r="N1200" s="17">
        <v>0</v>
      </c>
      <c r="O1200" s="17">
        <v>0</v>
      </c>
      <c r="P1200" s="17">
        <v>0</v>
      </c>
      <c r="Q1200" s="17">
        <v>0</v>
      </c>
      <c r="R1200" s="17">
        <v>1</v>
      </c>
      <c r="S1200" s="17">
        <v>0</v>
      </c>
      <c r="T1200" s="17">
        <v>0</v>
      </c>
      <c r="U1200" s="17">
        <v>100</v>
      </c>
      <c r="V1200" s="13" t="str" cm="1">
        <f t="array" ref="V1200">_xlfn.IFS(U1200&lt;=250,"0-R$250",U1200&lt;=500,"251-R$500",U1200&lt;=750,"501-R$750",U1200&lt;=1000,"751-R$1000",U1200&lt;=1250,"1001-R$1250",U1200&lt;=1500,"1251-R$1500")</f>
        <v>0-R$250</v>
      </c>
      <c r="W1200" s="17">
        <v>2</v>
      </c>
      <c r="X1200" s="13" t="str" cm="1">
        <f t="array" ref="X1200">_xlfn.IFS(W1200 = 0, "0", W1200&lt;=20, "até R$20",W1200&lt;=40, "21 - R$40",W1200&lt;=60, "41- R$60",W1200&lt;=80, "61 - R$80", W1200&lt;=100, "81 - R$100",W1200&lt;=120, "101 - R$120",W1200&lt;=140, "121 - R$140", W1200&lt;=160, "141- R$160", W1200&lt;=180, "161 - R$180", W1200&lt;=200, "181-R$194")</f>
        <v>até R$20</v>
      </c>
      <c r="Y1200" s="17">
        <v>128</v>
      </c>
      <c r="Z1200" s="17">
        <v>23</v>
      </c>
      <c r="AA1200" s="17">
        <v>7</v>
      </c>
      <c r="AB1200" s="17">
        <v>10</v>
      </c>
      <c r="AC1200" s="17">
        <v>4</v>
      </c>
      <c r="AD1200" s="17">
        <v>5</v>
      </c>
      <c r="AE1200" s="17">
        <v>1</v>
      </c>
      <c r="AF1200" s="17">
        <v>5</v>
      </c>
      <c r="AG1200" s="17">
        <v>8</v>
      </c>
      <c r="AH1200" s="17">
        <v>0</v>
      </c>
      <c r="AI1200" s="17">
        <v>0</v>
      </c>
      <c r="AJ1200" s="17">
        <v>0</v>
      </c>
      <c r="AK1200" s="17">
        <v>0</v>
      </c>
      <c r="AL1200" s="17">
        <v>0</v>
      </c>
      <c r="AM1200" s="17">
        <v>0</v>
      </c>
      <c r="AN1200" s="17">
        <v>0</v>
      </c>
      <c r="AO1200" s="18">
        <v>0</v>
      </c>
      <c r="AP1200" s="17">
        <v>3</v>
      </c>
      <c r="AQ1200" s="17">
        <v>11</v>
      </c>
      <c r="AR1200" s="19">
        <v>250</v>
      </c>
      <c r="AS1200" s="19">
        <v>260</v>
      </c>
    </row>
    <row r="1201" spans="1:45" x14ac:dyDescent="0.25">
      <c r="A1201">
        <v>1997</v>
      </c>
      <c r="B1201" s="11">
        <f t="shared" si="18"/>
        <v>48195</v>
      </c>
      <c r="C1201" s="16">
        <v>481950</v>
      </c>
      <c r="D1201" s="17">
        <v>1</v>
      </c>
      <c r="E1201" s="17">
        <v>1</v>
      </c>
      <c r="F1201" s="17">
        <v>53</v>
      </c>
      <c r="G1201" s="17">
        <v>64</v>
      </c>
      <c r="H1201" s="13" t="str" cm="1">
        <f t="array" ref="H1201">_xlfn.IFS(G1201&lt;=20,"0-20",G1201&lt;=30,"20-30",G1201&lt;=40,"30-40",G1201&lt;=50,"50-60",G1201&lt;=60,"60-70",G1201&lt;=70,"70-80",G1201&lt;=80,"80-90")</f>
        <v>70-80</v>
      </c>
      <c r="I1201" s="17">
        <v>2318</v>
      </c>
      <c r="J1201" s="13" t="str" cm="1">
        <f t="array" ref="J1201">_xlfn.IFS(K1201=1,"Divorciado",L1201=1,"Casado",M1201=1,"Solteiro",N1201=1,"Juntos",O1201=1,"Viuvo")</f>
        <v>Casado</v>
      </c>
      <c r="K1201" s="17">
        <v>0</v>
      </c>
      <c r="L1201" s="17">
        <v>1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1</v>
      </c>
      <c r="S1201" s="17">
        <v>0</v>
      </c>
      <c r="T1201" s="17">
        <v>0</v>
      </c>
      <c r="U1201" s="17">
        <v>106</v>
      </c>
      <c r="V1201" s="13" t="str" cm="1">
        <f t="array" ref="V1201">_xlfn.IFS(U1201&lt;=250,"0-R$250",U1201&lt;=500,"251-R$500",U1201&lt;=750,"501-R$750",U1201&lt;=1000,"751-R$1000",U1201&lt;=1250,"1001-R$1250",U1201&lt;=1500,"1251-R$1500")</f>
        <v>0-R$250</v>
      </c>
      <c r="W1201" s="17">
        <v>27</v>
      </c>
      <c r="X1201" s="13" t="str" cm="1">
        <f t="array" ref="X1201">_xlfn.IFS(W1201 = 0, "0", W1201&lt;=20, "até R$20",W1201&lt;=40, "21 - R$40",W1201&lt;=60, "41- R$60",W1201&lt;=80, "61 - R$80", W1201&lt;=100, "81 - R$100",W1201&lt;=120, "101 - R$120",W1201&lt;=140, "121 - R$140", W1201&lt;=160, "141- R$160", W1201&lt;=180, "161 - R$180", W1201&lt;=200, "181-R$194")</f>
        <v>21 - R$40</v>
      </c>
      <c r="Y1201" s="17">
        <v>68</v>
      </c>
      <c r="Z1201" s="17">
        <v>52</v>
      </c>
      <c r="AA1201" s="17">
        <v>7</v>
      </c>
      <c r="AB1201" s="17">
        <v>5</v>
      </c>
      <c r="AC1201" s="17">
        <v>6</v>
      </c>
      <c r="AD1201" s="17">
        <v>4</v>
      </c>
      <c r="AE1201" s="17">
        <v>2</v>
      </c>
      <c r="AF1201" s="17">
        <v>5</v>
      </c>
      <c r="AG1201" s="17">
        <v>6</v>
      </c>
      <c r="AH1201" s="17">
        <v>0</v>
      </c>
      <c r="AI1201" s="17">
        <v>0</v>
      </c>
      <c r="AJ1201" s="17">
        <v>0</v>
      </c>
      <c r="AK1201" s="17">
        <v>0</v>
      </c>
      <c r="AL1201" s="17">
        <v>0</v>
      </c>
      <c r="AM1201" s="17">
        <v>0</v>
      </c>
      <c r="AN1201" s="17">
        <v>0</v>
      </c>
      <c r="AO1201" s="18">
        <v>0</v>
      </c>
      <c r="AP1201" s="17">
        <v>3</v>
      </c>
      <c r="AQ1201" s="17">
        <v>11</v>
      </c>
      <c r="AR1201" s="19">
        <v>255</v>
      </c>
      <c r="AS1201" s="19">
        <v>260</v>
      </c>
    </row>
    <row r="1202" spans="1:45" x14ac:dyDescent="0.25">
      <c r="A1202">
        <v>32</v>
      </c>
      <c r="B1202" s="11">
        <f t="shared" si="18"/>
        <v>46610</v>
      </c>
      <c r="C1202" s="12">
        <v>466100</v>
      </c>
      <c r="D1202" s="13">
        <v>0</v>
      </c>
      <c r="E1202" s="13">
        <v>2</v>
      </c>
      <c r="F1202" s="13">
        <v>8</v>
      </c>
      <c r="G1202" s="13">
        <v>68</v>
      </c>
      <c r="H1202" s="13" t="str" cm="1">
        <f t="array" ref="H1202">_xlfn.IFS(G1202&lt;=20,"0-20",G1202&lt;=30,"20-30",G1202&lt;=40,"30-40",G1202&lt;=50,"50-60",G1202&lt;=60,"60-70",G1202&lt;=70,"70-80",G1202&lt;=80,"80-90")</f>
        <v>70-80</v>
      </c>
      <c r="I1202" s="13">
        <v>2767</v>
      </c>
      <c r="J1202" s="13" t="str" cm="1">
        <f t="array" ref="J1202">_xlfn.IFS(K1202=1,"Divorciado",L1202=1,"Casado",M1202=1,"Solteiro",N1202=1,"Juntos",O1202=1,"Viuvo")</f>
        <v>Divorciado</v>
      </c>
      <c r="K1202" s="13">
        <v>1</v>
      </c>
      <c r="L1202" s="13">
        <v>0</v>
      </c>
      <c r="M1202" s="13">
        <v>0</v>
      </c>
      <c r="N1202" s="13">
        <v>0</v>
      </c>
      <c r="O1202" s="13">
        <v>0</v>
      </c>
      <c r="P1202" s="13">
        <v>0</v>
      </c>
      <c r="Q1202" s="13">
        <v>0</v>
      </c>
      <c r="R1202" s="13">
        <v>0</v>
      </c>
      <c r="S1202" s="13">
        <v>0</v>
      </c>
      <c r="T1202" s="13">
        <v>1</v>
      </c>
      <c r="U1202" s="13">
        <v>96</v>
      </c>
      <c r="V1202" s="13" t="str" cm="1">
        <f t="array" ref="V1202">_xlfn.IFS(U1202&lt;=250,"0-R$250",U1202&lt;=500,"251-R$500",U1202&lt;=750,"501-R$750",U1202&lt;=1000,"751-R$1000",U1202&lt;=1250,"1001-R$1250",U1202&lt;=1500,"1251-R$1500")</f>
        <v>0-R$250</v>
      </c>
      <c r="W1202" s="13">
        <v>12</v>
      </c>
      <c r="X1202" s="13" t="str" cm="1">
        <f t="array" ref="X1202">_xlfn.IFS(W1202 = 0, "0", W1202&lt;=20, "até R$20",W1202&lt;=40, "21 - R$40",W1202&lt;=60, "41- R$60",W1202&lt;=80, "61 - R$80", W1202&lt;=100, "81 - R$100",W1202&lt;=120, "101 - R$120",W1202&lt;=140, "121 - R$140", W1202&lt;=160, "141- R$160", W1202&lt;=180, "161 - R$180", W1202&lt;=200, "181-R$194")</f>
        <v>até R$20</v>
      </c>
      <c r="Y1202" s="13">
        <v>96</v>
      </c>
      <c r="Z1202" s="13">
        <v>33</v>
      </c>
      <c r="AA1202" s="13">
        <v>22</v>
      </c>
      <c r="AB1202" s="13">
        <v>43</v>
      </c>
      <c r="AC1202" s="13">
        <v>6</v>
      </c>
      <c r="AD1202" s="13">
        <v>4</v>
      </c>
      <c r="AE1202" s="13">
        <v>1</v>
      </c>
      <c r="AF1202" s="13">
        <v>6</v>
      </c>
      <c r="AG1202" s="13">
        <v>6</v>
      </c>
      <c r="AH1202" s="13">
        <v>0</v>
      </c>
      <c r="AI1202" s="13">
        <v>0</v>
      </c>
      <c r="AJ1202" s="13">
        <v>0</v>
      </c>
      <c r="AK1202" s="13">
        <v>0</v>
      </c>
      <c r="AL1202" s="13">
        <v>0</v>
      </c>
      <c r="AM1202" s="13">
        <v>0</v>
      </c>
      <c r="AN1202" s="13">
        <v>1</v>
      </c>
      <c r="AO1202" s="14">
        <v>0</v>
      </c>
      <c r="AP1202" s="13">
        <v>3</v>
      </c>
      <c r="AQ1202" s="13">
        <v>11</v>
      </c>
      <c r="AR1202" s="15">
        <v>216</v>
      </c>
      <c r="AS1202" s="15">
        <v>259</v>
      </c>
    </row>
    <row r="1203" spans="1:45" x14ac:dyDescent="0.25">
      <c r="A1203">
        <v>557</v>
      </c>
      <c r="B1203" s="11">
        <f t="shared" si="18"/>
        <v>64413</v>
      </c>
      <c r="C1203" s="16">
        <v>644130</v>
      </c>
      <c r="D1203" s="17">
        <v>0</v>
      </c>
      <c r="E1203" s="17">
        <v>1</v>
      </c>
      <c r="F1203" s="17">
        <v>27</v>
      </c>
      <c r="G1203" s="17">
        <v>50</v>
      </c>
      <c r="H1203" s="13" t="str" cm="1">
        <f t="array" ref="H1203">_xlfn.IFS(G1203&lt;=20,"0-20",G1203&lt;=30,"20-30",G1203&lt;=40,"30-40",G1203&lt;=50,"50-60",G1203&lt;=60,"60-70",G1203&lt;=70,"70-80",G1203&lt;=80,"80-90")</f>
        <v>50-60</v>
      </c>
      <c r="I1203" s="17">
        <v>2491</v>
      </c>
      <c r="J1203" s="13" t="str" cm="1">
        <f t="array" ref="J1203">_xlfn.IFS(K1203=1,"Divorciado",L1203=1,"Casado",M1203=1,"Solteiro",N1203=1,"Juntos",O1203=1,"Viuvo")</f>
        <v>Juntos</v>
      </c>
      <c r="K1203" s="17">
        <v>0</v>
      </c>
      <c r="L1203" s="17">
        <v>0</v>
      </c>
      <c r="M1203" s="17">
        <v>0</v>
      </c>
      <c r="N1203" s="17">
        <v>1</v>
      </c>
      <c r="O1203" s="17">
        <v>0</v>
      </c>
      <c r="P1203" s="17">
        <v>0</v>
      </c>
      <c r="Q1203" s="17">
        <v>0</v>
      </c>
      <c r="R1203" s="17">
        <v>0</v>
      </c>
      <c r="S1203" s="17">
        <v>0</v>
      </c>
      <c r="T1203" s="17">
        <v>1</v>
      </c>
      <c r="U1203" s="17">
        <v>200</v>
      </c>
      <c r="V1203" s="13" t="str" cm="1">
        <f t="array" ref="V1203">_xlfn.IFS(U1203&lt;=250,"0-R$250",U1203&lt;=500,"251-R$500",U1203&lt;=750,"501-R$750",U1203&lt;=1000,"751-R$1000",U1203&lt;=1250,"1001-R$1250",U1203&lt;=1500,"1251-R$1500")</f>
        <v>0-R$250</v>
      </c>
      <c r="W1203" s="17">
        <v>5</v>
      </c>
      <c r="X1203" s="13" t="str" cm="1">
        <f t="array" ref="X1203">_xlfn.IFS(W1203 = 0, "0", W1203&lt;=20, "até R$20",W1203&lt;=40, "21 - R$40",W1203&lt;=60, "41- R$60",W1203&lt;=80, "61 - R$80", W1203&lt;=100, "81 - R$100",W1203&lt;=120, "101 - R$120",W1203&lt;=140, "121 - R$140", W1203&lt;=160, "141- R$160", W1203&lt;=180, "161 - R$180", W1203&lt;=200, "181-R$194")</f>
        <v>até R$20</v>
      </c>
      <c r="Y1203" s="17">
        <v>44</v>
      </c>
      <c r="Z1203" s="17">
        <v>0</v>
      </c>
      <c r="AA1203" s="17">
        <v>10</v>
      </c>
      <c r="AB1203" s="17">
        <v>20</v>
      </c>
      <c r="AC1203" s="17">
        <v>1</v>
      </c>
      <c r="AD1203" s="17">
        <v>5</v>
      </c>
      <c r="AE1203" s="17">
        <v>1</v>
      </c>
      <c r="AF1203" s="17">
        <v>5</v>
      </c>
      <c r="AG1203" s="17">
        <v>5</v>
      </c>
      <c r="AH1203" s="17">
        <v>0</v>
      </c>
      <c r="AI1203" s="17">
        <v>0</v>
      </c>
      <c r="AJ1203" s="17">
        <v>0</v>
      </c>
      <c r="AK1203" s="17">
        <v>0</v>
      </c>
      <c r="AL1203" s="17">
        <v>0</v>
      </c>
      <c r="AM1203" s="17">
        <v>0</v>
      </c>
      <c r="AN1203" s="17">
        <v>0</v>
      </c>
      <c r="AO1203" s="18">
        <v>0</v>
      </c>
      <c r="AP1203" s="17">
        <v>3</v>
      </c>
      <c r="AQ1203" s="17">
        <v>11</v>
      </c>
      <c r="AR1203" s="19">
        <v>239</v>
      </c>
      <c r="AS1203" s="19">
        <v>259</v>
      </c>
    </row>
    <row r="1204" spans="1:45" x14ac:dyDescent="0.25">
      <c r="A1204">
        <v>928</v>
      </c>
      <c r="B1204" s="11">
        <f t="shared" si="18"/>
        <v>68274</v>
      </c>
      <c r="C1204" s="12">
        <v>682740</v>
      </c>
      <c r="D1204" s="13">
        <v>1</v>
      </c>
      <c r="E1204" s="13">
        <v>1</v>
      </c>
      <c r="F1204" s="13">
        <v>83</v>
      </c>
      <c r="G1204" s="13">
        <v>41</v>
      </c>
      <c r="H1204" s="13" t="str" cm="1">
        <f t="array" ref="H1204">_xlfn.IFS(G1204&lt;=20,"0-20",G1204&lt;=30,"20-30",G1204&lt;=40,"30-40",G1204&lt;=50,"50-60",G1204&lt;=60,"60-70",G1204&lt;=70,"70-80",G1204&lt;=80,"80-90")</f>
        <v>50-60</v>
      </c>
      <c r="I1204" s="13">
        <v>2431</v>
      </c>
      <c r="J1204" s="13" t="str" cm="1">
        <f t="array" ref="J1204">_xlfn.IFS(K1204=1,"Divorciado",L1204=1,"Casado",M1204=1,"Solteiro",N1204=1,"Juntos",O1204=1,"Viuvo")</f>
        <v>Divorciado</v>
      </c>
      <c r="K1204" s="13">
        <v>1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13">
        <v>1</v>
      </c>
      <c r="S1204" s="13">
        <v>0</v>
      </c>
      <c r="T1204" s="13">
        <v>0</v>
      </c>
      <c r="U1204" s="13">
        <v>135</v>
      </c>
      <c r="V1204" s="13" t="str" cm="1">
        <f t="array" ref="V1204">_xlfn.IFS(U1204&lt;=250,"0-R$250",U1204&lt;=500,"251-R$500",U1204&lt;=750,"501-R$750",U1204&lt;=1000,"751-R$1000",U1204&lt;=1250,"1001-R$1250",U1204&lt;=1500,"1251-R$1500")</f>
        <v>0-R$250</v>
      </c>
      <c r="W1204" s="13">
        <v>25</v>
      </c>
      <c r="X1204" s="13" t="str" cm="1">
        <f t="array" ref="X1204">_xlfn.IFS(W1204 = 0, "0", W1204&lt;=20, "até R$20",W1204&lt;=40, "21 - R$40",W1204&lt;=60, "41- R$60",W1204&lt;=80, "61 - R$80", W1204&lt;=100, "81 - R$100",W1204&lt;=120, "101 - R$120",W1204&lt;=140, "121 - R$140", W1204&lt;=160, "141- R$160", W1204&lt;=180, "161 - R$180", W1204&lt;=200, "181-R$194")</f>
        <v>21 - R$40</v>
      </c>
      <c r="Y1204" s="13">
        <v>51</v>
      </c>
      <c r="Z1204" s="13">
        <v>23</v>
      </c>
      <c r="AA1204" s="13">
        <v>25</v>
      </c>
      <c r="AB1204" s="13">
        <v>46</v>
      </c>
      <c r="AC1204" s="13">
        <v>2</v>
      </c>
      <c r="AD1204" s="13">
        <v>4</v>
      </c>
      <c r="AE1204" s="13">
        <v>2</v>
      </c>
      <c r="AF1204" s="13">
        <v>5</v>
      </c>
      <c r="AG1204" s="13">
        <v>3</v>
      </c>
      <c r="AH1204" s="13">
        <v>0</v>
      </c>
      <c r="AI1204" s="13">
        <v>0</v>
      </c>
      <c r="AJ1204" s="13">
        <v>0</v>
      </c>
      <c r="AK1204" s="13">
        <v>0</v>
      </c>
      <c r="AL1204" s="13">
        <v>0</v>
      </c>
      <c r="AM1204" s="13">
        <v>0</v>
      </c>
      <c r="AN1204" s="13">
        <v>0</v>
      </c>
      <c r="AO1204" s="14">
        <v>0</v>
      </c>
      <c r="AP1204" s="13">
        <v>3</v>
      </c>
      <c r="AQ1204" s="13">
        <v>11</v>
      </c>
      <c r="AR1204" s="15">
        <v>213</v>
      </c>
      <c r="AS1204" s="15">
        <v>259</v>
      </c>
    </row>
    <row r="1205" spans="1:45" x14ac:dyDescent="0.25">
      <c r="A1205">
        <v>1103</v>
      </c>
      <c r="B1205" s="11">
        <f t="shared" si="18"/>
        <v>52034</v>
      </c>
      <c r="C1205" s="16">
        <v>520340</v>
      </c>
      <c r="D1205" s="17">
        <v>1</v>
      </c>
      <c r="E1205" s="17">
        <v>1</v>
      </c>
      <c r="F1205" s="17">
        <v>67</v>
      </c>
      <c r="G1205" s="17">
        <v>47</v>
      </c>
      <c r="H1205" s="13" t="str" cm="1">
        <f t="array" ref="H1205">_xlfn.IFS(G1205&lt;=20,"0-20",G1205&lt;=30,"20-30",G1205&lt;=40,"30-40",G1205&lt;=50,"50-60",G1205&lt;=60,"60-70",G1205&lt;=70,"70-80",G1205&lt;=80,"80-90")</f>
        <v>50-60</v>
      </c>
      <c r="I1205" s="17">
        <v>2567</v>
      </c>
      <c r="J1205" s="13" t="str" cm="1">
        <f t="array" ref="J1205">_xlfn.IFS(K1205=1,"Divorciado",L1205=1,"Casado",M1205=1,"Solteiro",N1205=1,"Juntos",O1205=1,"Viuvo")</f>
        <v>Divorciado</v>
      </c>
      <c r="K1205" s="17">
        <v>1</v>
      </c>
      <c r="L1205" s="17">
        <v>0</v>
      </c>
      <c r="M1205" s="17">
        <v>0</v>
      </c>
      <c r="N1205" s="17">
        <v>0</v>
      </c>
      <c r="O1205" s="17">
        <v>0</v>
      </c>
      <c r="P1205" s="17">
        <v>0</v>
      </c>
      <c r="Q1205" s="17">
        <v>0</v>
      </c>
      <c r="R1205" s="17">
        <v>0</v>
      </c>
      <c r="S1205" s="17">
        <v>1</v>
      </c>
      <c r="T1205" s="17">
        <v>0</v>
      </c>
      <c r="U1205" s="17">
        <v>146</v>
      </c>
      <c r="V1205" s="13" t="str" cm="1">
        <f t="array" ref="V1205">_xlfn.IFS(U1205&lt;=250,"0-R$250",U1205&lt;=500,"251-R$500",U1205&lt;=750,"501-R$750",U1205&lt;=1000,"751-R$1000",U1205&lt;=1250,"1001-R$1250",U1205&lt;=1500,"1251-R$1500")</f>
        <v>0-R$250</v>
      </c>
      <c r="W1205" s="17">
        <v>0</v>
      </c>
      <c r="X1205" s="13" t="str" cm="1">
        <f t="array" ref="X1205">_xlfn.IFS(W1205 = 0, "0", W1205&lt;=20, "até R$20",W1205&lt;=40, "21 - R$40",W1205&lt;=60, "41- R$60",W1205&lt;=80, "61 - R$80", W1205&lt;=100, "81 - R$100",W1205&lt;=120, "101 - R$120",W1205&lt;=140, "121 - R$140", W1205&lt;=160, "141- R$160", W1205&lt;=180, "161 - R$180", W1205&lt;=200, "181-R$194")</f>
        <v>0</v>
      </c>
      <c r="Y1205" s="17">
        <v>93</v>
      </c>
      <c r="Z1205" s="17">
        <v>7</v>
      </c>
      <c r="AA1205" s="17">
        <v>13</v>
      </c>
      <c r="AB1205" s="17">
        <v>73</v>
      </c>
      <c r="AC1205" s="17">
        <v>5</v>
      </c>
      <c r="AD1205" s="17">
        <v>4</v>
      </c>
      <c r="AE1205" s="17">
        <v>2</v>
      </c>
      <c r="AF1205" s="17">
        <v>5</v>
      </c>
      <c r="AG1205" s="17">
        <v>7</v>
      </c>
      <c r="AH1205" s="17">
        <v>0</v>
      </c>
      <c r="AI1205" s="17">
        <v>0</v>
      </c>
      <c r="AJ1205" s="17">
        <v>0</v>
      </c>
      <c r="AK1205" s="17">
        <v>0</v>
      </c>
      <c r="AL1205" s="17">
        <v>0</v>
      </c>
      <c r="AM1205" s="17">
        <v>0</v>
      </c>
      <c r="AN1205" s="17">
        <v>0</v>
      </c>
      <c r="AO1205" s="18">
        <v>0</v>
      </c>
      <c r="AP1205" s="17">
        <v>3</v>
      </c>
      <c r="AQ1205" s="17">
        <v>11</v>
      </c>
      <c r="AR1205" s="19">
        <v>186</v>
      </c>
      <c r="AS1205" s="19">
        <v>259</v>
      </c>
    </row>
    <row r="1206" spans="1:45" x14ac:dyDescent="0.25">
      <c r="A1206">
        <v>1682</v>
      </c>
      <c r="B1206" s="11">
        <f t="shared" si="18"/>
        <v>52117</v>
      </c>
      <c r="C1206" s="12">
        <v>521170</v>
      </c>
      <c r="D1206" s="13">
        <v>0</v>
      </c>
      <c r="E1206" s="13">
        <v>1</v>
      </c>
      <c r="F1206" s="13">
        <v>55</v>
      </c>
      <c r="G1206" s="13">
        <v>55</v>
      </c>
      <c r="H1206" s="13" t="str" cm="1">
        <f t="array" ref="H1206">_xlfn.IFS(G1206&lt;=20,"0-20",G1206&lt;=30,"20-30",G1206&lt;=40,"30-40",G1206&lt;=50,"50-60",G1206&lt;=60,"60-70",G1206&lt;=70,"70-80",G1206&lt;=80,"80-90")</f>
        <v>60-70</v>
      </c>
      <c r="I1206" s="13">
        <v>2841</v>
      </c>
      <c r="J1206" s="13" t="str" cm="1">
        <f t="array" ref="J1206">_xlfn.IFS(K1206=1,"Divorciado",L1206=1,"Casado",M1206=1,"Solteiro",N1206=1,"Juntos",O1206=1,"Viuvo")</f>
        <v>Juntos</v>
      </c>
      <c r="K1206" s="13">
        <v>0</v>
      </c>
      <c r="L1206" s="13">
        <v>0</v>
      </c>
      <c r="M1206" s="13">
        <v>0</v>
      </c>
      <c r="N1206" s="13">
        <v>1</v>
      </c>
      <c r="O1206" s="13">
        <v>0</v>
      </c>
      <c r="P1206" s="13">
        <v>0</v>
      </c>
      <c r="Q1206" s="13">
        <v>0</v>
      </c>
      <c r="R1206" s="13">
        <v>1</v>
      </c>
      <c r="S1206" s="13">
        <v>0</v>
      </c>
      <c r="T1206" s="13">
        <v>0</v>
      </c>
      <c r="U1206" s="13">
        <v>112</v>
      </c>
      <c r="V1206" s="13" t="str" cm="1">
        <f t="array" ref="V1206">_xlfn.IFS(U1206&lt;=250,"0-R$250",U1206&lt;=500,"251-R$500",U1206&lt;=750,"501-R$750",U1206&lt;=1000,"751-R$1000",U1206&lt;=1250,"1001-R$1250",U1206&lt;=1500,"1251-R$1500")</f>
        <v>0-R$250</v>
      </c>
      <c r="W1206" s="13">
        <v>10</v>
      </c>
      <c r="X1206" s="13" t="str" cm="1">
        <f t="array" ref="X1206">_xlfn.IFS(W1206 = 0, "0", W1206&lt;=20, "até R$20",W1206&lt;=40, "21 - R$40",W1206&lt;=60, "41- R$60",W1206&lt;=80, "61 - R$80", W1206&lt;=100, "81 - R$100",W1206&lt;=120, "101 - R$120",W1206&lt;=140, "121 - R$140", W1206&lt;=160, "141- R$160", W1206&lt;=180, "161 - R$180", W1206&lt;=200, "181-R$194")</f>
        <v>até R$20</v>
      </c>
      <c r="Y1206" s="13">
        <v>107</v>
      </c>
      <c r="Z1206" s="13">
        <v>30</v>
      </c>
      <c r="AA1206" s="13">
        <v>0</v>
      </c>
      <c r="AB1206" s="13">
        <v>20</v>
      </c>
      <c r="AC1206" s="13">
        <v>2</v>
      </c>
      <c r="AD1206" s="13">
        <v>5</v>
      </c>
      <c r="AE1206" s="13">
        <v>2</v>
      </c>
      <c r="AF1206" s="13">
        <v>4</v>
      </c>
      <c r="AG1206" s="13">
        <v>7</v>
      </c>
      <c r="AH1206" s="13">
        <v>0</v>
      </c>
      <c r="AI1206" s="13">
        <v>0</v>
      </c>
      <c r="AJ1206" s="13">
        <v>0</v>
      </c>
      <c r="AK1206" s="13">
        <v>0</v>
      </c>
      <c r="AL1206" s="13">
        <v>0</v>
      </c>
      <c r="AM1206" s="13">
        <v>0</v>
      </c>
      <c r="AN1206" s="13">
        <v>0</v>
      </c>
      <c r="AO1206" s="14">
        <v>0</v>
      </c>
      <c r="AP1206" s="13">
        <v>3</v>
      </c>
      <c r="AQ1206" s="13">
        <v>11</v>
      </c>
      <c r="AR1206" s="15">
        <v>239</v>
      </c>
      <c r="AS1206" s="15">
        <v>259</v>
      </c>
    </row>
    <row r="1207" spans="1:45" x14ac:dyDescent="0.25">
      <c r="A1207">
        <v>774</v>
      </c>
      <c r="B1207" s="11">
        <f t="shared" si="18"/>
        <v>51267</v>
      </c>
      <c r="C1207" s="12">
        <v>512670</v>
      </c>
      <c r="D1207" s="13">
        <v>1</v>
      </c>
      <c r="E1207" s="13">
        <v>1</v>
      </c>
      <c r="F1207" s="13">
        <v>37</v>
      </c>
      <c r="G1207" s="13">
        <v>42</v>
      </c>
      <c r="H1207" s="13" t="str" cm="1">
        <f t="array" ref="H1207">_xlfn.IFS(G1207&lt;=20,"0-20",G1207&lt;=30,"20-30",G1207&lt;=40,"30-40",G1207&lt;=50,"50-60",G1207&lt;=60,"60-70",G1207&lt;=70,"70-80",G1207&lt;=80,"80-90")</f>
        <v>50-60</v>
      </c>
      <c r="I1207" s="13">
        <v>2402</v>
      </c>
      <c r="J1207" s="13" t="str" cm="1">
        <f t="array" ref="J1207">_xlfn.IFS(K1207=1,"Divorciado",L1207=1,"Casado",M1207=1,"Solteiro",N1207=1,"Juntos",O1207=1,"Viuvo")</f>
        <v>Casado</v>
      </c>
      <c r="K1207" s="13">
        <v>0</v>
      </c>
      <c r="L1207" s="13">
        <v>1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1</v>
      </c>
      <c r="S1207" s="13">
        <v>0</v>
      </c>
      <c r="T1207" s="13">
        <v>0</v>
      </c>
      <c r="U1207" s="13">
        <v>183</v>
      </c>
      <c r="V1207" s="13" t="str" cm="1">
        <f t="array" ref="V1207">_xlfn.IFS(U1207&lt;=250,"0-R$250",U1207&lt;=500,"251-R$500",U1207&lt;=750,"501-R$750",U1207&lt;=1000,"751-R$1000",U1207&lt;=1250,"1001-R$1250",U1207&lt;=1500,"1251-R$1500")</f>
        <v>0-R$250</v>
      </c>
      <c r="W1207" s="13">
        <v>2</v>
      </c>
      <c r="X1207" s="13" t="str" cm="1">
        <f t="array" ref="X1207">_xlfn.IFS(W1207 = 0, "0", W1207&lt;=20, "até R$20",W1207&lt;=40, "21 - R$40",W1207&lt;=60, "41- R$60",W1207&lt;=80, "61 - R$80", W1207&lt;=100, "81 - R$100",W1207&lt;=120, "101 - R$120",W1207&lt;=140, "121 - R$140", W1207&lt;=160, "141- R$160", W1207&lt;=180, "161 - R$180", W1207&lt;=200, "181-R$194")</f>
        <v>até R$20</v>
      </c>
      <c r="Y1207" s="13">
        <v>64</v>
      </c>
      <c r="Z1207" s="13">
        <v>7</v>
      </c>
      <c r="AA1207" s="13">
        <v>2</v>
      </c>
      <c r="AB1207" s="13">
        <v>12</v>
      </c>
      <c r="AC1207" s="13">
        <v>4</v>
      </c>
      <c r="AD1207" s="13">
        <v>3</v>
      </c>
      <c r="AE1207" s="13">
        <v>3</v>
      </c>
      <c r="AF1207" s="13">
        <v>5</v>
      </c>
      <c r="AG1207" s="13">
        <v>4</v>
      </c>
      <c r="AH1207" s="13">
        <v>0</v>
      </c>
      <c r="AI1207" s="13">
        <v>0</v>
      </c>
      <c r="AJ1207" s="13">
        <v>0</v>
      </c>
      <c r="AK1207" s="13">
        <v>0</v>
      </c>
      <c r="AL1207" s="13">
        <v>0</v>
      </c>
      <c r="AM1207" s="13">
        <v>0</v>
      </c>
      <c r="AN1207" s="13">
        <v>0</v>
      </c>
      <c r="AO1207" s="14">
        <v>0</v>
      </c>
      <c r="AP1207" s="13">
        <v>3</v>
      </c>
      <c r="AQ1207" s="13">
        <v>11</v>
      </c>
      <c r="AR1207" s="15">
        <v>246</v>
      </c>
      <c r="AS1207" s="15">
        <v>258</v>
      </c>
    </row>
    <row r="1208" spans="1:45" x14ac:dyDescent="0.25">
      <c r="A1208">
        <v>831</v>
      </c>
      <c r="B1208" s="11">
        <f t="shared" si="18"/>
        <v>49166</v>
      </c>
      <c r="C1208" s="16">
        <v>491660</v>
      </c>
      <c r="D1208" s="17">
        <v>0</v>
      </c>
      <c r="E1208" s="17">
        <v>1</v>
      </c>
      <c r="F1208" s="17">
        <v>17</v>
      </c>
      <c r="G1208" s="17">
        <v>46</v>
      </c>
      <c r="H1208" s="13" t="str" cm="1">
        <f t="array" ref="H1208">_xlfn.IFS(G1208&lt;=20,"0-20",G1208&lt;=30,"20-30",G1208&lt;=40,"30-40",G1208&lt;=50,"50-60",G1208&lt;=60,"60-70",G1208&lt;=70,"70-80",G1208&lt;=80,"80-90")</f>
        <v>50-60</v>
      </c>
      <c r="I1208" s="17">
        <v>2540</v>
      </c>
      <c r="J1208" s="13" t="str" cm="1">
        <f t="array" ref="J1208">_xlfn.IFS(K1208=1,"Divorciado",L1208=1,"Casado",M1208=1,"Solteiro",N1208=1,"Juntos",O1208=1,"Viuvo")</f>
        <v>Solteiro</v>
      </c>
      <c r="K1208" s="17">
        <v>0</v>
      </c>
      <c r="L1208" s="17">
        <v>0</v>
      </c>
      <c r="M1208" s="17">
        <v>1</v>
      </c>
      <c r="N1208" s="17">
        <v>0</v>
      </c>
      <c r="O1208" s="17">
        <v>0</v>
      </c>
      <c r="P1208" s="17">
        <v>0</v>
      </c>
      <c r="Q1208" s="17">
        <v>0</v>
      </c>
      <c r="R1208" s="17">
        <v>1</v>
      </c>
      <c r="S1208" s="17">
        <v>0</v>
      </c>
      <c r="T1208" s="17">
        <v>0</v>
      </c>
      <c r="U1208" s="17">
        <v>224</v>
      </c>
      <c r="V1208" s="13" t="str" cm="1">
        <f t="array" ref="V1208">_xlfn.IFS(U1208&lt;=250,"0-R$250",U1208&lt;=500,"251-R$500",U1208&lt;=750,"501-R$750",U1208&lt;=1000,"751-R$1000",U1208&lt;=1250,"1001-R$1250",U1208&lt;=1500,"1251-R$1500")</f>
        <v>0-R$250</v>
      </c>
      <c r="W1208" s="17">
        <v>2</v>
      </c>
      <c r="X1208" s="13" t="str" cm="1">
        <f t="array" ref="X1208">_xlfn.IFS(W1208 = 0, "0", W1208&lt;=20, "até R$20",W1208&lt;=40, "21 - R$40",W1208&lt;=60, "41- R$60",W1208&lt;=80, "61 - R$80", W1208&lt;=100, "81 - R$100",W1208&lt;=120, "101 - R$120",W1208&lt;=140, "121 - R$140", W1208&lt;=160, "141- R$160", W1208&lt;=180, "161 - R$180", W1208&lt;=200, "181-R$194")</f>
        <v>até R$20</v>
      </c>
      <c r="Y1208" s="17">
        <v>25</v>
      </c>
      <c r="Z1208" s="17">
        <v>7</v>
      </c>
      <c r="AA1208" s="17">
        <v>0</v>
      </c>
      <c r="AB1208" s="17">
        <v>110</v>
      </c>
      <c r="AC1208" s="17">
        <v>2</v>
      </c>
      <c r="AD1208" s="17">
        <v>5</v>
      </c>
      <c r="AE1208" s="17">
        <v>3</v>
      </c>
      <c r="AF1208" s="17">
        <v>3</v>
      </c>
      <c r="AG1208" s="17">
        <v>6</v>
      </c>
      <c r="AH1208" s="17">
        <v>0</v>
      </c>
      <c r="AI1208" s="17">
        <v>0</v>
      </c>
      <c r="AJ1208" s="17">
        <v>0</v>
      </c>
      <c r="AK1208" s="17">
        <v>0</v>
      </c>
      <c r="AL1208" s="17">
        <v>0</v>
      </c>
      <c r="AM1208" s="17">
        <v>0</v>
      </c>
      <c r="AN1208" s="17">
        <v>0</v>
      </c>
      <c r="AO1208" s="18">
        <v>0</v>
      </c>
      <c r="AP1208" s="17">
        <v>3</v>
      </c>
      <c r="AQ1208" s="17">
        <v>11</v>
      </c>
      <c r="AR1208" s="19">
        <v>148</v>
      </c>
      <c r="AS1208" s="19">
        <v>258</v>
      </c>
    </row>
    <row r="1209" spans="1:45" x14ac:dyDescent="0.25">
      <c r="A1209">
        <v>842</v>
      </c>
      <c r="B1209" s="11">
        <f t="shared" si="18"/>
        <v>44602</v>
      </c>
      <c r="C1209" s="12">
        <v>446020</v>
      </c>
      <c r="D1209" s="13">
        <v>1</v>
      </c>
      <c r="E1209" s="13">
        <v>1</v>
      </c>
      <c r="F1209" s="13">
        <v>35</v>
      </c>
      <c r="G1209" s="13">
        <v>51</v>
      </c>
      <c r="H1209" s="13" t="str" cm="1">
        <f t="array" ref="H1209">_xlfn.IFS(G1209&lt;=20,"0-20",G1209&lt;=30,"20-30",G1209&lt;=40,"30-40",G1209&lt;=50,"50-60",G1209&lt;=60,"60-70",G1209&lt;=70,"70-80",G1209&lt;=80,"80-90")</f>
        <v>60-70</v>
      </c>
      <c r="I1209" s="13">
        <v>2293</v>
      </c>
      <c r="J1209" s="13" t="str" cm="1">
        <f t="array" ref="J1209">_xlfn.IFS(K1209=1,"Divorciado",L1209=1,"Casado",M1209=1,"Solteiro",N1209=1,"Juntos",O1209=1,"Viuvo")</f>
        <v>Juntos</v>
      </c>
      <c r="K1209" s="13">
        <v>0</v>
      </c>
      <c r="L1209" s="13">
        <v>0</v>
      </c>
      <c r="M1209" s="13">
        <v>0</v>
      </c>
      <c r="N1209" s="13">
        <v>1</v>
      </c>
      <c r="O1209" s="13">
        <v>0</v>
      </c>
      <c r="P1209" s="13">
        <v>0</v>
      </c>
      <c r="Q1209" s="13">
        <v>0</v>
      </c>
      <c r="R1209" s="13">
        <v>0</v>
      </c>
      <c r="S1209" s="13">
        <v>1</v>
      </c>
      <c r="T1209" s="13">
        <v>0</v>
      </c>
      <c r="U1209" s="13">
        <v>167</v>
      </c>
      <c r="V1209" s="13" t="str" cm="1">
        <f t="array" ref="V1209">_xlfn.IFS(U1209&lt;=250,"0-R$250",U1209&lt;=500,"251-R$500",U1209&lt;=750,"501-R$750",U1209&lt;=1000,"751-R$1000",U1209&lt;=1250,"1001-R$1250",U1209&lt;=1500,"1251-R$1500")</f>
        <v>0-R$250</v>
      </c>
      <c r="W1209" s="13">
        <v>2</v>
      </c>
      <c r="X1209" s="13" t="str" cm="1">
        <f t="array" ref="X1209">_xlfn.IFS(W1209 = 0, "0", W1209&lt;=20, "até R$20",W1209&lt;=40, "21 - R$40",W1209&lt;=60, "41- R$60",W1209&lt;=80, "61 - R$80", W1209&lt;=100, "81 - R$100",W1209&lt;=120, "101 - R$120",W1209&lt;=140, "121 - R$140", W1209&lt;=160, "141- R$160", W1209&lt;=180, "161 - R$180", W1209&lt;=200, "181-R$194")</f>
        <v>até R$20</v>
      </c>
      <c r="Y1209" s="13">
        <v>89</v>
      </c>
      <c r="Z1209" s="13">
        <v>0</v>
      </c>
      <c r="AA1209" s="13">
        <v>0</v>
      </c>
      <c r="AB1209" s="13">
        <v>34</v>
      </c>
      <c r="AC1209" s="13">
        <v>6</v>
      </c>
      <c r="AD1209" s="13">
        <v>6</v>
      </c>
      <c r="AE1209" s="13">
        <v>1</v>
      </c>
      <c r="AF1209" s="13">
        <v>4</v>
      </c>
      <c r="AG1209" s="13">
        <v>8</v>
      </c>
      <c r="AH1209" s="13">
        <v>0</v>
      </c>
      <c r="AI1209" s="13">
        <v>0</v>
      </c>
      <c r="AJ1209" s="13">
        <v>0</v>
      </c>
      <c r="AK1209" s="13">
        <v>0</v>
      </c>
      <c r="AL1209" s="13">
        <v>0</v>
      </c>
      <c r="AM1209" s="13">
        <v>0</v>
      </c>
      <c r="AN1209" s="13">
        <v>0</v>
      </c>
      <c r="AO1209" s="14">
        <v>0</v>
      </c>
      <c r="AP1209" s="13">
        <v>3</v>
      </c>
      <c r="AQ1209" s="13">
        <v>11</v>
      </c>
      <c r="AR1209" s="15">
        <v>224</v>
      </c>
      <c r="AS1209" s="15">
        <v>258</v>
      </c>
    </row>
    <row r="1210" spans="1:45" x14ac:dyDescent="0.25">
      <c r="A1210">
        <v>985</v>
      </c>
      <c r="B1210" s="11">
        <f t="shared" si="18"/>
        <v>36930</v>
      </c>
      <c r="C1210" s="16">
        <v>369300</v>
      </c>
      <c r="D1210" s="17">
        <v>0</v>
      </c>
      <c r="E1210" s="17">
        <v>1</v>
      </c>
      <c r="F1210" s="17">
        <v>50</v>
      </c>
      <c r="G1210" s="17">
        <v>66</v>
      </c>
      <c r="H1210" s="13" t="str" cm="1">
        <f t="array" ref="H1210">_xlfn.IFS(G1210&lt;=20,"0-20",G1210&lt;=30,"20-30",G1210&lt;=40,"30-40",G1210&lt;=50,"50-60",G1210&lt;=60,"60-70",G1210&lt;=70,"70-80",G1210&lt;=80,"80-90")</f>
        <v>70-80</v>
      </c>
      <c r="I1210" s="17">
        <v>2567</v>
      </c>
      <c r="J1210" s="13" t="str" cm="1">
        <f t="array" ref="J1210">_xlfn.IFS(K1210=1,"Divorciado",L1210=1,"Casado",M1210=1,"Solteiro",N1210=1,"Juntos",O1210=1,"Viuvo")</f>
        <v>Casado</v>
      </c>
      <c r="K1210" s="17">
        <v>0</v>
      </c>
      <c r="L1210" s="17">
        <v>1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1</v>
      </c>
      <c r="U1210" s="17">
        <v>223</v>
      </c>
      <c r="V1210" s="13" t="str" cm="1">
        <f t="array" ref="V1210">_xlfn.IFS(U1210&lt;=250,"0-R$250",U1210&lt;=500,"251-R$500",U1210&lt;=750,"501-R$750",U1210&lt;=1000,"751-R$1000",U1210&lt;=1250,"1001-R$1250",U1210&lt;=1500,"1251-R$1500")</f>
        <v>0-R$250</v>
      </c>
      <c r="W1210" s="17">
        <v>2</v>
      </c>
      <c r="X1210" s="13" t="str" cm="1">
        <f t="array" ref="X1210">_xlfn.IFS(W1210 = 0, "0", W1210&lt;=20, "até R$20",W1210&lt;=40, "21 - R$40",W1210&lt;=60, "41- R$60",W1210&lt;=80, "61 - R$80", W1210&lt;=100, "81 - R$100",W1210&lt;=120, "101 - R$120",W1210&lt;=140, "121 - R$140", W1210&lt;=160, "141- R$160", W1210&lt;=180, "161 - R$180", W1210&lt;=200, "181-R$194")</f>
        <v>até R$20</v>
      </c>
      <c r="Y1210" s="17">
        <v>31</v>
      </c>
      <c r="Z1210" s="17">
        <v>0</v>
      </c>
      <c r="AA1210" s="17">
        <v>2</v>
      </c>
      <c r="AB1210" s="17">
        <v>39</v>
      </c>
      <c r="AC1210" s="17">
        <v>5</v>
      </c>
      <c r="AD1210" s="17">
        <v>5</v>
      </c>
      <c r="AE1210" s="17">
        <v>2</v>
      </c>
      <c r="AF1210" s="17">
        <v>4</v>
      </c>
      <c r="AG1210" s="17">
        <v>8</v>
      </c>
      <c r="AH1210" s="17">
        <v>0</v>
      </c>
      <c r="AI1210" s="17">
        <v>0</v>
      </c>
      <c r="AJ1210" s="17">
        <v>0</v>
      </c>
      <c r="AK1210" s="17">
        <v>0</v>
      </c>
      <c r="AL1210" s="17">
        <v>0</v>
      </c>
      <c r="AM1210" s="17">
        <v>0</v>
      </c>
      <c r="AN1210" s="17">
        <v>0</v>
      </c>
      <c r="AO1210" s="18">
        <v>0</v>
      </c>
      <c r="AP1210" s="17">
        <v>3</v>
      </c>
      <c r="AQ1210" s="17">
        <v>11</v>
      </c>
      <c r="AR1210" s="19">
        <v>219</v>
      </c>
      <c r="AS1210" s="19">
        <v>258</v>
      </c>
    </row>
    <row r="1211" spans="1:45" x14ac:dyDescent="0.25">
      <c r="A1211">
        <v>1507</v>
      </c>
      <c r="B1211" s="11">
        <f t="shared" si="18"/>
        <v>53083</v>
      </c>
      <c r="C1211" s="16">
        <v>530830</v>
      </c>
      <c r="D1211" s="17">
        <v>1</v>
      </c>
      <c r="E1211" s="17">
        <v>1</v>
      </c>
      <c r="F1211" s="17">
        <v>65</v>
      </c>
      <c r="G1211" s="17">
        <v>62</v>
      </c>
      <c r="H1211" s="13" t="str" cm="1">
        <f t="array" ref="H1211">_xlfn.IFS(G1211&lt;=20,"0-20",G1211&lt;=30,"20-30",G1211&lt;=40,"30-40",G1211&lt;=50,"50-60",G1211&lt;=60,"60-70",G1211&lt;=70,"70-80",G1211&lt;=80,"80-90")</f>
        <v>70-80</v>
      </c>
      <c r="I1211" s="17">
        <v>2569</v>
      </c>
      <c r="J1211" s="13" t="str" cm="1">
        <f t="array" ref="J1211">_xlfn.IFS(K1211=1,"Divorciado",L1211=1,"Casado",M1211=1,"Solteiro",N1211=1,"Juntos",O1211=1,"Viuvo")</f>
        <v>Juntos</v>
      </c>
      <c r="K1211" s="17">
        <v>0</v>
      </c>
      <c r="L1211" s="17">
        <v>0</v>
      </c>
      <c r="M1211" s="17">
        <v>0</v>
      </c>
      <c r="N1211" s="17">
        <v>1</v>
      </c>
      <c r="O1211" s="17">
        <v>0</v>
      </c>
      <c r="P1211" s="17">
        <v>1</v>
      </c>
      <c r="Q1211" s="17">
        <v>0</v>
      </c>
      <c r="R1211" s="17">
        <v>0</v>
      </c>
      <c r="S1211" s="17">
        <v>0</v>
      </c>
      <c r="T1211" s="17">
        <v>0</v>
      </c>
      <c r="U1211" s="17">
        <v>215</v>
      </c>
      <c r="V1211" s="13" t="str" cm="1">
        <f t="array" ref="V1211">_xlfn.IFS(U1211&lt;=250,"0-R$250",U1211&lt;=500,"251-R$500",U1211&lt;=750,"501-R$750",U1211&lt;=1000,"751-R$1000",U1211&lt;=1250,"1001-R$1250",U1211&lt;=1500,"1251-R$1500")</f>
        <v>0-R$250</v>
      </c>
      <c r="W1211" s="17">
        <v>7</v>
      </c>
      <c r="X1211" s="13" t="str" cm="1">
        <f t="array" ref="X1211">_xlfn.IFS(W1211 = 0, "0", W1211&lt;=20, "até R$20",W1211&lt;=40, "21 - R$40",W1211&lt;=60, "41- R$60",W1211&lt;=80, "61 - R$80", W1211&lt;=100, "81 - R$100",W1211&lt;=120, "101 - R$120",W1211&lt;=140, "121 - R$140", W1211&lt;=160, "141- R$160", W1211&lt;=180, "161 - R$180", W1211&lt;=200, "181-R$194")</f>
        <v>até R$20</v>
      </c>
      <c r="Y1211" s="17">
        <v>33</v>
      </c>
      <c r="Z1211" s="17">
        <v>3</v>
      </c>
      <c r="AA1211" s="17">
        <v>0</v>
      </c>
      <c r="AB1211" s="17">
        <v>13</v>
      </c>
      <c r="AC1211" s="17">
        <v>6</v>
      </c>
      <c r="AD1211" s="17">
        <v>5</v>
      </c>
      <c r="AE1211" s="17">
        <v>1</v>
      </c>
      <c r="AF1211" s="17">
        <v>5</v>
      </c>
      <c r="AG1211" s="17">
        <v>7</v>
      </c>
      <c r="AH1211" s="17">
        <v>0</v>
      </c>
      <c r="AI1211" s="17">
        <v>0</v>
      </c>
      <c r="AJ1211" s="17">
        <v>1</v>
      </c>
      <c r="AK1211" s="17">
        <v>0</v>
      </c>
      <c r="AL1211" s="17">
        <v>0</v>
      </c>
      <c r="AM1211" s="17">
        <v>0</v>
      </c>
      <c r="AN1211" s="17">
        <v>0</v>
      </c>
      <c r="AO1211" s="18">
        <v>1</v>
      </c>
      <c r="AP1211" s="17">
        <v>3</v>
      </c>
      <c r="AQ1211" s="17">
        <v>11</v>
      </c>
      <c r="AR1211" s="19">
        <v>245</v>
      </c>
      <c r="AS1211" s="19">
        <v>258</v>
      </c>
    </row>
    <row r="1212" spans="1:45" x14ac:dyDescent="0.25">
      <c r="A1212">
        <v>1659</v>
      </c>
      <c r="B1212" s="11">
        <f t="shared" si="18"/>
        <v>49413</v>
      </c>
      <c r="C1212" s="16">
        <v>494130</v>
      </c>
      <c r="D1212" s="17">
        <v>0</v>
      </c>
      <c r="E1212" s="17">
        <v>1</v>
      </c>
      <c r="F1212" s="17">
        <v>88</v>
      </c>
      <c r="G1212" s="17">
        <v>68</v>
      </c>
      <c r="H1212" s="13" t="str" cm="1">
        <f t="array" ref="H1212">_xlfn.IFS(G1212&lt;=20,"0-20",G1212&lt;=30,"20-30",G1212&lt;=40,"30-40",G1212&lt;=50,"50-60",G1212&lt;=60,"60-70",G1212&lt;=70,"70-80",G1212&lt;=80,"80-90")</f>
        <v>70-80</v>
      </c>
      <c r="I1212" s="17">
        <v>2406</v>
      </c>
      <c r="J1212" s="13" t="str" cm="1">
        <f t="array" ref="J1212">_xlfn.IFS(K1212=1,"Divorciado",L1212=1,"Casado",M1212=1,"Solteiro",N1212=1,"Juntos",O1212=1,"Viuvo")</f>
        <v>Casado</v>
      </c>
      <c r="K1212" s="17">
        <v>0</v>
      </c>
      <c r="L1212" s="17">
        <v>1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1</v>
      </c>
      <c r="S1212" s="17">
        <v>0</v>
      </c>
      <c r="T1212" s="17">
        <v>0</v>
      </c>
      <c r="U1212" s="17">
        <v>205</v>
      </c>
      <c r="V1212" s="13" t="str" cm="1">
        <f t="array" ref="V1212">_xlfn.IFS(U1212&lt;=250,"0-R$250",U1212&lt;=500,"251-R$500",U1212&lt;=750,"501-R$750",U1212&lt;=1000,"751-R$1000",U1212&lt;=1250,"1001-R$1250",U1212&lt;=1500,"1251-R$1500")</f>
        <v>0-R$250</v>
      </c>
      <c r="W1212" s="17">
        <v>7</v>
      </c>
      <c r="X1212" s="13" t="str" cm="1">
        <f t="array" ref="X1212">_xlfn.IFS(W1212 = 0, "0", W1212&lt;=20, "até R$20",W1212&lt;=40, "21 - R$40",W1212&lt;=60, "41- R$60",W1212&lt;=80, "61 - R$80", W1212&lt;=100, "81 - R$100",W1212&lt;=120, "101 - R$120",W1212&lt;=140, "121 - R$140", W1212&lt;=160, "141- R$160", W1212&lt;=180, "161 - R$180", W1212&lt;=200, "181-R$194")</f>
        <v>até R$20</v>
      </c>
      <c r="Y1212" s="17">
        <v>41</v>
      </c>
      <c r="Z1212" s="17">
        <v>3</v>
      </c>
      <c r="AA1212" s="17">
        <v>2</v>
      </c>
      <c r="AB1212" s="17">
        <v>46</v>
      </c>
      <c r="AC1212" s="17">
        <v>2</v>
      </c>
      <c r="AD1212" s="17">
        <v>4</v>
      </c>
      <c r="AE1212" s="17">
        <v>2</v>
      </c>
      <c r="AF1212" s="17">
        <v>5</v>
      </c>
      <c r="AG1212" s="17">
        <v>5</v>
      </c>
      <c r="AH1212" s="17">
        <v>0</v>
      </c>
      <c r="AI1212" s="17">
        <v>0</v>
      </c>
      <c r="AJ1212" s="17">
        <v>0</v>
      </c>
      <c r="AK1212" s="17">
        <v>0</v>
      </c>
      <c r="AL1212" s="17">
        <v>0</v>
      </c>
      <c r="AM1212" s="17">
        <v>0</v>
      </c>
      <c r="AN1212" s="17">
        <v>0</v>
      </c>
      <c r="AO1212" s="18">
        <v>0</v>
      </c>
      <c r="AP1212" s="17">
        <v>3</v>
      </c>
      <c r="AQ1212" s="17">
        <v>11</v>
      </c>
      <c r="AR1212" s="19">
        <v>212</v>
      </c>
      <c r="AS1212" s="19">
        <v>258</v>
      </c>
    </row>
    <row r="1213" spans="1:45" x14ac:dyDescent="0.25">
      <c r="A1213">
        <v>156</v>
      </c>
      <c r="B1213" s="11">
        <f t="shared" si="18"/>
        <v>52332</v>
      </c>
      <c r="C1213" s="12">
        <v>523320</v>
      </c>
      <c r="D1213" s="13">
        <v>0</v>
      </c>
      <c r="E1213" s="13">
        <v>0</v>
      </c>
      <c r="F1213" s="13">
        <v>63</v>
      </c>
      <c r="G1213" s="13">
        <v>61</v>
      </c>
      <c r="H1213" s="13" t="str" cm="1">
        <f t="array" ref="H1213">_xlfn.IFS(G1213&lt;=20,"0-20",G1213&lt;=30,"20-30",G1213&lt;=40,"30-40",G1213&lt;=50,"50-60",G1213&lt;=60,"60-70",G1213&lt;=70,"70-80",G1213&lt;=80,"80-90")</f>
        <v>70-80</v>
      </c>
      <c r="I1213" s="13">
        <v>2464</v>
      </c>
      <c r="J1213" s="13" t="str" cm="1">
        <f t="array" ref="J1213">_xlfn.IFS(K1213=1,"Divorciado",L1213=1,"Casado",M1213=1,"Solteiro",N1213=1,"Juntos",O1213=1,"Viuvo")</f>
        <v>Divorciado</v>
      </c>
      <c r="K1213" s="13">
        <v>1</v>
      </c>
      <c r="L1213" s="13">
        <v>0</v>
      </c>
      <c r="M1213" s="13">
        <v>0</v>
      </c>
      <c r="N1213" s="13">
        <v>0</v>
      </c>
      <c r="O1213" s="13">
        <v>0</v>
      </c>
      <c r="P1213" s="13">
        <v>0</v>
      </c>
      <c r="Q1213" s="13">
        <v>0</v>
      </c>
      <c r="R1213" s="13">
        <v>1</v>
      </c>
      <c r="S1213" s="13">
        <v>0</v>
      </c>
      <c r="T1213" s="13">
        <v>0</v>
      </c>
      <c r="U1213" s="13">
        <v>212</v>
      </c>
      <c r="V1213" s="13" t="str" cm="1">
        <f t="array" ref="V1213">_xlfn.IFS(U1213&lt;=250,"0-R$250",U1213&lt;=500,"251-R$500",U1213&lt;=750,"501-R$750",U1213&lt;=1000,"751-R$1000",U1213&lt;=1250,"1001-R$1250",U1213&lt;=1500,"1251-R$1500")</f>
        <v>0-R$250</v>
      </c>
      <c r="W1213" s="13">
        <v>5</v>
      </c>
      <c r="X1213" s="13" t="str" cm="1">
        <f t="array" ref="X1213">_xlfn.IFS(W1213 = 0, "0", W1213&lt;=20, "até R$20",W1213&lt;=40, "21 - R$40",W1213&lt;=60, "41- R$60",W1213&lt;=80, "61 - R$80", W1213&lt;=100, "81 - R$100",W1213&lt;=120, "101 - R$120",W1213&lt;=140, "121 - R$140", W1213&lt;=160, "141- R$160", W1213&lt;=180, "161 - R$180", W1213&lt;=200, "181-R$194")</f>
        <v>até R$20</v>
      </c>
      <c r="Y1213" s="13">
        <v>33</v>
      </c>
      <c r="Z1213" s="13">
        <v>7</v>
      </c>
      <c r="AA1213" s="13">
        <v>0</v>
      </c>
      <c r="AB1213" s="13">
        <v>2</v>
      </c>
      <c r="AC1213" s="13">
        <v>1</v>
      </c>
      <c r="AD1213" s="13">
        <v>3</v>
      </c>
      <c r="AE1213" s="13">
        <v>2</v>
      </c>
      <c r="AF1213" s="13">
        <v>6</v>
      </c>
      <c r="AG1213" s="13">
        <v>4</v>
      </c>
      <c r="AH1213" s="13">
        <v>0</v>
      </c>
      <c r="AI1213" s="13">
        <v>0</v>
      </c>
      <c r="AJ1213" s="13">
        <v>1</v>
      </c>
      <c r="AK1213" s="13">
        <v>0</v>
      </c>
      <c r="AL1213" s="13">
        <v>0</v>
      </c>
      <c r="AM1213" s="13">
        <v>0</v>
      </c>
      <c r="AN1213" s="13">
        <v>0</v>
      </c>
      <c r="AO1213" s="14">
        <v>1</v>
      </c>
      <c r="AP1213" s="13">
        <v>3</v>
      </c>
      <c r="AQ1213" s="13">
        <v>11</v>
      </c>
      <c r="AR1213" s="15">
        <v>255</v>
      </c>
      <c r="AS1213" s="15">
        <v>257</v>
      </c>
    </row>
    <row r="1214" spans="1:45" x14ac:dyDescent="0.25">
      <c r="A1214">
        <v>1084</v>
      </c>
      <c r="B1214" s="11">
        <f t="shared" si="18"/>
        <v>53187</v>
      </c>
      <c r="C1214" s="12">
        <v>531870</v>
      </c>
      <c r="D1214" s="13">
        <v>1</v>
      </c>
      <c r="E1214" s="13">
        <v>0</v>
      </c>
      <c r="F1214" s="13">
        <v>66</v>
      </c>
      <c r="G1214" s="13">
        <v>50</v>
      </c>
      <c r="H1214" s="13" t="str" cm="1">
        <f t="array" ref="H1214">_xlfn.IFS(G1214&lt;=20,"0-20",G1214&lt;=30,"20-30",G1214&lt;=40,"30-40",G1214&lt;=50,"50-60",G1214&lt;=60,"60-70",G1214&lt;=70,"70-80",G1214&lt;=80,"80-90")</f>
        <v>50-60</v>
      </c>
      <c r="I1214" s="13">
        <v>2405</v>
      </c>
      <c r="J1214" s="13" t="str" cm="1">
        <f t="array" ref="J1214">_xlfn.IFS(K1214=1,"Divorciado",L1214=1,"Casado",M1214=1,"Solteiro",N1214=1,"Juntos",O1214=1,"Viuvo")</f>
        <v>Juntos</v>
      </c>
      <c r="K1214" s="13">
        <v>0</v>
      </c>
      <c r="L1214" s="13">
        <v>0</v>
      </c>
      <c r="M1214" s="13">
        <v>0</v>
      </c>
      <c r="N1214" s="13">
        <v>1</v>
      </c>
      <c r="O1214" s="13">
        <v>0</v>
      </c>
      <c r="P1214" s="13">
        <v>0</v>
      </c>
      <c r="Q1214" s="13">
        <v>0</v>
      </c>
      <c r="R1214" s="13">
        <v>1</v>
      </c>
      <c r="S1214" s="13">
        <v>0</v>
      </c>
      <c r="T1214" s="13">
        <v>0</v>
      </c>
      <c r="U1214" s="13">
        <v>211</v>
      </c>
      <c r="V1214" s="13" t="str" cm="1">
        <f t="array" ref="V1214">_xlfn.IFS(U1214&lt;=250,"0-R$250",U1214&lt;=500,"251-R$500",U1214&lt;=750,"501-R$750",U1214&lt;=1000,"751-R$1000",U1214&lt;=1250,"1001-R$1250",U1214&lt;=1500,"1251-R$1500")</f>
        <v>0-R$250</v>
      </c>
      <c r="W1214" s="13">
        <v>2</v>
      </c>
      <c r="X1214" s="13" t="str" cm="1">
        <f t="array" ref="X1214">_xlfn.IFS(W1214 = 0, "0", W1214&lt;=20, "até R$20",W1214&lt;=40, "21 - R$40",W1214&lt;=60, "41- R$60",W1214&lt;=80, "61 - R$80", W1214&lt;=100, "81 - R$100",W1214&lt;=120, "101 - R$120",W1214&lt;=140, "121 - R$140", W1214&lt;=160, "141- R$160", W1214&lt;=180, "161 - R$180", W1214&lt;=200, "181-R$194")</f>
        <v>até R$20</v>
      </c>
      <c r="Y1214" s="13">
        <v>30</v>
      </c>
      <c r="Z1214" s="13">
        <v>7</v>
      </c>
      <c r="AA1214" s="13">
        <v>7</v>
      </c>
      <c r="AB1214" s="13">
        <v>10</v>
      </c>
      <c r="AC1214" s="13">
        <v>2</v>
      </c>
      <c r="AD1214" s="13">
        <v>4</v>
      </c>
      <c r="AE1214" s="13">
        <v>1</v>
      </c>
      <c r="AF1214" s="13">
        <v>6</v>
      </c>
      <c r="AG1214" s="13">
        <v>5</v>
      </c>
      <c r="AH1214" s="13">
        <v>0</v>
      </c>
      <c r="AI1214" s="13">
        <v>0</v>
      </c>
      <c r="AJ1214" s="13">
        <v>0</v>
      </c>
      <c r="AK1214" s="13">
        <v>0</v>
      </c>
      <c r="AL1214" s="13">
        <v>0</v>
      </c>
      <c r="AM1214" s="13">
        <v>0</v>
      </c>
      <c r="AN1214" s="13">
        <v>0</v>
      </c>
      <c r="AO1214" s="14">
        <v>0</v>
      </c>
      <c r="AP1214" s="13">
        <v>3</v>
      </c>
      <c r="AQ1214" s="13">
        <v>11</v>
      </c>
      <c r="AR1214" s="15">
        <v>247</v>
      </c>
      <c r="AS1214" s="15">
        <v>257</v>
      </c>
    </row>
    <row r="1215" spans="1:45" x14ac:dyDescent="0.25">
      <c r="A1215">
        <v>1684</v>
      </c>
      <c r="B1215" s="11">
        <f t="shared" si="18"/>
        <v>54222</v>
      </c>
      <c r="C1215" s="12">
        <v>542220</v>
      </c>
      <c r="D1215" s="13">
        <v>0</v>
      </c>
      <c r="E1215" s="13">
        <v>1</v>
      </c>
      <c r="F1215" s="13">
        <v>98</v>
      </c>
      <c r="G1215" s="13">
        <v>47</v>
      </c>
      <c r="H1215" s="13" t="str" cm="1">
        <f t="array" ref="H1215">_xlfn.IFS(G1215&lt;=20,"0-20",G1215&lt;=30,"20-30",G1215&lt;=40,"30-40",G1215&lt;=50,"50-60",G1215&lt;=60,"60-70",G1215&lt;=70,"70-80",G1215&lt;=80,"80-90")</f>
        <v>50-60</v>
      </c>
      <c r="I1215" s="13">
        <v>2279</v>
      </c>
      <c r="J1215" s="13" t="str" cm="1">
        <f t="array" ref="J1215">_xlfn.IFS(K1215=1,"Divorciado",L1215=1,"Casado",M1215=1,"Solteiro",N1215=1,"Juntos",O1215=1,"Viuvo")</f>
        <v>Casado</v>
      </c>
      <c r="K1215" s="13">
        <v>0</v>
      </c>
      <c r="L1215" s="13">
        <v>1</v>
      </c>
      <c r="M1215" s="13">
        <v>0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1</v>
      </c>
      <c r="U1215" s="13">
        <v>199</v>
      </c>
      <c r="V1215" s="13" t="str" cm="1">
        <f t="array" ref="V1215">_xlfn.IFS(U1215&lt;=250,"0-R$250",U1215&lt;=500,"251-R$500",U1215&lt;=750,"501-R$750",U1215&lt;=1000,"751-R$1000",U1215&lt;=1250,"1001-R$1250",U1215&lt;=1500,"1251-R$1500")</f>
        <v>0-R$250</v>
      </c>
      <c r="W1215" s="13">
        <v>12</v>
      </c>
      <c r="X1215" s="13" t="str" cm="1">
        <f t="array" ref="X1215">_xlfn.IFS(W1215 = 0, "0", W1215&lt;=20, "até R$20",W1215&lt;=40, "21 - R$40",W1215&lt;=60, "41- R$60",W1215&lt;=80, "61 - R$80", W1215&lt;=100, "81 - R$100",W1215&lt;=120, "101 - R$120",W1215&lt;=140, "121 - R$140", W1215&lt;=160, "141- R$160", W1215&lt;=180, "161 - R$180", W1215&lt;=200, "181-R$194")</f>
        <v>até R$20</v>
      </c>
      <c r="Y1215" s="13">
        <v>31</v>
      </c>
      <c r="Z1215" s="13">
        <v>3</v>
      </c>
      <c r="AA1215" s="13">
        <v>12</v>
      </c>
      <c r="AB1215" s="13">
        <v>7</v>
      </c>
      <c r="AC1215" s="13">
        <v>1</v>
      </c>
      <c r="AD1215" s="13">
        <v>3</v>
      </c>
      <c r="AE1215" s="13">
        <v>3</v>
      </c>
      <c r="AF1215" s="13">
        <v>5</v>
      </c>
      <c r="AG1215" s="13">
        <v>3</v>
      </c>
      <c r="AH1215" s="13">
        <v>0</v>
      </c>
      <c r="AI1215" s="13">
        <v>0</v>
      </c>
      <c r="AJ1215" s="13">
        <v>0</v>
      </c>
      <c r="AK1215" s="13">
        <v>0</v>
      </c>
      <c r="AL1215" s="13">
        <v>0</v>
      </c>
      <c r="AM1215" s="13">
        <v>0</v>
      </c>
      <c r="AN1215" s="13">
        <v>0</v>
      </c>
      <c r="AO1215" s="14">
        <v>0</v>
      </c>
      <c r="AP1215" s="13">
        <v>3</v>
      </c>
      <c r="AQ1215" s="13">
        <v>11</v>
      </c>
      <c r="AR1215" s="15">
        <v>250</v>
      </c>
      <c r="AS1215" s="15">
        <v>257</v>
      </c>
    </row>
    <row r="1216" spans="1:45" x14ac:dyDescent="0.25">
      <c r="A1216">
        <v>1752</v>
      </c>
      <c r="B1216" s="11">
        <f t="shared" si="18"/>
        <v>28973</v>
      </c>
      <c r="C1216" s="12">
        <v>289730</v>
      </c>
      <c r="D1216" s="13">
        <v>0</v>
      </c>
      <c r="E1216" s="13">
        <v>0</v>
      </c>
      <c r="F1216" s="13">
        <v>59</v>
      </c>
      <c r="G1216" s="13">
        <v>43</v>
      </c>
      <c r="H1216" s="13" t="str" cm="1">
        <f t="array" ref="H1216">_xlfn.IFS(G1216&lt;=20,"0-20",G1216&lt;=30,"20-30",G1216&lt;=40,"30-40",G1216&lt;=50,"50-60",G1216&lt;=60,"60-70",G1216&lt;=70,"70-80",G1216&lt;=80,"80-90")</f>
        <v>50-60</v>
      </c>
      <c r="I1216" s="13">
        <v>2783</v>
      </c>
      <c r="J1216" s="13" t="str" cm="1">
        <f t="array" ref="J1216">_xlfn.IFS(K1216=1,"Divorciado",L1216=1,"Casado",M1216=1,"Solteiro",N1216=1,"Juntos",O1216=1,"Viuvo")</f>
        <v>Casado</v>
      </c>
      <c r="K1216" s="13">
        <v>0</v>
      </c>
      <c r="L1216" s="13">
        <v>1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1</v>
      </c>
      <c r="U1216" s="13">
        <v>206</v>
      </c>
      <c r="V1216" s="13" t="str" cm="1">
        <f t="array" ref="V1216">_xlfn.IFS(U1216&lt;=250,"0-R$250",U1216&lt;=500,"251-R$500",U1216&lt;=750,"501-R$750",U1216&lt;=1000,"751-R$1000",U1216&lt;=1250,"1001-R$1250",U1216&lt;=1500,"1251-R$1500")</f>
        <v>0-R$250</v>
      </c>
      <c r="W1216" s="13">
        <v>0</v>
      </c>
      <c r="X1216" s="13" t="str" cm="1">
        <f t="array" ref="X1216">_xlfn.IFS(W1216 = 0, "0", W1216&lt;=20, "até R$20",W1216&lt;=40, "21 - R$40",W1216&lt;=60, "41- R$60",W1216&lt;=80, "61 - R$80", W1216&lt;=100, "81 - R$100",W1216&lt;=120, "101 - R$120",W1216&lt;=140, "121 - R$140", W1216&lt;=160, "141- R$160", W1216&lt;=180, "161 - R$180", W1216&lt;=200, "181-R$194")</f>
        <v>0</v>
      </c>
      <c r="Y1216" s="13">
        <v>46</v>
      </c>
      <c r="Z1216" s="13">
        <v>3</v>
      </c>
      <c r="AA1216" s="13">
        <v>2</v>
      </c>
      <c r="AB1216" s="13">
        <v>12</v>
      </c>
      <c r="AC1216" s="13">
        <v>2</v>
      </c>
      <c r="AD1216" s="13">
        <v>5</v>
      </c>
      <c r="AE1216" s="13">
        <v>1</v>
      </c>
      <c r="AF1216" s="13">
        <v>5</v>
      </c>
      <c r="AG1216" s="13">
        <v>8</v>
      </c>
      <c r="AH1216" s="13">
        <v>0</v>
      </c>
      <c r="AI1216" s="13">
        <v>0</v>
      </c>
      <c r="AJ1216" s="13">
        <v>0</v>
      </c>
      <c r="AK1216" s="13">
        <v>0</v>
      </c>
      <c r="AL1216" s="13">
        <v>0</v>
      </c>
      <c r="AM1216" s="13">
        <v>0</v>
      </c>
      <c r="AN1216" s="13">
        <v>0</v>
      </c>
      <c r="AO1216" s="14">
        <v>0</v>
      </c>
      <c r="AP1216" s="13">
        <v>3</v>
      </c>
      <c r="AQ1216" s="13">
        <v>11</v>
      </c>
      <c r="AR1216" s="15">
        <v>245</v>
      </c>
      <c r="AS1216" s="15">
        <v>257</v>
      </c>
    </row>
    <row r="1217" spans="1:45" x14ac:dyDescent="0.25">
      <c r="A1217">
        <v>124</v>
      </c>
      <c r="B1217" s="11">
        <f t="shared" si="18"/>
        <v>41551</v>
      </c>
      <c r="C1217" s="12">
        <v>415510</v>
      </c>
      <c r="D1217" s="13">
        <v>1</v>
      </c>
      <c r="E1217" s="13">
        <v>1</v>
      </c>
      <c r="F1217" s="13">
        <v>51</v>
      </c>
      <c r="G1217" s="13">
        <v>56</v>
      </c>
      <c r="H1217" s="13" t="str" cm="1">
        <f t="array" ref="H1217">_xlfn.IFS(G1217&lt;=20,"0-20",G1217&lt;=30,"20-30",G1217&lt;=40,"30-40",G1217&lt;=50,"50-60",G1217&lt;=60,"60-70",G1217&lt;=70,"70-80",G1217&lt;=80,"80-90")</f>
        <v>60-70</v>
      </c>
      <c r="I1217" s="13">
        <v>2478</v>
      </c>
      <c r="J1217" s="13" t="str" cm="1">
        <f t="array" ref="J1217">_xlfn.IFS(K1217=1,"Divorciado",L1217=1,"Casado",M1217=1,"Solteiro",N1217=1,"Juntos",O1217=1,"Viuvo")</f>
        <v>Casado</v>
      </c>
      <c r="K1217" s="13">
        <v>0</v>
      </c>
      <c r="L1217" s="13">
        <v>1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1</v>
      </c>
      <c r="U1217" s="13">
        <v>220</v>
      </c>
      <c r="V1217" s="13" t="str" cm="1">
        <f t="array" ref="V1217">_xlfn.IFS(U1217&lt;=250,"0-R$250",U1217&lt;=500,"251-R$500",U1217&lt;=750,"501-R$750",U1217&lt;=1000,"751-R$1000",U1217&lt;=1250,"1001-R$1250",U1217&lt;=1500,"1251-R$1500")</f>
        <v>0-R$250</v>
      </c>
      <c r="W1217" s="13">
        <v>0</v>
      </c>
      <c r="X1217" s="13" t="str" cm="1">
        <f t="array" ref="X1217">_xlfn.IFS(W1217 = 0, "0", W1217&lt;=20, "até R$20",W1217&lt;=40, "21 - R$40",W1217&lt;=60, "41- R$60",W1217&lt;=80, "61 - R$80", W1217&lt;=100, "81 - R$100",W1217&lt;=120, "101 - R$120",W1217&lt;=140, "121 - R$140", W1217&lt;=160, "141- R$160", W1217&lt;=180, "161 - R$180", W1217&lt;=200, "181-R$194")</f>
        <v>0</v>
      </c>
      <c r="Y1217" s="13">
        <v>33</v>
      </c>
      <c r="Z1217" s="13">
        <v>3</v>
      </c>
      <c r="AA1217" s="13">
        <v>0</v>
      </c>
      <c r="AB1217" s="13">
        <v>23</v>
      </c>
      <c r="AC1217" s="13">
        <v>5</v>
      </c>
      <c r="AD1217" s="13">
        <v>5</v>
      </c>
      <c r="AE1217" s="13">
        <v>1</v>
      </c>
      <c r="AF1217" s="13">
        <v>5</v>
      </c>
      <c r="AG1217" s="13">
        <v>8</v>
      </c>
      <c r="AH1217" s="13">
        <v>0</v>
      </c>
      <c r="AI1217" s="13">
        <v>0</v>
      </c>
      <c r="AJ1217" s="13">
        <v>0</v>
      </c>
      <c r="AK1217" s="13">
        <v>0</v>
      </c>
      <c r="AL1217" s="13">
        <v>0</v>
      </c>
      <c r="AM1217" s="13">
        <v>0</v>
      </c>
      <c r="AN1217" s="13">
        <v>0</v>
      </c>
      <c r="AO1217" s="14">
        <v>0</v>
      </c>
      <c r="AP1217" s="13">
        <v>3</v>
      </c>
      <c r="AQ1217" s="13">
        <v>11</v>
      </c>
      <c r="AR1217" s="15">
        <v>233</v>
      </c>
      <c r="AS1217" s="15">
        <v>256</v>
      </c>
    </row>
    <row r="1218" spans="1:45" x14ac:dyDescent="0.25">
      <c r="A1218">
        <v>595</v>
      </c>
      <c r="B1218" s="11">
        <f t="shared" ref="B1218:B1281" si="19">C1218/10</f>
        <v>45006</v>
      </c>
      <c r="C1218" s="16">
        <v>450060</v>
      </c>
      <c r="D1218" s="17">
        <v>0</v>
      </c>
      <c r="E1218" s="17">
        <v>0</v>
      </c>
      <c r="F1218" s="17">
        <v>90</v>
      </c>
      <c r="G1218" s="17">
        <v>76</v>
      </c>
      <c r="H1218" s="13" t="str" cm="1">
        <f t="array" ref="H1218">_xlfn.IFS(G1218&lt;=20,"0-20",G1218&lt;=30,"20-30",G1218&lt;=40,"30-40",G1218&lt;=50,"50-60",G1218&lt;=60,"60-70",G1218&lt;=70,"70-80",G1218&lt;=80,"80-90")</f>
        <v>80-90</v>
      </c>
      <c r="I1218" s="17">
        <v>2505</v>
      </c>
      <c r="J1218" s="13" t="str" cm="1">
        <f t="array" ref="J1218">_xlfn.IFS(K1218=1,"Divorciado",L1218=1,"Casado",M1218=1,"Solteiro",N1218=1,"Juntos",O1218=1,"Viuvo")</f>
        <v>Viuvo</v>
      </c>
      <c r="K1218" s="17">
        <v>0</v>
      </c>
      <c r="L1218" s="17">
        <v>0</v>
      </c>
      <c r="M1218" s="17">
        <v>0</v>
      </c>
      <c r="N1218" s="17">
        <v>0</v>
      </c>
      <c r="O1218" s="17">
        <v>1</v>
      </c>
      <c r="P1218" s="17">
        <v>0</v>
      </c>
      <c r="Q1218" s="17">
        <v>0</v>
      </c>
      <c r="R1218" s="17">
        <v>0</v>
      </c>
      <c r="S1218" s="17">
        <v>1</v>
      </c>
      <c r="T1218" s="17">
        <v>0</v>
      </c>
      <c r="U1218" s="17">
        <v>162</v>
      </c>
      <c r="V1218" s="13" t="str" cm="1">
        <f t="array" ref="V1218">_xlfn.IFS(U1218&lt;=250,"0-R$250",U1218&lt;=500,"251-R$500",U1218&lt;=750,"501-R$750",U1218&lt;=1000,"751-R$1000",U1218&lt;=1250,"1001-R$1250",U1218&lt;=1500,"1251-R$1500")</f>
        <v>0-R$250</v>
      </c>
      <c r="W1218" s="17">
        <v>25</v>
      </c>
      <c r="X1218" s="13" t="str" cm="1">
        <f t="array" ref="X1218">_xlfn.IFS(W1218 = 0, "0", W1218&lt;=20, "até R$20",W1218&lt;=40, "21 - R$40",W1218&lt;=60, "41- R$60",W1218&lt;=80, "61 - R$80", W1218&lt;=100, "81 - R$100",W1218&lt;=120, "101 - R$120",W1218&lt;=140, "121 - R$140", W1218&lt;=160, "141- R$160", W1218&lt;=180, "161 - R$180", W1218&lt;=200, "181-R$194")</f>
        <v>21 - R$40</v>
      </c>
      <c r="Y1218" s="17">
        <v>53</v>
      </c>
      <c r="Z1218" s="17">
        <v>16</v>
      </c>
      <c r="AA1218" s="17">
        <v>0</v>
      </c>
      <c r="AB1218" s="17">
        <v>10</v>
      </c>
      <c r="AC1218" s="17">
        <v>1</v>
      </c>
      <c r="AD1218" s="17">
        <v>3</v>
      </c>
      <c r="AE1218" s="17">
        <v>1</v>
      </c>
      <c r="AF1218" s="17">
        <v>7</v>
      </c>
      <c r="AG1218" s="17">
        <v>3</v>
      </c>
      <c r="AH1218" s="17">
        <v>0</v>
      </c>
      <c r="AI1218" s="17">
        <v>0</v>
      </c>
      <c r="AJ1218" s="17">
        <v>0</v>
      </c>
      <c r="AK1218" s="17">
        <v>0</v>
      </c>
      <c r="AL1218" s="17">
        <v>0</v>
      </c>
      <c r="AM1218" s="17">
        <v>0</v>
      </c>
      <c r="AN1218" s="17">
        <v>0</v>
      </c>
      <c r="AO1218" s="18">
        <v>0</v>
      </c>
      <c r="AP1218" s="17">
        <v>3</v>
      </c>
      <c r="AQ1218" s="17">
        <v>11</v>
      </c>
      <c r="AR1218" s="19">
        <v>246</v>
      </c>
      <c r="AS1218" s="19">
        <v>256</v>
      </c>
    </row>
    <row r="1219" spans="1:45" x14ac:dyDescent="0.25">
      <c r="A1219">
        <v>1551</v>
      </c>
      <c r="B1219" s="11">
        <f t="shared" si="19"/>
        <v>38201</v>
      </c>
      <c r="C1219" s="16">
        <v>382010</v>
      </c>
      <c r="D1219" s="17">
        <v>0</v>
      </c>
      <c r="E1219" s="17">
        <v>1</v>
      </c>
      <c r="F1219" s="17">
        <v>19</v>
      </c>
      <c r="G1219" s="17">
        <v>60</v>
      </c>
      <c r="H1219" s="13" t="str" cm="1">
        <f t="array" ref="H1219">_xlfn.IFS(G1219&lt;=20,"0-20",G1219&lt;=30,"20-30",G1219&lt;=40,"30-40",G1219&lt;=50,"50-60",G1219&lt;=60,"60-70",G1219&lt;=70,"70-80",G1219&lt;=80,"80-90")</f>
        <v>60-70</v>
      </c>
      <c r="I1219" s="17">
        <v>2616</v>
      </c>
      <c r="J1219" s="13" t="str" cm="1">
        <f t="array" ref="J1219">_xlfn.IFS(K1219=1,"Divorciado",L1219=1,"Casado",M1219=1,"Solteiro",N1219=1,"Juntos",O1219=1,"Viuvo")</f>
        <v>Juntos</v>
      </c>
      <c r="K1219" s="17">
        <v>0</v>
      </c>
      <c r="L1219" s="17">
        <v>0</v>
      </c>
      <c r="M1219" s="17">
        <v>0</v>
      </c>
      <c r="N1219" s="17">
        <v>1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1</v>
      </c>
      <c r="U1219" s="17">
        <v>233</v>
      </c>
      <c r="V1219" s="13" t="str" cm="1">
        <f t="array" ref="V1219">_xlfn.IFS(U1219&lt;=250,"0-R$250",U1219&lt;=500,"251-R$500",U1219&lt;=750,"501-R$750",U1219&lt;=1000,"751-R$1000",U1219&lt;=1250,"1001-R$1250",U1219&lt;=1500,"1251-R$1500")</f>
        <v>0-R$250</v>
      </c>
      <c r="W1219" s="17">
        <v>0</v>
      </c>
      <c r="X1219" s="13" t="str" cm="1">
        <f t="array" ref="X1219">_xlfn.IFS(W1219 = 0, "0", W1219&lt;=20, "até R$20",W1219&lt;=40, "21 - R$40",W1219&lt;=60, "41- R$60",W1219&lt;=80, "61 - R$80", W1219&lt;=100, "81 - R$100",W1219&lt;=120, "101 - R$120",W1219&lt;=140, "121 - R$140", W1219&lt;=160, "141- R$160", W1219&lt;=180, "161 - R$180", W1219&lt;=200, "181-R$194")</f>
        <v>0</v>
      </c>
      <c r="Y1219" s="17">
        <v>23</v>
      </c>
      <c r="Z1219" s="17">
        <v>0</v>
      </c>
      <c r="AA1219" s="17">
        <v>0</v>
      </c>
      <c r="AB1219" s="17">
        <v>12</v>
      </c>
      <c r="AC1219" s="17">
        <v>4</v>
      </c>
      <c r="AD1219" s="17">
        <v>5</v>
      </c>
      <c r="AE1219" s="17">
        <v>1</v>
      </c>
      <c r="AF1219" s="17">
        <v>5</v>
      </c>
      <c r="AG1219" s="17">
        <v>8</v>
      </c>
      <c r="AH1219" s="17">
        <v>0</v>
      </c>
      <c r="AI1219" s="17">
        <v>0</v>
      </c>
      <c r="AJ1219" s="17">
        <v>0</v>
      </c>
      <c r="AK1219" s="17">
        <v>0</v>
      </c>
      <c r="AL1219" s="17">
        <v>0</v>
      </c>
      <c r="AM1219" s="17">
        <v>0</v>
      </c>
      <c r="AN1219" s="17">
        <v>0</v>
      </c>
      <c r="AO1219" s="18">
        <v>0</v>
      </c>
      <c r="AP1219" s="17">
        <v>3</v>
      </c>
      <c r="AQ1219" s="17">
        <v>11</v>
      </c>
      <c r="AR1219" s="19">
        <v>244</v>
      </c>
      <c r="AS1219" s="19">
        <v>256</v>
      </c>
    </row>
    <row r="1220" spans="1:45" x14ac:dyDescent="0.25">
      <c r="A1220">
        <v>1563</v>
      </c>
      <c r="B1220" s="11">
        <f t="shared" si="19"/>
        <v>61482</v>
      </c>
      <c r="C1220" s="16">
        <v>614820</v>
      </c>
      <c r="D1220" s="17">
        <v>0</v>
      </c>
      <c r="E1220" s="17">
        <v>0</v>
      </c>
      <c r="F1220" s="17">
        <v>39</v>
      </c>
      <c r="G1220" s="17">
        <v>55</v>
      </c>
      <c r="H1220" s="13" t="str" cm="1">
        <f t="array" ref="H1220">_xlfn.IFS(G1220&lt;=20,"0-20",G1220&lt;=30,"20-30",G1220&lt;=40,"30-40",G1220&lt;=50,"50-60",G1220&lt;=60,"60-70",G1220&lt;=70,"70-80",G1220&lt;=80,"80-90")</f>
        <v>60-70</v>
      </c>
      <c r="I1220" s="17">
        <v>2161</v>
      </c>
      <c r="J1220" s="13" t="str" cm="1">
        <f t="array" ref="J1220">_xlfn.IFS(K1220=1,"Divorciado",L1220=1,"Casado",M1220=1,"Solteiro",N1220=1,"Juntos",O1220=1,"Viuvo")</f>
        <v>Casado</v>
      </c>
      <c r="K1220" s="17">
        <v>0</v>
      </c>
      <c r="L1220" s="17">
        <v>1</v>
      </c>
      <c r="M1220" s="17">
        <v>0</v>
      </c>
      <c r="N1220" s="17">
        <v>0</v>
      </c>
      <c r="O1220" s="17">
        <v>0</v>
      </c>
      <c r="P1220" s="17">
        <v>0</v>
      </c>
      <c r="Q1220" s="17">
        <v>0</v>
      </c>
      <c r="R1220" s="17">
        <v>1</v>
      </c>
      <c r="S1220" s="17">
        <v>0</v>
      </c>
      <c r="T1220" s="17">
        <v>0</v>
      </c>
      <c r="U1220" s="17">
        <v>48</v>
      </c>
      <c r="V1220" s="13" t="str" cm="1">
        <f t="array" ref="V1220">_xlfn.IFS(U1220&lt;=250,"0-R$250",U1220&lt;=500,"251-R$500",U1220&lt;=750,"501-R$750",U1220&lt;=1000,"751-R$1000",U1220&lt;=1250,"1001-R$1250",U1220&lt;=1500,"1251-R$1500")</f>
        <v>0-R$250</v>
      </c>
      <c r="W1220" s="17">
        <v>58</v>
      </c>
      <c r="X1220" s="13" t="str" cm="1">
        <f t="array" ref="X1220">_xlfn.IFS(W1220 = 0, "0", W1220&lt;=20, "até R$20",W1220&lt;=40, "21 - R$40",W1220&lt;=60, "41- R$60",W1220&lt;=80, "61 - R$80", W1220&lt;=100, "81 - R$100",W1220&lt;=120, "101 - R$120",W1220&lt;=140, "121 - R$140", W1220&lt;=160, "141- R$160", W1220&lt;=180, "161 - R$180", W1220&lt;=200, "181-R$194")</f>
        <v>41- R$60</v>
      </c>
      <c r="Y1220" s="17">
        <v>68</v>
      </c>
      <c r="Z1220" s="17">
        <v>16</v>
      </c>
      <c r="AA1220" s="17">
        <v>66</v>
      </c>
      <c r="AB1220" s="17">
        <v>43</v>
      </c>
      <c r="AC1220" s="17">
        <v>1</v>
      </c>
      <c r="AD1220" s="17">
        <v>3</v>
      </c>
      <c r="AE1220" s="17">
        <v>2</v>
      </c>
      <c r="AF1220" s="17">
        <v>6</v>
      </c>
      <c r="AG1220" s="17">
        <v>2</v>
      </c>
      <c r="AH1220" s="17">
        <v>0</v>
      </c>
      <c r="AI1220" s="17">
        <v>0</v>
      </c>
      <c r="AJ1220" s="17">
        <v>0</v>
      </c>
      <c r="AK1220" s="17">
        <v>0</v>
      </c>
      <c r="AL1220" s="17">
        <v>0</v>
      </c>
      <c r="AM1220" s="17">
        <v>0</v>
      </c>
      <c r="AN1220" s="17">
        <v>0</v>
      </c>
      <c r="AO1220" s="18">
        <v>0</v>
      </c>
      <c r="AP1220" s="17">
        <v>3</v>
      </c>
      <c r="AQ1220" s="17">
        <v>11</v>
      </c>
      <c r="AR1220" s="19">
        <v>213</v>
      </c>
      <c r="AS1220" s="19">
        <v>256</v>
      </c>
    </row>
    <row r="1221" spans="1:45" x14ac:dyDescent="0.25">
      <c r="A1221">
        <v>251</v>
      </c>
      <c r="B1221" s="11">
        <f t="shared" si="19"/>
        <v>43776</v>
      </c>
      <c r="C1221" s="16">
        <v>437760</v>
      </c>
      <c r="D1221" s="17">
        <v>1</v>
      </c>
      <c r="E1221" s="17">
        <v>1</v>
      </c>
      <c r="F1221" s="17">
        <v>9</v>
      </c>
      <c r="G1221" s="17">
        <v>68</v>
      </c>
      <c r="H1221" s="13" t="str" cm="1">
        <f t="array" ref="H1221">_xlfn.IFS(G1221&lt;=20,"0-20",G1221&lt;=30,"20-30",G1221&lt;=40,"30-40",G1221&lt;=50,"50-60",G1221&lt;=60,"60-70",G1221&lt;=70,"70-80",G1221&lt;=80,"80-90")</f>
        <v>70-80</v>
      </c>
      <c r="I1221" s="17">
        <v>2670</v>
      </c>
      <c r="J1221" s="13" t="str" cm="1">
        <f t="array" ref="J1221">_xlfn.IFS(K1221=1,"Divorciado",L1221=1,"Casado",M1221=1,"Solteiro",N1221=1,"Juntos",O1221=1,"Viuvo")</f>
        <v>Juntos</v>
      </c>
      <c r="K1221" s="17">
        <v>0</v>
      </c>
      <c r="L1221" s="17">
        <v>0</v>
      </c>
      <c r="M1221" s="17">
        <v>0</v>
      </c>
      <c r="N1221" s="17">
        <v>1</v>
      </c>
      <c r="O1221" s="17">
        <v>0</v>
      </c>
      <c r="P1221" s="17">
        <v>0</v>
      </c>
      <c r="Q1221" s="17">
        <v>0</v>
      </c>
      <c r="R1221" s="17">
        <v>0</v>
      </c>
      <c r="S1221" s="17">
        <v>1</v>
      </c>
      <c r="T1221" s="17">
        <v>0</v>
      </c>
      <c r="U1221" s="17">
        <v>177</v>
      </c>
      <c r="V1221" s="13" t="str" cm="1">
        <f t="array" ref="V1221">_xlfn.IFS(U1221&lt;=250,"0-R$250",U1221&lt;=500,"251-R$500",U1221&lt;=750,"501-R$750",U1221&lt;=1000,"751-R$1000",U1221&lt;=1250,"1001-R$1250",U1221&lt;=1500,"1251-R$1500")</f>
        <v>0-R$250</v>
      </c>
      <c r="W1221" s="17">
        <v>2</v>
      </c>
      <c r="X1221" s="13" t="str" cm="1">
        <f t="array" ref="X1221">_xlfn.IFS(W1221 = 0, "0", W1221&lt;=20, "até R$20",W1221&lt;=40, "21 - R$40",W1221&lt;=60, "41- R$60",W1221&lt;=80, "61 - R$80", W1221&lt;=100, "81 - R$100",W1221&lt;=120, "101 - R$120",W1221&lt;=140, "121 - R$140", W1221&lt;=160, "141- R$160", W1221&lt;=180, "161 - R$180", W1221&lt;=200, "181-R$194")</f>
        <v>até R$20</v>
      </c>
      <c r="Y1221" s="17">
        <v>71</v>
      </c>
      <c r="Z1221" s="17">
        <v>3</v>
      </c>
      <c r="AA1221" s="17">
        <v>2</v>
      </c>
      <c r="AB1221" s="17">
        <v>20</v>
      </c>
      <c r="AC1221" s="17">
        <v>6</v>
      </c>
      <c r="AD1221" s="17">
        <v>5</v>
      </c>
      <c r="AE1221" s="17">
        <v>2</v>
      </c>
      <c r="AF1221" s="17">
        <v>4</v>
      </c>
      <c r="AG1221" s="17">
        <v>8</v>
      </c>
      <c r="AH1221" s="17">
        <v>0</v>
      </c>
      <c r="AI1221" s="17">
        <v>0</v>
      </c>
      <c r="AJ1221" s="17">
        <v>0</v>
      </c>
      <c r="AK1221" s="17">
        <v>0</v>
      </c>
      <c r="AL1221" s="17">
        <v>0</v>
      </c>
      <c r="AM1221" s="17">
        <v>0</v>
      </c>
      <c r="AN1221" s="17">
        <v>1</v>
      </c>
      <c r="AO1221" s="18">
        <v>0</v>
      </c>
      <c r="AP1221" s="17">
        <v>3</v>
      </c>
      <c r="AQ1221" s="17">
        <v>11</v>
      </c>
      <c r="AR1221" s="19">
        <v>235</v>
      </c>
      <c r="AS1221" s="19">
        <v>255</v>
      </c>
    </row>
    <row r="1222" spans="1:45" x14ac:dyDescent="0.25">
      <c r="A1222">
        <v>1037</v>
      </c>
      <c r="B1222" s="11">
        <f t="shared" si="19"/>
        <v>42557</v>
      </c>
      <c r="C1222" s="16">
        <v>425570</v>
      </c>
      <c r="D1222" s="17">
        <v>0</v>
      </c>
      <c r="E1222" s="17">
        <v>1</v>
      </c>
      <c r="F1222" s="17">
        <v>98</v>
      </c>
      <c r="G1222" s="17">
        <v>46</v>
      </c>
      <c r="H1222" s="13" t="str" cm="1">
        <f t="array" ref="H1222">_xlfn.IFS(G1222&lt;=20,"0-20",G1222&lt;=30,"20-30",G1222&lt;=40,"30-40",G1222&lt;=50,"50-60",G1222&lt;=60,"60-70",G1222&lt;=70,"70-80",G1222&lt;=80,"80-90")</f>
        <v>50-60</v>
      </c>
      <c r="I1222" s="17">
        <v>2828</v>
      </c>
      <c r="J1222" s="13" t="str" cm="1">
        <f t="array" ref="J1222">_xlfn.IFS(K1222=1,"Divorciado",L1222=1,"Casado",M1222=1,"Solteiro",N1222=1,"Juntos",O1222=1,"Viuvo")</f>
        <v>Casado</v>
      </c>
      <c r="K1222" s="17">
        <v>0</v>
      </c>
      <c r="L1222" s="17">
        <v>1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1</v>
      </c>
      <c r="S1222" s="17">
        <v>0</v>
      </c>
      <c r="T1222" s="17">
        <v>0</v>
      </c>
      <c r="U1222" s="17">
        <v>192</v>
      </c>
      <c r="V1222" s="13" t="str" cm="1">
        <f t="array" ref="V1222">_xlfn.IFS(U1222&lt;=250,"0-R$250",U1222&lt;=500,"251-R$500",U1222&lt;=750,"501-R$750",U1222&lt;=1000,"751-R$1000",U1222&lt;=1250,"1001-R$1250",U1222&lt;=1500,"1251-R$1500")</f>
        <v>0-R$250</v>
      </c>
      <c r="W1222" s="17">
        <v>5</v>
      </c>
      <c r="X1222" s="13" t="str" cm="1">
        <f t="array" ref="X1222">_xlfn.IFS(W1222 = 0, "0", W1222&lt;=20, "até R$20",W1222&lt;=40, "21 - R$40",W1222&lt;=60, "41- R$60",W1222&lt;=80, "61 - R$80", W1222&lt;=100, "81 - R$100",W1222&lt;=120, "101 - R$120",W1222&lt;=140, "121 - R$140", W1222&lt;=160, "141- R$160", W1222&lt;=180, "161 - R$180", W1222&lt;=200, "181-R$194")</f>
        <v>até R$20</v>
      </c>
      <c r="Y1222" s="17">
        <v>53</v>
      </c>
      <c r="Z1222" s="17">
        <v>0</v>
      </c>
      <c r="AA1222" s="17">
        <v>5</v>
      </c>
      <c r="AB1222" s="17">
        <v>15</v>
      </c>
      <c r="AC1222" s="17">
        <v>4</v>
      </c>
      <c r="AD1222" s="17">
        <v>6</v>
      </c>
      <c r="AE1222" s="17">
        <v>1</v>
      </c>
      <c r="AF1222" s="17">
        <v>4</v>
      </c>
      <c r="AG1222" s="17">
        <v>8</v>
      </c>
      <c r="AH1222" s="17">
        <v>0</v>
      </c>
      <c r="AI1222" s="17">
        <v>0</v>
      </c>
      <c r="AJ1222" s="17">
        <v>0</v>
      </c>
      <c r="AK1222" s="17">
        <v>0</v>
      </c>
      <c r="AL1222" s="17">
        <v>0</v>
      </c>
      <c r="AM1222" s="17">
        <v>0</v>
      </c>
      <c r="AN1222" s="17">
        <v>0</v>
      </c>
      <c r="AO1222" s="18">
        <v>0</v>
      </c>
      <c r="AP1222" s="17">
        <v>3</v>
      </c>
      <c r="AQ1222" s="17">
        <v>11</v>
      </c>
      <c r="AR1222" s="19">
        <v>240</v>
      </c>
      <c r="AS1222" s="19">
        <v>255</v>
      </c>
    </row>
    <row r="1223" spans="1:45" x14ac:dyDescent="0.25">
      <c r="A1223">
        <v>1645</v>
      </c>
      <c r="B1223" s="11">
        <f t="shared" si="19"/>
        <v>37929</v>
      </c>
      <c r="C1223" s="16">
        <v>379290</v>
      </c>
      <c r="D1223" s="17">
        <v>0</v>
      </c>
      <c r="E1223" s="17">
        <v>0</v>
      </c>
      <c r="F1223" s="17">
        <v>49</v>
      </c>
      <c r="G1223" s="17">
        <v>35</v>
      </c>
      <c r="H1223" s="13" t="str" cm="1">
        <f t="array" ref="H1223">_xlfn.IFS(G1223&lt;=20,"0-20",G1223&lt;=30,"20-30",G1223&lt;=40,"30-40",G1223&lt;=50,"50-60",G1223&lt;=60,"60-70",G1223&lt;=70,"70-80",G1223&lt;=80,"80-90")</f>
        <v>30-40</v>
      </c>
      <c r="I1223" s="17">
        <v>2493</v>
      </c>
      <c r="J1223" s="13" t="str" cm="1">
        <f t="array" ref="J1223">_xlfn.IFS(K1223=1,"Divorciado",L1223=1,"Casado",M1223=1,"Solteiro",N1223=1,"Juntos",O1223=1,"Viuvo")</f>
        <v>Solteiro</v>
      </c>
      <c r="K1223" s="17">
        <v>0</v>
      </c>
      <c r="L1223" s="17">
        <v>0</v>
      </c>
      <c r="M1223" s="17">
        <v>1</v>
      </c>
      <c r="N1223" s="17">
        <v>0</v>
      </c>
      <c r="O1223" s="17">
        <v>0</v>
      </c>
      <c r="P1223" s="17">
        <v>0</v>
      </c>
      <c r="Q1223" s="17">
        <v>0</v>
      </c>
      <c r="R1223" s="17">
        <v>0</v>
      </c>
      <c r="S1223" s="17">
        <v>0</v>
      </c>
      <c r="T1223" s="17">
        <v>1</v>
      </c>
      <c r="U1223" s="17">
        <v>202</v>
      </c>
      <c r="V1223" s="13" t="str" cm="1">
        <f t="array" ref="V1223">_xlfn.IFS(U1223&lt;=250,"0-R$250",U1223&lt;=500,"251-R$500",U1223&lt;=750,"501-R$750",U1223&lt;=1000,"751-R$1000",U1223&lt;=1250,"1001-R$1250",U1223&lt;=1500,"1251-R$1500")</f>
        <v>0-R$250</v>
      </c>
      <c r="W1223" s="17">
        <v>2</v>
      </c>
      <c r="X1223" s="13" t="str" cm="1">
        <f t="array" ref="X1223">_xlfn.IFS(W1223 = 0, "0", W1223&lt;=20, "até R$20",W1223&lt;=40, "21 - R$40",W1223&lt;=60, "41- R$60",W1223&lt;=80, "61 - R$80", W1223&lt;=100, "81 - R$100",W1223&lt;=120, "101 - R$120",W1223&lt;=140, "121 - R$140", W1223&lt;=160, "141- R$160", W1223&lt;=180, "161 - R$180", W1223&lt;=200, "181-R$194")</f>
        <v>até R$20</v>
      </c>
      <c r="Y1223" s="17">
        <v>46</v>
      </c>
      <c r="Z1223" s="17">
        <v>3</v>
      </c>
      <c r="AA1223" s="17">
        <v>2</v>
      </c>
      <c r="AB1223" s="17">
        <v>10</v>
      </c>
      <c r="AC1223" s="17">
        <v>2</v>
      </c>
      <c r="AD1223" s="17">
        <v>4</v>
      </c>
      <c r="AE1223" s="17">
        <v>2</v>
      </c>
      <c r="AF1223" s="17">
        <v>5</v>
      </c>
      <c r="AG1223" s="17">
        <v>7</v>
      </c>
      <c r="AH1223" s="17">
        <v>0</v>
      </c>
      <c r="AI1223" s="17">
        <v>0</v>
      </c>
      <c r="AJ1223" s="17">
        <v>1</v>
      </c>
      <c r="AK1223" s="17">
        <v>0</v>
      </c>
      <c r="AL1223" s="17">
        <v>1</v>
      </c>
      <c r="AM1223" s="17">
        <v>0</v>
      </c>
      <c r="AN1223" s="17">
        <v>1</v>
      </c>
      <c r="AO1223" s="18">
        <v>2</v>
      </c>
      <c r="AP1223" s="17">
        <v>3</v>
      </c>
      <c r="AQ1223" s="17">
        <v>11</v>
      </c>
      <c r="AR1223" s="19">
        <v>245</v>
      </c>
      <c r="AS1223" s="19">
        <v>255</v>
      </c>
    </row>
    <row r="1224" spans="1:45" x14ac:dyDescent="0.25">
      <c r="A1224">
        <v>1812</v>
      </c>
      <c r="B1224" s="11">
        <f t="shared" si="19"/>
        <v>47743</v>
      </c>
      <c r="C1224" s="12">
        <v>477430</v>
      </c>
      <c r="D1224" s="13">
        <v>0</v>
      </c>
      <c r="E1224" s="13">
        <v>1</v>
      </c>
      <c r="F1224" s="13">
        <v>56</v>
      </c>
      <c r="G1224" s="13">
        <v>63</v>
      </c>
      <c r="H1224" s="13" t="str" cm="1">
        <f t="array" ref="H1224">_xlfn.IFS(G1224&lt;=20,"0-20",G1224&lt;=30,"20-30",G1224&lt;=40,"30-40",G1224&lt;=50,"50-60",G1224&lt;=60,"60-70",G1224&lt;=70,"70-80",G1224&lt;=80,"80-90")</f>
        <v>70-80</v>
      </c>
      <c r="I1224" s="13">
        <v>2623</v>
      </c>
      <c r="J1224" s="13" t="str" cm="1">
        <f t="array" ref="J1224">_xlfn.IFS(K1224=1,"Divorciado",L1224=1,"Casado",M1224=1,"Solteiro",N1224=1,"Juntos",O1224=1,"Viuvo")</f>
        <v>Casado</v>
      </c>
      <c r="K1224" s="13">
        <v>0</v>
      </c>
      <c r="L1224" s="13">
        <v>1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1</v>
      </c>
      <c r="S1224" s="13">
        <v>0</v>
      </c>
      <c r="T1224" s="13">
        <v>0</v>
      </c>
      <c r="U1224" s="13">
        <v>198</v>
      </c>
      <c r="V1224" s="13" t="str" cm="1">
        <f t="array" ref="V1224">_xlfn.IFS(U1224&lt;=250,"0-R$250",U1224&lt;=500,"251-R$500",U1224&lt;=750,"501-R$750",U1224&lt;=1000,"751-R$1000",U1224&lt;=1250,"1001-R$1250",U1224&lt;=1500,"1251-R$1500")</f>
        <v>0-R$250</v>
      </c>
      <c r="W1224" s="13">
        <v>2</v>
      </c>
      <c r="X1224" s="13" t="str" cm="1">
        <f t="array" ref="X1224">_xlfn.IFS(W1224 = 0, "0", W1224&lt;=20, "até R$20",W1224&lt;=40, "21 - R$40",W1224&lt;=60, "41- R$60",W1224&lt;=80, "61 - R$80", W1224&lt;=100, "81 - R$100",W1224&lt;=120, "101 - R$120",W1224&lt;=140, "121 - R$140", W1224&lt;=160, "141- R$160", W1224&lt;=180, "161 - R$180", W1224&lt;=200, "181-R$194")</f>
        <v>até R$20</v>
      </c>
      <c r="Y1224" s="13">
        <v>43</v>
      </c>
      <c r="Z1224" s="13">
        <v>0</v>
      </c>
      <c r="AA1224" s="13">
        <v>12</v>
      </c>
      <c r="AB1224" s="13">
        <v>20</v>
      </c>
      <c r="AC1224" s="13">
        <v>3</v>
      </c>
      <c r="AD1224" s="13">
        <v>4</v>
      </c>
      <c r="AE1224" s="13">
        <v>1</v>
      </c>
      <c r="AF1224" s="13">
        <v>6</v>
      </c>
      <c r="AG1224" s="13">
        <v>6</v>
      </c>
      <c r="AH1224" s="13">
        <v>0</v>
      </c>
      <c r="AI1224" s="13">
        <v>0</v>
      </c>
      <c r="AJ1224" s="13">
        <v>1</v>
      </c>
      <c r="AK1224" s="13">
        <v>0</v>
      </c>
      <c r="AL1224" s="13">
        <v>0</v>
      </c>
      <c r="AM1224" s="13">
        <v>0</v>
      </c>
      <c r="AN1224" s="13">
        <v>0</v>
      </c>
      <c r="AO1224" s="14">
        <v>1</v>
      </c>
      <c r="AP1224" s="13">
        <v>3</v>
      </c>
      <c r="AQ1224" s="13">
        <v>11</v>
      </c>
      <c r="AR1224" s="15">
        <v>235</v>
      </c>
      <c r="AS1224" s="15">
        <v>255</v>
      </c>
    </row>
    <row r="1225" spans="1:45" x14ac:dyDescent="0.25">
      <c r="A1225">
        <v>200</v>
      </c>
      <c r="B1225" s="11">
        <f t="shared" si="19"/>
        <v>44377</v>
      </c>
      <c r="C1225" s="12">
        <v>443770</v>
      </c>
      <c r="D1225" s="13">
        <v>1</v>
      </c>
      <c r="E1225" s="13">
        <v>1</v>
      </c>
      <c r="F1225" s="13">
        <v>70</v>
      </c>
      <c r="G1225" s="13">
        <v>52</v>
      </c>
      <c r="H1225" s="13" t="str" cm="1">
        <f t="array" ref="H1225">_xlfn.IFS(G1225&lt;=20,"0-20",G1225&lt;=30,"20-30",G1225&lt;=40,"30-40",G1225&lt;=50,"50-60",G1225&lt;=60,"60-70",G1225&lt;=70,"70-80",G1225&lt;=80,"80-90")</f>
        <v>60-70</v>
      </c>
      <c r="I1225" s="13">
        <v>2791</v>
      </c>
      <c r="J1225" s="13" t="str" cm="1">
        <f t="array" ref="J1225">_xlfn.IFS(K1225=1,"Divorciado",L1225=1,"Casado",M1225=1,"Solteiro",N1225=1,"Juntos",O1225=1,"Viuvo")</f>
        <v>Casado</v>
      </c>
      <c r="K1225" s="13">
        <v>0</v>
      </c>
      <c r="L1225" s="13">
        <v>1</v>
      </c>
      <c r="M1225" s="13">
        <v>0</v>
      </c>
      <c r="N1225" s="13">
        <v>0</v>
      </c>
      <c r="O1225" s="13">
        <v>0</v>
      </c>
      <c r="P1225" s="13">
        <v>0</v>
      </c>
      <c r="Q1225" s="13">
        <v>0</v>
      </c>
      <c r="R1225" s="13">
        <v>0</v>
      </c>
      <c r="S1225" s="13">
        <v>0</v>
      </c>
      <c r="T1225" s="13">
        <v>1</v>
      </c>
      <c r="U1225" s="13">
        <v>224</v>
      </c>
      <c r="V1225" s="13" t="str" cm="1">
        <f t="array" ref="V1225">_xlfn.IFS(U1225&lt;=250,"0-R$250",U1225&lt;=500,"251-R$500",U1225&lt;=750,"501-R$750",U1225&lt;=1000,"751-R$1000",U1225&lt;=1250,"1001-R$1250",U1225&lt;=1500,"1251-R$1500")</f>
        <v>0-R$250</v>
      </c>
      <c r="W1225" s="13">
        <v>0</v>
      </c>
      <c r="X1225" s="13" t="str" cm="1">
        <f t="array" ref="X1225">_xlfn.IFS(W1225 = 0, "0", W1225&lt;=20, "até R$20",W1225&lt;=40, "21 - R$40",W1225&lt;=60, "41- R$60",W1225&lt;=80, "61 - R$80", W1225&lt;=100, "81 - R$100",W1225&lt;=120, "101 - R$120",W1225&lt;=140, "121 - R$140", W1225&lt;=160, "141- R$160", W1225&lt;=180, "161 - R$180", W1225&lt;=200, "181-R$194")</f>
        <v>0</v>
      </c>
      <c r="Y1225" s="13">
        <v>30</v>
      </c>
      <c r="Z1225" s="13">
        <v>0</v>
      </c>
      <c r="AA1225" s="13">
        <v>0</v>
      </c>
      <c r="AB1225" s="13">
        <v>10</v>
      </c>
      <c r="AC1225" s="13">
        <v>8</v>
      </c>
      <c r="AD1225" s="13">
        <v>5</v>
      </c>
      <c r="AE1225" s="13">
        <v>1</v>
      </c>
      <c r="AF1225" s="13">
        <v>5</v>
      </c>
      <c r="AG1225" s="13">
        <v>8</v>
      </c>
      <c r="AH1225" s="13">
        <v>0</v>
      </c>
      <c r="AI1225" s="13">
        <v>0</v>
      </c>
      <c r="AJ1225" s="13">
        <v>0</v>
      </c>
      <c r="AK1225" s="13">
        <v>0</v>
      </c>
      <c r="AL1225" s="13">
        <v>0</v>
      </c>
      <c r="AM1225" s="13">
        <v>0</v>
      </c>
      <c r="AN1225" s="13">
        <v>0</v>
      </c>
      <c r="AO1225" s="14">
        <v>0</v>
      </c>
      <c r="AP1225" s="13">
        <v>3</v>
      </c>
      <c r="AQ1225" s="13">
        <v>11</v>
      </c>
      <c r="AR1225" s="15">
        <v>244</v>
      </c>
      <c r="AS1225" s="15">
        <v>254</v>
      </c>
    </row>
    <row r="1226" spans="1:45" x14ac:dyDescent="0.25">
      <c r="A1226">
        <v>714</v>
      </c>
      <c r="B1226" s="11">
        <f t="shared" si="19"/>
        <v>45072</v>
      </c>
      <c r="C1226" s="12">
        <v>450720</v>
      </c>
      <c r="D1226" s="13">
        <v>1</v>
      </c>
      <c r="E1226" s="13">
        <v>2</v>
      </c>
      <c r="F1226" s="13">
        <v>74</v>
      </c>
      <c r="G1226" s="13">
        <v>72</v>
      </c>
      <c r="H1226" s="13" t="str" cm="1">
        <f t="array" ref="H1226">_xlfn.IFS(G1226&lt;=20,"0-20",G1226&lt;=30,"20-30",G1226&lt;=40,"30-40",G1226&lt;=50,"50-60",G1226&lt;=60,"60-70",G1226&lt;=70,"70-80",G1226&lt;=80,"80-90")</f>
        <v>80-90</v>
      </c>
      <c r="I1226" s="13">
        <v>2415</v>
      </c>
      <c r="J1226" s="13" t="str" cm="1">
        <f t="array" ref="J1226">_xlfn.IFS(K1226=1,"Divorciado",L1226=1,"Casado",M1226=1,"Solteiro",N1226=1,"Juntos",O1226=1,"Viuvo")</f>
        <v>Divorciado</v>
      </c>
      <c r="K1226" s="13">
        <v>1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1</v>
      </c>
      <c r="U1226" s="13">
        <v>144</v>
      </c>
      <c r="V1226" s="13" t="str" cm="1">
        <f t="array" ref="V1226">_xlfn.IFS(U1226&lt;=250,"0-R$250",U1226&lt;=500,"251-R$500",U1226&lt;=750,"501-R$750",U1226&lt;=1000,"751-R$1000",U1226&lt;=1250,"1001-R$1250",U1226&lt;=1500,"1251-R$1500")</f>
        <v>0-R$250</v>
      </c>
      <c r="W1226" s="13">
        <v>2</v>
      </c>
      <c r="X1226" s="13" t="str" cm="1">
        <f t="array" ref="X1226">_xlfn.IFS(W1226 = 0, "0", W1226&lt;=20, "até R$20",W1226&lt;=40, "21 - R$40",W1226&lt;=60, "41- R$60",W1226&lt;=80, "61 - R$80", W1226&lt;=100, "81 - R$100",W1226&lt;=120, "101 - R$120",W1226&lt;=140, "121 - R$140", W1226&lt;=160, "141- R$160", W1226&lt;=180, "161 - R$180", W1226&lt;=200, "181-R$194")</f>
        <v>até R$20</v>
      </c>
      <c r="Y1226" s="13">
        <v>99</v>
      </c>
      <c r="Z1226" s="13">
        <v>7</v>
      </c>
      <c r="AA1226" s="13">
        <v>2</v>
      </c>
      <c r="AB1226" s="13">
        <v>30</v>
      </c>
      <c r="AC1226" s="13">
        <v>5</v>
      </c>
      <c r="AD1226" s="13">
        <v>6</v>
      </c>
      <c r="AE1226" s="13">
        <v>1</v>
      </c>
      <c r="AF1226" s="13">
        <v>4</v>
      </c>
      <c r="AG1226" s="13">
        <v>8</v>
      </c>
      <c r="AH1226" s="13">
        <v>0</v>
      </c>
      <c r="AI1226" s="13">
        <v>0</v>
      </c>
      <c r="AJ1226" s="13">
        <v>0</v>
      </c>
      <c r="AK1226" s="13">
        <v>0</v>
      </c>
      <c r="AL1226" s="13">
        <v>0</v>
      </c>
      <c r="AM1226" s="13">
        <v>0</v>
      </c>
      <c r="AN1226" s="13">
        <v>0</v>
      </c>
      <c r="AO1226" s="14">
        <v>0</v>
      </c>
      <c r="AP1226" s="13">
        <v>3</v>
      </c>
      <c r="AQ1226" s="13">
        <v>11</v>
      </c>
      <c r="AR1226" s="15">
        <v>224</v>
      </c>
      <c r="AS1226" s="15">
        <v>254</v>
      </c>
    </row>
    <row r="1227" spans="1:45" x14ac:dyDescent="0.25">
      <c r="A1227">
        <v>885</v>
      </c>
      <c r="B1227" s="11">
        <f t="shared" si="19"/>
        <v>58917</v>
      </c>
      <c r="C1227" s="16">
        <v>589170</v>
      </c>
      <c r="D1227" s="17">
        <v>1</v>
      </c>
      <c r="E1227" s="17">
        <v>2</v>
      </c>
      <c r="F1227" s="17">
        <v>10</v>
      </c>
      <c r="G1227" s="17">
        <v>51</v>
      </c>
      <c r="H1227" s="13" t="str" cm="1">
        <f t="array" ref="H1227">_xlfn.IFS(G1227&lt;=20,"0-20",G1227&lt;=30,"20-30",G1227&lt;=40,"30-40",G1227&lt;=50,"50-60",G1227&lt;=60,"60-70",G1227&lt;=70,"70-80",G1227&lt;=80,"80-90")</f>
        <v>60-70</v>
      </c>
      <c r="I1227" s="17">
        <v>2621</v>
      </c>
      <c r="J1227" s="13" t="str" cm="1">
        <f t="array" ref="J1227">_xlfn.IFS(K1227=1,"Divorciado",L1227=1,"Casado",M1227=1,"Solteiro",N1227=1,"Juntos",O1227=1,"Viuvo")</f>
        <v>Juntos</v>
      </c>
      <c r="K1227" s="17">
        <v>0</v>
      </c>
      <c r="L1227" s="17">
        <v>0</v>
      </c>
      <c r="M1227" s="17">
        <v>0</v>
      </c>
      <c r="N1227" s="17">
        <v>1</v>
      </c>
      <c r="O1227" s="17">
        <v>0</v>
      </c>
      <c r="P1227" s="17">
        <v>0</v>
      </c>
      <c r="Q1227" s="17">
        <v>0</v>
      </c>
      <c r="R1227" s="17">
        <v>1</v>
      </c>
      <c r="S1227" s="17">
        <v>0</v>
      </c>
      <c r="T1227" s="17">
        <v>0</v>
      </c>
      <c r="U1227" s="17">
        <v>151</v>
      </c>
      <c r="V1227" s="13" t="str" cm="1">
        <f t="array" ref="V1227">_xlfn.IFS(U1227&lt;=250,"0-R$250",U1227&lt;=500,"251-R$500",U1227&lt;=750,"501-R$750",U1227&lt;=1000,"751-R$1000",U1227&lt;=1250,"1001-R$1250",U1227&lt;=1500,"1251-R$1500")</f>
        <v>0-R$250</v>
      </c>
      <c r="W1227" s="17">
        <v>7</v>
      </c>
      <c r="X1227" s="13" t="str" cm="1">
        <f t="array" ref="X1227">_xlfn.IFS(W1227 = 0, "0", W1227&lt;=20, "até R$20",W1227&lt;=40, "21 - R$40",W1227&lt;=60, "41- R$60",W1227&lt;=80, "61 - R$80", W1227&lt;=100, "81 - R$100",W1227&lt;=120, "101 - R$120",W1227&lt;=140, "121 - R$140", W1227&lt;=160, "141- R$160", W1227&lt;=180, "161 - R$180", W1227&lt;=200, "181-R$194")</f>
        <v>até R$20</v>
      </c>
      <c r="Y1227" s="17">
        <v>89</v>
      </c>
      <c r="Z1227" s="17">
        <v>0</v>
      </c>
      <c r="AA1227" s="17">
        <v>7</v>
      </c>
      <c r="AB1227" s="17">
        <v>28</v>
      </c>
      <c r="AC1227" s="17">
        <v>5</v>
      </c>
      <c r="AD1227" s="17">
        <v>4</v>
      </c>
      <c r="AE1227" s="17">
        <v>1</v>
      </c>
      <c r="AF1227" s="17">
        <v>6</v>
      </c>
      <c r="AG1227" s="17">
        <v>5</v>
      </c>
      <c r="AH1227" s="17">
        <v>0</v>
      </c>
      <c r="AI1227" s="17">
        <v>0</v>
      </c>
      <c r="AJ1227" s="17">
        <v>0</v>
      </c>
      <c r="AK1227" s="17">
        <v>0</v>
      </c>
      <c r="AL1227" s="17">
        <v>0</v>
      </c>
      <c r="AM1227" s="17">
        <v>0</v>
      </c>
      <c r="AN1227" s="17">
        <v>0</v>
      </c>
      <c r="AO1227" s="18">
        <v>0</v>
      </c>
      <c r="AP1227" s="17">
        <v>3</v>
      </c>
      <c r="AQ1227" s="17">
        <v>11</v>
      </c>
      <c r="AR1227" s="19">
        <v>226</v>
      </c>
      <c r="AS1227" s="19">
        <v>254</v>
      </c>
    </row>
    <row r="1228" spans="1:45" x14ac:dyDescent="0.25">
      <c r="A1228">
        <v>1366</v>
      </c>
      <c r="B1228" s="11">
        <f t="shared" si="19"/>
        <v>53761</v>
      </c>
      <c r="C1228" s="12">
        <v>537610</v>
      </c>
      <c r="D1228" s="13">
        <v>1</v>
      </c>
      <c r="E1228" s="13">
        <v>1</v>
      </c>
      <c r="F1228" s="13">
        <v>7</v>
      </c>
      <c r="G1228" s="13">
        <v>48</v>
      </c>
      <c r="H1228" s="13" t="str" cm="1">
        <f t="array" ref="H1228">_xlfn.IFS(G1228&lt;=20,"0-20",G1228&lt;=30,"20-30",G1228&lt;=40,"30-40",G1228&lt;=50,"50-60",G1228&lt;=60,"60-70",G1228&lt;=70,"70-80",G1228&lt;=80,"80-90")</f>
        <v>50-60</v>
      </c>
      <c r="I1228" s="13">
        <v>2420</v>
      </c>
      <c r="J1228" s="13" t="str" cm="1">
        <f t="array" ref="J1228">_xlfn.IFS(K1228=1,"Divorciado",L1228=1,"Casado",M1228=1,"Solteiro",N1228=1,"Juntos",O1228=1,"Viuvo")</f>
        <v>Casado</v>
      </c>
      <c r="K1228" s="13">
        <v>0</v>
      </c>
      <c r="L1228" s="13">
        <v>1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1</v>
      </c>
      <c r="T1228" s="13">
        <v>0</v>
      </c>
      <c r="U1228" s="13">
        <v>158</v>
      </c>
      <c r="V1228" s="13" t="str" cm="1">
        <f t="array" ref="V1228">_xlfn.IFS(U1228&lt;=250,"0-R$250",U1228&lt;=500,"251-R$500",U1228&lt;=750,"501-R$750",U1228&lt;=1000,"751-R$1000",U1228&lt;=1250,"1001-R$1250",U1228&lt;=1500,"1251-R$1500")</f>
        <v>0-R$250</v>
      </c>
      <c r="W1228" s="13">
        <v>0</v>
      </c>
      <c r="X1228" s="13" t="str" cm="1">
        <f t="array" ref="X1228">_xlfn.IFS(W1228 = 0, "0", W1228&lt;=20, "até R$20",W1228&lt;=40, "21 - R$40",W1228&lt;=60, "41- R$60",W1228&lt;=80, "61 - R$80", W1228&lt;=100, "81 - R$100",W1228&lt;=120, "101 - R$120",W1228&lt;=140, "121 - R$140", W1228&lt;=160, "141- R$160", W1228&lt;=180, "161 - R$180", W1228&lt;=200, "181-R$194")</f>
        <v>0</v>
      </c>
      <c r="Y1228" s="13">
        <v>76</v>
      </c>
      <c r="Z1228" s="13">
        <v>13</v>
      </c>
      <c r="AA1228" s="13">
        <v>7</v>
      </c>
      <c r="AB1228" s="13">
        <v>71</v>
      </c>
      <c r="AC1228" s="13">
        <v>6</v>
      </c>
      <c r="AD1228" s="13">
        <v>4</v>
      </c>
      <c r="AE1228" s="13">
        <v>4</v>
      </c>
      <c r="AF1228" s="13">
        <v>3</v>
      </c>
      <c r="AG1228" s="13">
        <v>5</v>
      </c>
      <c r="AH1228" s="13">
        <v>0</v>
      </c>
      <c r="AI1228" s="13">
        <v>0</v>
      </c>
      <c r="AJ1228" s="13">
        <v>0</v>
      </c>
      <c r="AK1228" s="13">
        <v>0</v>
      </c>
      <c r="AL1228" s="13">
        <v>0</v>
      </c>
      <c r="AM1228" s="13">
        <v>0</v>
      </c>
      <c r="AN1228" s="13">
        <v>0</v>
      </c>
      <c r="AO1228" s="14">
        <v>0</v>
      </c>
      <c r="AP1228" s="13">
        <v>3</v>
      </c>
      <c r="AQ1228" s="13">
        <v>11</v>
      </c>
      <c r="AR1228" s="15">
        <v>183</v>
      </c>
      <c r="AS1228" s="15">
        <v>254</v>
      </c>
    </row>
    <row r="1229" spans="1:45" x14ac:dyDescent="0.25">
      <c r="A1229">
        <v>1376</v>
      </c>
      <c r="B1229" s="11">
        <f t="shared" si="19"/>
        <v>60544</v>
      </c>
      <c r="C1229" s="12">
        <v>605440</v>
      </c>
      <c r="D1229" s="13">
        <v>1</v>
      </c>
      <c r="E1229" s="13">
        <v>1</v>
      </c>
      <c r="F1229" s="13">
        <v>92</v>
      </c>
      <c r="G1229" s="13">
        <v>59</v>
      </c>
      <c r="H1229" s="13" t="str" cm="1">
        <f t="array" ref="H1229">_xlfn.IFS(G1229&lt;=20,"0-20",G1229&lt;=30,"20-30",G1229&lt;=40,"30-40",G1229&lt;=50,"50-60",G1229&lt;=60,"60-70",G1229&lt;=70,"70-80",G1229&lt;=80,"80-90")</f>
        <v>60-70</v>
      </c>
      <c r="I1229" s="13">
        <v>2832</v>
      </c>
      <c r="J1229" s="13" t="str" cm="1">
        <f t="array" ref="J1229">_xlfn.IFS(K1229=1,"Divorciado",L1229=1,"Casado",M1229=1,"Solteiro",N1229=1,"Juntos",O1229=1,"Viuvo")</f>
        <v>Casado</v>
      </c>
      <c r="K1229" s="13">
        <v>0</v>
      </c>
      <c r="L1229" s="13">
        <v>1</v>
      </c>
      <c r="M1229" s="13">
        <v>0</v>
      </c>
      <c r="N1229" s="13">
        <v>0</v>
      </c>
      <c r="O1229" s="13">
        <v>0</v>
      </c>
      <c r="P1229" s="13">
        <v>0</v>
      </c>
      <c r="Q1229" s="13">
        <v>0</v>
      </c>
      <c r="R1229" s="13">
        <v>1</v>
      </c>
      <c r="S1229" s="13">
        <v>0</v>
      </c>
      <c r="T1229" s="13">
        <v>0</v>
      </c>
      <c r="U1229" s="13">
        <v>201</v>
      </c>
      <c r="V1229" s="13" t="str" cm="1">
        <f t="array" ref="V1229">_xlfn.IFS(U1229&lt;=250,"0-R$250",U1229&lt;=500,"251-R$500",U1229&lt;=750,"501-R$750",U1229&lt;=1000,"751-R$1000",U1229&lt;=1250,"1001-R$1250",U1229&lt;=1500,"1251-R$1500")</f>
        <v>0-R$250</v>
      </c>
      <c r="W1229" s="13">
        <v>2</v>
      </c>
      <c r="X1229" s="13" t="str" cm="1">
        <f t="array" ref="X1229">_xlfn.IFS(W1229 = 0, "0", W1229&lt;=20, "até R$20",W1229&lt;=40, "21 - R$40",W1229&lt;=60, "41- R$60",W1229&lt;=80, "61 - R$80", W1229&lt;=100, "81 - R$100",W1229&lt;=120, "101 - R$120",W1229&lt;=140, "121 - R$140", W1229&lt;=160, "141- R$160", W1229&lt;=180, "161 - R$180", W1229&lt;=200, "181-R$194")</f>
        <v>até R$20</v>
      </c>
      <c r="Y1229" s="13">
        <v>43</v>
      </c>
      <c r="Z1229" s="13">
        <v>3</v>
      </c>
      <c r="AA1229" s="13">
        <v>5</v>
      </c>
      <c r="AB1229" s="13">
        <v>35</v>
      </c>
      <c r="AC1229" s="13">
        <v>4</v>
      </c>
      <c r="AD1229" s="13">
        <v>5</v>
      </c>
      <c r="AE1229" s="13">
        <v>1</v>
      </c>
      <c r="AF1229" s="13">
        <v>5</v>
      </c>
      <c r="AG1229" s="13">
        <v>6</v>
      </c>
      <c r="AH1229" s="13">
        <v>0</v>
      </c>
      <c r="AI1229" s="13">
        <v>0</v>
      </c>
      <c r="AJ1229" s="13">
        <v>0</v>
      </c>
      <c r="AK1229" s="13">
        <v>0</v>
      </c>
      <c r="AL1229" s="13">
        <v>0</v>
      </c>
      <c r="AM1229" s="13">
        <v>0</v>
      </c>
      <c r="AN1229" s="13">
        <v>0</v>
      </c>
      <c r="AO1229" s="14">
        <v>0</v>
      </c>
      <c r="AP1229" s="13">
        <v>3</v>
      </c>
      <c r="AQ1229" s="13">
        <v>11</v>
      </c>
      <c r="AR1229" s="15">
        <v>219</v>
      </c>
      <c r="AS1229" s="15">
        <v>254</v>
      </c>
    </row>
    <row r="1230" spans="1:45" x14ac:dyDescent="0.25">
      <c r="A1230">
        <v>1412</v>
      </c>
      <c r="B1230" s="11">
        <f t="shared" si="19"/>
        <v>60544</v>
      </c>
      <c r="C1230" s="12">
        <v>605440</v>
      </c>
      <c r="D1230" s="13">
        <v>1</v>
      </c>
      <c r="E1230" s="13">
        <v>1</v>
      </c>
      <c r="F1230" s="13">
        <v>92</v>
      </c>
      <c r="G1230" s="13">
        <v>59</v>
      </c>
      <c r="H1230" s="13" t="str" cm="1">
        <f t="array" ref="H1230">_xlfn.IFS(G1230&lt;=20,"0-20",G1230&lt;=30,"20-30",G1230&lt;=40,"30-40",G1230&lt;=50,"50-60",G1230&lt;=60,"60-70",G1230&lt;=70,"70-80",G1230&lt;=80,"80-90")</f>
        <v>60-70</v>
      </c>
      <c r="I1230" s="13">
        <v>2832</v>
      </c>
      <c r="J1230" s="13" t="str" cm="1">
        <f t="array" ref="J1230">_xlfn.IFS(K1230=1,"Divorciado",L1230=1,"Casado",M1230=1,"Solteiro",N1230=1,"Juntos",O1230=1,"Viuvo")</f>
        <v>Casado</v>
      </c>
      <c r="K1230" s="13">
        <v>0</v>
      </c>
      <c r="L1230" s="13">
        <v>1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13">
        <v>1</v>
      </c>
      <c r="S1230" s="13">
        <v>0</v>
      </c>
      <c r="T1230" s="13">
        <v>0</v>
      </c>
      <c r="U1230" s="13">
        <v>201</v>
      </c>
      <c r="V1230" s="13" t="str" cm="1">
        <f t="array" ref="V1230">_xlfn.IFS(U1230&lt;=250,"0-R$250",U1230&lt;=500,"251-R$500",U1230&lt;=750,"501-R$750",U1230&lt;=1000,"751-R$1000",U1230&lt;=1250,"1001-R$1250",U1230&lt;=1500,"1251-R$1500")</f>
        <v>0-R$250</v>
      </c>
      <c r="W1230" s="13">
        <v>2</v>
      </c>
      <c r="X1230" s="13" t="str" cm="1">
        <f t="array" ref="X1230">_xlfn.IFS(W1230 = 0, "0", W1230&lt;=20, "até R$20",W1230&lt;=40, "21 - R$40",W1230&lt;=60, "41- R$60",W1230&lt;=80, "61 - R$80", W1230&lt;=100, "81 - R$100",W1230&lt;=120, "101 - R$120",W1230&lt;=140, "121 - R$140", W1230&lt;=160, "141- R$160", W1230&lt;=180, "161 - R$180", W1230&lt;=200, "181-R$194")</f>
        <v>até R$20</v>
      </c>
      <c r="Y1230" s="13">
        <v>43</v>
      </c>
      <c r="Z1230" s="13">
        <v>3</v>
      </c>
      <c r="AA1230" s="13">
        <v>5</v>
      </c>
      <c r="AB1230" s="13">
        <v>35</v>
      </c>
      <c r="AC1230" s="13">
        <v>4</v>
      </c>
      <c r="AD1230" s="13">
        <v>5</v>
      </c>
      <c r="AE1230" s="13">
        <v>1</v>
      </c>
      <c r="AF1230" s="13">
        <v>5</v>
      </c>
      <c r="AG1230" s="13">
        <v>6</v>
      </c>
      <c r="AH1230" s="13">
        <v>0</v>
      </c>
      <c r="AI1230" s="13">
        <v>0</v>
      </c>
      <c r="AJ1230" s="13">
        <v>0</v>
      </c>
      <c r="AK1230" s="13">
        <v>0</v>
      </c>
      <c r="AL1230" s="13">
        <v>0</v>
      </c>
      <c r="AM1230" s="13">
        <v>0</v>
      </c>
      <c r="AN1230" s="13">
        <v>0</v>
      </c>
      <c r="AO1230" s="14">
        <v>0</v>
      </c>
      <c r="AP1230" s="13">
        <v>3</v>
      </c>
      <c r="AQ1230" s="13">
        <v>11</v>
      </c>
      <c r="AR1230" s="15">
        <v>219</v>
      </c>
      <c r="AS1230" s="15">
        <v>254</v>
      </c>
    </row>
    <row r="1231" spans="1:45" x14ac:dyDescent="0.25">
      <c r="A1231">
        <v>1467</v>
      </c>
      <c r="B1231" s="11">
        <f t="shared" si="19"/>
        <v>42873</v>
      </c>
      <c r="C1231" s="16">
        <v>428730</v>
      </c>
      <c r="D1231" s="17">
        <v>1</v>
      </c>
      <c r="E1231" s="17">
        <v>1</v>
      </c>
      <c r="F1231" s="17">
        <v>11</v>
      </c>
      <c r="G1231" s="17">
        <v>70</v>
      </c>
      <c r="H1231" s="13" t="str" cm="1">
        <f t="array" ref="H1231">_xlfn.IFS(G1231&lt;=20,"0-20",G1231&lt;=30,"20-30",G1231&lt;=40,"30-40",G1231&lt;=50,"50-60",G1231&lt;=60,"60-70",G1231&lt;=70,"70-80",G1231&lt;=80,"80-90")</f>
        <v>70-80</v>
      </c>
      <c r="I1231" s="17">
        <v>2683</v>
      </c>
      <c r="J1231" s="13" t="str" cm="1">
        <f t="array" ref="J1231">_xlfn.IFS(K1231=1,"Divorciado",L1231=1,"Casado",M1231=1,"Solteiro",N1231=1,"Juntos",O1231=1,"Viuvo")</f>
        <v>Divorciado</v>
      </c>
      <c r="K1231" s="17">
        <v>1</v>
      </c>
      <c r="L1231" s="17">
        <v>0</v>
      </c>
      <c r="M1231" s="17">
        <v>0</v>
      </c>
      <c r="N1231" s="17">
        <v>0</v>
      </c>
      <c r="O1231" s="17">
        <v>0</v>
      </c>
      <c r="P1231" s="17">
        <v>0</v>
      </c>
      <c r="Q1231" s="17">
        <v>0</v>
      </c>
      <c r="R1231" s="17">
        <v>0</v>
      </c>
      <c r="S1231" s="17">
        <v>0</v>
      </c>
      <c r="T1231" s="17">
        <v>1</v>
      </c>
      <c r="U1231" s="17">
        <v>209</v>
      </c>
      <c r="V1231" s="13" t="str" cm="1">
        <f t="array" ref="V1231">_xlfn.IFS(U1231&lt;=250,"0-R$250",U1231&lt;=500,"251-R$500",U1231&lt;=750,"501-R$750",U1231&lt;=1000,"751-R$1000",U1231&lt;=1250,"1001-R$1250",U1231&lt;=1500,"1251-R$1500")</f>
        <v>0-R$250</v>
      </c>
      <c r="W1231" s="17">
        <v>0</v>
      </c>
      <c r="X1231" s="13" t="str" cm="1">
        <f t="array" ref="X1231">_xlfn.IFS(W1231 = 0, "0", W1231&lt;=20, "até R$20",W1231&lt;=40, "21 - R$40",W1231&lt;=60, "41- R$60",W1231&lt;=80, "61 - R$80", W1231&lt;=100, "81 - R$100",W1231&lt;=120, "101 - R$120",W1231&lt;=140, "121 - R$140", W1231&lt;=160, "141- R$160", W1231&lt;=180, "161 - R$180", W1231&lt;=200, "181-R$194")</f>
        <v>0</v>
      </c>
      <c r="Y1231" s="17">
        <v>40</v>
      </c>
      <c r="Z1231" s="17">
        <v>3</v>
      </c>
      <c r="AA1231" s="17">
        <v>2</v>
      </c>
      <c r="AB1231" s="17">
        <v>15</v>
      </c>
      <c r="AC1231" s="17">
        <v>4</v>
      </c>
      <c r="AD1231" s="17">
        <v>6</v>
      </c>
      <c r="AE1231" s="17">
        <v>1</v>
      </c>
      <c r="AF1231" s="17">
        <v>4</v>
      </c>
      <c r="AG1231" s="17">
        <v>8</v>
      </c>
      <c r="AH1231" s="17">
        <v>0</v>
      </c>
      <c r="AI1231" s="17">
        <v>0</v>
      </c>
      <c r="AJ1231" s="17">
        <v>0</v>
      </c>
      <c r="AK1231" s="17">
        <v>0</v>
      </c>
      <c r="AL1231" s="17">
        <v>0</v>
      </c>
      <c r="AM1231" s="17">
        <v>0</v>
      </c>
      <c r="AN1231" s="17">
        <v>0</v>
      </c>
      <c r="AO1231" s="18">
        <v>0</v>
      </c>
      <c r="AP1231" s="17">
        <v>3</v>
      </c>
      <c r="AQ1231" s="17">
        <v>11</v>
      </c>
      <c r="AR1231" s="19">
        <v>239</v>
      </c>
      <c r="AS1231" s="19">
        <v>254</v>
      </c>
    </row>
    <row r="1232" spans="1:45" x14ac:dyDescent="0.25">
      <c r="A1232">
        <v>1038</v>
      </c>
      <c r="B1232" s="11">
        <f t="shared" si="19"/>
        <v>53312</v>
      </c>
      <c r="C1232" s="12">
        <v>533120</v>
      </c>
      <c r="D1232" s="13">
        <v>0</v>
      </c>
      <c r="E1232" s="13">
        <v>0</v>
      </c>
      <c r="F1232" s="13">
        <v>32</v>
      </c>
      <c r="G1232" s="13">
        <v>69</v>
      </c>
      <c r="H1232" s="13" t="str" cm="1">
        <f t="array" ref="H1232">_xlfn.IFS(G1232&lt;=20,"0-20",G1232&lt;=30,"20-30",G1232&lt;=40,"30-40",G1232&lt;=50,"50-60",G1232&lt;=60,"60-70",G1232&lt;=70,"70-80",G1232&lt;=80,"80-90")</f>
        <v>70-80</v>
      </c>
      <c r="I1232" s="13">
        <v>2483</v>
      </c>
      <c r="J1232" s="13" t="str" cm="1">
        <f t="array" ref="J1232">_xlfn.IFS(K1232=1,"Divorciado",L1232=1,"Casado",M1232=1,"Solteiro",N1232=1,"Juntos",O1232=1,"Viuvo")</f>
        <v>Casado</v>
      </c>
      <c r="K1232" s="13">
        <v>0</v>
      </c>
      <c r="L1232" s="13">
        <v>1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1</v>
      </c>
      <c r="U1232" s="13">
        <v>241</v>
      </c>
      <c r="V1232" s="13" t="str" cm="1">
        <f t="array" ref="V1232">_xlfn.IFS(U1232&lt;=250,"0-R$250",U1232&lt;=500,"251-R$500",U1232&lt;=750,"501-R$750",U1232&lt;=1000,"751-R$1000",U1232&lt;=1250,"1001-R$1250",U1232&lt;=1500,"1251-R$1500")</f>
        <v>0-R$250</v>
      </c>
      <c r="W1232" s="13">
        <v>0</v>
      </c>
      <c r="X1232" s="13" t="str" cm="1">
        <f t="array" ref="X1232">_xlfn.IFS(W1232 = 0, "0", W1232&lt;=20, "até R$20",W1232&lt;=40, "21 - R$40",W1232&lt;=60, "41- R$60",W1232&lt;=80, "61 - R$80", W1232&lt;=100, "81 - R$100",W1232&lt;=120, "101 - R$120",W1232&lt;=140, "121 - R$140", W1232&lt;=160, "141- R$160", W1232&lt;=180, "161 - R$180", W1232&lt;=200, "181-R$194")</f>
        <v>0</v>
      </c>
      <c r="Y1232" s="13">
        <v>12</v>
      </c>
      <c r="Z1232" s="13">
        <v>0</v>
      </c>
      <c r="AA1232" s="13">
        <v>0</v>
      </c>
      <c r="AB1232" s="13">
        <v>25</v>
      </c>
      <c r="AC1232" s="13">
        <v>1</v>
      </c>
      <c r="AD1232" s="13">
        <v>5</v>
      </c>
      <c r="AE1232" s="13">
        <v>1</v>
      </c>
      <c r="AF1232" s="13">
        <v>5</v>
      </c>
      <c r="AG1232" s="13">
        <v>7</v>
      </c>
      <c r="AH1232" s="13">
        <v>0</v>
      </c>
      <c r="AI1232" s="13">
        <v>0</v>
      </c>
      <c r="AJ1232" s="13">
        <v>0</v>
      </c>
      <c r="AK1232" s="13">
        <v>0</v>
      </c>
      <c r="AL1232" s="13">
        <v>0</v>
      </c>
      <c r="AM1232" s="13">
        <v>0</v>
      </c>
      <c r="AN1232" s="13">
        <v>0</v>
      </c>
      <c r="AO1232" s="14">
        <v>0</v>
      </c>
      <c r="AP1232" s="13">
        <v>3</v>
      </c>
      <c r="AQ1232" s="13">
        <v>11</v>
      </c>
      <c r="AR1232" s="15">
        <v>228</v>
      </c>
      <c r="AS1232" s="15">
        <v>253</v>
      </c>
    </row>
    <row r="1233" spans="1:45" x14ac:dyDescent="0.25">
      <c r="A1233">
        <v>993</v>
      </c>
      <c r="B1233" s="11">
        <f t="shared" si="19"/>
        <v>30168</v>
      </c>
      <c r="C1233" s="16">
        <v>301680</v>
      </c>
      <c r="D1233" s="17">
        <v>1</v>
      </c>
      <c r="E1233" s="17">
        <v>0</v>
      </c>
      <c r="F1233" s="17">
        <v>51</v>
      </c>
      <c r="G1233" s="17">
        <v>42</v>
      </c>
      <c r="H1233" s="13" t="str" cm="1">
        <f t="array" ref="H1233">_xlfn.IFS(G1233&lt;=20,"0-20",G1233&lt;=30,"20-30",G1233&lt;=40,"30-40",G1233&lt;=50,"50-60",G1233&lt;=60,"60-70",G1233&lt;=70,"70-80",G1233&lt;=80,"80-90")</f>
        <v>50-60</v>
      </c>
      <c r="I1233" s="17">
        <v>2638</v>
      </c>
      <c r="J1233" s="13" t="str" cm="1">
        <f t="array" ref="J1233">_xlfn.IFS(K1233=1,"Divorciado",L1233=1,"Casado",M1233=1,"Solteiro",N1233=1,"Juntos",O1233=1,"Viuvo")</f>
        <v>Solteiro</v>
      </c>
      <c r="K1233" s="17">
        <v>0</v>
      </c>
      <c r="L1233" s="17">
        <v>0</v>
      </c>
      <c r="M1233" s="17">
        <v>1</v>
      </c>
      <c r="N1233" s="17">
        <v>0</v>
      </c>
      <c r="O1233" s="17">
        <v>0</v>
      </c>
      <c r="P1233" s="17">
        <v>0</v>
      </c>
      <c r="Q1233" s="17">
        <v>0</v>
      </c>
      <c r="R1233" s="17">
        <v>1</v>
      </c>
      <c r="S1233" s="17">
        <v>0</v>
      </c>
      <c r="T1233" s="17">
        <v>0</v>
      </c>
      <c r="U1233" s="17">
        <v>154</v>
      </c>
      <c r="V1233" s="13" t="str" cm="1">
        <f t="array" ref="V1233">_xlfn.IFS(U1233&lt;=250,"0-R$250",U1233&lt;=500,"251-R$500",U1233&lt;=750,"501-R$750",U1233&lt;=1000,"751-R$1000",U1233&lt;=1250,"1001-R$1250",U1233&lt;=1500,"1251-R$1500")</f>
        <v>0-R$250</v>
      </c>
      <c r="W1233" s="17">
        <v>20</v>
      </c>
      <c r="X1233" s="13" t="str" cm="1">
        <f t="array" ref="X1233">_xlfn.IFS(W1233 = 0, "0", W1233&lt;=20, "até R$20",W1233&lt;=40, "21 - R$40",W1233&lt;=60, "41- R$60",W1233&lt;=80, "61 - R$80", W1233&lt;=100, "81 - R$100",W1233&lt;=120, "101 - R$120",W1233&lt;=140, "121 - R$140", W1233&lt;=160, "141- R$160", W1233&lt;=180, "161 - R$180", W1233&lt;=200, "181-R$194")</f>
        <v>até R$20</v>
      </c>
      <c r="Y1233" s="17">
        <v>66</v>
      </c>
      <c r="Z1233" s="17">
        <v>0</v>
      </c>
      <c r="AA1233" s="17">
        <v>12</v>
      </c>
      <c r="AB1233" s="17">
        <v>27</v>
      </c>
      <c r="AC1233" s="17">
        <v>7</v>
      </c>
      <c r="AD1233" s="17">
        <v>6</v>
      </c>
      <c r="AE1233" s="17">
        <v>1</v>
      </c>
      <c r="AF1233" s="17">
        <v>4</v>
      </c>
      <c r="AG1233" s="17">
        <v>9</v>
      </c>
      <c r="AH1233" s="17">
        <v>0</v>
      </c>
      <c r="AI1233" s="17">
        <v>0</v>
      </c>
      <c r="AJ1233" s="17">
        <v>0</v>
      </c>
      <c r="AK1233" s="17">
        <v>0</v>
      </c>
      <c r="AL1233" s="17">
        <v>0</v>
      </c>
      <c r="AM1233" s="17">
        <v>0</v>
      </c>
      <c r="AN1233" s="17">
        <v>0</v>
      </c>
      <c r="AO1233" s="18">
        <v>0</v>
      </c>
      <c r="AP1233" s="17">
        <v>3</v>
      </c>
      <c r="AQ1233" s="17">
        <v>11</v>
      </c>
      <c r="AR1233" s="19">
        <v>225</v>
      </c>
      <c r="AS1233" s="19">
        <v>252</v>
      </c>
    </row>
    <row r="1234" spans="1:45" x14ac:dyDescent="0.25">
      <c r="A1234">
        <v>1701</v>
      </c>
      <c r="B1234" s="11">
        <f t="shared" si="19"/>
        <v>42586</v>
      </c>
      <c r="C1234" s="16">
        <v>425860</v>
      </c>
      <c r="D1234" s="17">
        <v>1</v>
      </c>
      <c r="E1234" s="17">
        <v>1</v>
      </c>
      <c r="F1234" s="17">
        <v>7</v>
      </c>
      <c r="G1234" s="17">
        <v>65</v>
      </c>
      <c r="H1234" s="13" t="str" cm="1">
        <f t="array" ref="H1234">_xlfn.IFS(G1234&lt;=20,"0-20",G1234&lt;=30,"20-30",G1234&lt;=40,"30-40",G1234&lt;=50,"50-60",G1234&lt;=60,"60-70",G1234&lt;=70,"70-80",G1234&lt;=80,"80-90")</f>
        <v>70-80</v>
      </c>
      <c r="I1234" s="17">
        <v>2767</v>
      </c>
      <c r="J1234" s="13" t="str" cm="1">
        <f t="array" ref="J1234">_xlfn.IFS(K1234=1,"Divorciado",L1234=1,"Casado",M1234=1,"Solteiro",N1234=1,"Juntos",O1234=1,"Viuvo")</f>
        <v>Juntos</v>
      </c>
      <c r="K1234" s="17">
        <v>0</v>
      </c>
      <c r="L1234" s="17">
        <v>0</v>
      </c>
      <c r="M1234" s="17">
        <v>0</v>
      </c>
      <c r="N1234" s="17">
        <v>1</v>
      </c>
      <c r="O1234" s="17">
        <v>0</v>
      </c>
      <c r="P1234" s="17">
        <v>0</v>
      </c>
      <c r="Q1234" s="17">
        <v>0</v>
      </c>
      <c r="R1234" s="17">
        <v>1</v>
      </c>
      <c r="S1234" s="17">
        <v>0</v>
      </c>
      <c r="T1234" s="17">
        <v>0</v>
      </c>
      <c r="U1234" s="17">
        <v>194</v>
      </c>
      <c r="V1234" s="13" t="str" cm="1">
        <f t="array" ref="V1234">_xlfn.IFS(U1234&lt;=250,"0-R$250",U1234&lt;=500,"251-R$500",U1234&lt;=750,"501-R$750",U1234&lt;=1000,"751-R$1000",U1234&lt;=1250,"1001-R$1250",U1234&lt;=1500,"1251-R$1500")</f>
        <v>0-R$250</v>
      </c>
      <c r="W1234" s="17">
        <v>2</v>
      </c>
      <c r="X1234" s="13" t="str" cm="1">
        <f t="array" ref="X1234">_xlfn.IFS(W1234 = 0, "0", W1234&lt;=20, "até R$20",W1234&lt;=40, "21 - R$40",W1234&lt;=60, "41- R$60",W1234&lt;=80, "61 - R$80", W1234&lt;=100, "81 - R$100",W1234&lt;=120, "101 - R$120",W1234&lt;=140, "121 - R$140", W1234&lt;=160, "141- R$160", W1234&lt;=180, "161 - R$180", W1234&lt;=200, "181-R$194")</f>
        <v>até R$20</v>
      </c>
      <c r="Y1234" s="17">
        <v>56</v>
      </c>
      <c r="Z1234" s="17">
        <v>0</v>
      </c>
      <c r="AA1234" s="17">
        <v>0</v>
      </c>
      <c r="AB1234" s="17">
        <v>0</v>
      </c>
      <c r="AC1234" s="17">
        <v>5</v>
      </c>
      <c r="AD1234" s="17">
        <v>4</v>
      </c>
      <c r="AE1234" s="17">
        <v>1</v>
      </c>
      <c r="AF1234" s="17">
        <v>6</v>
      </c>
      <c r="AG1234" s="17">
        <v>8</v>
      </c>
      <c r="AH1234" s="17">
        <v>0</v>
      </c>
      <c r="AI1234" s="17">
        <v>0</v>
      </c>
      <c r="AJ1234" s="17">
        <v>0</v>
      </c>
      <c r="AK1234" s="17">
        <v>0</v>
      </c>
      <c r="AL1234" s="17">
        <v>0</v>
      </c>
      <c r="AM1234" s="17">
        <v>0</v>
      </c>
      <c r="AN1234" s="17">
        <v>1</v>
      </c>
      <c r="AO1234" s="18">
        <v>0</v>
      </c>
      <c r="AP1234" s="17">
        <v>3</v>
      </c>
      <c r="AQ1234" s="17">
        <v>11</v>
      </c>
      <c r="AR1234" s="19">
        <v>252</v>
      </c>
      <c r="AS1234" s="19">
        <v>252</v>
      </c>
    </row>
    <row r="1235" spans="1:45" x14ac:dyDescent="0.25">
      <c r="A1235">
        <v>1750</v>
      </c>
      <c r="B1235" s="11">
        <f t="shared" si="19"/>
        <v>42586</v>
      </c>
      <c r="C1235" s="12">
        <v>425860</v>
      </c>
      <c r="D1235" s="13">
        <v>1</v>
      </c>
      <c r="E1235" s="13">
        <v>1</v>
      </c>
      <c r="F1235" s="13">
        <v>7</v>
      </c>
      <c r="G1235" s="13">
        <v>65</v>
      </c>
      <c r="H1235" s="13" t="str" cm="1">
        <f t="array" ref="H1235">_xlfn.IFS(G1235&lt;=20,"0-20",G1235&lt;=30,"20-30",G1235&lt;=40,"30-40",G1235&lt;=50,"50-60",G1235&lt;=60,"60-70",G1235&lt;=70,"70-80",G1235&lt;=80,"80-90")</f>
        <v>70-80</v>
      </c>
      <c r="I1235" s="13">
        <v>2767</v>
      </c>
      <c r="J1235" s="13" t="str" cm="1">
        <f t="array" ref="J1235">_xlfn.IFS(K1235=1,"Divorciado",L1235=1,"Casado",M1235=1,"Solteiro",N1235=1,"Juntos",O1235=1,"Viuvo")</f>
        <v>Juntos</v>
      </c>
      <c r="K1235" s="13">
        <v>0</v>
      </c>
      <c r="L1235" s="13">
        <v>0</v>
      </c>
      <c r="M1235" s="13">
        <v>0</v>
      </c>
      <c r="N1235" s="13">
        <v>1</v>
      </c>
      <c r="O1235" s="13">
        <v>0</v>
      </c>
      <c r="P1235" s="13">
        <v>0</v>
      </c>
      <c r="Q1235" s="13">
        <v>0</v>
      </c>
      <c r="R1235" s="13">
        <v>1</v>
      </c>
      <c r="S1235" s="13">
        <v>0</v>
      </c>
      <c r="T1235" s="13">
        <v>0</v>
      </c>
      <c r="U1235" s="13">
        <v>194</v>
      </c>
      <c r="V1235" s="13" t="str" cm="1">
        <f t="array" ref="V1235">_xlfn.IFS(U1235&lt;=250,"0-R$250",U1235&lt;=500,"251-R$500",U1235&lt;=750,"501-R$750",U1235&lt;=1000,"751-R$1000",U1235&lt;=1250,"1001-R$1250",U1235&lt;=1500,"1251-R$1500")</f>
        <v>0-R$250</v>
      </c>
      <c r="W1235" s="13">
        <v>2</v>
      </c>
      <c r="X1235" s="13" t="str" cm="1">
        <f t="array" ref="X1235">_xlfn.IFS(W1235 = 0, "0", W1235&lt;=20, "até R$20",W1235&lt;=40, "21 - R$40",W1235&lt;=60, "41- R$60",W1235&lt;=80, "61 - R$80", W1235&lt;=100, "81 - R$100",W1235&lt;=120, "101 - R$120",W1235&lt;=140, "121 - R$140", W1235&lt;=160, "141- R$160", W1235&lt;=180, "161 - R$180", W1235&lt;=200, "181-R$194")</f>
        <v>até R$20</v>
      </c>
      <c r="Y1235" s="13">
        <v>56</v>
      </c>
      <c r="Z1235" s="13">
        <v>0</v>
      </c>
      <c r="AA1235" s="13">
        <v>0</v>
      </c>
      <c r="AB1235" s="13">
        <v>0</v>
      </c>
      <c r="AC1235" s="13">
        <v>5</v>
      </c>
      <c r="AD1235" s="13">
        <v>4</v>
      </c>
      <c r="AE1235" s="13">
        <v>1</v>
      </c>
      <c r="AF1235" s="13">
        <v>6</v>
      </c>
      <c r="AG1235" s="13">
        <v>8</v>
      </c>
      <c r="AH1235" s="13">
        <v>0</v>
      </c>
      <c r="AI1235" s="13">
        <v>0</v>
      </c>
      <c r="AJ1235" s="13">
        <v>0</v>
      </c>
      <c r="AK1235" s="13">
        <v>0</v>
      </c>
      <c r="AL1235" s="13">
        <v>0</v>
      </c>
      <c r="AM1235" s="13">
        <v>0</v>
      </c>
      <c r="AN1235" s="13">
        <v>1</v>
      </c>
      <c r="AO1235" s="14">
        <v>0</v>
      </c>
      <c r="AP1235" s="13">
        <v>3</v>
      </c>
      <c r="AQ1235" s="13">
        <v>11</v>
      </c>
      <c r="AR1235" s="15">
        <v>252</v>
      </c>
      <c r="AS1235" s="15">
        <v>252</v>
      </c>
    </row>
    <row r="1236" spans="1:45" x14ac:dyDescent="0.25">
      <c r="A1236">
        <v>867</v>
      </c>
      <c r="B1236" s="11">
        <f t="shared" si="19"/>
        <v>46231</v>
      </c>
      <c r="C1236" s="16">
        <v>462310</v>
      </c>
      <c r="D1236" s="17">
        <v>2</v>
      </c>
      <c r="E1236" s="17">
        <v>1</v>
      </c>
      <c r="F1236" s="17">
        <v>87</v>
      </c>
      <c r="G1236" s="17">
        <v>67</v>
      </c>
      <c r="H1236" s="13" t="str" cm="1">
        <f t="array" ref="H1236">_xlfn.IFS(G1236&lt;=20,"0-20",G1236&lt;=30,"20-30",G1236&lt;=40,"30-40",G1236&lt;=50,"50-60",G1236&lt;=60,"60-70",G1236&lt;=70,"70-80",G1236&lt;=80,"80-90")</f>
        <v>70-80</v>
      </c>
      <c r="I1236" s="17">
        <v>2739</v>
      </c>
      <c r="J1236" s="13" t="str" cm="1">
        <f t="array" ref="J1236">_xlfn.IFS(K1236=1,"Divorciado",L1236=1,"Casado",M1236=1,"Solteiro",N1236=1,"Juntos",O1236=1,"Viuvo")</f>
        <v>Solteiro</v>
      </c>
      <c r="K1236" s="17">
        <v>0</v>
      </c>
      <c r="L1236" s="17">
        <v>0</v>
      </c>
      <c r="M1236" s="17">
        <v>1</v>
      </c>
      <c r="N1236" s="17">
        <v>0</v>
      </c>
      <c r="O1236" s="17">
        <v>0</v>
      </c>
      <c r="P1236" s="17">
        <v>0</v>
      </c>
      <c r="Q1236" s="17">
        <v>0</v>
      </c>
      <c r="R1236" s="17">
        <v>0</v>
      </c>
      <c r="S1236" s="17">
        <v>0</v>
      </c>
      <c r="T1236" s="17">
        <v>1</v>
      </c>
      <c r="U1236" s="17">
        <v>189</v>
      </c>
      <c r="V1236" s="13" t="str" cm="1">
        <f t="array" ref="V1236">_xlfn.IFS(U1236&lt;=250,"0-R$250",U1236&lt;=500,"251-R$500",U1236&lt;=750,"501-R$750",U1236&lt;=1000,"751-R$1000",U1236&lt;=1250,"1001-R$1250",U1236&lt;=1500,"1251-R$1500")</f>
        <v>0-R$250</v>
      </c>
      <c r="W1236" s="17">
        <v>2</v>
      </c>
      <c r="X1236" s="13" t="str" cm="1">
        <f t="array" ref="X1236">_xlfn.IFS(W1236 = 0, "0", W1236&lt;=20, "até R$20",W1236&lt;=40, "21 - R$40",W1236&lt;=60, "41- R$60",W1236&lt;=80, "61 - R$80", W1236&lt;=100, "81 - R$100",W1236&lt;=120, "101 - R$120",W1236&lt;=140, "121 - R$140", W1236&lt;=160, "141- R$160", W1236&lt;=180, "161 - R$180", W1236&lt;=200, "181-R$194")</f>
        <v>até R$20</v>
      </c>
      <c r="Y1236" s="17">
        <v>55</v>
      </c>
      <c r="Z1236" s="17">
        <v>0</v>
      </c>
      <c r="AA1236" s="17">
        <v>5</v>
      </c>
      <c r="AB1236" s="17">
        <v>12</v>
      </c>
      <c r="AC1236" s="17">
        <v>4</v>
      </c>
      <c r="AD1236" s="17">
        <v>6</v>
      </c>
      <c r="AE1236" s="17">
        <v>1</v>
      </c>
      <c r="AF1236" s="17">
        <v>4</v>
      </c>
      <c r="AG1236" s="17">
        <v>9</v>
      </c>
      <c r="AH1236" s="17">
        <v>0</v>
      </c>
      <c r="AI1236" s="17">
        <v>0</v>
      </c>
      <c r="AJ1236" s="17">
        <v>0</v>
      </c>
      <c r="AK1236" s="17">
        <v>0</v>
      </c>
      <c r="AL1236" s="17">
        <v>0</v>
      </c>
      <c r="AM1236" s="17">
        <v>0</v>
      </c>
      <c r="AN1236" s="17">
        <v>0</v>
      </c>
      <c r="AO1236" s="18">
        <v>0</v>
      </c>
      <c r="AP1236" s="17">
        <v>3</v>
      </c>
      <c r="AQ1236" s="17">
        <v>11</v>
      </c>
      <c r="AR1236" s="19">
        <v>239</v>
      </c>
      <c r="AS1236" s="19">
        <v>251</v>
      </c>
    </row>
    <row r="1237" spans="1:45" x14ac:dyDescent="0.25">
      <c r="A1237">
        <v>198</v>
      </c>
      <c r="B1237" s="11">
        <f t="shared" si="19"/>
        <v>46097</v>
      </c>
      <c r="C1237" s="12">
        <v>460970</v>
      </c>
      <c r="D1237" s="13">
        <v>0</v>
      </c>
      <c r="E1237" s="13">
        <v>1</v>
      </c>
      <c r="F1237" s="13">
        <v>11</v>
      </c>
      <c r="G1237" s="13">
        <v>64</v>
      </c>
      <c r="H1237" s="13" t="str" cm="1">
        <f t="array" ref="H1237">_xlfn.IFS(G1237&lt;=20,"0-20",G1237&lt;=30,"20-30",G1237&lt;=40,"30-40",G1237&lt;=50,"50-60",G1237&lt;=60,"60-70",G1237&lt;=70,"70-80",G1237&lt;=80,"80-90")</f>
        <v>70-80</v>
      </c>
      <c r="I1237" s="13">
        <v>2614</v>
      </c>
      <c r="J1237" s="13" t="str" cm="1">
        <f t="array" ref="J1237">_xlfn.IFS(K1237=1,"Divorciado",L1237=1,"Casado",M1237=1,"Solteiro",N1237=1,"Juntos",O1237=1,"Viuvo")</f>
        <v>Juntos</v>
      </c>
      <c r="K1237" s="13">
        <v>0</v>
      </c>
      <c r="L1237" s="13">
        <v>0</v>
      </c>
      <c r="M1237" s="13">
        <v>0</v>
      </c>
      <c r="N1237" s="13">
        <v>1</v>
      </c>
      <c r="O1237" s="13">
        <v>0</v>
      </c>
      <c r="P1237" s="13">
        <v>0</v>
      </c>
      <c r="Q1237" s="13">
        <v>0</v>
      </c>
      <c r="R1237" s="13">
        <v>1</v>
      </c>
      <c r="S1237" s="13">
        <v>0</v>
      </c>
      <c r="T1237" s="13">
        <v>0</v>
      </c>
      <c r="U1237" s="13">
        <v>72</v>
      </c>
      <c r="V1237" s="13" t="str" cm="1">
        <f t="array" ref="V1237">_xlfn.IFS(U1237&lt;=250,"0-R$250",U1237&lt;=500,"251-R$500",U1237&lt;=750,"501-R$750",U1237&lt;=1000,"751-R$1000",U1237&lt;=1250,"1001-R$1250",U1237&lt;=1500,"1251-R$1500")</f>
        <v>0-R$250</v>
      </c>
      <c r="W1237" s="13">
        <v>24</v>
      </c>
      <c r="X1237" s="13" t="str" cm="1">
        <f t="array" ref="X1237">_xlfn.IFS(W1237 = 0, "0", W1237&lt;=20, "até R$20",W1237&lt;=40, "21 - R$40",W1237&lt;=60, "41- R$60",W1237&lt;=80, "61 - R$80", W1237&lt;=100, "81 - R$100",W1237&lt;=120, "101 - R$120",W1237&lt;=140, "121 - R$140", W1237&lt;=160, "141- R$160", W1237&lt;=180, "161 - R$180", W1237&lt;=200, "181-R$194")</f>
        <v>21 - R$40</v>
      </c>
      <c r="Y1237" s="13">
        <v>68</v>
      </c>
      <c r="Z1237" s="13">
        <v>65</v>
      </c>
      <c r="AA1237" s="13">
        <v>4</v>
      </c>
      <c r="AB1237" s="13">
        <v>8</v>
      </c>
      <c r="AC1237" s="13">
        <v>5</v>
      </c>
      <c r="AD1237" s="13">
        <v>3</v>
      </c>
      <c r="AE1237" s="13">
        <v>1</v>
      </c>
      <c r="AF1237" s="13">
        <v>6</v>
      </c>
      <c r="AG1237" s="13">
        <v>4</v>
      </c>
      <c r="AH1237" s="13">
        <v>0</v>
      </c>
      <c r="AI1237" s="13">
        <v>0</v>
      </c>
      <c r="AJ1237" s="13">
        <v>0</v>
      </c>
      <c r="AK1237" s="13">
        <v>0</v>
      </c>
      <c r="AL1237" s="13">
        <v>0</v>
      </c>
      <c r="AM1237" s="13">
        <v>0</v>
      </c>
      <c r="AN1237" s="13">
        <v>0</v>
      </c>
      <c r="AO1237" s="14">
        <v>0</v>
      </c>
      <c r="AP1237" s="13">
        <v>3</v>
      </c>
      <c r="AQ1237" s="13">
        <v>11</v>
      </c>
      <c r="AR1237" s="15">
        <v>225</v>
      </c>
      <c r="AS1237" s="15">
        <v>233</v>
      </c>
    </row>
    <row r="1238" spans="1:45" x14ac:dyDescent="0.25">
      <c r="A1238">
        <v>387</v>
      </c>
      <c r="B1238" s="11">
        <f t="shared" si="19"/>
        <v>30507</v>
      </c>
      <c r="C1238" s="16">
        <v>305070</v>
      </c>
      <c r="D1238" s="17">
        <v>0</v>
      </c>
      <c r="E1238" s="17">
        <v>0</v>
      </c>
      <c r="F1238" s="17">
        <v>29</v>
      </c>
      <c r="G1238" s="17">
        <v>60</v>
      </c>
      <c r="H1238" s="13" t="str" cm="1">
        <f t="array" ref="H1238">_xlfn.IFS(G1238&lt;=20,"0-20",G1238&lt;=30,"20-30",G1238&lt;=40,"30-40",G1238&lt;=50,"50-60",G1238&lt;=60,"60-70",G1238&lt;=70,"70-80",G1238&lt;=80,"80-90")</f>
        <v>60-70</v>
      </c>
      <c r="I1238" s="17">
        <v>2634</v>
      </c>
      <c r="J1238" s="13" t="str" cm="1">
        <f t="array" ref="J1238">_xlfn.IFS(K1238=1,"Divorciado",L1238=1,"Casado",M1238=1,"Solteiro",N1238=1,"Juntos",O1238=1,"Viuvo")</f>
        <v>Juntos</v>
      </c>
      <c r="K1238" s="17">
        <v>0</v>
      </c>
      <c r="L1238" s="17">
        <v>0</v>
      </c>
      <c r="M1238" s="17">
        <v>0</v>
      </c>
      <c r="N1238" s="17">
        <v>1</v>
      </c>
      <c r="O1238" s="17">
        <v>0</v>
      </c>
      <c r="P1238" s="17">
        <v>0</v>
      </c>
      <c r="Q1238" s="17">
        <v>0</v>
      </c>
      <c r="R1238" s="17">
        <v>1</v>
      </c>
      <c r="S1238" s="17">
        <v>0</v>
      </c>
      <c r="T1238" s="17">
        <v>0</v>
      </c>
      <c r="U1238" s="17">
        <v>65</v>
      </c>
      <c r="V1238" s="13" t="str" cm="1">
        <f t="array" ref="V1238">_xlfn.IFS(U1238&lt;=250,"0-R$250",U1238&lt;=500,"251-R$500",U1238&lt;=750,"501-R$750",U1238&lt;=1000,"751-R$1000",U1238&lt;=1250,"1001-R$1250",U1238&lt;=1500,"1251-R$1500")</f>
        <v>0-R$250</v>
      </c>
      <c r="W1238" s="17">
        <v>36</v>
      </c>
      <c r="X1238" s="13" t="str" cm="1">
        <f t="array" ref="X1238">_xlfn.IFS(W1238 = 0, "0", W1238&lt;=20, "até R$20",W1238&lt;=40, "21 - R$40",W1238&lt;=60, "41- R$60",W1238&lt;=80, "61 - R$80", W1238&lt;=100, "81 - R$100",W1238&lt;=120, "101 - R$120",W1238&lt;=140, "121 - R$140", W1238&lt;=160, "141- R$160", W1238&lt;=180, "161 - R$180", W1238&lt;=200, "181-R$194")</f>
        <v>21 - R$40</v>
      </c>
      <c r="Y1238" s="17">
        <v>74</v>
      </c>
      <c r="Z1238" s="17">
        <v>38</v>
      </c>
      <c r="AA1238" s="17">
        <v>20</v>
      </c>
      <c r="AB1238" s="17">
        <v>110</v>
      </c>
      <c r="AC1238" s="17">
        <v>1</v>
      </c>
      <c r="AD1238" s="17">
        <v>5</v>
      </c>
      <c r="AE1238" s="17">
        <v>1</v>
      </c>
      <c r="AF1238" s="17">
        <v>4</v>
      </c>
      <c r="AG1238" s="17">
        <v>7</v>
      </c>
      <c r="AH1238" s="17">
        <v>0</v>
      </c>
      <c r="AI1238" s="17">
        <v>0</v>
      </c>
      <c r="AJ1238" s="17">
        <v>0</v>
      </c>
      <c r="AK1238" s="17">
        <v>0</v>
      </c>
      <c r="AL1238" s="17">
        <v>0</v>
      </c>
      <c r="AM1238" s="17">
        <v>0</v>
      </c>
      <c r="AN1238" s="17">
        <v>0</v>
      </c>
      <c r="AO1238" s="18">
        <v>0</v>
      </c>
      <c r="AP1238" s="17">
        <v>3</v>
      </c>
      <c r="AQ1238" s="17">
        <v>11</v>
      </c>
      <c r="AR1238" s="19">
        <v>123</v>
      </c>
      <c r="AS1238" s="19">
        <v>233</v>
      </c>
    </row>
    <row r="1239" spans="1:45" x14ac:dyDescent="0.25">
      <c r="A1239">
        <v>30</v>
      </c>
      <c r="B1239" s="11">
        <f t="shared" si="19"/>
        <v>38620</v>
      </c>
      <c r="C1239" s="12">
        <v>386200</v>
      </c>
      <c r="D1239" s="13">
        <v>0</v>
      </c>
      <c r="E1239" s="13">
        <v>0</v>
      </c>
      <c r="F1239" s="13">
        <v>56</v>
      </c>
      <c r="G1239" s="13">
        <v>57</v>
      </c>
      <c r="H1239" s="13" t="str" cm="1">
        <f t="array" ref="H1239">_xlfn.IFS(G1239&lt;=20,"0-20",G1239&lt;=30,"20-30",G1239&lt;=40,"30-40",G1239&lt;=50,"50-60",G1239&lt;=60,"60-70",G1239&lt;=70,"70-80",G1239&lt;=80,"80-90")</f>
        <v>60-70</v>
      </c>
      <c r="I1239" s="13">
        <v>2573</v>
      </c>
      <c r="J1239" s="13" t="str" cm="1">
        <f t="array" ref="J1239">_xlfn.IFS(K1239=1,"Divorciado",L1239=1,"Casado",M1239=1,"Solteiro",N1239=1,"Juntos",O1239=1,"Viuvo")</f>
        <v>Juntos</v>
      </c>
      <c r="K1239" s="13">
        <v>0</v>
      </c>
      <c r="L1239" s="13">
        <v>0</v>
      </c>
      <c r="M1239" s="13">
        <v>0</v>
      </c>
      <c r="N1239" s="13">
        <v>1</v>
      </c>
      <c r="O1239" s="13">
        <v>0</v>
      </c>
      <c r="P1239" s="13">
        <v>0</v>
      </c>
      <c r="Q1239" s="13">
        <v>0</v>
      </c>
      <c r="R1239" s="13">
        <v>0</v>
      </c>
      <c r="S1239" s="13">
        <v>1</v>
      </c>
      <c r="T1239" s="13">
        <v>0</v>
      </c>
      <c r="U1239" s="13">
        <v>112</v>
      </c>
      <c r="V1239" s="13" t="str" cm="1">
        <f t="array" ref="V1239">_xlfn.IFS(U1239&lt;=250,"0-R$250",U1239&lt;=500,"251-R$500",U1239&lt;=750,"501-R$750",U1239&lt;=1000,"751-R$1000",U1239&lt;=1250,"1001-R$1250",U1239&lt;=1500,"1251-R$1500")</f>
        <v>0-R$250</v>
      </c>
      <c r="W1239" s="13">
        <v>17</v>
      </c>
      <c r="X1239" s="13" t="str" cm="1">
        <f t="array" ref="X1239">_xlfn.IFS(W1239 = 0, "0", W1239&lt;=20, "até R$20",W1239&lt;=40, "21 - R$40",W1239&lt;=60, "41- R$60",W1239&lt;=80, "61 - R$80", W1239&lt;=100, "81 - R$100",W1239&lt;=120, "101 - R$120",W1239&lt;=140, "121 - R$140", W1239&lt;=160, "141- R$160", W1239&lt;=180, "161 - R$180", W1239&lt;=200, "181-R$194")</f>
        <v>até R$20</v>
      </c>
      <c r="Y1239" s="13">
        <v>44</v>
      </c>
      <c r="Z1239" s="13">
        <v>34</v>
      </c>
      <c r="AA1239" s="13">
        <v>22</v>
      </c>
      <c r="AB1239" s="13">
        <v>89</v>
      </c>
      <c r="AC1239" s="13">
        <v>1</v>
      </c>
      <c r="AD1239" s="13">
        <v>2</v>
      </c>
      <c r="AE1239" s="13">
        <v>5</v>
      </c>
      <c r="AF1239" s="13">
        <v>3</v>
      </c>
      <c r="AG1239" s="13">
        <v>3</v>
      </c>
      <c r="AH1239" s="13">
        <v>0</v>
      </c>
      <c r="AI1239" s="13">
        <v>0</v>
      </c>
      <c r="AJ1239" s="13">
        <v>0</v>
      </c>
      <c r="AK1239" s="13">
        <v>0</v>
      </c>
      <c r="AL1239" s="13">
        <v>0</v>
      </c>
      <c r="AM1239" s="13">
        <v>0</v>
      </c>
      <c r="AN1239" s="13">
        <v>0</v>
      </c>
      <c r="AO1239" s="14">
        <v>0</v>
      </c>
      <c r="AP1239" s="13">
        <v>3</v>
      </c>
      <c r="AQ1239" s="13">
        <v>11</v>
      </c>
      <c r="AR1239" s="15">
        <v>140</v>
      </c>
      <c r="AS1239" s="15">
        <v>229</v>
      </c>
    </row>
    <row r="1240" spans="1:45" x14ac:dyDescent="0.25">
      <c r="A1240">
        <v>78</v>
      </c>
      <c r="B1240" s="11">
        <f t="shared" si="19"/>
        <v>38620</v>
      </c>
      <c r="C1240" s="12">
        <v>386200</v>
      </c>
      <c r="D1240" s="13">
        <v>0</v>
      </c>
      <c r="E1240" s="13">
        <v>0</v>
      </c>
      <c r="F1240" s="13">
        <v>56</v>
      </c>
      <c r="G1240" s="13">
        <v>57</v>
      </c>
      <c r="H1240" s="13" t="str" cm="1">
        <f t="array" ref="H1240">_xlfn.IFS(G1240&lt;=20,"0-20",G1240&lt;=30,"20-30",G1240&lt;=40,"30-40",G1240&lt;=50,"50-60",G1240&lt;=60,"60-70",G1240&lt;=70,"70-80",G1240&lt;=80,"80-90")</f>
        <v>60-70</v>
      </c>
      <c r="I1240" s="13">
        <v>2573</v>
      </c>
      <c r="J1240" s="13" t="str" cm="1">
        <f t="array" ref="J1240">_xlfn.IFS(K1240=1,"Divorciado",L1240=1,"Casado",M1240=1,"Solteiro",N1240=1,"Juntos",O1240=1,"Viuvo")</f>
        <v>Juntos</v>
      </c>
      <c r="K1240" s="13">
        <v>0</v>
      </c>
      <c r="L1240" s="13">
        <v>0</v>
      </c>
      <c r="M1240" s="13">
        <v>0</v>
      </c>
      <c r="N1240" s="13">
        <v>1</v>
      </c>
      <c r="O1240" s="13">
        <v>0</v>
      </c>
      <c r="P1240" s="13">
        <v>0</v>
      </c>
      <c r="Q1240" s="13">
        <v>0</v>
      </c>
      <c r="R1240" s="13">
        <v>0</v>
      </c>
      <c r="S1240" s="13">
        <v>1</v>
      </c>
      <c r="T1240" s="13">
        <v>0</v>
      </c>
      <c r="U1240" s="13">
        <v>112</v>
      </c>
      <c r="V1240" s="13" t="str" cm="1">
        <f t="array" ref="V1240">_xlfn.IFS(U1240&lt;=250,"0-R$250",U1240&lt;=500,"251-R$500",U1240&lt;=750,"501-R$750",U1240&lt;=1000,"751-R$1000",U1240&lt;=1250,"1001-R$1250",U1240&lt;=1500,"1251-R$1500")</f>
        <v>0-R$250</v>
      </c>
      <c r="W1240" s="13">
        <v>17</v>
      </c>
      <c r="X1240" s="13" t="str" cm="1">
        <f t="array" ref="X1240">_xlfn.IFS(W1240 = 0, "0", W1240&lt;=20, "até R$20",W1240&lt;=40, "21 - R$40",W1240&lt;=60, "41- R$60",W1240&lt;=80, "61 - R$80", W1240&lt;=100, "81 - R$100",W1240&lt;=120, "101 - R$120",W1240&lt;=140, "121 - R$140", W1240&lt;=160, "141- R$160", W1240&lt;=180, "161 - R$180", W1240&lt;=200, "181-R$194")</f>
        <v>até R$20</v>
      </c>
      <c r="Y1240" s="13">
        <v>44</v>
      </c>
      <c r="Z1240" s="13">
        <v>34</v>
      </c>
      <c r="AA1240" s="13">
        <v>22</v>
      </c>
      <c r="AB1240" s="13">
        <v>89</v>
      </c>
      <c r="AC1240" s="13">
        <v>1</v>
      </c>
      <c r="AD1240" s="13">
        <v>2</v>
      </c>
      <c r="AE1240" s="13">
        <v>5</v>
      </c>
      <c r="AF1240" s="13">
        <v>3</v>
      </c>
      <c r="AG1240" s="13">
        <v>3</v>
      </c>
      <c r="AH1240" s="13">
        <v>0</v>
      </c>
      <c r="AI1240" s="13">
        <v>0</v>
      </c>
      <c r="AJ1240" s="13">
        <v>0</v>
      </c>
      <c r="AK1240" s="13">
        <v>0</v>
      </c>
      <c r="AL1240" s="13">
        <v>0</v>
      </c>
      <c r="AM1240" s="13">
        <v>0</v>
      </c>
      <c r="AN1240" s="13">
        <v>0</v>
      </c>
      <c r="AO1240" s="14">
        <v>0</v>
      </c>
      <c r="AP1240" s="13">
        <v>3</v>
      </c>
      <c r="AQ1240" s="13">
        <v>11</v>
      </c>
      <c r="AR1240" s="15">
        <v>140</v>
      </c>
      <c r="AS1240" s="15">
        <v>229</v>
      </c>
    </row>
    <row r="1241" spans="1:45" x14ac:dyDescent="0.25">
      <c r="A1241">
        <v>695</v>
      </c>
      <c r="B1241" s="11">
        <f t="shared" si="19"/>
        <v>50272</v>
      </c>
      <c r="C1241" s="16">
        <v>502720</v>
      </c>
      <c r="D1241" s="17">
        <v>1</v>
      </c>
      <c r="E1241" s="17">
        <v>0</v>
      </c>
      <c r="F1241" s="17">
        <v>75</v>
      </c>
      <c r="G1241" s="17">
        <v>38</v>
      </c>
      <c r="H1241" s="13" t="str" cm="1">
        <f t="array" ref="H1241">_xlfn.IFS(G1241&lt;=20,"0-20",G1241&lt;=30,"20-30",G1241&lt;=40,"30-40",G1241&lt;=50,"50-60",G1241&lt;=60,"60-70",G1241&lt;=70,"70-80",G1241&lt;=80,"80-90")</f>
        <v>30-40</v>
      </c>
      <c r="I1241" s="17">
        <v>2485</v>
      </c>
      <c r="J1241" s="13" t="str" cm="1">
        <f t="array" ref="J1241">_xlfn.IFS(K1241=1,"Divorciado",L1241=1,"Casado",M1241=1,"Solteiro",N1241=1,"Juntos",O1241=1,"Viuvo")</f>
        <v>Juntos</v>
      </c>
      <c r="K1241" s="17">
        <v>0</v>
      </c>
      <c r="L1241" s="17">
        <v>0</v>
      </c>
      <c r="M1241" s="17">
        <v>0</v>
      </c>
      <c r="N1241" s="17">
        <v>1</v>
      </c>
      <c r="O1241" s="17">
        <v>0</v>
      </c>
      <c r="P1241" s="17">
        <v>0</v>
      </c>
      <c r="Q1241" s="17">
        <v>0</v>
      </c>
      <c r="R1241" s="17">
        <v>1</v>
      </c>
      <c r="S1241" s="17">
        <v>0</v>
      </c>
      <c r="T1241" s="17">
        <v>0</v>
      </c>
      <c r="U1241" s="17">
        <v>99</v>
      </c>
      <c r="V1241" s="13" t="str" cm="1">
        <f t="array" ref="V1241">_xlfn.IFS(U1241&lt;=250,"0-R$250",U1241&lt;=500,"251-R$500",U1241&lt;=750,"501-R$750",U1241&lt;=1000,"751-R$1000",U1241&lt;=1250,"1001-R$1250",U1241&lt;=1500,"1251-R$1500")</f>
        <v>0-R$250</v>
      </c>
      <c r="W1241" s="17">
        <v>13</v>
      </c>
      <c r="X1241" s="13" t="str" cm="1">
        <f t="array" ref="X1241">_xlfn.IFS(W1241 = 0, "0", W1241&lt;=20, "até R$20",W1241&lt;=40, "21 - R$40",W1241&lt;=60, "41- R$60",W1241&lt;=80, "61 - R$80", W1241&lt;=100, "81 - R$100",W1241&lt;=120, "101 - R$120",W1241&lt;=140, "121 - R$140", W1241&lt;=160, "141- R$160", W1241&lt;=180, "161 - R$180", W1241&lt;=200, "181-R$194")</f>
        <v>até R$20</v>
      </c>
      <c r="Y1241" s="17">
        <v>66</v>
      </c>
      <c r="Z1241" s="17">
        <v>43</v>
      </c>
      <c r="AA1241" s="17">
        <v>8</v>
      </c>
      <c r="AB1241" s="17">
        <v>4</v>
      </c>
      <c r="AC1241" s="17">
        <v>3</v>
      </c>
      <c r="AD1241" s="17">
        <v>4</v>
      </c>
      <c r="AE1241" s="17">
        <v>1</v>
      </c>
      <c r="AF1241" s="17">
        <v>5</v>
      </c>
      <c r="AG1241" s="17">
        <v>7</v>
      </c>
      <c r="AH1241" s="17">
        <v>0</v>
      </c>
      <c r="AI1241" s="17">
        <v>0</v>
      </c>
      <c r="AJ1241" s="17">
        <v>0</v>
      </c>
      <c r="AK1241" s="17">
        <v>0</v>
      </c>
      <c r="AL1241" s="17">
        <v>0</v>
      </c>
      <c r="AM1241" s="17">
        <v>0</v>
      </c>
      <c r="AN1241" s="17">
        <v>0</v>
      </c>
      <c r="AO1241" s="18">
        <v>0</v>
      </c>
      <c r="AP1241" s="17">
        <v>3</v>
      </c>
      <c r="AQ1241" s="17">
        <v>11</v>
      </c>
      <c r="AR1241" s="19">
        <v>225</v>
      </c>
      <c r="AS1241" s="19">
        <v>229</v>
      </c>
    </row>
    <row r="1242" spans="1:45" x14ac:dyDescent="0.25">
      <c r="A1242">
        <v>1651</v>
      </c>
      <c r="B1242" s="11">
        <f t="shared" si="19"/>
        <v>27573</v>
      </c>
      <c r="C1242" s="16">
        <v>275730</v>
      </c>
      <c r="D1242" s="17">
        <v>1</v>
      </c>
      <c r="E1242" s="17">
        <v>0</v>
      </c>
      <c r="F1242" s="17">
        <v>45</v>
      </c>
      <c r="G1242" s="17">
        <v>45</v>
      </c>
      <c r="H1242" s="13" t="str" cm="1">
        <f t="array" ref="H1242">_xlfn.IFS(G1242&lt;=20,"0-20",G1242&lt;=30,"20-30",G1242&lt;=40,"30-40",G1242&lt;=50,"50-60",G1242&lt;=60,"60-70",G1242&lt;=70,"70-80",G1242&lt;=80,"80-90")</f>
        <v>50-60</v>
      </c>
      <c r="I1242" s="17">
        <v>2620</v>
      </c>
      <c r="J1242" s="13" t="str" cm="1">
        <f t="array" ref="J1242">_xlfn.IFS(K1242=1,"Divorciado",L1242=1,"Casado",M1242=1,"Solteiro",N1242=1,"Juntos",O1242=1,"Viuvo")</f>
        <v>Casado</v>
      </c>
      <c r="K1242" s="17">
        <v>0</v>
      </c>
      <c r="L1242" s="17">
        <v>1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1</v>
      </c>
      <c r="S1242" s="17">
        <v>0</v>
      </c>
      <c r="T1242" s="17">
        <v>0</v>
      </c>
      <c r="U1242" s="17">
        <v>50</v>
      </c>
      <c r="V1242" s="13" t="str" cm="1">
        <f t="array" ref="V1242">_xlfn.IFS(U1242&lt;=250,"0-R$250",U1242&lt;=500,"251-R$500",U1242&lt;=750,"501-R$750",U1242&lt;=1000,"751-R$1000",U1242&lt;=1250,"1001-R$1250",U1242&lt;=1500,"1251-R$1500")</f>
        <v>0-R$250</v>
      </c>
      <c r="W1242" s="17">
        <v>15</v>
      </c>
      <c r="X1242" s="13" t="str" cm="1">
        <f t="array" ref="X1242">_xlfn.IFS(W1242 = 0, "0", W1242&lt;=20, "até R$20",W1242&lt;=40, "21 - R$40",W1242&lt;=60, "41- R$60",W1242&lt;=80, "61 - R$80", W1242&lt;=100, "81 - R$100",W1242&lt;=120, "101 - R$120",W1242&lt;=140, "121 - R$140", W1242&lt;=160, "141- R$160", W1242&lt;=180, "161 - R$180", W1242&lt;=200, "181-R$194")</f>
        <v>até R$20</v>
      </c>
      <c r="Y1242" s="17">
        <v>110</v>
      </c>
      <c r="Z1242" s="17">
        <v>39</v>
      </c>
      <c r="AA1242" s="17">
        <v>15</v>
      </c>
      <c r="AB1242" s="17">
        <v>15</v>
      </c>
      <c r="AC1242" s="17">
        <v>4</v>
      </c>
      <c r="AD1242" s="17">
        <v>5</v>
      </c>
      <c r="AE1242" s="17">
        <v>1</v>
      </c>
      <c r="AF1242" s="17">
        <v>4</v>
      </c>
      <c r="AG1242" s="17">
        <v>8</v>
      </c>
      <c r="AH1242" s="17">
        <v>0</v>
      </c>
      <c r="AI1242" s="17">
        <v>0</v>
      </c>
      <c r="AJ1242" s="17">
        <v>0</v>
      </c>
      <c r="AK1242" s="17">
        <v>0</v>
      </c>
      <c r="AL1242" s="17">
        <v>0</v>
      </c>
      <c r="AM1242" s="17">
        <v>0</v>
      </c>
      <c r="AN1242" s="17">
        <v>0</v>
      </c>
      <c r="AO1242" s="18">
        <v>0</v>
      </c>
      <c r="AP1242" s="17">
        <v>3</v>
      </c>
      <c r="AQ1242" s="17">
        <v>11</v>
      </c>
      <c r="AR1242" s="19">
        <v>214</v>
      </c>
      <c r="AS1242" s="19">
        <v>229</v>
      </c>
    </row>
    <row r="1243" spans="1:45" x14ac:dyDescent="0.25">
      <c r="A1243">
        <v>594</v>
      </c>
      <c r="B1243" s="11">
        <f t="shared" si="19"/>
        <v>26877</v>
      </c>
      <c r="C1243" s="12">
        <v>268770</v>
      </c>
      <c r="D1243" s="13">
        <v>0</v>
      </c>
      <c r="E1243" s="13">
        <v>0</v>
      </c>
      <c r="F1243" s="13">
        <v>74</v>
      </c>
      <c r="G1243" s="13">
        <v>51</v>
      </c>
      <c r="H1243" s="13" t="str" cm="1">
        <f t="array" ref="H1243">_xlfn.IFS(G1243&lt;=20,"0-20",G1243&lt;=30,"20-30",G1243&lt;=40,"30-40",G1243&lt;=50,"50-60",G1243&lt;=60,"60-70",G1243&lt;=70,"70-80",G1243&lt;=80,"80-90")</f>
        <v>60-70</v>
      </c>
      <c r="I1243" s="13">
        <v>2473</v>
      </c>
      <c r="J1243" s="13" t="str" cm="1">
        <f t="array" ref="J1243">_xlfn.IFS(K1243=1,"Divorciado",L1243=1,"Casado",M1243=1,"Solteiro",N1243=1,"Juntos",O1243=1,"Viuvo")</f>
        <v>Solteiro</v>
      </c>
      <c r="K1243" s="13">
        <v>0</v>
      </c>
      <c r="L1243" s="13">
        <v>0</v>
      </c>
      <c r="M1243" s="13">
        <v>1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1</v>
      </c>
      <c r="T1243" s="13">
        <v>0</v>
      </c>
      <c r="U1243" s="13">
        <v>101</v>
      </c>
      <c r="V1243" s="13" t="str" cm="1">
        <f t="array" ref="V1243">_xlfn.IFS(U1243&lt;=250,"0-R$250",U1243&lt;=500,"251-R$500",U1243&lt;=750,"501-R$750",U1243&lt;=1000,"751-R$1000",U1243&lt;=1250,"1001-R$1250",U1243&lt;=1500,"1251-R$1500")</f>
        <v>0-R$250</v>
      </c>
      <c r="W1243" s="13">
        <v>13</v>
      </c>
      <c r="X1243" s="13" t="str" cm="1">
        <f t="array" ref="X1243">_xlfn.IFS(W1243 = 0, "0", W1243&lt;=20, "até R$20",W1243&lt;=40, "21 - R$40",W1243&lt;=60, "41- R$60",W1243&lt;=80, "61 - R$80", W1243&lt;=100, "81 - R$100",W1243&lt;=120, "101 - R$120",W1243&lt;=140, "121 - R$140", W1243&lt;=160, "141- R$160", W1243&lt;=180, "161 - R$180", W1243&lt;=200, "181-R$194")</f>
        <v>até R$20</v>
      </c>
      <c r="Y1243" s="13">
        <v>76</v>
      </c>
      <c r="Z1243" s="13">
        <v>20</v>
      </c>
      <c r="AA1243" s="13">
        <v>18</v>
      </c>
      <c r="AB1243" s="13">
        <v>40</v>
      </c>
      <c r="AC1243" s="13">
        <v>2</v>
      </c>
      <c r="AD1243" s="13">
        <v>3</v>
      </c>
      <c r="AE1243" s="13">
        <v>1</v>
      </c>
      <c r="AF1243" s="13">
        <v>6</v>
      </c>
      <c r="AG1243" s="13">
        <v>6</v>
      </c>
      <c r="AH1243" s="13">
        <v>0</v>
      </c>
      <c r="AI1243" s="13">
        <v>0</v>
      </c>
      <c r="AJ1243" s="13">
        <v>0</v>
      </c>
      <c r="AK1243" s="13">
        <v>0</v>
      </c>
      <c r="AL1243" s="13">
        <v>0</v>
      </c>
      <c r="AM1243" s="13">
        <v>0</v>
      </c>
      <c r="AN1243" s="13">
        <v>0</v>
      </c>
      <c r="AO1243" s="14">
        <v>0</v>
      </c>
      <c r="AP1243" s="13">
        <v>3</v>
      </c>
      <c r="AQ1243" s="13">
        <v>11</v>
      </c>
      <c r="AR1243" s="15">
        <v>188</v>
      </c>
      <c r="AS1243" s="15">
        <v>228</v>
      </c>
    </row>
    <row r="1244" spans="1:45" x14ac:dyDescent="0.25">
      <c r="A1244">
        <v>296</v>
      </c>
      <c r="B1244" s="11">
        <f t="shared" si="19"/>
        <v>42670</v>
      </c>
      <c r="C1244" s="12">
        <v>426700</v>
      </c>
      <c r="D1244" s="13">
        <v>0</v>
      </c>
      <c r="E1244" s="13">
        <v>0</v>
      </c>
      <c r="F1244" s="13">
        <v>12</v>
      </c>
      <c r="G1244" s="13">
        <v>28</v>
      </c>
      <c r="H1244" s="13" t="str" cm="1">
        <f t="array" ref="H1244">_xlfn.IFS(G1244&lt;=20,"0-20",G1244&lt;=30,"20-30",G1244&lt;=40,"30-40",G1244&lt;=50,"50-60",G1244&lt;=60,"60-70",G1244&lt;=70,"70-80",G1244&lt;=80,"80-90")</f>
        <v>20-30</v>
      </c>
      <c r="I1244" s="13">
        <v>2587</v>
      </c>
      <c r="J1244" s="13" t="str" cm="1">
        <f t="array" ref="J1244">_xlfn.IFS(K1244=1,"Divorciado",L1244=1,"Casado",M1244=1,"Solteiro",N1244=1,"Juntos",O1244=1,"Viuvo")</f>
        <v>Juntos</v>
      </c>
      <c r="K1244" s="13">
        <v>0</v>
      </c>
      <c r="L1244" s="13">
        <v>0</v>
      </c>
      <c r="M1244" s="13">
        <v>0</v>
      </c>
      <c r="N1244" s="13">
        <v>1</v>
      </c>
      <c r="O1244" s="13">
        <v>0</v>
      </c>
      <c r="P1244" s="13">
        <v>0</v>
      </c>
      <c r="Q1244" s="13">
        <v>0</v>
      </c>
      <c r="R1244" s="13">
        <v>0</v>
      </c>
      <c r="S1244" s="13">
        <v>1</v>
      </c>
      <c r="T1244" s="13">
        <v>0</v>
      </c>
      <c r="U1244" s="13">
        <v>154</v>
      </c>
      <c r="V1244" s="13" t="str" cm="1">
        <f t="array" ref="V1244">_xlfn.IFS(U1244&lt;=250,"0-R$250",U1244&lt;=500,"251-R$500",U1244&lt;=750,"501-R$750",U1244&lt;=1000,"751-R$1000",U1244&lt;=1250,"1001-R$1250",U1244&lt;=1500,"1251-R$1500")</f>
        <v>0-R$250</v>
      </c>
      <c r="W1244" s="13">
        <v>2</v>
      </c>
      <c r="X1244" s="13" t="str" cm="1">
        <f t="array" ref="X1244">_xlfn.IFS(W1244 = 0, "0", W1244&lt;=20, "até R$20",W1244&lt;=40, "21 - R$40",W1244&lt;=60, "41- R$60",W1244&lt;=80, "61 - R$80", W1244&lt;=100, "81 - R$100",W1244&lt;=120, "101 - R$120",W1244&lt;=140, "121 - R$140", W1244&lt;=160, "141- R$160", W1244&lt;=180, "161 - R$180", W1244&lt;=200, "181-R$194")</f>
        <v>até R$20</v>
      </c>
      <c r="Y1244" s="13">
        <v>46</v>
      </c>
      <c r="Z1244" s="13">
        <v>20</v>
      </c>
      <c r="AA1244" s="13">
        <v>4</v>
      </c>
      <c r="AB1244" s="13">
        <v>15</v>
      </c>
      <c r="AC1244" s="13">
        <v>1</v>
      </c>
      <c r="AD1244" s="13">
        <v>4</v>
      </c>
      <c r="AE1244" s="13">
        <v>2</v>
      </c>
      <c r="AF1244" s="13">
        <v>4</v>
      </c>
      <c r="AG1244" s="13">
        <v>4</v>
      </c>
      <c r="AH1244" s="13">
        <v>0</v>
      </c>
      <c r="AI1244" s="13">
        <v>0</v>
      </c>
      <c r="AJ1244" s="13">
        <v>0</v>
      </c>
      <c r="AK1244" s="13">
        <v>0</v>
      </c>
      <c r="AL1244" s="13">
        <v>0</v>
      </c>
      <c r="AM1244" s="13">
        <v>0</v>
      </c>
      <c r="AN1244" s="13">
        <v>0</v>
      </c>
      <c r="AO1244" s="14">
        <v>0</v>
      </c>
      <c r="AP1244" s="13">
        <v>3</v>
      </c>
      <c r="AQ1244" s="13">
        <v>11</v>
      </c>
      <c r="AR1244" s="15">
        <v>211</v>
      </c>
      <c r="AS1244" s="15">
        <v>226</v>
      </c>
    </row>
    <row r="1245" spans="1:45" x14ac:dyDescent="0.25">
      <c r="A1245">
        <v>522</v>
      </c>
      <c r="B1245" s="11">
        <f t="shared" si="19"/>
        <v>57247</v>
      </c>
      <c r="C1245" s="12">
        <v>572470</v>
      </c>
      <c r="D1245" s="13">
        <v>0</v>
      </c>
      <c r="E1245" s="13">
        <v>1</v>
      </c>
      <c r="F1245" s="13">
        <v>50</v>
      </c>
      <c r="G1245" s="13">
        <v>68</v>
      </c>
      <c r="H1245" s="13" t="str" cm="1">
        <f t="array" ref="H1245">_xlfn.IFS(G1245&lt;=20,"0-20",G1245&lt;=30,"20-30",G1245&lt;=40,"30-40",G1245&lt;=50,"50-60",G1245&lt;=60,"60-70",G1245&lt;=70,"70-80",G1245&lt;=80,"80-90")</f>
        <v>70-80</v>
      </c>
      <c r="I1245" s="13">
        <v>2484</v>
      </c>
      <c r="J1245" s="13" t="str" cm="1">
        <f t="array" ref="J1245">_xlfn.IFS(K1245=1,"Divorciado",L1245=1,"Casado",M1245=1,"Solteiro",N1245=1,"Juntos",O1245=1,"Viuvo")</f>
        <v>Juntos</v>
      </c>
      <c r="K1245" s="13">
        <v>0</v>
      </c>
      <c r="L1245" s="13">
        <v>0</v>
      </c>
      <c r="M1245" s="13">
        <v>0</v>
      </c>
      <c r="N1245" s="13">
        <v>1</v>
      </c>
      <c r="O1245" s="13">
        <v>0</v>
      </c>
      <c r="P1245" s="13">
        <v>1</v>
      </c>
      <c r="Q1245" s="13">
        <v>0</v>
      </c>
      <c r="R1245" s="13">
        <v>0</v>
      </c>
      <c r="S1245" s="13">
        <v>0</v>
      </c>
      <c r="T1245" s="13">
        <v>0</v>
      </c>
      <c r="U1245" s="13">
        <v>99</v>
      </c>
      <c r="V1245" s="13" t="str" cm="1">
        <f t="array" ref="V1245">_xlfn.IFS(U1245&lt;=250,"0-R$250",U1245&lt;=500,"251-R$500",U1245&lt;=750,"501-R$750",U1245&lt;=1000,"751-R$1000",U1245&lt;=1250,"1001-R$1250",U1245&lt;=1500,"1251-R$1500")</f>
        <v>0-R$250</v>
      </c>
      <c r="W1245" s="13">
        <v>4</v>
      </c>
      <c r="X1245" s="13" t="str" cm="1">
        <f t="array" ref="X1245">_xlfn.IFS(W1245 = 0, "0", W1245&lt;=20, "até R$20",W1245&lt;=40, "21 - R$40",W1245&lt;=60, "41- R$60",W1245&lt;=80, "61 - R$80", W1245&lt;=100, "81 - R$100",W1245&lt;=120, "101 - R$120",W1245&lt;=140, "121 - R$140", W1245&lt;=160, "141- R$160", W1245&lt;=180, "161 - R$180", W1245&lt;=200, "181-R$194")</f>
        <v>até R$20</v>
      </c>
      <c r="Y1245" s="13">
        <v>32</v>
      </c>
      <c r="Z1245" s="13">
        <v>37</v>
      </c>
      <c r="AA1245" s="13">
        <v>54</v>
      </c>
      <c r="AB1245" s="13">
        <v>6</v>
      </c>
      <c r="AC1245" s="13">
        <v>2</v>
      </c>
      <c r="AD1245" s="13">
        <v>2</v>
      </c>
      <c r="AE1245" s="13">
        <v>1</v>
      </c>
      <c r="AF1245" s="13">
        <v>7</v>
      </c>
      <c r="AG1245" s="13">
        <v>2</v>
      </c>
      <c r="AH1245" s="13">
        <v>0</v>
      </c>
      <c r="AI1245" s="13">
        <v>0</v>
      </c>
      <c r="AJ1245" s="13">
        <v>0</v>
      </c>
      <c r="AK1245" s="13">
        <v>0</v>
      </c>
      <c r="AL1245" s="13">
        <v>0</v>
      </c>
      <c r="AM1245" s="13">
        <v>0</v>
      </c>
      <c r="AN1245" s="13">
        <v>0</v>
      </c>
      <c r="AO1245" s="14">
        <v>0</v>
      </c>
      <c r="AP1245" s="13">
        <v>3</v>
      </c>
      <c r="AQ1245" s="13">
        <v>11</v>
      </c>
      <c r="AR1245" s="15">
        <v>220</v>
      </c>
      <c r="AS1245" s="15">
        <v>226</v>
      </c>
    </row>
    <row r="1246" spans="1:45" x14ac:dyDescent="0.25">
      <c r="A1246">
        <v>539</v>
      </c>
      <c r="B1246" s="11">
        <f t="shared" si="19"/>
        <v>43462</v>
      </c>
      <c r="C1246" s="16">
        <v>434620</v>
      </c>
      <c r="D1246" s="17">
        <v>1</v>
      </c>
      <c r="E1246" s="17">
        <v>1</v>
      </c>
      <c r="F1246" s="17">
        <v>50</v>
      </c>
      <c r="G1246" s="17">
        <v>68</v>
      </c>
      <c r="H1246" s="13" t="str" cm="1">
        <f t="array" ref="H1246">_xlfn.IFS(G1246&lt;=20,"0-20",G1246&lt;=30,"20-30",G1246&lt;=40,"30-40",G1246&lt;=50,"50-60",G1246&lt;=60,"60-70",G1246&lt;=70,"70-80",G1246&lt;=80,"80-90")</f>
        <v>70-80</v>
      </c>
      <c r="I1246" s="17">
        <v>2814</v>
      </c>
      <c r="J1246" s="13" t="str" cm="1">
        <f t="array" ref="J1246">_xlfn.IFS(K1246=1,"Divorciado",L1246=1,"Casado",M1246=1,"Solteiro",N1246=1,"Juntos",O1246=1,"Viuvo")</f>
        <v>Juntos</v>
      </c>
      <c r="K1246" s="17">
        <v>0</v>
      </c>
      <c r="L1246" s="17">
        <v>0</v>
      </c>
      <c r="M1246" s="17">
        <v>0</v>
      </c>
      <c r="N1246" s="17">
        <v>1</v>
      </c>
      <c r="O1246" s="17">
        <v>0</v>
      </c>
      <c r="P1246" s="17">
        <v>0</v>
      </c>
      <c r="Q1246" s="17">
        <v>0</v>
      </c>
      <c r="R1246" s="17">
        <v>1</v>
      </c>
      <c r="S1246" s="17">
        <v>0</v>
      </c>
      <c r="T1246" s="17">
        <v>0</v>
      </c>
      <c r="U1246" s="17">
        <v>90</v>
      </c>
      <c r="V1246" s="13" t="str" cm="1">
        <f t="array" ref="V1246">_xlfn.IFS(U1246&lt;=250,"0-R$250",U1246&lt;=500,"251-R$500",U1246&lt;=750,"501-R$750",U1246&lt;=1000,"751-R$1000",U1246&lt;=1250,"1001-R$1250",U1246&lt;=1500,"1251-R$1500")</f>
        <v>0-R$250</v>
      </c>
      <c r="W1246" s="17">
        <v>17</v>
      </c>
      <c r="X1246" s="13" t="str" cm="1">
        <f t="array" ref="X1246">_xlfn.IFS(W1246 = 0, "0", W1246&lt;=20, "até R$20",W1246&lt;=40, "21 - R$40",W1246&lt;=60, "41- R$60",W1246&lt;=80, "61 - R$80", W1246&lt;=100, "81 - R$100",W1246&lt;=120, "101 - R$120",W1246&lt;=140, "121 - R$140", W1246&lt;=160, "141- R$160", W1246&lt;=180, "161 - R$180", W1246&lt;=200, "181-R$194")</f>
        <v>até R$20</v>
      </c>
      <c r="Y1246" s="17">
        <v>97</v>
      </c>
      <c r="Z1246" s="17">
        <v>15</v>
      </c>
      <c r="AA1246" s="17">
        <v>6</v>
      </c>
      <c r="AB1246" s="17">
        <v>15</v>
      </c>
      <c r="AC1246" s="17">
        <v>6</v>
      </c>
      <c r="AD1246" s="17">
        <v>4</v>
      </c>
      <c r="AE1246" s="17">
        <v>1</v>
      </c>
      <c r="AF1246" s="17">
        <v>5</v>
      </c>
      <c r="AG1246" s="17">
        <v>8</v>
      </c>
      <c r="AH1246" s="17">
        <v>0</v>
      </c>
      <c r="AI1246" s="17">
        <v>0</v>
      </c>
      <c r="AJ1246" s="17">
        <v>0</v>
      </c>
      <c r="AK1246" s="17">
        <v>0</v>
      </c>
      <c r="AL1246" s="17">
        <v>0</v>
      </c>
      <c r="AM1246" s="17">
        <v>0</v>
      </c>
      <c r="AN1246" s="17">
        <v>0</v>
      </c>
      <c r="AO1246" s="18">
        <v>0</v>
      </c>
      <c r="AP1246" s="17">
        <v>3</v>
      </c>
      <c r="AQ1246" s="17">
        <v>11</v>
      </c>
      <c r="AR1246" s="19">
        <v>210</v>
      </c>
      <c r="AS1246" s="19">
        <v>225</v>
      </c>
    </row>
    <row r="1247" spans="1:45" x14ac:dyDescent="0.25">
      <c r="A1247">
        <v>549</v>
      </c>
      <c r="B1247" s="11">
        <f t="shared" si="19"/>
        <v>52157</v>
      </c>
      <c r="C1247" s="16">
        <v>521570</v>
      </c>
      <c r="D1247" s="17">
        <v>0</v>
      </c>
      <c r="E1247" s="17">
        <v>1</v>
      </c>
      <c r="F1247" s="17">
        <v>48</v>
      </c>
      <c r="G1247" s="17">
        <v>70</v>
      </c>
      <c r="H1247" s="13" t="str" cm="1">
        <f t="array" ref="H1247">_xlfn.IFS(G1247&lt;=20,"0-20",G1247&lt;=30,"20-30",G1247&lt;=40,"30-40",G1247&lt;=50,"50-60",G1247&lt;=60,"60-70",G1247&lt;=70,"70-80",G1247&lt;=80,"80-90")</f>
        <v>70-80</v>
      </c>
      <c r="I1247" s="17">
        <v>2181</v>
      </c>
      <c r="J1247" s="13" t="str" cm="1">
        <f t="array" ref="J1247">_xlfn.IFS(K1247=1,"Divorciado",L1247=1,"Casado",M1247=1,"Solteiro",N1247=1,"Juntos",O1247=1,"Viuvo")</f>
        <v>Juntos</v>
      </c>
      <c r="K1247" s="17">
        <v>0</v>
      </c>
      <c r="L1247" s="17">
        <v>0</v>
      </c>
      <c r="M1247" s="17">
        <v>0</v>
      </c>
      <c r="N1247" s="17">
        <v>1</v>
      </c>
      <c r="O1247" s="17">
        <v>0</v>
      </c>
      <c r="P1247" s="17">
        <v>0</v>
      </c>
      <c r="Q1247" s="17">
        <v>0</v>
      </c>
      <c r="R1247" s="17">
        <v>0</v>
      </c>
      <c r="S1247" s="17">
        <v>0</v>
      </c>
      <c r="T1247" s="17">
        <v>1</v>
      </c>
      <c r="U1247" s="17">
        <v>189</v>
      </c>
      <c r="V1247" s="13" t="str" cm="1">
        <f t="array" ref="V1247">_xlfn.IFS(U1247&lt;=250,"0-R$250",U1247&lt;=500,"251-R$500",U1247&lt;=750,"501-R$750",U1247&lt;=1000,"751-R$1000",U1247&lt;=1250,"1001-R$1250",U1247&lt;=1500,"1251-R$1500")</f>
        <v>0-R$250</v>
      </c>
      <c r="W1247" s="17">
        <v>2</v>
      </c>
      <c r="X1247" s="13" t="str" cm="1">
        <f t="array" ref="X1247">_xlfn.IFS(W1247 = 0, "0", W1247&lt;=20, "até R$20",W1247&lt;=40, "21 - R$40",W1247&lt;=60, "41- R$60",W1247&lt;=80, "61 - R$80", W1247&lt;=100, "81 - R$100",W1247&lt;=120, "101 - R$120",W1247&lt;=140, "121 - R$140", W1247&lt;=160, "141- R$160", W1247&lt;=180, "161 - R$180", W1247&lt;=200, "181-R$194")</f>
        <v>até R$20</v>
      </c>
      <c r="Y1247" s="17">
        <v>29</v>
      </c>
      <c r="Z1247" s="17">
        <v>3</v>
      </c>
      <c r="AA1247" s="17">
        <v>2</v>
      </c>
      <c r="AB1247" s="17">
        <v>40</v>
      </c>
      <c r="AC1247" s="17">
        <v>2</v>
      </c>
      <c r="AD1247" s="17">
        <v>3</v>
      </c>
      <c r="AE1247" s="17">
        <v>2</v>
      </c>
      <c r="AF1247" s="17">
        <v>5</v>
      </c>
      <c r="AG1247" s="17">
        <v>4</v>
      </c>
      <c r="AH1247" s="17">
        <v>0</v>
      </c>
      <c r="AI1247" s="17">
        <v>0</v>
      </c>
      <c r="AJ1247" s="17">
        <v>0</v>
      </c>
      <c r="AK1247" s="17">
        <v>0</v>
      </c>
      <c r="AL1247" s="17">
        <v>0</v>
      </c>
      <c r="AM1247" s="17">
        <v>0</v>
      </c>
      <c r="AN1247" s="17">
        <v>0</v>
      </c>
      <c r="AO1247" s="18">
        <v>0</v>
      </c>
      <c r="AP1247" s="17">
        <v>3</v>
      </c>
      <c r="AQ1247" s="17">
        <v>11</v>
      </c>
      <c r="AR1247" s="19">
        <v>185</v>
      </c>
      <c r="AS1247" s="19">
        <v>225</v>
      </c>
    </row>
    <row r="1248" spans="1:45" x14ac:dyDescent="0.25">
      <c r="A1248">
        <v>998</v>
      </c>
      <c r="B1248" s="11">
        <f t="shared" si="19"/>
        <v>54165</v>
      </c>
      <c r="C1248" s="12">
        <v>541650</v>
      </c>
      <c r="D1248" s="13">
        <v>0</v>
      </c>
      <c r="E1248" s="13">
        <v>0</v>
      </c>
      <c r="F1248" s="13">
        <v>72</v>
      </c>
      <c r="G1248" s="13">
        <v>51</v>
      </c>
      <c r="H1248" s="13" t="str" cm="1">
        <f t="array" ref="H1248">_xlfn.IFS(G1248&lt;=20,"0-20",G1248&lt;=30,"20-30",G1248&lt;=40,"30-40",G1248&lt;=50,"50-60",G1248&lt;=60,"60-70",G1248&lt;=70,"70-80",G1248&lt;=80,"80-90")</f>
        <v>60-70</v>
      </c>
      <c r="I1248" s="13">
        <v>2556</v>
      </c>
      <c r="J1248" s="13" t="str" cm="1">
        <f t="array" ref="J1248">_xlfn.IFS(K1248=1,"Divorciado",L1248=1,"Casado",M1248=1,"Solteiro",N1248=1,"Juntos",O1248=1,"Viuvo")</f>
        <v>Juntos</v>
      </c>
      <c r="K1248" s="13">
        <v>0</v>
      </c>
      <c r="L1248" s="13">
        <v>0</v>
      </c>
      <c r="M1248" s="13">
        <v>0</v>
      </c>
      <c r="N1248" s="13">
        <v>1</v>
      </c>
      <c r="O1248" s="13">
        <v>0</v>
      </c>
      <c r="P1248" s="13">
        <v>0</v>
      </c>
      <c r="Q1248" s="13">
        <v>0</v>
      </c>
      <c r="R1248" s="13">
        <v>1</v>
      </c>
      <c r="S1248" s="13">
        <v>0</v>
      </c>
      <c r="T1248" s="13">
        <v>0</v>
      </c>
      <c r="U1248" s="13">
        <v>127</v>
      </c>
      <c r="V1248" s="13" t="str" cm="1">
        <f t="array" ref="V1248">_xlfn.IFS(U1248&lt;=250,"0-R$250",U1248&lt;=500,"251-R$500",U1248&lt;=750,"501-R$750",U1248&lt;=1000,"751-R$1000",U1248&lt;=1250,"1001-R$1250",U1248&lt;=1500,"1251-R$1500")</f>
        <v>0-R$250</v>
      </c>
      <c r="W1248" s="13">
        <v>4</v>
      </c>
      <c r="X1248" s="13" t="str" cm="1">
        <f t="array" ref="X1248">_xlfn.IFS(W1248 = 0, "0", W1248&lt;=20, "até R$20",W1248&lt;=40, "21 - R$40",W1248&lt;=60, "41- R$60",W1248&lt;=80, "61 - R$80", W1248&lt;=100, "81 - R$100",W1248&lt;=120, "101 - R$120",W1248&lt;=140, "121 - R$140", W1248&lt;=160, "141- R$160", W1248&lt;=180, "161 - R$180", W1248&lt;=200, "181-R$194")</f>
        <v>até R$20</v>
      </c>
      <c r="Y1248" s="13">
        <v>73</v>
      </c>
      <c r="Z1248" s="13">
        <v>15</v>
      </c>
      <c r="AA1248" s="13">
        <v>6</v>
      </c>
      <c r="AB1248" s="13">
        <v>11</v>
      </c>
      <c r="AC1248" s="13">
        <v>1</v>
      </c>
      <c r="AD1248" s="13">
        <v>2</v>
      </c>
      <c r="AE1248" s="13">
        <v>1</v>
      </c>
      <c r="AF1248" s="13">
        <v>7</v>
      </c>
      <c r="AG1248" s="13">
        <v>2</v>
      </c>
      <c r="AH1248" s="13">
        <v>0</v>
      </c>
      <c r="AI1248" s="13">
        <v>0</v>
      </c>
      <c r="AJ1248" s="13">
        <v>0</v>
      </c>
      <c r="AK1248" s="13">
        <v>0</v>
      </c>
      <c r="AL1248" s="13">
        <v>0</v>
      </c>
      <c r="AM1248" s="13">
        <v>0</v>
      </c>
      <c r="AN1248" s="13">
        <v>0</v>
      </c>
      <c r="AO1248" s="14">
        <v>0</v>
      </c>
      <c r="AP1248" s="13">
        <v>3</v>
      </c>
      <c r="AQ1248" s="13">
        <v>11</v>
      </c>
      <c r="AR1248" s="15">
        <v>214</v>
      </c>
      <c r="AS1248" s="15">
        <v>225</v>
      </c>
    </row>
    <row r="1249" spans="1:45" x14ac:dyDescent="0.25">
      <c r="A1249">
        <v>466</v>
      </c>
      <c r="B1249" s="11">
        <f t="shared" si="19"/>
        <v>32233</v>
      </c>
      <c r="C1249" s="12">
        <v>322330</v>
      </c>
      <c r="D1249" s="13">
        <v>1</v>
      </c>
      <c r="E1249" s="13">
        <v>0</v>
      </c>
      <c r="F1249" s="13">
        <v>26</v>
      </c>
      <c r="G1249" s="13">
        <v>46</v>
      </c>
      <c r="H1249" s="13" t="str" cm="1">
        <f t="array" ref="H1249">_xlfn.IFS(G1249&lt;=20,"0-20",G1249&lt;=30,"20-30",G1249&lt;=40,"30-40",G1249&lt;=50,"50-60",G1249&lt;=60,"60-70",G1249&lt;=70,"70-80",G1249&lt;=80,"80-90")</f>
        <v>50-60</v>
      </c>
      <c r="I1249" s="13">
        <v>2838</v>
      </c>
      <c r="J1249" s="13" t="str" cm="1">
        <f t="array" ref="J1249">_xlfn.IFS(K1249=1,"Divorciado",L1249=1,"Casado",M1249=1,"Solteiro",N1249=1,"Juntos",O1249=1,"Viuvo")</f>
        <v>Solteiro</v>
      </c>
      <c r="K1249" s="13">
        <v>0</v>
      </c>
      <c r="L1249" s="13">
        <v>0</v>
      </c>
      <c r="M1249" s="13">
        <v>1</v>
      </c>
      <c r="N1249" s="13">
        <v>0</v>
      </c>
      <c r="O1249" s="13">
        <v>0</v>
      </c>
      <c r="P1249" s="13">
        <v>0</v>
      </c>
      <c r="Q1249" s="13">
        <v>0</v>
      </c>
      <c r="R1249" s="13">
        <v>1</v>
      </c>
      <c r="S1249" s="13">
        <v>0</v>
      </c>
      <c r="T1249" s="13">
        <v>0</v>
      </c>
      <c r="U1249" s="13">
        <v>138</v>
      </c>
      <c r="V1249" s="13" t="str" cm="1">
        <f t="array" ref="V1249">_xlfn.IFS(U1249&lt;=250,"0-R$250",U1249&lt;=500,"251-R$500",U1249&lt;=750,"501-R$750",U1249&lt;=1000,"751-R$1000",U1249&lt;=1250,"1001-R$1250",U1249&lt;=1500,"1251-R$1500")</f>
        <v>0-R$250</v>
      </c>
      <c r="W1249" s="13">
        <v>15</v>
      </c>
      <c r="X1249" s="13" t="str" cm="1">
        <f t="array" ref="X1249">_xlfn.IFS(W1249 = 0, "0", W1249&lt;=20, "até R$20",W1249&lt;=40, "21 - R$40",W1249&lt;=60, "41- R$60",W1249&lt;=80, "61 - R$80", W1249&lt;=100, "81 - R$100",W1249&lt;=120, "101 - R$120",W1249&lt;=140, "121 - R$140", W1249&lt;=160, "141- R$160", W1249&lt;=180, "161 - R$180", W1249&lt;=200, "181-R$194")</f>
        <v>até R$20</v>
      </c>
      <c r="Y1249" s="13">
        <v>35</v>
      </c>
      <c r="Z1249" s="13">
        <v>25</v>
      </c>
      <c r="AA1249" s="13">
        <v>11</v>
      </c>
      <c r="AB1249" s="13">
        <v>72</v>
      </c>
      <c r="AC1249" s="13">
        <v>2</v>
      </c>
      <c r="AD1249" s="13">
        <v>6</v>
      </c>
      <c r="AE1249" s="13">
        <v>2</v>
      </c>
      <c r="AF1249" s="13">
        <v>2</v>
      </c>
      <c r="AG1249" s="13">
        <v>9</v>
      </c>
      <c r="AH1249" s="13">
        <v>0</v>
      </c>
      <c r="AI1249" s="13">
        <v>1</v>
      </c>
      <c r="AJ1249" s="13">
        <v>0</v>
      </c>
      <c r="AK1249" s="13">
        <v>0</v>
      </c>
      <c r="AL1249" s="13">
        <v>0</v>
      </c>
      <c r="AM1249" s="13">
        <v>0</v>
      </c>
      <c r="AN1249" s="13">
        <v>1</v>
      </c>
      <c r="AO1249" s="14">
        <v>1</v>
      </c>
      <c r="AP1249" s="13">
        <v>3</v>
      </c>
      <c r="AQ1249" s="13">
        <v>11</v>
      </c>
      <c r="AR1249" s="15">
        <v>152</v>
      </c>
      <c r="AS1249" s="15">
        <v>224</v>
      </c>
    </row>
    <row r="1250" spans="1:45" x14ac:dyDescent="0.25">
      <c r="A1250">
        <v>628</v>
      </c>
      <c r="B1250" s="11">
        <f t="shared" si="19"/>
        <v>46463</v>
      </c>
      <c r="C1250" s="12">
        <v>464630</v>
      </c>
      <c r="D1250" s="13">
        <v>1</v>
      </c>
      <c r="E1250" s="13">
        <v>1</v>
      </c>
      <c r="F1250" s="13">
        <v>56</v>
      </c>
      <c r="G1250" s="13">
        <v>49</v>
      </c>
      <c r="H1250" s="13" t="str" cm="1">
        <f t="array" ref="H1250">_xlfn.IFS(G1250&lt;=20,"0-20",G1250&lt;=30,"20-30",G1250&lt;=40,"30-40",G1250&lt;=50,"50-60",G1250&lt;=60,"60-70",G1250&lt;=70,"70-80",G1250&lt;=80,"80-90")</f>
        <v>50-60</v>
      </c>
      <c r="I1250" s="13">
        <v>2474</v>
      </c>
      <c r="J1250" s="13" t="str" cm="1">
        <f t="array" ref="J1250">_xlfn.IFS(K1250=1,"Divorciado",L1250=1,"Casado",M1250=1,"Solteiro",N1250=1,"Juntos",O1250=1,"Viuvo")</f>
        <v>Casado</v>
      </c>
      <c r="K1250" s="13">
        <v>0</v>
      </c>
      <c r="L1250" s="13">
        <v>1</v>
      </c>
      <c r="M1250" s="13">
        <v>0</v>
      </c>
      <c r="N1250" s="13">
        <v>0</v>
      </c>
      <c r="O1250" s="13">
        <v>0</v>
      </c>
      <c r="P1250" s="13">
        <v>0</v>
      </c>
      <c r="Q1250" s="13">
        <v>0</v>
      </c>
      <c r="R1250" s="13">
        <v>0</v>
      </c>
      <c r="S1250" s="13">
        <v>0</v>
      </c>
      <c r="T1250" s="13">
        <v>1</v>
      </c>
      <c r="U1250" s="13">
        <v>163</v>
      </c>
      <c r="V1250" s="13" t="str" cm="1">
        <f t="array" ref="V1250">_xlfn.IFS(U1250&lt;=250,"0-R$250",U1250&lt;=500,"251-R$500",U1250&lt;=750,"501-R$750",U1250&lt;=1000,"751-R$1000",U1250&lt;=1250,"1001-R$1250",U1250&lt;=1500,"1251-R$1500")</f>
        <v>0-R$250</v>
      </c>
      <c r="W1250" s="13">
        <v>2</v>
      </c>
      <c r="X1250" s="13" t="str" cm="1">
        <f t="array" ref="X1250">_xlfn.IFS(W1250 = 0, "0", W1250&lt;=20, "até R$20",W1250&lt;=40, "21 - R$40",W1250&lt;=60, "41- R$60",W1250&lt;=80, "61 - R$80", W1250&lt;=100, "81 - R$100",W1250&lt;=120, "101 - R$120",W1250&lt;=140, "121 - R$140", W1250&lt;=160, "141- R$160", W1250&lt;=180, "161 - R$180", W1250&lt;=200, "181-R$194")</f>
        <v>até R$20</v>
      </c>
      <c r="Y1250" s="13">
        <v>40</v>
      </c>
      <c r="Z1250" s="13">
        <v>8</v>
      </c>
      <c r="AA1250" s="13">
        <v>11</v>
      </c>
      <c r="AB1250" s="13">
        <v>11</v>
      </c>
      <c r="AC1250" s="13">
        <v>7</v>
      </c>
      <c r="AD1250" s="13">
        <v>3</v>
      </c>
      <c r="AE1250" s="13">
        <v>1</v>
      </c>
      <c r="AF1250" s="13">
        <v>6</v>
      </c>
      <c r="AG1250" s="13">
        <v>6</v>
      </c>
      <c r="AH1250" s="13">
        <v>0</v>
      </c>
      <c r="AI1250" s="13">
        <v>0</v>
      </c>
      <c r="AJ1250" s="13">
        <v>0</v>
      </c>
      <c r="AK1250" s="13">
        <v>0</v>
      </c>
      <c r="AL1250" s="13">
        <v>0</v>
      </c>
      <c r="AM1250" s="13">
        <v>0</v>
      </c>
      <c r="AN1250" s="13">
        <v>0</v>
      </c>
      <c r="AO1250" s="14">
        <v>0</v>
      </c>
      <c r="AP1250" s="13">
        <v>3</v>
      </c>
      <c r="AQ1250" s="13">
        <v>11</v>
      </c>
      <c r="AR1250" s="15">
        <v>213</v>
      </c>
      <c r="AS1250" s="15">
        <v>224</v>
      </c>
    </row>
    <row r="1251" spans="1:45" x14ac:dyDescent="0.25">
      <c r="A1251">
        <v>1135</v>
      </c>
      <c r="B1251" s="11">
        <f t="shared" si="19"/>
        <v>54197</v>
      </c>
      <c r="C1251" s="16">
        <v>541970</v>
      </c>
      <c r="D1251" s="17">
        <v>0</v>
      </c>
      <c r="E1251" s="17">
        <v>1</v>
      </c>
      <c r="F1251" s="17">
        <v>16</v>
      </c>
      <c r="G1251" s="17">
        <v>60</v>
      </c>
      <c r="H1251" s="13" t="str" cm="1">
        <f t="array" ref="H1251">_xlfn.IFS(G1251&lt;=20,"0-20",G1251&lt;=30,"20-30",G1251&lt;=40,"30-40",G1251&lt;=50,"50-60",G1251&lt;=60,"60-70",G1251&lt;=70,"70-80",G1251&lt;=80,"80-90")</f>
        <v>60-70</v>
      </c>
      <c r="I1251" s="17">
        <v>2246</v>
      </c>
      <c r="J1251" s="13" t="str" cm="1">
        <f t="array" ref="J1251">_xlfn.IFS(K1251=1,"Divorciado",L1251=1,"Casado",M1251=1,"Solteiro",N1251=1,"Juntos",O1251=1,"Viuvo")</f>
        <v>Casado</v>
      </c>
      <c r="K1251" s="17">
        <v>0</v>
      </c>
      <c r="L1251" s="17">
        <v>1</v>
      </c>
      <c r="M1251" s="17">
        <v>0</v>
      </c>
      <c r="N1251" s="17">
        <v>0</v>
      </c>
      <c r="O1251" s="17">
        <v>0</v>
      </c>
      <c r="P1251" s="17">
        <v>0</v>
      </c>
      <c r="Q1251" s="17">
        <v>0</v>
      </c>
      <c r="R1251" s="17">
        <v>0</v>
      </c>
      <c r="S1251" s="17">
        <v>1</v>
      </c>
      <c r="T1251" s="17">
        <v>0</v>
      </c>
      <c r="U1251" s="17">
        <v>162</v>
      </c>
      <c r="V1251" s="13" t="str" cm="1">
        <f t="array" ref="V1251">_xlfn.IFS(U1251&lt;=250,"0-R$250",U1251&lt;=500,"251-R$500",U1251&lt;=750,"501-R$750",U1251&lt;=1000,"751-R$1000",U1251&lt;=1250,"1001-R$1250",U1251&lt;=1500,"1251-R$1500")</f>
        <v>0-R$250</v>
      </c>
      <c r="W1251" s="17">
        <v>6</v>
      </c>
      <c r="X1251" s="13" t="str" cm="1">
        <f t="array" ref="X1251">_xlfn.IFS(W1251 = 0, "0", W1251&lt;=20, "até R$20",W1251&lt;=40, "21 - R$40",W1251&lt;=60, "41- R$60",W1251&lt;=80, "61 - R$80", W1251&lt;=100, "81 - R$100",W1251&lt;=120, "101 - R$120",W1251&lt;=140, "121 - R$140", W1251&lt;=160, "141- R$160", W1251&lt;=180, "161 - R$180", W1251&lt;=200, "181-R$194")</f>
        <v>até R$20</v>
      </c>
      <c r="Y1251" s="17">
        <v>37</v>
      </c>
      <c r="Z1251" s="17">
        <v>6</v>
      </c>
      <c r="AA1251" s="17">
        <v>13</v>
      </c>
      <c r="AB1251" s="17">
        <v>13</v>
      </c>
      <c r="AC1251" s="17">
        <v>2</v>
      </c>
      <c r="AD1251" s="17">
        <v>1</v>
      </c>
      <c r="AE1251" s="17">
        <v>3</v>
      </c>
      <c r="AF1251" s="17">
        <v>6</v>
      </c>
      <c r="AG1251" s="17">
        <v>1</v>
      </c>
      <c r="AH1251" s="17">
        <v>0</v>
      </c>
      <c r="AI1251" s="17">
        <v>0</v>
      </c>
      <c r="AJ1251" s="17">
        <v>0</v>
      </c>
      <c r="AK1251" s="17">
        <v>0</v>
      </c>
      <c r="AL1251" s="17">
        <v>0</v>
      </c>
      <c r="AM1251" s="17">
        <v>0</v>
      </c>
      <c r="AN1251" s="17">
        <v>0</v>
      </c>
      <c r="AO1251" s="18">
        <v>0</v>
      </c>
      <c r="AP1251" s="17">
        <v>3</v>
      </c>
      <c r="AQ1251" s="17">
        <v>11</v>
      </c>
      <c r="AR1251" s="19">
        <v>211</v>
      </c>
      <c r="AS1251" s="19">
        <v>224</v>
      </c>
    </row>
    <row r="1252" spans="1:45" x14ac:dyDescent="0.25">
      <c r="A1252">
        <v>1162</v>
      </c>
      <c r="B1252" s="11">
        <f t="shared" si="19"/>
        <v>43140</v>
      </c>
      <c r="C1252" s="12">
        <v>431400</v>
      </c>
      <c r="D1252" s="13">
        <v>0</v>
      </c>
      <c r="E1252" s="13">
        <v>1</v>
      </c>
      <c r="F1252" s="13">
        <v>68</v>
      </c>
      <c r="G1252" s="13">
        <v>63</v>
      </c>
      <c r="H1252" s="13" t="str" cm="1">
        <f t="array" ref="H1252">_xlfn.IFS(G1252&lt;=20,"0-20",G1252&lt;=30,"20-30",G1252&lt;=40,"30-40",G1252&lt;=50,"50-60",G1252&lt;=60,"60-70",G1252&lt;=70,"70-80",G1252&lt;=80,"80-90")</f>
        <v>70-80</v>
      </c>
      <c r="I1252" s="13">
        <v>2699</v>
      </c>
      <c r="J1252" s="13" t="str" cm="1">
        <f t="array" ref="J1252">_xlfn.IFS(K1252=1,"Divorciado",L1252=1,"Casado",M1252=1,"Solteiro",N1252=1,"Juntos",O1252=1,"Viuvo")</f>
        <v>Casado</v>
      </c>
      <c r="K1252" s="13">
        <v>0</v>
      </c>
      <c r="L1252" s="13">
        <v>1</v>
      </c>
      <c r="M1252" s="13">
        <v>0</v>
      </c>
      <c r="N1252" s="13">
        <v>0</v>
      </c>
      <c r="O1252" s="13">
        <v>0</v>
      </c>
      <c r="P1252" s="13">
        <v>0</v>
      </c>
      <c r="Q1252" s="13">
        <v>0</v>
      </c>
      <c r="R1252" s="13">
        <v>1</v>
      </c>
      <c r="S1252" s="13">
        <v>0</v>
      </c>
      <c r="T1252" s="13">
        <v>0</v>
      </c>
      <c r="U1252" s="13">
        <v>134</v>
      </c>
      <c r="V1252" s="13" t="str" cm="1">
        <f t="array" ref="V1252">_xlfn.IFS(U1252&lt;=250,"0-R$250",U1252&lt;=500,"251-R$500",U1252&lt;=750,"501-R$750",U1252&lt;=1000,"751-R$1000",U1252&lt;=1250,"1001-R$1250",U1252&lt;=1500,"1251-R$1500")</f>
        <v>0-R$250</v>
      </c>
      <c r="W1252" s="13">
        <v>8</v>
      </c>
      <c r="X1252" s="13" t="str" cm="1">
        <f t="array" ref="X1252">_xlfn.IFS(W1252 = 0, "0", W1252&lt;=20, "até R$20",W1252&lt;=40, "21 - R$40",W1252&lt;=60, "41- R$60",W1252&lt;=80, "61 - R$80", W1252&lt;=100, "81 - R$100",W1252&lt;=120, "101 - R$120",W1252&lt;=140, "121 - R$140", W1252&lt;=160, "141- R$160", W1252&lt;=180, "161 - R$180", W1252&lt;=200, "181-R$194")</f>
        <v>até R$20</v>
      </c>
      <c r="Y1252" s="13">
        <v>76</v>
      </c>
      <c r="Z1252" s="13">
        <v>6</v>
      </c>
      <c r="AA1252" s="13">
        <v>0</v>
      </c>
      <c r="AB1252" s="13">
        <v>11</v>
      </c>
      <c r="AC1252" s="13">
        <v>1</v>
      </c>
      <c r="AD1252" s="13">
        <v>4</v>
      </c>
      <c r="AE1252" s="13">
        <v>1</v>
      </c>
      <c r="AF1252" s="13">
        <v>5</v>
      </c>
      <c r="AG1252" s="13">
        <v>6</v>
      </c>
      <c r="AH1252" s="13">
        <v>0</v>
      </c>
      <c r="AI1252" s="13">
        <v>0</v>
      </c>
      <c r="AJ1252" s="13">
        <v>0</v>
      </c>
      <c r="AK1252" s="13">
        <v>0</v>
      </c>
      <c r="AL1252" s="13">
        <v>0</v>
      </c>
      <c r="AM1252" s="13">
        <v>0</v>
      </c>
      <c r="AN1252" s="13">
        <v>0</v>
      </c>
      <c r="AO1252" s="14">
        <v>0</v>
      </c>
      <c r="AP1252" s="13">
        <v>3</v>
      </c>
      <c r="AQ1252" s="13">
        <v>11</v>
      </c>
      <c r="AR1252" s="15">
        <v>213</v>
      </c>
      <c r="AS1252" s="15">
        <v>224</v>
      </c>
    </row>
    <row r="1253" spans="1:45" x14ac:dyDescent="0.25">
      <c r="A1253">
        <v>1491</v>
      </c>
      <c r="B1253" s="11">
        <f t="shared" si="19"/>
        <v>51766</v>
      </c>
      <c r="C1253" s="16">
        <v>517660</v>
      </c>
      <c r="D1253" s="17">
        <v>1</v>
      </c>
      <c r="E1253" s="17">
        <v>0</v>
      </c>
      <c r="F1253" s="17">
        <v>74</v>
      </c>
      <c r="G1253" s="17">
        <v>40</v>
      </c>
      <c r="H1253" s="13" t="str" cm="1">
        <f t="array" ref="H1253">_xlfn.IFS(G1253&lt;=20,"0-20",G1253&lt;=30,"20-30",G1253&lt;=40,"30-40",G1253&lt;=50,"50-60",G1253&lt;=60,"60-70",G1253&lt;=70,"70-80",G1253&lt;=80,"80-90")</f>
        <v>30-40</v>
      </c>
      <c r="I1253" s="17">
        <v>2269</v>
      </c>
      <c r="J1253" s="13" t="str" cm="1">
        <f t="array" ref="J1253">_xlfn.IFS(K1253=1,"Divorciado",L1253=1,"Casado",M1253=1,"Solteiro",N1253=1,"Juntos",O1253=1,"Viuvo")</f>
        <v>Solteiro</v>
      </c>
      <c r="K1253" s="17">
        <v>0</v>
      </c>
      <c r="L1253" s="17">
        <v>0</v>
      </c>
      <c r="M1253" s="17">
        <v>1</v>
      </c>
      <c r="N1253" s="17">
        <v>0</v>
      </c>
      <c r="O1253" s="17">
        <v>0</v>
      </c>
      <c r="P1253" s="17">
        <v>0</v>
      </c>
      <c r="Q1253" s="17">
        <v>0</v>
      </c>
      <c r="R1253" s="17">
        <v>1</v>
      </c>
      <c r="S1253" s="17">
        <v>0</v>
      </c>
      <c r="T1253" s="17">
        <v>0</v>
      </c>
      <c r="U1253" s="17">
        <v>60</v>
      </c>
      <c r="V1253" s="13" t="str" cm="1">
        <f t="array" ref="V1253">_xlfn.IFS(U1253&lt;=250,"0-R$250",U1253&lt;=500,"251-R$500",U1253&lt;=750,"501-R$750",U1253&lt;=1000,"751-R$1000",U1253&lt;=1250,"1001-R$1250",U1253&lt;=1500,"1251-R$1500")</f>
        <v>0-R$250</v>
      </c>
      <c r="W1253" s="17">
        <v>51</v>
      </c>
      <c r="X1253" s="13" t="str" cm="1">
        <f t="array" ref="X1253">_xlfn.IFS(W1253 = 0, "0", W1253&lt;=20, "até R$20",W1253&lt;=40, "21 - R$40",W1253&lt;=60, "41- R$60",W1253&lt;=80, "61 - R$80", W1253&lt;=100, "81 - R$100",W1253&lt;=120, "101 - R$120",W1253&lt;=140, "121 - R$140", W1253&lt;=160, "141- R$160", W1253&lt;=180, "161 - R$180", W1253&lt;=200, "181-R$194")</f>
        <v>41- R$60</v>
      </c>
      <c r="Y1253" s="17">
        <v>87</v>
      </c>
      <c r="Z1253" s="17">
        <v>6</v>
      </c>
      <c r="AA1253" s="17">
        <v>20</v>
      </c>
      <c r="AB1253" s="17">
        <v>51</v>
      </c>
      <c r="AC1253" s="17">
        <v>2</v>
      </c>
      <c r="AD1253" s="17">
        <v>4</v>
      </c>
      <c r="AE1253" s="17">
        <v>2</v>
      </c>
      <c r="AF1253" s="17">
        <v>4</v>
      </c>
      <c r="AG1253" s="17">
        <v>5</v>
      </c>
      <c r="AH1253" s="17">
        <v>0</v>
      </c>
      <c r="AI1253" s="17">
        <v>0</v>
      </c>
      <c r="AJ1253" s="17">
        <v>0</v>
      </c>
      <c r="AK1253" s="17">
        <v>0</v>
      </c>
      <c r="AL1253" s="17">
        <v>0</v>
      </c>
      <c r="AM1253" s="17">
        <v>0</v>
      </c>
      <c r="AN1253" s="17">
        <v>0</v>
      </c>
      <c r="AO1253" s="18">
        <v>0</v>
      </c>
      <c r="AP1253" s="17">
        <v>3</v>
      </c>
      <c r="AQ1253" s="17">
        <v>11</v>
      </c>
      <c r="AR1253" s="19">
        <v>173</v>
      </c>
      <c r="AS1253" s="19">
        <v>224</v>
      </c>
    </row>
    <row r="1254" spans="1:45" x14ac:dyDescent="0.25">
      <c r="A1254">
        <v>1601</v>
      </c>
      <c r="B1254" s="11">
        <f t="shared" si="19"/>
        <v>54549</v>
      </c>
      <c r="C1254" s="16">
        <v>545490</v>
      </c>
      <c r="D1254" s="17">
        <v>0</v>
      </c>
      <c r="E1254" s="17">
        <v>1</v>
      </c>
      <c r="F1254" s="17">
        <v>8</v>
      </c>
      <c r="G1254" s="17">
        <v>68</v>
      </c>
      <c r="H1254" s="13" t="str" cm="1">
        <f t="array" ref="H1254">_xlfn.IFS(G1254&lt;=20,"0-20",G1254&lt;=30,"20-30",G1254&lt;=40,"30-40",G1254&lt;=50,"50-60",G1254&lt;=60,"60-70",G1254&lt;=70,"70-80",G1254&lt;=80,"80-90")</f>
        <v>70-80</v>
      </c>
      <c r="I1254" s="17">
        <v>2277</v>
      </c>
      <c r="J1254" s="13" t="str" cm="1">
        <f t="array" ref="J1254">_xlfn.IFS(K1254=1,"Divorciado",L1254=1,"Casado",M1254=1,"Solteiro",N1254=1,"Juntos",O1254=1,"Viuvo")</f>
        <v>Casado</v>
      </c>
      <c r="K1254" s="17">
        <v>0</v>
      </c>
      <c r="L1254" s="17">
        <v>1</v>
      </c>
      <c r="M1254" s="17">
        <v>0</v>
      </c>
      <c r="N1254" s="17">
        <v>0</v>
      </c>
      <c r="O1254" s="17">
        <v>0</v>
      </c>
      <c r="P1254" s="17">
        <v>0</v>
      </c>
      <c r="Q1254" s="17">
        <v>0</v>
      </c>
      <c r="R1254" s="17">
        <v>0</v>
      </c>
      <c r="S1254" s="17">
        <v>0</v>
      </c>
      <c r="T1254" s="17">
        <v>1</v>
      </c>
      <c r="U1254" s="17">
        <v>216</v>
      </c>
      <c r="V1254" s="13" t="str" cm="1">
        <f t="array" ref="V1254">_xlfn.IFS(U1254&lt;=250,"0-R$250",U1254&lt;=500,"251-R$500",U1254&lt;=750,"501-R$750",U1254&lt;=1000,"751-R$1000",U1254&lt;=1250,"1001-R$1250",U1254&lt;=1500,"1251-R$1500")</f>
        <v>0-R$250</v>
      </c>
      <c r="W1254" s="17">
        <v>2</v>
      </c>
      <c r="X1254" s="13" t="str" cm="1">
        <f t="array" ref="X1254">_xlfn.IFS(W1254 = 0, "0", W1254&lt;=20, "até R$20",W1254&lt;=40, "21 - R$40",W1254&lt;=60, "41- R$60",W1254&lt;=80, "61 - R$80", W1254&lt;=100, "81 - R$100",W1254&lt;=120, "101 - R$120",W1254&lt;=140, "121 - R$140", W1254&lt;=160, "141- R$160", W1254&lt;=180, "161 - R$180", W1254&lt;=200, "181-R$194")</f>
        <v>até R$20</v>
      </c>
      <c r="Y1254" s="17">
        <v>6</v>
      </c>
      <c r="Z1254" s="17">
        <v>0</v>
      </c>
      <c r="AA1254" s="17">
        <v>0</v>
      </c>
      <c r="AB1254" s="17">
        <v>9</v>
      </c>
      <c r="AC1254" s="17">
        <v>2</v>
      </c>
      <c r="AD1254" s="17">
        <v>5</v>
      </c>
      <c r="AE1254" s="17">
        <v>1</v>
      </c>
      <c r="AF1254" s="17">
        <v>4</v>
      </c>
      <c r="AG1254" s="17">
        <v>7</v>
      </c>
      <c r="AH1254" s="17">
        <v>0</v>
      </c>
      <c r="AI1254" s="17">
        <v>0</v>
      </c>
      <c r="AJ1254" s="17">
        <v>0</v>
      </c>
      <c r="AK1254" s="17">
        <v>0</v>
      </c>
      <c r="AL1254" s="17">
        <v>0</v>
      </c>
      <c r="AM1254" s="17">
        <v>0</v>
      </c>
      <c r="AN1254" s="17">
        <v>0</v>
      </c>
      <c r="AO1254" s="18">
        <v>0</v>
      </c>
      <c r="AP1254" s="17">
        <v>3</v>
      </c>
      <c r="AQ1254" s="17">
        <v>11</v>
      </c>
      <c r="AR1254" s="19">
        <v>215</v>
      </c>
      <c r="AS1254" s="19">
        <v>224</v>
      </c>
    </row>
    <row r="1255" spans="1:45" x14ac:dyDescent="0.25">
      <c r="A1255">
        <v>563</v>
      </c>
      <c r="B1255" s="11">
        <f t="shared" si="19"/>
        <v>54603</v>
      </c>
      <c r="C1255" s="16">
        <v>546030</v>
      </c>
      <c r="D1255" s="17">
        <v>1</v>
      </c>
      <c r="E1255" s="17">
        <v>1</v>
      </c>
      <c r="F1255" s="17">
        <v>85</v>
      </c>
      <c r="G1255" s="17">
        <v>64</v>
      </c>
      <c r="H1255" s="13" t="str" cm="1">
        <f t="array" ref="H1255">_xlfn.IFS(G1255&lt;=20,"0-20",G1255&lt;=30,"20-30",G1255&lt;=40,"30-40",G1255&lt;=50,"50-60",G1255&lt;=60,"60-70",G1255&lt;=70,"70-80",G1255&lt;=80,"80-90")</f>
        <v>70-80</v>
      </c>
      <c r="I1255" s="17">
        <v>2514</v>
      </c>
      <c r="J1255" s="13" t="str" cm="1">
        <f t="array" ref="J1255">_xlfn.IFS(K1255=1,"Divorciado",L1255=1,"Casado",M1255=1,"Solteiro",N1255=1,"Juntos",O1255=1,"Viuvo")</f>
        <v>Juntos</v>
      </c>
      <c r="K1255" s="17">
        <v>0</v>
      </c>
      <c r="L1255" s="17">
        <v>0</v>
      </c>
      <c r="M1255" s="17">
        <v>0</v>
      </c>
      <c r="N1255" s="17">
        <v>1</v>
      </c>
      <c r="O1255" s="17">
        <v>0</v>
      </c>
      <c r="P1255" s="17">
        <v>0</v>
      </c>
      <c r="Q1255" s="17">
        <v>0</v>
      </c>
      <c r="R1255" s="17">
        <v>0</v>
      </c>
      <c r="S1255" s="17">
        <v>1</v>
      </c>
      <c r="T1255" s="17">
        <v>0</v>
      </c>
      <c r="U1255" s="17">
        <v>145</v>
      </c>
      <c r="V1255" s="13" t="str" cm="1">
        <f t="array" ref="V1255">_xlfn.IFS(U1255&lt;=250,"0-R$250",U1255&lt;=500,"251-R$500",U1255&lt;=750,"501-R$750",U1255&lt;=1000,"751-R$1000",U1255&lt;=1250,"1001-R$1250",U1255&lt;=1500,"1251-R$1500")</f>
        <v>0-R$250</v>
      </c>
      <c r="W1255" s="17">
        <v>13</v>
      </c>
      <c r="X1255" s="13" t="str" cm="1">
        <f t="array" ref="X1255">_xlfn.IFS(W1255 = 0, "0", W1255&lt;=20, "até R$20",W1255&lt;=40, "21 - R$40",W1255&lt;=60, "41- R$60",W1255&lt;=80, "61 - R$80", W1255&lt;=100, "81 - R$100",W1255&lt;=120, "101 - R$120",W1255&lt;=140, "121 - R$140", W1255&lt;=160, "141- R$160", W1255&lt;=180, "161 - R$180", W1255&lt;=200, "181-R$194")</f>
        <v>até R$20</v>
      </c>
      <c r="Y1255" s="17">
        <v>46</v>
      </c>
      <c r="Z1255" s="17">
        <v>17</v>
      </c>
      <c r="AA1255" s="17">
        <v>2</v>
      </c>
      <c r="AB1255" s="17">
        <v>4</v>
      </c>
      <c r="AC1255" s="17">
        <v>6</v>
      </c>
      <c r="AD1255" s="17">
        <v>4</v>
      </c>
      <c r="AE1255" s="17">
        <v>2</v>
      </c>
      <c r="AF1255" s="17">
        <v>4</v>
      </c>
      <c r="AG1255" s="17">
        <v>7</v>
      </c>
      <c r="AH1255" s="17">
        <v>0</v>
      </c>
      <c r="AI1255" s="17">
        <v>0</v>
      </c>
      <c r="AJ1255" s="17">
        <v>0</v>
      </c>
      <c r="AK1255" s="17">
        <v>0</v>
      </c>
      <c r="AL1255" s="17">
        <v>0</v>
      </c>
      <c r="AM1255" s="17">
        <v>0</v>
      </c>
      <c r="AN1255" s="17">
        <v>0</v>
      </c>
      <c r="AO1255" s="18">
        <v>0</v>
      </c>
      <c r="AP1255" s="17">
        <v>3</v>
      </c>
      <c r="AQ1255" s="17">
        <v>11</v>
      </c>
      <c r="AR1255" s="19">
        <v>219</v>
      </c>
      <c r="AS1255" s="19">
        <v>223</v>
      </c>
    </row>
    <row r="1256" spans="1:45" x14ac:dyDescent="0.25">
      <c r="A1256">
        <v>517</v>
      </c>
      <c r="B1256" s="11">
        <f t="shared" si="19"/>
        <v>65316</v>
      </c>
      <c r="C1256" s="16">
        <v>653160</v>
      </c>
      <c r="D1256" s="17">
        <v>1</v>
      </c>
      <c r="E1256" s="17">
        <v>1</v>
      </c>
      <c r="F1256" s="17">
        <v>65</v>
      </c>
      <c r="G1256" s="17">
        <v>58</v>
      </c>
      <c r="H1256" s="13" t="str" cm="1">
        <f t="array" ref="H1256">_xlfn.IFS(G1256&lt;=20,"0-20",G1256&lt;=30,"20-30",G1256&lt;=40,"30-40",G1256&lt;=50,"50-60",G1256&lt;=60,"60-70",G1256&lt;=70,"70-80",G1256&lt;=80,"80-90")</f>
        <v>60-70</v>
      </c>
      <c r="I1256" s="17">
        <v>2590</v>
      </c>
      <c r="J1256" s="13" t="str" cm="1">
        <f t="array" ref="J1256">_xlfn.IFS(K1256=1,"Divorciado",L1256=1,"Casado",M1256=1,"Solteiro",N1256=1,"Juntos",O1256=1,"Viuvo")</f>
        <v>Casado</v>
      </c>
      <c r="K1256" s="17">
        <v>0</v>
      </c>
      <c r="L1256" s="17">
        <v>1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1</v>
      </c>
      <c r="S1256" s="17">
        <v>0</v>
      </c>
      <c r="T1256" s="17">
        <v>0</v>
      </c>
      <c r="U1256" s="17">
        <v>112</v>
      </c>
      <c r="V1256" s="13" t="str" cm="1">
        <f t="array" ref="V1256">_xlfn.IFS(U1256&lt;=250,"0-R$250",U1256&lt;=500,"251-R$500",U1256&lt;=750,"501-R$750",U1256&lt;=1000,"751-R$1000",U1256&lt;=1250,"1001-R$1250",U1256&lt;=1500,"1251-R$1500")</f>
        <v>0-R$250</v>
      </c>
      <c r="W1256" s="17">
        <v>6</v>
      </c>
      <c r="X1256" s="13" t="str" cm="1">
        <f t="array" ref="X1256">_xlfn.IFS(W1256 = 0, "0", W1256&lt;=20, "até R$20",W1256&lt;=40, "21 - R$40",W1256&lt;=60, "41- R$60",W1256&lt;=80, "61 - R$80", W1256&lt;=100, "81 - R$100",W1256&lt;=120, "101 - R$120",W1256&lt;=140, "121 - R$140", W1256&lt;=160, "141- R$160", W1256&lt;=180, "161 - R$180", W1256&lt;=200, "181-R$194")</f>
        <v>até R$20</v>
      </c>
      <c r="Y1256" s="17">
        <v>92</v>
      </c>
      <c r="Z1256" s="17">
        <v>3</v>
      </c>
      <c r="AA1256" s="17">
        <v>9</v>
      </c>
      <c r="AB1256" s="17">
        <v>38</v>
      </c>
      <c r="AC1256" s="17">
        <v>2</v>
      </c>
      <c r="AD1256" s="17">
        <v>3</v>
      </c>
      <c r="AE1256" s="17">
        <v>2</v>
      </c>
      <c r="AF1256" s="17">
        <v>5</v>
      </c>
      <c r="AG1256" s="17">
        <v>4</v>
      </c>
      <c r="AH1256" s="17">
        <v>0</v>
      </c>
      <c r="AI1256" s="17">
        <v>0</v>
      </c>
      <c r="AJ1256" s="17">
        <v>0</v>
      </c>
      <c r="AK1256" s="17">
        <v>0</v>
      </c>
      <c r="AL1256" s="17">
        <v>0</v>
      </c>
      <c r="AM1256" s="17">
        <v>0</v>
      </c>
      <c r="AN1256" s="17">
        <v>0</v>
      </c>
      <c r="AO1256" s="18">
        <v>0</v>
      </c>
      <c r="AP1256" s="17">
        <v>3</v>
      </c>
      <c r="AQ1256" s="17">
        <v>11</v>
      </c>
      <c r="AR1256" s="19">
        <v>184</v>
      </c>
      <c r="AS1256" s="19">
        <v>222</v>
      </c>
    </row>
    <row r="1257" spans="1:45" x14ac:dyDescent="0.25">
      <c r="A1257">
        <v>1760</v>
      </c>
      <c r="B1257" s="11">
        <f t="shared" si="19"/>
        <v>46904</v>
      </c>
      <c r="C1257" s="12">
        <v>469040</v>
      </c>
      <c r="D1257" s="13">
        <v>1</v>
      </c>
      <c r="E1257" s="13">
        <v>1</v>
      </c>
      <c r="F1257" s="13">
        <v>20</v>
      </c>
      <c r="G1257" s="13">
        <v>53</v>
      </c>
      <c r="H1257" s="13" t="str" cm="1">
        <f t="array" ref="H1257">_xlfn.IFS(G1257&lt;=20,"0-20",G1257&lt;=30,"20-30",G1257&lt;=40,"30-40",G1257&lt;=50,"50-60",G1257&lt;=60,"60-70",G1257&lt;=70,"70-80",G1257&lt;=80,"80-90")</f>
        <v>60-70</v>
      </c>
      <c r="I1257" s="13">
        <v>2762</v>
      </c>
      <c r="J1257" s="13" t="str" cm="1">
        <f t="array" ref="J1257">_xlfn.IFS(K1257=1,"Divorciado",L1257=1,"Casado",M1257=1,"Solteiro",N1257=1,"Juntos",O1257=1,"Viuvo")</f>
        <v>Solteiro</v>
      </c>
      <c r="K1257" s="13">
        <v>0</v>
      </c>
      <c r="L1257" s="13">
        <v>0</v>
      </c>
      <c r="M1257" s="13">
        <v>1</v>
      </c>
      <c r="N1257" s="13">
        <v>0</v>
      </c>
      <c r="O1257" s="13">
        <v>0</v>
      </c>
      <c r="P1257" s="13">
        <v>0</v>
      </c>
      <c r="Q1257" s="13">
        <v>0</v>
      </c>
      <c r="R1257" s="13">
        <v>1</v>
      </c>
      <c r="S1257" s="13">
        <v>0</v>
      </c>
      <c r="T1257" s="13">
        <v>0</v>
      </c>
      <c r="U1257" s="13">
        <v>153</v>
      </c>
      <c r="V1257" s="13" t="str" cm="1">
        <f t="array" ref="V1257">_xlfn.IFS(U1257&lt;=250,"0-R$250",U1257&lt;=500,"251-R$500",U1257&lt;=750,"501-R$750",U1257&lt;=1000,"751-R$1000",U1257&lt;=1250,"1001-R$1250",U1257&lt;=1500,"1251-R$1500")</f>
        <v>0-R$250</v>
      </c>
      <c r="W1257" s="13">
        <v>4</v>
      </c>
      <c r="X1257" s="13" t="str" cm="1">
        <f t="array" ref="X1257">_xlfn.IFS(W1257 = 0, "0", W1257&lt;=20, "até R$20",W1257&lt;=40, "21 - R$40",W1257&lt;=60, "41- R$60",W1257&lt;=80, "61 - R$80", W1257&lt;=100, "81 - R$100",W1257&lt;=120, "101 - R$120",W1257&lt;=140, "121 - R$140", W1257&lt;=160, "141- R$160", W1257&lt;=180, "161 - R$180", W1257&lt;=200, "181-R$194")</f>
        <v>até R$20</v>
      </c>
      <c r="Y1257" s="13">
        <v>56</v>
      </c>
      <c r="Z1257" s="13">
        <v>0</v>
      </c>
      <c r="AA1257" s="13">
        <v>9</v>
      </c>
      <c r="AB1257" s="13">
        <v>31</v>
      </c>
      <c r="AC1257" s="13">
        <v>4</v>
      </c>
      <c r="AD1257" s="13">
        <v>5</v>
      </c>
      <c r="AE1257" s="13">
        <v>1</v>
      </c>
      <c r="AF1257" s="13">
        <v>4</v>
      </c>
      <c r="AG1257" s="13">
        <v>8</v>
      </c>
      <c r="AH1257" s="13">
        <v>0</v>
      </c>
      <c r="AI1257" s="13">
        <v>0</v>
      </c>
      <c r="AJ1257" s="13">
        <v>0</v>
      </c>
      <c r="AK1257" s="13">
        <v>0</v>
      </c>
      <c r="AL1257" s="13">
        <v>0</v>
      </c>
      <c r="AM1257" s="13">
        <v>0</v>
      </c>
      <c r="AN1257" s="13">
        <v>0</v>
      </c>
      <c r="AO1257" s="14">
        <v>0</v>
      </c>
      <c r="AP1257" s="13">
        <v>3</v>
      </c>
      <c r="AQ1257" s="13">
        <v>11</v>
      </c>
      <c r="AR1257" s="15">
        <v>191</v>
      </c>
      <c r="AS1257" s="15">
        <v>222</v>
      </c>
    </row>
    <row r="1258" spans="1:45" x14ac:dyDescent="0.25">
      <c r="A1258">
        <v>290</v>
      </c>
      <c r="B1258" s="11">
        <f t="shared" si="19"/>
        <v>39747</v>
      </c>
      <c r="C1258" s="12">
        <v>397470</v>
      </c>
      <c r="D1258" s="13">
        <v>1</v>
      </c>
      <c r="E1258" s="13">
        <v>0</v>
      </c>
      <c r="F1258" s="13">
        <v>43</v>
      </c>
      <c r="G1258" s="13">
        <v>32</v>
      </c>
      <c r="H1258" s="13" t="str" cm="1">
        <f t="array" ref="H1258">_xlfn.IFS(G1258&lt;=20,"0-20",G1258&lt;=30,"20-30",G1258&lt;=40,"30-40",G1258&lt;=50,"50-60",G1258&lt;=60,"60-70",G1258&lt;=70,"70-80",G1258&lt;=80,"80-90")</f>
        <v>30-40</v>
      </c>
      <c r="I1258" s="13">
        <v>2236</v>
      </c>
      <c r="J1258" s="13" t="str" cm="1">
        <f t="array" ref="J1258">_xlfn.IFS(K1258=1,"Divorciado",L1258=1,"Casado",M1258=1,"Solteiro",N1258=1,"Juntos",O1258=1,"Viuvo")</f>
        <v>Solteiro</v>
      </c>
      <c r="K1258" s="13">
        <v>0</v>
      </c>
      <c r="L1258" s="13">
        <v>0</v>
      </c>
      <c r="M1258" s="13">
        <v>1</v>
      </c>
      <c r="N1258" s="13">
        <v>0</v>
      </c>
      <c r="O1258" s="13">
        <v>0</v>
      </c>
      <c r="P1258" s="13">
        <v>0</v>
      </c>
      <c r="Q1258" s="13">
        <v>0</v>
      </c>
      <c r="R1258" s="13">
        <v>1</v>
      </c>
      <c r="S1258" s="13">
        <v>0</v>
      </c>
      <c r="T1258" s="13">
        <v>0</v>
      </c>
      <c r="U1258" s="13">
        <v>80</v>
      </c>
      <c r="V1258" s="13" t="str" cm="1">
        <f t="array" ref="V1258">_xlfn.IFS(U1258&lt;=250,"0-R$250",U1258&lt;=500,"251-R$500",U1258&lt;=750,"501-R$750",U1258&lt;=1000,"751-R$1000",U1258&lt;=1250,"1001-R$1250",U1258&lt;=1500,"1251-R$1500")</f>
        <v>0-R$250</v>
      </c>
      <c r="W1258" s="13">
        <v>15</v>
      </c>
      <c r="X1258" s="13" t="str" cm="1">
        <f t="array" ref="X1258">_xlfn.IFS(W1258 = 0, "0", W1258&lt;=20, "até R$20",W1258&lt;=40, "21 - R$40",W1258&lt;=60, "41- R$60",W1258&lt;=80, "61 - R$80", W1258&lt;=100, "81 - R$100",W1258&lt;=120, "101 - R$120",W1258&lt;=140, "121 - R$140", W1258&lt;=160, "141- R$160", W1258&lt;=180, "161 - R$180", W1258&lt;=200, "181-R$194")</f>
        <v>até R$20</v>
      </c>
      <c r="Y1258" s="13">
        <v>93</v>
      </c>
      <c r="Z1258" s="13">
        <v>20</v>
      </c>
      <c r="AA1258" s="13">
        <v>13</v>
      </c>
      <c r="AB1258" s="13">
        <v>52</v>
      </c>
      <c r="AC1258" s="13">
        <v>3</v>
      </c>
      <c r="AD1258" s="13">
        <v>5</v>
      </c>
      <c r="AE1258" s="13">
        <v>1</v>
      </c>
      <c r="AF1258" s="13">
        <v>4</v>
      </c>
      <c r="AG1258" s="13">
        <v>8</v>
      </c>
      <c r="AH1258" s="13">
        <v>0</v>
      </c>
      <c r="AI1258" s="13">
        <v>0</v>
      </c>
      <c r="AJ1258" s="13">
        <v>0</v>
      </c>
      <c r="AK1258" s="13">
        <v>0</v>
      </c>
      <c r="AL1258" s="13">
        <v>0</v>
      </c>
      <c r="AM1258" s="13">
        <v>0</v>
      </c>
      <c r="AN1258" s="13">
        <v>0</v>
      </c>
      <c r="AO1258" s="14">
        <v>0</v>
      </c>
      <c r="AP1258" s="13">
        <v>3</v>
      </c>
      <c r="AQ1258" s="13">
        <v>11</v>
      </c>
      <c r="AR1258" s="15">
        <v>169</v>
      </c>
      <c r="AS1258" s="15">
        <v>221</v>
      </c>
    </row>
    <row r="1259" spans="1:45" x14ac:dyDescent="0.25">
      <c r="A1259">
        <v>1156</v>
      </c>
      <c r="B1259" s="11">
        <f t="shared" si="19"/>
        <v>47353</v>
      </c>
      <c r="C1259" s="12">
        <v>473530</v>
      </c>
      <c r="D1259" s="13">
        <v>0</v>
      </c>
      <c r="E1259" s="13">
        <v>1</v>
      </c>
      <c r="F1259" s="13">
        <v>93</v>
      </c>
      <c r="G1259" s="13">
        <v>60</v>
      </c>
      <c r="H1259" s="13" t="str" cm="1">
        <f t="array" ref="H1259">_xlfn.IFS(G1259&lt;=20,"0-20",G1259&lt;=30,"20-30",G1259&lt;=40,"30-40",G1259&lt;=50,"50-60",G1259&lt;=60,"60-70",G1259&lt;=70,"70-80",G1259&lt;=80,"80-90")</f>
        <v>60-70</v>
      </c>
      <c r="I1259" s="13">
        <v>2387</v>
      </c>
      <c r="J1259" s="13" t="str" cm="1">
        <f t="array" ref="J1259">_xlfn.IFS(K1259=1,"Divorciado",L1259=1,"Casado",M1259=1,"Solteiro",N1259=1,"Juntos",O1259=1,"Viuvo")</f>
        <v>Casado</v>
      </c>
      <c r="K1259" s="13">
        <v>0</v>
      </c>
      <c r="L1259" s="13">
        <v>1</v>
      </c>
      <c r="M1259" s="13">
        <v>0</v>
      </c>
      <c r="N1259" s="13">
        <v>0</v>
      </c>
      <c r="O1259" s="13">
        <v>0</v>
      </c>
      <c r="P1259" s="13">
        <v>0</v>
      </c>
      <c r="Q1259" s="13">
        <v>0</v>
      </c>
      <c r="R1259" s="13">
        <v>0</v>
      </c>
      <c r="S1259" s="13">
        <v>1</v>
      </c>
      <c r="T1259" s="13">
        <v>0</v>
      </c>
      <c r="U1259" s="13">
        <v>184</v>
      </c>
      <c r="V1259" s="13" t="str" cm="1">
        <f t="array" ref="V1259">_xlfn.IFS(U1259&lt;=250,"0-R$250",U1259&lt;=500,"251-R$500",U1259&lt;=750,"501-R$750",U1259&lt;=1000,"751-R$1000",U1259&lt;=1250,"1001-R$1250",U1259&lt;=1500,"1251-R$1500")</f>
        <v>0-R$250</v>
      </c>
      <c r="W1259" s="13">
        <v>2</v>
      </c>
      <c r="X1259" s="13" t="str" cm="1">
        <f t="array" ref="X1259">_xlfn.IFS(W1259 = 0, "0", W1259&lt;=20, "até R$20",W1259&lt;=40, "21 - R$40",W1259&lt;=60, "41- R$60",W1259&lt;=80, "61 - R$80", W1259&lt;=100, "81 - R$100",W1259&lt;=120, "101 - R$120",W1259&lt;=140, "121 - R$140", W1259&lt;=160, "141- R$160", W1259&lt;=180, "161 - R$180", W1259&lt;=200, "181-R$194")</f>
        <v>até R$20</v>
      </c>
      <c r="Y1259" s="13">
        <v>19</v>
      </c>
      <c r="Z1259" s="13">
        <v>8</v>
      </c>
      <c r="AA1259" s="13">
        <v>8</v>
      </c>
      <c r="AB1259" s="13">
        <v>4</v>
      </c>
      <c r="AC1259" s="13">
        <v>3</v>
      </c>
      <c r="AD1259" s="13">
        <v>2</v>
      </c>
      <c r="AE1259" s="13">
        <v>2</v>
      </c>
      <c r="AF1259" s="13">
        <v>6</v>
      </c>
      <c r="AG1259" s="13">
        <v>5</v>
      </c>
      <c r="AH1259" s="13">
        <v>0</v>
      </c>
      <c r="AI1259" s="13">
        <v>0</v>
      </c>
      <c r="AJ1259" s="13">
        <v>0</v>
      </c>
      <c r="AK1259" s="13">
        <v>0</v>
      </c>
      <c r="AL1259" s="13">
        <v>0</v>
      </c>
      <c r="AM1259" s="13">
        <v>0</v>
      </c>
      <c r="AN1259" s="13">
        <v>0</v>
      </c>
      <c r="AO1259" s="14">
        <v>0</v>
      </c>
      <c r="AP1259" s="13">
        <v>3</v>
      </c>
      <c r="AQ1259" s="13">
        <v>11</v>
      </c>
      <c r="AR1259" s="15">
        <v>217</v>
      </c>
      <c r="AS1259" s="15">
        <v>221</v>
      </c>
    </row>
    <row r="1260" spans="1:45" x14ac:dyDescent="0.25">
      <c r="A1260">
        <v>1195</v>
      </c>
      <c r="B1260" s="11">
        <f t="shared" si="19"/>
        <v>56721</v>
      </c>
      <c r="C1260" s="16">
        <v>567210</v>
      </c>
      <c r="D1260" s="17">
        <v>1</v>
      </c>
      <c r="E1260" s="17">
        <v>1</v>
      </c>
      <c r="F1260" s="17">
        <v>64</v>
      </c>
      <c r="G1260" s="17">
        <v>48</v>
      </c>
      <c r="H1260" s="13" t="str" cm="1">
        <f t="array" ref="H1260">_xlfn.IFS(G1260&lt;=20,"0-20",G1260&lt;=30,"20-30",G1260&lt;=40,"30-40",G1260&lt;=50,"50-60",G1260&lt;=60,"60-70",G1260&lt;=70,"70-80",G1260&lt;=80,"80-90")</f>
        <v>50-60</v>
      </c>
      <c r="I1260" s="17">
        <v>2765</v>
      </c>
      <c r="J1260" s="13" t="str" cm="1">
        <f t="array" ref="J1260">_xlfn.IFS(K1260=1,"Divorciado",L1260=1,"Casado",M1260=1,"Solteiro",N1260=1,"Juntos",O1260=1,"Viuvo")</f>
        <v>Casado</v>
      </c>
      <c r="K1260" s="17">
        <v>0</v>
      </c>
      <c r="L1260" s="17">
        <v>1</v>
      </c>
      <c r="M1260" s="17">
        <v>0</v>
      </c>
      <c r="N1260" s="17">
        <v>0</v>
      </c>
      <c r="O1260" s="17">
        <v>0</v>
      </c>
      <c r="P1260" s="17">
        <v>0</v>
      </c>
      <c r="Q1260" s="17">
        <v>0</v>
      </c>
      <c r="R1260" s="17">
        <v>1</v>
      </c>
      <c r="S1260" s="17">
        <v>0</v>
      </c>
      <c r="T1260" s="17">
        <v>0</v>
      </c>
      <c r="U1260" s="17">
        <v>157</v>
      </c>
      <c r="V1260" s="13" t="str" cm="1">
        <f t="array" ref="V1260">_xlfn.IFS(U1260&lt;=250,"0-R$250",U1260&lt;=500,"251-R$500",U1260&lt;=750,"501-R$750",U1260&lt;=1000,"751-R$1000",U1260&lt;=1250,"1001-R$1250",U1260&lt;=1500,"1251-R$1500")</f>
        <v>0-R$250</v>
      </c>
      <c r="W1260" s="17">
        <v>6</v>
      </c>
      <c r="X1260" s="13" t="str" cm="1">
        <f t="array" ref="X1260">_xlfn.IFS(W1260 = 0, "0", W1260&lt;=20, "até R$20",W1260&lt;=40, "21 - R$40",W1260&lt;=60, "41- R$60",W1260&lt;=80, "61 - R$80", W1260&lt;=100, "81 - R$100",W1260&lt;=120, "101 - R$120",W1260&lt;=140, "121 - R$140", W1260&lt;=160, "141- R$160", W1260&lt;=180, "161 - R$180", W1260&lt;=200, "181-R$194")</f>
        <v>até R$20</v>
      </c>
      <c r="Y1260" s="17">
        <v>39</v>
      </c>
      <c r="Z1260" s="17">
        <v>6</v>
      </c>
      <c r="AA1260" s="17">
        <v>13</v>
      </c>
      <c r="AB1260" s="17">
        <v>75</v>
      </c>
      <c r="AC1260" s="17">
        <v>5</v>
      </c>
      <c r="AD1260" s="17">
        <v>4</v>
      </c>
      <c r="AE1260" s="17">
        <v>1</v>
      </c>
      <c r="AF1260" s="17">
        <v>5</v>
      </c>
      <c r="AG1260" s="17">
        <v>6</v>
      </c>
      <c r="AH1260" s="17">
        <v>0</v>
      </c>
      <c r="AI1260" s="17">
        <v>0</v>
      </c>
      <c r="AJ1260" s="17">
        <v>0</v>
      </c>
      <c r="AK1260" s="17">
        <v>0</v>
      </c>
      <c r="AL1260" s="17">
        <v>0</v>
      </c>
      <c r="AM1260" s="17">
        <v>0</v>
      </c>
      <c r="AN1260" s="17">
        <v>0</v>
      </c>
      <c r="AO1260" s="18">
        <v>0</v>
      </c>
      <c r="AP1260" s="17">
        <v>3</v>
      </c>
      <c r="AQ1260" s="17">
        <v>11</v>
      </c>
      <c r="AR1260" s="19">
        <v>146</v>
      </c>
      <c r="AS1260" s="19">
        <v>221</v>
      </c>
    </row>
    <row r="1261" spans="1:45" x14ac:dyDescent="0.25">
      <c r="A1261">
        <v>1333</v>
      </c>
      <c r="B1261" s="11">
        <f t="shared" si="19"/>
        <v>69139</v>
      </c>
      <c r="C1261" s="16">
        <v>691390</v>
      </c>
      <c r="D1261" s="17">
        <v>0</v>
      </c>
      <c r="E1261" s="17">
        <v>1</v>
      </c>
      <c r="F1261" s="17">
        <v>23</v>
      </c>
      <c r="G1261" s="17">
        <v>55</v>
      </c>
      <c r="H1261" s="13" t="str" cm="1">
        <f t="array" ref="H1261">_xlfn.IFS(G1261&lt;=20,"0-20",G1261&lt;=30,"20-30",G1261&lt;=40,"30-40",G1261&lt;=50,"50-60",G1261&lt;=60,"60-70",G1261&lt;=70,"70-80",G1261&lt;=80,"80-90")</f>
        <v>60-70</v>
      </c>
      <c r="I1261" s="17">
        <v>2312</v>
      </c>
      <c r="J1261" s="13" t="str" cm="1">
        <f t="array" ref="J1261">_xlfn.IFS(K1261=1,"Divorciado",L1261=1,"Casado",M1261=1,"Solteiro",N1261=1,"Juntos",O1261=1,"Viuvo")</f>
        <v>Casado</v>
      </c>
      <c r="K1261" s="17">
        <v>0</v>
      </c>
      <c r="L1261" s="17">
        <v>1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1</v>
      </c>
      <c r="S1261" s="17">
        <v>0</v>
      </c>
      <c r="T1261" s="17">
        <v>0</v>
      </c>
      <c r="U1261" s="17">
        <v>86</v>
      </c>
      <c r="V1261" s="13" t="str" cm="1">
        <f t="array" ref="V1261">_xlfn.IFS(U1261&lt;=250,"0-R$250",U1261&lt;=500,"251-R$500",U1261&lt;=750,"501-R$750",U1261&lt;=1000,"751-R$1000",U1261&lt;=1250,"1001-R$1250",U1261&lt;=1500,"1251-R$1500")</f>
        <v>0-R$250</v>
      </c>
      <c r="W1261" s="17">
        <v>12</v>
      </c>
      <c r="X1261" s="13" t="str" cm="1">
        <f t="array" ref="X1261">_xlfn.IFS(W1261 = 0, "0", W1261&lt;=20, "até R$20",W1261&lt;=40, "21 - R$40",W1261&lt;=60, "41- R$60",W1261&lt;=80, "61 - R$80", W1261&lt;=100, "81 - R$100",W1261&lt;=120, "101 - R$120",W1261&lt;=140, "121 - R$140", W1261&lt;=160, "141- R$160", W1261&lt;=180, "161 - R$180", W1261&lt;=200, "181-R$194")</f>
        <v>até R$20</v>
      </c>
      <c r="Y1261" s="17">
        <v>75</v>
      </c>
      <c r="Z1261" s="17">
        <v>33</v>
      </c>
      <c r="AA1261" s="17">
        <v>15</v>
      </c>
      <c r="AB1261" s="17">
        <v>6</v>
      </c>
      <c r="AC1261" s="17">
        <v>1</v>
      </c>
      <c r="AD1261" s="17">
        <v>4</v>
      </c>
      <c r="AE1261" s="17">
        <v>1</v>
      </c>
      <c r="AF1261" s="17">
        <v>5</v>
      </c>
      <c r="AG1261" s="17">
        <v>4</v>
      </c>
      <c r="AH1261" s="17">
        <v>0</v>
      </c>
      <c r="AI1261" s="17">
        <v>0</v>
      </c>
      <c r="AJ1261" s="17">
        <v>0</v>
      </c>
      <c r="AK1261" s="17">
        <v>0</v>
      </c>
      <c r="AL1261" s="17">
        <v>0</v>
      </c>
      <c r="AM1261" s="17">
        <v>0</v>
      </c>
      <c r="AN1261" s="17">
        <v>0</v>
      </c>
      <c r="AO1261" s="18">
        <v>0</v>
      </c>
      <c r="AP1261" s="17">
        <v>3</v>
      </c>
      <c r="AQ1261" s="17">
        <v>11</v>
      </c>
      <c r="AR1261" s="19">
        <v>215</v>
      </c>
      <c r="AS1261" s="19">
        <v>221</v>
      </c>
    </row>
    <row r="1262" spans="1:45" x14ac:dyDescent="0.25">
      <c r="A1262">
        <v>1349</v>
      </c>
      <c r="B1262" s="11">
        <f t="shared" si="19"/>
        <v>67267</v>
      </c>
      <c r="C1262" s="16">
        <v>672670</v>
      </c>
      <c r="D1262" s="17">
        <v>0</v>
      </c>
      <c r="E1262" s="17">
        <v>1</v>
      </c>
      <c r="F1262" s="17">
        <v>0</v>
      </c>
      <c r="G1262" s="17">
        <v>62</v>
      </c>
      <c r="H1262" s="13" t="str" cm="1">
        <f t="array" ref="H1262">_xlfn.IFS(G1262&lt;=20,"0-20",G1262&lt;=30,"20-30",G1262&lt;=40,"30-40",G1262&lt;=50,"50-60",G1262&lt;=60,"60-70",G1262&lt;=70,"70-80",G1262&lt;=80,"80-90")</f>
        <v>70-80</v>
      </c>
      <c r="I1262" s="17">
        <v>2206</v>
      </c>
      <c r="J1262" s="13" t="str" cm="1">
        <f t="array" ref="J1262">_xlfn.IFS(K1262=1,"Divorciado",L1262=1,"Casado",M1262=1,"Solteiro",N1262=1,"Juntos",O1262=1,"Viuvo")</f>
        <v>Casado</v>
      </c>
      <c r="K1262" s="17">
        <v>0</v>
      </c>
      <c r="L1262" s="17">
        <v>1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1</v>
      </c>
      <c r="S1262" s="17">
        <v>0</v>
      </c>
      <c r="T1262" s="17">
        <v>0</v>
      </c>
      <c r="U1262" s="17">
        <v>134</v>
      </c>
      <c r="V1262" s="13" t="str" cm="1">
        <f t="array" ref="V1262">_xlfn.IFS(U1262&lt;=250,"0-R$250",U1262&lt;=500,"251-R$500",U1262&lt;=750,"501-R$750",U1262&lt;=1000,"751-R$1000",U1262&lt;=1250,"1001-R$1250",U1262&lt;=1500,"1251-R$1500")</f>
        <v>0-R$250</v>
      </c>
      <c r="W1262" s="17">
        <v>11</v>
      </c>
      <c r="X1262" s="13" t="str" cm="1">
        <f t="array" ref="X1262">_xlfn.IFS(W1262 = 0, "0", W1262&lt;=20, "até R$20",W1262&lt;=40, "21 - R$40",W1262&lt;=60, "41- R$60",W1262&lt;=80, "61 - R$80", W1262&lt;=100, "81 - R$100",W1262&lt;=120, "101 - R$120",W1262&lt;=140, "121 - R$140", W1262&lt;=160, "141- R$160", W1262&lt;=180, "161 - R$180", W1262&lt;=200, "181-R$194")</f>
        <v>até R$20</v>
      </c>
      <c r="Y1262" s="17">
        <v>59</v>
      </c>
      <c r="Z1262" s="17">
        <v>15</v>
      </c>
      <c r="AA1262" s="17">
        <v>2</v>
      </c>
      <c r="AB1262" s="17">
        <v>30</v>
      </c>
      <c r="AC1262" s="17">
        <v>1</v>
      </c>
      <c r="AD1262" s="17">
        <v>3</v>
      </c>
      <c r="AE1262" s="17">
        <v>2</v>
      </c>
      <c r="AF1262" s="17">
        <v>5</v>
      </c>
      <c r="AG1262" s="17">
        <v>2</v>
      </c>
      <c r="AH1262" s="17">
        <v>0</v>
      </c>
      <c r="AI1262" s="17">
        <v>0</v>
      </c>
      <c r="AJ1262" s="17">
        <v>0</v>
      </c>
      <c r="AK1262" s="17">
        <v>0</v>
      </c>
      <c r="AL1262" s="17">
        <v>0</v>
      </c>
      <c r="AM1262" s="17">
        <v>0</v>
      </c>
      <c r="AN1262" s="17">
        <v>0</v>
      </c>
      <c r="AO1262" s="18">
        <v>0</v>
      </c>
      <c r="AP1262" s="17">
        <v>3</v>
      </c>
      <c r="AQ1262" s="17">
        <v>11</v>
      </c>
      <c r="AR1262" s="19">
        <v>191</v>
      </c>
      <c r="AS1262" s="19">
        <v>221</v>
      </c>
    </row>
    <row r="1263" spans="1:45" x14ac:dyDescent="0.25">
      <c r="A1263">
        <v>1532</v>
      </c>
      <c r="B1263" s="11">
        <f t="shared" si="19"/>
        <v>47175</v>
      </c>
      <c r="C1263" s="12">
        <v>471750</v>
      </c>
      <c r="D1263" s="13">
        <v>1</v>
      </c>
      <c r="E1263" s="13">
        <v>1</v>
      </c>
      <c r="F1263" s="13">
        <v>81</v>
      </c>
      <c r="G1263" s="13">
        <v>58</v>
      </c>
      <c r="H1263" s="13" t="str" cm="1">
        <f t="array" ref="H1263">_xlfn.IFS(G1263&lt;=20,"0-20",G1263&lt;=30,"20-30",G1263&lt;=40,"30-40",G1263&lt;=50,"50-60",G1263&lt;=60,"60-70",G1263&lt;=70,"70-80",G1263&lt;=80,"80-90")</f>
        <v>60-70</v>
      </c>
      <c r="I1263" s="13">
        <v>2768</v>
      </c>
      <c r="J1263" s="13" t="str" cm="1">
        <f t="array" ref="J1263">_xlfn.IFS(K1263=1,"Divorciado",L1263=1,"Casado",M1263=1,"Solteiro",N1263=1,"Juntos",O1263=1,"Viuvo")</f>
        <v>Juntos</v>
      </c>
      <c r="K1263" s="13">
        <v>0</v>
      </c>
      <c r="L1263" s="13">
        <v>0</v>
      </c>
      <c r="M1263" s="13">
        <v>0</v>
      </c>
      <c r="N1263" s="13">
        <v>1</v>
      </c>
      <c r="O1263" s="13">
        <v>0</v>
      </c>
      <c r="P1263" s="13">
        <v>0</v>
      </c>
      <c r="Q1263" s="13">
        <v>0</v>
      </c>
      <c r="R1263" s="13">
        <v>0</v>
      </c>
      <c r="S1263" s="13">
        <v>1</v>
      </c>
      <c r="T1263" s="13">
        <v>0</v>
      </c>
      <c r="U1263" s="13">
        <v>167</v>
      </c>
      <c r="V1263" s="13" t="str" cm="1">
        <f t="array" ref="V1263">_xlfn.IFS(U1263&lt;=250,"0-R$250",U1263&lt;=500,"251-R$500",U1263&lt;=750,"501-R$750",U1263&lt;=1000,"751-R$1000",U1263&lt;=1250,"1001-R$1250",U1263&lt;=1500,"1251-R$1500")</f>
        <v>0-R$250</v>
      </c>
      <c r="W1263" s="13">
        <v>2</v>
      </c>
      <c r="X1263" s="13" t="str" cm="1">
        <f t="array" ref="X1263">_xlfn.IFS(W1263 = 0, "0", W1263&lt;=20, "até R$20",W1263&lt;=40, "21 - R$40",W1263&lt;=60, "41- R$60",W1263&lt;=80, "61 - R$80", W1263&lt;=100, "81 - R$100",W1263&lt;=120, "101 - R$120",W1263&lt;=140, "121 - R$140", W1263&lt;=160, "141- R$160", W1263&lt;=180, "161 - R$180", W1263&lt;=200, "181-R$194")</f>
        <v>até R$20</v>
      </c>
      <c r="Y1263" s="13">
        <v>44</v>
      </c>
      <c r="Z1263" s="13">
        <v>6</v>
      </c>
      <c r="AA1263" s="13">
        <v>2</v>
      </c>
      <c r="AB1263" s="13">
        <v>19</v>
      </c>
      <c r="AC1263" s="13">
        <v>7</v>
      </c>
      <c r="AD1263" s="13">
        <v>4</v>
      </c>
      <c r="AE1263" s="13">
        <v>2</v>
      </c>
      <c r="AF1263" s="13">
        <v>4</v>
      </c>
      <c r="AG1263" s="13">
        <v>8</v>
      </c>
      <c r="AH1263" s="13">
        <v>0</v>
      </c>
      <c r="AI1263" s="13">
        <v>1</v>
      </c>
      <c r="AJ1263" s="13">
        <v>0</v>
      </c>
      <c r="AK1263" s="13">
        <v>0</v>
      </c>
      <c r="AL1263" s="13">
        <v>0</v>
      </c>
      <c r="AM1263" s="13">
        <v>0</v>
      </c>
      <c r="AN1263" s="13">
        <v>1</v>
      </c>
      <c r="AO1263" s="14">
        <v>1</v>
      </c>
      <c r="AP1263" s="13">
        <v>3</v>
      </c>
      <c r="AQ1263" s="13">
        <v>11</v>
      </c>
      <c r="AR1263" s="15">
        <v>202</v>
      </c>
      <c r="AS1263" s="15">
        <v>221</v>
      </c>
    </row>
    <row r="1264" spans="1:45" x14ac:dyDescent="0.25">
      <c r="A1264">
        <v>1594</v>
      </c>
      <c r="B1264" s="11">
        <f t="shared" si="19"/>
        <v>69139</v>
      </c>
      <c r="C1264" s="12">
        <v>691390</v>
      </c>
      <c r="D1264" s="13">
        <v>0</v>
      </c>
      <c r="E1264" s="13">
        <v>1</v>
      </c>
      <c r="F1264" s="13">
        <v>23</v>
      </c>
      <c r="G1264" s="13">
        <v>55</v>
      </c>
      <c r="H1264" s="13" t="str" cm="1">
        <f t="array" ref="H1264">_xlfn.IFS(G1264&lt;=20,"0-20",G1264&lt;=30,"20-30",G1264&lt;=40,"30-40",G1264&lt;=50,"50-60",G1264&lt;=60,"60-70",G1264&lt;=70,"70-80",G1264&lt;=80,"80-90")</f>
        <v>60-70</v>
      </c>
      <c r="I1264" s="13">
        <v>2312</v>
      </c>
      <c r="J1264" s="13" t="str" cm="1">
        <f t="array" ref="J1264">_xlfn.IFS(K1264=1,"Divorciado",L1264=1,"Casado",M1264=1,"Solteiro",N1264=1,"Juntos",O1264=1,"Viuvo")</f>
        <v>Casado</v>
      </c>
      <c r="K1264" s="13">
        <v>0</v>
      </c>
      <c r="L1264" s="13">
        <v>1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1</v>
      </c>
      <c r="S1264" s="13">
        <v>0</v>
      </c>
      <c r="T1264" s="13">
        <v>0</v>
      </c>
      <c r="U1264" s="13">
        <v>86</v>
      </c>
      <c r="V1264" s="13" t="str" cm="1">
        <f t="array" ref="V1264">_xlfn.IFS(U1264&lt;=250,"0-R$250",U1264&lt;=500,"251-R$500",U1264&lt;=750,"501-R$750",U1264&lt;=1000,"751-R$1000",U1264&lt;=1250,"1001-R$1250",U1264&lt;=1500,"1251-R$1500")</f>
        <v>0-R$250</v>
      </c>
      <c r="W1264" s="13">
        <v>12</v>
      </c>
      <c r="X1264" s="13" t="str" cm="1">
        <f t="array" ref="X1264">_xlfn.IFS(W1264 = 0, "0", W1264&lt;=20, "até R$20",W1264&lt;=40, "21 - R$40",W1264&lt;=60, "41- R$60",W1264&lt;=80, "61 - R$80", W1264&lt;=100, "81 - R$100",W1264&lt;=120, "101 - R$120",W1264&lt;=140, "121 - R$140", W1264&lt;=160, "141- R$160", W1264&lt;=180, "161 - R$180", W1264&lt;=200, "181-R$194")</f>
        <v>até R$20</v>
      </c>
      <c r="Y1264" s="13">
        <v>75</v>
      </c>
      <c r="Z1264" s="13">
        <v>33</v>
      </c>
      <c r="AA1264" s="13">
        <v>15</v>
      </c>
      <c r="AB1264" s="13">
        <v>6</v>
      </c>
      <c r="AC1264" s="13">
        <v>1</v>
      </c>
      <c r="AD1264" s="13">
        <v>4</v>
      </c>
      <c r="AE1264" s="13">
        <v>1</v>
      </c>
      <c r="AF1264" s="13">
        <v>5</v>
      </c>
      <c r="AG1264" s="13">
        <v>4</v>
      </c>
      <c r="AH1264" s="13">
        <v>0</v>
      </c>
      <c r="AI1264" s="13">
        <v>0</v>
      </c>
      <c r="AJ1264" s="13">
        <v>0</v>
      </c>
      <c r="AK1264" s="13">
        <v>0</v>
      </c>
      <c r="AL1264" s="13">
        <v>0</v>
      </c>
      <c r="AM1264" s="13">
        <v>0</v>
      </c>
      <c r="AN1264" s="13">
        <v>0</v>
      </c>
      <c r="AO1264" s="14">
        <v>0</v>
      </c>
      <c r="AP1264" s="13">
        <v>3</v>
      </c>
      <c r="AQ1264" s="13">
        <v>11</v>
      </c>
      <c r="AR1264" s="15">
        <v>215</v>
      </c>
      <c r="AS1264" s="15">
        <v>221</v>
      </c>
    </row>
    <row r="1265" spans="1:45" x14ac:dyDescent="0.25">
      <c r="A1265">
        <v>1870</v>
      </c>
      <c r="B1265" s="11">
        <f t="shared" si="19"/>
        <v>49160</v>
      </c>
      <c r="C1265" s="12">
        <v>491600</v>
      </c>
      <c r="D1265" s="13">
        <v>0</v>
      </c>
      <c r="E1265" s="13">
        <v>1</v>
      </c>
      <c r="F1265" s="13">
        <v>29</v>
      </c>
      <c r="G1265" s="13">
        <v>71</v>
      </c>
      <c r="H1265" s="13" t="str" cm="1">
        <f t="array" ref="H1265">_xlfn.IFS(G1265&lt;=20,"0-20",G1265&lt;=30,"20-30",G1265&lt;=40,"30-40",G1265&lt;=50,"50-60",G1265&lt;=60,"60-70",G1265&lt;=70,"70-80",G1265&lt;=80,"80-90")</f>
        <v>80-90</v>
      </c>
      <c r="I1265" s="13">
        <v>2411</v>
      </c>
      <c r="J1265" s="13" t="str" cm="1">
        <f t="array" ref="J1265">_xlfn.IFS(K1265=1,"Divorciado",L1265=1,"Casado",M1265=1,"Solteiro",N1265=1,"Juntos",O1265=1,"Viuvo")</f>
        <v>Divorciado</v>
      </c>
      <c r="K1265" s="13">
        <v>1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1</v>
      </c>
      <c r="S1265" s="13">
        <v>0</v>
      </c>
      <c r="T1265" s="13">
        <v>0</v>
      </c>
      <c r="U1265" s="13">
        <v>122</v>
      </c>
      <c r="V1265" s="13" t="str" cm="1">
        <f t="array" ref="V1265">_xlfn.IFS(U1265&lt;=250,"0-R$250",U1265&lt;=500,"251-R$500",U1265&lt;=750,"501-R$750",U1265&lt;=1000,"751-R$1000",U1265&lt;=1250,"1001-R$1250",U1265&lt;=1500,"1251-R$1500")</f>
        <v>0-R$250</v>
      </c>
      <c r="W1265" s="13">
        <v>21</v>
      </c>
      <c r="X1265" s="13" t="str" cm="1">
        <f t="array" ref="X1265">_xlfn.IFS(W1265 = 0, "0", W1265&lt;=20, "até R$20",W1265&lt;=40, "21 - R$40",W1265&lt;=60, "41- R$60",W1265&lt;=80, "61 - R$80", W1265&lt;=100, "81 - R$100",W1265&lt;=120, "101 - R$120",W1265&lt;=140, "121 - R$140", W1265&lt;=160, "141- R$160", W1265&lt;=180, "161 - R$180", W1265&lt;=200, "181-R$194")</f>
        <v>21 - R$40</v>
      </c>
      <c r="Y1265" s="13">
        <v>43</v>
      </c>
      <c r="Z1265" s="13">
        <v>25</v>
      </c>
      <c r="AA1265" s="13">
        <v>10</v>
      </c>
      <c r="AB1265" s="13">
        <v>15</v>
      </c>
      <c r="AC1265" s="13">
        <v>2</v>
      </c>
      <c r="AD1265" s="13">
        <v>3</v>
      </c>
      <c r="AE1265" s="13">
        <v>1</v>
      </c>
      <c r="AF1265" s="13">
        <v>6</v>
      </c>
      <c r="AG1265" s="13">
        <v>6</v>
      </c>
      <c r="AH1265" s="13">
        <v>0</v>
      </c>
      <c r="AI1265" s="13">
        <v>0</v>
      </c>
      <c r="AJ1265" s="13">
        <v>0</v>
      </c>
      <c r="AK1265" s="13">
        <v>0</v>
      </c>
      <c r="AL1265" s="13">
        <v>0</v>
      </c>
      <c r="AM1265" s="13">
        <v>0</v>
      </c>
      <c r="AN1265" s="13">
        <v>0</v>
      </c>
      <c r="AO1265" s="14">
        <v>0</v>
      </c>
      <c r="AP1265" s="13">
        <v>3</v>
      </c>
      <c r="AQ1265" s="13">
        <v>11</v>
      </c>
      <c r="AR1265" s="15">
        <v>206</v>
      </c>
      <c r="AS1265" s="15">
        <v>221</v>
      </c>
    </row>
    <row r="1266" spans="1:45" x14ac:dyDescent="0.25">
      <c r="A1266">
        <v>1961</v>
      </c>
      <c r="B1266" s="11">
        <f t="shared" si="19"/>
        <v>57113</v>
      </c>
      <c r="C1266" s="16">
        <v>571130</v>
      </c>
      <c r="D1266" s="17">
        <v>1</v>
      </c>
      <c r="E1266" s="17">
        <v>1</v>
      </c>
      <c r="F1266" s="17">
        <v>45</v>
      </c>
      <c r="G1266" s="17">
        <v>42</v>
      </c>
      <c r="H1266" s="13" t="str" cm="1">
        <f t="array" ref="H1266">_xlfn.IFS(G1266&lt;=20,"0-20",G1266&lt;=30,"20-30",G1266&lt;=40,"30-40",G1266&lt;=50,"50-60",G1266&lt;=60,"60-70",G1266&lt;=70,"70-80",G1266&lt;=80,"80-90")</f>
        <v>50-60</v>
      </c>
      <c r="I1266" s="17">
        <v>2667</v>
      </c>
      <c r="J1266" s="13" t="str" cm="1">
        <f t="array" ref="J1266">_xlfn.IFS(K1266=1,"Divorciado",L1266=1,"Casado",M1266=1,"Solteiro",N1266=1,"Juntos",O1266=1,"Viuvo")</f>
        <v>Casado</v>
      </c>
      <c r="K1266" s="17">
        <v>0</v>
      </c>
      <c r="L1266" s="17">
        <v>1</v>
      </c>
      <c r="M1266" s="17">
        <v>0</v>
      </c>
      <c r="N1266" s="17">
        <v>0</v>
      </c>
      <c r="O1266" s="17">
        <v>0</v>
      </c>
      <c r="P1266" s="17">
        <v>0</v>
      </c>
      <c r="Q1266" s="17">
        <v>0</v>
      </c>
      <c r="R1266" s="17">
        <v>1</v>
      </c>
      <c r="S1266" s="17">
        <v>0</v>
      </c>
      <c r="T1266" s="17">
        <v>0</v>
      </c>
      <c r="U1266" s="17">
        <v>182</v>
      </c>
      <c r="V1266" s="13" t="str" cm="1">
        <f t="array" ref="V1266">_xlfn.IFS(U1266&lt;=250,"0-R$250",U1266&lt;=500,"251-R$500",U1266&lt;=750,"501-R$750",U1266&lt;=1000,"751-R$1000",U1266&lt;=1250,"1001-R$1250",U1266&lt;=1500,"1251-R$1500")</f>
        <v>0-R$250</v>
      </c>
      <c r="W1266" s="17">
        <v>4</v>
      </c>
      <c r="X1266" s="13" t="str" cm="1">
        <f t="array" ref="X1266">_xlfn.IFS(W1266 = 0, "0", W1266&lt;=20, "até R$20",W1266&lt;=40, "21 - R$40",W1266&lt;=60, "41- R$60",W1266&lt;=80, "61 - R$80", W1266&lt;=100, "81 - R$100",W1266&lt;=120, "101 - R$120",W1266&lt;=140, "121 - R$140", W1266&lt;=160, "141- R$160", W1266&lt;=180, "161 - R$180", W1266&lt;=200, "181-R$194")</f>
        <v>até R$20</v>
      </c>
      <c r="Y1266" s="17">
        <v>33</v>
      </c>
      <c r="Z1266" s="17">
        <v>0</v>
      </c>
      <c r="AA1266" s="17">
        <v>2</v>
      </c>
      <c r="AB1266" s="17">
        <v>42</v>
      </c>
      <c r="AC1266" s="17">
        <v>6</v>
      </c>
      <c r="AD1266" s="17">
        <v>4</v>
      </c>
      <c r="AE1266" s="17">
        <v>1</v>
      </c>
      <c r="AF1266" s="17">
        <v>5</v>
      </c>
      <c r="AG1266" s="17">
        <v>7</v>
      </c>
      <c r="AH1266" s="17">
        <v>0</v>
      </c>
      <c r="AI1266" s="17">
        <v>0</v>
      </c>
      <c r="AJ1266" s="17">
        <v>0</v>
      </c>
      <c r="AK1266" s="17">
        <v>0</v>
      </c>
      <c r="AL1266" s="17">
        <v>0</v>
      </c>
      <c r="AM1266" s="17">
        <v>0</v>
      </c>
      <c r="AN1266" s="17">
        <v>0</v>
      </c>
      <c r="AO1266" s="18">
        <v>0</v>
      </c>
      <c r="AP1266" s="17">
        <v>3</v>
      </c>
      <c r="AQ1266" s="17">
        <v>11</v>
      </c>
      <c r="AR1266" s="19">
        <v>179</v>
      </c>
      <c r="AS1266" s="19">
        <v>221</v>
      </c>
    </row>
    <row r="1267" spans="1:45" x14ac:dyDescent="0.25">
      <c r="A1267">
        <v>2104</v>
      </c>
      <c r="B1267" s="11">
        <f t="shared" si="19"/>
        <v>40590</v>
      </c>
      <c r="C1267" s="12">
        <v>405900</v>
      </c>
      <c r="D1267" s="13">
        <v>1</v>
      </c>
      <c r="E1267" s="13">
        <v>1</v>
      </c>
      <c r="F1267" s="13">
        <v>30</v>
      </c>
      <c r="G1267" s="13">
        <v>51</v>
      </c>
      <c r="H1267" s="13" t="str" cm="1">
        <f t="array" ref="H1267">_xlfn.IFS(G1267&lt;=20,"0-20",G1267&lt;=30,"20-30",G1267&lt;=40,"30-40",G1267&lt;=50,"50-60",G1267&lt;=60,"60-70",G1267&lt;=70,"70-80",G1267&lt;=80,"80-90")</f>
        <v>60-70</v>
      </c>
      <c r="I1267" s="13">
        <v>2429</v>
      </c>
      <c r="J1267" s="13" t="str" cm="1">
        <f t="array" ref="J1267">_xlfn.IFS(K1267=1,"Divorciado",L1267=1,"Casado",M1267=1,"Solteiro",N1267=1,"Juntos",O1267=1,"Viuvo")</f>
        <v>Viuvo</v>
      </c>
      <c r="K1267" s="13">
        <v>0</v>
      </c>
      <c r="L1267" s="13">
        <v>0</v>
      </c>
      <c r="M1267" s="13">
        <v>0</v>
      </c>
      <c r="N1267" s="13">
        <v>0</v>
      </c>
      <c r="O1267" s="13">
        <v>1</v>
      </c>
      <c r="P1267" s="13">
        <v>0</v>
      </c>
      <c r="Q1267" s="13">
        <v>0</v>
      </c>
      <c r="R1267" s="13">
        <v>1</v>
      </c>
      <c r="S1267" s="13">
        <v>0</v>
      </c>
      <c r="T1267" s="13">
        <v>0</v>
      </c>
      <c r="U1267" s="13">
        <v>154</v>
      </c>
      <c r="V1267" s="13" t="str" cm="1">
        <f t="array" ref="V1267">_xlfn.IFS(U1267&lt;=250,"0-R$250",U1267&lt;=500,"251-R$500",U1267&lt;=750,"501-R$750",U1267&lt;=1000,"751-R$1000",U1267&lt;=1250,"1001-R$1250",U1267&lt;=1500,"1251-R$1500")</f>
        <v>0-R$250</v>
      </c>
      <c r="W1267" s="13">
        <v>0</v>
      </c>
      <c r="X1267" s="13" t="str" cm="1">
        <f t="array" ref="X1267">_xlfn.IFS(W1267 = 0, "0", W1267&lt;=20, "até R$20",W1267&lt;=40, "21 - R$40",W1267&lt;=60, "41- R$60",W1267&lt;=80, "61 - R$80", W1267&lt;=100, "81 - R$100",W1267&lt;=120, "101 - R$120",W1267&lt;=140, "121 - R$140", W1267&lt;=160, "141- R$160", W1267&lt;=180, "161 - R$180", W1267&lt;=200, "181-R$194")</f>
        <v>0</v>
      </c>
      <c r="Y1267" s="13">
        <v>50</v>
      </c>
      <c r="Z1267" s="13">
        <v>6</v>
      </c>
      <c r="AA1267" s="13">
        <v>11</v>
      </c>
      <c r="AB1267" s="13">
        <v>37</v>
      </c>
      <c r="AC1267" s="13">
        <v>5</v>
      </c>
      <c r="AD1267" s="13">
        <v>3</v>
      </c>
      <c r="AE1267" s="13">
        <v>4</v>
      </c>
      <c r="AF1267" s="13">
        <v>3</v>
      </c>
      <c r="AG1267" s="13">
        <v>6</v>
      </c>
      <c r="AH1267" s="13">
        <v>0</v>
      </c>
      <c r="AI1267" s="13">
        <v>1</v>
      </c>
      <c r="AJ1267" s="13">
        <v>0</v>
      </c>
      <c r="AK1267" s="13">
        <v>0</v>
      </c>
      <c r="AL1267" s="13">
        <v>0</v>
      </c>
      <c r="AM1267" s="13">
        <v>0</v>
      </c>
      <c r="AN1267" s="13">
        <v>0</v>
      </c>
      <c r="AO1267" s="14">
        <v>1</v>
      </c>
      <c r="AP1267" s="13">
        <v>3</v>
      </c>
      <c r="AQ1267" s="13">
        <v>11</v>
      </c>
      <c r="AR1267" s="15">
        <v>184</v>
      </c>
      <c r="AS1267" s="15">
        <v>221</v>
      </c>
    </row>
    <row r="1268" spans="1:45" x14ac:dyDescent="0.25">
      <c r="A1268">
        <v>2121</v>
      </c>
      <c r="B1268" s="11">
        <f t="shared" si="19"/>
        <v>40590</v>
      </c>
      <c r="C1268" s="16">
        <v>405900</v>
      </c>
      <c r="D1268" s="17">
        <v>1</v>
      </c>
      <c r="E1268" s="17">
        <v>1</v>
      </c>
      <c r="F1268" s="17">
        <v>30</v>
      </c>
      <c r="G1268" s="17">
        <v>51</v>
      </c>
      <c r="H1268" s="13" t="str" cm="1">
        <f t="array" ref="H1268">_xlfn.IFS(G1268&lt;=20,"0-20",G1268&lt;=30,"20-30",G1268&lt;=40,"30-40",G1268&lt;=50,"50-60",G1268&lt;=60,"60-70",G1268&lt;=70,"70-80",G1268&lt;=80,"80-90")</f>
        <v>60-70</v>
      </c>
      <c r="I1268" s="17">
        <v>2429</v>
      </c>
      <c r="J1268" s="13" t="str" cm="1">
        <f t="array" ref="J1268">_xlfn.IFS(K1268=1,"Divorciado",L1268=1,"Casado",M1268=1,"Solteiro",N1268=1,"Juntos",O1268=1,"Viuvo")</f>
        <v>Viuvo</v>
      </c>
      <c r="K1268" s="17">
        <v>0</v>
      </c>
      <c r="L1268" s="17">
        <v>0</v>
      </c>
      <c r="M1268" s="17">
        <v>0</v>
      </c>
      <c r="N1268" s="17">
        <v>0</v>
      </c>
      <c r="O1268" s="17">
        <v>1</v>
      </c>
      <c r="P1268" s="17">
        <v>0</v>
      </c>
      <c r="Q1268" s="17">
        <v>0</v>
      </c>
      <c r="R1268" s="17">
        <v>1</v>
      </c>
      <c r="S1268" s="17">
        <v>0</v>
      </c>
      <c r="T1268" s="17">
        <v>0</v>
      </c>
      <c r="U1268" s="17">
        <v>154</v>
      </c>
      <c r="V1268" s="13" t="str" cm="1">
        <f t="array" ref="V1268">_xlfn.IFS(U1268&lt;=250,"0-R$250",U1268&lt;=500,"251-R$500",U1268&lt;=750,"501-R$750",U1268&lt;=1000,"751-R$1000",U1268&lt;=1250,"1001-R$1250",U1268&lt;=1500,"1251-R$1500")</f>
        <v>0-R$250</v>
      </c>
      <c r="W1268" s="17">
        <v>0</v>
      </c>
      <c r="X1268" s="13" t="str" cm="1">
        <f t="array" ref="X1268">_xlfn.IFS(W1268 = 0, "0", W1268&lt;=20, "até R$20",W1268&lt;=40, "21 - R$40",W1268&lt;=60, "41- R$60",W1268&lt;=80, "61 - R$80", W1268&lt;=100, "81 - R$100",W1268&lt;=120, "101 - R$120",W1268&lt;=140, "121 - R$140", W1268&lt;=160, "141- R$160", W1268&lt;=180, "161 - R$180", W1268&lt;=200, "181-R$194")</f>
        <v>0</v>
      </c>
      <c r="Y1268" s="17">
        <v>50</v>
      </c>
      <c r="Z1268" s="17">
        <v>6</v>
      </c>
      <c r="AA1268" s="17">
        <v>11</v>
      </c>
      <c r="AB1268" s="17">
        <v>37</v>
      </c>
      <c r="AC1268" s="17">
        <v>5</v>
      </c>
      <c r="AD1268" s="17">
        <v>3</v>
      </c>
      <c r="AE1268" s="17">
        <v>4</v>
      </c>
      <c r="AF1268" s="17">
        <v>3</v>
      </c>
      <c r="AG1268" s="17">
        <v>6</v>
      </c>
      <c r="AH1268" s="17">
        <v>0</v>
      </c>
      <c r="AI1268" s="17">
        <v>1</v>
      </c>
      <c r="AJ1268" s="17">
        <v>0</v>
      </c>
      <c r="AK1268" s="17">
        <v>0</v>
      </c>
      <c r="AL1268" s="17">
        <v>0</v>
      </c>
      <c r="AM1268" s="17">
        <v>0</v>
      </c>
      <c r="AN1268" s="17">
        <v>0</v>
      </c>
      <c r="AO1268" s="18">
        <v>1</v>
      </c>
      <c r="AP1268" s="17">
        <v>3</v>
      </c>
      <c r="AQ1268" s="17">
        <v>11</v>
      </c>
      <c r="AR1268" s="19">
        <v>184</v>
      </c>
      <c r="AS1268" s="19">
        <v>221</v>
      </c>
    </row>
    <row r="1269" spans="1:45" x14ac:dyDescent="0.25">
      <c r="A1269">
        <v>1350</v>
      </c>
      <c r="B1269" s="11">
        <f t="shared" si="19"/>
        <v>57338</v>
      </c>
      <c r="C1269" s="12">
        <v>573380</v>
      </c>
      <c r="D1269" s="13">
        <v>0</v>
      </c>
      <c r="E1269" s="13">
        <v>1</v>
      </c>
      <c r="F1269" s="13">
        <v>96</v>
      </c>
      <c r="G1269" s="13">
        <v>45</v>
      </c>
      <c r="H1269" s="13" t="str" cm="1">
        <f t="array" ref="H1269">_xlfn.IFS(G1269&lt;=20,"0-20",G1269&lt;=30,"20-30",G1269&lt;=40,"30-40",G1269&lt;=50,"50-60",G1269&lt;=60,"60-70",G1269&lt;=70,"70-80",G1269&lt;=80,"80-90")</f>
        <v>50-60</v>
      </c>
      <c r="I1269" s="13">
        <v>2220</v>
      </c>
      <c r="J1269" s="13" t="str" cm="1">
        <f t="array" ref="J1269">_xlfn.IFS(K1269=1,"Divorciado",L1269=1,"Casado",M1269=1,"Solteiro",N1269=1,"Juntos",O1269=1,"Viuvo")</f>
        <v>Solteiro</v>
      </c>
      <c r="K1269" s="13">
        <v>0</v>
      </c>
      <c r="L1269" s="13">
        <v>0</v>
      </c>
      <c r="M1269" s="13">
        <v>1</v>
      </c>
      <c r="N1269" s="13">
        <v>0</v>
      </c>
      <c r="O1269" s="13">
        <v>0</v>
      </c>
      <c r="P1269" s="13">
        <v>0</v>
      </c>
      <c r="Q1269" s="13">
        <v>0</v>
      </c>
      <c r="R1269" s="13">
        <v>1</v>
      </c>
      <c r="S1269" s="13">
        <v>0</v>
      </c>
      <c r="T1269" s="13">
        <v>0</v>
      </c>
      <c r="U1269" s="13">
        <v>143</v>
      </c>
      <c r="V1269" s="13" t="str" cm="1">
        <f t="array" ref="V1269">_xlfn.IFS(U1269&lt;=250,"0-R$250",U1269&lt;=500,"251-R$500",U1269&lt;=750,"501-R$750",U1269&lt;=1000,"751-R$1000",U1269&lt;=1250,"1001-R$1250",U1269&lt;=1500,"1251-R$1500")</f>
        <v>0-R$250</v>
      </c>
      <c r="W1269" s="13">
        <v>6</v>
      </c>
      <c r="X1269" s="13" t="str" cm="1">
        <f t="array" ref="X1269">_xlfn.IFS(W1269 = 0, "0", W1269&lt;=20, "até R$20",W1269&lt;=40, "21 - R$40",W1269&lt;=60, "41- R$60",W1269&lt;=80, "61 - R$80", W1269&lt;=100, "81 - R$100",W1269&lt;=120, "101 - R$120",W1269&lt;=140, "121 - R$140", W1269&lt;=160, "141- R$160", W1269&lt;=180, "161 - R$180", W1269&lt;=200, "181-R$194")</f>
        <v>até R$20</v>
      </c>
      <c r="Y1269" s="13">
        <v>52</v>
      </c>
      <c r="Z1269" s="13">
        <v>11</v>
      </c>
      <c r="AA1269" s="13">
        <v>8</v>
      </c>
      <c r="AB1269" s="13">
        <v>17</v>
      </c>
      <c r="AC1269" s="13">
        <v>2</v>
      </c>
      <c r="AD1269" s="13">
        <v>4</v>
      </c>
      <c r="AE1269" s="13">
        <v>1</v>
      </c>
      <c r="AF1269" s="13">
        <v>5</v>
      </c>
      <c r="AG1269" s="13">
        <v>5</v>
      </c>
      <c r="AH1269" s="13">
        <v>0</v>
      </c>
      <c r="AI1269" s="13">
        <v>0</v>
      </c>
      <c r="AJ1269" s="13">
        <v>0</v>
      </c>
      <c r="AK1269" s="13">
        <v>0</v>
      </c>
      <c r="AL1269" s="13">
        <v>0</v>
      </c>
      <c r="AM1269" s="13">
        <v>0</v>
      </c>
      <c r="AN1269" s="13">
        <v>0</v>
      </c>
      <c r="AO1269" s="14">
        <v>0</v>
      </c>
      <c r="AP1269" s="13">
        <v>3</v>
      </c>
      <c r="AQ1269" s="13">
        <v>11</v>
      </c>
      <c r="AR1269" s="15">
        <v>203</v>
      </c>
      <c r="AS1269" s="15">
        <v>220</v>
      </c>
    </row>
    <row r="1270" spans="1:45" x14ac:dyDescent="0.25">
      <c r="A1270">
        <v>1607</v>
      </c>
      <c r="B1270" s="11">
        <f t="shared" si="19"/>
        <v>42731</v>
      </c>
      <c r="C1270" s="16">
        <v>427310</v>
      </c>
      <c r="D1270" s="17">
        <v>1</v>
      </c>
      <c r="E1270" s="17">
        <v>0</v>
      </c>
      <c r="F1270" s="17">
        <v>64</v>
      </c>
      <c r="G1270" s="17">
        <v>51</v>
      </c>
      <c r="H1270" s="13" t="str" cm="1">
        <f t="array" ref="H1270">_xlfn.IFS(G1270&lt;=20,"0-20",G1270&lt;=30,"20-30",G1270&lt;=40,"30-40",G1270&lt;=50,"50-60",G1270&lt;=60,"60-70",G1270&lt;=70,"70-80",G1270&lt;=80,"80-90")</f>
        <v>60-70</v>
      </c>
      <c r="I1270" s="17">
        <v>2410</v>
      </c>
      <c r="J1270" s="13" t="str" cm="1">
        <f t="array" ref="J1270">_xlfn.IFS(K1270=1,"Divorciado",L1270=1,"Casado",M1270=1,"Solteiro",N1270=1,"Juntos",O1270=1,"Viuvo")</f>
        <v>Juntos</v>
      </c>
      <c r="K1270" s="17">
        <v>0</v>
      </c>
      <c r="L1270" s="17">
        <v>0</v>
      </c>
      <c r="M1270" s="17">
        <v>0</v>
      </c>
      <c r="N1270" s="17">
        <v>1</v>
      </c>
      <c r="O1270" s="17">
        <v>0</v>
      </c>
      <c r="P1270" s="17">
        <v>0</v>
      </c>
      <c r="Q1270" s="17">
        <v>0</v>
      </c>
      <c r="R1270" s="17">
        <v>0</v>
      </c>
      <c r="S1270" s="17">
        <v>0</v>
      </c>
      <c r="T1270" s="17">
        <v>1</v>
      </c>
      <c r="U1270" s="17">
        <v>159</v>
      </c>
      <c r="V1270" s="13" t="str" cm="1">
        <f t="array" ref="V1270">_xlfn.IFS(U1270&lt;=250,"0-R$250",U1270&lt;=500,"251-R$500",U1270&lt;=750,"501-R$750",U1270&lt;=1000,"751-R$1000",U1270&lt;=1250,"1001-R$1250",U1270&lt;=1500,"1251-R$1500")</f>
        <v>0-R$250</v>
      </c>
      <c r="W1270" s="17">
        <v>2</v>
      </c>
      <c r="X1270" s="13" t="str" cm="1">
        <f t="array" ref="X1270">_xlfn.IFS(W1270 = 0, "0", W1270&lt;=20, "até R$20",W1270&lt;=40, "21 - R$40",W1270&lt;=60, "41- R$60",W1270&lt;=80, "61 - R$80", W1270&lt;=100, "81 - R$100",W1270&lt;=120, "101 - R$120",W1270&lt;=140, "121 - R$140", W1270&lt;=160, "141- R$160", W1270&lt;=180, "161 - R$180", W1270&lt;=200, "181-R$194")</f>
        <v>até R$20</v>
      </c>
      <c r="Y1270" s="17">
        <v>51</v>
      </c>
      <c r="Z1270" s="17">
        <v>6</v>
      </c>
      <c r="AA1270" s="17">
        <v>2</v>
      </c>
      <c r="AB1270" s="17">
        <v>24</v>
      </c>
      <c r="AC1270" s="17">
        <v>3</v>
      </c>
      <c r="AD1270" s="17">
        <v>4</v>
      </c>
      <c r="AE1270" s="17">
        <v>1</v>
      </c>
      <c r="AF1270" s="17">
        <v>5</v>
      </c>
      <c r="AG1270" s="17">
        <v>5</v>
      </c>
      <c r="AH1270" s="17">
        <v>0</v>
      </c>
      <c r="AI1270" s="17">
        <v>0</v>
      </c>
      <c r="AJ1270" s="17">
        <v>0</v>
      </c>
      <c r="AK1270" s="17">
        <v>0</v>
      </c>
      <c r="AL1270" s="17">
        <v>0</v>
      </c>
      <c r="AM1270" s="17">
        <v>0</v>
      </c>
      <c r="AN1270" s="17">
        <v>0</v>
      </c>
      <c r="AO1270" s="18">
        <v>0</v>
      </c>
      <c r="AP1270" s="17">
        <v>3</v>
      </c>
      <c r="AQ1270" s="17">
        <v>11</v>
      </c>
      <c r="AR1270" s="19">
        <v>196</v>
      </c>
      <c r="AS1270" s="19">
        <v>220</v>
      </c>
    </row>
    <row r="1271" spans="1:45" x14ac:dyDescent="0.25">
      <c r="A1271">
        <v>2066</v>
      </c>
      <c r="B1271" s="11">
        <f t="shared" si="19"/>
        <v>54252</v>
      </c>
      <c r="C1271" s="12">
        <v>542520</v>
      </c>
      <c r="D1271" s="13">
        <v>1</v>
      </c>
      <c r="E1271" s="13">
        <v>1</v>
      </c>
      <c r="F1271" s="13">
        <v>25</v>
      </c>
      <c r="G1271" s="13">
        <v>64</v>
      </c>
      <c r="H1271" s="13" t="str" cm="1">
        <f t="array" ref="H1271">_xlfn.IFS(G1271&lt;=20,"0-20",G1271&lt;=30,"20-30",G1271&lt;=40,"30-40",G1271&lt;=50,"50-60",G1271&lt;=60,"60-70",G1271&lt;=70,"70-80",G1271&lt;=80,"80-90")</f>
        <v>70-80</v>
      </c>
      <c r="I1271" s="13">
        <v>2556</v>
      </c>
      <c r="J1271" s="13" t="str" cm="1">
        <f t="array" ref="J1271">_xlfn.IFS(K1271=1,"Divorciado",L1271=1,"Casado",M1271=1,"Solteiro",N1271=1,"Juntos",O1271=1,"Viuvo")</f>
        <v>Solteiro</v>
      </c>
      <c r="K1271" s="13">
        <v>0</v>
      </c>
      <c r="L1271" s="13">
        <v>0</v>
      </c>
      <c r="M1271" s="13">
        <v>1</v>
      </c>
      <c r="N1271" s="13">
        <v>0</v>
      </c>
      <c r="O1271" s="13">
        <v>0</v>
      </c>
      <c r="P1271" s="13">
        <v>0</v>
      </c>
      <c r="Q1271" s="13">
        <v>0</v>
      </c>
      <c r="R1271" s="13">
        <v>1</v>
      </c>
      <c r="S1271" s="13">
        <v>0</v>
      </c>
      <c r="T1271" s="13">
        <v>0</v>
      </c>
      <c r="U1271" s="13">
        <v>178</v>
      </c>
      <c r="V1271" s="13" t="str" cm="1">
        <f t="array" ref="V1271">_xlfn.IFS(U1271&lt;=250,"0-R$250",U1271&lt;=500,"251-R$500",U1271&lt;=750,"501-R$750",U1271&lt;=1000,"751-R$1000",U1271&lt;=1250,"1001-R$1250",U1271&lt;=1500,"1251-R$1500")</f>
        <v>0-R$250</v>
      </c>
      <c r="W1271" s="13">
        <v>4</v>
      </c>
      <c r="X1271" s="13" t="str" cm="1">
        <f t="array" ref="X1271">_xlfn.IFS(W1271 = 0, "0", W1271&lt;=20, "até R$20",W1271&lt;=40, "21 - R$40",W1271&lt;=60, "41- R$60",W1271&lt;=80, "61 - R$80", W1271&lt;=100, "81 - R$100",W1271&lt;=120, "101 - R$120",W1271&lt;=140, "121 - R$140", W1271&lt;=160, "141- R$160", W1271&lt;=180, "161 - R$180", W1271&lt;=200, "181-R$194")</f>
        <v>até R$20</v>
      </c>
      <c r="Y1271" s="13">
        <v>26</v>
      </c>
      <c r="Z1271" s="13">
        <v>8</v>
      </c>
      <c r="AA1271" s="13">
        <v>4</v>
      </c>
      <c r="AB1271" s="13">
        <v>44</v>
      </c>
      <c r="AC1271" s="13">
        <v>5</v>
      </c>
      <c r="AD1271" s="13">
        <v>4</v>
      </c>
      <c r="AE1271" s="13">
        <v>1</v>
      </c>
      <c r="AF1271" s="13">
        <v>5</v>
      </c>
      <c r="AG1271" s="13">
        <v>6</v>
      </c>
      <c r="AH1271" s="13">
        <v>0</v>
      </c>
      <c r="AI1271" s="13">
        <v>0</v>
      </c>
      <c r="AJ1271" s="13">
        <v>0</v>
      </c>
      <c r="AK1271" s="13">
        <v>0</v>
      </c>
      <c r="AL1271" s="13">
        <v>0</v>
      </c>
      <c r="AM1271" s="13">
        <v>0</v>
      </c>
      <c r="AN1271" s="13">
        <v>0</v>
      </c>
      <c r="AO1271" s="14">
        <v>0</v>
      </c>
      <c r="AP1271" s="13">
        <v>3</v>
      </c>
      <c r="AQ1271" s="13">
        <v>11</v>
      </c>
      <c r="AR1271" s="15">
        <v>176</v>
      </c>
      <c r="AS1271" s="15">
        <v>220</v>
      </c>
    </row>
    <row r="1272" spans="1:45" x14ac:dyDescent="0.25">
      <c r="A1272">
        <v>206</v>
      </c>
      <c r="B1272" s="11">
        <f t="shared" si="19"/>
        <v>44551</v>
      </c>
      <c r="C1272" s="12">
        <v>445510</v>
      </c>
      <c r="D1272" s="13">
        <v>0</v>
      </c>
      <c r="E1272" s="13">
        <v>1</v>
      </c>
      <c r="F1272" s="13">
        <v>24</v>
      </c>
      <c r="G1272" s="13">
        <v>66</v>
      </c>
      <c r="H1272" s="13" t="str" cm="1">
        <f t="array" ref="H1272">_xlfn.IFS(G1272&lt;=20,"0-20",G1272&lt;=30,"20-30",G1272&lt;=40,"30-40",G1272&lt;=50,"50-60",G1272&lt;=60,"60-70",G1272&lt;=70,"70-80",G1272&lt;=80,"80-90")</f>
        <v>70-80</v>
      </c>
      <c r="I1272" s="13">
        <v>2461</v>
      </c>
      <c r="J1272" s="13" t="str" cm="1">
        <f t="array" ref="J1272">_xlfn.IFS(K1272=1,"Divorciado",L1272=1,"Casado",M1272=1,"Solteiro",N1272=1,"Juntos",O1272=1,"Viuvo")</f>
        <v>Viuvo</v>
      </c>
      <c r="K1272" s="13">
        <v>0</v>
      </c>
      <c r="L1272" s="13">
        <v>0</v>
      </c>
      <c r="M1272" s="13">
        <v>0</v>
      </c>
      <c r="N1272" s="13">
        <v>0</v>
      </c>
      <c r="O1272" s="13">
        <v>1</v>
      </c>
      <c r="P1272" s="13">
        <v>0</v>
      </c>
      <c r="Q1272" s="13">
        <v>0</v>
      </c>
      <c r="R1272" s="13">
        <v>0</v>
      </c>
      <c r="S1272" s="13">
        <v>1</v>
      </c>
      <c r="T1272" s="13">
        <v>0</v>
      </c>
      <c r="U1272" s="13">
        <v>182</v>
      </c>
      <c r="V1272" s="13" t="str" cm="1">
        <f t="array" ref="V1272">_xlfn.IFS(U1272&lt;=250,"0-R$250",U1272&lt;=500,"251-R$500",U1272&lt;=750,"501-R$750",U1272&lt;=1000,"751-R$1000",U1272&lt;=1250,"1001-R$1250",U1272&lt;=1500,"1251-R$1500")</f>
        <v>0-R$250</v>
      </c>
      <c r="W1272" s="13">
        <v>4</v>
      </c>
      <c r="X1272" s="13" t="str" cm="1">
        <f t="array" ref="X1272">_xlfn.IFS(W1272 = 0, "0", W1272&lt;=20, "até R$20",W1272&lt;=40, "21 - R$40",W1272&lt;=60, "41- R$60",W1272&lt;=80, "61 - R$80", W1272&lt;=100, "81 - R$100",W1272&lt;=120, "101 - R$120",W1272&lt;=140, "121 - R$140", W1272&lt;=160, "141- R$160", W1272&lt;=180, "161 - R$180", W1272&lt;=200, "181-R$194")</f>
        <v>até R$20</v>
      </c>
      <c r="Y1272" s="13">
        <v>33</v>
      </c>
      <c r="Z1272" s="13">
        <v>0</v>
      </c>
      <c r="AA1272" s="13">
        <v>0</v>
      </c>
      <c r="AB1272" s="13">
        <v>66</v>
      </c>
      <c r="AC1272" s="13">
        <v>2</v>
      </c>
      <c r="AD1272" s="13">
        <v>4</v>
      </c>
      <c r="AE1272" s="13">
        <v>1</v>
      </c>
      <c r="AF1272" s="13">
        <v>5</v>
      </c>
      <c r="AG1272" s="13">
        <v>7</v>
      </c>
      <c r="AH1272" s="13">
        <v>0</v>
      </c>
      <c r="AI1272" s="13">
        <v>0</v>
      </c>
      <c r="AJ1272" s="13">
        <v>0</v>
      </c>
      <c r="AK1272" s="13">
        <v>0</v>
      </c>
      <c r="AL1272" s="13">
        <v>0</v>
      </c>
      <c r="AM1272" s="13">
        <v>0</v>
      </c>
      <c r="AN1272" s="13">
        <v>0</v>
      </c>
      <c r="AO1272" s="14">
        <v>0</v>
      </c>
      <c r="AP1272" s="13">
        <v>3</v>
      </c>
      <c r="AQ1272" s="13">
        <v>11</v>
      </c>
      <c r="AR1272" s="15">
        <v>153</v>
      </c>
      <c r="AS1272" s="15">
        <v>219</v>
      </c>
    </row>
    <row r="1273" spans="1:45" x14ac:dyDescent="0.25">
      <c r="A1273">
        <v>441</v>
      </c>
      <c r="B1273" s="11">
        <f t="shared" si="19"/>
        <v>42207</v>
      </c>
      <c r="C1273" s="16">
        <v>422070</v>
      </c>
      <c r="D1273" s="17">
        <v>1</v>
      </c>
      <c r="E1273" s="17">
        <v>0</v>
      </c>
      <c r="F1273" s="17">
        <v>71</v>
      </c>
      <c r="G1273" s="17">
        <v>36</v>
      </c>
      <c r="H1273" s="13" t="str" cm="1">
        <f t="array" ref="H1273">_xlfn.IFS(G1273&lt;=20,"0-20",G1273&lt;=30,"20-30",G1273&lt;=40,"30-40",G1273&lt;=50,"50-60",G1273&lt;=60,"60-70",G1273&lt;=70,"70-80",G1273&lt;=80,"80-90")</f>
        <v>30-40</v>
      </c>
      <c r="I1273" s="17">
        <v>2613</v>
      </c>
      <c r="J1273" s="13" t="str" cm="1">
        <f t="array" ref="J1273">_xlfn.IFS(K1273=1,"Divorciado",L1273=1,"Casado",M1273=1,"Solteiro",N1273=1,"Juntos",O1273=1,"Viuvo")</f>
        <v>Casado</v>
      </c>
      <c r="K1273" s="17">
        <v>0</v>
      </c>
      <c r="L1273" s="17">
        <v>1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1</v>
      </c>
      <c r="T1273" s="17">
        <v>0</v>
      </c>
      <c r="U1273" s="17">
        <v>116</v>
      </c>
      <c r="V1273" s="13" t="str" cm="1">
        <f t="array" ref="V1273">_xlfn.IFS(U1273&lt;=250,"0-R$250",U1273&lt;=500,"251-R$500",U1273&lt;=750,"501-R$750",U1273&lt;=1000,"751-R$1000",U1273&lt;=1250,"1001-R$1250",U1273&lt;=1500,"1251-R$1500")</f>
        <v>0-R$250</v>
      </c>
      <c r="W1273" s="17">
        <v>11</v>
      </c>
      <c r="X1273" s="13" t="str" cm="1">
        <f t="array" ref="X1273">_xlfn.IFS(W1273 = 0, "0", W1273&lt;=20, "até R$20",W1273&lt;=40, "21 - R$40",W1273&lt;=60, "41- R$60",W1273&lt;=80, "61 - R$80", W1273&lt;=100, "81 - R$100",W1273&lt;=120, "101 - R$120",W1273&lt;=140, "121 - R$140", W1273&lt;=160, "141- R$160", W1273&lt;=180, "161 - R$180", W1273&lt;=200, "181-R$194")</f>
        <v>até R$20</v>
      </c>
      <c r="Y1273" s="17">
        <v>72</v>
      </c>
      <c r="Z1273" s="17">
        <v>3</v>
      </c>
      <c r="AA1273" s="17">
        <v>17</v>
      </c>
      <c r="AB1273" s="17">
        <v>46</v>
      </c>
      <c r="AC1273" s="17">
        <v>4</v>
      </c>
      <c r="AD1273" s="17">
        <v>4</v>
      </c>
      <c r="AE1273" s="17">
        <v>1</v>
      </c>
      <c r="AF1273" s="17">
        <v>5</v>
      </c>
      <c r="AG1273" s="17">
        <v>6</v>
      </c>
      <c r="AH1273" s="17">
        <v>0</v>
      </c>
      <c r="AI1273" s="17">
        <v>1</v>
      </c>
      <c r="AJ1273" s="17">
        <v>0</v>
      </c>
      <c r="AK1273" s="17">
        <v>0</v>
      </c>
      <c r="AL1273" s="17">
        <v>0</v>
      </c>
      <c r="AM1273" s="17">
        <v>0</v>
      </c>
      <c r="AN1273" s="17">
        <v>1</v>
      </c>
      <c r="AO1273" s="18">
        <v>1</v>
      </c>
      <c r="AP1273" s="17">
        <v>3</v>
      </c>
      <c r="AQ1273" s="17">
        <v>11</v>
      </c>
      <c r="AR1273" s="19">
        <v>173</v>
      </c>
      <c r="AS1273" s="19">
        <v>219</v>
      </c>
    </row>
    <row r="1274" spans="1:45" x14ac:dyDescent="0.25">
      <c r="A1274">
        <v>1564</v>
      </c>
      <c r="B1274" s="11">
        <f t="shared" si="19"/>
        <v>34968</v>
      </c>
      <c r="C1274" s="12">
        <v>349680</v>
      </c>
      <c r="D1274" s="13">
        <v>1</v>
      </c>
      <c r="E1274" s="13">
        <v>0</v>
      </c>
      <c r="F1274" s="13">
        <v>11</v>
      </c>
      <c r="G1274" s="13">
        <v>40</v>
      </c>
      <c r="H1274" s="13" t="str" cm="1">
        <f t="array" ref="H1274">_xlfn.IFS(G1274&lt;=20,"0-20",G1274&lt;=30,"20-30",G1274&lt;=40,"30-40",G1274&lt;=50,"50-60",G1274&lt;=60,"60-70",G1274&lt;=70,"70-80",G1274&lt;=80,"80-90")</f>
        <v>30-40</v>
      </c>
      <c r="I1274" s="13">
        <v>2604</v>
      </c>
      <c r="J1274" s="13" t="str" cm="1">
        <f t="array" ref="J1274">_xlfn.IFS(K1274=1,"Divorciado",L1274=1,"Casado",M1274=1,"Solteiro",N1274=1,"Juntos",O1274=1,"Viuvo")</f>
        <v>Casado</v>
      </c>
      <c r="K1274" s="13">
        <v>0</v>
      </c>
      <c r="L1274" s="13">
        <v>1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1</v>
      </c>
      <c r="S1274" s="13">
        <v>0</v>
      </c>
      <c r="T1274" s="13">
        <v>0</v>
      </c>
      <c r="U1274" s="13">
        <v>158</v>
      </c>
      <c r="V1274" s="13" t="str" cm="1">
        <f t="array" ref="V1274">_xlfn.IFS(U1274&lt;=250,"0-R$250",U1274&lt;=500,"251-R$500",U1274&lt;=750,"501-R$750",U1274&lt;=1000,"751-R$1000",U1274&lt;=1250,"1001-R$1250",U1274&lt;=1500,"1251-R$1500")</f>
        <v>0-R$250</v>
      </c>
      <c r="W1274" s="13">
        <v>6</v>
      </c>
      <c r="X1274" s="13" t="str" cm="1">
        <f t="array" ref="X1274">_xlfn.IFS(W1274 = 0, "0", W1274&lt;=20, "até R$20",W1274&lt;=40, "21 - R$40",W1274&lt;=60, "41- R$60",W1274&lt;=80, "61 - R$80", W1274&lt;=100, "81 - R$100",W1274&lt;=120, "101 - R$120",W1274&lt;=140, "121 - R$140", W1274&lt;=160, "141- R$160", W1274&lt;=180, "161 - R$180", W1274&lt;=200, "181-R$194")</f>
        <v>até R$20</v>
      </c>
      <c r="Y1274" s="13">
        <v>45</v>
      </c>
      <c r="Z1274" s="13">
        <v>8</v>
      </c>
      <c r="AA1274" s="13">
        <v>2</v>
      </c>
      <c r="AB1274" s="13">
        <v>2</v>
      </c>
      <c r="AC1274" s="13">
        <v>7</v>
      </c>
      <c r="AD1274" s="13">
        <v>3</v>
      </c>
      <c r="AE1274" s="13">
        <v>2</v>
      </c>
      <c r="AF1274" s="13">
        <v>5</v>
      </c>
      <c r="AG1274" s="13">
        <v>7</v>
      </c>
      <c r="AH1274" s="13">
        <v>0</v>
      </c>
      <c r="AI1274" s="13">
        <v>0</v>
      </c>
      <c r="AJ1274" s="13">
        <v>0</v>
      </c>
      <c r="AK1274" s="13">
        <v>0</v>
      </c>
      <c r="AL1274" s="13">
        <v>0</v>
      </c>
      <c r="AM1274" s="13">
        <v>0</v>
      </c>
      <c r="AN1274" s="13">
        <v>0</v>
      </c>
      <c r="AO1274" s="14">
        <v>0</v>
      </c>
      <c r="AP1274" s="13">
        <v>3</v>
      </c>
      <c r="AQ1274" s="13">
        <v>11</v>
      </c>
      <c r="AR1274" s="15">
        <v>217</v>
      </c>
      <c r="AS1274" s="15">
        <v>219</v>
      </c>
    </row>
    <row r="1275" spans="1:45" x14ac:dyDescent="0.25">
      <c r="A1275">
        <v>2077</v>
      </c>
      <c r="B1275" s="11">
        <f t="shared" si="19"/>
        <v>48150</v>
      </c>
      <c r="C1275" s="16">
        <v>481500</v>
      </c>
      <c r="D1275" s="17">
        <v>0</v>
      </c>
      <c r="E1275" s="17">
        <v>1</v>
      </c>
      <c r="F1275" s="17">
        <v>24</v>
      </c>
      <c r="G1275" s="17">
        <v>71</v>
      </c>
      <c r="H1275" s="13" t="str" cm="1">
        <f t="array" ref="H1275">_xlfn.IFS(G1275&lt;=20,"0-20",G1275&lt;=30,"20-30",G1275&lt;=40,"30-40",G1275&lt;=50,"50-60",G1275&lt;=60,"60-70",G1275&lt;=70,"70-80",G1275&lt;=80,"80-90")</f>
        <v>80-90</v>
      </c>
      <c r="I1275" s="17">
        <v>2545</v>
      </c>
      <c r="J1275" s="13" t="str" cm="1">
        <f t="array" ref="J1275">_xlfn.IFS(K1275=1,"Divorciado",L1275=1,"Casado",M1275=1,"Solteiro",N1275=1,"Juntos",O1275=1,"Viuvo")</f>
        <v>Casado</v>
      </c>
      <c r="K1275" s="17">
        <v>0</v>
      </c>
      <c r="L1275" s="17">
        <v>1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1</v>
      </c>
      <c r="T1275" s="17">
        <v>0</v>
      </c>
      <c r="U1275" s="17">
        <v>173</v>
      </c>
      <c r="V1275" s="13" t="str" cm="1">
        <f t="array" ref="V1275">_xlfn.IFS(U1275&lt;=250,"0-R$250",U1275&lt;=500,"251-R$500",U1275&lt;=750,"501-R$750",U1275&lt;=1000,"751-R$1000",U1275&lt;=1250,"1001-R$1250",U1275&lt;=1500,"1251-R$1500")</f>
        <v>0-R$250</v>
      </c>
      <c r="W1275" s="17">
        <v>2</v>
      </c>
      <c r="X1275" s="13" t="str" cm="1">
        <f t="array" ref="X1275">_xlfn.IFS(W1275 = 0, "0", W1275&lt;=20, "até R$20",W1275&lt;=40, "21 - R$40",W1275&lt;=60, "41- R$60",W1275&lt;=80, "61 - R$80", W1275&lt;=100, "81 - R$100",W1275&lt;=120, "101 - R$120",W1275&lt;=140, "121 - R$140", W1275&lt;=160, "141- R$160", W1275&lt;=180, "161 - R$180", W1275&lt;=200, "181-R$194")</f>
        <v>até R$20</v>
      </c>
      <c r="Y1275" s="17">
        <v>39</v>
      </c>
      <c r="Z1275" s="17">
        <v>3</v>
      </c>
      <c r="AA1275" s="17">
        <v>2</v>
      </c>
      <c r="AB1275" s="17">
        <v>47</v>
      </c>
      <c r="AC1275" s="17">
        <v>3</v>
      </c>
      <c r="AD1275" s="17">
        <v>5</v>
      </c>
      <c r="AE1275" s="17">
        <v>1</v>
      </c>
      <c r="AF1275" s="17">
        <v>4</v>
      </c>
      <c r="AG1275" s="17">
        <v>7</v>
      </c>
      <c r="AH1275" s="17">
        <v>0</v>
      </c>
      <c r="AI1275" s="17">
        <v>0</v>
      </c>
      <c r="AJ1275" s="17">
        <v>0</v>
      </c>
      <c r="AK1275" s="17">
        <v>0</v>
      </c>
      <c r="AL1275" s="17">
        <v>0</v>
      </c>
      <c r="AM1275" s="17">
        <v>0</v>
      </c>
      <c r="AN1275" s="17">
        <v>0</v>
      </c>
      <c r="AO1275" s="18">
        <v>0</v>
      </c>
      <c r="AP1275" s="17">
        <v>3</v>
      </c>
      <c r="AQ1275" s="17">
        <v>11</v>
      </c>
      <c r="AR1275" s="19">
        <v>172</v>
      </c>
      <c r="AS1275" s="19">
        <v>219</v>
      </c>
    </row>
    <row r="1276" spans="1:45" x14ac:dyDescent="0.25">
      <c r="A1276">
        <v>259</v>
      </c>
      <c r="B1276" s="11">
        <f t="shared" si="19"/>
        <v>61905</v>
      </c>
      <c r="C1276" s="16">
        <v>619050</v>
      </c>
      <c r="D1276" s="17">
        <v>0</v>
      </c>
      <c r="E1276" s="17">
        <v>1</v>
      </c>
      <c r="F1276" s="17">
        <v>2</v>
      </c>
      <c r="G1276" s="17">
        <v>45</v>
      </c>
      <c r="H1276" s="13" t="str" cm="1">
        <f t="array" ref="H1276">_xlfn.IFS(G1276&lt;=20,"0-20",G1276&lt;=30,"20-30",G1276&lt;=40,"30-40",G1276&lt;=50,"50-60",G1276&lt;=60,"60-70",G1276&lt;=70,"70-80",G1276&lt;=80,"80-90")</f>
        <v>50-60</v>
      </c>
      <c r="I1276" s="17">
        <v>2304</v>
      </c>
      <c r="J1276" s="13" t="str" cm="1">
        <f t="array" ref="J1276">_xlfn.IFS(K1276=1,"Divorciado",L1276=1,"Casado",M1276=1,"Solteiro",N1276=1,"Juntos",O1276=1,"Viuvo")</f>
        <v>Juntos</v>
      </c>
      <c r="K1276" s="17">
        <v>0</v>
      </c>
      <c r="L1276" s="17">
        <v>0</v>
      </c>
      <c r="M1276" s="17">
        <v>0</v>
      </c>
      <c r="N1276" s="17">
        <v>1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1</v>
      </c>
      <c r="U1276" s="17">
        <v>167</v>
      </c>
      <c r="V1276" s="13" t="str" cm="1">
        <f t="array" ref="V1276">_xlfn.IFS(U1276&lt;=250,"0-R$250",U1276&lt;=500,"251-R$500",U1276&lt;=750,"501-R$750",U1276&lt;=1000,"751-R$1000",U1276&lt;=1250,"1001-R$1250",U1276&lt;=1500,"1251-R$1500")</f>
        <v>0-R$250</v>
      </c>
      <c r="W1276" s="17">
        <v>0</v>
      </c>
      <c r="X1276" s="13" t="str" cm="1">
        <f t="array" ref="X1276">_xlfn.IFS(W1276 = 0, "0", W1276&lt;=20, "até R$20",W1276&lt;=40, "21 - R$40",W1276&lt;=60, "41- R$60",W1276&lt;=80, "61 - R$80", W1276&lt;=100, "81 - R$100",W1276&lt;=120, "101 - R$120",W1276&lt;=140, "121 - R$140", W1276&lt;=160, "141- R$160", W1276&lt;=180, "161 - R$180", W1276&lt;=200, "181-R$194")</f>
        <v>0</v>
      </c>
      <c r="Y1276" s="17">
        <v>43</v>
      </c>
      <c r="Z1276" s="17">
        <v>6</v>
      </c>
      <c r="AA1276" s="17">
        <v>2</v>
      </c>
      <c r="AB1276" s="17">
        <v>13</v>
      </c>
      <c r="AC1276" s="17">
        <v>2</v>
      </c>
      <c r="AD1276" s="17">
        <v>4</v>
      </c>
      <c r="AE1276" s="17">
        <v>2</v>
      </c>
      <c r="AF1276" s="17">
        <v>4</v>
      </c>
      <c r="AG1276" s="17">
        <v>5</v>
      </c>
      <c r="AH1276" s="17">
        <v>0</v>
      </c>
      <c r="AI1276" s="17">
        <v>0</v>
      </c>
      <c r="AJ1276" s="17">
        <v>0</v>
      </c>
      <c r="AK1276" s="17">
        <v>0</v>
      </c>
      <c r="AL1276" s="17">
        <v>0</v>
      </c>
      <c r="AM1276" s="17">
        <v>0</v>
      </c>
      <c r="AN1276" s="17">
        <v>0</v>
      </c>
      <c r="AO1276" s="18">
        <v>0</v>
      </c>
      <c r="AP1276" s="17">
        <v>3</v>
      </c>
      <c r="AQ1276" s="17">
        <v>11</v>
      </c>
      <c r="AR1276" s="19">
        <v>205</v>
      </c>
      <c r="AS1276" s="19">
        <v>218</v>
      </c>
    </row>
    <row r="1277" spans="1:45" x14ac:dyDescent="0.25">
      <c r="A1277">
        <v>300</v>
      </c>
      <c r="B1277" s="11">
        <f t="shared" si="19"/>
        <v>54198</v>
      </c>
      <c r="C1277" s="12">
        <v>541980</v>
      </c>
      <c r="D1277" s="13">
        <v>1</v>
      </c>
      <c r="E1277" s="13">
        <v>1</v>
      </c>
      <c r="F1277" s="13">
        <v>13</v>
      </c>
      <c r="G1277" s="13">
        <v>54</v>
      </c>
      <c r="H1277" s="13" t="str" cm="1">
        <f t="array" ref="H1277">_xlfn.IFS(G1277&lt;=20,"0-20",G1277&lt;=30,"20-30",G1277&lt;=40,"30-40",G1277&lt;=50,"50-60",G1277&lt;=60,"60-70",G1277&lt;=70,"70-80",G1277&lt;=80,"80-90")</f>
        <v>60-70</v>
      </c>
      <c r="I1277" s="13">
        <v>2353</v>
      </c>
      <c r="J1277" s="13" t="str" cm="1">
        <f t="array" ref="J1277">_xlfn.IFS(K1277=1,"Divorciado",L1277=1,"Casado",M1277=1,"Solteiro",N1277=1,"Juntos",O1277=1,"Viuvo")</f>
        <v>Casado</v>
      </c>
      <c r="K1277" s="13">
        <v>0</v>
      </c>
      <c r="L1277" s="13">
        <v>1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1</v>
      </c>
      <c r="S1277" s="13">
        <v>0</v>
      </c>
      <c r="T1277" s="13">
        <v>0</v>
      </c>
      <c r="U1277" s="13">
        <v>185</v>
      </c>
      <c r="V1277" s="13" t="str" cm="1">
        <f t="array" ref="V1277">_xlfn.IFS(U1277&lt;=250,"0-R$250",U1277&lt;=500,"251-R$500",U1277&lt;=750,"501-R$750",U1277&lt;=1000,"751-R$1000",U1277&lt;=1250,"1001-R$1250",U1277&lt;=1500,"1251-R$1500")</f>
        <v>0-R$250</v>
      </c>
      <c r="W1277" s="13">
        <v>0</v>
      </c>
      <c r="X1277" s="13" t="str" cm="1">
        <f t="array" ref="X1277">_xlfn.IFS(W1277 = 0, "0", W1277&lt;=20, "até R$20",W1277&lt;=40, "21 - R$40",W1277&lt;=60, "41- R$60",W1277&lt;=80, "61 - R$80", W1277&lt;=100, "81 - R$100",W1277&lt;=120, "101 - R$120",W1277&lt;=140, "121 - R$140", W1277&lt;=160, "141- R$160", W1277&lt;=180, "161 - R$180", W1277&lt;=200, "181-R$194")</f>
        <v>0</v>
      </c>
      <c r="Y1277" s="13">
        <v>28</v>
      </c>
      <c r="Z1277" s="13">
        <v>3</v>
      </c>
      <c r="AA1277" s="13">
        <v>2</v>
      </c>
      <c r="AB1277" s="13">
        <v>17</v>
      </c>
      <c r="AC1277" s="13">
        <v>6</v>
      </c>
      <c r="AD1277" s="13">
        <v>3</v>
      </c>
      <c r="AE1277" s="13">
        <v>1</v>
      </c>
      <c r="AF1277" s="13">
        <v>6</v>
      </c>
      <c r="AG1277" s="13">
        <v>4</v>
      </c>
      <c r="AH1277" s="13">
        <v>0</v>
      </c>
      <c r="AI1277" s="13">
        <v>0</v>
      </c>
      <c r="AJ1277" s="13">
        <v>0</v>
      </c>
      <c r="AK1277" s="13">
        <v>0</v>
      </c>
      <c r="AL1277" s="13">
        <v>0</v>
      </c>
      <c r="AM1277" s="13">
        <v>0</v>
      </c>
      <c r="AN1277" s="13">
        <v>0</v>
      </c>
      <c r="AO1277" s="14">
        <v>0</v>
      </c>
      <c r="AP1277" s="13">
        <v>3</v>
      </c>
      <c r="AQ1277" s="13">
        <v>11</v>
      </c>
      <c r="AR1277" s="15">
        <v>201</v>
      </c>
      <c r="AS1277" s="15">
        <v>218</v>
      </c>
    </row>
    <row r="1278" spans="1:45" x14ac:dyDescent="0.25">
      <c r="A1278">
        <v>375</v>
      </c>
      <c r="B1278" s="11">
        <f t="shared" si="19"/>
        <v>62499</v>
      </c>
      <c r="C1278" s="16">
        <v>624990</v>
      </c>
      <c r="D1278" s="17">
        <v>1</v>
      </c>
      <c r="E1278" s="17">
        <v>0</v>
      </c>
      <c r="F1278" s="17">
        <v>0</v>
      </c>
      <c r="G1278" s="17">
        <v>41</v>
      </c>
      <c r="H1278" s="13" t="str" cm="1">
        <f t="array" ref="H1278">_xlfn.IFS(G1278&lt;=20,"0-20",G1278&lt;=30,"20-30",G1278&lt;=40,"30-40",G1278&lt;=50,"50-60",G1278&lt;=60,"60-70",G1278&lt;=70,"70-80",G1278&lt;=80,"80-90")</f>
        <v>50-60</v>
      </c>
      <c r="I1278" s="17">
        <v>2361</v>
      </c>
      <c r="J1278" s="13" t="str" cm="1">
        <f t="array" ref="J1278">_xlfn.IFS(K1278=1,"Divorciado",L1278=1,"Casado",M1278=1,"Solteiro",N1278=1,"Juntos",O1278=1,"Viuvo")</f>
        <v>Juntos</v>
      </c>
      <c r="K1278" s="17">
        <v>0</v>
      </c>
      <c r="L1278" s="17">
        <v>0</v>
      </c>
      <c r="M1278" s="17">
        <v>0</v>
      </c>
      <c r="N1278" s="17">
        <v>1</v>
      </c>
      <c r="O1278" s="17">
        <v>0</v>
      </c>
      <c r="P1278" s="17">
        <v>0</v>
      </c>
      <c r="Q1278" s="17">
        <v>0</v>
      </c>
      <c r="R1278" s="17">
        <v>0</v>
      </c>
      <c r="S1278" s="17">
        <v>1</v>
      </c>
      <c r="T1278" s="17">
        <v>0</v>
      </c>
      <c r="U1278" s="17">
        <v>140</v>
      </c>
      <c r="V1278" s="13" t="str" cm="1">
        <f t="array" ref="V1278">_xlfn.IFS(U1278&lt;=250,"0-R$250",U1278&lt;=500,"251-R$500",U1278&lt;=750,"501-R$750",U1278&lt;=1000,"751-R$1000",U1278&lt;=1250,"1001-R$1250",U1278&lt;=1500,"1251-R$1500")</f>
        <v>0-R$250</v>
      </c>
      <c r="W1278" s="17">
        <v>4</v>
      </c>
      <c r="X1278" s="13" t="str" cm="1">
        <f t="array" ref="X1278">_xlfn.IFS(W1278 = 0, "0", W1278&lt;=20, "até R$20",W1278&lt;=40, "21 - R$40",W1278&lt;=60, "41- R$60",W1278&lt;=80, "61 - R$80", W1278&lt;=100, "81 - R$100",W1278&lt;=120, "101 - R$120",W1278&lt;=140, "121 - R$140", W1278&lt;=160, "141- R$160", W1278&lt;=180, "161 - R$180", W1278&lt;=200, "181-R$194")</f>
        <v>até R$20</v>
      </c>
      <c r="Y1278" s="17">
        <v>61</v>
      </c>
      <c r="Z1278" s="17">
        <v>0</v>
      </c>
      <c r="AA1278" s="17">
        <v>13</v>
      </c>
      <c r="AB1278" s="17">
        <v>4</v>
      </c>
      <c r="AC1278" s="17">
        <v>2</v>
      </c>
      <c r="AD1278" s="17">
        <v>3</v>
      </c>
      <c r="AE1278" s="17">
        <v>1</v>
      </c>
      <c r="AF1278" s="17">
        <v>6</v>
      </c>
      <c r="AG1278" s="17">
        <v>4</v>
      </c>
      <c r="AH1278" s="17">
        <v>0</v>
      </c>
      <c r="AI1278" s="17">
        <v>0</v>
      </c>
      <c r="AJ1278" s="17">
        <v>0</v>
      </c>
      <c r="AK1278" s="17">
        <v>0</v>
      </c>
      <c r="AL1278" s="17">
        <v>0</v>
      </c>
      <c r="AM1278" s="17">
        <v>0</v>
      </c>
      <c r="AN1278" s="17">
        <v>0</v>
      </c>
      <c r="AO1278" s="18">
        <v>0</v>
      </c>
      <c r="AP1278" s="17">
        <v>3</v>
      </c>
      <c r="AQ1278" s="17">
        <v>11</v>
      </c>
      <c r="AR1278" s="19">
        <v>214</v>
      </c>
      <c r="AS1278" s="19">
        <v>218</v>
      </c>
    </row>
    <row r="1279" spans="1:45" x14ac:dyDescent="0.25">
      <c r="A1279">
        <v>26</v>
      </c>
      <c r="B1279" s="11">
        <f t="shared" si="19"/>
        <v>53359</v>
      </c>
      <c r="C1279" s="12">
        <v>533590</v>
      </c>
      <c r="D1279" s="13">
        <v>1</v>
      </c>
      <c r="E1279" s="13">
        <v>1</v>
      </c>
      <c r="F1279" s="13">
        <v>4</v>
      </c>
      <c r="G1279" s="13">
        <v>44</v>
      </c>
      <c r="H1279" s="13" t="str" cm="1">
        <f t="array" ref="H1279">_xlfn.IFS(G1279&lt;=20,"0-20",G1279&lt;=30,"20-30",G1279&lt;=40,"30-40",G1279&lt;=50,"50-60",G1279&lt;=60,"60-70",G1279&lt;=70,"70-80",G1279&lt;=80,"80-90")</f>
        <v>50-60</v>
      </c>
      <c r="I1279" s="13">
        <v>2557</v>
      </c>
      <c r="J1279" s="13" t="str" cm="1">
        <f t="array" ref="J1279">_xlfn.IFS(K1279=1,"Divorciado",L1279=1,"Casado",M1279=1,"Solteiro",N1279=1,"Juntos",O1279=1,"Viuvo")</f>
        <v>Casado</v>
      </c>
      <c r="K1279" s="13">
        <v>0</v>
      </c>
      <c r="L1279" s="13">
        <v>1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1</v>
      </c>
      <c r="S1279" s="13">
        <v>0</v>
      </c>
      <c r="T1279" s="13">
        <v>0</v>
      </c>
      <c r="U1279" s="13">
        <v>173</v>
      </c>
      <c r="V1279" s="13" t="str" cm="1">
        <f t="array" ref="V1279">_xlfn.IFS(U1279&lt;=250,"0-R$250",U1279&lt;=500,"251-R$500",U1279&lt;=750,"501-R$750",U1279&lt;=1000,"751-R$1000",U1279&lt;=1250,"1001-R$1250",U1279&lt;=1500,"1251-R$1500")</f>
        <v>0-R$250</v>
      </c>
      <c r="W1279" s="13">
        <v>4</v>
      </c>
      <c r="X1279" s="13" t="str" cm="1">
        <f t="array" ref="X1279">_xlfn.IFS(W1279 = 0, "0", W1279&lt;=20, "até R$20",W1279&lt;=40, "21 - R$40",W1279&lt;=60, "41- R$60",W1279&lt;=80, "61 - R$80", W1279&lt;=100, "81 - R$100",W1279&lt;=120, "101 - R$120",W1279&lt;=140, "121 - R$140", W1279&lt;=160, "141- R$160", W1279&lt;=180, "161 - R$180", W1279&lt;=200, "181-R$194")</f>
        <v>até R$20</v>
      </c>
      <c r="Y1279" s="13">
        <v>30</v>
      </c>
      <c r="Z1279" s="13">
        <v>3</v>
      </c>
      <c r="AA1279" s="13">
        <v>6</v>
      </c>
      <c r="AB1279" s="13">
        <v>41</v>
      </c>
      <c r="AC1279" s="13">
        <v>4</v>
      </c>
      <c r="AD1279" s="13">
        <v>5</v>
      </c>
      <c r="AE1279" s="13">
        <v>1</v>
      </c>
      <c r="AF1279" s="13">
        <v>4</v>
      </c>
      <c r="AG1279" s="13">
        <v>7</v>
      </c>
      <c r="AH1279" s="13">
        <v>0</v>
      </c>
      <c r="AI1279" s="13">
        <v>0</v>
      </c>
      <c r="AJ1279" s="13">
        <v>0</v>
      </c>
      <c r="AK1279" s="13">
        <v>0</v>
      </c>
      <c r="AL1279" s="13">
        <v>0</v>
      </c>
      <c r="AM1279" s="13">
        <v>0</v>
      </c>
      <c r="AN1279" s="13">
        <v>0</v>
      </c>
      <c r="AO1279" s="14">
        <v>0</v>
      </c>
      <c r="AP1279" s="13">
        <v>3</v>
      </c>
      <c r="AQ1279" s="13">
        <v>11</v>
      </c>
      <c r="AR1279" s="15">
        <v>175</v>
      </c>
      <c r="AS1279" s="15">
        <v>216</v>
      </c>
    </row>
    <row r="1280" spans="1:45" x14ac:dyDescent="0.25">
      <c r="A1280">
        <v>355</v>
      </c>
      <c r="B1280" s="11">
        <f t="shared" si="19"/>
        <v>48178</v>
      </c>
      <c r="C1280" s="16">
        <v>481780</v>
      </c>
      <c r="D1280" s="17">
        <v>1</v>
      </c>
      <c r="E1280" s="17">
        <v>1</v>
      </c>
      <c r="F1280" s="17">
        <v>69</v>
      </c>
      <c r="G1280" s="17">
        <v>45</v>
      </c>
      <c r="H1280" s="13" t="str" cm="1">
        <f t="array" ref="H1280">_xlfn.IFS(G1280&lt;=20,"0-20",G1280&lt;=30,"20-30",G1280&lt;=40,"30-40",G1280&lt;=50,"50-60",G1280&lt;=60,"60-70",G1280&lt;=70,"70-80",G1280&lt;=80,"80-90")</f>
        <v>50-60</v>
      </c>
      <c r="I1280" s="17">
        <v>2768</v>
      </c>
      <c r="J1280" s="13" t="str" cm="1">
        <f t="array" ref="J1280">_xlfn.IFS(K1280=1,"Divorciado",L1280=1,"Casado",M1280=1,"Solteiro",N1280=1,"Juntos",O1280=1,"Viuvo")</f>
        <v>Casado</v>
      </c>
      <c r="K1280" s="17">
        <v>0</v>
      </c>
      <c r="L1280" s="17">
        <v>1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1</v>
      </c>
      <c r="S1280" s="17">
        <v>0</v>
      </c>
      <c r="T1280" s="17">
        <v>0</v>
      </c>
      <c r="U1280" s="17">
        <v>159</v>
      </c>
      <c r="V1280" s="13" t="str" cm="1">
        <f t="array" ref="V1280">_xlfn.IFS(U1280&lt;=250,"0-R$250",U1280&lt;=500,"251-R$500",U1280&lt;=750,"501-R$750",U1280&lt;=1000,"751-R$1000",U1280&lt;=1250,"1001-R$1250",U1280&lt;=1500,"1251-R$1500")</f>
        <v>0-R$250</v>
      </c>
      <c r="W1280" s="17">
        <v>4</v>
      </c>
      <c r="X1280" s="13" t="str" cm="1">
        <f t="array" ref="X1280">_xlfn.IFS(W1280 = 0, "0", W1280&lt;=20, "até R$20",W1280&lt;=40, "21 - R$40",W1280&lt;=60, "41- R$60",W1280&lt;=80, "61 - R$80", W1280&lt;=100, "81 - R$100",W1280&lt;=120, "101 - R$120",W1280&lt;=140, "121 - R$140", W1280&lt;=160, "141- R$160", W1280&lt;=180, "161 - R$180", W1280&lt;=200, "181-R$194")</f>
        <v>até R$20</v>
      </c>
      <c r="Y1280" s="17">
        <v>45</v>
      </c>
      <c r="Z1280" s="17">
        <v>6</v>
      </c>
      <c r="AA1280" s="17">
        <v>2</v>
      </c>
      <c r="AB1280" s="17">
        <v>38</v>
      </c>
      <c r="AC1280" s="17">
        <v>6</v>
      </c>
      <c r="AD1280" s="17">
        <v>5</v>
      </c>
      <c r="AE1280" s="17">
        <v>1</v>
      </c>
      <c r="AF1280" s="17">
        <v>4</v>
      </c>
      <c r="AG1280" s="17">
        <v>8</v>
      </c>
      <c r="AH1280" s="17">
        <v>0</v>
      </c>
      <c r="AI1280" s="17">
        <v>0</v>
      </c>
      <c r="AJ1280" s="17">
        <v>0</v>
      </c>
      <c r="AK1280" s="17">
        <v>0</v>
      </c>
      <c r="AL1280" s="17">
        <v>0</v>
      </c>
      <c r="AM1280" s="17">
        <v>0</v>
      </c>
      <c r="AN1280" s="17">
        <v>0</v>
      </c>
      <c r="AO1280" s="18">
        <v>0</v>
      </c>
      <c r="AP1280" s="17">
        <v>3</v>
      </c>
      <c r="AQ1280" s="17">
        <v>11</v>
      </c>
      <c r="AR1280" s="19">
        <v>178</v>
      </c>
      <c r="AS1280" s="19">
        <v>216</v>
      </c>
    </row>
    <row r="1281" spans="1:45" x14ac:dyDescent="0.25">
      <c r="A1281">
        <v>630</v>
      </c>
      <c r="B1281" s="11">
        <f t="shared" si="19"/>
        <v>55282</v>
      </c>
      <c r="C1281" s="12">
        <v>552820</v>
      </c>
      <c r="D1281" s="13">
        <v>1</v>
      </c>
      <c r="E1281" s="13">
        <v>0</v>
      </c>
      <c r="F1281" s="13">
        <v>9</v>
      </c>
      <c r="G1281" s="13">
        <v>50</v>
      </c>
      <c r="H1281" s="13" t="str" cm="1">
        <f t="array" ref="H1281">_xlfn.IFS(G1281&lt;=20,"0-20",G1281&lt;=30,"20-30",G1281&lt;=40,"30-40",G1281&lt;=50,"50-60",G1281&lt;=60,"60-70",G1281&lt;=70,"70-80",G1281&lt;=80,"80-90")</f>
        <v>50-60</v>
      </c>
      <c r="I1281" s="13">
        <v>2357</v>
      </c>
      <c r="J1281" s="13" t="str" cm="1">
        <f t="array" ref="J1281">_xlfn.IFS(K1281=1,"Divorciado",L1281=1,"Casado",M1281=1,"Solteiro",N1281=1,"Juntos",O1281=1,"Viuvo")</f>
        <v>Divorciado</v>
      </c>
      <c r="K1281" s="13">
        <v>1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1</v>
      </c>
      <c r="T1281" s="13">
        <v>0</v>
      </c>
      <c r="U1281" s="13">
        <v>125</v>
      </c>
      <c r="V1281" s="13" t="str" cm="1">
        <f t="array" ref="V1281">_xlfn.IFS(U1281&lt;=250,"0-R$250",U1281&lt;=500,"251-R$500",U1281&lt;=750,"501-R$750",U1281&lt;=1000,"751-R$1000",U1281&lt;=1250,"1001-R$1250",U1281&lt;=1500,"1251-R$1500")</f>
        <v>0-R$250</v>
      </c>
      <c r="W1281" s="13">
        <v>6</v>
      </c>
      <c r="X1281" s="13" t="str" cm="1">
        <f t="array" ref="X1281">_xlfn.IFS(W1281 = 0, "0", W1281&lt;=20, "até R$20",W1281&lt;=40, "21 - R$40",W1281&lt;=60, "41- R$60",W1281&lt;=80, "61 - R$80", W1281&lt;=100, "81 - R$100",W1281&lt;=120, "101 - R$120",W1281&lt;=140, "121 - R$140", W1281&lt;=160, "141- R$160", W1281&lt;=180, "161 - R$180", W1281&lt;=200, "181-R$194")</f>
        <v>até R$20</v>
      </c>
      <c r="Y1281" s="13">
        <v>73</v>
      </c>
      <c r="Z1281" s="13">
        <v>8</v>
      </c>
      <c r="AA1281" s="13">
        <v>4</v>
      </c>
      <c r="AB1281" s="13">
        <v>19</v>
      </c>
      <c r="AC1281" s="13">
        <v>1</v>
      </c>
      <c r="AD1281" s="13">
        <v>3</v>
      </c>
      <c r="AE1281" s="13">
        <v>1</v>
      </c>
      <c r="AF1281" s="13">
        <v>6</v>
      </c>
      <c r="AG1281" s="13">
        <v>4</v>
      </c>
      <c r="AH1281" s="13">
        <v>0</v>
      </c>
      <c r="AI1281" s="13">
        <v>0</v>
      </c>
      <c r="AJ1281" s="13">
        <v>0</v>
      </c>
      <c r="AK1281" s="13">
        <v>0</v>
      </c>
      <c r="AL1281" s="13">
        <v>0</v>
      </c>
      <c r="AM1281" s="13">
        <v>0</v>
      </c>
      <c r="AN1281" s="13">
        <v>0</v>
      </c>
      <c r="AO1281" s="14">
        <v>0</v>
      </c>
      <c r="AP1281" s="13">
        <v>3</v>
      </c>
      <c r="AQ1281" s="13">
        <v>11</v>
      </c>
      <c r="AR1281" s="15">
        <v>197</v>
      </c>
      <c r="AS1281" s="15">
        <v>216</v>
      </c>
    </row>
    <row r="1282" spans="1:45" x14ac:dyDescent="0.25">
      <c r="A1282">
        <v>665</v>
      </c>
      <c r="B1282" s="11">
        <f t="shared" ref="B1282:B1345" si="20">C1282/10</f>
        <v>38946</v>
      </c>
      <c r="C1282" s="16">
        <v>389460</v>
      </c>
      <c r="D1282" s="17">
        <v>0</v>
      </c>
      <c r="E1282" s="17">
        <v>1</v>
      </c>
      <c r="F1282" s="17">
        <v>84</v>
      </c>
      <c r="G1282" s="17">
        <v>65</v>
      </c>
      <c r="H1282" s="13" t="str" cm="1">
        <f t="array" ref="H1282">_xlfn.IFS(G1282&lt;=20,"0-20",G1282&lt;=30,"20-30",G1282&lt;=40,"30-40",G1282&lt;=50,"50-60",G1282&lt;=60,"60-70",G1282&lt;=70,"70-80",G1282&lt;=80,"80-90")</f>
        <v>70-80</v>
      </c>
      <c r="I1282" s="17">
        <v>2407</v>
      </c>
      <c r="J1282" s="13" t="str" cm="1">
        <f t="array" ref="J1282">_xlfn.IFS(K1282=1,"Divorciado",L1282=1,"Casado",M1282=1,"Solteiro",N1282=1,"Juntos",O1282=1,"Viuvo")</f>
        <v>Juntos</v>
      </c>
      <c r="K1282" s="17">
        <v>0</v>
      </c>
      <c r="L1282" s="17">
        <v>0</v>
      </c>
      <c r="M1282" s="17">
        <v>0</v>
      </c>
      <c r="N1282" s="17">
        <v>1</v>
      </c>
      <c r="O1282" s="17">
        <v>0</v>
      </c>
      <c r="P1282" s="17">
        <v>0</v>
      </c>
      <c r="Q1282" s="17">
        <v>0</v>
      </c>
      <c r="R1282" s="17">
        <v>1</v>
      </c>
      <c r="S1282" s="17">
        <v>0</v>
      </c>
      <c r="T1282" s="17">
        <v>0</v>
      </c>
      <c r="U1282" s="17">
        <v>116</v>
      </c>
      <c r="V1282" s="13" t="str" cm="1">
        <f t="array" ref="V1282">_xlfn.IFS(U1282&lt;=250,"0-R$250",U1282&lt;=500,"251-R$500",U1282&lt;=750,"501-R$750",U1282&lt;=1000,"751-R$1000",U1282&lt;=1250,"1001-R$1250",U1282&lt;=1500,"1251-R$1500")</f>
        <v>0-R$250</v>
      </c>
      <c r="W1282" s="17">
        <v>6</v>
      </c>
      <c r="X1282" s="13" t="str" cm="1">
        <f t="array" ref="X1282">_xlfn.IFS(W1282 = 0, "0", W1282&lt;=20, "até R$20",W1282&lt;=40, "21 - R$40",W1282&lt;=60, "41- R$60",W1282&lt;=80, "61 - R$80", W1282&lt;=100, "81 - R$100",W1282&lt;=120, "101 - R$120",W1282&lt;=140, "121 - R$140", W1282&lt;=160, "141- R$160", W1282&lt;=180, "161 - R$180", W1282&lt;=200, "181-R$194")</f>
        <v>até R$20</v>
      </c>
      <c r="Y1282" s="17">
        <v>82</v>
      </c>
      <c r="Z1282" s="17">
        <v>6</v>
      </c>
      <c r="AA1282" s="17">
        <v>6</v>
      </c>
      <c r="AB1282" s="17">
        <v>41</v>
      </c>
      <c r="AC1282" s="17">
        <v>2</v>
      </c>
      <c r="AD1282" s="17">
        <v>3</v>
      </c>
      <c r="AE1282" s="17">
        <v>1</v>
      </c>
      <c r="AF1282" s="17">
        <v>6</v>
      </c>
      <c r="AG1282" s="17">
        <v>5</v>
      </c>
      <c r="AH1282" s="17">
        <v>0</v>
      </c>
      <c r="AI1282" s="17">
        <v>0</v>
      </c>
      <c r="AJ1282" s="17">
        <v>0</v>
      </c>
      <c r="AK1282" s="17">
        <v>0</v>
      </c>
      <c r="AL1282" s="17">
        <v>0</v>
      </c>
      <c r="AM1282" s="17">
        <v>0</v>
      </c>
      <c r="AN1282" s="17">
        <v>0</v>
      </c>
      <c r="AO1282" s="18">
        <v>0</v>
      </c>
      <c r="AP1282" s="17">
        <v>3</v>
      </c>
      <c r="AQ1282" s="17">
        <v>11</v>
      </c>
      <c r="AR1282" s="19">
        <v>175</v>
      </c>
      <c r="AS1282" s="19">
        <v>216</v>
      </c>
    </row>
    <row r="1283" spans="1:45" x14ac:dyDescent="0.25">
      <c r="A1283">
        <v>945</v>
      </c>
      <c r="B1283" s="11">
        <f t="shared" si="20"/>
        <v>50183</v>
      </c>
      <c r="C1283" s="16">
        <v>501830</v>
      </c>
      <c r="D1283" s="17">
        <v>1</v>
      </c>
      <c r="E1283" s="17">
        <v>1</v>
      </c>
      <c r="F1283" s="17">
        <v>47</v>
      </c>
      <c r="G1283" s="17">
        <v>40</v>
      </c>
      <c r="H1283" s="13" t="str" cm="1">
        <f t="array" ref="H1283">_xlfn.IFS(G1283&lt;=20,"0-20",G1283&lt;=30,"20-30",G1283&lt;=40,"30-40",G1283&lt;=50,"50-60",G1283&lt;=60,"60-70",G1283&lt;=70,"70-80",G1283&lt;=80,"80-90")</f>
        <v>30-40</v>
      </c>
      <c r="I1283" s="17">
        <v>2163</v>
      </c>
      <c r="J1283" s="13" t="str" cm="1">
        <f t="array" ref="J1283">_xlfn.IFS(K1283=1,"Divorciado",L1283=1,"Casado",M1283=1,"Solteiro",N1283=1,"Juntos",O1283=1,"Viuvo")</f>
        <v>Casado</v>
      </c>
      <c r="K1283" s="17">
        <v>0</v>
      </c>
      <c r="L1283" s="17">
        <v>1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1</v>
      </c>
      <c r="S1283" s="17">
        <v>0</v>
      </c>
      <c r="T1283" s="17">
        <v>0</v>
      </c>
      <c r="U1283" s="17">
        <v>97</v>
      </c>
      <c r="V1283" s="13" t="str" cm="1">
        <f t="array" ref="V1283">_xlfn.IFS(U1283&lt;=250,"0-R$250",U1283&lt;=500,"251-R$500",U1283&lt;=750,"501-R$750",U1283&lt;=1000,"751-R$1000",U1283&lt;=1250,"1001-R$1250",U1283&lt;=1500,"1251-R$1500")</f>
        <v>0-R$250</v>
      </c>
      <c r="W1283" s="17">
        <v>12</v>
      </c>
      <c r="X1283" s="13" t="str" cm="1">
        <f t="array" ref="X1283">_xlfn.IFS(W1283 = 0, "0", W1283&lt;=20, "até R$20",W1283&lt;=40, "21 - R$40",W1283&lt;=60, "41- R$60",W1283&lt;=80, "61 - R$80", W1283&lt;=100, "81 - R$100",W1283&lt;=120, "101 - R$120",W1283&lt;=140, "121 - R$140", W1283&lt;=160, "141- R$160", W1283&lt;=180, "161 - R$180", W1283&lt;=200, "181-R$194")</f>
        <v>até R$20</v>
      </c>
      <c r="Y1283" s="17">
        <v>84</v>
      </c>
      <c r="Z1283" s="17">
        <v>13</v>
      </c>
      <c r="AA1283" s="17">
        <v>10</v>
      </c>
      <c r="AB1283" s="17">
        <v>15</v>
      </c>
      <c r="AC1283" s="17">
        <v>7</v>
      </c>
      <c r="AD1283" s="17">
        <v>3</v>
      </c>
      <c r="AE1283" s="17">
        <v>1</v>
      </c>
      <c r="AF1283" s="17">
        <v>6</v>
      </c>
      <c r="AG1283" s="17">
        <v>5</v>
      </c>
      <c r="AH1283" s="17">
        <v>0</v>
      </c>
      <c r="AI1283" s="17">
        <v>0</v>
      </c>
      <c r="AJ1283" s="17">
        <v>0</v>
      </c>
      <c r="AK1283" s="17">
        <v>0</v>
      </c>
      <c r="AL1283" s="17">
        <v>0</v>
      </c>
      <c r="AM1283" s="17">
        <v>0</v>
      </c>
      <c r="AN1283" s="17">
        <v>0</v>
      </c>
      <c r="AO1283" s="18">
        <v>0</v>
      </c>
      <c r="AP1283" s="17">
        <v>3</v>
      </c>
      <c r="AQ1283" s="17">
        <v>11</v>
      </c>
      <c r="AR1283" s="19">
        <v>201</v>
      </c>
      <c r="AS1283" s="19">
        <v>216</v>
      </c>
    </row>
    <row r="1284" spans="1:45" x14ac:dyDescent="0.25">
      <c r="A1284">
        <v>1145</v>
      </c>
      <c r="B1284" s="11">
        <f t="shared" si="20"/>
        <v>40344</v>
      </c>
      <c r="C1284" s="16">
        <v>403440</v>
      </c>
      <c r="D1284" s="17">
        <v>0</v>
      </c>
      <c r="E1284" s="17">
        <v>1</v>
      </c>
      <c r="F1284" s="17">
        <v>48</v>
      </c>
      <c r="G1284" s="17">
        <v>46</v>
      </c>
      <c r="H1284" s="13" t="str" cm="1">
        <f t="array" ref="H1284">_xlfn.IFS(G1284&lt;=20,"0-20",G1284&lt;=30,"20-30",G1284&lt;=40,"30-40",G1284&lt;=50,"50-60",G1284&lt;=60,"60-70",G1284&lt;=70,"70-80",G1284&lt;=80,"80-90")</f>
        <v>50-60</v>
      </c>
      <c r="I1284" s="17">
        <v>2418</v>
      </c>
      <c r="J1284" s="13" t="str" cm="1">
        <f t="array" ref="J1284">_xlfn.IFS(K1284=1,"Divorciado",L1284=1,"Casado",M1284=1,"Solteiro",N1284=1,"Juntos",O1284=1,"Viuvo")</f>
        <v>Casado</v>
      </c>
      <c r="K1284" s="17">
        <v>0</v>
      </c>
      <c r="L1284" s="17">
        <v>1</v>
      </c>
      <c r="M1284" s="17">
        <v>0</v>
      </c>
      <c r="N1284" s="17">
        <v>0</v>
      </c>
      <c r="O1284" s="17">
        <v>0</v>
      </c>
      <c r="P1284" s="17">
        <v>0</v>
      </c>
      <c r="Q1284" s="17">
        <v>0</v>
      </c>
      <c r="R1284" s="17">
        <v>0</v>
      </c>
      <c r="S1284" s="17">
        <v>0</v>
      </c>
      <c r="T1284" s="17">
        <v>1</v>
      </c>
      <c r="U1284" s="17">
        <v>210</v>
      </c>
      <c r="V1284" s="13" t="str" cm="1">
        <f t="array" ref="V1284">_xlfn.IFS(U1284&lt;=250,"0-R$250",U1284&lt;=500,"251-R$500",U1284&lt;=750,"501-R$750",U1284&lt;=1000,"751-R$1000",U1284&lt;=1250,"1001-R$1250",U1284&lt;=1500,"1251-R$1500")</f>
        <v>0-R$250</v>
      </c>
      <c r="W1284" s="17">
        <v>0</v>
      </c>
      <c r="X1284" s="13" t="str" cm="1">
        <f t="array" ref="X1284">_xlfn.IFS(W1284 = 0, "0", W1284&lt;=20, "até R$20",W1284&lt;=40, "21 - R$40",W1284&lt;=60, "41- R$60",W1284&lt;=80, "61 - R$80", W1284&lt;=100, "81 - R$100",W1284&lt;=120, "101 - R$120",W1284&lt;=140, "121 - R$140", W1284&lt;=160, "141- R$160", W1284&lt;=180, "161 - R$180", W1284&lt;=200, "181-R$194")</f>
        <v>0</v>
      </c>
      <c r="Y1284" s="17">
        <v>6</v>
      </c>
      <c r="Z1284" s="17">
        <v>0</v>
      </c>
      <c r="AA1284" s="17">
        <v>0</v>
      </c>
      <c r="AB1284" s="17">
        <v>2</v>
      </c>
      <c r="AC1284" s="17">
        <v>2</v>
      </c>
      <c r="AD1284" s="17">
        <v>4</v>
      </c>
      <c r="AE1284" s="17">
        <v>1</v>
      </c>
      <c r="AF1284" s="17">
        <v>5</v>
      </c>
      <c r="AG1284" s="17">
        <v>7</v>
      </c>
      <c r="AH1284" s="17">
        <v>0</v>
      </c>
      <c r="AI1284" s="17">
        <v>0</v>
      </c>
      <c r="AJ1284" s="17">
        <v>0</v>
      </c>
      <c r="AK1284" s="17">
        <v>0</v>
      </c>
      <c r="AL1284" s="17">
        <v>0</v>
      </c>
      <c r="AM1284" s="17">
        <v>0</v>
      </c>
      <c r="AN1284" s="17">
        <v>0</v>
      </c>
      <c r="AO1284" s="18">
        <v>0</v>
      </c>
      <c r="AP1284" s="17">
        <v>3</v>
      </c>
      <c r="AQ1284" s="17">
        <v>11</v>
      </c>
      <c r="AR1284" s="19">
        <v>214</v>
      </c>
      <c r="AS1284" s="19">
        <v>216</v>
      </c>
    </row>
    <row r="1285" spans="1:45" x14ac:dyDescent="0.25">
      <c r="A1285">
        <v>1253</v>
      </c>
      <c r="B1285" s="11">
        <f t="shared" si="20"/>
        <v>38808</v>
      </c>
      <c r="C1285" s="16">
        <v>388080</v>
      </c>
      <c r="D1285" s="17">
        <v>1</v>
      </c>
      <c r="E1285" s="17">
        <v>0</v>
      </c>
      <c r="F1285" s="17">
        <v>21</v>
      </c>
      <c r="G1285" s="17">
        <v>48</v>
      </c>
      <c r="H1285" s="13" t="str" cm="1">
        <f t="array" ref="H1285">_xlfn.IFS(G1285&lt;=20,"0-20",G1285&lt;=30,"20-30",G1285&lt;=40,"30-40",G1285&lt;=50,"50-60",G1285&lt;=60,"60-70",G1285&lt;=70,"70-80",G1285&lt;=80,"80-90")</f>
        <v>50-60</v>
      </c>
      <c r="I1285" s="17">
        <v>2831</v>
      </c>
      <c r="J1285" s="13" t="str" cm="1">
        <f t="array" ref="J1285">_xlfn.IFS(K1285=1,"Divorciado",L1285=1,"Casado",M1285=1,"Solteiro",N1285=1,"Juntos",O1285=1,"Viuvo")</f>
        <v>Solteiro</v>
      </c>
      <c r="K1285" s="17">
        <v>0</v>
      </c>
      <c r="L1285" s="17">
        <v>0</v>
      </c>
      <c r="M1285" s="17">
        <v>1</v>
      </c>
      <c r="N1285" s="17">
        <v>0</v>
      </c>
      <c r="O1285" s="17">
        <v>0</v>
      </c>
      <c r="P1285" s="17">
        <v>0</v>
      </c>
      <c r="Q1285" s="17">
        <v>0</v>
      </c>
      <c r="R1285" s="17">
        <v>1</v>
      </c>
      <c r="S1285" s="17">
        <v>0</v>
      </c>
      <c r="T1285" s="17">
        <v>0</v>
      </c>
      <c r="U1285" s="17">
        <v>125</v>
      </c>
      <c r="V1285" s="13" t="str" cm="1">
        <f t="array" ref="V1285">_xlfn.IFS(U1285&lt;=250,"0-R$250",U1285&lt;=500,"251-R$500",U1285&lt;=750,"501-R$750",U1285&lt;=1000,"751-R$1000",U1285&lt;=1250,"1001-R$1250",U1285&lt;=1500,"1251-R$1500")</f>
        <v>0-R$250</v>
      </c>
      <c r="W1285" s="17">
        <v>17</v>
      </c>
      <c r="X1285" s="13" t="str" cm="1">
        <f t="array" ref="X1285">_xlfn.IFS(W1285 = 0, "0", W1285&lt;=20, "até R$20",W1285&lt;=40, "21 - R$40",W1285&lt;=60, "41- R$60",W1285&lt;=80, "61 - R$80", W1285&lt;=100, "81 - R$100",W1285&lt;=120, "101 - R$120",W1285&lt;=140, "121 - R$140", W1285&lt;=160, "141- R$160", W1285&lt;=180, "161 - R$180", W1285&lt;=200, "181-R$194")</f>
        <v>até R$20</v>
      </c>
      <c r="Y1285" s="17">
        <v>52</v>
      </c>
      <c r="Z1285" s="17">
        <v>3</v>
      </c>
      <c r="AA1285" s="17">
        <v>19</v>
      </c>
      <c r="AB1285" s="17">
        <v>30</v>
      </c>
      <c r="AC1285" s="17">
        <v>4</v>
      </c>
      <c r="AD1285" s="17">
        <v>5</v>
      </c>
      <c r="AE1285" s="17">
        <v>1</v>
      </c>
      <c r="AF1285" s="17">
        <v>4</v>
      </c>
      <c r="AG1285" s="17">
        <v>8</v>
      </c>
      <c r="AH1285" s="17">
        <v>0</v>
      </c>
      <c r="AI1285" s="17">
        <v>1</v>
      </c>
      <c r="AJ1285" s="17">
        <v>0</v>
      </c>
      <c r="AK1285" s="17">
        <v>0</v>
      </c>
      <c r="AL1285" s="17">
        <v>0</v>
      </c>
      <c r="AM1285" s="17">
        <v>0</v>
      </c>
      <c r="AN1285" s="17">
        <v>1</v>
      </c>
      <c r="AO1285" s="18">
        <v>1</v>
      </c>
      <c r="AP1285" s="17">
        <v>3</v>
      </c>
      <c r="AQ1285" s="17">
        <v>11</v>
      </c>
      <c r="AR1285" s="19">
        <v>186</v>
      </c>
      <c r="AS1285" s="19">
        <v>216</v>
      </c>
    </row>
    <row r="1286" spans="1:45" x14ac:dyDescent="0.25">
      <c r="A1286">
        <v>2147</v>
      </c>
      <c r="B1286" s="11">
        <f t="shared" si="20"/>
        <v>38946</v>
      </c>
      <c r="C1286" s="16">
        <v>389460</v>
      </c>
      <c r="D1286" s="17">
        <v>0</v>
      </c>
      <c r="E1286" s="17">
        <v>1</v>
      </c>
      <c r="F1286" s="17">
        <v>84</v>
      </c>
      <c r="G1286" s="17">
        <v>65</v>
      </c>
      <c r="H1286" s="13" t="str" cm="1">
        <f t="array" ref="H1286">_xlfn.IFS(G1286&lt;=20,"0-20",G1286&lt;=30,"20-30",G1286&lt;=40,"30-40",G1286&lt;=50,"50-60",G1286&lt;=60,"60-70",G1286&lt;=70,"70-80",G1286&lt;=80,"80-90")</f>
        <v>70-80</v>
      </c>
      <c r="I1286" s="17">
        <v>2407</v>
      </c>
      <c r="J1286" s="13" t="str" cm="1">
        <f t="array" ref="J1286">_xlfn.IFS(K1286=1,"Divorciado",L1286=1,"Casado",M1286=1,"Solteiro",N1286=1,"Juntos",O1286=1,"Viuvo")</f>
        <v>Juntos</v>
      </c>
      <c r="K1286" s="17">
        <v>0</v>
      </c>
      <c r="L1286" s="17">
        <v>0</v>
      </c>
      <c r="M1286" s="17">
        <v>0</v>
      </c>
      <c r="N1286" s="17">
        <v>1</v>
      </c>
      <c r="O1286" s="17">
        <v>0</v>
      </c>
      <c r="P1286" s="17">
        <v>0</v>
      </c>
      <c r="Q1286" s="17">
        <v>0</v>
      </c>
      <c r="R1286" s="17">
        <v>1</v>
      </c>
      <c r="S1286" s="17">
        <v>0</v>
      </c>
      <c r="T1286" s="17">
        <v>0</v>
      </c>
      <c r="U1286" s="17">
        <v>116</v>
      </c>
      <c r="V1286" s="13" t="str" cm="1">
        <f t="array" ref="V1286">_xlfn.IFS(U1286&lt;=250,"0-R$250",U1286&lt;=500,"251-R$500",U1286&lt;=750,"501-R$750",U1286&lt;=1000,"751-R$1000",U1286&lt;=1250,"1001-R$1250",U1286&lt;=1500,"1251-R$1500")</f>
        <v>0-R$250</v>
      </c>
      <c r="W1286" s="17">
        <v>6</v>
      </c>
      <c r="X1286" s="13" t="str" cm="1">
        <f t="array" ref="X1286">_xlfn.IFS(W1286 = 0, "0", W1286&lt;=20, "até R$20",W1286&lt;=40, "21 - R$40",W1286&lt;=60, "41- R$60",W1286&lt;=80, "61 - R$80", W1286&lt;=100, "81 - R$100",W1286&lt;=120, "101 - R$120",W1286&lt;=140, "121 - R$140", W1286&lt;=160, "141- R$160", W1286&lt;=180, "161 - R$180", W1286&lt;=200, "181-R$194")</f>
        <v>até R$20</v>
      </c>
      <c r="Y1286" s="17">
        <v>82</v>
      </c>
      <c r="Z1286" s="17">
        <v>6</v>
      </c>
      <c r="AA1286" s="17">
        <v>6</v>
      </c>
      <c r="AB1286" s="17">
        <v>41</v>
      </c>
      <c r="AC1286" s="17">
        <v>2</v>
      </c>
      <c r="AD1286" s="17">
        <v>3</v>
      </c>
      <c r="AE1286" s="17">
        <v>1</v>
      </c>
      <c r="AF1286" s="17">
        <v>6</v>
      </c>
      <c r="AG1286" s="17">
        <v>5</v>
      </c>
      <c r="AH1286" s="17">
        <v>0</v>
      </c>
      <c r="AI1286" s="17">
        <v>0</v>
      </c>
      <c r="AJ1286" s="17">
        <v>0</v>
      </c>
      <c r="AK1286" s="17">
        <v>0</v>
      </c>
      <c r="AL1286" s="17">
        <v>0</v>
      </c>
      <c r="AM1286" s="17">
        <v>0</v>
      </c>
      <c r="AN1286" s="17">
        <v>0</v>
      </c>
      <c r="AO1286" s="18">
        <v>0</v>
      </c>
      <c r="AP1286" s="17">
        <v>3</v>
      </c>
      <c r="AQ1286" s="17">
        <v>11</v>
      </c>
      <c r="AR1286" s="19">
        <v>175</v>
      </c>
      <c r="AS1286" s="19">
        <v>216</v>
      </c>
    </row>
    <row r="1287" spans="1:45" x14ac:dyDescent="0.25">
      <c r="A1287">
        <v>564</v>
      </c>
      <c r="B1287" s="11">
        <f t="shared" si="20"/>
        <v>45207</v>
      </c>
      <c r="C1287" s="12">
        <v>452070</v>
      </c>
      <c r="D1287" s="13">
        <v>1</v>
      </c>
      <c r="E1287" s="13">
        <v>1</v>
      </c>
      <c r="F1287" s="13">
        <v>64</v>
      </c>
      <c r="G1287" s="13">
        <v>46</v>
      </c>
      <c r="H1287" s="13" t="str" cm="1">
        <f t="array" ref="H1287">_xlfn.IFS(G1287&lt;=20,"0-20",G1287&lt;=30,"20-30",G1287&lt;=40,"30-40",G1287&lt;=50,"50-60",G1287&lt;=60,"60-70",G1287&lt;=70,"70-80",G1287&lt;=80,"80-90")</f>
        <v>50-60</v>
      </c>
      <c r="I1287" s="13">
        <v>2755</v>
      </c>
      <c r="J1287" s="13" t="str" cm="1">
        <f t="array" ref="J1287">_xlfn.IFS(K1287=1,"Divorciado",L1287=1,"Casado",M1287=1,"Solteiro",N1287=1,"Juntos",O1287=1,"Viuvo")</f>
        <v>Casado</v>
      </c>
      <c r="K1287" s="13">
        <v>0</v>
      </c>
      <c r="L1287" s="13">
        <v>1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1</v>
      </c>
      <c r="U1287" s="13">
        <v>203</v>
      </c>
      <c r="V1287" s="13" t="str" cm="1">
        <f t="array" ref="V1287">_xlfn.IFS(U1287&lt;=250,"0-R$250",U1287&lt;=500,"251-R$500",U1287&lt;=750,"501-R$750",U1287&lt;=1000,"751-R$1000",U1287&lt;=1250,"1001-R$1250",U1287&lt;=1500,"1251-R$1500")</f>
        <v>0-R$250</v>
      </c>
      <c r="W1287" s="13">
        <v>0</v>
      </c>
      <c r="X1287" s="13" t="str" cm="1">
        <f t="array" ref="X1287">_xlfn.IFS(W1287 = 0, "0", W1287&lt;=20, "até R$20",W1287&lt;=40, "21 - R$40",W1287&lt;=60, "41- R$60",W1287&lt;=80, "61 - R$80", W1287&lt;=100, "81 - R$100",W1287&lt;=120, "101 - R$120",W1287&lt;=140, "121 - R$140", W1287&lt;=160, "141- R$160", W1287&lt;=180, "161 - R$180", W1287&lt;=200, "181-R$194")</f>
        <v>0</v>
      </c>
      <c r="Y1287" s="13">
        <v>10</v>
      </c>
      <c r="Z1287" s="13">
        <v>0</v>
      </c>
      <c r="AA1287" s="13">
        <v>0</v>
      </c>
      <c r="AB1287" s="13">
        <v>2</v>
      </c>
      <c r="AC1287" s="13">
        <v>5</v>
      </c>
      <c r="AD1287" s="13">
        <v>3</v>
      </c>
      <c r="AE1287" s="13">
        <v>1</v>
      </c>
      <c r="AF1287" s="13">
        <v>6</v>
      </c>
      <c r="AG1287" s="13">
        <v>6</v>
      </c>
      <c r="AH1287" s="13">
        <v>0</v>
      </c>
      <c r="AI1287" s="13">
        <v>0</v>
      </c>
      <c r="AJ1287" s="13">
        <v>1</v>
      </c>
      <c r="AK1287" s="13">
        <v>0</v>
      </c>
      <c r="AL1287" s="13">
        <v>0</v>
      </c>
      <c r="AM1287" s="13">
        <v>0</v>
      </c>
      <c r="AN1287" s="13">
        <v>0</v>
      </c>
      <c r="AO1287" s="14">
        <v>1</v>
      </c>
      <c r="AP1287" s="13">
        <v>3</v>
      </c>
      <c r="AQ1287" s="13">
        <v>11</v>
      </c>
      <c r="AR1287" s="15">
        <v>211</v>
      </c>
      <c r="AS1287" s="15">
        <v>213</v>
      </c>
    </row>
    <row r="1288" spans="1:45" x14ac:dyDescent="0.25">
      <c r="A1288">
        <v>134</v>
      </c>
      <c r="B1288" s="11">
        <f t="shared" si="20"/>
        <v>41883</v>
      </c>
      <c r="C1288" s="12">
        <v>418830</v>
      </c>
      <c r="D1288" s="13">
        <v>1</v>
      </c>
      <c r="E1288" s="13">
        <v>0</v>
      </c>
      <c r="F1288" s="13">
        <v>13</v>
      </c>
      <c r="G1288" s="13">
        <v>32</v>
      </c>
      <c r="H1288" s="13" t="str" cm="1">
        <f t="array" ref="H1288">_xlfn.IFS(G1288&lt;=20,"0-20",G1288&lt;=30,"20-30",G1288&lt;=40,"30-40",G1288&lt;=50,"50-60",G1288&lt;=60,"60-70",G1288&lt;=70,"70-80",G1288&lt;=80,"80-90")</f>
        <v>30-40</v>
      </c>
      <c r="I1288" s="13">
        <v>2626</v>
      </c>
      <c r="J1288" s="13" t="str" cm="1">
        <f t="array" ref="J1288">_xlfn.IFS(K1288=1,"Divorciado",L1288=1,"Casado",M1288=1,"Solteiro",N1288=1,"Juntos",O1288=1,"Viuvo")</f>
        <v>Juntos</v>
      </c>
      <c r="K1288" s="13">
        <v>0</v>
      </c>
      <c r="L1288" s="13">
        <v>0</v>
      </c>
      <c r="M1288" s="13">
        <v>0</v>
      </c>
      <c r="N1288" s="13">
        <v>1</v>
      </c>
      <c r="O1288" s="13">
        <v>0</v>
      </c>
      <c r="P1288" s="13">
        <v>0</v>
      </c>
      <c r="Q1288" s="13">
        <v>0</v>
      </c>
      <c r="R1288" s="13">
        <v>1</v>
      </c>
      <c r="S1288" s="13">
        <v>0</v>
      </c>
      <c r="T1288" s="13">
        <v>0</v>
      </c>
      <c r="U1288" s="13">
        <v>32</v>
      </c>
      <c r="V1288" s="13" t="str" cm="1">
        <f t="array" ref="V1288">_xlfn.IFS(U1288&lt;=250,"0-R$250",U1288&lt;=500,"251-R$500",U1288&lt;=750,"501-R$750",U1288&lt;=1000,"751-R$1000",U1288&lt;=1250,"1001-R$1250",U1288&lt;=1500,"1251-R$1500")</f>
        <v>0-R$250</v>
      </c>
      <c r="W1288" s="13">
        <v>34</v>
      </c>
      <c r="X1288" s="13" t="str" cm="1">
        <f t="array" ref="X1288">_xlfn.IFS(W1288 = 0, "0", W1288&lt;=20, "até R$20",W1288&lt;=40, "21 - R$40",W1288&lt;=60, "41- R$60",W1288&lt;=80, "61 - R$80", W1288&lt;=100, "81 - R$100",W1288&lt;=120, "101 - R$120",W1288&lt;=140, "121 - R$140", W1288&lt;=160, "141- R$160", W1288&lt;=180, "161 - R$180", W1288&lt;=200, "181-R$194")</f>
        <v>21 - R$40</v>
      </c>
      <c r="Y1288" s="13">
        <v>41</v>
      </c>
      <c r="Z1288" s="13">
        <v>73</v>
      </c>
      <c r="AA1288" s="13">
        <v>16</v>
      </c>
      <c r="AB1288" s="13">
        <v>116</v>
      </c>
      <c r="AC1288" s="13">
        <v>3</v>
      </c>
      <c r="AD1288" s="13">
        <v>4</v>
      </c>
      <c r="AE1288" s="13">
        <v>2</v>
      </c>
      <c r="AF1288" s="13">
        <v>3</v>
      </c>
      <c r="AG1288" s="13">
        <v>7</v>
      </c>
      <c r="AH1288" s="13">
        <v>0</v>
      </c>
      <c r="AI1288" s="13">
        <v>0</v>
      </c>
      <c r="AJ1288" s="13">
        <v>0</v>
      </c>
      <c r="AK1288" s="13">
        <v>0</v>
      </c>
      <c r="AL1288" s="13">
        <v>0</v>
      </c>
      <c r="AM1288" s="13">
        <v>0</v>
      </c>
      <c r="AN1288" s="13">
        <v>0</v>
      </c>
      <c r="AO1288" s="14">
        <v>0</v>
      </c>
      <c r="AP1288" s="13">
        <v>3</v>
      </c>
      <c r="AQ1288" s="13">
        <v>11</v>
      </c>
      <c r="AR1288" s="15">
        <v>80</v>
      </c>
      <c r="AS1288" s="15">
        <v>196</v>
      </c>
    </row>
    <row r="1289" spans="1:45" x14ac:dyDescent="0.25">
      <c r="A1289">
        <v>1600</v>
      </c>
      <c r="B1289" s="11">
        <f t="shared" si="20"/>
        <v>54414</v>
      </c>
      <c r="C1289" s="12">
        <v>544140</v>
      </c>
      <c r="D1289" s="13">
        <v>1</v>
      </c>
      <c r="E1289" s="13">
        <v>1</v>
      </c>
      <c r="F1289" s="13">
        <v>49</v>
      </c>
      <c r="G1289" s="13">
        <v>57</v>
      </c>
      <c r="H1289" s="13" t="str" cm="1">
        <f t="array" ref="H1289">_xlfn.IFS(G1289&lt;=20,"0-20",G1289&lt;=30,"20-30",G1289&lt;=40,"30-40",G1289&lt;=50,"50-60",G1289&lt;=60,"60-70",G1289&lt;=70,"70-80",G1289&lt;=80,"80-90")</f>
        <v>60-70</v>
      </c>
      <c r="I1289" s="13">
        <v>2681</v>
      </c>
      <c r="J1289" s="13" t="str" cm="1">
        <f t="array" ref="J1289">_xlfn.IFS(K1289=1,"Divorciado",L1289=1,"Casado",M1289=1,"Solteiro",N1289=1,"Juntos",O1289=1,"Viuvo")</f>
        <v>Juntos</v>
      </c>
      <c r="K1289" s="13">
        <v>0</v>
      </c>
      <c r="L1289" s="13">
        <v>0</v>
      </c>
      <c r="M1289" s="13">
        <v>0</v>
      </c>
      <c r="N1289" s="13">
        <v>1</v>
      </c>
      <c r="O1289" s="13">
        <v>0</v>
      </c>
      <c r="P1289" s="13">
        <v>0</v>
      </c>
      <c r="Q1289" s="13">
        <v>0</v>
      </c>
      <c r="R1289" s="13">
        <v>1</v>
      </c>
      <c r="S1289" s="13">
        <v>0</v>
      </c>
      <c r="T1289" s="13">
        <v>0</v>
      </c>
      <c r="U1289" s="13">
        <v>109</v>
      </c>
      <c r="V1289" s="13" t="str" cm="1">
        <f t="array" ref="V1289">_xlfn.IFS(U1289&lt;=250,"0-R$250",U1289&lt;=500,"251-R$500",U1289&lt;=750,"501-R$750",U1289&lt;=1000,"751-R$1000",U1289&lt;=1250,"1001-R$1250",U1289&lt;=1500,"1251-R$1500")</f>
        <v>0-R$250</v>
      </c>
      <c r="W1289" s="13">
        <v>18</v>
      </c>
      <c r="X1289" s="13" t="str" cm="1">
        <f t="array" ref="X1289">_xlfn.IFS(W1289 = 0, "0", W1289&lt;=20, "até R$20",W1289&lt;=40, "21 - R$40",W1289&lt;=60, "41- R$60",W1289&lt;=80, "61 - R$80", W1289&lt;=100, "81 - R$100",W1289&lt;=120, "101 - R$120",W1289&lt;=140, "121 - R$140", W1289&lt;=160, "141- R$160", W1289&lt;=180, "161 - R$180", W1289&lt;=200, "181-R$194")</f>
        <v>até R$20</v>
      </c>
      <c r="Y1289" s="13">
        <v>16</v>
      </c>
      <c r="Z1289" s="13">
        <v>24</v>
      </c>
      <c r="AA1289" s="13">
        <v>26</v>
      </c>
      <c r="AB1289" s="13">
        <v>18</v>
      </c>
      <c r="AC1289" s="13">
        <v>4</v>
      </c>
      <c r="AD1289" s="13">
        <v>3</v>
      </c>
      <c r="AE1289" s="13">
        <v>1</v>
      </c>
      <c r="AF1289" s="13">
        <v>5</v>
      </c>
      <c r="AG1289" s="13">
        <v>4</v>
      </c>
      <c r="AH1289" s="13">
        <v>0</v>
      </c>
      <c r="AI1289" s="13">
        <v>0</v>
      </c>
      <c r="AJ1289" s="13">
        <v>0</v>
      </c>
      <c r="AK1289" s="13">
        <v>0</v>
      </c>
      <c r="AL1289" s="13">
        <v>0</v>
      </c>
      <c r="AM1289" s="13">
        <v>0</v>
      </c>
      <c r="AN1289" s="13">
        <v>0</v>
      </c>
      <c r="AO1289" s="14">
        <v>0</v>
      </c>
      <c r="AP1289" s="13">
        <v>3</v>
      </c>
      <c r="AQ1289" s="13">
        <v>11</v>
      </c>
      <c r="AR1289" s="15">
        <v>175</v>
      </c>
      <c r="AS1289" s="15">
        <v>193</v>
      </c>
    </row>
    <row r="1290" spans="1:45" x14ac:dyDescent="0.25">
      <c r="A1290">
        <v>473</v>
      </c>
      <c r="B1290" s="11">
        <f t="shared" si="20"/>
        <v>28457</v>
      </c>
      <c r="C1290" s="16">
        <v>284570</v>
      </c>
      <c r="D1290" s="17">
        <v>0</v>
      </c>
      <c r="E1290" s="17">
        <v>0</v>
      </c>
      <c r="F1290" s="17">
        <v>96</v>
      </c>
      <c r="G1290" s="17">
        <v>68</v>
      </c>
      <c r="H1290" s="13" t="str" cm="1">
        <f t="array" ref="H1290">_xlfn.IFS(G1290&lt;=20,"0-20",G1290&lt;=30,"20-30",G1290&lt;=40,"30-40",G1290&lt;=50,"50-60",G1290&lt;=60,"60-70",G1290&lt;=70,"70-80",G1290&lt;=80,"80-90")</f>
        <v>70-80</v>
      </c>
      <c r="I1290" s="17">
        <v>2768</v>
      </c>
      <c r="J1290" s="13" t="str" cm="1">
        <f t="array" ref="J1290">_xlfn.IFS(K1290=1,"Divorciado",L1290=1,"Casado",M1290=1,"Solteiro",N1290=1,"Juntos",O1290=1,"Viuvo")</f>
        <v>Viuvo</v>
      </c>
      <c r="K1290" s="17">
        <v>0</v>
      </c>
      <c r="L1290" s="17">
        <v>0</v>
      </c>
      <c r="M1290" s="17">
        <v>0</v>
      </c>
      <c r="N1290" s="17">
        <v>0</v>
      </c>
      <c r="O1290" s="17">
        <v>1</v>
      </c>
      <c r="P1290" s="17">
        <v>1</v>
      </c>
      <c r="Q1290" s="17">
        <v>0</v>
      </c>
      <c r="R1290" s="17">
        <v>0</v>
      </c>
      <c r="S1290" s="17">
        <v>0</v>
      </c>
      <c r="T1290" s="17">
        <v>0</v>
      </c>
      <c r="U1290" s="17">
        <v>24</v>
      </c>
      <c r="V1290" s="13" t="str" cm="1">
        <f t="array" ref="V1290">_xlfn.IFS(U1290&lt;=250,"0-R$250",U1290&lt;=500,"251-R$500",U1290&lt;=750,"501-R$750",U1290&lt;=1000,"751-R$1000",U1290&lt;=1250,"1001-R$1250",U1290&lt;=1500,"1251-R$1500")</f>
        <v>0-R$250</v>
      </c>
      <c r="W1290" s="17">
        <v>1</v>
      </c>
      <c r="X1290" s="13" t="str" cm="1">
        <f t="array" ref="X1290">_xlfn.IFS(W1290 = 0, "0", W1290&lt;=20, "até R$20",W1290&lt;=40, "21 - R$40",W1290&lt;=60, "41- R$60",W1290&lt;=80, "61 - R$80", W1290&lt;=100, "81 - R$100",W1290&lt;=120, "101 - R$120",W1290&lt;=140, "121 - R$140", W1290&lt;=160, "141- R$160", W1290&lt;=180, "161 - R$180", W1290&lt;=200, "181-R$194")</f>
        <v>até R$20</v>
      </c>
      <c r="Y1290" s="17">
        <v>108</v>
      </c>
      <c r="Z1290" s="17">
        <v>29</v>
      </c>
      <c r="AA1290" s="17">
        <v>29</v>
      </c>
      <c r="AB1290" s="17">
        <v>14</v>
      </c>
      <c r="AC1290" s="17">
        <v>1</v>
      </c>
      <c r="AD1290" s="17">
        <v>4</v>
      </c>
      <c r="AE1290" s="17">
        <v>1</v>
      </c>
      <c r="AF1290" s="17">
        <v>4</v>
      </c>
      <c r="AG1290" s="17">
        <v>8</v>
      </c>
      <c r="AH1290" s="17">
        <v>0</v>
      </c>
      <c r="AI1290" s="17">
        <v>0</v>
      </c>
      <c r="AJ1290" s="17">
        <v>0</v>
      </c>
      <c r="AK1290" s="17">
        <v>0</v>
      </c>
      <c r="AL1290" s="17">
        <v>0</v>
      </c>
      <c r="AM1290" s="17">
        <v>0</v>
      </c>
      <c r="AN1290" s="17">
        <v>0</v>
      </c>
      <c r="AO1290" s="18">
        <v>0</v>
      </c>
      <c r="AP1290" s="17">
        <v>3</v>
      </c>
      <c r="AQ1290" s="17">
        <v>11</v>
      </c>
      <c r="AR1290" s="19">
        <v>177</v>
      </c>
      <c r="AS1290" s="19">
        <v>191</v>
      </c>
    </row>
    <row r="1291" spans="1:45" x14ac:dyDescent="0.25">
      <c r="A1291">
        <v>673</v>
      </c>
      <c r="B1291" s="11">
        <f t="shared" si="20"/>
        <v>42315</v>
      </c>
      <c r="C1291" s="16">
        <v>423150</v>
      </c>
      <c r="D1291" s="17">
        <v>0</v>
      </c>
      <c r="E1291" s="17">
        <v>1</v>
      </c>
      <c r="F1291" s="17">
        <v>90</v>
      </c>
      <c r="G1291" s="17">
        <v>62</v>
      </c>
      <c r="H1291" s="13" t="str" cm="1">
        <f t="array" ref="H1291">_xlfn.IFS(G1291&lt;=20,"0-20",G1291&lt;=30,"20-30",G1291&lt;=40,"30-40",G1291&lt;=50,"50-60",G1291&lt;=60,"60-70",G1291&lt;=70,"70-80",G1291&lt;=80,"80-90")</f>
        <v>70-80</v>
      </c>
      <c r="I1291" s="17">
        <v>2511</v>
      </c>
      <c r="J1291" s="13" t="str" cm="1">
        <f t="array" ref="J1291">_xlfn.IFS(K1291=1,"Divorciado",L1291=1,"Casado",M1291=1,"Solteiro",N1291=1,"Juntos",O1291=1,"Viuvo")</f>
        <v>Juntos</v>
      </c>
      <c r="K1291" s="17">
        <v>0</v>
      </c>
      <c r="L1291" s="17">
        <v>0</v>
      </c>
      <c r="M1291" s="17">
        <v>0</v>
      </c>
      <c r="N1291" s="17">
        <v>1</v>
      </c>
      <c r="O1291" s="17">
        <v>0</v>
      </c>
      <c r="P1291" s="17">
        <v>0</v>
      </c>
      <c r="Q1291" s="17">
        <v>0</v>
      </c>
      <c r="R1291" s="17">
        <v>0</v>
      </c>
      <c r="S1291" s="17">
        <v>1</v>
      </c>
      <c r="T1291" s="17">
        <v>0</v>
      </c>
      <c r="U1291" s="17">
        <v>67</v>
      </c>
      <c r="V1291" s="13" t="str" cm="1">
        <f t="array" ref="V1291">_xlfn.IFS(U1291&lt;=250,"0-R$250",U1291&lt;=500,"251-R$500",U1291&lt;=750,"501-R$750",U1291&lt;=1000,"751-R$1000",U1291&lt;=1250,"1001-R$1250",U1291&lt;=1500,"1251-R$1500")</f>
        <v>0-R$250</v>
      </c>
      <c r="W1291" s="17">
        <v>15</v>
      </c>
      <c r="X1291" s="13" t="str" cm="1">
        <f t="array" ref="X1291">_xlfn.IFS(W1291 = 0, "0", W1291&lt;=20, "até R$20",W1291&lt;=40, "21 - R$40",W1291&lt;=60, "41- R$60",W1291&lt;=80, "61 - R$80", W1291&lt;=100, "81 - R$100",W1291&lt;=120, "101 - R$120",W1291&lt;=140, "121 - R$140", W1291&lt;=160, "141- R$160", W1291&lt;=180, "161 - R$180", W1291&lt;=200, "181-R$194")</f>
        <v>até R$20</v>
      </c>
      <c r="Y1291" s="17">
        <v>80</v>
      </c>
      <c r="Z1291" s="17">
        <v>17</v>
      </c>
      <c r="AA1291" s="17">
        <v>11</v>
      </c>
      <c r="AB1291" s="17">
        <v>80</v>
      </c>
      <c r="AC1291" s="17">
        <v>3</v>
      </c>
      <c r="AD1291" s="17">
        <v>1</v>
      </c>
      <c r="AE1291" s="17">
        <v>4</v>
      </c>
      <c r="AF1291" s="17">
        <v>4</v>
      </c>
      <c r="AG1291" s="17">
        <v>3</v>
      </c>
      <c r="AH1291" s="17">
        <v>0</v>
      </c>
      <c r="AI1291" s="17">
        <v>0</v>
      </c>
      <c r="AJ1291" s="17">
        <v>0</v>
      </c>
      <c r="AK1291" s="17">
        <v>0</v>
      </c>
      <c r="AL1291" s="17">
        <v>0</v>
      </c>
      <c r="AM1291" s="17">
        <v>0</v>
      </c>
      <c r="AN1291" s="17">
        <v>0</v>
      </c>
      <c r="AO1291" s="18">
        <v>0</v>
      </c>
      <c r="AP1291" s="17">
        <v>3</v>
      </c>
      <c r="AQ1291" s="17">
        <v>11</v>
      </c>
      <c r="AR1291" s="19">
        <v>110</v>
      </c>
      <c r="AS1291" s="19">
        <v>190</v>
      </c>
    </row>
    <row r="1292" spans="1:45" x14ac:dyDescent="0.25">
      <c r="A1292">
        <v>1636</v>
      </c>
      <c r="B1292" s="11">
        <f t="shared" si="20"/>
        <v>34916</v>
      </c>
      <c r="C1292" s="12">
        <v>349160</v>
      </c>
      <c r="D1292" s="13">
        <v>2</v>
      </c>
      <c r="E1292" s="13">
        <v>0</v>
      </c>
      <c r="F1292" s="13">
        <v>89</v>
      </c>
      <c r="G1292" s="13">
        <v>52</v>
      </c>
      <c r="H1292" s="13" t="str" cm="1">
        <f t="array" ref="H1292">_xlfn.IFS(G1292&lt;=20,"0-20",G1292&lt;=30,"20-30",G1292&lt;=40,"30-40",G1292&lt;=50,"50-60",G1292&lt;=60,"60-70",G1292&lt;=70,"70-80",G1292&lt;=80,"80-90")</f>
        <v>60-70</v>
      </c>
      <c r="I1292" s="13">
        <v>2569</v>
      </c>
      <c r="J1292" s="13" t="str" cm="1">
        <f t="array" ref="J1292">_xlfn.IFS(K1292=1,"Divorciado",L1292=1,"Casado",M1292=1,"Solteiro",N1292=1,"Juntos",O1292=1,"Viuvo")</f>
        <v>Juntos</v>
      </c>
      <c r="K1292" s="13">
        <v>0</v>
      </c>
      <c r="L1292" s="13">
        <v>0</v>
      </c>
      <c r="M1292" s="13">
        <v>0</v>
      </c>
      <c r="N1292" s="13">
        <v>1</v>
      </c>
      <c r="O1292" s="13">
        <v>0</v>
      </c>
      <c r="P1292" s="13">
        <v>0</v>
      </c>
      <c r="Q1292" s="13">
        <v>0</v>
      </c>
      <c r="R1292" s="13">
        <v>1</v>
      </c>
      <c r="S1292" s="13">
        <v>0</v>
      </c>
      <c r="T1292" s="13">
        <v>0</v>
      </c>
      <c r="U1292" s="13">
        <v>51</v>
      </c>
      <c r="V1292" s="13" t="str" cm="1">
        <f t="array" ref="V1292">_xlfn.IFS(U1292&lt;=250,"0-R$250",U1292&lt;=500,"251-R$500",U1292&lt;=750,"501-R$750",U1292&lt;=1000,"751-R$1000",U1292&lt;=1250,"1001-R$1250",U1292&lt;=1500,"1251-R$1500")</f>
        <v>0-R$250</v>
      </c>
      <c r="W1292" s="13">
        <v>23</v>
      </c>
      <c r="X1292" s="13" t="str" cm="1">
        <f t="array" ref="X1292">_xlfn.IFS(W1292 = 0, "0", W1292&lt;=20, "até R$20",W1292&lt;=40, "21 - R$40",W1292&lt;=60, "41- R$60",W1292&lt;=80, "61 - R$80", W1292&lt;=100, "81 - R$100",W1292&lt;=120, "101 - R$120",W1292&lt;=140, "121 - R$140", W1292&lt;=160, "141- R$160", W1292&lt;=180, "161 - R$180", W1292&lt;=200, "181-R$194")</f>
        <v>21 - R$40</v>
      </c>
      <c r="Y1292" s="13">
        <v>82</v>
      </c>
      <c r="Z1292" s="13">
        <v>33</v>
      </c>
      <c r="AA1292" s="13">
        <v>0</v>
      </c>
      <c r="AB1292" s="13">
        <v>42</v>
      </c>
      <c r="AC1292" s="13">
        <v>4</v>
      </c>
      <c r="AD1292" s="13">
        <v>5</v>
      </c>
      <c r="AE1292" s="13">
        <v>1</v>
      </c>
      <c r="AF1292" s="13">
        <v>3</v>
      </c>
      <c r="AG1292" s="13">
        <v>9</v>
      </c>
      <c r="AH1292" s="13">
        <v>0</v>
      </c>
      <c r="AI1292" s="13">
        <v>0</v>
      </c>
      <c r="AJ1292" s="13">
        <v>0</v>
      </c>
      <c r="AK1292" s="13">
        <v>0</v>
      </c>
      <c r="AL1292" s="13">
        <v>0</v>
      </c>
      <c r="AM1292" s="13">
        <v>0</v>
      </c>
      <c r="AN1292" s="13">
        <v>0</v>
      </c>
      <c r="AO1292" s="14">
        <v>0</v>
      </c>
      <c r="AP1292" s="13">
        <v>3</v>
      </c>
      <c r="AQ1292" s="13">
        <v>11</v>
      </c>
      <c r="AR1292" s="15">
        <v>147</v>
      </c>
      <c r="AS1292" s="15">
        <v>189</v>
      </c>
    </row>
    <row r="1293" spans="1:45" x14ac:dyDescent="0.25">
      <c r="A1293">
        <v>612</v>
      </c>
      <c r="B1293" s="11">
        <f t="shared" si="20"/>
        <v>28769</v>
      </c>
      <c r="C1293" s="12">
        <v>287690</v>
      </c>
      <c r="D1293" s="13">
        <v>1</v>
      </c>
      <c r="E1293" s="13">
        <v>0</v>
      </c>
      <c r="F1293" s="13">
        <v>76</v>
      </c>
      <c r="G1293" s="13">
        <v>43</v>
      </c>
      <c r="H1293" s="13" t="str" cm="1">
        <f t="array" ref="H1293">_xlfn.IFS(G1293&lt;=20,"0-20",G1293&lt;=30,"20-30",G1293&lt;=40,"30-40",G1293&lt;=50,"50-60",G1293&lt;=60,"60-70",G1293&lt;=70,"70-80",G1293&lt;=80,"80-90")</f>
        <v>50-60</v>
      </c>
      <c r="I1293" s="13">
        <v>2717</v>
      </c>
      <c r="J1293" s="13" t="str" cm="1">
        <f t="array" ref="J1293">_xlfn.IFS(K1293=1,"Divorciado",L1293=1,"Casado",M1293=1,"Solteiro",N1293=1,"Juntos",O1293=1,"Viuvo")</f>
        <v>Solteiro</v>
      </c>
      <c r="K1293" s="13">
        <v>0</v>
      </c>
      <c r="L1293" s="13">
        <v>0</v>
      </c>
      <c r="M1293" s="13">
        <v>1</v>
      </c>
      <c r="N1293" s="13">
        <v>0</v>
      </c>
      <c r="O1293" s="13">
        <v>0</v>
      </c>
      <c r="P1293" s="13">
        <v>0</v>
      </c>
      <c r="Q1293" s="13">
        <v>0</v>
      </c>
      <c r="R1293" s="13">
        <v>1</v>
      </c>
      <c r="S1293" s="13">
        <v>0</v>
      </c>
      <c r="T1293" s="13">
        <v>0</v>
      </c>
      <c r="U1293" s="13">
        <v>41</v>
      </c>
      <c r="V1293" s="13" t="str" cm="1">
        <f t="array" ref="V1293">_xlfn.IFS(U1293&lt;=250,"0-R$250",U1293&lt;=500,"251-R$500",U1293&lt;=750,"501-R$750",U1293&lt;=1000,"751-R$1000",U1293&lt;=1250,"1001-R$1250",U1293&lt;=1500,"1251-R$1500")</f>
        <v>0-R$250</v>
      </c>
      <c r="W1293" s="13">
        <v>5</v>
      </c>
      <c r="X1293" s="13" t="str" cm="1">
        <f t="array" ref="X1293">_xlfn.IFS(W1293 = 0, "0", W1293&lt;=20, "até R$20",W1293&lt;=40, "21 - R$40",W1293&lt;=60, "41- R$60",W1293&lt;=80, "61 - R$80", W1293&lt;=100, "81 - R$100",W1293&lt;=120, "101 - R$120",W1293&lt;=140, "121 - R$140", W1293&lt;=160, "141- R$160", W1293&lt;=180, "161 - R$180", W1293&lt;=200, "181-R$194")</f>
        <v>até R$20</v>
      </c>
      <c r="Y1293" s="13">
        <v>129</v>
      </c>
      <c r="Z1293" s="13">
        <v>10</v>
      </c>
      <c r="AA1293" s="13">
        <v>3</v>
      </c>
      <c r="AB1293" s="13">
        <v>3</v>
      </c>
      <c r="AC1293" s="13">
        <v>3</v>
      </c>
      <c r="AD1293" s="13">
        <v>4</v>
      </c>
      <c r="AE1293" s="13">
        <v>1</v>
      </c>
      <c r="AF1293" s="13">
        <v>4</v>
      </c>
      <c r="AG1293" s="13">
        <v>9</v>
      </c>
      <c r="AH1293" s="13">
        <v>0</v>
      </c>
      <c r="AI1293" s="13">
        <v>0</v>
      </c>
      <c r="AJ1293" s="13">
        <v>0</v>
      </c>
      <c r="AK1293" s="13">
        <v>0</v>
      </c>
      <c r="AL1293" s="13">
        <v>0</v>
      </c>
      <c r="AM1293" s="13">
        <v>0</v>
      </c>
      <c r="AN1293" s="13">
        <v>0</v>
      </c>
      <c r="AO1293" s="14">
        <v>0</v>
      </c>
      <c r="AP1293" s="13">
        <v>3</v>
      </c>
      <c r="AQ1293" s="13">
        <v>11</v>
      </c>
      <c r="AR1293" s="15">
        <v>185</v>
      </c>
      <c r="AS1293" s="15">
        <v>188</v>
      </c>
    </row>
    <row r="1294" spans="1:45" x14ac:dyDescent="0.25">
      <c r="A1294">
        <v>1769</v>
      </c>
      <c r="B1294" s="11">
        <f t="shared" si="20"/>
        <v>34074</v>
      </c>
      <c r="C1294" s="16">
        <v>340740</v>
      </c>
      <c r="D1294" s="17">
        <v>1</v>
      </c>
      <c r="E1294" s="17">
        <v>1</v>
      </c>
      <c r="F1294" s="17">
        <v>69</v>
      </c>
      <c r="G1294" s="17">
        <v>68</v>
      </c>
      <c r="H1294" s="13" t="str" cm="1">
        <f t="array" ref="H1294">_xlfn.IFS(G1294&lt;=20,"0-20",G1294&lt;=30,"20-30",G1294&lt;=40,"30-40",G1294&lt;=50,"50-60",G1294&lt;=60,"60-70",G1294&lt;=70,"70-80",G1294&lt;=80,"80-90")</f>
        <v>70-80</v>
      </c>
      <c r="I1294" s="17">
        <v>2510</v>
      </c>
      <c r="J1294" s="13" t="str" cm="1">
        <f t="array" ref="J1294">_xlfn.IFS(K1294=1,"Divorciado",L1294=1,"Casado",M1294=1,"Solteiro",N1294=1,"Juntos",O1294=1,"Viuvo")</f>
        <v>Juntos</v>
      </c>
      <c r="K1294" s="17">
        <v>0</v>
      </c>
      <c r="L1294" s="17">
        <v>0</v>
      </c>
      <c r="M1294" s="17">
        <v>0</v>
      </c>
      <c r="N1294" s="17">
        <v>1</v>
      </c>
      <c r="O1294" s="17">
        <v>0</v>
      </c>
      <c r="P1294" s="17">
        <v>0</v>
      </c>
      <c r="Q1294" s="17">
        <v>0</v>
      </c>
      <c r="R1294" s="17">
        <v>1</v>
      </c>
      <c r="S1294" s="17">
        <v>0</v>
      </c>
      <c r="T1294" s="17">
        <v>0</v>
      </c>
      <c r="U1294" s="17">
        <v>135</v>
      </c>
      <c r="V1294" s="13" t="str" cm="1">
        <f t="array" ref="V1294">_xlfn.IFS(U1294&lt;=250,"0-R$250",U1294&lt;=500,"251-R$500",U1294&lt;=750,"501-R$750",U1294&lt;=1000,"751-R$1000",U1294&lt;=1250,"1001-R$1250",U1294&lt;=1500,"1251-R$1500")</f>
        <v>0-R$250</v>
      </c>
      <c r="W1294" s="17">
        <v>1</v>
      </c>
      <c r="X1294" s="13" t="str" cm="1">
        <f t="array" ref="X1294">_xlfn.IFS(W1294 = 0, "0", W1294&lt;=20, "até R$20",W1294&lt;=40, "21 - R$40",W1294&lt;=60, "41- R$60",W1294&lt;=80, "61 - R$80", W1294&lt;=100, "81 - R$100",W1294&lt;=120, "101 - R$120",W1294&lt;=140, "121 - R$140", W1294&lt;=160, "141- R$160", W1294&lt;=180, "161 - R$180", W1294&lt;=200, "181-R$194")</f>
        <v>até R$20</v>
      </c>
      <c r="Y1294" s="17">
        <v>41</v>
      </c>
      <c r="Z1294" s="17">
        <v>10</v>
      </c>
      <c r="AA1294" s="17">
        <v>1</v>
      </c>
      <c r="AB1294" s="17">
        <v>67</v>
      </c>
      <c r="AC1294" s="17">
        <v>5</v>
      </c>
      <c r="AD1294" s="17">
        <v>3</v>
      </c>
      <c r="AE1294" s="17">
        <v>3</v>
      </c>
      <c r="AF1294" s="17">
        <v>3</v>
      </c>
      <c r="AG1294" s="17">
        <v>6</v>
      </c>
      <c r="AH1294" s="17">
        <v>0</v>
      </c>
      <c r="AI1294" s="17">
        <v>1</v>
      </c>
      <c r="AJ1294" s="17">
        <v>0</v>
      </c>
      <c r="AK1294" s="17">
        <v>0</v>
      </c>
      <c r="AL1294" s="17">
        <v>0</v>
      </c>
      <c r="AM1294" s="17">
        <v>0</v>
      </c>
      <c r="AN1294" s="17">
        <v>0</v>
      </c>
      <c r="AO1294" s="18">
        <v>1</v>
      </c>
      <c r="AP1294" s="17">
        <v>3</v>
      </c>
      <c r="AQ1294" s="17">
        <v>11</v>
      </c>
      <c r="AR1294" s="19">
        <v>121</v>
      </c>
      <c r="AS1294" s="19">
        <v>188</v>
      </c>
    </row>
    <row r="1295" spans="1:45" x14ac:dyDescent="0.25">
      <c r="A1295">
        <v>84</v>
      </c>
      <c r="B1295" s="11">
        <f t="shared" si="20"/>
        <v>54178</v>
      </c>
      <c r="C1295" s="12">
        <v>541780</v>
      </c>
      <c r="D1295" s="13">
        <v>0</v>
      </c>
      <c r="E1295" s="13">
        <v>1</v>
      </c>
      <c r="F1295" s="13">
        <v>79</v>
      </c>
      <c r="G1295" s="13">
        <v>53</v>
      </c>
      <c r="H1295" s="13" t="str" cm="1">
        <f t="array" ref="H1295">_xlfn.IFS(G1295&lt;=20,"0-20",G1295&lt;=30,"20-30",G1295&lt;=40,"30-40",G1295&lt;=50,"50-60",G1295&lt;=60,"60-70",G1295&lt;=70,"70-80",G1295&lt;=80,"80-90")</f>
        <v>60-70</v>
      </c>
      <c r="I1295" s="13">
        <v>2318</v>
      </c>
      <c r="J1295" s="13" t="str" cm="1">
        <f t="array" ref="J1295">_xlfn.IFS(K1295=1,"Divorciado",L1295=1,"Casado",M1295=1,"Solteiro",N1295=1,"Juntos",O1295=1,"Viuvo")</f>
        <v>Juntos</v>
      </c>
      <c r="K1295" s="13">
        <v>0</v>
      </c>
      <c r="L1295" s="13">
        <v>0</v>
      </c>
      <c r="M1295" s="13">
        <v>0</v>
      </c>
      <c r="N1295" s="13">
        <v>1</v>
      </c>
      <c r="O1295" s="13">
        <v>0</v>
      </c>
      <c r="P1295" s="13">
        <v>0</v>
      </c>
      <c r="Q1295" s="13">
        <v>0</v>
      </c>
      <c r="R1295" s="13">
        <v>1</v>
      </c>
      <c r="S1295" s="13">
        <v>0</v>
      </c>
      <c r="T1295" s="13">
        <v>0</v>
      </c>
      <c r="U1295" s="13">
        <v>135</v>
      </c>
      <c r="V1295" s="13" t="str" cm="1">
        <f t="array" ref="V1295">_xlfn.IFS(U1295&lt;=250,"0-R$250",U1295&lt;=500,"251-R$500",U1295&lt;=750,"501-R$750",U1295&lt;=1000,"751-R$1000",U1295&lt;=1250,"1001-R$1250",U1295&lt;=1500,"1251-R$1500")</f>
        <v>0-R$250</v>
      </c>
      <c r="W1295" s="13">
        <v>9</v>
      </c>
      <c r="X1295" s="13" t="str" cm="1">
        <f t="array" ref="X1295">_xlfn.IFS(W1295 = 0, "0", W1295&lt;=20, "até R$20",W1295&lt;=40, "21 - R$40",W1295&lt;=60, "41- R$60",W1295&lt;=80, "61 - R$80", W1295&lt;=100, "81 - R$100",W1295&lt;=120, "101 - R$120",W1295&lt;=140, "121 - R$140", W1295&lt;=160, "141- R$160", W1295&lt;=180, "161 - R$180", W1295&lt;=200, "181-R$194")</f>
        <v>até R$20</v>
      </c>
      <c r="Y1295" s="13">
        <v>39</v>
      </c>
      <c r="Z1295" s="13">
        <v>4</v>
      </c>
      <c r="AA1295" s="13">
        <v>0</v>
      </c>
      <c r="AB1295" s="13">
        <v>7</v>
      </c>
      <c r="AC1295" s="13">
        <v>1</v>
      </c>
      <c r="AD1295" s="13">
        <v>2</v>
      </c>
      <c r="AE1295" s="13">
        <v>2</v>
      </c>
      <c r="AF1295" s="13">
        <v>5</v>
      </c>
      <c r="AG1295" s="13">
        <v>2</v>
      </c>
      <c r="AH1295" s="13">
        <v>0</v>
      </c>
      <c r="AI1295" s="13">
        <v>0</v>
      </c>
      <c r="AJ1295" s="13">
        <v>0</v>
      </c>
      <c r="AK1295" s="13">
        <v>0</v>
      </c>
      <c r="AL1295" s="13">
        <v>0</v>
      </c>
      <c r="AM1295" s="13">
        <v>0</v>
      </c>
      <c r="AN1295" s="13">
        <v>0</v>
      </c>
      <c r="AO1295" s="14">
        <v>0</v>
      </c>
      <c r="AP1295" s="13">
        <v>3</v>
      </c>
      <c r="AQ1295" s="13">
        <v>11</v>
      </c>
      <c r="AR1295" s="15">
        <v>180</v>
      </c>
      <c r="AS1295" s="15">
        <v>187</v>
      </c>
    </row>
    <row r="1296" spans="1:45" x14ac:dyDescent="0.25">
      <c r="A1296">
        <v>890</v>
      </c>
      <c r="B1296" s="11">
        <f t="shared" si="20"/>
        <v>45921</v>
      </c>
      <c r="C1296" s="12">
        <v>459210</v>
      </c>
      <c r="D1296" s="13">
        <v>0</v>
      </c>
      <c r="E1296" s="13">
        <v>0</v>
      </c>
      <c r="F1296" s="13">
        <v>23</v>
      </c>
      <c r="G1296" s="13">
        <v>34</v>
      </c>
      <c r="H1296" s="13" t="str" cm="1">
        <f t="array" ref="H1296">_xlfn.IFS(G1296&lt;=20,"0-20",G1296&lt;=30,"20-30",G1296&lt;=40,"30-40",G1296&lt;=50,"50-60",G1296&lt;=60,"60-70",G1296&lt;=70,"70-80",G1296&lt;=80,"80-90")</f>
        <v>30-40</v>
      </c>
      <c r="I1296" s="13">
        <v>2270</v>
      </c>
      <c r="J1296" s="13" t="str" cm="1">
        <f t="array" ref="J1296">_xlfn.IFS(K1296=1,"Divorciado",L1296=1,"Casado",M1296=1,"Solteiro",N1296=1,"Juntos",O1296=1,"Viuvo")</f>
        <v>Casado</v>
      </c>
      <c r="K1296" s="13">
        <v>0</v>
      </c>
      <c r="L1296" s="13">
        <v>1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0</v>
      </c>
      <c r="S1296" s="13">
        <v>0</v>
      </c>
      <c r="T1296" s="13">
        <v>1</v>
      </c>
      <c r="U1296" s="13">
        <v>102</v>
      </c>
      <c r="V1296" s="13" t="str" cm="1">
        <f t="array" ref="V1296">_xlfn.IFS(U1296&lt;=250,"0-R$250",U1296&lt;=500,"251-R$500",U1296&lt;=750,"501-R$750",U1296&lt;=1000,"751-R$1000",U1296&lt;=1250,"1001-R$1250",U1296&lt;=1500,"1251-R$1500")</f>
        <v>0-R$250</v>
      </c>
      <c r="W1296" s="13">
        <v>9</v>
      </c>
      <c r="X1296" s="13" t="str" cm="1">
        <f t="array" ref="X1296">_xlfn.IFS(W1296 = 0, "0", W1296&lt;=20, "até R$20",W1296&lt;=40, "21 - R$40",W1296&lt;=60, "41- R$60",W1296&lt;=80, "61 - R$80", W1296&lt;=100, "81 - R$100",W1296&lt;=120, "101 - R$120",W1296&lt;=140, "121 - R$140", W1296&lt;=160, "141- R$160", W1296&lt;=180, "161 - R$180", W1296&lt;=200, "181-R$194")</f>
        <v>até R$20</v>
      </c>
      <c r="Y1296" s="13">
        <v>49</v>
      </c>
      <c r="Z1296" s="13">
        <v>24</v>
      </c>
      <c r="AA1296" s="13">
        <v>3</v>
      </c>
      <c r="AB1296" s="13">
        <v>12</v>
      </c>
      <c r="AC1296" s="13">
        <v>1</v>
      </c>
      <c r="AD1296" s="13">
        <v>2</v>
      </c>
      <c r="AE1296" s="13">
        <v>1</v>
      </c>
      <c r="AF1296" s="13">
        <v>6</v>
      </c>
      <c r="AG1296" s="13">
        <v>4</v>
      </c>
      <c r="AH1296" s="13">
        <v>0</v>
      </c>
      <c r="AI1296" s="13">
        <v>0</v>
      </c>
      <c r="AJ1296" s="13">
        <v>0</v>
      </c>
      <c r="AK1296" s="13">
        <v>0</v>
      </c>
      <c r="AL1296" s="13">
        <v>0</v>
      </c>
      <c r="AM1296" s="13">
        <v>0</v>
      </c>
      <c r="AN1296" s="13">
        <v>0</v>
      </c>
      <c r="AO1296" s="14">
        <v>0</v>
      </c>
      <c r="AP1296" s="13">
        <v>3</v>
      </c>
      <c r="AQ1296" s="13">
        <v>11</v>
      </c>
      <c r="AR1296" s="15">
        <v>175</v>
      </c>
      <c r="AS1296" s="15">
        <v>187</v>
      </c>
    </row>
    <row r="1297" spans="1:45" x14ac:dyDescent="0.25">
      <c r="A1297">
        <v>240</v>
      </c>
      <c r="B1297" s="11">
        <f t="shared" si="20"/>
        <v>26490</v>
      </c>
      <c r="C1297" s="12">
        <v>264900</v>
      </c>
      <c r="D1297" s="13">
        <v>0</v>
      </c>
      <c r="E1297" s="13">
        <v>0</v>
      </c>
      <c r="F1297" s="13">
        <v>92</v>
      </c>
      <c r="G1297" s="13">
        <v>62</v>
      </c>
      <c r="H1297" s="13" t="str" cm="1">
        <f t="array" ref="H1297">_xlfn.IFS(G1297&lt;=20,"0-20",G1297&lt;=30,"20-30",G1297&lt;=40,"30-40",G1297&lt;=50,"50-60",G1297&lt;=60,"60-70",G1297&lt;=70,"70-80",G1297&lt;=80,"80-90")</f>
        <v>70-80</v>
      </c>
      <c r="I1297" s="13">
        <v>2804</v>
      </c>
      <c r="J1297" s="13" t="str" cm="1">
        <f t="array" ref="J1297">_xlfn.IFS(K1297=1,"Divorciado",L1297=1,"Casado",M1297=1,"Solteiro",N1297=1,"Juntos",O1297=1,"Viuvo")</f>
        <v>Juntos</v>
      </c>
      <c r="K1297" s="13">
        <v>0</v>
      </c>
      <c r="L1297" s="13">
        <v>0</v>
      </c>
      <c r="M1297" s="13">
        <v>0</v>
      </c>
      <c r="N1297" s="13">
        <v>1</v>
      </c>
      <c r="O1297" s="13">
        <v>0</v>
      </c>
      <c r="P1297" s="13">
        <v>1</v>
      </c>
      <c r="Q1297" s="13">
        <v>0</v>
      </c>
      <c r="R1297" s="13">
        <v>0</v>
      </c>
      <c r="S1297" s="13">
        <v>0</v>
      </c>
      <c r="T1297" s="13">
        <v>0</v>
      </c>
      <c r="U1297" s="13">
        <v>45</v>
      </c>
      <c r="V1297" s="13" t="str" cm="1">
        <f t="array" ref="V1297">_xlfn.IFS(U1297&lt;=250,"0-R$250",U1297&lt;=500,"251-R$500",U1297&lt;=750,"501-R$750",U1297&lt;=1000,"751-R$1000",U1297&lt;=1250,"1001-R$1250",U1297&lt;=1500,"1251-R$1500")</f>
        <v>0-R$250</v>
      </c>
      <c r="W1297" s="13">
        <v>47</v>
      </c>
      <c r="X1297" s="13" t="str" cm="1">
        <f t="array" ref="X1297">_xlfn.IFS(W1297 = 0, "0", W1297&lt;=20, "até R$20",W1297&lt;=40, "21 - R$40",W1297&lt;=60, "41- R$60",W1297&lt;=80, "61 - R$80", W1297&lt;=100, "81 - R$100",W1297&lt;=120, "101 - R$120",W1297&lt;=140, "121 - R$140", W1297&lt;=160, "141- R$160", W1297&lt;=180, "161 - R$180", W1297&lt;=200, "181-R$194")</f>
        <v>41- R$60</v>
      </c>
      <c r="Y1297" s="13">
        <v>52</v>
      </c>
      <c r="Z1297" s="13">
        <v>21</v>
      </c>
      <c r="AA1297" s="13">
        <v>20</v>
      </c>
      <c r="AB1297" s="13">
        <v>25</v>
      </c>
      <c r="AC1297" s="13">
        <v>2</v>
      </c>
      <c r="AD1297" s="13">
        <v>3</v>
      </c>
      <c r="AE1297" s="13">
        <v>1</v>
      </c>
      <c r="AF1297" s="13">
        <v>5</v>
      </c>
      <c r="AG1297" s="13">
        <v>6</v>
      </c>
      <c r="AH1297" s="13">
        <v>0</v>
      </c>
      <c r="AI1297" s="13">
        <v>0</v>
      </c>
      <c r="AJ1297" s="13">
        <v>0</v>
      </c>
      <c r="AK1297" s="13">
        <v>0</v>
      </c>
      <c r="AL1297" s="13">
        <v>0</v>
      </c>
      <c r="AM1297" s="13">
        <v>0</v>
      </c>
      <c r="AN1297" s="13">
        <v>0</v>
      </c>
      <c r="AO1297" s="14">
        <v>0</v>
      </c>
      <c r="AP1297" s="13">
        <v>3</v>
      </c>
      <c r="AQ1297" s="13">
        <v>11</v>
      </c>
      <c r="AR1297" s="15">
        <v>160</v>
      </c>
      <c r="AS1297" s="15">
        <v>185</v>
      </c>
    </row>
    <row r="1298" spans="1:45" x14ac:dyDescent="0.25">
      <c r="A1298">
        <v>377</v>
      </c>
      <c r="B1298" s="11">
        <f t="shared" si="20"/>
        <v>51012</v>
      </c>
      <c r="C1298" s="16">
        <v>510120</v>
      </c>
      <c r="D1298" s="17">
        <v>0</v>
      </c>
      <c r="E1298" s="17">
        <v>0</v>
      </c>
      <c r="F1298" s="17">
        <v>86</v>
      </c>
      <c r="G1298" s="17">
        <v>74</v>
      </c>
      <c r="H1298" s="13" t="str" cm="1">
        <f t="array" ref="H1298">_xlfn.IFS(G1298&lt;=20,"0-20",G1298&lt;=30,"20-30",G1298&lt;=40,"30-40",G1298&lt;=50,"50-60",G1298&lt;=60,"60-70",G1298&lt;=70,"70-80",G1298&lt;=80,"80-90")</f>
        <v>80-90</v>
      </c>
      <c r="I1298" s="17">
        <v>2596</v>
      </c>
      <c r="J1298" s="13" t="str" cm="1">
        <f t="array" ref="J1298">_xlfn.IFS(K1298=1,"Divorciado",L1298=1,"Casado",M1298=1,"Solteiro",N1298=1,"Juntos",O1298=1,"Viuvo")</f>
        <v>Casado</v>
      </c>
      <c r="K1298" s="17">
        <v>0</v>
      </c>
      <c r="L1298" s="17">
        <v>1</v>
      </c>
      <c r="M1298" s="17">
        <v>0</v>
      </c>
      <c r="N1298" s="17">
        <v>0</v>
      </c>
      <c r="O1298" s="17">
        <v>0</v>
      </c>
      <c r="P1298" s="17">
        <v>0</v>
      </c>
      <c r="Q1298" s="17">
        <v>0</v>
      </c>
      <c r="R1298" s="17">
        <v>0</v>
      </c>
      <c r="S1298" s="17">
        <v>0</v>
      </c>
      <c r="T1298" s="17">
        <v>1</v>
      </c>
      <c r="U1298" s="17">
        <v>102</v>
      </c>
      <c r="V1298" s="13" t="str" cm="1">
        <f t="array" ref="V1298">_xlfn.IFS(U1298&lt;=250,"0-R$250",U1298&lt;=500,"251-R$500",U1298&lt;=750,"501-R$750",U1298&lt;=1000,"751-R$1000",U1298&lt;=1250,"1001-R$1250",U1298&lt;=1500,"1251-R$1500")</f>
        <v>0-R$250</v>
      </c>
      <c r="W1298" s="17">
        <v>9</v>
      </c>
      <c r="X1298" s="13" t="str" cm="1">
        <f t="array" ref="X1298">_xlfn.IFS(W1298 = 0, "0", W1298&lt;=20, "até R$20",W1298&lt;=40, "21 - R$40",W1298&lt;=60, "41- R$60",W1298&lt;=80, "61 - R$80", W1298&lt;=100, "81 - R$100",W1298&lt;=120, "101 - R$120",W1298&lt;=140, "121 - R$140", W1298&lt;=160, "141- R$160", W1298&lt;=180, "161 - R$180", W1298&lt;=200, "181-R$194")</f>
        <v>até R$20</v>
      </c>
      <c r="Y1298" s="17">
        <v>63</v>
      </c>
      <c r="Z1298" s="17">
        <v>2</v>
      </c>
      <c r="AA1298" s="17">
        <v>9</v>
      </c>
      <c r="AB1298" s="17">
        <v>24</v>
      </c>
      <c r="AC1298" s="17">
        <v>1</v>
      </c>
      <c r="AD1298" s="17">
        <v>4</v>
      </c>
      <c r="AE1298" s="17">
        <v>1</v>
      </c>
      <c r="AF1298" s="17">
        <v>4</v>
      </c>
      <c r="AG1298" s="17">
        <v>6</v>
      </c>
      <c r="AH1298" s="17">
        <v>0</v>
      </c>
      <c r="AI1298" s="17">
        <v>0</v>
      </c>
      <c r="AJ1298" s="17">
        <v>0</v>
      </c>
      <c r="AK1298" s="17">
        <v>0</v>
      </c>
      <c r="AL1298" s="17">
        <v>0</v>
      </c>
      <c r="AM1298" s="17">
        <v>0</v>
      </c>
      <c r="AN1298" s="17">
        <v>0</v>
      </c>
      <c r="AO1298" s="18">
        <v>0</v>
      </c>
      <c r="AP1298" s="17">
        <v>3</v>
      </c>
      <c r="AQ1298" s="17">
        <v>11</v>
      </c>
      <c r="AR1298" s="19">
        <v>161</v>
      </c>
      <c r="AS1298" s="19">
        <v>185</v>
      </c>
    </row>
    <row r="1299" spans="1:45" x14ac:dyDescent="0.25">
      <c r="A1299">
        <v>494</v>
      </c>
      <c r="B1299" s="11">
        <f t="shared" si="20"/>
        <v>39665</v>
      </c>
      <c r="C1299" s="12">
        <v>396650</v>
      </c>
      <c r="D1299" s="13">
        <v>1</v>
      </c>
      <c r="E1299" s="13">
        <v>0</v>
      </c>
      <c r="F1299" s="13">
        <v>97</v>
      </c>
      <c r="G1299" s="13">
        <v>39</v>
      </c>
      <c r="H1299" s="13" t="str" cm="1">
        <f t="array" ref="H1299">_xlfn.IFS(G1299&lt;=20,"0-20",G1299&lt;=30,"20-30",G1299&lt;=40,"30-40",G1299&lt;=50,"50-60",G1299&lt;=60,"60-70",G1299&lt;=70,"70-80",G1299&lt;=80,"80-90")</f>
        <v>30-40</v>
      </c>
      <c r="I1299" s="13">
        <v>2559</v>
      </c>
      <c r="J1299" s="13" t="str" cm="1">
        <f t="array" ref="J1299">_xlfn.IFS(K1299=1,"Divorciado",L1299=1,"Casado",M1299=1,"Solteiro",N1299=1,"Juntos",O1299=1,"Viuvo")</f>
        <v>Juntos</v>
      </c>
      <c r="K1299" s="13">
        <v>0</v>
      </c>
      <c r="L1299" s="13">
        <v>0</v>
      </c>
      <c r="M1299" s="13">
        <v>0</v>
      </c>
      <c r="N1299" s="13">
        <v>1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1</v>
      </c>
      <c r="U1299" s="13">
        <v>127</v>
      </c>
      <c r="V1299" s="13" t="str" cm="1">
        <f t="array" ref="V1299">_xlfn.IFS(U1299&lt;=250,"0-R$250",U1299&lt;=500,"251-R$500",U1299&lt;=750,"501-R$750",U1299&lt;=1000,"751-R$1000",U1299&lt;=1250,"1001-R$1250",U1299&lt;=1500,"1251-R$1500")</f>
        <v>0-R$250</v>
      </c>
      <c r="W1299" s="13">
        <v>1</v>
      </c>
      <c r="X1299" s="13" t="str" cm="1">
        <f t="array" ref="X1299">_xlfn.IFS(W1299 = 0, "0", W1299&lt;=20, "até R$20",W1299&lt;=40, "21 - R$40",W1299&lt;=60, "41- R$60",W1299&lt;=80, "61 - R$80", W1299&lt;=100, "81 - R$100",W1299&lt;=120, "101 - R$120",W1299&lt;=140, "121 - R$140", W1299&lt;=160, "141- R$160", W1299&lt;=180, "161 - R$180", W1299&lt;=200, "181-R$194")</f>
        <v>até R$20</v>
      </c>
      <c r="Y1299" s="13">
        <v>56</v>
      </c>
      <c r="Z1299" s="13">
        <v>0</v>
      </c>
      <c r="AA1299" s="13">
        <v>1</v>
      </c>
      <c r="AB1299" s="13">
        <v>31</v>
      </c>
      <c r="AC1299" s="13">
        <v>3</v>
      </c>
      <c r="AD1299" s="13">
        <v>4</v>
      </c>
      <c r="AE1299" s="13">
        <v>2</v>
      </c>
      <c r="AF1299" s="13">
        <v>3</v>
      </c>
      <c r="AG1299" s="13">
        <v>7</v>
      </c>
      <c r="AH1299" s="13">
        <v>0</v>
      </c>
      <c r="AI1299" s="13">
        <v>1</v>
      </c>
      <c r="AJ1299" s="13">
        <v>0</v>
      </c>
      <c r="AK1299" s="13">
        <v>0</v>
      </c>
      <c r="AL1299" s="13">
        <v>0</v>
      </c>
      <c r="AM1299" s="13">
        <v>0</v>
      </c>
      <c r="AN1299" s="13">
        <v>0</v>
      </c>
      <c r="AO1299" s="14">
        <v>1</v>
      </c>
      <c r="AP1299" s="13">
        <v>3</v>
      </c>
      <c r="AQ1299" s="13">
        <v>11</v>
      </c>
      <c r="AR1299" s="15">
        <v>154</v>
      </c>
      <c r="AS1299" s="15">
        <v>185</v>
      </c>
    </row>
    <row r="1300" spans="1:45" x14ac:dyDescent="0.25">
      <c r="A1300">
        <v>639</v>
      </c>
      <c r="B1300" s="11">
        <f t="shared" si="20"/>
        <v>26490</v>
      </c>
      <c r="C1300" s="16">
        <v>264900</v>
      </c>
      <c r="D1300" s="17">
        <v>0</v>
      </c>
      <c r="E1300" s="17">
        <v>0</v>
      </c>
      <c r="F1300" s="17">
        <v>92</v>
      </c>
      <c r="G1300" s="17">
        <v>62</v>
      </c>
      <c r="H1300" s="13" t="str" cm="1">
        <f t="array" ref="H1300">_xlfn.IFS(G1300&lt;=20,"0-20",G1300&lt;=30,"20-30",G1300&lt;=40,"30-40",G1300&lt;=50,"50-60",G1300&lt;=60,"60-70",G1300&lt;=70,"70-80",G1300&lt;=80,"80-90")</f>
        <v>70-80</v>
      </c>
      <c r="I1300" s="17">
        <v>2804</v>
      </c>
      <c r="J1300" s="13" t="str" cm="1">
        <f t="array" ref="J1300">_xlfn.IFS(K1300=1,"Divorciado",L1300=1,"Casado",M1300=1,"Solteiro",N1300=1,"Juntos",O1300=1,"Viuvo")</f>
        <v>Juntos</v>
      </c>
      <c r="K1300" s="17">
        <v>0</v>
      </c>
      <c r="L1300" s="17">
        <v>0</v>
      </c>
      <c r="M1300" s="17">
        <v>0</v>
      </c>
      <c r="N1300" s="17">
        <v>1</v>
      </c>
      <c r="O1300" s="17">
        <v>0</v>
      </c>
      <c r="P1300" s="17">
        <v>1</v>
      </c>
      <c r="Q1300" s="17">
        <v>0</v>
      </c>
      <c r="R1300" s="17">
        <v>0</v>
      </c>
      <c r="S1300" s="17">
        <v>0</v>
      </c>
      <c r="T1300" s="17">
        <v>0</v>
      </c>
      <c r="U1300" s="17">
        <v>45</v>
      </c>
      <c r="V1300" s="13" t="str" cm="1">
        <f t="array" ref="V1300">_xlfn.IFS(U1300&lt;=250,"0-R$250",U1300&lt;=500,"251-R$500",U1300&lt;=750,"501-R$750",U1300&lt;=1000,"751-R$1000",U1300&lt;=1250,"1001-R$1250",U1300&lt;=1500,"1251-R$1500")</f>
        <v>0-R$250</v>
      </c>
      <c r="W1300" s="17">
        <v>47</v>
      </c>
      <c r="X1300" s="13" t="str" cm="1">
        <f t="array" ref="X1300">_xlfn.IFS(W1300 = 0, "0", W1300&lt;=20, "até R$20",W1300&lt;=40, "21 - R$40",W1300&lt;=60, "41- R$60",W1300&lt;=80, "61 - R$80", W1300&lt;=100, "81 - R$100",W1300&lt;=120, "101 - R$120",W1300&lt;=140, "121 - R$140", W1300&lt;=160, "141- R$160", W1300&lt;=180, "161 - R$180", W1300&lt;=200, "181-R$194")</f>
        <v>41- R$60</v>
      </c>
      <c r="Y1300" s="17">
        <v>52</v>
      </c>
      <c r="Z1300" s="17">
        <v>21</v>
      </c>
      <c r="AA1300" s="17">
        <v>20</v>
      </c>
      <c r="AB1300" s="17">
        <v>25</v>
      </c>
      <c r="AC1300" s="17">
        <v>2</v>
      </c>
      <c r="AD1300" s="17">
        <v>3</v>
      </c>
      <c r="AE1300" s="17">
        <v>1</v>
      </c>
      <c r="AF1300" s="17">
        <v>5</v>
      </c>
      <c r="AG1300" s="17">
        <v>6</v>
      </c>
      <c r="AH1300" s="17">
        <v>0</v>
      </c>
      <c r="AI1300" s="17">
        <v>0</v>
      </c>
      <c r="AJ1300" s="17">
        <v>0</v>
      </c>
      <c r="AK1300" s="17">
        <v>0</v>
      </c>
      <c r="AL1300" s="17">
        <v>0</v>
      </c>
      <c r="AM1300" s="17">
        <v>0</v>
      </c>
      <c r="AN1300" s="17">
        <v>0</v>
      </c>
      <c r="AO1300" s="18">
        <v>0</v>
      </c>
      <c r="AP1300" s="17">
        <v>3</v>
      </c>
      <c r="AQ1300" s="17">
        <v>11</v>
      </c>
      <c r="AR1300" s="19">
        <v>160</v>
      </c>
      <c r="AS1300" s="19">
        <v>185</v>
      </c>
    </row>
    <row r="1301" spans="1:45" x14ac:dyDescent="0.25">
      <c r="A1301">
        <v>1746</v>
      </c>
      <c r="B1301" s="11">
        <f t="shared" si="20"/>
        <v>51012</v>
      </c>
      <c r="C1301" s="12">
        <v>510120</v>
      </c>
      <c r="D1301" s="13">
        <v>0</v>
      </c>
      <c r="E1301" s="13">
        <v>0</v>
      </c>
      <c r="F1301" s="13">
        <v>86</v>
      </c>
      <c r="G1301" s="13">
        <v>74</v>
      </c>
      <c r="H1301" s="13" t="str" cm="1">
        <f t="array" ref="H1301">_xlfn.IFS(G1301&lt;=20,"0-20",G1301&lt;=30,"20-30",G1301&lt;=40,"30-40",G1301&lt;=50,"50-60",G1301&lt;=60,"60-70",G1301&lt;=70,"70-80",G1301&lt;=80,"80-90")</f>
        <v>80-90</v>
      </c>
      <c r="I1301" s="13">
        <v>2596</v>
      </c>
      <c r="J1301" s="13" t="str" cm="1">
        <f t="array" ref="J1301">_xlfn.IFS(K1301=1,"Divorciado",L1301=1,"Casado",M1301=1,"Solteiro",N1301=1,"Juntos",O1301=1,"Viuvo")</f>
        <v>Casado</v>
      </c>
      <c r="K1301" s="13">
        <v>0</v>
      </c>
      <c r="L1301" s="13">
        <v>1</v>
      </c>
      <c r="M1301" s="13">
        <v>0</v>
      </c>
      <c r="N1301" s="13">
        <v>0</v>
      </c>
      <c r="O1301" s="13">
        <v>0</v>
      </c>
      <c r="P1301" s="13">
        <v>0</v>
      </c>
      <c r="Q1301" s="13">
        <v>0</v>
      </c>
      <c r="R1301" s="13">
        <v>0</v>
      </c>
      <c r="S1301" s="13">
        <v>0</v>
      </c>
      <c r="T1301" s="13">
        <v>1</v>
      </c>
      <c r="U1301" s="13">
        <v>102</v>
      </c>
      <c r="V1301" s="13" t="str" cm="1">
        <f t="array" ref="V1301">_xlfn.IFS(U1301&lt;=250,"0-R$250",U1301&lt;=500,"251-R$500",U1301&lt;=750,"501-R$750",U1301&lt;=1000,"751-R$1000",U1301&lt;=1250,"1001-R$1250",U1301&lt;=1500,"1251-R$1500")</f>
        <v>0-R$250</v>
      </c>
      <c r="W1301" s="13">
        <v>9</v>
      </c>
      <c r="X1301" s="13" t="str" cm="1">
        <f t="array" ref="X1301">_xlfn.IFS(W1301 = 0, "0", W1301&lt;=20, "até R$20",W1301&lt;=40, "21 - R$40",W1301&lt;=60, "41- R$60",W1301&lt;=80, "61 - R$80", W1301&lt;=100, "81 - R$100",W1301&lt;=120, "101 - R$120",W1301&lt;=140, "121 - R$140", W1301&lt;=160, "141- R$160", W1301&lt;=180, "161 - R$180", W1301&lt;=200, "181-R$194")</f>
        <v>até R$20</v>
      </c>
      <c r="Y1301" s="13">
        <v>63</v>
      </c>
      <c r="Z1301" s="13">
        <v>2</v>
      </c>
      <c r="AA1301" s="13">
        <v>9</v>
      </c>
      <c r="AB1301" s="13">
        <v>24</v>
      </c>
      <c r="AC1301" s="13">
        <v>1</v>
      </c>
      <c r="AD1301" s="13">
        <v>4</v>
      </c>
      <c r="AE1301" s="13">
        <v>1</v>
      </c>
      <c r="AF1301" s="13">
        <v>4</v>
      </c>
      <c r="AG1301" s="13">
        <v>6</v>
      </c>
      <c r="AH1301" s="13">
        <v>0</v>
      </c>
      <c r="AI1301" s="13">
        <v>0</v>
      </c>
      <c r="AJ1301" s="13">
        <v>0</v>
      </c>
      <c r="AK1301" s="13">
        <v>0</v>
      </c>
      <c r="AL1301" s="13">
        <v>0</v>
      </c>
      <c r="AM1301" s="13">
        <v>0</v>
      </c>
      <c r="AN1301" s="13">
        <v>0</v>
      </c>
      <c r="AO1301" s="14">
        <v>0</v>
      </c>
      <c r="AP1301" s="13">
        <v>3</v>
      </c>
      <c r="AQ1301" s="13">
        <v>11</v>
      </c>
      <c r="AR1301" s="15">
        <v>161</v>
      </c>
      <c r="AS1301" s="15">
        <v>185</v>
      </c>
    </row>
    <row r="1302" spans="1:45" x14ac:dyDescent="0.25">
      <c r="A1302">
        <v>1808</v>
      </c>
      <c r="B1302" s="11">
        <f t="shared" si="20"/>
        <v>48186</v>
      </c>
      <c r="C1302" s="12">
        <v>481860</v>
      </c>
      <c r="D1302" s="13">
        <v>1</v>
      </c>
      <c r="E1302" s="13">
        <v>0</v>
      </c>
      <c r="F1302" s="13">
        <v>39</v>
      </c>
      <c r="G1302" s="13">
        <v>46</v>
      </c>
      <c r="H1302" s="13" t="str" cm="1">
        <f t="array" ref="H1302">_xlfn.IFS(G1302&lt;=20,"0-20",G1302&lt;=30,"20-30",G1302&lt;=40,"30-40",G1302&lt;=50,"50-60",G1302&lt;=60,"60-70",G1302&lt;=70,"70-80",G1302&lt;=80,"80-90")</f>
        <v>50-60</v>
      </c>
      <c r="I1302" s="13">
        <v>2260</v>
      </c>
      <c r="J1302" s="13" t="str" cm="1">
        <f t="array" ref="J1302">_xlfn.IFS(K1302=1,"Divorciado",L1302=1,"Casado",M1302=1,"Solteiro",N1302=1,"Juntos",O1302=1,"Viuvo")</f>
        <v>Juntos</v>
      </c>
      <c r="K1302" s="13">
        <v>0</v>
      </c>
      <c r="L1302" s="13">
        <v>0</v>
      </c>
      <c r="M1302" s="13">
        <v>0</v>
      </c>
      <c r="N1302" s="13">
        <v>1</v>
      </c>
      <c r="O1302" s="13">
        <v>0</v>
      </c>
      <c r="P1302" s="13">
        <v>0</v>
      </c>
      <c r="Q1302" s="13">
        <v>0</v>
      </c>
      <c r="R1302" s="13">
        <v>1</v>
      </c>
      <c r="S1302" s="13">
        <v>0</v>
      </c>
      <c r="T1302" s="13">
        <v>0</v>
      </c>
      <c r="U1302" s="13">
        <v>97</v>
      </c>
      <c r="V1302" s="13" t="str" cm="1">
        <f t="array" ref="V1302">_xlfn.IFS(U1302&lt;=250,"0-R$250",U1302&lt;=500,"251-R$500",U1302&lt;=750,"501-R$750",U1302&lt;=1000,"751-R$1000",U1302&lt;=1250,"1001-R$1250",U1302&lt;=1500,"1251-R$1500")</f>
        <v>0-R$250</v>
      </c>
      <c r="W1302" s="13">
        <v>3</v>
      </c>
      <c r="X1302" s="13" t="str" cm="1">
        <f t="array" ref="X1302">_xlfn.IFS(W1302 = 0, "0", W1302&lt;=20, "até R$20",W1302&lt;=40, "21 - R$40",W1302&lt;=60, "41- R$60",W1302&lt;=80, "61 - R$80", W1302&lt;=100, "81 - R$100",W1302&lt;=120, "101 - R$120",W1302&lt;=140, "121 - R$140", W1302&lt;=160, "141- R$160", W1302&lt;=180, "161 - R$180", W1302&lt;=200, "181-R$194")</f>
        <v>até R$20</v>
      </c>
      <c r="Y1302" s="13">
        <v>66</v>
      </c>
      <c r="Z1302" s="13">
        <v>12</v>
      </c>
      <c r="AA1302" s="13">
        <v>7</v>
      </c>
      <c r="AB1302" s="13">
        <v>34</v>
      </c>
      <c r="AC1302" s="13">
        <v>3</v>
      </c>
      <c r="AD1302" s="13">
        <v>4</v>
      </c>
      <c r="AE1302" s="13">
        <v>1</v>
      </c>
      <c r="AF1302" s="13">
        <v>4</v>
      </c>
      <c r="AG1302" s="13">
        <v>7</v>
      </c>
      <c r="AH1302" s="13">
        <v>0</v>
      </c>
      <c r="AI1302" s="13">
        <v>0</v>
      </c>
      <c r="AJ1302" s="13">
        <v>0</v>
      </c>
      <c r="AK1302" s="13">
        <v>0</v>
      </c>
      <c r="AL1302" s="13">
        <v>0</v>
      </c>
      <c r="AM1302" s="13">
        <v>0</v>
      </c>
      <c r="AN1302" s="13">
        <v>0</v>
      </c>
      <c r="AO1302" s="14">
        <v>0</v>
      </c>
      <c r="AP1302" s="13">
        <v>3</v>
      </c>
      <c r="AQ1302" s="13">
        <v>11</v>
      </c>
      <c r="AR1302" s="15">
        <v>151</v>
      </c>
      <c r="AS1302" s="15">
        <v>185</v>
      </c>
    </row>
    <row r="1303" spans="1:45" x14ac:dyDescent="0.25">
      <c r="A1303">
        <v>169</v>
      </c>
      <c r="B1303" s="11">
        <f t="shared" si="20"/>
        <v>51650</v>
      </c>
      <c r="C1303" s="16">
        <v>516500</v>
      </c>
      <c r="D1303" s="17">
        <v>0</v>
      </c>
      <c r="E1303" s="17">
        <v>1</v>
      </c>
      <c r="F1303" s="17">
        <v>81</v>
      </c>
      <c r="G1303" s="17">
        <v>44</v>
      </c>
      <c r="H1303" s="13" t="str" cm="1">
        <f t="array" ref="H1303">_xlfn.IFS(G1303&lt;=20,"0-20",G1303&lt;=30,"20-30",G1303&lt;=40,"30-40",G1303&lt;=50,"50-60",G1303&lt;=60,"60-70",G1303&lt;=70,"70-80",G1303&lt;=80,"80-90")</f>
        <v>50-60</v>
      </c>
      <c r="I1303" s="17">
        <v>2208</v>
      </c>
      <c r="J1303" s="13" t="str" cm="1">
        <f t="array" ref="J1303">_xlfn.IFS(K1303=1,"Divorciado",L1303=1,"Casado",M1303=1,"Solteiro",N1303=1,"Juntos",O1303=1,"Viuvo")</f>
        <v>Casado</v>
      </c>
      <c r="K1303" s="17">
        <v>0</v>
      </c>
      <c r="L1303" s="17">
        <v>1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1</v>
      </c>
      <c r="U1303" s="17">
        <v>152</v>
      </c>
      <c r="V1303" s="13" t="str" cm="1">
        <f t="array" ref="V1303">_xlfn.IFS(U1303&lt;=250,"0-R$250",U1303&lt;=500,"251-R$500",U1303&lt;=750,"501-R$750",U1303&lt;=1000,"751-R$1000",U1303&lt;=1250,"1001-R$1250",U1303&lt;=1500,"1251-R$1500")</f>
        <v>0-R$250</v>
      </c>
      <c r="W1303" s="17">
        <v>3</v>
      </c>
      <c r="X1303" s="13" t="str" cm="1">
        <f t="array" ref="X1303">_xlfn.IFS(W1303 = 0, "0", W1303&lt;=20, "até R$20",W1303&lt;=40, "21 - R$40",W1303&lt;=60, "41- R$60",W1303&lt;=80, "61 - R$80", W1303&lt;=100, "81 - R$100",W1303&lt;=120, "101 - R$120",W1303&lt;=140, "121 - R$140", W1303&lt;=160, "141- R$160", W1303&lt;=180, "161 - R$180", W1303&lt;=200, "181-R$194")</f>
        <v>até R$20</v>
      </c>
      <c r="Y1303" s="17">
        <v>22</v>
      </c>
      <c r="Z1303" s="17">
        <v>2</v>
      </c>
      <c r="AA1303" s="17">
        <v>5</v>
      </c>
      <c r="AB1303" s="17">
        <v>7</v>
      </c>
      <c r="AC1303" s="17">
        <v>1</v>
      </c>
      <c r="AD1303" s="17">
        <v>4</v>
      </c>
      <c r="AE1303" s="17">
        <v>1</v>
      </c>
      <c r="AF1303" s="17">
        <v>4</v>
      </c>
      <c r="AG1303" s="17">
        <v>5</v>
      </c>
      <c r="AH1303" s="17">
        <v>0</v>
      </c>
      <c r="AI1303" s="17">
        <v>0</v>
      </c>
      <c r="AJ1303" s="17">
        <v>0</v>
      </c>
      <c r="AK1303" s="17">
        <v>0</v>
      </c>
      <c r="AL1303" s="17">
        <v>0</v>
      </c>
      <c r="AM1303" s="17">
        <v>0</v>
      </c>
      <c r="AN1303" s="17">
        <v>0</v>
      </c>
      <c r="AO1303" s="18">
        <v>0</v>
      </c>
      <c r="AP1303" s="17">
        <v>3</v>
      </c>
      <c r="AQ1303" s="17">
        <v>11</v>
      </c>
      <c r="AR1303" s="19">
        <v>177</v>
      </c>
      <c r="AS1303" s="19">
        <v>184</v>
      </c>
    </row>
    <row r="1304" spans="1:45" x14ac:dyDescent="0.25">
      <c r="A1304">
        <v>187</v>
      </c>
      <c r="B1304" s="11">
        <f t="shared" si="20"/>
        <v>46854</v>
      </c>
      <c r="C1304" s="16">
        <v>468540</v>
      </c>
      <c r="D1304" s="17">
        <v>1</v>
      </c>
      <c r="E1304" s="17">
        <v>1</v>
      </c>
      <c r="F1304" s="17">
        <v>81</v>
      </c>
      <c r="G1304" s="17">
        <v>47</v>
      </c>
      <c r="H1304" s="13" t="str" cm="1">
        <f t="array" ref="H1304">_xlfn.IFS(G1304&lt;=20,"0-20",G1304&lt;=30,"20-30",G1304&lt;=40,"30-40",G1304&lt;=50,"50-60",G1304&lt;=60,"60-70",G1304&lt;=70,"70-80",G1304&lt;=80,"80-90")</f>
        <v>50-60</v>
      </c>
      <c r="I1304" s="17">
        <v>2249</v>
      </c>
      <c r="J1304" s="13" t="str" cm="1">
        <f t="array" ref="J1304">_xlfn.IFS(K1304=1,"Divorciado",L1304=1,"Casado",M1304=1,"Solteiro",N1304=1,"Juntos",O1304=1,"Viuvo")</f>
        <v>Solteiro</v>
      </c>
      <c r="K1304" s="17">
        <v>0</v>
      </c>
      <c r="L1304" s="17">
        <v>0</v>
      </c>
      <c r="M1304" s="17">
        <v>1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1</v>
      </c>
      <c r="U1304" s="17">
        <v>96</v>
      </c>
      <c r="V1304" s="13" t="str" cm="1">
        <f t="array" ref="V1304">_xlfn.IFS(U1304&lt;=250,"0-R$250",U1304&lt;=500,"251-R$500",U1304&lt;=750,"501-R$750",U1304&lt;=1000,"751-R$1000",U1304&lt;=1250,"1001-R$1250",U1304&lt;=1500,"1251-R$1500")</f>
        <v>0-R$250</v>
      </c>
      <c r="W1304" s="17">
        <v>1</v>
      </c>
      <c r="X1304" s="13" t="str" cm="1">
        <f t="array" ref="X1304">_xlfn.IFS(W1304 = 0, "0", W1304&lt;=20, "até R$20",W1304&lt;=40, "21 - R$40",W1304&lt;=60, "41- R$60",W1304&lt;=80, "61 - R$80", W1304&lt;=100, "81 - R$100",W1304&lt;=120, "101 - R$120",W1304&lt;=140, "121 - R$140", W1304&lt;=160, "141- R$160", W1304&lt;=180, "161 - R$180", W1304&lt;=200, "181-R$194")</f>
        <v>até R$20</v>
      </c>
      <c r="Y1304" s="17">
        <v>79</v>
      </c>
      <c r="Z1304" s="17">
        <v>7</v>
      </c>
      <c r="AA1304" s="17">
        <v>1</v>
      </c>
      <c r="AB1304" s="17">
        <v>79</v>
      </c>
      <c r="AC1304" s="17">
        <v>6</v>
      </c>
      <c r="AD1304" s="17">
        <v>5</v>
      </c>
      <c r="AE1304" s="17">
        <v>1</v>
      </c>
      <c r="AF1304" s="17">
        <v>3</v>
      </c>
      <c r="AG1304" s="17">
        <v>8</v>
      </c>
      <c r="AH1304" s="17">
        <v>0</v>
      </c>
      <c r="AI1304" s="17">
        <v>1</v>
      </c>
      <c r="AJ1304" s="17">
        <v>0</v>
      </c>
      <c r="AK1304" s="17">
        <v>0</v>
      </c>
      <c r="AL1304" s="17">
        <v>0</v>
      </c>
      <c r="AM1304" s="17">
        <v>0</v>
      </c>
      <c r="AN1304" s="17">
        <v>1</v>
      </c>
      <c r="AO1304" s="18">
        <v>1</v>
      </c>
      <c r="AP1304" s="17">
        <v>3</v>
      </c>
      <c r="AQ1304" s="17">
        <v>11</v>
      </c>
      <c r="AR1304" s="19">
        <v>105</v>
      </c>
      <c r="AS1304" s="19">
        <v>184</v>
      </c>
    </row>
    <row r="1305" spans="1:45" x14ac:dyDescent="0.25">
      <c r="A1305">
        <v>1359</v>
      </c>
      <c r="B1305" s="11">
        <f t="shared" si="20"/>
        <v>46390</v>
      </c>
      <c r="C1305" s="16">
        <v>463900</v>
      </c>
      <c r="D1305" s="17">
        <v>0</v>
      </c>
      <c r="E1305" s="17">
        <v>1</v>
      </c>
      <c r="F1305" s="17">
        <v>56</v>
      </c>
      <c r="G1305" s="17">
        <v>65</v>
      </c>
      <c r="H1305" s="13" t="str" cm="1">
        <f t="array" ref="H1305">_xlfn.IFS(G1305&lt;=20,"0-20",G1305&lt;=30,"20-30",G1305&lt;=40,"30-40",G1305&lt;=50,"50-60",G1305&lt;=60,"60-70",G1305&lt;=70,"70-80",G1305&lt;=80,"80-90")</f>
        <v>70-80</v>
      </c>
      <c r="I1305" s="17">
        <v>2214</v>
      </c>
      <c r="J1305" s="13" t="str" cm="1">
        <f t="array" ref="J1305">_xlfn.IFS(K1305=1,"Divorciado",L1305=1,"Casado",M1305=1,"Solteiro",N1305=1,"Juntos",O1305=1,"Viuvo")</f>
        <v>Divorciado</v>
      </c>
      <c r="K1305" s="17">
        <v>1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1</v>
      </c>
      <c r="T1305" s="17">
        <v>0</v>
      </c>
      <c r="U1305" s="17">
        <v>95</v>
      </c>
      <c r="V1305" s="13" t="str" cm="1">
        <f t="array" ref="V1305">_xlfn.IFS(U1305&lt;=250,"0-R$250",U1305&lt;=500,"251-R$500",U1305&lt;=750,"501-R$750",U1305&lt;=1000,"751-R$1000",U1305&lt;=1250,"1001-R$1250",U1305&lt;=1500,"1251-R$1500")</f>
        <v>0-R$250</v>
      </c>
      <c r="W1305" s="17">
        <v>14</v>
      </c>
      <c r="X1305" s="13" t="str" cm="1">
        <f t="array" ref="X1305">_xlfn.IFS(W1305 = 0, "0", W1305&lt;=20, "até R$20",W1305&lt;=40, "21 - R$40",W1305&lt;=60, "41- R$60",W1305&lt;=80, "61 - R$80", W1305&lt;=100, "81 - R$100",W1305&lt;=120, "101 - R$120",W1305&lt;=140, "121 - R$140", W1305&lt;=160, "141- R$160", W1305&lt;=180, "161 - R$180", W1305&lt;=200, "181-R$194")</f>
        <v>até R$20</v>
      </c>
      <c r="Y1305" s="17">
        <v>64</v>
      </c>
      <c r="Z1305" s="17">
        <v>2</v>
      </c>
      <c r="AA1305" s="17">
        <v>9</v>
      </c>
      <c r="AB1305" s="17">
        <v>38</v>
      </c>
      <c r="AC1305" s="17">
        <v>1</v>
      </c>
      <c r="AD1305" s="17">
        <v>4</v>
      </c>
      <c r="AE1305" s="17">
        <v>2</v>
      </c>
      <c r="AF1305" s="17">
        <v>3</v>
      </c>
      <c r="AG1305" s="17">
        <v>7</v>
      </c>
      <c r="AH1305" s="17">
        <v>0</v>
      </c>
      <c r="AI1305" s="17">
        <v>0</v>
      </c>
      <c r="AJ1305" s="17">
        <v>0</v>
      </c>
      <c r="AK1305" s="17">
        <v>0</v>
      </c>
      <c r="AL1305" s="17">
        <v>0</v>
      </c>
      <c r="AM1305" s="17">
        <v>0</v>
      </c>
      <c r="AN1305" s="17">
        <v>0</v>
      </c>
      <c r="AO1305" s="18">
        <v>0</v>
      </c>
      <c r="AP1305" s="17">
        <v>3</v>
      </c>
      <c r="AQ1305" s="17">
        <v>11</v>
      </c>
      <c r="AR1305" s="19">
        <v>146</v>
      </c>
      <c r="AS1305" s="19">
        <v>184</v>
      </c>
    </row>
    <row r="1306" spans="1:45" x14ac:dyDescent="0.25">
      <c r="A1306">
        <v>1426</v>
      </c>
      <c r="B1306" s="11">
        <f t="shared" si="20"/>
        <v>46053</v>
      </c>
      <c r="C1306" s="12">
        <v>460530</v>
      </c>
      <c r="D1306" s="13">
        <v>1</v>
      </c>
      <c r="E1306" s="13">
        <v>0</v>
      </c>
      <c r="F1306" s="13">
        <v>46</v>
      </c>
      <c r="G1306" s="13">
        <v>48</v>
      </c>
      <c r="H1306" s="13" t="str" cm="1">
        <f t="array" ref="H1306">_xlfn.IFS(G1306&lt;=20,"0-20",G1306&lt;=30,"20-30",G1306&lt;=40,"30-40",G1306&lt;=50,"50-60",G1306&lt;=60,"60-70",G1306&lt;=70,"70-80",G1306&lt;=80,"80-90")</f>
        <v>50-60</v>
      </c>
      <c r="I1306" s="13">
        <v>2656</v>
      </c>
      <c r="J1306" s="13" t="str" cm="1">
        <f t="array" ref="J1306">_xlfn.IFS(K1306=1,"Divorciado",L1306=1,"Casado",M1306=1,"Solteiro",N1306=1,"Juntos",O1306=1,"Viuvo")</f>
        <v>Juntos</v>
      </c>
      <c r="K1306" s="13">
        <v>0</v>
      </c>
      <c r="L1306" s="13">
        <v>0</v>
      </c>
      <c r="M1306" s="13">
        <v>0</v>
      </c>
      <c r="N1306" s="13">
        <v>1</v>
      </c>
      <c r="O1306" s="13">
        <v>0</v>
      </c>
      <c r="P1306" s="13">
        <v>0</v>
      </c>
      <c r="Q1306" s="13">
        <v>0</v>
      </c>
      <c r="R1306" s="13">
        <v>1</v>
      </c>
      <c r="S1306" s="13">
        <v>0</v>
      </c>
      <c r="T1306" s="13">
        <v>0</v>
      </c>
      <c r="U1306" s="13">
        <v>56</v>
      </c>
      <c r="V1306" s="13" t="str" cm="1">
        <f t="array" ref="V1306">_xlfn.IFS(U1306&lt;=250,"0-R$250",U1306&lt;=500,"251-R$500",U1306&lt;=750,"501-R$750",U1306&lt;=1000,"751-R$1000",U1306&lt;=1250,"1001-R$1250",U1306&lt;=1500,"1251-R$1500")</f>
        <v>0-R$250</v>
      </c>
      <c r="W1306" s="13">
        <v>10</v>
      </c>
      <c r="X1306" s="13" t="str" cm="1">
        <f t="array" ref="X1306">_xlfn.IFS(W1306 = 0, "0", W1306&lt;=20, "até R$20",W1306&lt;=40, "21 - R$40",W1306&lt;=60, "41- R$60",W1306&lt;=80, "61 - R$80", W1306&lt;=100, "81 - R$100",W1306&lt;=120, "101 - R$120",W1306&lt;=140, "121 - R$140", W1306&lt;=160, "141- R$160", W1306&lt;=180, "161 - R$180", W1306&lt;=200, "181-R$194")</f>
        <v>até R$20</v>
      </c>
      <c r="Y1306" s="13">
        <v>92</v>
      </c>
      <c r="Z1306" s="13">
        <v>19</v>
      </c>
      <c r="AA1306" s="13">
        <v>7</v>
      </c>
      <c r="AB1306" s="13">
        <v>25</v>
      </c>
      <c r="AC1306" s="13">
        <v>3</v>
      </c>
      <c r="AD1306" s="13">
        <v>3</v>
      </c>
      <c r="AE1306" s="13">
        <v>2</v>
      </c>
      <c r="AF1306" s="13">
        <v>4</v>
      </c>
      <c r="AG1306" s="13">
        <v>5</v>
      </c>
      <c r="AH1306" s="13">
        <v>0</v>
      </c>
      <c r="AI1306" s="13">
        <v>0</v>
      </c>
      <c r="AJ1306" s="13">
        <v>0</v>
      </c>
      <c r="AK1306" s="13">
        <v>0</v>
      </c>
      <c r="AL1306" s="13">
        <v>0</v>
      </c>
      <c r="AM1306" s="13">
        <v>0</v>
      </c>
      <c r="AN1306" s="13">
        <v>0</v>
      </c>
      <c r="AO1306" s="14">
        <v>0</v>
      </c>
      <c r="AP1306" s="13">
        <v>3</v>
      </c>
      <c r="AQ1306" s="13">
        <v>11</v>
      </c>
      <c r="AR1306" s="15">
        <v>159</v>
      </c>
      <c r="AS1306" s="15">
        <v>184</v>
      </c>
    </row>
    <row r="1307" spans="1:45" x14ac:dyDescent="0.25">
      <c r="A1307">
        <v>1806</v>
      </c>
      <c r="B1307" s="11">
        <f t="shared" si="20"/>
        <v>44911</v>
      </c>
      <c r="C1307" s="12">
        <v>449110</v>
      </c>
      <c r="D1307" s="13">
        <v>0</v>
      </c>
      <c r="E1307" s="13">
        <v>1</v>
      </c>
      <c r="F1307" s="13">
        <v>11</v>
      </c>
      <c r="G1307" s="13">
        <v>61</v>
      </c>
      <c r="H1307" s="13" t="str" cm="1">
        <f t="array" ref="H1307">_xlfn.IFS(G1307&lt;=20,"0-20",G1307&lt;=30,"20-30",G1307&lt;=40,"30-40",G1307&lt;=50,"50-60",G1307&lt;=60,"60-70",G1307&lt;=70,"70-80",G1307&lt;=80,"80-90")</f>
        <v>70-80</v>
      </c>
      <c r="I1307" s="13">
        <v>2630</v>
      </c>
      <c r="J1307" s="13" t="str" cm="1">
        <f t="array" ref="J1307">_xlfn.IFS(K1307=1,"Divorciado",L1307=1,"Casado",M1307=1,"Solteiro",N1307=1,"Juntos",O1307=1,"Viuvo")</f>
        <v>Juntos</v>
      </c>
      <c r="K1307" s="13">
        <v>0</v>
      </c>
      <c r="L1307" s="13">
        <v>0</v>
      </c>
      <c r="M1307" s="13">
        <v>0</v>
      </c>
      <c r="N1307" s="13">
        <v>1</v>
      </c>
      <c r="O1307" s="13">
        <v>0</v>
      </c>
      <c r="P1307" s="13">
        <v>0</v>
      </c>
      <c r="Q1307" s="13">
        <v>0</v>
      </c>
      <c r="R1307" s="13">
        <v>1</v>
      </c>
      <c r="S1307" s="13">
        <v>0</v>
      </c>
      <c r="T1307" s="13">
        <v>0</v>
      </c>
      <c r="U1307" s="13">
        <v>159</v>
      </c>
      <c r="V1307" s="13" t="str" cm="1">
        <f t="array" ref="V1307">_xlfn.IFS(U1307&lt;=250,"0-R$250",U1307&lt;=500,"251-R$500",U1307&lt;=750,"501-R$750",U1307&lt;=1000,"751-R$1000",U1307&lt;=1250,"1001-R$1250",U1307&lt;=1500,"1251-R$1500")</f>
        <v>0-R$250</v>
      </c>
      <c r="W1307" s="13">
        <v>0</v>
      </c>
      <c r="X1307" s="13" t="str" cm="1">
        <f t="array" ref="X1307">_xlfn.IFS(W1307 = 0, "0", W1307&lt;=20, "até R$20",W1307&lt;=40, "21 - R$40",W1307&lt;=60, "41- R$60",W1307&lt;=80, "61 - R$80", W1307&lt;=100, "81 - R$100",W1307&lt;=120, "101 - R$120",W1307&lt;=140, "121 - R$140", W1307&lt;=160, "141- R$160", W1307&lt;=180, "161 - R$180", W1307&lt;=200, "181-R$194")</f>
        <v>0</v>
      </c>
      <c r="Y1307" s="13">
        <v>22</v>
      </c>
      <c r="Z1307" s="13">
        <v>2</v>
      </c>
      <c r="AA1307" s="13">
        <v>1</v>
      </c>
      <c r="AB1307" s="13">
        <v>31</v>
      </c>
      <c r="AC1307" s="13">
        <v>3</v>
      </c>
      <c r="AD1307" s="13">
        <v>4</v>
      </c>
      <c r="AE1307" s="13">
        <v>1</v>
      </c>
      <c r="AF1307" s="13">
        <v>4</v>
      </c>
      <c r="AG1307" s="13">
        <v>7</v>
      </c>
      <c r="AH1307" s="13">
        <v>0</v>
      </c>
      <c r="AI1307" s="13">
        <v>0</v>
      </c>
      <c r="AJ1307" s="13">
        <v>0</v>
      </c>
      <c r="AK1307" s="13">
        <v>0</v>
      </c>
      <c r="AL1307" s="13">
        <v>0</v>
      </c>
      <c r="AM1307" s="13">
        <v>0</v>
      </c>
      <c r="AN1307" s="13">
        <v>0</v>
      </c>
      <c r="AO1307" s="14">
        <v>0</v>
      </c>
      <c r="AP1307" s="13">
        <v>3</v>
      </c>
      <c r="AQ1307" s="13">
        <v>11</v>
      </c>
      <c r="AR1307" s="15">
        <v>153</v>
      </c>
      <c r="AS1307" s="15">
        <v>184</v>
      </c>
    </row>
    <row r="1308" spans="1:45" x14ac:dyDescent="0.25">
      <c r="A1308">
        <v>746</v>
      </c>
      <c r="B1308" s="11">
        <f t="shared" si="20"/>
        <v>48726</v>
      </c>
      <c r="C1308" s="12">
        <v>487260</v>
      </c>
      <c r="D1308" s="13">
        <v>0</v>
      </c>
      <c r="E1308" s="13">
        <v>1</v>
      </c>
      <c r="F1308" s="13">
        <v>90</v>
      </c>
      <c r="G1308" s="13">
        <v>65</v>
      </c>
      <c r="H1308" s="13" t="str" cm="1">
        <f t="array" ref="H1308">_xlfn.IFS(G1308&lt;=20,"0-20",G1308&lt;=30,"20-30",G1308&lt;=40,"30-40",G1308&lt;=50,"50-60",G1308&lt;=60,"60-70",G1308&lt;=70,"70-80",G1308&lt;=80,"80-90")</f>
        <v>70-80</v>
      </c>
      <c r="I1308" s="13">
        <v>2587</v>
      </c>
      <c r="J1308" s="13" t="str" cm="1">
        <f t="array" ref="J1308">_xlfn.IFS(K1308=1,"Divorciado",L1308=1,"Casado",M1308=1,"Solteiro",N1308=1,"Juntos",O1308=1,"Viuvo")</f>
        <v>Casado</v>
      </c>
      <c r="K1308" s="13">
        <v>0</v>
      </c>
      <c r="L1308" s="13">
        <v>1</v>
      </c>
      <c r="M1308" s="13">
        <v>0</v>
      </c>
      <c r="N1308" s="13">
        <v>0</v>
      </c>
      <c r="O1308" s="13">
        <v>0</v>
      </c>
      <c r="P1308" s="13">
        <v>0</v>
      </c>
      <c r="Q1308" s="13">
        <v>0</v>
      </c>
      <c r="R1308" s="13">
        <v>1</v>
      </c>
      <c r="S1308" s="13">
        <v>0</v>
      </c>
      <c r="T1308" s="13">
        <v>0</v>
      </c>
      <c r="U1308" s="13">
        <v>138</v>
      </c>
      <c r="V1308" s="13" t="str" cm="1">
        <f t="array" ref="V1308">_xlfn.IFS(U1308&lt;=250,"0-R$250",U1308&lt;=500,"251-R$500",U1308&lt;=750,"501-R$750",U1308&lt;=1000,"751-R$1000",U1308&lt;=1250,"1001-R$1250",U1308&lt;=1500,"1251-R$1500")</f>
        <v>0-R$250</v>
      </c>
      <c r="W1308" s="13">
        <v>3</v>
      </c>
      <c r="X1308" s="13" t="str" cm="1">
        <f t="array" ref="X1308">_xlfn.IFS(W1308 = 0, "0", W1308&lt;=20, "até R$20",W1308&lt;=40, "21 - R$40",W1308&lt;=60, "41- R$60",W1308&lt;=80, "61 - R$80", W1308&lt;=100, "81 - R$100",W1308&lt;=120, "101 - R$120",W1308&lt;=140, "121 - R$140", W1308&lt;=160, "141- R$160", W1308&lt;=180, "161 - R$180", W1308&lt;=200, "181-R$194")</f>
        <v>até R$20</v>
      </c>
      <c r="Y1308" s="13">
        <v>38</v>
      </c>
      <c r="Z1308" s="13">
        <v>4</v>
      </c>
      <c r="AA1308" s="13">
        <v>0</v>
      </c>
      <c r="AB1308" s="13">
        <v>59</v>
      </c>
      <c r="AC1308" s="13">
        <v>3</v>
      </c>
      <c r="AD1308" s="13">
        <v>3</v>
      </c>
      <c r="AE1308" s="13">
        <v>2</v>
      </c>
      <c r="AF1308" s="13">
        <v>4</v>
      </c>
      <c r="AG1308" s="13">
        <v>6</v>
      </c>
      <c r="AH1308" s="13">
        <v>0</v>
      </c>
      <c r="AI1308" s="13">
        <v>0</v>
      </c>
      <c r="AJ1308" s="13">
        <v>0</v>
      </c>
      <c r="AK1308" s="13">
        <v>0</v>
      </c>
      <c r="AL1308" s="13">
        <v>0</v>
      </c>
      <c r="AM1308" s="13">
        <v>0</v>
      </c>
      <c r="AN1308" s="13">
        <v>0</v>
      </c>
      <c r="AO1308" s="14">
        <v>0</v>
      </c>
      <c r="AP1308" s="13">
        <v>3</v>
      </c>
      <c r="AQ1308" s="13">
        <v>11</v>
      </c>
      <c r="AR1308" s="15">
        <v>124</v>
      </c>
      <c r="AS1308" s="15">
        <v>183</v>
      </c>
    </row>
    <row r="1309" spans="1:45" x14ac:dyDescent="0.25">
      <c r="A1309">
        <v>882</v>
      </c>
      <c r="B1309" s="11">
        <f t="shared" si="20"/>
        <v>54137</v>
      </c>
      <c r="C1309" s="12">
        <v>541370</v>
      </c>
      <c r="D1309" s="13">
        <v>0</v>
      </c>
      <c r="E1309" s="13">
        <v>1</v>
      </c>
      <c r="F1309" s="13">
        <v>46</v>
      </c>
      <c r="G1309" s="13">
        <v>50</v>
      </c>
      <c r="H1309" s="13" t="str" cm="1">
        <f t="array" ref="H1309">_xlfn.IFS(G1309&lt;=20,"0-20",G1309&lt;=30,"20-30",G1309&lt;=40,"30-40",G1309&lt;=50,"50-60",G1309&lt;=60,"60-70",G1309&lt;=70,"70-80",G1309&lt;=80,"80-90")</f>
        <v>50-60</v>
      </c>
      <c r="I1309" s="13">
        <v>2476</v>
      </c>
      <c r="J1309" s="13" t="str" cm="1">
        <f t="array" ref="J1309">_xlfn.IFS(K1309=1,"Divorciado",L1309=1,"Casado",M1309=1,"Solteiro",N1309=1,"Juntos",O1309=1,"Viuvo")</f>
        <v>Divorciado</v>
      </c>
      <c r="K1309" s="13">
        <v>1</v>
      </c>
      <c r="L1309" s="13">
        <v>0</v>
      </c>
      <c r="M1309" s="13">
        <v>0</v>
      </c>
      <c r="N1309" s="13">
        <v>0</v>
      </c>
      <c r="O1309" s="13">
        <v>0</v>
      </c>
      <c r="P1309" s="13">
        <v>0</v>
      </c>
      <c r="Q1309" s="13">
        <v>0</v>
      </c>
      <c r="R1309" s="13">
        <v>1</v>
      </c>
      <c r="S1309" s="13">
        <v>0</v>
      </c>
      <c r="T1309" s="13">
        <v>0</v>
      </c>
      <c r="U1309" s="13">
        <v>171</v>
      </c>
      <c r="V1309" s="13" t="str" cm="1">
        <f t="array" ref="V1309">_xlfn.IFS(U1309&lt;=250,"0-R$250",U1309&lt;=500,"251-R$500",U1309&lt;=750,"501-R$750",U1309&lt;=1000,"751-R$1000",U1309&lt;=1250,"1001-R$1250",U1309&lt;=1500,"1251-R$1500")</f>
        <v>0-R$250</v>
      </c>
      <c r="W1309" s="13">
        <v>0</v>
      </c>
      <c r="X1309" s="13" t="str" cm="1">
        <f t="array" ref="X1309">_xlfn.IFS(W1309 = 0, "0", W1309&lt;=20, "até R$20",W1309&lt;=40, "21 - R$40",W1309&lt;=60, "41- R$60",W1309&lt;=80, "61 - R$80", W1309&lt;=100, "81 - R$100",W1309&lt;=120, "101 - R$120",W1309&lt;=140, "121 - R$140", W1309&lt;=160, "141- R$160", W1309&lt;=180, "161 - R$180", W1309&lt;=200, "181-R$194")</f>
        <v>0</v>
      </c>
      <c r="Y1309" s="13">
        <v>11</v>
      </c>
      <c r="Z1309" s="13">
        <v>0</v>
      </c>
      <c r="AA1309" s="13">
        <v>1</v>
      </c>
      <c r="AB1309" s="13">
        <v>20</v>
      </c>
      <c r="AC1309" s="13">
        <v>2</v>
      </c>
      <c r="AD1309" s="13">
        <v>4</v>
      </c>
      <c r="AE1309" s="13">
        <v>1</v>
      </c>
      <c r="AF1309" s="13">
        <v>4</v>
      </c>
      <c r="AG1309" s="13">
        <v>6</v>
      </c>
      <c r="AH1309" s="13">
        <v>0</v>
      </c>
      <c r="AI1309" s="13">
        <v>0</v>
      </c>
      <c r="AJ1309" s="13">
        <v>0</v>
      </c>
      <c r="AK1309" s="13">
        <v>0</v>
      </c>
      <c r="AL1309" s="13">
        <v>0</v>
      </c>
      <c r="AM1309" s="13">
        <v>0</v>
      </c>
      <c r="AN1309" s="13">
        <v>0</v>
      </c>
      <c r="AO1309" s="14">
        <v>0</v>
      </c>
      <c r="AP1309" s="13">
        <v>3</v>
      </c>
      <c r="AQ1309" s="13">
        <v>11</v>
      </c>
      <c r="AR1309" s="15">
        <v>163</v>
      </c>
      <c r="AS1309" s="15">
        <v>183</v>
      </c>
    </row>
    <row r="1310" spans="1:45" x14ac:dyDescent="0.25">
      <c r="A1310">
        <v>211</v>
      </c>
      <c r="B1310" s="11">
        <f t="shared" si="20"/>
        <v>30732</v>
      </c>
      <c r="C1310" s="16">
        <v>307320</v>
      </c>
      <c r="D1310" s="17">
        <v>1</v>
      </c>
      <c r="E1310" s="17">
        <v>0</v>
      </c>
      <c r="F1310" s="17">
        <v>44</v>
      </c>
      <c r="G1310" s="17">
        <v>40</v>
      </c>
      <c r="H1310" s="13" t="str" cm="1">
        <f t="array" ref="H1310">_xlfn.IFS(G1310&lt;=20,"0-20",G1310&lt;=30,"20-30",G1310&lt;=40,"30-40",G1310&lt;=50,"50-60",G1310&lt;=60,"60-70",G1310&lt;=70,"70-80",G1310&lt;=80,"80-90")</f>
        <v>30-40</v>
      </c>
      <c r="I1310" s="17">
        <v>2699</v>
      </c>
      <c r="J1310" s="13" t="str" cm="1">
        <f t="array" ref="J1310">_xlfn.IFS(K1310=1,"Divorciado",L1310=1,"Casado",M1310=1,"Solteiro",N1310=1,"Juntos",O1310=1,"Viuvo")</f>
        <v>Casado</v>
      </c>
      <c r="K1310" s="17">
        <v>0</v>
      </c>
      <c r="L1310" s="17">
        <v>1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1</v>
      </c>
      <c r="U1310" s="17">
        <v>155</v>
      </c>
      <c r="V1310" s="13" t="str" cm="1">
        <f t="array" ref="V1310">_xlfn.IFS(U1310&lt;=250,"0-R$250",U1310&lt;=500,"251-R$500",U1310&lt;=750,"501-R$750",U1310&lt;=1000,"751-R$1000",U1310&lt;=1250,"1001-R$1250",U1310&lt;=1500,"1251-R$1500")</f>
        <v>0-R$250</v>
      </c>
      <c r="W1310" s="17">
        <v>1</v>
      </c>
      <c r="X1310" s="13" t="str" cm="1">
        <f t="array" ref="X1310">_xlfn.IFS(W1310 = 0, "0", W1310&lt;=20, "até R$20",W1310&lt;=40, "21 - R$40",W1310&lt;=60, "41- R$60",W1310&lt;=80, "61 - R$80", W1310&lt;=100, "81 - R$100",W1310&lt;=120, "101 - R$120",W1310&lt;=140, "121 - R$140", W1310&lt;=160, "141- R$160", W1310&lt;=180, "161 - R$180", W1310&lt;=200, "181-R$194")</f>
        <v>até R$20</v>
      </c>
      <c r="Y1310" s="17">
        <v>25</v>
      </c>
      <c r="Z1310" s="17">
        <v>0</v>
      </c>
      <c r="AA1310" s="17">
        <v>1</v>
      </c>
      <c r="AB1310" s="17">
        <v>3</v>
      </c>
      <c r="AC1310" s="17">
        <v>4</v>
      </c>
      <c r="AD1310" s="17">
        <v>4</v>
      </c>
      <c r="AE1310" s="17">
        <v>1</v>
      </c>
      <c r="AF1310" s="17">
        <v>4</v>
      </c>
      <c r="AG1310" s="17">
        <v>8</v>
      </c>
      <c r="AH1310" s="17">
        <v>0</v>
      </c>
      <c r="AI1310" s="17">
        <v>0</v>
      </c>
      <c r="AJ1310" s="17">
        <v>0</v>
      </c>
      <c r="AK1310" s="17">
        <v>0</v>
      </c>
      <c r="AL1310" s="17">
        <v>0</v>
      </c>
      <c r="AM1310" s="17">
        <v>0</v>
      </c>
      <c r="AN1310" s="17">
        <v>0</v>
      </c>
      <c r="AO1310" s="18">
        <v>0</v>
      </c>
      <c r="AP1310" s="17">
        <v>3</v>
      </c>
      <c r="AQ1310" s="17">
        <v>11</v>
      </c>
      <c r="AR1310" s="19">
        <v>179</v>
      </c>
      <c r="AS1310" s="19">
        <v>182</v>
      </c>
    </row>
    <row r="1311" spans="1:45" x14ac:dyDescent="0.25">
      <c r="A1311">
        <v>430</v>
      </c>
      <c r="B1311" s="11">
        <f t="shared" si="20"/>
        <v>42618</v>
      </c>
      <c r="C1311" s="12">
        <v>426180</v>
      </c>
      <c r="D1311" s="13">
        <v>1</v>
      </c>
      <c r="E1311" s="13">
        <v>0</v>
      </c>
      <c r="F1311" s="13">
        <v>92</v>
      </c>
      <c r="G1311" s="13">
        <v>48</v>
      </c>
      <c r="H1311" s="13" t="str" cm="1">
        <f t="array" ref="H1311">_xlfn.IFS(G1311&lt;=20,"0-20",G1311&lt;=30,"20-30",G1311&lt;=40,"30-40",G1311&lt;=50,"50-60",G1311&lt;=60,"60-70",G1311&lt;=70,"70-80",G1311&lt;=80,"80-90")</f>
        <v>50-60</v>
      </c>
      <c r="I1311" s="13">
        <v>2422</v>
      </c>
      <c r="J1311" s="13" t="str" cm="1">
        <f t="array" ref="J1311">_xlfn.IFS(K1311=1,"Divorciado",L1311=1,"Casado",M1311=1,"Solteiro",N1311=1,"Juntos",O1311=1,"Viuvo")</f>
        <v>Divorciado</v>
      </c>
      <c r="K1311" s="13">
        <v>1</v>
      </c>
      <c r="L1311" s="13">
        <v>0</v>
      </c>
      <c r="M1311" s="13">
        <v>0</v>
      </c>
      <c r="N1311" s="13">
        <v>0</v>
      </c>
      <c r="O1311" s="13">
        <v>0</v>
      </c>
      <c r="P1311" s="13">
        <v>0</v>
      </c>
      <c r="Q1311" s="13">
        <v>0</v>
      </c>
      <c r="R1311" s="13">
        <v>0</v>
      </c>
      <c r="S1311" s="13">
        <v>1</v>
      </c>
      <c r="T1311" s="13">
        <v>0</v>
      </c>
      <c r="U1311" s="13">
        <v>76</v>
      </c>
      <c r="V1311" s="13" t="str" cm="1">
        <f t="array" ref="V1311">_xlfn.IFS(U1311&lt;=250,"0-R$250",U1311&lt;=500,"251-R$500",U1311&lt;=750,"501-R$750",U1311&lt;=1000,"751-R$1000",U1311&lt;=1250,"1001-R$1250",U1311&lt;=1500,"1251-R$1500")</f>
        <v>0-R$250</v>
      </c>
      <c r="W1311" s="13">
        <v>14</v>
      </c>
      <c r="X1311" s="13" t="str" cm="1">
        <f t="array" ref="X1311">_xlfn.IFS(W1311 = 0, "0", W1311&lt;=20, "até R$20",W1311&lt;=40, "21 - R$40",W1311&lt;=60, "41- R$60",W1311&lt;=80, "61 - R$80", W1311&lt;=100, "81 - R$100",W1311&lt;=120, "101 - R$120",W1311&lt;=140, "121 - R$140", W1311&lt;=160, "141- R$160", W1311&lt;=180, "161 - R$180", W1311&lt;=200, "181-R$194")</f>
        <v>até R$20</v>
      </c>
      <c r="Y1311" s="13">
        <v>74</v>
      </c>
      <c r="Z1311" s="13">
        <v>13</v>
      </c>
      <c r="AA1311" s="13">
        <v>5</v>
      </c>
      <c r="AB1311" s="13">
        <v>10</v>
      </c>
      <c r="AC1311" s="13">
        <v>2</v>
      </c>
      <c r="AD1311" s="13">
        <v>5</v>
      </c>
      <c r="AE1311" s="13">
        <v>0</v>
      </c>
      <c r="AF1311" s="13">
        <v>4</v>
      </c>
      <c r="AG1311" s="13">
        <v>8</v>
      </c>
      <c r="AH1311" s="13">
        <v>0</v>
      </c>
      <c r="AI1311" s="13">
        <v>0</v>
      </c>
      <c r="AJ1311" s="13">
        <v>0</v>
      </c>
      <c r="AK1311" s="13">
        <v>0</v>
      </c>
      <c r="AL1311" s="13">
        <v>0</v>
      </c>
      <c r="AM1311" s="13">
        <v>0</v>
      </c>
      <c r="AN1311" s="13">
        <v>0</v>
      </c>
      <c r="AO1311" s="14">
        <v>0</v>
      </c>
      <c r="AP1311" s="13">
        <v>3</v>
      </c>
      <c r="AQ1311" s="13">
        <v>11</v>
      </c>
      <c r="AR1311" s="15">
        <v>172</v>
      </c>
      <c r="AS1311" s="15">
        <v>182</v>
      </c>
    </row>
    <row r="1312" spans="1:45" x14ac:dyDescent="0.25">
      <c r="A1312">
        <v>525</v>
      </c>
      <c r="B1312" s="11">
        <f t="shared" si="20"/>
        <v>43638</v>
      </c>
      <c r="C1312" s="16">
        <v>436380</v>
      </c>
      <c r="D1312" s="17">
        <v>0</v>
      </c>
      <c r="E1312" s="17">
        <v>1</v>
      </c>
      <c r="F1312" s="17">
        <v>37</v>
      </c>
      <c r="G1312" s="17">
        <v>51</v>
      </c>
      <c r="H1312" s="13" t="str" cm="1">
        <f t="array" ref="H1312">_xlfn.IFS(G1312&lt;=20,"0-20",G1312&lt;=30,"20-30",G1312&lt;=40,"30-40",G1312&lt;=50,"50-60",G1312&lt;=60,"60-70",G1312&lt;=70,"70-80",G1312&lt;=80,"80-90")</f>
        <v>60-70</v>
      </c>
      <c r="I1312" s="17">
        <v>2851</v>
      </c>
      <c r="J1312" s="13" t="str" cm="1">
        <f t="array" ref="J1312">_xlfn.IFS(K1312=1,"Divorciado",L1312=1,"Casado",M1312=1,"Solteiro",N1312=1,"Juntos",O1312=1,"Viuvo")</f>
        <v>Viuvo</v>
      </c>
      <c r="K1312" s="17">
        <v>0</v>
      </c>
      <c r="L1312" s="17">
        <v>0</v>
      </c>
      <c r="M1312" s="17">
        <v>0</v>
      </c>
      <c r="N1312" s="17">
        <v>0</v>
      </c>
      <c r="O1312" s="17">
        <v>1</v>
      </c>
      <c r="P1312" s="17">
        <v>0</v>
      </c>
      <c r="Q1312" s="17">
        <v>0</v>
      </c>
      <c r="R1312" s="17">
        <v>1</v>
      </c>
      <c r="S1312" s="17">
        <v>0</v>
      </c>
      <c r="T1312" s="17">
        <v>0</v>
      </c>
      <c r="U1312" s="17">
        <v>63</v>
      </c>
      <c r="V1312" s="13" t="str" cm="1">
        <f t="array" ref="V1312">_xlfn.IFS(U1312&lt;=250,"0-R$250",U1312&lt;=500,"251-R$500",U1312&lt;=750,"501-R$750",U1312&lt;=1000,"751-R$1000",U1312&lt;=1250,"1001-R$1250",U1312&lt;=1500,"1251-R$1500")</f>
        <v>0-R$250</v>
      </c>
      <c r="W1312" s="17">
        <v>10</v>
      </c>
      <c r="X1312" s="13" t="str" cm="1">
        <f t="array" ref="X1312">_xlfn.IFS(W1312 = 0, "0", W1312&lt;=20, "até R$20",W1312&lt;=40, "21 - R$40",W1312&lt;=60, "41- R$60",W1312&lt;=80, "61 - R$80", W1312&lt;=100, "81 - R$100",W1312&lt;=120, "101 - R$120",W1312&lt;=140, "121 - R$140", W1312&lt;=160, "141- R$160", W1312&lt;=180, "161 - R$180", W1312&lt;=200, "181-R$194")</f>
        <v>até R$20</v>
      </c>
      <c r="Y1312" s="17">
        <v>83</v>
      </c>
      <c r="Z1312" s="17">
        <v>7</v>
      </c>
      <c r="AA1312" s="17">
        <v>19</v>
      </c>
      <c r="AB1312" s="17">
        <v>19</v>
      </c>
      <c r="AC1312" s="17">
        <v>2</v>
      </c>
      <c r="AD1312" s="17">
        <v>4</v>
      </c>
      <c r="AE1312" s="17">
        <v>1</v>
      </c>
      <c r="AF1312" s="17">
        <v>4</v>
      </c>
      <c r="AG1312" s="17">
        <v>7</v>
      </c>
      <c r="AH1312" s="17">
        <v>0</v>
      </c>
      <c r="AI1312" s="17">
        <v>0</v>
      </c>
      <c r="AJ1312" s="17">
        <v>0</v>
      </c>
      <c r="AK1312" s="17">
        <v>0</v>
      </c>
      <c r="AL1312" s="17">
        <v>0</v>
      </c>
      <c r="AM1312" s="17">
        <v>0</v>
      </c>
      <c r="AN1312" s="17">
        <v>0</v>
      </c>
      <c r="AO1312" s="18">
        <v>0</v>
      </c>
      <c r="AP1312" s="17">
        <v>3</v>
      </c>
      <c r="AQ1312" s="17">
        <v>11</v>
      </c>
      <c r="AR1312" s="19">
        <v>163</v>
      </c>
      <c r="AS1312" s="19">
        <v>182</v>
      </c>
    </row>
    <row r="1313" spans="1:45" x14ac:dyDescent="0.25">
      <c r="A1313">
        <v>685</v>
      </c>
      <c r="B1313" s="11">
        <f t="shared" si="20"/>
        <v>41335</v>
      </c>
      <c r="C1313" s="16">
        <v>413350</v>
      </c>
      <c r="D1313" s="17">
        <v>1</v>
      </c>
      <c r="E1313" s="17">
        <v>0</v>
      </c>
      <c r="F1313" s="17">
        <v>24</v>
      </c>
      <c r="G1313" s="17">
        <v>52</v>
      </c>
      <c r="H1313" s="13" t="str" cm="1">
        <f t="array" ref="H1313">_xlfn.IFS(G1313&lt;=20,"0-20",G1313&lt;=30,"20-30",G1313&lt;=40,"30-40",G1313&lt;=50,"50-60",G1313&lt;=60,"60-70",G1313&lt;=70,"70-80",G1313&lt;=80,"80-90")</f>
        <v>60-70</v>
      </c>
      <c r="I1313" s="17">
        <v>2344</v>
      </c>
      <c r="J1313" s="13" t="str" cm="1">
        <f t="array" ref="J1313">_xlfn.IFS(K1313=1,"Divorciado",L1313=1,"Casado",M1313=1,"Solteiro",N1313=1,"Juntos",O1313=1,"Viuvo")</f>
        <v>Divorciado</v>
      </c>
      <c r="K1313" s="17">
        <v>1</v>
      </c>
      <c r="L1313" s="17">
        <v>0</v>
      </c>
      <c r="M1313" s="17">
        <v>0</v>
      </c>
      <c r="N1313" s="17">
        <v>0</v>
      </c>
      <c r="O1313" s="17">
        <v>0</v>
      </c>
      <c r="P1313" s="17">
        <v>0</v>
      </c>
      <c r="Q1313" s="17">
        <v>0</v>
      </c>
      <c r="R1313" s="17">
        <v>0</v>
      </c>
      <c r="S1313" s="17">
        <v>1</v>
      </c>
      <c r="T1313" s="17">
        <v>0</v>
      </c>
      <c r="U1313" s="17">
        <v>112</v>
      </c>
      <c r="V1313" s="13" t="str" cm="1">
        <f t="array" ref="V1313">_xlfn.IFS(U1313&lt;=250,"0-R$250",U1313&lt;=500,"251-R$500",U1313&lt;=750,"501-R$750",U1313&lt;=1000,"751-R$1000",U1313&lt;=1250,"1001-R$1250",U1313&lt;=1500,"1251-R$1500")</f>
        <v>0-R$250</v>
      </c>
      <c r="W1313" s="17">
        <v>19</v>
      </c>
      <c r="X1313" s="13" t="str" cm="1">
        <f t="array" ref="X1313">_xlfn.IFS(W1313 = 0, "0", W1313&lt;=20, "até R$20",W1313&lt;=40, "21 - R$40",W1313&lt;=60, "41- R$60",W1313&lt;=80, "61 - R$80", W1313&lt;=100, "81 - R$100",W1313&lt;=120, "101 - R$120",W1313&lt;=140, "121 - R$140", W1313&lt;=160, "141- R$160", W1313&lt;=180, "161 - R$180", W1313&lt;=200, "181-R$194")</f>
        <v>até R$20</v>
      </c>
      <c r="Y1313" s="17">
        <v>21</v>
      </c>
      <c r="Z1313" s="17">
        <v>16</v>
      </c>
      <c r="AA1313" s="17">
        <v>14</v>
      </c>
      <c r="AB1313" s="17">
        <v>5</v>
      </c>
      <c r="AC1313" s="17">
        <v>3</v>
      </c>
      <c r="AD1313" s="17">
        <v>4</v>
      </c>
      <c r="AE1313" s="17">
        <v>1</v>
      </c>
      <c r="AF1313" s="17">
        <v>4</v>
      </c>
      <c r="AG1313" s="17">
        <v>7</v>
      </c>
      <c r="AH1313" s="17">
        <v>0</v>
      </c>
      <c r="AI1313" s="17">
        <v>0</v>
      </c>
      <c r="AJ1313" s="17">
        <v>0</v>
      </c>
      <c r="AK1313" s="17">
        <v>0</v>
      </c>
      <c r="AL1313" s="17">
        <v>0</v>
      </c>
      <c r="AM1313" s="17">
        <v>0</v>
      </c>
      <c r="AN1313" s="17">
        <v>0</v>
      </c>
      <c r="AO1313" s="18">
        <v>0</v>
      </c>
      <c r="AP1313" s="17">
        <v>3</v>
      </c>
      <c r="AQ1313" s="17">
        <v>11</v>
      </c>
      <c r="AR1313" s="19">
        <v>177</v>
      </c>
      <c r="AS1313" s="19">
        <v>182</v>
      </c>
    </row>
    <row r="1314" spans="1:45" x14ac:dyDescent="0.25">
      <c r="A1314">
        <v>1211</v>
      </c>
      <c r="B1314" s="11">
        <f t="shared" si="20"/>
        <v>44421</v>
      </c>
      <c r="C1314" s="16">
        <v>444210</v>
      </c>
      <c r="D1314" s="17">
        <v>1</v>
      </c>
      <c r="E1314" s="17">
        <v>1</v>
      </c>
      <c r="F1314" s="17">
        <v>53</v>
      </c>
      <c r="G1314" s="17">
        <v>49</v>
      </c>
      <c r="H1314" s="13" t="str" cm="1">
        <f t="array" ref="H1314">_xlfn.IFS(G1314&lt;=20,"0-20",G1314&lt;=30,"20-30",G1314&lt;=40,"30-40",G1314&lt;=50,"50-60",G1314&lt;=60,"60-70",G1314&lt;=70,"70-80",G1314&lt;=80,"80-90")</f>
        <v>50-60</v>
      </c>
      <c r="I1314" s="17">
        <v>2658</v>
      </c>
      <c r="J1314" s="13" t="str" cm="1">
        <f t="array" ref="J1314">_xlfn.IFS(K1314=1,"Divorciado",L1314=1,"Casado",M1314=1,"Solteiro",N1314=1,"Juntos",O1314=1,"Viuvo")</f>
        <v>Divorciado</v>
      </c>
      <c r="K1314" s="17">
        <v>1</v>
      </c>
      <c r="L1314" s="17">
        <v>0</v>
      </c>
      <c r="M1314" s="17">
        <v>0</v>
      </c>
      <c r="N1314" s="17">
        <v>0</v>
      </c>
      <c r="O1314" s="17">
        <v>0</v>
      </c>
      <c r="P1314" s="17">
        <v>0</v>
      </c>
      <c r="Q1314" s="17">
        <v>0</v>
      </c>
      <c r="R1314" s="17">
        <v>1</v>
      </c>
      <c r="S1314" s="17">
        <v>0</v>
      </c>
      <c r="T1314" s="17">
        <v>0</v>
      </c>
      <c r="U1314" s="17">
        <v>110</v>
      </c>
      <c r="V1314" s="13" t="str" cm="1">
        <f t="array" ref="V1314">_xlfn.IFS(U1314&lt;=250,"0-R$250",U1314&lt;=500,"251-R$500",U1314&lt;=750,"501-R$750",U1314&lt;=1000,"751-R$1000",U1314&lt;=1250,"1001-R$1250",U1314&lt;=1500,"1251-R$1500")</f>
        <v>0-R$250</v>
      </c>
      <c r="W1314" s="17">
        <v>5</v>
      </c>
      <c r="X1314" s="13" t="str" cm="1">
        <f t="array" ref="X1314">_xlfn.IFS(W1314 = 0, "0", W1314&lt;=20, "até R$20",W1314&lt;=40, "21 - R$40",W1314&lt;=60, "41- R$60",W1314&lt;=80, "61 - R$80", W1314&lt;=100, "81 - R$100",W1314&lt;=120, "101 - R$120",W1314&lt;=140, "121 - R$140", W1314&lt;=160, "141- R$160", W1314&lt;=180, "161 - R$180", W1314&lt;=200, "181-R$194")</f>
        <v>até R$20</v>
      </c>
      <c r="Y1314" s="17">
        <v>59</v>
      </c>
      <c r="Z1314" s="17">
        <v>7</v>
      </c>
      <c r="AA1314" s="17">
        <v>1</v>
      </c>
      <c r="AB1314" s="17">
        <v>7</v>
      </c>
      <c r="AC1314" s="17">
        <v>5</v>
      </c>
      <c r="AD1314" s="17">
        <v>5</v>
      </c>
      <c r="AE1314" s="17">
        <v>0</v>
      </c>
      <c r="AF1314" s="17">
        <v>4</v>
      </c>
      <c r="AG1314" s="17">
        <v>8</v>
      </c>
      <c r="AH1314" s="17">
        <v>0</v>
      </c>
      <c r="AI1314" s="17">
        <v>0</v>
      </c>
      <c r="AJ1314" s="17">
        <v>0</v>
      </c>
      <c r="AK1314" s="17">
        <v>0</v>
      </c>
      <c r="AL1314" s="17">
        <v>0</v>
      </c>
      <c r="AM1314" s="17">
        <v>0</v>
      </c>
      <c r="AN1314" s="17">
        <v>0</v>
      </c>
      <c r="AO1314" s="18">
        <v>0</v>
      </c>
      <c r="AP1314" s="17">
        <v>3</v>
      </c>
      <c r="AQ1314" s="17">
        <v>11</v>
      </c>
      <c r="AR1314" s="19">
        <v>175</v>
      </c>
      <c r="AS1314" s="19">
        <v>182</v>
      </c>
    </row>
    <row r="1315" spans="1:45" x14ac:dyDescent="0.25">
      <c r="A1315">
        <v>1249</v>
      </c>
      <c r="B1315" s="11">
        <f t="shared" si="20"/>
        <v>45579</v>
      </c>
      <c r="C1315" s="16">
        <v>455790</v>
      </c>
      <c r="D1315" s="17">
        <v>0</v>
      </c>
      <c r="E1315" s="17">
        <v>1</v>
      </c>
      <c r="F1315" s="17">
        <v>10</v>
      </c>
      <c r="G1315" s="17">
        <v>72</v>
      </c>
      <c r="H1315" s="13" t="str" cm="1">
        <f t="array" ref="H1315">_xlfn.IFS(G1315&lt;=20,"0-20",G1315&lt;=30,"20-30",G1315&lt;=40,"30-40",G1315&lt;=50,"50-60",G1315&lt;=60,"60-70",G1315&lt;=70,"70-80",G1315&lt;=80,"80-90")</f>
        <v>80-90</v>
      </c>
      <c r="I1315" s="17">
        <v>2472</v>
      </c>
      <c r="J1315" s="13" t="str" cm="1">
        <f t="array" ref="J1315">_xlfn.IFS(K1315=1,"Divorciado",L1315=1,"Casado",M1315=1,"Solteiro",N1315=1,"Juntos",O1315=1,"Viuvo")</f>
        <v>Casado</v>
      </c>
      <c r="K1315" s="17">
        <v>0</v>
      </c>
      <c r="L1315" s="17">
        <v>1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1</v>
      </c>
      <c r="U1315" s="17">
        <v>145</v>
      </c>
      <c r="V1315" s="13" t="str" cm="1">
        <f t="array" ref="V1315">_xlfn.IFS(U1315&lt;=250,"0-R$250",U1315&lt;=500,"251-R$500",U1315&lt;=750,"501-R$750",U1315&lt;=1000,"751-R$1000",U1315&lt;=1250,"1001-R$1250",U1315&lt;=1500,"1251-R$1500")</f>
        <v>0-R$250</v>
      </c>
      <c r="W1315" s="17">
        <v>1</v>
      </c>
      <c r="X1315" s="13" t="str" cm="1">
        <f t="array" ref="X1315">_xlfn.IFS(W1315 = 0, "0", W1315&lt;=20, "até R$20",W1315&lt;=40, "21 - R$40",W1315&lt;=60, "41- R$60",W1315&lt;=80, "61 - R$80", W1315&lt;=100, "81 - R$100",W1315&lt;=120, "101 - R$120",W1315&lt;=140, "121 - R$140", W1315&lt;=160, "141- R$160", W1315&lt;=180, "161 - R$180", W1315&lt;=200, "181-R$194")</f>
        <v>até R$20</v>
      </c>
      <c r="Y1315" s="17">
        <v>33</v>
      </c>
      <c r="Z1315" s="17">
        <v>2</v>
      </c>
      <c r="AA1315" s="17">
        <v>1</v>
      </c>
      <c r="AB1315" s="17">
        <v>1</v>
      </c>
      <c r="AC1315" s="17">
        <v>1</v>
      </c>
      <c r="AD1315" s="17">
        <v>4</v>
      </c>
      <c r="AE1315" s="17">
        <v>1</v>
      </c>
      <c r="AF1315" s="17">
        <v>4</v>
      </c>
      <c r="AG1315" s="17">
        <v>6</v>
      </c>
      <c r="AH1315" s="17">
        <v>0</v>
      </c>
      <c r="AI1315" s="17">
        <v>0</v>
      </c>
      <c r="AJ1315" s="17">
        <v>0</v>
      </c>
      <c r="AK1315" s="17">
        <v>0</v>
      </c>
      <c r="AL1315" s="17">
        <v>0</v>
      </c>
      <c r="AM1315" s="17">
        <v>0</v>
      </c>
      <c r="AN1315" s="17">
        <v>0</v>
      </c>
      <c r="AO1315" s="18">
        <v>0</v>
      </c>
      <c r="AP1315" s="17">
        <v>3</v>
      </c>
      <c r="AQ1315" s="17">
        <v>11</v>
      </c>
      <c r="AR1315" s="19">
        <v>181</v>
      </c>
      <c r="AS1315" s="19">
        <v>182</v>
      </c>
    </row>
    <row r="1316" spans="1:45" x14ac:dyDescent="0.25">
      <c r="A1316">
        <v>1348</v>
      </c>
      <c r="B1316" s="11">
        <f t="shared" si="20"/>
        <v>41335</v>
      </c>
      <c r="C1316" s="12">
        <v>413350</v>
      </c>
      <c r="D1316" s="13">
        <v>1</v>
      </c>
      <c r="E1316" s="13">
        <v>0</v>
      </c>
      <c r="F1316" s="13">
        <v>24</v>
      </c>
      <c r="G1316" s="13">
        <v>52</v>
      </c>
      <c r="H1316" s="13" t="str" cm="1">
        <f t="array" ref="H1316">_xlfn.IFS(G1316&lt;=20,"0-20",G1316&lt;=30,"20-30",G1316&lt;=40,"30-40",G1316&lt;=50,"50-60",G1316&lt;=60,"60-70",G1316&lt;=70,"70-80",G1316&lt;=80,"80-90")</f>
        <v>60-70</v>
      </c>
      <c r="I1316" s="13">
        <v>2344</v>
      </c>
      <c r="J1316" s="13" t="str" cm="1">
        <f t="array" ref="J1316">_xlfn.IFS(K1316=1,"Divorciado",L1316=1,"Casado",M1316=1,"Solteiro",N1316=1,"Juntos",O1316=1,"Viuvo")</f>
        <v>Divorciado</v>
      </c>
      <c r="K1316" s="13">
        <v>1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1</v>
      </c>
      <c r="T1316" s="13">
        <v>0</v>
      </c>
      <c r="U1316" s="13">
        <v>112</v>
      </c>
      <c r="V1316" s="13" t="str" cm="1">
        <f t="array" ref="V1316">_xlfn.IFS(U1316&lt;=250,"0-R$250",U1316&lt;=500,"251-R$500",U1316&lt;=750,"501-R$750",U1316&lt;=1000,"751-R$1000",U1316&lt;=1250,"1001-R$1250",U1316&lt;=1500,"1251-R$1500")</f>
        <v>0-R$250</v>
      </c>
      <c r="W1316" s="13">
        <v>19</v>
      </c>
      <c r="X1316" s="13" t="str" cm="1">
        <f t="array" ref="X1316">_xlfn.IFS(W1316 = 0, "0", W1316&lt;=20, "até R$20",W1316&lt;=40, "21 - R$40",W1316&lt;=60, "41- R$60",W1316&lt;=80, "61 - R$80", W1316&lt;=100, "81 - R$100",W1316&lt;=120, "101 - R$120",W1316&lt;=140, "121 - R$140", W1316&lt;=160, "141- R$160", W1316&lt;=180, "161 - R$180", W1316&lt;=200, "181-R$194")</f>
        <v>até R$20</v>
      </c>
      <c r="Y1316" s="13">
        <v>21</v>
      </c>
      <c r="Z1316" s="13">
        <v>16</v>
      </c>
      <c r="AA1316" s="13">
        <v>14</v>
      </c>
      <c r="AB1316" s="13">
        <v>5</v>
      </c>
      <c r="AC1316" s="13">
        <v>3</v>
      </c>
      <c r="AD1316" s="13">
        <v>4</v>
      </c>
      <c r="AE1316" s="13">
        <v>1</v>
      </c>
      <c r="AF1316" s="13">
        <v>4</v>
      </c>
      <c r="AG1316" s="13">
        <v>7</v>
      </c>
      <c r="AH1316" s="13">
        <v>0</v>
      </c>
      <c r="AI1316" s="13">
        <v>0</v>
      </c>
      <c r="AJ1316" s="13">
        <v>0</v>
      </c>
      <c r="AK1316" s="13">
        <v>0</v>
      </c>
      <c r="AL1316" s="13">
        <v>0</v>
      </c>
      <c r="AM1316" s="13">
        <v>0</v>
      </c>
      <c r="AN1316" s="13">
        <v>0</v>
      </c>
      <c r="AO1316" s="14">
        <v>0</v>
      </c>
      <c r="AP1316" s="13">
        <v>3</v>
      </c>
      <c r="AQ1316" s="13">
        <v>11</v>
      </c>
      <c r="AR1316" s="15">
        <v>177</v>
      </c>
      <c r="AS1316" s="15">
        <v>182</v>
      </c>
    </row>
    <row r="1317" spans="1:45" x14ac:dyDescent="0.25">
      <c r="A1317">
        <v>1693</v>
      </c>
      <c r="B1317" s="11">
        <f t="shared" si="20"/>
        <v>44392</v>
      </c>
      <c r="C1317" s="16">
        <v>443920</v>
      </c>
      <c r="D1317" s="17">
        <v>1</v>
      </c>
      <c r="E1317" s="17">
        <v>1</v>
      </c>
      <c r="F1317" s="17">
        <v>71</v>
      </c>
      <c r="G1317" s="17">
        <v>46</v>
      </c>
      <c r="H1317" s="13" t="str" cm="1">
        <f t="array" ref="H1317">_xlfn.IFS(G1317&lt;=20,"0-20",G1317&lt;=30,"20-30",G1317&lt;=40,"30-40",G1317&lt;=50,"50-60",G1317&lt;=60,"60-70",G1317&lt;=70,"70-80",G1317&lt;=80,"80-90")</f>
        <v>50-60</v>
      </c>
      <c r="I1317" s="17">
        <v>2456</v>
      </c>
      <c r="J1317" s="13" t="str" cm="1">
        <f t="array" ref="J1317">_xlfn.IFS(K1317=1,"Divorciado",L1317=1,"Casado",M1317=1,"Solteiro",N1317=1,"Juntos",O1317=1,"Viuvo")</f>
        <v>Juntos</v>
      </c>
      <c r="K1317" s="17">
        <v>0</v>
      </c>
      <c r="L1317" s="17">
        <v>0</v>
      </c>
      <c r="M1317" s="17">
        <v>0</v>
      </c>
      <c r="N1317" s="17">
        <v>1</v>
      </c>
      <c r="O1317" s="17">
        <v>0</v>
      </c>
      <c r="P1317" s="17">
        <v>0</v>
      </c>
      <c r="Q1317" s="17">
        <v>0</v>
      </c>
      <c r="R1317" s="17">
        <v>1</v>
      </c>
      <c r="S1317" s="17">
        <v>0</v>
      </c>
      <c r="T1317" s="17">
        <v>0</v>
      </c>
      <c r="U1317" s="17">
        <v>87</v>
      </c>
      <c r="V1317" s="13" t="str" cm="1">
        <f t="array" ref="V1317">_xlfn.IFS(U1317&lt;=250,"0-R$250",U1317&lt;=500,"251-R$500",U1317&lt;=750,"501-R$750",U1317&lt;=1000,"751-R$1000",U1317&lt;=1250,"1001-R$1250",U1317&lt;=1500,"1251-R$1500")</f>
        <v>0-R$250</v>
      </c>
      <c r="W1317" s="17">
        <v>5</v>
      </c>
      <c r="X1317" s="13" t="str" cm="1">
        <f t="array" ref="X1317">_xlfn.IFS(W1317 = 0, "0", W1317&lt;=20, "até R$20",W1317&lt;=40, "21 - R$40",W1317&lt;=60, "41- R$60",W1317&lt;=80, "61 - R$80", W1317&lt;=100, "81 - R$100",W1317&lt;=120, "101 - R$120",W1317&lt;=140, "121 - R$140", W1317&lt;=160, "141- R$160", W1317&lt;=180, "161 - R$180", W1317&lt;=200, "181-R$194")</f>
        <v>até R$20</v>
      </c>
      <c r="Y1317" s="17">
        <v>71</v>
      </c>
      <c r="Z1317" s="17">
        <v>7</v>
      </c>
      <c r="AA1317" s="17">
        <v>12</v>
      </c>
      <c r="AB1317" s="17">
        <v>29</v>
      </c>
      <c r="AC1317" s="17">
        <v>5</v>
      </c>
      <c r="AD1317" s="17">
        <v>4</v>
      </c>
      <c r="AE1317" s="17">
        <v>1</v>
      </c>
      <c r="AF1317" s="17">
        <v>4</v>
      </c>
      <c r="AG1317" s="17">
        <v>7</v>
      </c>
      <c r="AH1317" s="17">
        <v>0</v>
      </c>
      <c r="AI1317" s="17">
        <v>0</v>
      </c>
      <c r="AJ1317" s="17">
        <v>0</v>
      </c>
      <c r="AK1317" s="17">
        <v>0</v>
      </c>
      <c r="AL1317" s="17">
        <v>0</v>
      </c>
      <c r="AM1317" s="17">
        <v>0</v>
      </c>
      <c r="AN1317" s="17">
        <v>0</v>
      </c>
      <c r="AO1317" s="18">
        <v>0</v>
      </c>
      <c r="AP1317" s="17">
        <v>3</v>
      </c>
      <c r="AQ1317" s="17">
        <v>11</v>
      </c>
      <c r="AR1317" s="19">
        <v>153</v>
      </c>
      <c r="AS1317" s="19">
        <v>182</v>
      </c>
    </row>
    <row r="1318" spans="1:45" x14ac:dyDescent="0.25">
      <c r="A1318">
        <v>829</v>
      </c>
      <c r="B1318" s="11">
        <f t="shared" si="20"/>
        <v>49980</v>
      </c>
      <c r="C1318" s="16">
        <v>499800</v>
      </c>
      <c r="D1318" s="17">
        <v>0</v>
      </c>
      <c r="E1318" s="17">
        <v>1</v>
      </c>
      <c r="F1318" s="17">
        <v>79</v>
      </c>
      <c r="G1318" s="17">
        <v>57</v>
      </c>
      <c r="H1318" s="13" t="str" cm="1">
        <f t="array" ref="H1318">_xlfn.IFS(G1318&lt;=20,"0-20",G1318&lt;=30,"20-30",G1318&lt;=40,"30-40",G1318&lt;=50,"50-60",G1318&lt;=60,"60-70",G1318&lt;=70,"70-80",G1318&lt;=80,"80-90")</f>
        <v>60-70</v>
      </c>
      <c r="I1318" s="17">
        <v>2408</v>
      </c>
      <c r="J1318" s="13" t="str" cm="1">
        <f t="array" ref="J1318">_xlfn.IFS(K1318=1,"Divorciado",L1318=1,"Casado",M1318=1,"Solteiro",N1318=1,"Juntos",O1318=1,"Viuvo")</f>
        <v>Solteiro</v>
      </c>
      <c r="K1318" s="17">
        <v>0</v>
      </c>
      <c r="L1318" s="17">
        <v>0</v>
      </c>
      <c r="M1318" s="17">
        <v>1</v>
      </c>
      <c r="N1318" s="17">
        <v>0</v>
      </c>
      <c r="O1318" s="17">
        <v>0</v>
      </c>
      <c r="P1318" s="17">
        <v>0</v>
      </c>
      <c r="Q1318" s="17">
        <v>0</v>
      </c>
      <c r="R1318" s="17">
        <v>1</v>
      </c>
      <c r="S1318" s="17">
        <v>0</v>
      </c>
      <c r="T1318" s="17">
        <v>0</v>
      </c>
      <c r="U1318" s="17">
        <v>104</v>
      </c>
      <c r="V1318" s="13" t="str" cm="1">
        <f t="array" ref="V1318">_xlfn.IFS(U1318&lt;=250,"0-R$250",U1318&lt;=500,"251-R$500",U1318&lt;=750,"501-R$750",U1318&lt;=1000,"751-R$1000",U1318&lt;=1250,"1001-R$1250",U1318&lt;=1500,"1251-R$1500")</f>
        <v>0-R$250</v>
      </c>
      <c r="W1318" s="17">
        <v>1</v>
      </c>
      <c r="X1318" s="13" t="str" cm="1">
        <f t="array" ref="X1318">_xlfn.IFS(W1318 = 0, "0", W1318&lt;=20, "até R$20",W1318&lt;=40, "21 - R$40",W1318&lt;=60, "41- R$60",W1318&lt;=80, "61 - R$80", W1318&lt;=100, "81 - R$100",W1318&lt;=120, "101 - R$120",W1318&lt;=140, "121 - R$140", W1318&lt;=160, "141- R$160", W1318&lt;=180, "161 - R$180", W1318&lt;=200, "181-R$194")</f>
        <v>até R$20</v>
      </c>
      <c r="Y1318" s="17">
        <v>54</v>
      </c>
      <c r="Z1318" s="17">
        <v>13</v>
      </c>
      <c r="AA1318" s="17">
        <v>9</v>
      </c>
      <c r="AB1318" s="17">
        <v>14</v>
      </c>
      <c r="AC1318" s="17">
        <v>2</v>
      </c>
      <c r="AD1318" s="17">
        <v>3</v>
      </c>
      <c r="AE1318" s="17">
        <v>1</v>
      </c>
      <c r="AF1318" s="17">
        <v>5</v>
      </c>
      <c r="AG1318" s="17">
        <v>5</v>
      </c>
      <c r="AH1318" s="17">
        <v>0</v>
      </c>
      <c r="AI1318" s="17">
        <v>0</v>
      </c>
      <c r="AJ1318" s="17">
        <v>0</v>
      </c>
      <c r="AK1318" s="17">
        <v>0</v>
      </c>
      <c r="AL1318" s="17">
        <v>0</v>
      </c>
      <c r="AM1318" s="17">
        <v>0</v>
      </c>
      <c r="AN1318" s="17">
        <v>0</v>
      </c>
      <c r="AO1318" s="18">
        <v>0</v>
      </c>
      <c r="AP1318" s="17">
        <v>3</v>
      </c>
      <c r="AQ1318" s="17">
        <v>11</v>
      </c>
      <c r="AR1318" s="19">
        <v>167</v>
      </c>
      <c r="AS1318" s="19">
        <v>181</v>
      </c>
    </row>
    <row r="1319" spans="1:45" x14ac:dyDescent="0.25">
      <c r="A1319">
        <v>1183</v>
      </c>
      <c r="B1319" s="11">
        <f t="shared" si="20"/>
        <v>51412</v>
      </c>
      <c r="C1319" s="16">
        <v>514120</v>
      </c>
      <c r="D1319" s="17">
        <v>0</v>
      </c>
      <c r="E1319" s="17">
        <v>1</v>
      </c>
      <c r="F1319" s="17">
        <v>42</v>
      </c>
      <c r="G1319" s="17">
        <v>62</v>
      </c>
      <c r="H1319" s="13" t="str" cm="1">
        <f t="array" ref="H1319">_xlfn.IFS(G1319&lt;=20,"0-20",G1319&lt;=30,"20-30",G1319&lt;=40,"30-40",G1319&lt;=50,"50-60",G1319&lt;=60,"60-70",G1319&lt;=70,"70-80",G1319&lt;=80,"80-90")</f>
        <v>70-80</v>
      </c>
      <c r="I1319" s="17">
        <v>2339</v>
      </c>
      <c r="J1319" s="13" t="str" cm="1">
        <f t="array" ref="J1319">_xlfn.IFS(K1319=1,"Divorciado",L1319=1,"Casado",M1319=1,"Solteiro",N1319=1,"Juntos",O1319=1,"Viuvo")</f>
        <v>Casado</v>
      </c>
      <c r="K1319" s="17">
        <v>0</v>
      </c>
      <c r="L1319" s="17">
        <v>1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1</v>
      </c>
      <c r="T1319" s="17">
        <v>0</v>
      </c>
      <c r="U1319" s="17">
        <v>140</v>
      </c>
      <c r="V1319" s="13" t="str" cm="1">
        <f t="array" ref="V1319">_xlfn.IFS(U1319&lt;=250,"0-R$250",U1319&lt;=500,"251-R$500",U1319&lt;=750,"501-R$750",U1319&lt;=1000,"751-R$1000",U1319&lt;=1250,"1001-R$1250",U1319&lt;=1500,"1251-R$1500")</f>
        <v>0-R$250</v>
      </c>
      <c r="W1319" s="17">
        <v>3</v>
      </c>
      <c r="X1319" s="13" t="str" cm="1">
        <f t="array" ref="X1319">_xlfn.IFS(W1319 = 0, "0", W1319&lt;=20, "até R$20",W1319&lt;=40, "21 - R$40",W1319&lt;=60, "41- R$60",W1319&lt;=80, "61 - R$80", W1319&lt;=100, "81 - R$100",W1319&lt;=120, "101 - R$120",W1319&lt;=140, "121 - R$140", W1319&lt;=160, "141- R$160", W1319&lt;=180, "161 - R$180", W1319&lt;=200, "181-R$194")</f>
        <v>até R$20</v>
      </c>
      <c r="Y1319" s="17">
        <v>29</v>
      </c>
      <c r="Z1319" s="17">
        <v>4</v>
      </c>
      <c r="AA1319" s="17">
        <v>5</v>
      </c>
      <c r="AB1319" s="17">
        <v>14</v>
      </c>
      <c r="AC1319" s="17">
        <v>2</v>
      </c>
      <c r="AD1319" s="17">
        <v>3</v>
      </c>
      <c r="AE1319" s="17">
        <v>2</v>
      </c>
      <c r="AF1319" s="17">
        <v>4</v>
      </c>
      <c r="AG1319" s="17">
        <v>4</v>
      </c>
      <c r="AH1319" s="17">
        <v>0</v>
      </c>
      <c r="AI1319" s="17">
        <v>0</v>
      </c>
      <c r="AJ1319" s="17">
        <v>0</v>
      </c>
      <c r="AK1319" s="17">
        <v>0</v>
      </c>
      <c r="AL1319" s="17">
        <v>0</v>
      </c>
      <c r="AM1319" s="17">
        <v>0</v>
      </c>
      <c r="AN1319" s="17">
        <v>0</v>
      </c>
      <c r="AO1319" s="18">
        <v>0</v>
      </c>
      <c r="AP1319" s="17">
        <v>3</v>
      </c>
      <c r="AQ1319" s="17">
        <v>11</v>
      </c>
      <c r="AR1319" s="19">
        <v>167</v>
      </c>
      <c r="AS1319" s="19">
        <v>181</v>
      </c>
    </row>
    <row r="1320" spans="1:45" x14ac:dyDescent="0.25">
      <c r="A1320">
        <v>1393</v>
      </c>
      <c r="B1320" s="11">
        <f t="shared" si="20"/>
        <v>51315</v>
      </c>
      <c r="C1320" s="16">
        <v>513150</v>
      </c>
      <c r="D1320" s="17">
        <v>0</v>
      </c>
      <c r="E1320" s="17">
        <v>0</v>
      </c>
      <c r="F1320" s="17">
        <v>45</v>
      </c>
      <c r="G1320" s="17">
        <v>72</v>
      </c>
      <c r="H1320" s="13" t="str" cm="1">
        <f t="array" ref="H1320">_xlfn.IFS(G1320&lt;=20,"0-20",G1320&lt;=30,"20-30",G1320&lt;=40,"30-40",G1320&lt;=50,"50-60",G1320&lt;=60,"60-70",G1320&lt;=70,"70-80",G1320&lt;=80,"80-90")</f>
        <v>80-90</v>
      </c>
      <c r="I1320" s="17">
        <v>2285</v>
      </c>
      <c r="J1320" s="13" t="str" cm="1">
        <f t="array" ref="J1320">_xlfn.IFS(K1320=1,"Divorciado",L1320=1,"Casado",M1320=1,"Solteiro",N1320=1,"Juntos",O1320=1,"Viuvo")</f>
        <v>Juntos</v>
      </c>
      <c r="K1320" s="17">
        <v>0</v>
      </c>
      <c r="L1320" s="17">
        <v>0</v>
      </c>
      <c r="M1320" s="17">
        <v>0</v>
      </c>
      <c r="N1320" s="17">
        <v>1</v>
      </c>
      <c r="O1320" s="17">
        <v>0</v>
      </c>
      <c r="P1320" s="17">
        <v>0</v>
      </c>
      <c r="Q1320" s="17">
        <v>0</v>
      </c>
      <c r="R1320" s="17">
        <v>1</v>
      </c>
      <c r="S1320" s="17">
        <v>0</v>
      </c>
      <c r="T1320" s="17">
        <v>0</v>
      </c>
      <c r="U1320" s="17">
        <v>68</v>
      </c>
      <c r="V1320" s="13" t="str" cm="1">
        <f t="array" ref="V1320">_xlfn.IFS(U1320&lt;=250,"0-R$250",U1320&lt;=500,"251-R$500",U1320&lt;=750,"501-R$750",U1320&lt;=1000,"751-R$1000",U1320&lt;=1250,"1001-R$1250",U1320&lt;=1500,"1251-R$1500")</f>
        <v>0-R$250</v>
      </c>
      <c r="W1320" s="17">
        <v>28</v>
      </c>
      <c r="X1320" s="13" t="str" cm="1">
        <f t="array" ref="X1320">_xlfn.IFS(W1320 = 0, "0", W1320&lt;=20, "até R$20",W1320&lt;=40, "21 - R$40",W1320&lt;=60, "41- R$60",W1320&lt;=80, "61 - R$80", W1320&lt;=100, "81 - R$100",W1320&lt;=120, "101 - R$120",W1320&lt;=140, "121 - R$140", W1320&lt;=160, "141- R$160", W1320&lt;=180, "161 - R$180", W1320&lt;=200, "181-R$194")</f>
        <v>21 - R$40</v>
      </c>
      <c r="Y1320" s="17">
        <v>39</v>
      </c>
      <c r="Z1320" s="17">
        <v>16</v>
      </c>
      <c r="AA1320" s="17">
        <v>30</v>
      </c>
      <c r="AB1320" s="17">
        <v>41</v>
      </c>
      <c r="AC1320" s="17">
        <v>1</v>
      </c>
      <c r="AD1320" s="17">
        <v>2</v>
      </c>
      <c r="AE1320" s="17">
        <v>2</v>
      </c>
      <c r="AF1320" s="17">
        <v>5</v>
      </c>
      <c r="AG1320" s="17">
        <v>2</v>
      </c>
      <c r="AH1320" s="17">
        <v>0</v>
      </c>
      <c r="AI1320" s="17">
        <v>0</v>
      </c>
      <c r="AJ1320" s="17">
        <v>0</v>
      </c>
      <c r="AK1320" s="17">
        <v>0</v>
      </c>
      <c r="AL1320" s="17">
        <v>0</v>
      </c>
      <c r="AM1320" s="17">
        <v>0</v>
      </c>
      <c r="AN1320" s="17">
        <v>0</v>
      </c>
      <c r="AO1320" s="18">
        <v>0</v>
      </c>
      <c r="AP1320" s="17">
        <v>3</v>
      </c>
      <c r="AQ1320" s="17">
        <v>11</v>
      </c>
      <c r="AR1320" s="19">
        <v>140</v>
      </c>
      <c r="AS1320" s="19">
        <v>181</v>
      </c>
    </row>
    <row r="1321" spans="1:45" x14ac:dyDescent="0.25">
      <c r="A1321">
        <v>1454</v>
      </c>
      <c r="B1321" s="11">
        <f t="shared" si="20"/>
        <v>41020</v>
      </c>
      <c r="C1321" s="12">
        <v>410200</v>
      </c>
      <c r="D1321" s="13">
        <v>0</v>
      </c>
      <c r="E1321" s="13">
        <v>0</v>
      </c>
      <c r="F1321" s="13">
        <v>68</v>
      </c>
      <c r="G1321" s="13">
        <v>33</v>
      </c>
      <c r="H1321" s="13" t="str" cm="1">
        <f t="array" ref="H1321">_xlfn.IFS(G1321&lt;=20,"0-20",G1321&lt;=30,"20-30",G1321&lt;=40,"30-40",G1321&lt;=50,"50-60",G1321&lt;=60,"60-70",G1321&lt;=70,"70-80",G1321&lt;=80,"80-90")</f>
        <v>30-40</v>
      </c>
      <c r="I1321" s="13">
        <v>2403</v>
      </c>
      <c r="J1321" s="13" t="str" cm="1">
        <f t="array" ref="J1321">_xlfn.IFS(K1321=1,"Divorciado",L1321=1,"Casado",M1321=1,"Solteiro",N1321=1,"Juntos",O1321=1,"Viuvo")</f>
        <v>Solteiro</v>
      </c>
      <c r="K1321" s="13">
        <v>0</v>
      </c>
      <c r="L1321" s="13">
        <v>0</v>
      </c>
      <c r="M1321" s="13">
        <v>1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1</v>
      </c>
      <c r="T1321" s="13">
        <v>0</v>
      </c>
      <c r="U1321" s="13">
        <v>112</v>
      </c>
      <c r="V1321" s="13" t="str" cm="1">
        <f t="array" ref="V1321">_xlfn.IFS(U1321&lt;=250,"0-R$250",U1321&lt;=500,"251-R$500",U1321&lt;=750,"501-R$750",U1321&lt;=1000,"751-R$1000",U1321&lt;=1250,"1001-R$1250",U1321&lt;=1500,"1251-R$1500")</f>
        <v>0-R$250</v>
      </c>
      <c r="W1321" s="13">
        <v>1</v>
      </c>
      <c r="X1321" s="13" t="str" cm="1">
        <f t="array" ref="X1321">_xlfn.IFS(W1321 = 0, "0", W1321&lt;=20, "até R$20",W1321&lt;=40, "21 - R$40",W1321&lt;=60, "41- R$60",W1321&lt;=80, "61 - R$80", W1321&lt;=100, "81 - R$100",W1321&lt;=120, "101 - R$120",W1321&lt;=140, "121 - R$140", W1321&lt;=160, "141- R$160", W1321&lt;=180, "161 - R$180", W1321&lt;=200, "181-R$194")</f>
        <v>até R$20</v>
      </c>
      <c r="Y1321" s="13">
        <v>54</v>
      </c>
      <c r="Z1321" s="13">
        <v>7</v>
      </c>
      <c r="AA1321" s="13">
        <v>7</v>
      </c>
      <c r="AB1321" s="13">
        <v>36</v>
      </c>
      <c r="AC1321" s="13">
        <v>1</v>
      </c>
      <c r="AD1321" s="13">
        <v>3</v>
      </c>
      <c r="AE1321" s="13">
        <v>2</v>
      </c>
      <c r="AF1321" s="13">
        <v>4</v>
      </c>
      <c r="AG1321" s="13">
        <v>3</v>
      </c>
      <c r="AH1321" s="13">
        <v>0</v>
      </c>
      <c r="AI1321" s="13">
        <v>0</v>
      </c>
      <c r="AJ1321" s="13">
        <v>0</v>
      </c>
      <c r="AK1321" s="13">
        <v>0</v>
      </c>
      <c r="AL1321" s="13">
        <v>0</v>
      </c>
      <c r="AM1321" s="13">
        <v>0</v>
      </c>
      <c r="AN1321" s="13">
        <v>0</v>
      </c>
      <c r="AO1321" s="14">
        <v>0</v>
      </c>
      <c r="AP1321" s="13">
        <v>3</v>
      </c>
      <c r="AQ1321" s="13">
        <v>11</v>
      </c>
      <c r="AR1321" s="15">
        <v>145</v>
      </c>
      <c r="AS1321" s="15">
        <v>181</v>
      </c>
    </row>
    <row r="1322" spans="1:45" x14ac:dyDescent="0.25">
      <c r="A1322">
        <v>2173</v>
      </c>
      <c r="B1322" s="11">
        <f t="shared" si="20"/>
        <v>35893</v>
      </c>
      <c r="C1322" s="16">
        <v>358930</v>
      </c>
      <c r="D1322" s="17">
        <v>1</v>
      </c>
      <c r="E1322" s="17">
        <v>1</v>
      </c>
      <c r="F1322" s="17">
        <v>80</v>
      </c>
      <c r="G1322" s="17">
        <v>52</v>
      </c>
      <c r="H1322" s="13" t="str" cm="1">
        <f t="array" ref="H1322">_xlfn.IFS(G1322&lt;=20,"0-20",G1322&lt;=30,"20-30",G1322&lt;=40,"30-40",G1322&lt;=50,"50-60",G1322&lt;=60,"60-70",G1322&lt;=70,"70-80",G1322&lt;=80,"80-90")</f>
        <v>60-70</v>
      </c>
      <c r="I1322" s="17">
        <v>2781</v>
      </c>
      <c r="J1322" s="13" t="str" cm="1">
        <f t="array" ref="J1322">_xlfn.IFS(K1322=1,"Divorciado",L1322=1,"Casado",M1322=1,"Solteiro",N1322=1,"Juntos",O1322=1,"Viuvo")</f>
        <v>Solteiro</v>
      </c>
      <c r="K1322" s="17">
        <v>0</v>
      </c>
      <c r="L1322" s="17">
        <v>0</v>
      </c>
      <c r="M1322" s="17">
        <v>1</v>
      </c>
      <c r="N1322" s="17">
        <v>0</v>
      </c>
      <c r="O1322" s="17">
        <v>0</v>
      </c>
      <c r="P1322" s="17">
        <v>0</v>
      </c>
      <c r="Q1322" s="17">
        <v>0</v>
      </c>
      <c r="R1322" s="17">
        <v>1</v>
      </c>
      <c r="S1322" s="17">
        <v>0</v>
      </c>
      <c r="T1322" s="17">
        <v>0</v>
      </c>
      <c r="U1322" s="17">
        <v>158</v>
      </c>
      <c r="V1322" s="13" t="str" cm="1">
        <f t="array" ref="V1322">_xlfn.IFS(U1322&lt;=250,"0-R$250",U1322&lt;=500,"251-R$500",U1322&lt;=750,"501-R$750",U1322&lt;=1000,"751-R$1000",U1322&lt;=1250,"1001-R$1250",U1322&lt;=1500,"1251-R$1500")</f>
        <v>0-R$250</v>
      </c>
      <c r="W1322" s="17">
        <v>0</v>
      </c>
      <c r="X1322" s="13" t="str" cm="1">
        <f t="array" ref="X1322">_xlfn.IFS(W1322 = 0, "0", W1322&lt;=20, "até R$20",W1322&lt;=40, "21 - R$40",W1322&lt;=60, "41- R$60",W1322&lt;=80, "61 - R$80", W1322&lt;=100, "81 - R$100",W1322&lt;=120, "101 - R$120",W1322&lt;=140, "121 - R$140", W1322&lt;=160, "141- R$160", W1322&lt;=180, "161 - R$180", W1322&lt;=200, "181-R$194")</f>
        <v>0</v>
      </c>
      <c r="Y1322" s="17">
        <v>23</v>
      </c>
      <c r="Z1322" s="17">
        <v>0</v>
      </c>
      <c r="AA1322" s="17">
        <v>0</v>
      </c>
      <c r="AB1322" s="17">
        <v>18</v>
      </c>
      <c r="AC1322" s="17">
        <v>6</v>
      </c>
      <c r="AD1322" s="17">
        <v>3</v>
      </c>
      <c r="AE1322" s="17">
        <v>1</v>
      </c>
      <c r="AF1322" s="17">
        <v>5</v>
      </c>
      <c r="AG1322" s="17">
        <v>8</v>
      </c>
      <c r="AH1322" s="17">
        <v>0</v>
      </c>
      <c r="AI1322" s="17">
        <v>0</v>
      </c>
      <c r="AJ1322" s="17">
        <v>0</v>
      </c>
      <c r="AK1322" s="17">
        <v>0</v>
      </c>
      <c r="AL1322" s="17">
        <v>0</v>
      </c>
      <c r="AM1322" s="17">
        <v>0</v>
      </c>
      <c r="AN1322" s="17">
        <v>0</v>
      </c>
      <c r="AO1322" s="18">
        <v>0</v>
      </c>
      <c r="AP1322" s="17">
        <v>3</v>
      </c>
      <c r="AQ1322" s="17">
        <v>11</v>
      </c>
      <c r="AR1322" s="19">
        <v>163</v>
      </c>
      <c r="AS1322" s="19">
        <v>181</v>
      </c>
    </row>
    <row r="1323" spans="1:45" x14ac:dyDescent="0.25">
      <c r="A1323">
        <v>98</v>
      </c>
      <c r="B1323" s="11">
        <f t="shared" si="20"/>
        <v>49096</v>
      </c>
      <c r="C1323" s="12">
        <v>490960</v>
      </c>
      <c r="D1323" s="13">
        <v>1</v>
      </c>
      <c r="E1323" s="13">
        <v>1</v>
      </c>
      <c r="F1323" s="13">
        <v>15</v>
      </c>
      <c r="G1323" s="13">
        <v>56</v>
      </c>
      <c r="H1323" s="13" t="str" cm="1">
        <f t="array" ref="H1323">_xlfn.IFS(G1323&lt;=20,"0-20",G1323&lt;=30,"20-30",G1323&lt;=40,"30-40",G1323&lt;=50,"50-60",G1323&lt;=60,"60-70",G1323&lt;=70,"70-80",G1323&lt;=80,"80-90")</f>
        <v>60-70</v>
      </c>
      <c r="I1323" s="13">
        <v>2437</v>
      </c>
      <c r="J1323" s="13" t="str" cm="1">
        <f t="array" ref="J1323">_xlfn.IFS(K1323=1,"Divorciado",L1323=1,"Casado",M1323=1,"Solteiro",N1323=1,"Juntos",O1323=1,"Viuvo")</f>
        <v>Casado</v>
      </c>
      <c r="K1323" s="13">
        <v>0</v>
      </c>
      <c r="L1323" s="13">
        <v>1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1</v>
      </c>
      <c r="S1323" s="13">
        <v>0</v>
      </c>
      <c r="T1323" s="13">
        <v>0</v>
      </c>
      <c r="U1323" s="13">
        <v>144</v>
      </c>
      <c r="V1323" s="13" t="str" cm="1">
        <f t="array" ref="V1323">_xlfn.IFS(U1323&lt;=250,"0-R$250",U1323&lt;=500,"251-R$500",U1323&lt;=750,"501-R$750",U1323&lt;=1000,"751-R$1000",U1323&lt;=1250,"1001-R$1250",U1323&lt;=1500,"1251-R$1500")</f>
        <v>0-R$250</v>
      </c>
      <c r="W1323" s="13">
        <v>1</v>
      </c>
      <c r="X1323" s="13" t="str" cm="1">
        <f t="array" ref="X1323">_xlfn.IFS(W1323 = 0, "0", W1323&lt;=20, "até R$20",W1323&lt;=40, "21 - R$40",W1323&lt;=60, "41- R$60",W1323&lt;=80, "61 - R$80", W1323&lt;=100, "81 - R$100",W1323&lt;=120, "101 - R$120",W1323&lt;=140, "121 - R$140", W1323&lt;=160, "141- R$160", W1323&lt;=180, "161 - R$180", W1323&lt;=200, "181-R$194")</f>
        <v>até R$20</v>
      </c>
      <c r="Y1323" s="13">
        <v>32</v>
      </c>
      <c r="Z1323" s="13">
        <v>2</v>
      </c>
      <c r="AA1323" s="13">
        <v>1</v>
      </c>
      <c r="AB1323" s="13">
        <v>7</v>
      </c>
      <c r="AC1323" s="13">
        <v>4</v>
      </c>
      <c r="AD1323" s="13">
        <v>4</v>
      </c>
      <c r="AE1323" s="13">
        <v>1</v>
      </c>
      <c r="AF1323" s="13">
        <v>4</v>
      </c>
      <c r="AG1323" s="13">
        <v>7</v>
      </c>
      <c r="AH1323" s="13">
        <v>0</v>
      </c>
      <c r="AI1323" s="13">
        <v>0</v>
      </c>
      <c r="AJ1323" s="13">
        <v>0</v>
      </c>
      <c r="AK1323" s="13">
        <v>0</v>
      </c>
      <c r="AL1323" s="13">
        <v>0</v>
      </c>
      <c r="AM1323" s="13">
        <v>0</v>
      </c>
      <c r="AN1323" s="13">
        <v>0</v>
      </c>
      <c r="AO1323" s="14">
        <v>0</v>
      </c>
      <c r="AP1323" s="13">
        <v>3</v>
      </c>
      <c r="AQ1323" s="13">
        <v>11</v>
      </c>
      <c r="AR1323" s="15">
        <v>173</v>
      </c>
      <c r="AS1323" s="15">
        <v>180</v>
      </c>
    </row>
    <row r="1324" spans="1:45" x14ac:dyDescent="0.25">
      <c r="A1324">
        <v>651</v>
      </c>
      <c r="B1324" s="11">
        <f t="shared" si="20"/>
        <v>54690</v>
      </c>
      <c r="C1324" s="16">
        <v>546900</v>
      </c>
      <c r="D1324" s="17">
        <v>1</v>
      </c>
      <c r="E1324" s="17">
        <v>1</v>
      </c>
      <c r="F1324" s="17">
        <v>76</v>
      </c>
      <c r="G1324" s="17">
        <v>49</v>
      </c>
      <c r="H1324" s="13" t="str" cm="1">
        <f t="array" ref="H1324">_xlfn.IFS(G1324&lt;=20,"0-20",G1324&lt;=30,"20-30",G1324&lt;=40,"30-40",G1324&lt;=50,"50-60",G1324&lt;=60,"60-70",G1324&lt;=70,"70-80",G1324&lt;=80,"80-90")</f>
        <v>50-60</v>
      </c>
      <c r="I1324" s="17">
        <v>2393</v>
      </c>
      <c r="J1324" s="13" t="str" cm="1">
        <f t="array" ref="J1324">_xlfn.IFS(K1324=1,"Divorciado",L1324=1,"Casado",M1324=1,"Solteiro",N1324=1,"Juntos",O1324=1,"Viuvo")</f>
        <v>Casado</v>
      </c>
      <c r="K1324" s="17">
        <v>0</v>
      </c>
      <c r="L1324" s="17">
        <v>1</v>
      </c>
      <c r="M1324" s="17">
        <v>0</v>
      </c>
      <c r="N1324" s="17">
        <v>0</v>
      </c>
      <c r="O1324" s="17">
        <v>0</v>
      </c>
      <c r="P1324" s="17">
        <v>1</v>
      </c>
      <c r="Q1324" s="17">
        <v>0</v>
      </c>
      <c r="R1324" s="17">
        <v>0</v>
      </c>
      <c r="S1324" s="17">
        <v>0</v>
      </c>
      <c r="T1324" s="17">
        <v>0</v>
      </c>
      <c r="U1324" s="17">
        <v>111</v>
      </c>
      <c r="V1324" s="13" t="str" cm="1">
        <f t="array" ref="V1324">_xlfn.IFS(U1324&lt;=250,"0-R$250",U1324&lt;=500,"251-R$500",U1324&lt;=750,"501-R$750",U1324&lt;=1000,"751-R$1000",U1324&lt;=1250,"1001-R$1250",U1324&lt;=1500,"1251-R$1500")</f>
        <v>0-R$250</v>
      </c>
      <c r="W1324" s="17">
        <v>16</v>
      </c>
      <c r="X1324" s="13" t="str" cm="1">
        <f t="array" ref="X1324">_xlfn.IFS(W1324 = 0, "0", W1324&lt;=20, "até R$20",W1324&lt;=40, "21 - R$40",W1324&lt;=60, "41- R$60",W1324&lt;=80, "61 - R$80", W1324&lt;=100, "81 - R$100",W1324&lt;=120, "101 - R$120",W1324&lt;=140, "121 - R$140", W1324&lt;=160, "141- R$160", W1324&lt;=180, "161 - R$180", W1324&lt;=200, "181-R$194")</f>
        <v>até R$20</v>
      </c>
      <c r="Y1324" s="17">
        <v>37</v>
      </c>
      <c r="Z1324" s="17">
        <v>7</v>
      </c>
      <c r="AA1324" s="17">
        <v>9</v>
      </c>
      <c r="AB1324" s="17">
        <v>18</v>
      </c>
      <c r="AC1324" s="17">
        <v>3</v>
      </c>
      <c r="AD1324" s="17">
        <v>3</v>
      </c>
      <c r="AE1324" s="17">
        <v>1</v>
      </c>
      <c r="AF1324" s="17">
        <v>5</v>
      </c>
      <c r="AG1324" s="17">
        <v>3</v>
      </c>
      <c r="AH1324" s="17">
        <v>0</v>
      </c>
      <c r="AI1324" s="17">
        <v>0</v>
      </c>
      <c r="AJ1324" s="17">
        <v>0</v>
      </c>
      <c r="AK1324" s="17">
        <v>0</v>
      </c>
      <c r="AL1324" s="17">
        <v>0</v>
      </c>
      <c r="AM1324" s="17">
        <v>0</v>
      </c>
      <c r="AN1324" s="17">
        <v>0</v>
      </c>
      <c r="AO1324" s="18">
        <v>0</v>
      </c>
      <c r="AP1324" s="17">
        <v>3</v>
      </c>
      <c r="AQ1324" s="17">
        <v>11</v>
      </c>
      <c r="AR1324" s="19">
        <v>162</v>
      </c>
      <c r="AS1324" s="19">
        <v>180</v>
      </c>
    </row>
    <row r="1325" spans="1:45" x14ac:dyDescent="0.25">
      <c r="A1325">
        <v>1949</v>
      </c>
      <c r="B1325" s="11">
        <f t="shared" si="20"/>
        <v>54690</v>
      </c>
      <c r="C1325" s="16">
        <v>546900</v>
      </c>
      <c r="D1325" s="17">
        <v>1</v>
      </c>
      <c r="E1325" s="17">
        <v>1</v>
      </c>
      <c r="F1325" s="17">
        <v>76</v>
      </c>
      <c r="G1325" s="17">
        <v>49</v>
      </c>
      <c r="H1325" s="13" t="str" cm="1">
        <f t="array" ref="H1325">_xlfn.IFS(G1325&lt;=20,"0-20",G1325&lt;=30,"20-30",G1325&lt;=40,"30-40",G1325&lt;=50,"50-60",G1325&lt;=60,"60-70",G1325&lt;=70,"70-80",G1325&lt;=80,"80-90")</f>
        <v>50-60</v>
      </c>
      <c r="I1325" s="17">
        <v>2393</v>
      </c>
      <c r="J1325" s="13" t="str" cm="1">
        <f t="array" ref="J1325">_xlfn.IFS(K1325=1,"Divorciado",L1325=1,"Casado",M1325=1,"Solteiro",N1325=1,"Juntos",O1325=1,"Viuvo")</f>
        <v>Casado</v>
      </c>
      <c r="K1325" s="17">
        <v>0</v>
      </c>
      <c r="L1325" s="17">
        <v>1</v>
      </c>
      <c r="M1325" s="17">
        <v>0</v>
      </c>
      <c r="N1325" s="17">
        <v>0</v>
      </c>
      <c r="O1325" s="17">
        <v>0</v>
      </c>
      <c r="P1325" s="17">
        <v>1</v>
      </c>
      <c r="Q1325" s="17">
        <v>0</v>
      </c>
      <c r="R1325" s="17">
        <v>0</v>
      </c>
      <c r="S1325" s="17">
        <v>0</v>
      </c>
      <c r="T1325" s="17">
        <v>0</v>
      </c>
      <c r="U1325" s="17">
        <v>111</v>
      </c>
      <c r="V1325" s="13" t="str" cm="1">
        <f t="array" ref="V1325">_xlfn.IFS(U1325&lt;=250,"0-R$250",U1325&lt;=500,"251-R$500",U1325&lt;=750,"501-R$750",U1325&lt;=1000,"751-R$1000",U1325&lt;=1250,"1001-R$1250",U1325&lt;=1500,"1251-R$1500")</f>
        <v>0-R$250</v>
      </c>
      <c r="W1325" s="17">
        <v>16</v>
      </c>
      <c r="X1325" s="13" t="str" cm="1">
        <f t="array" ref="X1325">_xlfn.IFS(W1325 = 0, "0", W1325&lt;=20, "até R$20",W1325&lt;=40, "21 - R$40",W1325&lt;=60, "41- R$60",W1325&lt;=80, "61 - R$80", W1325&lt;=100, "81 - R$100",W1325&lt;=120, "101 - R$120",W1325&lt;=140, "121 - R$140", W1325&lt;=160, "141- R$160", W1325&lt;=180, "161 - R$180", W1325&lt;=200, "181-R$194")</f>
        <v>até R$20</v>
      </c>
      <c r="Y1325" s="17">
        <v>37</v>
      </c>
      <c r="Z1325" s="17">
        <v>7</v>
      </c>
      <c r="AA1325" s="17">
        <v>9</v>
      </c>
      <c r="AB1325" s="17">
        <v>18</v>
      </c>
      <c r="AC1325" s="17">
        <v>3</v>
      </c>
      <c r="AD1325" s="17">
        <v>3</v>
      </c>
      <c r="AE1325" s="17">
        <v>1</v>
      </c>
      <c r="AF1325" s="17">
        <v>5</v>
      </c>
      <c r="AG1325" s="17">
        <v>3</v>
      </c>
      <c r="AH1325" s="17">
        <v>0</v>
      </c>
      <c r="AI1325" s="17">
        <v>0</v>
      </c>
      <c r="AJ1325" s="17">
        <v>0</v>
      </c>
      <c r="AK1325" s="17">
        <v>0</v>
      </c>
      <c r="AL1325" s="17">
        <v>0</v>
      </c>
      <c r="AM1325" s="17">
        <v>0</v>
      </c>
      <c r="AN1325" s="17">
        <v>0</v>
      </c>
      <c r="AO1325" s="18">
        <v>0</v>
      </c>
      <c r="AP1325" s="17">
        <v>3</v>
      </c>
      <c r="AQ1325" s="17">
        <v>11</v>
      </c>
      <c r="AR1325" s="19">
        <v>162</v>
      </c>
      <c r="AS1325" s="19">
        <v>180</v>
      </c>
    </row>
    <row r="1326" spans="1:45" x14ac:dyDescent="0.25">
      <c r="A1326">
        <v>2020</v>
      </c>
      <c r="B1326" s="11">
        <f t="shared" si="20"/>
        <v>43020</v>
      </c>
      <c r="C1326" s="12">
        <v>430200</v>
      </c>
      <c r="D1326" s="13">
        <v>1</v>
      </c>
      <c r="E1326" s="13">
        <v>0</v>
      </c>
      <c r="F1326" s="13">
        <v>79</v>
      </c>
      <c r="G1326" s="13">
        <v>50</v>
      </c>
      <c r="H1326" s="13" t="str" cm="1">
        <f t="array" ref="H1326">_xlfn.IFS(G1326&lt;=20,"0-20",G1326&lt;=30,"20-30",G1326&lt;=40,"30-40",G1326&lt;=50,"50-60",G1326&lt;=60,"60-70",G1326&lt;=70,"70-80",G1326&lt;=80,"80-90")</f>
        <v>50-60</v>
      </c>
      <c r="I1326" s="13">
        <v>2370</v>
      </c>
      <c r="J1326" s="13" t="str" cm="1">
        <f t="array" ref="J1326">_xlfn.IFS(K1326=1,"Divorciado",L1326=1,"Casado",M1326=1,"Solteiro",N1326=1,"Juntos",O1326=1,"Viuvo")</f>
        <v>Solteiro</v>
      </c>
      <c r="K1326" s="13">
        <v>0</v>
      </c>
      <c r="L1326" s="13">
        <v>0</v>
      </c>
      <c r="M1326" s="13">
        <v>1</v>
      </c>
      <c r="N1326" s="13">
        <v>0</v>
      </c>
      <c r="O1326" s="13">
        <v>0</v>
      </c>
      <c r="P1326" s="13">
        <v>0</v>
      </c>
      <c r="Q1326" s="13">
        <v>0</v>
      </c>
      <c r="R1326" s="13">
        <v>1</v>
      </c>
      <c r="S1326" s="13">
        <v>0</v>
      </c>
      <c r="T1326" s="13">
        <v>0</v>
      </c>
      <c r="U1326" s="13">
        <v>45</v>
      </c>
      <c r="V1326" s="13" t="str" cm="1">
        <f t="array" ref="V1326">_xlfn.IFS(U1326&lt;=250,"0-R$250",U1326&lt;=500,"251-R$500",U1326&lt;=750,"501-R$750",U1326&lt;=1000,"751-R$1000",U1326&lt;=1250,"1001-R$1250",U1326&lt;=1500,"1251-R$1500")</f>
        <v>0-R$250</v>
      </c>
      <c r="W1326" s="13">
        <v>7</v>
      </c>
      <c r="X1326" s="13" t="str" cm="1">
        <f t="array" ref="X1326">_xlfn.IFS(W1326 = 0, "0", W1326&lt;=20, "até R$20",W1326&lt;=40, "21 - R$40",W1326&lt;=60, "41- R$60",W1326&lt;=80, "61 - R$80", W1326&lt;=100, "81 - R$100",W1326&lt;=120, "101 - R$120",W1326&lt;=140, "121 - R$140", W1326&lt;=160, "141- R$160", W1326&lt;=180, "161 - R$180", W1326&lt;=200, "181-R$194")</f>
        <v>até R$20</v>
      </c>
      <c r="Y1326" s="13">
        <v>99</v>
      </c>
      <c r="Z1326" s="13">
        <v>4</v>
      </c>
      <c r="AA1326" s="13">
        <v>25</v>
      </c>
      <c r="AB1326" s="13">
        <v>43</v>
      </c>
      <c r="AC1326" s="13">
        <v>3</v>
      </c>
      <c r="AD1326" s="13">
        <v>4</v>
      </c>
      <c r="AE1326" s="13">
        <v>1</v>
      </c>
      <c r="AF1326" s="13">
        <v>4</v>
      </c>
      <c r="AG1326" s="13">
        <v>6</v>
      </c>
      <c r="AH1326" s="13">
        <v>0</v>
      </c>
      <c r="AI1326" s="13">
        <v>0</v>
      </c>
      <c r="AJ1326" s="13">
        <v>0</v>
      </c>
      <c r="AK1326" s="13">
        <v>0</v>
      </c>
      <c r="AL1326" s="13">
        <v>0</v>
      </c>
      <c r="AM1326" s="13">
        <v>0</v>
      </c>
      <c r="AN1326" s="13">
        <v>0</v>
      </c>
      <c r="AO1326" s="14">
        <v>0</v>
      </c>
      <c r="AP1326" s="13">
        <v>3</v>
      </c>
      <c r="AQ1326" s="13">
        <v>11</v>
      </c>
      <c r="AR1326" s="15">
        <v>137</v>
      </c>
      <c r="AS1326" s="15">
        <v>180</v>
      </c>
    </row>
    <row r="1327" spans="1:45" x14ac:dyDescent="0.25">
      <c r="A1327">
        <v>2106</v>
      </c>
      <c r="B1327" s="11">
        <f t="shared" si="20"/>
        <v>62637</v>
      </c>
      <c r="C1327" s="12">
        <v>626370</v>
      </c>
      <c r="D1327" s="13">
        <v>0</v>
      </c>
      <c r="E1327" s="13">
        <v>1</v>
      </c>
      <c r="F1327" s="13">
        <v>76</v>
      </c>
      <c r="G1327" s="13">
        <v>66</v>
      </c>
      <c r="H1327" s="13" t="str" cm="1">
        <f t="array" ref="H1327">_xlfn.IFS(G1327&lt;=20,"0-20",G1327&lt;=30,"20-30",G1327&lt;=40,"30-40",G1327&lt;=50,"50-60",G1327&lt;=60,"60-70",G1327&lt;=70,"70-80",G1327&lt;=80,"80-90")</f>
        <v>70-80</v>
      </c>
      <c r="I1327" s="13">
        <v>2279</v>
      </c>
      <c r="J1327" s="13" t="str" cm="1">
        <f t="array" ref="J1327">_xlfn.IFS(K1327=1,"Divorciado",L1327=1,"Casado",M1327=1,"Solteiro",N1327=1,"Juntos",O1327=1,"Viuvo")</f>
        <v>Divorciado</v>
      </c>
      <c r="K1327" s="13">
        <v>1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1</v>
      </c>
      <c r="T1327" s="13">
        <v>0</v>
      </c>
      <c r="U1327" s="13">
        <v>104</v>
      </c>
      <c r="V1327" s="13" t="str" cm="1">
        <f t="array" ref="V1327">_xlfn.IFS(U1327&lt;=250,"0-R$250",U1327&lt;=500,"251-R$500",U1327&lt;=750,"501-R$750",U1327&lt;=1000,"751-R$1000",U1327&lt;=1250,"1001-R$1250",U1327&lt;=1500,"1251-R$1500")</f>
        <v>0-R$250</v>
      </c>
      <c r="W1327" s="13">
        <v>12</v>
      </c>
      <c r="X1327" s="13" t="str" cm="1">
        <f t="array" ref="X1327">_xlfn.IFS(W1327 = 0, "0", W1327&lt;=20, "até R$20",W1327&lt;=40, "21 - R$40",W1327&lt;=60, "41- R$60",W1327&lt;=80, "61 - R$80", W1327&lt;=100, "81 - R$100",W1327&lt;=120, "101 - R$120",W1327&lt;=140, "121 - R$140", W1327&lt;=160, "141- R$160", W1327&lt;=180, "161 - R$180", W1327&lt;=200, "181-R$194")</f>
        <v>até R$20</v>
      </c>
      <c r="Y1327" s="13">
        <v>48</v>
      </c>
      <c r="Z1327" s="13">
        <v>4</v>
      </c>
      <c r="AA1327" s="13">
        <v>12</v>
      </c>
      <c r="AB1327" s="13">
        <v>5</v>
      </c>
      <c r="AC1327" s="13">
        <v>1</v>
      </c>
      <c r="AD1327" s="13">
        <v>2</v>
      </c>
      <c r="AE1327" s="13">
        <v>2</v>
      </c>
      <c r="AF1327" s="13">
        <v>5</v>
      </c>
      <c r="AG1327" s="13">
        <v>2</v>
      </c>
      <c r="AH1327" s="13">
        <v>0</v>
      </c>
      <c r="AI1327" s="13">
        <v>0</v>
      </c>
      <c r="AJ1327" s="13">
        <v>0</v>
      </c>
      <c r="AK1327" s="13">
        <v>0</v>
      </c>
      <c r="AL1327" s="13">
        <v>0</v>
      </c>
      <c r="AM1327" s="13">
        <v>0</v>
      </c>
      <c r="AN1327" s="13">
        <v>0</v>
      </c>
      <c r="AO1327" s="14">
        <v>0</v>
      </c>
      <c r="AP1327" s="13">
        <v>3</v>
      </c>
      <c r="AQ1327" s="13">
        <v>11</v>
      </c>
      <c r="AR1327" s="15">
        <v>175</v>
      </c>
      <c r="AS1327" s="15">
        <v>180</v>
      </c>
    </row>
    <row r="1328" spans="1:45" x14ac:dyDescent="0.25">
      <c r="A1328">
        <v>138</v>
      </c>
      <c r="B1328" s="11">
        <f t="shared" si="20"/>
        <v>35688</v>
      </c>
      <c r="C1328" s="12">
        <v>356880</v>
      </c>
      <c r="D1328" s="13">
        <v>2</v>
      </c>
      <c r="E1328" s="13">
        <v>1</v>
      </c>
      <c r="F1328" s="13">
        <v>94</v>
      </c>
      <c r="G1328" s="13">
        <v>47</v>
      </c>
      <c r="H1328" s="13" t="str" cm="1">
        <f t="array" ref="H1328">_xlfn.IFS(G1328&lt;=20,"0-20",G1328&lt;=30,"20-30",G1328&lt;=40,"30-40",G1328&lt;=50,"50-60",G1328&lt;=60,"60-70",G1328&lt;=70,"70-80",G1328&lt;=80,"80-90")</f>
        <v>50-60</v>
      </c>
      <c r="I1328" s="13">
        <v>2835</v>
      </c>
      <c r="J1328" s="13" t="str" cm="1">
        <f t="array" ref="J1328">_xlfn.IFS(K1328=1,"Divorciado",L1328=1,"Casado",M1328=1,"Solteiro",N1328=1,"Juntos",O1328=1,"Viuvo")</f>
        <v>Casado</v>
      </c>
      <c r="K1328" s="13">
        <v>0</v>
      </c>
      <c r="L1328" s="13">
        <v>1</v>
      </c>
      <c r="M1328" s="13">
        <v>0</v>
      </c>
      <c r="N1328" s="13">
        <v>0</v>
      </c>
      <c r="O1328" s="13">
        <v>0</v>
      </c>
      <c r="P1328" s="13">
        <v>1</v>
      </c>
      <c r="Q1328" s="13">
        <v>0</v>
      </c>
      <c r="R1328" s="13">
        <v>0</v>
      </c>
      <c r="S1328" s="13">
        <v>0</v>
      </c>
      <c r="T1328" s="13">
        <v>0</v>
      </c>
      <c r="U1328" s="13">
        <v>73</v>
      </c>
      <c r="V1328" s="13" t="str" cm="1">
        <f t="array" ref="V1328">_xlfn.IFS(U1328&lt;=250,"0-R$250",U1328&lt;=500,"251-R$500",U1328&lt;=750,"501-R$750",U1328&lt;=1000,"751-R$1000",U1328&lt;=1250,"1001-R$1250",U1328&lt;=1500,"1251-R$1500")</f>
        <v>0-R$250</v>
      </c>
      <c r="W1328" s="13">
        <v>3</v>
      </c>
      <c r="X1328" s="13" t="str" cm="1">
        <f t="array" ref="X1328">_xlfn.IFS(W1328 = 0, "0", W1328&lt;=20, "até R$20",W1328&lt;=40, "21 - R$40",W1328&lt;=60, "41- R$60",W1328&lt;=80, "61 - R$80", W1328&lt;=100, "81 - R$100",W1328&lt;=120, "101 - R$120",W1328&lt;=140, "121 - R$140", W1328&lt;=160, "141- R$160", W1328&lt;=180, "161 - R$180", W1328&lt;=200, "181-R$194")</f>
        <v>até R$20</v>
      </c>
      <c r="Y1328" s="13">
        <v>90</v>
      </c>
      <c r="Z1328" s="13">
        <v>12</v>
      </c>
      <c r="AA1328" s="13">
        <v>1</v>
      </c>
      <c r="AB1328" s="13">
        <v>32</v>
      </c>
      <c r="AC1328" s="13">
        <v>7</v>
      </c>
      <c r="AD1328" s="13">
        <v>4</v>
      </c>
      <c r="AE1328" s="13">
        <v>1</v>
      </c>
      <c r="AF1328" s="13">
        <v>4</v>
      </c>
      <c r="AG1328" s="13">
        <v>8</v>
      </c>
      <c r="AH1328" s="13">
        <v>0</v>
      </c>
      <c r="AI1328" s="13">
        <v>0</v>
      </c>
      <c r="AJ1328" s="13">
        <v>0</v>
      </c>
      <c r="AK1328" s="13">
        <v>0</v>
      </c>
      <c r="AL1328" s="13">
        <v>0</v>
      </c>
      <c r="AM1328" s="13">
        <v>0</v>
      </c>
      <c r="AN1328" s="13">
        <v>0</v>
      </c>
      <c r="AO1328" s="14">
        <v>0</v>
      </c>
      <c r="AP1328" s="13">
        <v>3</v>
      </c>
      <c r="AQ1328" s="13">
        <v>11</v>
      </c>
      <c r="AR1328" s="15">
        <v>147</v>
      </c>
      <c r="AS1328" s="15">
        <v>179</v>
      </c>
    </row>
    <row r="1329" spans="1:45" x14ac:dyDescent="0.25">
      <c r="A1329">
        <v>367</v>
      </c>
      <c r="B1329" s="11">
        <f t="shared" si="20"/>
        <v>35688</v>
      </c>
      <c r="C1329" s="16">
        <v>356880</v>
      </c>
      <c r="D1329" s="17">
        <v>2</v>
      </c>
      <c r="E1329" s="17">
        <v>1</v>
      </c>
      <c r="F1329" s="17">
        <v>94</v>
      </c>
      <c r="G1329" s="17">
        <v>47</v>
      </c>
      <c r="H1329" s="13" t="str" cm="1">
        <f t="array" ref="H1329">_xlfn.IFS(G1329&lt;=20,"0-20",G1329&lt;=30,"20-30",G1329&lt;=40,"30-40",G1329&lt;=50,"50-60",G1329&lt;=60,"60-70",G1329&lt;=70,"70-80",G1329&lt;=80,"80-90")</f>
        <v>50-60</v>
      </c>
      <c r="I1329" s="17">
        <v>2835</v>
      </c>
      <c r="J1329" s="13" t="str" cm="1">
        <f t="array" ref="J1329">_xlfn.IFS(K1329=1,"Divorciado",L1329=1,"Casado",M1329=1,"Solteiro",N1329=1,"Juntos",O1329=1,"Viuvo")</f>
        <v>Casado</v>
      </c>
      <c r="K1329" s="17">
        <v>0</v>
      </c>
      <c r="L1329" s="17">
        <v>1</v>
      </c>
      <c r="M1329" s="17">
        <v>0</v>
      </c>
      <c r="N1329" s="17">
        <v>0</v>
      </c>
      <c r="O1329" s="17">
        <v>0</v>
      </c>
      <c r="P1329" s="17">
        <v>1</v>
      </c>
      <c r="Q1329" s="17">
        <v>0</v>
      </c>
      <c r="R1329" s="17">
        <v>0</v>
      </c>
      <c r="S1329" s="17">
        <v>0</v>
      </c>
      <c r="T1329" s="17">
        <v>0</v>
      </c>
      <c r="U1329" s="17">
        <v>73</v>
      </c>
      <c r="V1329" s="13" t="str" cm="1">
        <f t="array" ref="V1329">_xlfn.IFS(U1329&lt;=250,"0-R$250",U1329&lt;=500,"251-R$500",U1329&lt;=750,"501-R$750",U1329&lt;=1000,"751-R$1000",U1329&lt;=1250,"1001-R$1250",U1329&lt;=1500,"1251-R$1500")</f>
        <v>0-R$250</v>
      </c>
      <c r="W1329" s="17">
        <v>3</v>
      </c>
      <c r="X1329" s="13" t="str" cm="1">
        <f t="array" ref="X1329">_xlfn.IFS(W1329 = 0, "0", W1329&lt;=20, "até R$20",W1329&lt;=40, "21 - R$40",W1329&lt;=60, "41- R$60",W1329&lt;=80, "61 - R$80", W1329&lt;=100, "81 - R$100",W1329&lt;=120, "101 - R$120",W1329&lt;=140, "121 - R$140", W1329&lt;=160, "141- R$160", W1329&lt;=180, "161 - R$180", W1329&lt;=200, "181-R$194")</f>
        <v>até R$20</v>
      </c>
      <c r="Y1329" s="17">
        <v>90</v>
      </c>
      <c r="Z1329" s="17">
        <v>12</v>
      </c>
      <c r="AA1329" s="17">
        <v>1</v>
      </c>
      <c r="AB1329" s="17">
        <v>32</v>
      </c>
      <c r="AC1329" s="17">
        <v>7</v>
      </c>
      <c r="AD1329" s="17">
        <v>4</v>
      </c>
      <c r="AE1329" s="17">
        <v>1</v>
      </c>
      <c r="AF1329" s="17">
        <v>4</v>
      </c>
      <c r="AG1329" s="17">
        <v>8</v>
      </c>
      <c r="AH1329" s="17">
        <v>0</v>
      </c>
      <c r="AI1329" s="17">
        <v>0</v>
      </c>
      <c r="AJ1329" s="17">
        <v>0</v>
      </c>
      <c r="AK1329" s="17">
        <v>0</v>
      </c>
      <c r="AL1329" s="17">
        <v>0</v>
      </c>
      <c r="AM1329" s="17">
        <v>0</v>
      </c>
      <c r="AN1329" s="17">
        <v>0</v>
      </c>
      <c r="AO1329" s="18">
        <v>0</v>
      </c>
      <c r="AP1329" s="17">
        <v>3</v>
      </c>
      <c r="AQ1329" s="17">
        <v>11</v>
      </c>
      <c r="AR1329" s="19">
        <v>147</v>
      </c>
      <c r="AS1329" s="19">
        <v>179</v>
      </c>
    </row>
    <row r="1330" spans="1:45" x14ac:dyDescent="0.25">
      <c r="A1330">
        <v>1023</v>
      </c>
      <c r="B1330" s="11">
        <f t="shared" si="20"/>
        <v>8028</v>
      </c>
      <c r="C1330" s="16">
        <v>80280</v>
      </c>
      <c r="D1330" s="17">
        <v>0</v>
      </c>
      <c r="E1330" s="17">
        <v>0</v>
      </c>
      <c r="F1330" s="17">
        <v>62</v>
      </c>
      <c r="G1330" s="17">
        <v>29</v>
      </c>
      <c r="H1330" s="13" t="str" cm="1">
        <f t="array" ref="H1330">_xlfn.IFS(G1330&lt;=20,"0-20",G1330&lt;=30,"20-30",G1330&lt;=40,"30-40",G1330&lt;=50,"50-60",G1330&lt;=60,"60-70",G1330&lt;=70,"70-80",G1330&lt;=80,"80-90")</f>
        <v>20-30</v>
      </c>
      <c r="I1330" s="17">
        <v>2808</v>
      </c>
      <c r="J1330" s="13" t="str" cm="1">
        <f t="array" ref="J1330">_xlfn.IFS(K1330=1,"Divorciado",L1330=1,"Casado",M1330=1,"Solteiro",N1330=1,"Juntos",O1330=1,"Viuvo")</f>
        <v>Solteiro</v>
      </c>
      <c r="K1330" s="17">
        <v>0</v>
      </c>
      <c r="L1330" s="17">
        <v>0</v>
      </c>
      <c r="M1330" s="17">
        <v>1</v>
      </c>
      <c r="N1330" s="17">
        <v>0</v>
      </c>
      <c r="O1330" s="17">
        <v>0</v>
      </c>
      <c r="P1330" s="17">
        <v>0</v>
      </c>
      <c r="Q1330" s="17">
        <v>0</v>
      </c>
      <c r="R1330" s="17">
        <v>1</v>
      </c>
      <c r="S1330" s="17">
        <v>0</v>
      </c>
      <c r="T1330" s="17">
        <v>0</v>
      </c>
      <c r="U1330" s="17">
        <v>73</v>
      </c>
      <c r="V1330" s="13" t="str" cm="1">
        <f t="array" ref="V1330">_xlfn.IFS(U1330&lt;=250,"0-R$250",U1330&lt;=500,"251-R$500",U1330&lt;=750,"501-R$750",U1330&lt;=1000,"751-R$1000",U1330&lt;=1250,"1001-R$1250",U1330&lt;=1500,"1251-R$1500")</f>
        <v>0-R$250</v>
      </c>
      <c r="W1330" s="17">
        <v>18</v>
      </c>
      <c r="X1330" s="13" t="str" cm="1">
        <f t="array" ref="X1330">_xlfn.IFS(W1330 = 0, "0", W1330&lt;=20, "até R$20",W1330&lt;=40, "21 - R$40",W1330&lt;=60, "41- R$60",W1330&lt;=80, "61 - R$80", W1330&lt;=100, "81 - R$100",W1330&lt;=120, "101 - R$120",W1330&lt;=140, "121 - R$140", W1330&lt;=160, "141- R$160", W1330&lt;=180, "161 - R$180", W1330&lt;=200, "181-R$194")</f>
        <v>até R$20</v>
      </c>
      <c r="Y1330" s="17">
        <v>66</v>
      </c>
      <c r="Z1330" s="17">
        <v>7</v>
      </c>
      <c r="AA1330" s="17">
        <v>12</v>
      </c>
      <c r="AB1330" s="17">
        <v>2</v>
      </c>
      <c r="AC1330" s="17">
        <v>15</v>
      </c>
      <c r="AD1330" s="17">
        <v>0</v>
      </c>
      <c r="AE1330" s="17">
        <v>1</v>
      </c>
      <c r="AF1330" s="17">
        <v>0</v>
      </c>
      <c r="AG1330" s="17">
        <v>19</v>
      </c>
      <c r="AH1330" s="17">
        <v>0</v>
      </c>
      <c r="AI1330" s="17">
        <v>0</v>
      </c>
      <c r="AJ1330" s="17">
        <v>0</v>
      </c>
      <c r="AK1330" s="17">
        <v>0</v>
      </c>
      <c r="AL1330" s="17">
        <v>0</v>
      </c>
      <c r="AM1330" s="17">
        <v>0</v>
      </c>
      <c r="AN1330" s="17">
        <v>0</v>
      </c>
      <c r="AO1330" s="18">
        <v>0</v>
      </c>
      <c r="AP1330" s="17">
        <v>3</v>
      </c>
      <c r="AQ1330" s="17">
        <v>11</v>
      </c>
      <c r="AR1330" s="19">
        <v>174</v>
      </c>
      <c r="AS1330" s="19">
        <v>176</v>
      </c>
    </row>
    <row r="1331" spans="1:45" x14ac:dyDescent="0.25">
      <c r="A1331">
        <v>854</v>
      </c>
      <c r="B1331" s="11">
        <f t="shared" si="20"/>
        <v>42395</v>
      </c>
      <c r="C1331" s="12">
        <v>423950</v>
      </c>
      <c r="D1331" s="13">
        <v>1</v>
      </c>
      <c r="E1331" s="13">
        <v>1</v>
      </c>
      <c r="F1331" s="13">
        <v>35</v>
      </c>
      <c r="G1331" s="13">
        <v>39</v>
      </c>
      <c r="H1331" s="13" t="str" cm="1">
        <f t="array" ref="H1331">_xlfn.IFS(G1331&lt;=20,"0-20",G1331&lt;=30,"20-30",G1331&lt;=40,"30-40",G1331&lt;=50,"50-60",G1331&lt;=60,"60-70",G1331&lt;=70,"70-80",G1331&lt;=80,"80-90")</f>
        <v>30-40</v>
      </c>
      <c r="I1331" s="13">
        <v>2245</v>
      </c>
      <c r="J1331" s="13" t="str" cm="1">
        <f t="array" ref="J1331">_xlfn.IFS(K1331=1,"Divorciado",L1331=1,"Casado",M1331=1,"Solteiro",N1331=1,"Juntos",O1331=1,"Viuvo")</f>
        <v>Solteiro</v>
      </c>
      <c r="K1331" s="13">
        <v>0</v>
      </c>
      <c r="L1331" s="13">
        <v>0</v>
      </c>
      <c r="M1331" s="13">
        <v>1</v>
      </c>
      <c r="N1331" s="13">
        <v>0</v>
      </c>
      <c r="O1331" s="13">
        <v>0</v>
      </c>
      <c r="P1331" s="13">
        <v>1</v>
      </c>
      <c r="Q1331" s="13">
        <v>0</v>
      </c>
      <c r="R1331" s="13">
        <v>0</v>
      </c>
      <c r="S1331" s="13">
        <v>0</v>
      </c>
      <c r="T1331" s="13">
        <v>0</v>
      </c>
      <c r="U1331" s="13">
        <v>48</v>
      </c>
      <c r="V1331" s="13" t="str" cm="1">
        <f t="array" ref="V1331">_xlfn.IFS(U1331&lt;=250,"0-R$250",U1331&lt;=500,"251-R$500",U1331&lt;=750,"501-R$750",U1331&lt;=1000,"751-R$1000",U1331&lt;=1250,"1001-R$1250",U1331&lt;=1500,"1251-R$1500")</f>
        <v>0-R$250</v>
      </c>
      <c r="W1331" s="13">
        <v>13</v>
      </c>
      <c r="X1331" s="13" t="str" cm="1">
        <f t="array" ref="X1331">_xlfn.IFS(W1331 = 0, "0", W1331&lt;=20, "até R$20",W1331&lt;=40, "21 - R$40",W1331&lt;=60, "41- R$60",W1331&lt;=80, "61 - R$80", W1331&lt;=100, "81 - R$100",W1331&lt;=120, "101 - R$120",W1331&lt;=140, "121 - R$140", W1331&lt;=160, "141- R$160", W1331&lt;=180, "161 - R$180", W1331&lt;=200, "181-R$194")</f>
        <v>até R$20</v>
      </c>
      <c r="Y1331" s="13">
        <v>57</v>
      </c>
      <c r="Z1331" s="13">
        <v>24</v>
      </c>
      <c r="AA1331" s="13">
        <v>15</v>
      </c>
      <c r="AB1331" s="13">
        <v>25</v>
      </c>
      <c r="AC1331" s="13">
        <v>4</v>
      </c>
      <c r="AD1331" s="13">
        <v>3</v>
      </c>
      <c r="AE1331" s="13">
        <v>1</v>
      </c>
      <c r="AF1331" s="13">
        <v>4</v>
      </c>
      <c r="AG1331" s="13">
        <v>7</v>
      </c>
      <c r="AH1331" s="13">
        <v>0</v>
      </c>
      <c r="AI1331" s="13">
        <v>0</v>
      </c>
      <c r="AJ1331" s="13">
        <v>0</v>
      </c>
      <c r="AK1331" s="13">
        <v>0</v>
      </c>
      <c r="AL1331" s="13">
        <v>0</v>
      </c>
      <c r="AM1331" s="13">
        <v>0</v>
      </c>
      <c r="AN1331" s="13">
        <v>0</v>
      </c>
      <c r="AO1331" s="14">
        <v>0</v>
      </c>
      <c r="AP1331" s="13">
        <v>3</v>
      </c>
      <c r="AQ1331" s="13">
        <v>11</v>
      </c>
      <c r="AR1331" s="15">
        <v>132</v>
      </c>
      <c r="AS1331" s="15">
        <v>157</v>
      </c>
    </row>
    <row r="1332" spans="1:45" x14ac:dyDescent="0.25">
      <c r="A1332">
        <v>1562</v>
      </c>
      <c r="B1332" s="11">
        <f t="shared" si="20"/>
        <v>40442</v>
      </c>
      <c r="C1332" s="12">
        <v>404420</v>
      </c>
      <c r="D1332" s="13">
        <v>1</v>
      </c>
      <c r="E1332" s="13">
        <v>1</v>
      </c>
      <c r="F1332" s="13">
        <v>52</v>
      </c>
      <c r="G1332" s="13">
        <v>68</v>
      </c>
      <c r="H1332" s="13" t="str" cm="1">
        <f t="array" ref="H1332">_xlfn.IFS(G1332&lt;=20,"0-20",G1332&lt;=30,"20-30",G1332&lt;=40,"30-40",G1332&lt;=50,"50-60",G1332&lt;=60,"60-70",G1332&lt;=70,"70-80",G1332&lt;=80,"80-90")</f>
        <v>70-80</v>
      </c>
      <c r="I1332" s="13">
        <v>2838</v>
      </c>
      <c r="J1332" s="13" t="str" cm="1">
        <f t="array" ref="J1332">_xlfn.IFS(K1332=1,"Divorciado",L1332=1,"Casado",M1332=1,"Solteiro",N1332=1,"Juntos",O1332=1,"Viuvo")</f>
        <v>Juntos</v>
      </c>
      <c r="K1332" s="13">
        <v>0</v>
      </c>
      <c r="L1332" s="13">
        <v>0</v>
      </c>
      <c r="M1332" s="13">
        <v>0</v>
      </c>
      <c r="N1332" s="13">
        <v>1</v>
      </c>
      <c r="O1332" s="13">
        <v>0</v>
      </c>
      <c r="P1332" s="13">
        <v>0</v>
      </c>
      <c r="Q1332" s="13">
        <v>0</v>
      </c>
      <c r="R1332" s="13">
        <v>0</v>
      </c>
      <c r="S1332" s="13">
        <v>1</v>
      </c>
      <c r="T1332" s="13">
        <v>0</v>
      </c>
      <c r="U1332" s="13">
        <v>45</v>
      </c>
      <c r="V1332" s="13" t="str" cm="1">
        <f t="array" ref="V1332">_xlfn.IFS(U1332&lt;=250,"0-R$250",U1332&lt;=500,"251-R$500",U1332&lt;=750,"501-R$750",U1332&lt;=1000,"751-R$1000",U1332&lt;=1250,"1001-R$1250",U1332&lt;=1500,"1251-R$1500")</f>
        <v>0-R$250</v>
      </c>
      <c r="W1332" s="13">
        <v>12</v>
      </c>
      <c r="X1332" s="13" t="str" cm="1">
        <f t="array" ref="X1332">_xlfn.IFS(W1332 = 0, "0", W1332&lt;=20, "até R$20",W1332&lt;=40, "21 - R$40",W1332&lt;=60, "41- R$60",W1332&lt;=80, "61 - R$80", W1332&lt;=100, "81 - R$100",W1332&lt;=120, "101 - R$120",W1332&lt;=140, "121 - R$140", W1332&lt;=160, "141- R$160", W1332&lt;=180, "161 - R$180", W1332&lt;=200, "181-R$194")</f>
        <v>até R$20</v>
      </c>
      <c r="Y1332" s="13">
        <v>52</v>
      </c>
      <c r="Z1332" s="13">
        <v>25</v>
      </c>
      <c r="AA1332" s="13">
        <v>22</v>
      </c>
      <c r="AB1332" s="13">
        <v>13</v>
      </c>
      <c r="AC1332" s="13">
        <v>4</v>
      </c>
      <c r="AD1332" s="13">
        <v>3</v>
      </c>
      <c r="AE1332" s="13">
        <v>1</v>
      </c>
      <c r="AF1332" s="13">
        <v>4</v>
      </c>
      <c r="AG1332" s="13">
        <v>7</v>
      </c>
      <c r="AH1332" s="13">
        <v>0</v>
      </c>
      <c r="AI1332" s="13">
        <v>0</v>
      </c>
      <c r="AJ1332" s="13">
        <v>0</v>
      </c>
      <c r="AK1332" s="13">
        <v>0</v>
      </c>
      <c r="AL1332" s="13">
        <v>0</v>
      </c>
      <c r="AM1332" s="13">
        <v>0</v>
      </c>
      <c r="AN1332" s="13">
        <v>1</v>
      </c>
      <c r="AO1332" s="14">
        <v>0</v>
      </c>
      <c r="AP1332" s="13">
        <v>3</v>
      </c>
      <c r="AQ1332" s="13">
        <v>11</v>
      </c>
      <c r="AR1332" s="15">
        <v>143</v>
      </c>
      <c r="AS1332" s="15">
        <v>156</v>
      </c>
    </row>
    <row r="1333" spans="1:45" x14ac:dyDescent="0.25">
      <c r="A1333">
        <v>486</v>
      </c>
      <c r="B1333" s="11">
        <f t="shared" si="20"/>
        <v>24279</v>
      </c>
      <c r="C1333" s="12">
        <v>242790</v>
      </c>
      <c r="D1333" s="13">
        <v>0</v>
      </c>
      <c r="E1333" s="13">
        <v>0</v>
      </c>
      <c r="F1333" s="13">
        <v>6</v>
      </c>
      <c r="G1333" s="13">
        <v>30</v>
      </c>
      <c r="H1333" s="13" t="str" cm="1">
        <f t="array" ref="H1333">_xlfn.IFS(G1333&lt;=20,"0-20",G1333&lt;=30,"20-30",G1333&lt;=40,"30-40",G1333&lt;=50,"50-60",G1333&lt;=60,"60-70",G1333&lt;=70,"70-80",G1333&lt;=80,"80-90")</f>
        <v>20-30</v>
      </c>
      <c r="I1333" s="13">
        <v>2706</v>
      </c>
      <c r="J1333" s="13" t="str" cm="1">
        <f t="array" ref="J1333">_xlfn.IFS(K1333=1,"Divorciado",L1333=1,"Casado",M1333=1,"Solteiro",N1333=1,"Juntos",O1333=1,"Viuvo")</f>
        <v>Casado</v>
      </c>
      <c r="K1333" s="13">
        <v>0</v>
      </c>
      <c r="L1333" s="13">
        <v>1</v>
      </c>
      <c r="M1333" s="13">
        <v>0</v>
      </c>
      <c r="N1333" s="13">
        <v>0</v>
      </c>
      <c r="O1333" s="13">
        <v>0</v>
      </c>
      <c r="P1333" s="13">
        <v>0</v>
      </c>
      <c r="Q1333" s="13">
        <v>1</v>
      </c>
      <c r="R1333" s="13">
        <v>0</v>
      </c>
      <c r="S1333" s="13">
        <v>0</v>
      </c>
      <c r="T1333" s="13">
        <v>0</v>
      </c>
      <c r="U1333" s="13">
        <v>16</v>
      </c>
      <c r="V1333" s="13" t="str" cm="1">
        <f t="array" ref="V1333">_xlfn.IFS(U1333&lt;=250,"0-R$250",U1333&lt;=500,"251-R$500",U1333&lt;=750,"501-R$750",U1333&lt;=1000,"751-R$1000",U1333&lt;=1250,"1001-R$1250",U1333&lt;=1500,"1251-R$1500")</f>
        <v>0-R$250</v>
      </c>
      <c r="W1333" s="13">
        <v>36</v>
      </c>
      <c r="X1333" s="13" t="str" cm="1">
        <f t="array" ref="X1333">_xlfn.IFS(W1333 = 0, "0", W1333&lt;=20, "até R$20",W1333&lt;=40, "21 - R$40",W1333&lt;=60, "41- R$60",W1333&lt;=80, "61 - R$80", W1333&lt;=100, "81 - R$100",W1333&lt;=120, "101 - R$120",W1333&lt;=140, "121 - R$140", W1333&lt;=160, "141- R$160", W1333&lt;=180, "161 - R$180", W1333&lt;=200, "181-R$194")</f>
        <v>21 - R$40</v>
      </c>
      <c r="Y1333" s="13">
        <v>21</v>
      </c>
      <c r="Z1333" s="13">
        <v>20</v>
      </c>
      <c r="AA1333" s="13">
        <v>62</v>
      </c>
      <c r="AB1333" s="13">
        <v>108</v>
      </c>
      <c r="AC1333" s="13">
        <v>1</v>
      </c>
      <c r="AD1333" s="13">
        <v>4</v>
      </c>
      <c r="AE1333" s="13">
        <v>1</v>
      </c>
      <c r="AF1333" s="13">
        <v>3</v>
      </c>
      <c r="AG1333" s="13">
        <v>8</v>
      </c>
      <c r="AH1333" s="13">
        <v>0</v>
      </c>
      <c r="AI1333" s="13">
        <v>0</v>
      </c>
      <c r="AJ1333" s="13">
        <v>0</v>
      </c>
      <c r="AK1333" s="13">
        <v>0</v>
      </c>
      <c r="AL1333" s="13">
        <v>0</v>
      </c>
      <c r="AM1333" s="13">
        <v>0</v>
      </c>
      <c r="AN1333" s="13">
        <v>0</v>
      </c>
      <c r="AO1333" s="14">
        <v>0</v>
      </c>
      <c r="AP1333" s="13">
        <v>3</v>
      </c>
      <c r="AQ1333" s="13">
        <v>11</v>
      </c>
      <c r="AR1333" s="15">
        <v>47</v>
      </c>
      <c r="AS1333" s="15">
        <v>155</v>
      </c>
    </row>
    <row r="1334" spans="1:45" x14ac:dyDescent="0.25">
      <c r="A1334">
        <v>380</v>
      </c>
      <c r="B1334" s="11">
        <f t="shared" si="20"/>
        <v>43824</v>
      </c>
      <c r="C1334" s="12">
        <v>438240</v>
      </c>
      <c r="D1334" s="13">
        <v>1</v>
      </c>
      <c r="E1334" s="13">
        <v>1</v>
      </c>
      <c r="F1334" s="13">
        <v>18</v>
      </c>
      <c r="G1334" s="13">
        <v>49</v>
      </c>
      <c r="H1334" s="13" t="str" cm="1">
        <f t="array" ref="H1334">_xlfn.IFS(G1334&lt;=20,"0-20",G1334&lt;=30,"20-30",G1334&lt;=40,"30-40",G1334&lt;=50,"50-60",G1334&lt;=60,"60-70",G1334&lt;=70,"70-80",G1334&lt;=80,"80-90")</f>
        <v>50-60</v>
      </c>
      <c r="I1334" s="13">
        <v>2811</v>
      </c>
      <c r="J1334" s="13" t="str" cm="1">
        <f t="array" ref="J1334">_xlfn.IFS(K1334=1,"Divorciado",L1334=1,"Casado",M1334=1,"Solteiro",N1334=1,"Juntos",O1334=1,"Viuvo")</f>
        <v>Casado</v>
      </c>
      <c r="K1334" s="13">
        <v>0</v>
      </c>
      <c r="L1334" s="13">
        <v>1</v>
      </c>
      <c r="M1334" s="13">
        <v>0</v>
      </c>
      <c r="N1334" s="13">
        <v>0</v>
      </c>
      <c r="O1334" s="13">
        <v>0</v>
      </c>
      <c r="P1334" s="13">
        <v>0</v>
      </c>
      <c r="Q1334" s="13">
        <v>0</v>
      </c>
      <c r="R1334" s="13">
        <v>1</v>
      </c>
      <c r="S1334" s="13">
        <v>0</v>
      </c>
      <c r="T1334" s="13">
        <v>0</v>
      </c>
      <c r="U1334" s="13">
        <v>96</v>
      </c>
      <c r="V1334" s="13" t="str" cm="1">
        <f t="array" ref="V1334">_xlfn.IFS(U1334&lt;=250,"0-R$250",U1334&lt;=500,"251-R$500",U1334&lt;=750,"501-R$750",U1334&lt;=1000,"751-R$1000",U1334&lt;=1250,"1001-R$1250",U1334&lt;=1500,"1251-R$1500")</f>
        <v>0-R$250</v>
      </c>
      <c r="W1334" s="13">
        <v>1</v>
      </c>
      <c r="X1334" s="13" t="str" cm="1">
        <f t="array" ref="X1334">_xlfn.IFS(W1334 = 0, "0", W1334&lt;=20, "até R$20",W1334&lt;=40, "21 - R$40",W1334&lt;=60, "41- R$60",W1334&lt;=80, "61 - R$80", W1334&lt;=100, "81 - R$100",W1334&lt;=120, "101 - R$120",W1334&lt;=140, "121 - R$140", W1334&lt;=160, "141- R$160", W1334&lt;=180, "161 - R$180", W1334&lt;=200, "181-R$194")</f>
        <v>até R$20</v>
      </c>
      <c r="Y1334" s="13">
        <v>42</v>
      </c>
      <c r="Z1334" s="13">
        <v>12</v>
      </c>
      <c r="AA1334" s="13">
        <v>3</v>
      </c>
      <c r="AB1334" s="13">
        <v>32</v>
      </c>
      <c r="AC1334" s="13">
        <v>4</v>
      </c>
      <c r="AD1334" s="13">
        <v>3</v>
      </c>
      <c r="AE1334" s="13">
        <v>1</v>
      </c>
      <c r="AF1334" s="13">
        <v>4</v>
      </c>
      <c r="AG1334" s="13">
        <v>8</v>
      </c>
      <c r="AH1334" s="13">
        <v>0</v>
      </c>
      <c r="AI1334" s="13">
        <v>0</v>
      </c>
      <c r="AJ1334" s="13">
        <v>0</v>
      </c>
      <c r="AK1334" s="13">
        <v>0</v>
      </c>
      <c r="AL1334" s="13">
        <v>0</v>
      </c>
      <c r="AM1334" s="13">
        <v>0</v>
      </c>
      <c r="AN1334" s="13">
        <v>0</v>
      </c>
      <c r="AO1334" s="14">
        <v>0</v>
      </c>
      <c r="AP1334" s="13">
        <v>3</v>
      </c>
      <c r="AQ1334" s="13">
        <v>11</v>
      </c>
      <c r="AR1334" s="15">
        <v>122</v>
      </c>
      <c r="AS1334" s="15">
        <v>154</v>
      </c>
    </row>
    <row r="1335" spans="1:45" x14ac:dyDescent="0.25">
      <c r="A1335">
        <v>660</v>
      </c>
      <c r="B1335" s="11">
        <f t="shared" si="20"/>
        <v>36145</v>
      </c>
      <c r="C1335" s="12">
        <v>361450</v>
      </c>
      <c r="D1335" s="13">
        <v>1</v>
      </c>
      <c r="E1335" s="13">
        <v>0</v>
      </c>
      <c r="F1335" s="13">
        <v>13</v>
      </c>
      <c r="G1335" s="13">
        <v>35</v>
      </c>
      <c r="H1335" s="13" t="str" cm="1">
        <f t="array" ref="H1335">_xlfn.IFS(G1335&lt;=20,"0-20",G1335&lt;=30,"20-30",G1335&lt;=40,"30-40",G1335&lt;=50,"50-60",G1335&lt;=60,"60-70",G1335&lt;=70,"70-80",G1335&lt;=80,"80-90")</f>
        <v>30-40</v>
      </c>
      <c r="I1335" s="13">
        <v>2537</v>
      </c>
      <c r="J1335" s="13" t="str" cm="1">
        <f t="array" ref="J1335">_xlfn.IFS(K1335=1,"Divorciado",L1335=1,"Casado",M1335=1,"Solteiro",N1335=1,"Juntos",O1335=1,"Viuvo")</f>
        <v>Casado</v>
      </c>
      <c r="K1335" s="13">
        <v>0</v>
      </c>
      <c r="L1335" s="13">
        <v>1</v>
      </c>
      <c r="M1335" s="13">
        <v>0</v>
      </c>
      <c r="N1335" s="13">
        <v>0</v>
      </c>
      <c r="O1335" s="13">
        <v>0</v>
      </c>
      <c r="P1335" s="13">
        <v>1</v>
      </c>
      <c r="Q1335" s="13">
        <v>0</v>
      </c>
      <c r="R1335" s="13">
        <v>0</v>
      </c>
      <c r="S1335" s="13">
        <v>0</v>
      </c>
      <c r="T1335" s="13">
        <v>0</v>
      </c>
      <c r="U1335" s="13">
        <v>56</v>
      </c>
      <c r="V1335" s="13" t="str" cm="1">
        <f t="array" ref="V1335">_xlfn.IFS(U1335&lt;=250,"0-R$250",U1335&lt;=500,"251-R$500",U1335&lt;=750,"501-R$750",U1335&lt;=1000,"751-R$1000",U1335&lt;=1250,"1001-R$1250",U1335&lt;=1500,"1251-R$1500")</f>
        <v>0-R$250</v>
      </c>
      <c r="W1335" s="13">
        <v>4</v>
      </c>
      <c r="X1335" s="13" t="str" cm="1">
        <f t="array" ref="X1335">_xlfn.IFS(W1335 = 0, "0", W1335&lt;=20, "até R$20",W1335&lt;=40, "21 - R$40",W1335&lt;=60, "41- R$60",W1335&lt;=80, "61 - R$80", W1335&lt;=100, "81 - R$100",W1335&lt;=120, "101 - R$120",W1335&lt;=140, "121 - R$140", W1335&lt;=160, "141- R$160", W1335&lt;=180, "161 - R$180", W1335&lt;=200, "181-R$194")</f>
        <v>até R$20</v>
      </c>
      <c r="Y1335" s="13">
        <v>76</v>
      </c>
      <c r="Z1335" s="13">
        <v>17</v>
      </c>
      <c r="AA1335" s="13">
        <v>1</v>
      </c>
      <c r="AB1335" s="13">
        <v>18</v>
      </c>
      <c r="AC1335" s="13">
        <v>4</v>
      </c>
      <c r="AD1335" s="13">
        <v>4</v>
      </c>
      <c r="AE1335" s="13">
        <v>1</v>
      </c>
      <c r="AF1335" s="13">
        <v>3</v>
      </c>
      <c r="AG1335" s="13">
        <v>9</v>
      </c>
      <c r="AH1335" s="13">
        <v>0</v>
      </c>
      <c r="AI1335" s="13">
        <v>1</v>
      </c>
      <c r="AJ1335" s="13">
        <v>0</v>
      </c>
      <c r="AK1335" s="13">
        <v>0</v>
      </c>
      <c r="AL1335" s="13">
        <v>0</v>
      </c>
      <c r="AM1335" s="13">
        <v>0</v>
      </c>
      <c r="AN1335" s="13">
        <v>1</v>
      </c>
      <c r="AO1335" s="14">
        <v>1</v>
      </c>
      <c r="AP1335" s="13">
        <v>3</v>
      </c>
      <c r="AQ1335" s="13">
        <v>11</v>
      </c>
      <c r="AR1335" s="15">
        <v>136</v>
      </c>
      <c r="AS1335" s="15">
        <v>154</v>
      </c>
    </row>
    <row r="1336" spans="1:45" x14ac:dyDescent="0.25">
      <c r="A1336">
        <v>1390</v>
      </c>
      <c r="B1336" s="11">
        <f t="shared" si="20"/>
        <v>34412</v>
      </c>
      <c r="C1336" s="12">
        <v>344120</v>
      </c>
      <c r="D1336" s="13">
        <v>1</v>
      </c>
      <c r="E1336" s="13">
        <v>0</v>
      </c>
      <c r="F1336" s="13">
        <v>62</v>
      </c>
      <c r="G1336" s="13">
        <v>30</v>
      </c>
      <c r="H1336" s="13" t="str" cm="1">
        <f t="array" ref="H1336">_xlfn.IFS(G1336&lt;=20,"0-20",G1336&lt;=30,"20-30",G1336&lt;=40,"30-40",G1336&lt;=50,"50-60",G1336&lt;=60,"60-70",G1336&lt;=70,"70-80",G1336&lt;=80,"80-90")</f>
        <v>20-30</v>
      </c>
      <c r="I1336" s="13">
        <v>2660</v>
      </c>
      <c r="J1336" s="13" t="str" cm="1">
        <f t="array" ref="J1336">_xlfn.IFS(K1336=1,"Divorciado",L1336=1,"Casado",M1336=1,"Solteiro",N1336=1,"Juntos",O1336=1,"Viuvo")</f>
        <v>Solteiro</v>
      </c>
      <c r="K1336" s="13">
        <v>0</v>
      </c>
      <c r="L1336" s="13">
        <v>0</v>
      </c>
      <c r="M1336" s="13">
        <v>1</v>
      </c>
      <c r="N1336" s="13">
        <v>0</v>
      </c>
      <c r="O1336" s="13">
        <v>0</v>
      </c>
      <c r="P1336" s="13">
        <v>0</v>
      </c>
      <c r="Q1336" s="13">
        <v>0</v>
      </c>
      <c r="R1336" s="13">
        <v>1</v>
      </c>
      <c r="S1336" s="13">
        <v>0</v>
      </c>
      <c r="T1336" s="13">
        <v>0</v>
      </c>
      <c r="U1336" s="13">
        <v>52</v>
      </c>
      <c r="V1336" s="13" t="str" cm="1">
        <f t="array" ref="V1336">_xlfn.IFS(U1336&lt;=250,"0-R$250",U1336&lt;=500,"251-R$500",U1336&lt;=750,"501-R$750",U1336&lt;=1000,"751-R$1000",U1336&lt;=1250,"1001-R$1250",U1336&lt;=1500,"1251-R$1500")</f>
        <v>0-R$250</v>
      </c>
      <c r="W1336" s="13">
        <v>12</v>
      </c>
      <c r="X1336" s="13" t="str" cm="1">
        <f t="array" ref="X1336">_xlfn.IFS(W1336 = 0, "0", W1336&lt;=20, "até R$20",W1336&lt;=40, "21 - R$40",W1336&lt;=60, "41- R$60",W1336&lt;=80, "61 - R$80", W1336&lt;=100, "81 - R$100",W1336&lt;=120, "101 - R$120",W1336&lt;=140, "121 - R$140", W1336&lt;=160, "141- R$160", W1336&lt;=180, "161 - R$180", W1336&lt;=200, "181-R$194")</f>
        <v>até R$20</v>
      </c>
      <c r="Y1336" s="13">
        <v>50</v>
      </c>
      <c r="Z1336" s="13">
        <v>4</v>
      </c>
      <c r="AA1336" s="13">
        <v>36</v>
      </c>
      <c r="AB1336" s="13">
        <v>55</v>
      </c>
      <c r="AC1336" s="13">
        <v>3</v>
      </c>
      <c r="AD1336" s="13">
        <v>5</v>
      </c>
      <c r="AE1336" s="13">
        <v>0</v>
      </c>
      <c r="AF1336" s="13">
        <v>3</v>
      </c>
      <c r="AG1336" s="13">
        <v>9</v>
      </c>
      <c r="AH1336" s="13">
        <v>0</v>
      </c>
      <c r="AI1336" s="13">
        <v>0</v>
      </c>
      <c r="AJ1336" s="13">
        <v>0</v>
      </c>
      <c r="AK1336" s="13">
        <v>0</v>
      </c>
      <c r="AL1336" s="13">
        <v>0</v>
      </c>
      <c r="AM1336" s="13">
        <v>0</v>
      </c>
      <c r="AN1336" s="13">
        <v>0</v>
      </c>
      <c r="AO1336" s="14">
        <v>0</v>
      </c>
      <c r="AP1336" s="13">
        <v>3</v>
      </c>
      <c r="AQ1336" s="13">
        <v>11</v>
      </c>
      <c r="AR1336" s="15">
        <v>99</v>
      </c>
      <c r="AS1336" s="15">
        <v>154</v>
      </c>
    </row>
    <row r="1337" spans="1:45" x14ac:dyDescent="0.25">
      <c r="A1337">
        <v>556</v>
      </c>
      <c r="B1337" s="11">
        <f t="shared" si="20"/>
        <v>38593</v>
      </c>
      <c r="C1337" s="12">
        <v>385930</v>
      </c>
      <c r="D1337" s="13">
        <v>1</v>
      </c>
      <c r="E1337" s="13">
        <v>0</v>
      </c>
      <c r="F1337" s="13">
        <v>42</v>
      </c>
      <c r="G1337" s="13">
        <v>42</v>
      </c>
      <c r="H1337" s="13" t="str" cm="1">
        <f t="array" ref="H1337">_xlfn.IFS(G1337&lt;=20,"0-20",G1337&lt;=30,"20-30",G1337&lt;=40,"30-40",G1337&lt;=50,"50-60",G1337&lt;=60,"60-70",G1337&lt;=70,"70-80",G1337&lt;=80,"80-90")</f>
        <v>50-60</v>
      </c>
      <c r="I1337" s="13">
        <v>2448</v>
      </c>
      <c r="J1337" s="13" t="str" cm="1">
        <f t="array" ref="J1337">_xlfn.IFS(K1337=1,"Divorciado",L1337=1,"Casado",M1337=1,"Solteiro",N1337=1,"Juntos",O1337=1,"Viuvo")</f>
        <v>Solteiro</v>
      </c>
      <c r="K1337" s="13">
        <v>0</v>
      </c>
      <c r="L1337" s="13">
        <v>0</v>
      </c>
      <c r="M1337" s="13">
        <v>1</v>
      </c>
      <c r="N1337" s="13">
        <v>0</v>
      </c>
      <c r="O1337" s="13">
        <v>0</v>
      </c>
      <c r="P1337" s="13">
        <v>1</v>
      </c>
      <c r="Q1337" s="13">
        <v>0</v>
      </c>
      <c r="R1337" s="13">
        <v>0</v>
      </c>
      <c r="S1337" s="13">
        <v>0</v>
      </c>
      <c r="T1337" s="13">
        <v>0</v>
      </c>
      <c r="U1337" s="13">
        <v>51</v>
      </c>
      <c r="V1337" s="13" t="str" cm="1">
        <f t="array" ref="V1337">_xlfn.IFS(U1337&lt;=250,"0-R$250",U1337&lt;=500,"251-R$500",U1337&lt;=750,"501-R$750",U1337&lt;=1000,"751-R$1000",U1337&lt;=1250,"1001-R$1250",U1337&lt;=1500,"1251-R$1500")</f>
        <v>0-R$250</v>
      </c>
      <c r="W1337" s="13">
        <v>12</v>
      </c>
      <c r="X1337" s="13" t="str" cm="1">
        <f t="array" ref="X1337">_xlfn.IFS(W1337 = 0, "0", W1337&lt;=20, "até R$20",W1337&lt;=40, "21 - R$40",W1337&lt;=60, "41- R$60",W1337&lt;=80, "61 - R$80", W1337&lt;=100, "81 - R$100",W1337&lt;=120, "101 - R$120",W1337&lt;=140, "121 - R$140", W1337&lt;=160, "141- R$160", W1337&lt;=180, "161 - R$180", W1337&lt;=200, "181-R$194")</f>
        <v>até R$20</v>
      </c>
      <c r="Y1337" s="13">
        <v>49</v>
      </c>
      <c r="Z1337" s="13">
        <v>17</v>
      </c>
      <c r="AA1337" s="13">
        <v>24</v>
      </c>
      <c r="AB1337" s="13">
        <v>24</v>
      </c>
      <c r="AC1337" s="13">
        <v>3</v>
      </c>
      <c r="AD1337" s="13">
        <v>4</v>
      </c>
      <c r="AE1337" s="13">
        <v>1</v>
      </c>
      <c r="AF1337" s="13">
        <v>3</v>
      </c>
      <c r="AG1337" s="13">
        <v>8</v>
      </c>
      <c r="AH1337" s="13">
        <v>0</v>
      </c>
      <c r="AI1337" s="13">
        <v>0</v>
      </c>
      <c r="AJ1337" s="13">
        <v>0</v>
      </c>
      <c r="AK1337" s="13">
        <v>0</v>
      </c>
      <c r="AL1337" s="13">
        <v>0</v>
      </c>
      <c r="AM1337" s="13">
        <v>0</v>
      </c>
      <c r="AN1337" s="13">
        <v>0</v>
      </c>
      <c r="AO1337" s="14">
        <v>0</v>
      </c>
      <c r="AP1337" s="13">
        <v>3</v>
      </c>
      <c r="AQ1337" s="13">
        <v>11</v>
      </c>
      <c r="AR1337" s="15">
        <v>129</v>
      </c>
      <c r="AS1337" s="15">
        <v>153</v>
      </c>
    </row>
    <row r="1338" spans="1:45" x14ac:dyDescent="0.25">
      <c r="A1338">
        <v>933</v>
      </c>
      <c r="B1338" s="11">
        <f t="shared" si="20"/>
        <v>44051</v>
      </c>
      <c r="C1338" s="16">
        <v>440510</v>
      </c>
      <c r="D1338" s="17">
        <v>1</v>
      </c>
      <c r="E1338" s="17">
        <v>1</v>
      </c>
      <c r="F1338" s="17">
        <v>20</v>
      </c>
      <c r="G1338" s="17">
        <v>47</v>
      </c>
      <c r="H1338" s="13" t="str" cm="1">
        <f t="array" ref="H1338">_xlfn.IFS(G1338&lt;=20,"0-20",G1338&lt;=30,"20-30",G1338&lt;=40,"30-40",G1338&lt;=50,"50-60",G1338&lt;=60,"60-70",G1338&lt;=70,"70-80",G1338&lt;=80,"80-90")</f>
        <v>50-60</v>
      </c>
      <c r="I1338" s="17">
        <v>2675</v>
      </c>
      <c r="J1338" s="13" t="str" cm="1">
        <f t="array" ref="J1338">_xlfn.IFS(K1338=1,"Divorciado",L1338=1,"Casado",M1338=1,"Solteiro",N1338=1,"Juntos",O1338=1,"Viuvo")</f>
        <v>Divorciado</v>
      </c>
      <c r="K1338" s="17">
        <v>1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1</v>
      </c>
      <c r="T1338" s="17">
        <v>0</v>
      </c>
      <c r="U1338" s="17">
        <v>79</v>
      </c>
      <c r="V1338" s="13" t="str" cm="1">
        <f t="array" ref="V1338">_xlfn.IFS(U1338&lt;=250,"0-R$250",U1338&lt;=500,"251-R$500",U1338&lt;=750,"501-R$750",U1338&lt;=1000,"751-R$1000",U1338&lt;=1250,"1001-R$1250",U1338&lt;=1500,"1251-R$1500")</f>
        <v>0-R$250</v>
      </c>
      <c r="W1338" s="17">
        <v>7</v>
      </c>
      <c r="X1338" s="13" t="str" cm="1">
        <f t="array" ref="X1338">_xlfn.IFS(W1338 = 0, "0", W1338&lt;=20, "até R$20",W1338&lt;=40, "21 - R$40",W1338&lt;=60, "41- R$60",W1338&lt;=80, "61 - R$80", W1338&lt;=100, "81 - R$100",W1338&lt;=120, "101 - R$120",W1338&lt;=140, "121 - R$140", W1338&lt;=160, "141- R$160", W1338&lt;=180, "161 - R$180", W1338&lt;=200, "181-R$194")</f>
        <v>até R$20</v>
      </c>
      <c r="Y1338" s="17">
        <v>58</v>
      </c>
      <c r="Z1338" s="17">
        <v>6</v>
      </c>
      <c r="AA1338" s="17">
        <v>3</v>
      </c>
      <c r="AB1338" s="17">
        <v>18</v>
      </c>
      <c r="AC1338" s="17">
        <v>4</v>
      </c>
      <c r="AD1338" s="17">
        <v>3</v>
      </c>
      <c r="AE1338" s="17">
        <v>1</v>
      </c>
      <c r="AF1338" s="17">
        <v>4</v>
      </c>
      <c r="AG1338" s="17">
        <v>6</v>
      </c>
      <c r="AH1338" s="17">
        <v>0</v>
      </c>
      <c r="AI1338" s="17">
        <v>0</v>
      </c>
      <c r="AJ1338" s="17">
        <v>0</v>
      </c>
      <c r="AK1338" s="17">
        <v>0</v>
      </c>
      <c r="AL1338" s="17">
        <v>0</v>
      </c>
      <c r="AM1338" s="17">
        <v>0</v>
      </c>
      <c r="AN1338" s="17">
        <v>1</v>
      </c>
      <c r="AO1338" s="18">
        <v>0</v>
      </c>
      <c r="AP1338" s="17">
        <v>3</v>
      </c>
      <c r="AQ1338" s="17">
        <v>11</v>
      </c>
      <c r="AR1338" s="19">
        <v>135</v>
      </c>
      <c r="AS1338" s="19">
        <v>153</v>
      </c>
    </row>
    <row r="1339" spans="1:45" x14ac:dyDescent="0.25">
      <c r="A1339">
        <v>1966</v>
      </c>
      <c r="B1339" s="11">
        <f t="shared" si="20"/>
        <v>39791</v>
      </c>
      <c r="C1339" s="12">
        <v>397910</v>
      </c>
      <c r="D1339" s="13">
        <v>0</v>
      </c>
      <c r="E1339" s="13">
        <v>1</v>
      </c>
      <c r="F1339" s="13">
        <v>89</v>
      </c>
      <c r="G1339" s="13">
        <v>49</v>
      </c>
      <c r="H1339" s="13" t="str" cm="1">
        <f t="array" ref="H1339">_xlfn.IFS(G1339&lt;=20,"0-20",G1339&lt;=30,"20-30",G1339&lt;=40,"30-40",G1339&lt;=50,"50-60",G1339&lt;=60,"60-70",G1339&lt;=70,"70-80",G1339&lt;=80,"80-90")</f>
        <v>50-60</v>
      </c>
      <c r="I1339" s="13">
        <v>2617</v>
      </c>
      <c r="J1339" s="13" t="str" cm="1">
        <f t="array" ref="J1339">_xlfn.IFS(K1339=1,"Divorciado",L1339=1,"Casado",M1339=1,"Solteiro",N1339=1,"Juntos",O1339=1,"Viuvo")</f>
        <v>Casado</v>
      </c>
      <c r="K1339" s="13">
        <v>0</v>
      </c>
      <c r="L1339" s="13">
        <v>1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1</v>
      </c>
      <c r="T1339" s="13">
        <v>0</v>
      </c>
      <c r="U1339" s="13">
        <v>85</v>
      </c>
      <c r="V1339" s="13" t="str" cm="1">
        <f t="array" ref="V1339">_xlfn.IFS(U1339&lt;=250,"0-R$250",U1339&lt;=500,"251-R$500",U1339&lt;=750,"501-R$750",U1339&lt;=1000,"751-R$1000",U1339&lt;=1250,"1001-R$1250",U1339&lt;=1500,"1251-R$1500")</f>
        <v>0-R$250</v>
      </c>
      <c r="W1339" s="13">
        <v>15</v>
      </c>
      <c r="X1339" s="13" t="str" cm="1">
        <f t="array" ref="X1339">_xlfn.IFS(W1339 = 0, "0", W1339&lt;=20, "até R$20",W1339&lt;=40, "21 - R$40",W1339&lt;=60, "41- R$60",W1339&lt;=80, "61 - R$80", W1339&lt;=100, "81 - R$100",W1339&lt;=120, "101 - R$120",W1339&lt;=140, "121 - R$140", W1339&lt;=160, "141- R$160", W1339&lt;=180, "161 - R$180", W1339&lt;=200, "181-R$194")</f>
        <v>até R$20</v>
      </c>
      <c r="Y1339" s="13">
        <v>27</v>
      </c>
      <c r="Z1339" s="13">
        <v>13</v>
      </c>
      <c r="AA1339" s="13">
        <v>13</v>
      </c>
      <c r="AB1339" s="13">
        <v>21</v>
      </c>
      <c r="AC1339" s="13">
        <v>2</v>
      </c>
      <c r="AD1339" s="13">
        <v>3</v>
      </c>
      <c r="AE1339" s="13">
        <v>1</v>
      </c>
      <c r="AF1339" s="13">
        <v>4</v>
      </c>
      <c r="AG1339" s="13">
        <v>7</v>
      </c>
      <c r="AH1339" s="13">
        <v>0</v>
      </c>
      <c r="AI1339" s="13">
        <v>0</v>
      </c>
      <c r="AJ1339" s="13">
        <v>0</v>
      </c>
      <c r="AK1339" s="13">
        <v>0</v>
      </c>
      <c r="AL1339" s="13">
        <v>0</v>
      </c>
      <c r="AM1339" s="13">
        <v>0</v>
      </c>
      <c r="AN1339" s="13">
        <v>0</v>
      </c>
      <c r="AO1339" s="14">
        <v>0</v>
      </c>
      <c r="AP1339" s="13">
        <v>3</v>
      </c>
      <c r="AQ1339" s="13">
        <v>11</v>
      </c>
      <c r="AR1339" s="15">
        <v>132</v>
      </c>
      <c r="AS1339" s="15">
        <v>153</v>
      </c>
    </row>
    <row r="1340" spans="1:45" x14ac:dyDescent="0.25">
      <c r="A1340">
        <v>1986</v>
      </c>
      <c r="B1340" s="11">
        <f t="shared" si="20"/>
        <v>39146</v>
      </c>
      <c r="C1340" s="12">
        <v>391460</v>
      </c>
      <c r="D1340" s="13">
        <v>1</v>
      </c>
      <c r="E1340" s="13">
        <v>0</v>
      </c>
      <c r="F1340" s="13">
        <v>1</v>
      </c>
      <c r="G1340" s="13">
        <v>34</v>
      </c>
      <c r="H1340" s="13" t="str" cm="1">
        <f t="array" ref="H1340">_xlfn.IFS(G1340&lt;=20,"0-20",G1340&lt;=30,"20-30",G1340&lt;=40,"30-40",G1340&lt;=50,"50-60",G1340&lt;=60,"60-70",G1340&lt;=70,"70-80",G1340&lt;=80,"80-90")</f>
        <v>30-40</v>
      </c>
      <c r="I1340" s="13">
        <v>2659</v>
      </c>
      <c r="J1340" s="13" t="str" cm="1">
        <f t="array" ref="J1340">_xlfn.IFS(K1340=1,"Divorciado",L1340=1,"Casado",M1340=1,"Solteiro",N1340=1,"Juntos",O1340=1,"Viuvo")</f>
        <v>Solteiro</v>
      </c>
      <c r="K1340" s="13">
        <v>0</v>
      </c>
      <c r="L1340" s="13">
        <v>0</v>
      </c>
      <c r="M1340" s="13">
        <v>1</v>
      </c>
      <c r="N1340" s="13">
        <v>0</v>
      </c>
      <c r="O1340" s="13">
        <v>0</v>
      </c>
      <c r="P1340" s="13">
        <v>0</v>
      </c>
      <c r="Q1340" s="13">
        <v>0</v>
      </c>
      <c r="R1340" s="13">
        <v>1</v>
      </c>
      <c r="S1340" s="13">
        <v>0</v>
      </c>
      <c r="T1340" s="13">
        <v>0</v>
      </c>
      <c r="U1340" s="13">
        <v>94</v>
      </c>
      <c r="V1340" s="13" t="str" cm="1">
        <f t="array" ref="V1340">_xlfn.IFS(U1340&lt;=250,"0-R$250",U1340&lt;=500,"251-R$500",U1340&lt;=750,"501-R$750",U1340&lt;=1000,"751-R$1000",U1340&lt;=1250,"1001-R$1250",U1340&lt;=1500,"1251-R$1500")</f>
        <v>0-R$250</v>
      </c>
      <c r="W1340" s="13">
        <v>1</v>
      </c>
      <c r="X1340" s="13" t="str" cm="1">
        <f t="array" ref="X1340">_xlfn.IFS(W1340 = 0, "0", W1340&lt;=20, "até R$20",W1340&lt;=40, "21 - R$40",W1340&lt;=60, "41- R$60",W1340&lt;=80, "61 - R$80", W1340&lt;=100, "81 - R$100",W1340&lt;=120, "101 - R$120",W1340&lt;=140, "121 - R$140", W1340&lt;=160, "141- R$160", W1340&lt;=180, "161 - R$180", W1340&lt;=200, "181-R$194")</f>
        <v>até R$20</v>
      </c>
      <c r="Y1340" s="13">
        <v>33</v>
      </c>
      <c r="Z1340" s="13">
        <v>13</v>
      </c>
      <c r="AA1340" s="13">
        <v>12</v>
      </c>
      <c r="AB1340" s="13">
        <v>12</v>
      </c>
      <c r="AC1340" s="13">
        <v>3</v>
      </c>
      <c r="AD1340" s="13">
        <v>4</v>
      </c>
      <c r="AE1340" s="13">
        <v>0</v>
      </c>
      <c r="AF1340" s="13">
        <v>4</v>
      </c>
      <c r="AG1340" s="13">
        <v>8</v>
      </c>
      <c r="AH1340" s="13">
        <v>0</v>
      </c>
      <c r="AI1340" s="13">
        <v>0</v>
      </c>
      <c r="AJ1340" s="13">
        <v>0</v>
      </c>
      <c r="AK1340" s="13">
        <v>0</v>
      </c>
      <c r="AL1340" s="13">
        <v>0</v>
      </c>
      <c r="AM1340" s="13">
        <v>0</v>
      </c>
      <c r="AN1340" s="13">
        <v>0</v>
      </c>
      <c r="AO1340" s="14">
        <v>0</v>
      </c>
      <c r="AP1340" s="13">
        <v>3</v>
      </c>
      <c r="AQ1340" s="13">
        <v>11</v>
      </c>
      <c r="AR1340" s="15">
        <v>141</v>
      </c>
      <c r="AS1340" s="15">
        <v>153</v>
      </c>
    </row>
    <row r="1341" spans="1:45" x14ac:dyDescent="0.25">
      <c r="A1341">
        <v>425</v>
      </c>
      <c r="B1341" s="11">
        <f t="shared" si="20"/>
        <v>56223</v>
      </c>
      <c r="C1341" s="16">
        <v>562230</v>
      </c>
      <c r="D1341" s="17">
        <v>0</v>
      </c>
      <c r="E1341" s="17">
        <v>1</v>
      </c>
      <c r="F1341" s="17">
        <v>72</v>
      </c>
      <c r="G1341" s="17">
        <v>72</v>
      </c>
      <c r="H1341" s="13" t="str" cm="1">
        <f t="array" ref="H1341">_xlfn.IFS(G1341&lt;=20,"0-20",G1341&lt;=30,"20-30",G1341&lt;=40,"30-40",G1341&lt;=50,"50-60",G1341&lt;=60,"60-70",G1341&lt;=70,"70-80",G1341&lt;=80,"80-90")</f>
        <v>80-90</v>
      </c>
      <c r="I1341" s="17">
        <v>2350</v>
      </c>
      <c r="J1341" s="13" t="str" cm="1">
        <f t="array" ref="J1341">_xlfn.IFS(K1341=1,"Divorciado",L1341=1,"Casado",M1341=1,"Solteiro",N1341=1,"Juntos",O1341=1,"Viuvo")</f>
        <v>Casado</v>
      </c>
      <c r="K1341" s="17">
        <v>0</v>
      </c>
      <c r="L1341" s="17">
        <v>1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1</v>
      </c>
      <c r="U1341" s="17">
        <v>77</v>
      </c>
      <c r="V1341" s="13" t="str" cm="1">
        <f t="array" ref="V1341">_xlfn.IFS(U1341&lt;=250,"0-R$250",U1341&lt;=500,"251-R$500",U1341&lt;=750,"501-R$750",U1341&lt;=1000,"751-R$1000",U1341&lt;=1250,"1001-R$1250",U1341&lt;=1500,"1251-R$1500")</f>
        <v>0-R$250</v>
      </c>
      <c r="W1341" s="17">
        <v>28</v>
      </c>
      <c r="X1341" s="13" t="str" cm="1">
        <f t="array" ref="X1341">_xlfn.IFS(W1341 = 0, "0", W1341&lt;=20, "até R$20",W1341&lt;=40, "21 - R$40",W1341&lt;=60, "41- R$60",W1341&lt;=80, "61 - R$80", W1341&lt;=100, "81 - R$100",W1341&lt;=120, "101 - R$120",W1341&lt;=140, "121 - R$140", W1341&lt;=160, "141- R$160", W1341&lt;=180, "161 - R$180", W1341&lt;=200, "181-R$194")</f>
        <v>21 - R$40</v>
      </c>
      <c r="Y1341" s="17">
        <v>31</v>
      </c>
      <c r="Z1341" s="17">
        <v>16</v>
      </c>
      <c r="AA1341" s="17">
        <v>0</v>
      </c>
      <c r="AB1341" s="17">
        <v>4</v>
      </c>
      <c r="AC1341" s="17">
        <v>2</v>
      </c>
      <c r="AD1341" s="17">
        <v>2</v>
      </c>
      <c r="AE1341" s="17">
        <v>1</v>
      </c>
      <c r="AF1341" s="17">
        <v>5</v>
      </c>
      <c r="AG1341" s="17">
        <v>4</v>
      </c>
      <c r="AH1341" s="17">
        <v>0</v>
      </c>
      <c r="AI1341" s="17">
        <v>0</v>
      </c>
      <c r="AJ1341" s="17">
        <v>0</v>
      </c>
      <c r="AK1341" s="17">
        <v>0</v>
      </c>
      <c r="AL1341" s="17">
        <v>0</v>
      </c>
      <c r="AM1341" s="17">
        <v>0</v>
      </c>
      <c r="AN1341" s="17">
        <v>0</v>
      </c>
      <c r="AO1341" s="18">
        <v>0</v>
      </c>
      <c r="AP1341" s="17">
        <v>3</v>
      </c>
      <c r="AQ1341" s="17">
        <v>11</v>
      </c>
      <c r="AR1341" s="19">
        <v>148</v>
      </c>
      <c r="AS1341" s="19">
        <v>152</v>
      </c>
    </row>
    <row r="1342" spans="1:45" x14ac:dyDescent="0.25">
      <c r="A1342">
        <v>560</v>
      </c>
      <c r="B1342" s="11">
        <f t="shared" si="20"/>
        <v>51287</v>
      </c>
      <c r="C1342" s="12">
        <v>512870</v>
      </c>
      <c r="D1342" s="13">
        <v>1</v>
      </c>
      <c r="E1342" s="13">
        <v>1</v>
      </c>
      <c r="F1342" s="13">
        <v>10</v>
      </c>
      <c r="G1342" s="13">
        <v>52</v>
      </c>
      <c r="H1342" s="13" t="str" cm="1">
        <f t="array" ref="H1342">_xlfn.IFS(G1342&lt;=20,"0-20",G1342&lt;=30,"20-30",G1342&lt;=40,"30-40",G1342&lt;=50,"50-60",G1342&lt;=60,"60-70",G1342&lt;=70,"70-80",G1342&lt;=80,"80-90")</f>
        <v>60-70</v>
      </c>
      <c r="I1342" s="13">
        <v>2248</v>
      </c>
      <c r="J1342" s="13" t="str" cm="1">
        <f t="array" ref="J1342">_xlfn.IFS(K1342=1,"Divorciado",L1342=1,"Casado",M1342=1,"Solteiro",N1342=1,"Juntos",O1342=1,"Viuvo")</f>
        <v>Casado</v>
      </c>
      <c r="K1342" s="13">
        <v>0</v>
      </c>
      <c r="L1342" s="13">
        <v>1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1</v>
      </c>
      <c r="S1342" s="13">
        <v>0</v>
      </c>
      <c r="T1342" s="13">
        <v>0</v>
      </c>
      <c r="U1342" s="13">
        <v>117</v>
      </c>
      <c r="V1342" s="13" t="str" cm="1">
        <f t="array" ref="V1342">_xlfn.IFS(U1342&lt;=250,"0-R$250",U1342&lt;=500,"251-R$500",U1342&lt;=750,"501-R$750",U1342&lt;=1000,"751-R$1000",U1342&lt;=1250,"1001-R$1250",U1342&lt;=1500,"1251-R$1500")</f>
        <v>0-R$250</v>
      </c>
      <c r="W1342" s="13">
        <v>0</v>
      </c>
      <c r="X1342" s="13" t="str" cm="1">
        <f t="array" ref="X1342">_xlfn.IFS(W1342 = 0, "0", W1342&lt;=20, "até R$20",W1342&lt;=40, "21 - R$40",W1342&lt;=60, "41- R$60",W1342&lt;=80, "61 - R$80", W1342&lt;=100, "81 - R$100",W1342&lt;=120, "101 - R$120",W1342&lt;=140, "121 - R$140", W1342&lt;=160, "141- R$160", W1342&lt;=180, "161 - R$180", W1342&lt;=200, "181-R$194")</f>
        <v>0</v>
      </c>
      <c r="Y1342" s="13">
        <v>22</v>
      </c>
      <c r="Z1342" s="13">
        <v>13</v>
      </c>
      <c r="AA1342" s="13">
        <v>0</v>
      </c>
      <c r="AB1342" s="13">
        <v>30</v>
      </c>
      <c r="AC1342" s="13">
        <v>3</v>
      </c>
      <c r="AD1342" s="13">
        <v>4</v>
      </c>
      <c r="AE1342" s="13">
        <v>1</v>
      </c>
      <c r="AF1342" s="13">
        <v>3</v>
      </c>
      <c r="AG1342" s="13">
        <v>7</v>
      </c>
      <c r="AH1342" s="13">
        <v>0</v>
      </c>
      <c r="AI1342" s="13">
        <v>0</v>
      </c>
      <c r="AJ1342" s="13">
        <v>0</v>
      </c>
      <c r="AK1342" s="13">
        <v>0</v>
      </c>
      <c r="AL1342" s="13">
        <v>0</v>
      </c>
      <c r="AM1342" s="13">
        <v>0</v>
      </c>
      <c r="AN1342" s="13">
        <v>0</v>
      </c>
      <c r="AO1342" s="14">
        <v>0</v>
      </c>
      <c r="AP1342" s="13">
        <v>3</v>
      </c>
      <c r="AQ1342" s="13">
        <v>11</v>
      </c>
      <c r="AR1342" s="15">
        <v>122</v>
      </c>
      <c r="AS1342" s="15">
        <v>152</v>
      </c>
    </row>
    <row r="1343" spans="1:45" x14ac:dyDescent="0.25">
      <c r="A1343">
        <v>1181</v>
      </c>
      <c r="B1343" s="11">
        <f t="shared" si="20"/>
        <v>54809</v>
      </c>
      <c r="C1343" s="16">
        <v>548090</v>
      </c>
      <c r="D1343" s="17">
        <v>1</v>
      </c>
      <c r="E1343" s="17">
        <v>1</v>
      </c>
      <c r="F1343" s="17">
        <v>0</v>
      </c>
      <c r="G1343" s="17">
        <v>43</v>
      </c>
      <c r="H1343" s="13" t="str" cm="1">
        <f t="array" ref="H1343">_xlfn.IFS(G1343&lt;=20,"0-20",G1343&lt;=30,"20-30",G1343&lt;=40,"30-40",G1343&lt;=50,"50-60",G1343&lt;=60,"60-70",G1343&lt;=70,"70-80",G1343&lt;=80,"80-90")</f>
        <v>50-60</v>
      </c>
      <c r="I1343" s="17">
        <v>2450</v>
      </c>
      <c r="J1343" s="13" t="str" cm="1">
        <f t="array" ref="J1343">_xlfn.IFS(K1343=1,"Divorciado",L1343=1,"Casado",M1343=1,"Solteiro",N1343=1,"Juntos",O1343=1,"Viuvo")</f>
        <v>Casado</v>
      </c>
      <c r="K1343" s="17">
        <v>0</v>
      </c>
      <c r="L1343" s="17">
        <v>1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1</v>
      </c>
      <c r="S1343" s="17">
        <v>0</v>
      </c>
      <c r="T1343" s="17">
        <v>0</v>
      </c>
      <c r="U1343" s="17">
        <v>63</v>
      </c>
      <c r="V1343" s="13" t="str" cm="1">
        <f t="array" ref="V1343">_xlfn.IFS(U1343&lt;=250,"0-R$250",U1343&lt;=500,"251-R$500",U1343&lt;=750,"501-R$750",U1343&lt;=1000,"751-R$1000",U1343&lt;=1250,"1001-R$1250",U1343&lt;=1500,"1251-R$1500")</f>
        <v>0-R$250</v>
      </c>
      <c r="W1343" s="17">
        <v>6</v>
      </c>
      <c r="X1343" s="13" t="str" cm="1">
        <f t="array" ref="X1343">_xlfn.IFS(W1343 = 0, "0", W1343&lt;=20, "até R$20",W1343&lt;=40, "21 - R$40",W1343&lt;=60, "41- R$60",W1343&lt;=80, "61 - R$80", W1343&lt;=100, "81 - R$100",W1343&lt;=120, "101 - R$120",W1343&lt;=140, "121 - R$140", W1343&lt;=160, "141- R$160", W1343&lt;=180, "161 - R$180", W1343&lt;=200, "181-R$194")</f>
        <v>até R$20</v>
      </c>
      <c r="Y1343" s="17">
        <v>57</v>
      </c>
      <c r="Z1343" s="17">
        <v>13</v>
      </c>
      <c r="AA1343" s="17">
        <v>13</v>
      </c>
      <c r="AB1343" s="17">
        <v>22</v>
      </c>
      <c r="AC1343" s="17">
        <v>4</v>
      </c>
      <c r="AD1343" s="17">
        <v>2</v>
      </c>
      <c r="AE1343" s="17">
        <v>1</v>
      </c>
      <c r="AF1343" s="17">
        <v>5</v>
      </c>
      <c r="AG1343" s="17">
        <v>4</v>
      </c>
      <c r="AH1343" s="17">
        <v>0</v>
      </c>
      <c r="AI1343" s="17">
        <v>0</v>
      </c>
      <c r="AJ1343" s="17">
        <v>0</v>
      </c>
      <c r="AK1343" s="17">
        <v>0</v>
      </c>
      <c r="AL1343" s="17">
        <v>0</v>
      </c>
      <c r="AM1343" s="17">
        <v>0</v>
      </c>
      <c r="AN1343" s="17">
        <v>0</v>
      </c>
      <c r="AO1343" s="18">
        <v>0</v>
      </c>
      <c r="AP1343" s="17">
        <v>3</v>
      </c>
      <c r="AQ1343" s="17">
        <v>11</v>
      </c>
      <c r="AR1343" s="19">
        <v>130</v>
      </c>
      <c r="AS1343" s="19">
        <v>152</v>
      </c>
    </row>
    <row r="1344" spans="1:45" x14ac:dyDescent="0.25">
      <c r="A1344">
        <v>1307</v>
      </c>
      <c r="B1344" s="11">
        <f t="shared" si="20"/>
        <v>45503</v>
      </c>
      <c r="C1344" s="16">
        <v>455030</v>
      </c>
      <c r="D1344" s="17">
        <v>1</v>
      </c>
      <c r="E1344" s="17">
        <v>0</v>
      </c>
      <c r="F1344" s="17">
        <v>54</v>
      </c>
      <c r="G1344" s="17">
        <v>45</v>
      </c>
      <c r="H1344" s="13" t="str" cm="1">
        <f t="array" ref="H1344">_xlfn.IFS(G1344&lt;=20,"0-20",G1344&lt;=30,"20-30",G1344&lt;=40,"30-40",G1344&lt;=50,"50-60",G1344&lt;=60,"60-70",G1344&lt;=70,"70-80",G1344&lt;=80,"80-90")</f>
        <v>50-60</v>
      </c>
      <c r="I1344" s="17">
        <v>2436</v>
      </c>
      <c r="J1344" s="13" t="str" cm="1">
        <f t="array" ref="J1344">_xlfn.IFS(K1344=1,"Divorciado",L1344=1,"Casado",M1344=1,"Solteiro",N1344=1,"Juntos",O1344=1,"Viuvo")</f>
        <v>Casado</v>
      </c>
      <c r="K1344" s="17">
        <v>0</v>
      </c>
      <c r="L1344" s="17">
        <v>1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1</v>
      </c>
      <c r="U1344" s="17">
        <v>97</v>
      </c>
      <c r="V1344" s="13" t="str" cm="1">
        <f t="array" ref="V1344">_xlfn.IFS(U1344&lt;=250,"0-R$250",U1344&lt;=500,"251-R$500",U1344&lt;=750,"501-R$750",U1344&lt;=1000,"751-R$1000",U1344&lt;=1250,"1001-R$1250",U1344&lt;=1500,"1251-R$1500")</f>
        <v>0-R$250</v>
      </c>
      <c r="W1344" s="17">
        <v>4</v>
      </c>
      <c r="X1344" s="13" t="str" cm="1">
        <f t="array" ref="X1344">_xlfn.IFS(W1344 = 0, "0", W1344&lt;=20, "até R$20",W1344&lt;=40, "21 - R$40",W1344&lt;=60, "41- R$60",W1344&lt;=80, "61 - R$80", W1344&lt;=100, "81 - R$100",W1344&lt;=120, "101 - R$120",W1344&lt;=140, "121 - R$140", W1344&lt;=160, "141- R$160", W1344&lt;=180, "161 - R$180", W1344&lt;=200, "181-R$194")</f>
        <v>até R$20</v>
      </c>
      <c r="Y1344" s="17">
        <v>44</v>
      </c>
      <c r="Z1344" s="17">
        <v>6</v>
      </c>
      <c r="AA1344" s="17">
        <v>1</v>
      </c>
      <c r="AB1344" s="17">
        <v>18</v>
      </c>
      <c r="AC1344" s="17">
        <v>1</v>
      </c>
      <c r="AD1344" s="17">
        <v>3</v>
      </c>
      <c r="AE1344" s="17">
        <v>1</v>
      </c>
      <c r="AF1344" s="17">
        <v>4</v>
      </c>
      <c r="AG1344" s="17">
        <v>5</v>
      </c>
      <c r="AH1344" s="17">
        <v>0</v>
      </c>
      <c r="AI1344" s="17">
        <v>0</v>
      </c>
      <c r="AJ1344" s="17">
        <v>0</v>
      </c>
      <c r="AK1344" s="17">
        <v>0</v>
      </c>
      <c r="AL1344" s="17">
        <v>0</v>
      </c>
      <c r="AM1344" s="17">
        <v>0</v>
      </c>
      <c r="AN1344" s="17">
        <v>0</v>
      </c>
      <c r="AO1344" s="18">
        <v>0</v>
      </c>
      <c r="AP1344" s="17">
        <v>3</v>
      </c>
      <c r="AQ1344" s="17">
        <v>11</v>
      </c>
      <c r="AR1344" s="19">
        <v>134</v>
      </c>
      <c r="AS1344" s="19">
        <v>152</v>
      </c>
    </row>
    <row r="1345" spans="1:45" x14ac:dyDescent="0.25">
      <c r="A1345">
        <v>1715</v>
      </c>
      <c r="B1345" s="11">
        <f t="shared" si="20"/>
        <v>55761</v>
      </c>
      <c r="C1345" s="16">
        <v>557610</v>
      </c>
      <c r="D1345" s="17">
        <v>0</v>
      </c>
      <c r="E1345" s="17">
        <v>1</v>
      </c>
      <c r="F1345" s="17">
        <v>97</v>
      </c>
      <c r="G1345" s="17">
        <v>56</v>
      </c>
      <c r="H1345" s="13" t="str" cm="1">
        <f t="array" ref="H1345">_xlfn.IFS(G1345&lt;=20,"0-20",G1345&lt;=30,"20-30",G1345&lt;=40,"30-40",G1345&lt;=50,"50-60",G1345&lt;=60,"60-70",G1345&lt;=70,"70-80",G1345&lt;=80,"80-90")</f>
        <v>60-70</v>
      </c>
      <c r="I1345" s="17">
        <v>2225</v>
      </c>
      <c r="J1345" s="13" t="str" cm="1">
        <f t="array" ref="J1345">_xlfn.IFS(K1345=1,"Divorciado",L1345=1,"Casado",M1345=1,"Solteiro",N1345=1,"Juntos",O1345=1,"Viuvo")</f>
        <v>Juntos</v>
      </c>
      <c r="K1345" s="17">
        <v>0</v>
      </c>
      <c r="L1345" s="17">
        <v>0</v>
      </c>
      <c r="M1345" s="17">
        <v>0</v>
      </c>
      <c r="N1345" s="17">
        <v>1</v>
      </c>
      <c r="O1345" s="17">
        <v>0</v>
      </c>
      <c r="P1345" s="17">
        <v>0</v>
      </c>
      <c r="Q1345" s="17">
        <v>0</v>
      </c>
      <c r="R1345" s="17">
        <v>1</v>
      </c>
      <c r="S1345" s="17">
        <v>0</v>
      </c>
      <c r="T1345" s="17">
        <v>0</v>
      </c>
      <c r="U1345" s="17">
        <v>136</v>
      </c>
      <c r="V1345" s="13" t="str" cm="1">
        <f t="array" ref="V1345">_xlfn.IFS(U1345&lt;=250,"0-R$250",U1345&lt;=500,"251-R$500",U1345&lt;=750,"501-R$750",U1345&lt;=1000,"751-R$1000",U1345&lt;=1250,"1001-R$1250",U1345&lt;=1500,"1251-R$1500")</f>
        <v>0-R$250</v>
      </c>
      <c r="W1345" s="17">
        <v>1</v>
      </c>
      <c r="X1345" s="13" t="str" cm="1">
        <f t="array" ref="X1345">_xlfn.IFS(W1345 = 0, "0", W1345&lt;=20, "até R$20",W1345&lt;=40, "21 - R$40",W1345&lt;=60, "41- R$60",W1345&lt;=80, "61 - R$80", W1345&lt;=100, "81 - R$100",W1345&lt;=120, "101 - R$120",W1345&lt;=140, "121 - R$140", W1345&lt;=160, "141- R$160", W1345&lt;=180, "161 - R$180", W1345&lt;=200, "181-R$194")</f>
        <v>até R$20</v>
      </c>
      <c r="Y1345" s="17">
        <v>12</v>
      </c>
      <c r="Z1345" s="17">
        <v>0</v>
      </c>
      <c r="AA1345" s="17">
        <v>3</v>
      </c>
      <c r="AB1345" s="17">
        <v>32</v>
      </c>
      <c r="AC1345" s="17">
        <v>2</v>
      </c>
      <c r="AD1345" s="17">
        <v>4</v>
      </c>
      <c r="AE1345" s="17">
        <v>1</v>
      </c>
      <c r="AF1345" s="17">
        <v>3</v>
      </c>
      <c r="AG1345" s="17">
        <v>6</v>
      </c>
      <c r="AH1345" s="17">
        <v>0</v>
      </c>
      <c r="AI1345" s="17">
        <v>0</v>
      </c>
      <c r="AJ1345" s="17">
        <v>1</v>
      </c>
      <c r="AK1345" s="17">
        <v>0</v>
      </c>
      <c r="AL1345" s="17">
        <v>0</v>
      </c>
      <c r="AM1345" s="17">
        <v>0</v>
      </c>
      <c r="AN1345" s="17">
        <v>0</v>
      </c>
      <c r="AO1345" s="18">
        <v>1</v>
      </c>
      <c r="AP1345" s="17">
        <v>3</v>
      </c>
      <c r="AQ1345" s="17">
        <v>11</v>
      </c>
      <c r="AR1345" s="19">
        <v>120</v>
      </c>
      <c r="AS1345" s="19">
        <v>152</v>
      </c>
    </row>
    <row r="1346" spans="1:45" x14ac:dyDescent="0.25">
      <c r="A1346">
        <v>1744</v>
      </c>
      <c r="B1346" s="11">
        <f t="shared" ref="B1346:B1409" si="21">C1346/10</f>
        <v>47808</v>
      </c>
      <c r="C1346" s="12">
        <v>478080</v>
      </c>
      <c r="D1346" s="13">
        <v>0</v>
      </c>
      <c r="E1346" s="13">
        <v>1</v>
      </c>
      <c r="F1346" s="13">
        <v>30</v>
      </c>
      <c r="G1346" s="13">
        <v>45</v>
      </c>
      <c r="H1346" s="13" t="str" cm="1">
        <f t="array" ref="H1346">_xlfn.IFS(G1346&lt;=20,"0-20",G1346&lt;=30,"20-30",G1346&lt;=40,"30-40",G1346&lt;=50,"50-60",G1346&lt;=60,"60-70",G1346&lt;=70,"70-80",G1346&lt;=80,"80-90")</f>
        <v>50-60</v>
      </c>
      <c r="I1346" s="13">
        <v>2411</v>
      </c>
      <c r="J1346" s="13" t="str" cm="1">
        <f t="array" ref="J1346">_xlfn.IFS(K1346=1,"Divorciado",L1346=1,"Casado",M1346=1,"Solteiro",N1346=1,"Juntos",O1346=1,"Viuvo")</f>
        <v>Casado</v>
      </c>
      <c r="K1346" s="13">
        <v>0</v>
      </c>
      <c r="L1346" s="13">
        <v>1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1</v>
      </c>
      <c r="T1346" s="13">
        <v>0</v>
      </c>
      <c r="U1346" s="13">
        <v>123</v>
      </c>
      <c r="V1346" s="13" t="str" cm="1">
        <f t="array" ref="V1346">_xlfn.IFS(U1346&lt;=250,"0-R$250",U1346&lt;=500,"251-R$500",U1346&lt;=750,"501-R$750",U1346&lt;=1000,"751-R$1000",U1346&lt;=1250,"1001-R$1250",U1346&lt;=1500,"1251-R$1500")</f>
        <v>0-R$250</v>
      </c>
      <c r="W1346" s="13">
        <v>1</v>
      </c>
      <c r="X1346" s="13" t="str" cm="1">
        <f t="array" ref="X1346">_xlfn.IFS(W1346 = 0, "0", W1346&lt;=20, "até R$20",W1346&lt;=40, "21 - R$40",W1346&lt;=60, "41- R$60",W1346&lt;=80, "61 - R$80", W1346&lt;=100, "81 - R$100",W1346&lt;=120, "101 - R$120",W1346&lt;=140, "121 - R$140", W1346&lt;=160, "141- R$160", W1346&lt;=180, "161 - R$180", W1346&lt;=200, "181-R$194")</f>
        <v>até R$20</v>
      </c>
      <c r="Y1346" s="13">
        <v>26</v>
      </c>
      <c r="Z1346" s="13">
        <v>2</v>
      </c>
      <c r="AA1346" s="13">
        <v>0</v>
      </c>
      <c r="AB1346" s="13">
        <v>72</v>
      </c>
      <c r="AC1346" s="13">
        <v>2</v>
      </c>
      <c r="AD1346" s="13">
        <v>3</v>
      </c>
      <c r="AE1346" s="13">
        <v>2</v>
      </c>
      <c r="AF1346" s="13">
        <v>3</v>
      </c>
      <c r="AG1346" s="13">
        <v>7</v>
      </c>
      <c r="AH1346" s="13">
        <v>0</v>
      </c>
      <c r="AI1346" s="13">
        <v>1</v>
      </c>
      <c r="AJ1346" s="13">
        <v>0</v>
      </c>
      <c r="AK1346" s="13">
        <v>0</v>
      </c>
      <c r="AL1346" s="13">
        <v>0</v>
      </c>
      <c r="AM1346" s="13">
        <v>0</v>
      </c>
      <c r="AN1346" s="13">
        <v>0</v>
      </c>
      <c r="AO1346" s="14">
        <v>1</v>
      </c>
      <c r="AP1346" s="13">
        <v>3</v>
      </c>
      <c r="AQ1346" s="13">
        <v>11</v>
      </c>
      <c r="AR1346" s="15">
        <v>80</v>
      </c>
      <c r="AS1346" s="15">
        <v>152</v>
      </c>
    </row>
    <row r="1347" spans="1:45" x14ac:dyDescent="0.25">
      <c r="A1347">
        <v>1809</v>
      </c>
      <c r="B1347" s="11">
        <f t="shared" si="21"/>
        <v>54809</v>
      </c>
      <c r="C1347" s="16">
        <v>548090</v>
      </c>
      <c r="D1347" s="17">
        <v>1</v>
      </c>
      <c r="E1347" s="17">
        <v>1</v>
      </c>
      <c r="F1347" s="17">
        <v>0</v>
      </c>
      <c r="G1347" s="17">
        <v>43</v>
      </c>
      <c r="H1347" s="13" t="str" cm="1">
        <f t="array" ref="H1347">_xlfn.IFS(G1347&lt;=20,"0-20",G1347&lt;=30,"20-30",G1347&lt;=40,"30-40",G1347&lt;=50,"50-60",G1347&lt;=60,"60-70",G1347&lt;=70,"70-80",G1347&lt;=80,"80-90")</f>
        <v>50-60</v>
      </c>
      <c r="I1347" s="17">
        <v>2450</v>
      </c>
      <c r="J1347" s="13" t="str" cm="1">
        <f t="array" ref="J1347">_xlfn.IFS(K1347=1,"Divorciado",L1347=1,"Casado",M1347=1,"Solteiro",N1347=1,"Juntos",O1347=1,"Viuvo")</f>
        <v>Casado</v>
      </c>
      <c r="K1347" s="17">
        <v>0</v>
      </c>
      <c r="L1347" s="17">
        <v>1</v>
      </c>
      <c r="M1347" s="17">
        <v>0</v>
      </c>
      <c r="N1347" s="17">
        <v>0</v>
      </c>
      <c r="O1347" s="17">
        <v>0</v>
      </c>
      <c r="P1347" s="17">
        <v>0</v>
      </c>
      <c r="Q1347" s="17">
        <v>0</v>
      </c>
      <c r="R1347" s="17">
        <v>1</v>
      </c>
      <c r="S1347" s="17">
        <v>0</v>
      </c>
      <c r="T1347" s="17">
        <v>0</v>
      </c>
      <c r="U1347" s="17">
        <v>63</v>
      </c>
      <c r="V1347" s="13" t="str" cm="1">
        <f t="array" ref="V1347">_xlfn.IFS(U1347&lt;=250,"0-R$250",U1347&lt;=500,"251-R$500",U1347&lt;=750,"501-R$750",U1347&lt;=1000,"751-R$1000",U1347&lt;=1250,"1001-R$1250",U1347&lt;=1500,"1251-R$1500")</f>
        <v>0-R$250</v>
      </c>
      <c r="W1347" s="17">
        <v>6</v>
      </c>
      <c r="X1347" s="13" t="str" cm="1">
        <f t="array" ref="X1347">_xlfn.IFS(W1347 = 0, "0", W1347&lt;=20, "até R$20",W1347&lt;=40, "21 - R$40",W1347&lt;=60, "41- R$60",W1347&lt;=80, "61 - R$80", W1347&lt;=100, "81 - R$100",W1347&lt;=120, "101 - R$120",W1347&lt;=140, "121 - R$140", W1347&lt;=160, "141- R$160", W1347&lt;=180, "161 - R$180", W1347&lt;=200, "181-R$194")</f>
        <v>até R$20</v>
      </c>
      <c r="Y1347" s="17">
        <v>57</v>
      </c>
      <c r="Z1347" s="17">
        <v>13</v>
      </c>
      <c r="AA1347" s="17">
        <v>13</v>
      </c>
      <c r="AB1347" s="17">
        <v>22</v>
      </c>
      <c r="AC1347" s="17">
        <v>4</v>
      </c>
      <c r="AD1347" s="17">
        <v>2</v>
      </c>
      <c r="AE1347" s="17">
        <v>1</v>
      </c>
      <c r="AF1347" s="17">
        <v>5</v>
      </c>
      <c r="AG1347" s="17">
        <v>4</v>
      </c>
      <c r="AH1347" s="17">
        <v>0</v>
      </c>
      <c r="AI1347" s="17">
        <v>0</v>
      </c>
      <c r="AJ1347" s="17">
        <v>0</v>
      </c>
      <c r="AK1347" s="17">
        <v>0</v>
      </c>
      <c r="AL1347" s="17">
        <v>0</v>
      </c>
      <c r="AM1347" s="17">
        <v>0</v>
      </c>
      <c r="AN1347" s="17">
        <v>1</v>
      </c>
      <c r="AO1347" s="18">
        <v>0</v>
      </c>
      <c r="AP1347" s="17">
        <v>3</v>
      </c>
      <c r="AQ1347" s="17">
        <v>11</v>
      </c>
      <c r="AR1347" s="19">
        <v>130</v>
      </c>
      <c r="AS1347" s="19">
        <v>152</v>
      </c>
    </row>
    <row r="1348" spans="1:45" x14ac:dyDescent="0.25">
      <c r="A1348">
        <v>1815</v>
      </c>
      <c r="B1348" s="11">
        <f t="shared" si="21"/>
        <v>32313</v>
      </c>
      <c r="C1348" s="16">
        <v>323130</v>
      </c>
      <c r="D1348" s="17">
        <v>1</v>
      </c>
      <c r="E1348" s="17">
        <v>0</v>
      </c>
      <c r="F1348" s="17">
        <v>60</v>
      </c>
      <c r="G1348" s="17">
        <v>38</v>
      </c>
      <c r="H1348" s="13" t="str" cm="1">
        <f t="array" ref="H1348">_xlfn.IFS(G1348&lt;=20,"0-20",G1348&lt;=30,"20-30",G1348&lt;=40,"30-40",G1348&lt;=50,"50-60",G1348&lt;=60,"60-70",G1348&lt;=70,"70-80",G1348&lt;=80,"80-90")</f>
        <v>30-40</v>
      </c>
      <c r="I1348" s="17">
        <v>2662</v>
      </c>
      <c r="J1348" s="13" t="str" cm="1">
        <f t="array" ref="J1348">_xlfn.IFS(K1348=1,"Divorciado",L1348=1,"Casado",M1348=1,"Solteiro",N1348=1,"Juntos",O1348=1,"Viuvo")</f>
        <v>Juntos</v>
      </c>
      <c r="K1348" s="17">
        <v>0</v>
      </c>
      <c r="L1348" s="17">
        <v>0</v>
      </c>
      <c r="M1348" s="17">
        <v>0</v>
      </c>
      <c r="N1348" s="17">
        <v>1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1</v>
      </c>
      <c r="U1348" s="17">
        <v>86</v>
      </c>
      <c r="V1348" s="13" t="str" cm="1">
        <f t="array" ref="V1348">_xlfn.IFS(U1348&lt;=250,"0-R$250",U1348&lt;=500,"251-R$500",U1348&lt;=750,"501-R$750",U1348&lt;=1000,"751-R$1000",U1348&lt;=1250,"1001-R$1250",U1348&lt;=1500,"1251-R$1500")</f>
        <v>0-R$250</v>
      </c>
      <c r="W1348" s="17">
        <v>4</v>
      </c>
      <c r="X1348" s="13" t="str" cm="1">
        <f t="array" ref="X1348">_xlfn.IFS(W1348 = 0, "0", W1348&lt;=20, "até R$20",W1348&lt;=40, "21 - R$40",W1348&lt;=60, "41- R$60",W1348&lt;=80, "61 - R$80", W1348&lt;=100, "81 - R$100",W1348&lt;=120, "101 - R$120",W1348&lt;=140, "121 - R$140", W1348&lt;=160, "141- R$160", W1348&lt;=180, "161 - R$180", W1348&lt;=200, "181-R$194")</f>
        <v>até R$20</v>
      </c>
      <c r="Y1348" s="17">
        <v>56</v>
      </c>
      <c r="Z1348" s="17">
        <v>2</v>
      </c>
      <c r="AA1348" s="17">
        <v>4</v>
      </c>
      <c r="AB1348" s="17">
        <v>7</v>
      </c>
      <c r="AC1348" s="17">
        <v>3</v>
      </c>
      <c r="AD1348" s="17">
        <v>4</v>
      </c>
      <c r="AE1348" s="17">
        <v>0</v>
      </c>
      <c r="AF1348" s="17">
        <v>4</v>
      </c>
      <c r="AG1348" s="17">
        <v>9</v>
      </c>
      <c r="AH1348" s="17">
        <v>0</v>
      </c>
      <c r="AI1348" s="17">
        <v>0</v>
      </c>
      <c r="AJ1348" s="17">
        <v>0</v>
      </c>
      <c r="AK1348" s="17">
        <v>0</v>
      </c>
      <c r="AL1348" s="17">
        <v>0</v>
      </c>
      <c r="AM1348" s="17">
        <v>0</v>
      </c>
      <c r="AN1348" s="17">
        <v>0</v>
      </c>
      <c r="AO1348" s="18">
        <v>0</v>
      </c>
      <c r="AP1348" s="17">
        <v>3</v>
      </c>
      <c r="AQ1348" s="17">
        <v>11</v>
      </c>
      <c r="AR1348" s="19">
        <v>145</v>
      </c>
      <c r="AS1348" s="19">
        <v>152</v>
      </c>
    </row>
    <row r="1349" spans="1:45" x14ac:dyDescent="0.25">
      <c r="A1349">
        <v>1169</v>
      </c>
      <c r="B1349" s="11">
        <f t="shared" si="21"/>
        <v>31497</v>
      </c>
      <c r="C1349" s="16">
        <v>314970</v>
      </c>
      <c r="D1349" s="17">
        <v>0</v>
      </c>
      <c r="E1349" s="17">
        <v>1</v>
      </c>
      <c r="F1349" s="17">
        <v>22</v>
      </c>
      <c r="G1349" s="17">
        <v>58</v>
      </c>
      <c r="H1349" s="13" t="str" cm="1">
        <f t="array" ref="H1349">_xlfn.IFS(G1349&lt;=20,"0-20",G1349&lt;=30,"20-30",G1349&lt;=40,"30-40",G1349&lt;=50,"50-60",G1349&lt;=60,"60-70",G1349&lt;=70,"70-80",G1349&lt;=80,"80-90")</f>
        <v>60-70</v>
      </c>
      <c r="I1349" s="17">
        <v>2729</v>
      </c>
      <c r="J1349" s="13" t="str" cm="1">
        <f t="array" ref="J1349">_xlfn.IFS(K1349=1,"Divorciado",L1349=1,"Casado",M1349=1,"Solteiro",N1349=1,"Juntos",O1349=1,"Viuvo")</f>
        <v>Juntos</v>
      </c>
      <c r="K1349" s="17">
        <v>0</v>
      </c>
      <c r="L1349" s="17">
        <v>0</v>
      </c>
      <c r="M1349" s="17">
        <v>0</v>
      </c>
      <c r="N1349" s="17">
        <v>1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1</v>
      </c>
      <c r="U1349" s="17">
        <v>108</v>
      </c>
      <c r="V1349" s="13" t="str" cm="1">
        <f t="array" ref="V1349">_xlfn.IFS(U1349&lt;=250,"0-R$250",U1349&lt;=500,"251-R$500",U1349&lt;=750,"501-R$750",U1349&lt;=1000,"751-R$1000",U1349&lt;=1250,"1001-R$1250",U1349&lt;=1500,"1251-R$1500")</f>
        <v>0-R$250</v>
      </c>
      <c r="W1349" s="17">
        <v>1</v>
      </c>
      <c r="X1349" s="13" t="str" cm="1">
        <f t="array" ref="X1349">_xlfn.IFS(W1349 = 0, "0", W1349&lt;=20, "até R$20",W1349&lt;=40, "21 - R$40",W1349&lt;=60, "41- R$60",W1349&lt;=80, "61 - R$80", W1349&lt;=100, "81 - R$100",W1349&lt;=120, "101 - R$120",W1349&lt;=140, "121 - R$140", W1349&lt;=160, "141- R$160", W1349&lt;=180, "161 - R$180", W1349&lt;=200, "181-R$194")</f>
        <v>até R$20</v>
      </c>
      <c r="Y1349" s="17">
        <v>28</v>
      </c>
      <c r="Z1349" s="17">
        <v>13</v>
      </c>
      <c r="AA1349" s="17">
        <v>1</v>
      </c>
      <c r="AB1349" s="17">
        <v>4</v>
      </c>
      <c r="AC1349" s="17">
        <v>2</v>
      </c>
      <c r="AD1349" s="17">
        <v>3</v>
      </c>
      <c r="AE1349" s="17">
        <v>1</v>
      </c>
      <c r="AF1349" s="17">
        <v>4</v>
      </c>
      <c r="AG1349" s="17">
        <v>8</v>
      </c>
      <c r="AH1349" s="17">
        <v>0</v>
      </c>
      <c r="AI1349" s="17">
        <v>0</v>
      </c>
      <c r="AJ1349" s="17">
        <v>0</v>
      </c>
      <c r="AK1349" s="17">
        <v>0</v>
      </c>
      <c r="AL1349" s="17">
        <v>0</v>
      </c>
      <c r="AM1349" s="17">
        <v>0</v>
      </c>
      <c r="AN1349" s="17">
        <v>0</v>
      </c>
      <c r="AO1349" s="18">
        <v>0</v>
      </c>
      <c r="AP1349" s="17">
        <v>3</v>
      </c>
      <c r="AQ1349" s="17">
        <v>11</v>
      </c>
      <c r="AR1349" s="19">
        <v>147</v>
      </c>
      <c r="AS1349" s="19">
        <v>151</v>
      </c>
    </row>
    <row r="1350" spans="1:45" x14ac:dyDescent="0.25">
      <c r="A1350">
        <v>1447</v>
      </c>
      <c r="B1350" s="11">
        <f t="shared" si="21"/>
        <v>34380</v>
      </c>
      <c r="C1350" s="16">
        <v>343800</v>
      </c>
      <c r="D1350" s="17">
        <v>1</v>
      </c>
      <c r="E1350" s="17">
        <v>0</v>
      </c>
      <c r="F1350" s="17">
        <v>68</v>
      </c>
      <c r="G1350" s="17">
        <v>43</v>
      </c>
      <c r="H1350" s="13" t="str" cm="1">
        <f t="array" ref="H1350">_xlfn.IFS(G1350&lt;=20,"0-20",G1350&lt;=30,"20-30",G1350&lt;=40,"30-40",G1350&lt;=50,"50-60",G1350&lt;=60,"60-70",G1350&lt;=70,"70-80",G1350&lt;=80,"80-90")</f>
        <v>50-60</v>
      </c>
      <c r="I1350" s="17">
        <v>2582</v>
      </c>
      <c r="J1350" s="13" t="str" cm="1">
        <f t="array" ref="J1350">_xlfn.IFS(K1350=1,"Divorciado",L1350=1,"Casado",M1350=1,"Solteiro",N1350=1,"Juntos",O1350=1,"Viuvo")</f>
        <v>Casado</v>
      </c>
      <c r="K1350" s="17">
        <v>0</v>
      </c>
      <c r="L1350" s="17">
        <v>1</v>
      </c>
      <c r="M1350" s="17">
        <v>0</v>
      </c>
      <c r="N1350" s="17">
        <v>0</v>
      </c>
      <c r="O1350" s="17">
        <v>0</v>
      </c>
      <c r="P1350" s="17">
        <v>0</v>
      </c>
      <c r="Q1350" s="17">
        <v>0</v>
      </c>
      <c r="R1350" s="17">
        <v>1</v>
      </c>
      <c r="S1350" s="17">
        <v>0</v>
      </c>
      <c r="T1350" s="17">
        <v>0</v>
      </c>
      <c r="U1350" s="17">
        <v>72</v>
      </c>
      <c r="V1350" s="13" t="str" cm="1">
        <f t="array" ref="V1350">_xlfn.IFS(U1350&lt;=250,"0-R$250",U1350&lt;=500,"251-R$500",U1350&lt;=750,"501-R$750",U1350&lt;=1000,"751-R$1000",U1350&lt;=1250,"1001-R$1250",U1350&lt;=1500,"1251-R$1500")</f>
        <v>0-R$250</v>
      </c>
      <c r="W1350" s="17">
        <v>7</v>
      </c>
      <c r="X1350" s="13" t="str" cm="1">
        <f t="array" ref="X1350">_xlfn.IFS(W1350 = 0, "0", W1350&lt;=20, "até R$20",W1350&lt;=40, "21 - R$40",W1350&lt;=60, "41- R$60",W1350&lt;=80, "61 - R$80", W1350&lt;=100, "81 - R$100",W1350&lt;=120, "101 - R$120",W1350&lt;=140, "121 - R$140", W1350&lt;=160, "141- R$160", W1350&lt;=180, "161 - R$180", W1350&lt;=200, "181-R$194")</f>
        <v>até R$20</v>
      </c>
      <c r="Y1350" s="17">
        <v>58</v>
      </c>
      <c r="Z1350" s="17">
        <v>13</v>
      </c>
      <c r="AA1350" s="17">
        <v>1</v>
      </c>
      <c r="AB1350" s="17">
        <v>24</v>
      </c>
      <c r="AC1350" s="17">
        <v>4</v>
      </c>
      <c r="AD1350" s="17">
        <v>4</v>
      </c>
      <c r="AE1350" s="17">
        <v>1</v>
      </c>
      <c r="AF1350" s="17">
        <v>3</v>
      </c>
      <c r="AG1350" s="17">
        <v>8</v>
      </c>
      <c r="AH1350" s="17">
        <v>0</v>
      </c>
      <c r="AI1350" s="17">
        <v>0</v>
      </c>
      <c r="AJ1350" s="17">
        <v>0</v>
      </c>
      <c r="AK1350" s="17">
        <v>0</v>
      </c>
      <c r="AL1350" s="17">
        <v>0</v>
      </c>
      <c r="AM1350" s="17">
        <v>0</v>
      </c>
      <c r="AN1350" s="17">
        <v>0</v>
      </c>
      <c r="AO1350" s="18">
        <v>0</v>
      </c>
      <c r="AP1350" s="17">
        <v>3</v>
      </c>
      <c r="AQ1350" s="17">
        <v>11</v>
      </c>
      <c r="AR1350" s="19">
        <v>127</v>
      </c>
      <c r="AS1350" s="19">
        <v>151</v>
      </c>
    </row>
    <row r="1351" spans="1:45" x14ac:dyDescent="0.25">
      <c r="A1351">
        <v>1566</v>
      </c>
      <c r="B1351" s="11">
        <f t="shared" si="21"/>
        <v>31497</v>
      </c>
      <c r="C1351" s="12">
        <v>314970</v>
      </c>
      <c r="D1351" s="13">
        <v>0</v>
      </c>
      <c r="E1351" s="13">
        <v>1</v>
      </c>
      <c r="F1351" s="13">
        <v>22</v>
      </c>
      <c r="G1351" s="13">
        <v>58</v>
      </c>
      <c r="H1351" s="13" t="str" cm="1">
        <f t="array" ref="H1351">_xlfn.IFS(G1351&lt;=20,"0-20",G1351&lt;=30,"20-30",G1351&lt;=40,"30-40",G1351&lt;=50,"50-60",G1351&lt;=60,"60-70",G1351&lt;=70,"70-80",G1351&lt;=80,"80-90")</f>
        <v>60-70</v>
      </c>
      <c r="I1351" s="13">
        <v>2729</v>
      </c>
      <c r="J1351" s="13" t="str" cm="1">
        <f t="array" ref="J1351">_xlfn.IFS(K1351=1,"Divorciado",L1351=1,"Casado",M1351=1,"Solteiro",N1351=1,"Juntos",O1351=1,"Viuvo")</f>
        <v>Juntos</v>
      </c>
      <c r="K1351" s="13">
        <v>0</v>
      </c>
      <c r="L1351" s="13">
        <v>0</v>
      </c>
      <c r="M1351" s="13">
        <v>0</v>
      </c>
      <c r="N1351" s="13">
        <v>1</v>
      </c>
      <c r="O1351" s="13">
        <v>0</v>
      </c>
      <c r="P1351" s="13">
        <v>0</v>
      </c>
      <c r="Q1351" s="13">
        <v>0</v>
      </c>
      <c r="R1351" s="13">
        <v>0</v>
      </c>
      <c r="S1351" s="13">
        <v>0</v>
      </c>
      <c r="T1351" s="13">
        <v>1</v>
      </c>
      <c r="U1351" s="13">
        <v>108</v>
      </c>
      <c r="V1351" s="13" t="str" cm="1">
        <f t="array" ref="V1351">_xlfn.IFS(U1351&lt;=250,"0-R$250",U1351&lt;=500,"251-R$500",U1351&lt;=750,"501-R$750",U1351&lt;=1000,"751-R$1000",U1351&lt;=1250,"1001-R$1250",U1351&lt;=1500,"1251-R$1500")</f>
        <v>0-R$250</v>
      </c>
      <c r="W1351" s="13">
        <v>1</v>
      </c>
      <c r="X1351" s="13" t="str" cm="1">
        <f t="array" ref="X1351">_xlfn.IFS(W1351 = 0, "0", W1351&lt;=20, "até R$20",W1351&lt;=40, "21 - R$40",W1351&lt;=60, "41- R$60",W1351&lt;=80, "61 - R$80", W1351&lt;=100, "81 - R$100",W1351&lt;=120, "101 - R$120",W1351&lt;=140, "121 - R$140", W1351&lt;=160, "141- R$160", W1351&lt;=180, "161 - R$180", W1351&lt;=200, "181-R$194")</f>
        <v>até R$20</v>
      </c>
      <c r="Y1351" s="13">
        <v>28</v>
      </c>
      <c r="Z1351" s="13">
        <v>13</v>
      </c>
      <c r="AA1351" s="13">
        <v>1</v>
      </c>
      <c r="AB1351" s="13">
        <v>4</v>
      </c>
      <c r="AC1351" s="13">
        <v>2</v>
      </c>
      <c r="AD1351" s="13">
        <v>3</v>
      </c>
      <c r="AE1351" s="13">
        <v>1</v>
      </c>
      <c r="AF1351" s="13">
        <v>4</v>
      </c>
      <c r="AG1351" s="13">
        <v>8</v>
      </c>
      <c r="AH1351" s="13">
        <v>0</v>
      </c>
      <c r="AI1351" s="13">
        <v>0</v>
      </c>
      <c r="AJ1351" s="13">
        <v>0</v>
      </c>
      <c r="AK1351" s="13">
        <v>0</v>
      </c>
      <c r="AL1351" s="13">
        <v>0</v>
      </c>
      <c r="AM1351" s="13">
        <v>0</v>
      </c>
      <c r="AN1351" s="13">
        <v>0</v>
      </c>
      <c r="AO1351" s="14">
        <v>0</v>
      </c>
      <c r="AP1351" s="13">
        <v>3</v>
      </c>
      <c r="AQ1351" s="13">
        <v>11</v>
      </c>
      <c r="AR1351" s="15">
        <v>147</v>
      </c>
      <c r="AS1351" s="15">
        <v>151</v>
      </c>
    </row>
    <row r="1352" spans="1:45" x14ac:dyDescent="0.25">
      <c r="A1352">
        <v>1732</v>
      </c>
      <c r="B1352" s="11">
        <f t="shared" si="21"/>
        <v>39763</v>
      </c>
      <c r="C1352" s="12">
        <v>397630</v>
      </c>
      <c r="D1352" s="13">
        <v>1</v>
      </c>
      <c r="E1352" s="13">
        <v>0</v>
      </c>
      <c r="F1352" s="13">
        <v>9</v>
      </c>
      <c r="G1352" s="13">
        <v>49</v>
      </c>
      <c r="H1352" s="13" t="str" cm="1">
        <f t="array" ref="H1352">_xlfn.IFS(G1352&lt;=20,"0-20",G1352&lt;=30,"20-30",G1352&lt;=40,"30-40",G1352&lt;=50,"50-60",G1352&lt;=60,"60-70",G1352&lt;=70,"70-80",G1352&lt;=80,"80-90")</f>
        <v>50-60</v>
      </c>
      <c r="I1352" s="13">
        <v>2488</v>
      </c>
      <c r="J1352" s="13" t="str" cm="1">
        <f t="array" ref="J1352">_xlfn.IFS(K1352=1,"Divorciado",L1352=1,"Casado",M1352=1,"Solteiro",N1352=1,"Juntos",O1352=1,"Viuvo")</f>
        <v>Solteiro</v>
      </c>
      <c r="K1352" s="13">
        <v>0</v>
      </c>
      <c r="L1352" s="13">
        <v>0</v>
      </c>
      <c r="M1352" s="13">
        <v>1</v>
      </c>
      <c r="N1352" s="13">
        <v>0</v>
      </c>
      <c r="O1352" s="13">
        <v>0</v>
      </c>
      <c r="P1352" s="13">
        <v>0</v>
      </c>
      <c r="Q1352" s="13">
        <v>0</v>
      </c>
      <c r="R1352" s="13">
        <v>0</v>
      </c>
      <c r="S1352" s="13">
        <v>1</v>
      </c>
      <c r="T1352" s="13">
        <v>0</v>
      </c>
      <c r="U1352" s="13">
        <v>80</v>
      </c>
      <c r="V1352" s="13" t="str" cm="1">
        <f t="array" ref="V1352">_xlfn.IFS(U1352&lt;=250,"0-R$250",U1352&lt;=500,"251-R$500",U1352&lt;=750,"501-R$750",U1352&lt;=1000,"751-R$1000",U1352&lt;=1250,"1001-R$1250",U1352&lt;=1500,"1251-R$1500")</f>
        <v>0-R$250</v>
      </c>
      <c r="W1352" s="13">
        <v>1</v>
      </c>
      <c r="X1352" s="13" t="str" cm="1">
        <f t="array" ref="X1352">_xlfn.IFS(W1352 = 0, "0", W1352&lt;=20, "até R$20",W1352&lt;=40, "21 - R$40",W1352&lt;=60, "41- R$60",W1352&lt;=80, "61 - R$80", W1352&lt;=100, "81 - R$100",W1352&lt;=120, "101 - R$120",W1352&lt;=140, "121 - R$140", W1352&lt;=160, "141- R$160", W1352&lt;=180, "161 - R$180", W1352&lt;=200, "181-R$194")</f>
        <v>até R$20</v>
      </c>
      <c r="Y1352" s="13">
        <v>60</v>
      </c>
      <c r="Z1352" s="13">
        <v>4</v>
      </c>
      <c r="AA1352" s="13">
        <v>6</v>
      </c>
      <c r="AB1352" s="13">
        <v>16</v>
      </c>
      <c r="AC1352" s="13">
        <v>2</v>
      </c>
      <c r="AD1352" s="13">
        <v>5</v>
      </c>
      <c r="AE1352" s="13">
        <v>1</v>
      </c>
      <c r="AF1352" s="13">
        <v>2</v>
      </c>
      <c r="AG1352" s="13">
        <v>9</v>
      </c>
      <c r="AH1352" s="13">
        <v>0</v>
      </c>
      <c r="AI1352" s="13">
        <v>0</v>
      </c>
      <c r="AJ1352" s="13">
        <v>0</v>
      </c>
      <c r="AK1352" s="13">
        <v>0</v>
      </c>
      <c r="AL1352" s="13">
        <v>0</v>
      </c>
      <c r="AM1352" s="13">
        <v>0</v>
      </c>
      <c r="AN1352" s="13">
        <v>1</v>
      </c>
      <c r="AO1352" s="14">
        <v>0</v>
      </c>
      <c r="AP1352" s="13">
        <v>3</v>
      </c>
      <c r="AQ1352" s="13">
        <v>11</v>
      </c>
      <c r="AR1352" s="15">
        <v>135</v>
      </c>
      <c r="AS1352" s="15">
        <v>151</v>
      </c>
    </row>
    <row r="1353" spans="1:45" x14ac:dyDescent="0.25">
      <c r="A1353">
        <v>1925</v>
      </c>
      <c r="B1353" s="11">
        <f t="shared" si="21"/>
        <v>51141</v>
      </c>
      <c r="C1353" s="16">
        <v>511410</v>
      </c>
      <c r="D1353" s="17">
        <v>0</v>
      </c>
      <c r="E1353" s="17">
        <v>0</v>
      </c>
      <c r="F1353" s="17">
        <v>96</v>
      </c>
      <c r="G1353" s="17">
        <v>80</v>
      </c>
      <c r="H1353" s="13" t="str" cm="1">
        <f t="array" ref="H1353">_xlfn.IFS(G1353&lt;=20,"0-20",G1353&lt;=30,"20-30",G1353&lt;=40,"30-40",G1353&lt;=50,"50-60",G1353&lt;=60,"60-70",G1353&lt;=70,"70-80",G1353&lt;=80,"80-90")</f>
        <v>80-90</v>
      </c>
      <c r="I1353" s="17">
        <v>2515</v>
      </c>
      <c r="J1353" s="13" t="str" cm="1">
        <f t="array" ref="J1353">_xlfn.IFS(K1353=1,"Divorciado",L1353=1,"Casado",M1353=1,"Solteiro",N1353=1,"Juntos",O1353=1,"Viuvo")</f>
        <v>Solteiro</v>
      </c>
      <c r="K1353" s="17">
        <v>0</v>
      </c>
      <c r="L1353" s="17">
        <v>0</v>
      </c>
      <c r="M1353" s="17">
        <v>1</v>
      </c>
      <c r="N1353" s="17">
        <v>0</v>
      </c>
      <c r="O1353" s="17">
        <v>0</v>
      </c>
      <c r="P1353" s="17">
        <v>0</v>
      </c>
      <c r="Q1353" s="17">
        <v>0</v>
      </c>
      <c r="R1353" s="17">
        <v>0</v>
      </c>
      <c r="S1353" s="17">
        <v>0</v>
      </c>
      <c r="T1353" s="17">
        <v>1</v>
      </c>
      <c r="U1353" s="17">
        <v>144</v>
      </c>
      <c r="V1353" s="13" t="str" cm="1">
        <f t="array" ref="V1353">_xlfn.IFS(U1353&lt;=250,"0-R$250",U1353&lt;=500,"251-R$500",U1353&lt;=750,"501-R$750",U1353&lt;=1000,"751-R$1000",U1353&lt;=1250,"1001-R$1250",U1353&lt;=1500,"1251-R$1500")</f>
        <v>0-R$250</v>
      </c>
      <c r="W1353" s="17">
        <v>0</v>
      </c>
      <c r="X1353" s="13" t="str" cm="1">
        <f t="array" ref="X1353">_xlfn.IFS(W1353 = 0, "0", W1353&lt;=20, "até R$20",W1353&lt;=40, "21 - R$40",W1353&lt;=60, "41- R$60",W1353&lt;=80, "61 - R$80", W1353&lt;=100, "81 - R$100",W1353&lt;=120, "101 - R$120",W1353&lt;=140, "121 - R$140", W1353&lt;=160, "141- R$160", W1353&lt;=180, "161 - R$180", W1353&lt;=200, "181-R$194")</f>
        <v>0</v>
      </c>
      <c r="Y1353" s="17">
        <v>7</v>
      </c>
      <c r="Z1353" s="17">
        <v>0</v>
      </c>
      <c r="AA1353" s="17">
        <v>0</v>
      </c>
      <c r="AB1353" s="17">
        <v>6</v>
      </c>
      <c r="AC1353" s="17">
        <v>1</v>
      </c>
      <c r="AD1353" s="17">
        <v>3</v>
      </c>
      <c r="AE1353" s="17">
        <v>1</v>
      </c>
      <c r="AF1353" s="17">
        <v>4</v>
      </c>
      <c r="AG1353" s="17">
        <v>5</v>
      </c>
      <c r="AH1353" s="17">
        <v>0</v>
      </c>
      <c r="AI1353" s="17">
        <v>0</v>
      </c>
      <c r="AJ1353" s="17">
        <v>0</v>
      </c>
      <c r="AK1353" s="17">
        <v>0</v>
      </c>
      <c r="AL1353" s="17">
        <v>0</v>
      </c>
      <c r="AM1353" s="17">
        <v>0</v>
      </c>
      <c r="AN1353" s="17">
        <v>0</v>
      </c>
      <c r="AO1353" s="18">
        <v>0</v>
      </c>
      <c r="AP1353" s="17">
        <v>3</v>
      </c>
      <c r="AQ1353" s="17">
        <v>11</v>
      </c>
      <c r="AR1353" s="19">
        <v>145</v>
      </c>
      <c r="AS1353" s="19">
        <v>151</v>
      </c>
    </row>
    <row r="1354" spans="1:45" x14ac:dyDescent="0.25">
      <c r="A1354">
        <v>2021</v>
      </c>
      <c r="B1354" s="11">
        <f t="shared" si="21"/>
        <v>53154</v>
      </c>
      <c r="C1354" s="16">
        <v>531540</v>
      </c>
      <c r="D1354" s="17">
        <v>0</v>
      </c>
      <c r="E1354" s="17">
        <v>1</v>
      </c>
      <c r="F1354" s="17">
        <v>50</v>
      </c>
      <c r="G1354" s="17">
        <v>61</v>
      </c>
      <c r="H1354" s="13" t="str" cm="1">
        <f t="array" ref="H1354">_xlfn.IFS(G1354&lt;=20,"0-20",G1354&lt;=30,"20-30",G1354&lt;=40,"30-40",G1354&lt;=50,"50-60",G1354&lt;=60,"60-70",G1354&lt;=70,"70-80",G1354&lt;=80,"80-90")</f>
        <v>70-80</v>
      </c>
      <c r="I1354" s="17">
        <v>2179</v>
      </c>
      <c r="J1354" s="13" t="str" cm="1">
        <f t="array" ref="J1354">_xlfn.IFS(K1354=1,"Divorciado",L1354=1,"Casado",M1354=1,"Solteiro",N1354=1,"Juntos",O1354=1,"Viuvo")</f>
        <v>Casado</v>
      </c>
      <c r="K1354" s="17">
        <v>0</v>
      </c>
      <c r="L1354" s="17">
        <v>1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1</v>
      </c>
      <c r="S1354" s="17">
        <v>0</v>
      </c>
      <c r="T1354" s="17">
        <v>0</v>
      </c>
      <c r="U1354" s="17">
        <v>129</v>
      </c>
      <c r="V1354" s="13" t="str" cm="1">
        <f t="array" ref="V1354">_xlfn.IFS(U1354&lt;=250,"0-R$250",U1354&lt;=500,"251-R$500",U1354&lt;=750,"501-R$750",U1354&lt;=1000,"751-R$1000",U1354&lt;=1250,"1001-R$1250",U1354&lt;=1500,"1251-R$1500")</f>
        <v>0-R$250</v>
      </c>
      <c r="W1354" s="17">
        <v>0</v>
      </c>
      <c r="X1354" s="13" t="str" cm="1">
        <f t="array" ref="X1354">_xlfn.IFS(W1354 = 0, "0", W1354&lt;=20, "até R$20",W1354&lt;=40, "21 - R$40",W1354&lt;=60, "41- R$60",W1354&lt;=80, "61 - R$80", W1354&lt;=100, "81 - R$100",W1354&lt;=120, "101 - R$120",W1354&lt;=140, "121 - R$140", W1354&lt;=160, "141- R$160", W1354&lt;=180, "161 - R$180", W1354&lt;=200, "181-R$194")</f>
        <v>0</v>
      </c>
      <c r="Y1354" s="17">
        <v>21</v>
      </c>
      <c r="Z1354" s="17">
        <v>0</v>
      </c>
      <c r="AA1354" s="17">
        <v>1</v>
      </c>
      <c r="AB1354" s="17">
        <v>7</v>
      </c>
      <c r="AC1354" s="17">
        <v>1</v>
      </c>
      <c r="AD1354" s="17">
        <v>3</v>
      </c>
      <c r="AE1354" s="17">
        <v>1</v>
      </c>
      <c r="AF1354" s="17">
        <v>4</v>
      </c>
      <c r="AG1354" s="17">
        <v>4</v>
      </c>
      <c r="AH1354" s="17">
        <v>0</v>
      </c>
      <c r="AI1354" s="17">
        <v>0</v>
      </c>
      <c r="AJ1354" s="17">
        <v>0</v>
      </c>
      <c r="AK1354" s="17">
        <v>0</v>
      </c>
      <c r="AL1354" s="17">
        <v>0</v>
      </c>
      <c r="AM1354" s="17">
        <v>0</v>
      </c>
      <c r="AN1354" s="17">
        <v>0</v>
      </c>
      <c r="AO1354" s="18">
        <v>0</v>
      </c>
      <c r="AP1354" s="17">
        <v>3</v>
      </c>
      <c r="AQ1354" s="17">
        <v>11</v>
      </c>
      <c r="AR1354" s="19">
        <v>144</v>
      </c>
      <c r="AS1354" s="19">
        <v>151</v>
      </c>
    </row>
    <row r="1355" spans="1:45" x14ac:dyDescent="0.25">
      <c r="A1355">
        <v>2205</v>
      </c>
      <c r="B1355" s="11">
        <f t="shared" si="21"/>
        <v>52869</v>
      </c>
      <c r="C1355" s="16">
        <v>528690</v>
      </c>
      <c r="D1355" s="17">
        <v>1</v>
      </c>
      <c r="E1355" s="17">
        <v>1</v>
      </c>
      <c r="F1355" s="17">
        <v>40</v>
      </c>
      <c r="G1355" s="17">
        <v>66</v>
      </c>
      <c r="H1355" s="13" t="str" cm="1">
        <f t="array" ref="H1355">_xlfn.IFS(G1355&lt;=20,"0-20",G1355&lt;=30,"20-30",G1355&lt;=40,"30-40",G1355&lt;=50,"50-60",G1355&lt;=60,"60-70",G1355&lt;=70,"70-80",G1355&lt;=80,"80-90")</f>
        <v>70-80</v>
      </c>
      <c r="I1355" s="17">
        <v>2781</v>
      </c>
      <c r="J1355" s="13" t="str" cm="1">
        <f t="array" ref="J1355">_xlfn.IFS(K1355=1,"Divorciado",L1355=1,"Casado",M1355=1,"Solteiro",N1355=1,"Juntos",O1355=1,"Viuvo")</f>
        <v>Casado</v>
      </c>
      <c r="K1355" s="17">
        <v>0</v>
      </c>
      <c r="L1355" s="17">
        <v>1</v>
      </c>
      <c r="M1355" s="17">
        <v>0</v>
      </c>
      <c r="N1355" s="17">
        <v>0</v>
      </c>
      <c r="O1355" s="17">
        <v>0</v>
      </c>
      <c r="P1355" s="17">
        <v>0</v>
      </c>
      <c r="Q1355" s="17">
        <v>0</v>
      </c>
      <c r="R1355" s="17">
        <v>0</v>
      </c>
      <c r="S1355" s="17">
        <v>0</v>
      </c>
      <c r="T1355" s="17">
        <v>1</v>
      </c>
      <c r="U1355" s="17">
        <v>84</v>
      </c>
      <c r="V1355" s="13" t="str" cm="1">
        <f t="array" ref="V1355">_xlfn.IFS(U1355&lt;=250,"0-R$250",U1355&lt;=500,"251-R$500",U1355&lt;=750,"501-R$750",U1355&lt;=1000,"751-R$1000",U1355&lt;=1250,"1001-R$1250",U1355&lt;=1500,"1251-R$1500")</f>
        <v>0-R$250</v>
      </c>
      <c r="W1355" s="17">
        <v>3</v>
      </c>
      <c r="X1355" s="13" t="str" cm="1">
        <f t="array" ref="X1355">_xlfn.IFS(W1355 = 0, "0", W1355&lt;=20, "até R$20",W1355&lt;=40, "21 - R$40",W1355&lt;=60, "41- R$60",W1355&lt;=80, "61 - R$80", W1355&lt;=100, "81 - R$100",W1355&lt;=120, "101 - R$120",W1355&lt;=140, "121 - R$140", W1355&lt;=160, "141- R$160", W1355&lt;=180, "161 - R$180", W1355&lt;=200, "181-R$194")</f>
        <v>até R$20</v>
      </c>
      <c r="Y1355" s="17">
        <v>61</v>
      </c>
      <c r="Z1355" s="17">
        <v>2</v>
      </c>
      <c r="AA1355" s="17">
        <v>1</v>
      </c>
      <c r="AB1355" s="17">
        <v>21</v>
      </c>
      <c r="AC1355" s="17">
        <v>3</v>
      </c>
      <c r="AD1355" s="17">
        <v>3</v>
      </c>
      <c r="AE1355" s="17">
        <v>1</v>
      </c>
      <c r="AF1355" s="17">
        <v>4</v>
      </c>
      <c r="AG1355" s="17">
        <v>7</v>
      </c>
      <c r="AH1355" s="17">
        <v>0</v>
      </c>
      <c r="AI1355" s="17">
        <v>0</v>
      </c>
      <c r="AJ1355" s="17">
        <v>0</v>
      </c>
      <c r="AK1355" s="17">
        <v>0</v>
      </c>
      <c r="AL1355" s="17">
        <v>0</v>
      </c>
      <c r="AM1355" s="17">
        <v>0</v>
      </c>
      <c r="AN1355" s="17">
        <v>1</v>
      </c>
      <c r="AO1355" s="18">
        <v>0</v>
      </c>
      <c r="AP1355" s="17">
        <v>3</v>
      </c>
      <c r="AQ1355" s="17">
        <v>11</v>
      </c>
      <c r="AR1355" s="19">
        <v>130</v>
      </c>
      <c r="AS1355" s="19">
        <v>151</v>
      </c>
    </row>
    <row r="1356" spans="1:45" x14ac:dyDescent="0.25">
      <c r="A1356">
        <v>213</v>
      </c>
      <c r="B1356" s="11">
        <f t="shared" si="21"/>
        <v>42011</v>
      </c>
      <c r="C1356" s="16">
        <v>420110</v>
      </c>
      <c r="D1356" s="17">
        <v>1</v>
      </c>
      <c r="E1356" s="17">
        <v>0</v>
      </c>
      <c r="F1356" s="17">
        <v>46</v>
      </c>
      <c r="G1356" s="17">
        <v>42</v>
      </c>
      <c r="H1356" s="13" t="str" cm="1">
        <f t="array" ref="H1356">_xlfn.IFS(G1356&lt;=20,"0-20",G1356&lt;=30,"20-30",G1356&lt;=40,"30-40",G1356&lt;=50,"50-60",G1356&lt;=60,"60-70",G1356&lt;=70,"70-80",G1356&lt;=80,"80-90")</f>
        <v>50-60</v>
      </c>
      <c r="I1356" s="17">
        <v>2619</v>
      </c>
      <c r="J1356" s="13" t="str" cm="1">
        <f t="array" ref="J1356">_xlfn.IFS(K1356=1,"Divorciado",L1356=1,"Casado",M1356=1,"Solteiro",N1356=1,"Juntos",O1356=1,"Viuvo")</f>
        <v>Juntos</v>
      </c>
      <c r="K1356" s="17">
        <v>0</v>
      </c>
      <c r="L1356" s="17">
        <v>0</v>
      </c>
      <c r="M1356" s="17">
        <v>0</v>
      </c>
      <c r="N1356" s="17">
        <v>1</v>
      </c>
      <c r="O1356" s="17">
        <v>0</v>
      </c>
      <c r="P1356" s="17">
        <v>0</v>
      </c>
      <c r="Q1356" s="17">
        <v>0</v>
      </c>
      <c r="R1356" s="17">
        <v>1</v>
      </c>
      <c r="S1356" s="17">
        <v>0</v>
      </c>
      <c r="T1356" s="17">
        <v>0</v>
      </c>
      <c r="U1356" s="17">
        <v>131</v>
      </c>
      <c r="V1356" s="13" t="str" cm="1">
        <f t="array" ref="V1356">_xlfn.IFS(U1356&lt;=250,"0-R$250",U1356&lt;=500,"251-R$500",U1356&lt;=750,"501-R$750",U1356&lt;=1000,"751-R$1000",U1356&lt;=1250,"1001-R$1250",U1356&lt;=1500,"1251-R$1500")</f>
        <v>0-R$250</v>
      </c>
      <c r="W1356" s="17">
        <v>0</v>
      </c>
      <c r="X1356" s="13" t="str" cm="1">
        <f t="array" ref="X1356">_xlfn.IFS(W1356 = 0, "0", W1356&lt;=20, "até R$20",W1356&lt;=40, "21 - R$40",W1356&lt;=60, "41- R$60",W1356&lt;=80, "61 - R$80", W1356&lt;=100, "81 - R$100",W1356&lt;=120, "101 - R$120",W1356&lt;=140, "121 - R$140", W1356&lt;=160, "141- R$160", W1356&lt;=180, "161 - R$180", W1356&lt;=200, "181-R$194")</f>
        <v>0</v>
      </c>
      <c r="Y1356" s="17">
        <v>16</v>
      </c>
      <c r="Z1356" s="17">
        <v>2</v>
      </c>
      <c r="AA1356" s="17">
        <v>1</v>
      </c>
      <c r="AB1356" s="17">
        <v>39</v>
      </c>
      <c r="AC1356" s="17">
        <v>4</v>
      </c>
      <c r="AD1356" s="17">
        <v>3</v>
      </c>
      <c r="AE1356" s="17">
        <v>1</v>
      </c>
      <c r="AF1356" s="17">
        <v>4</v>
      </c>
      <c r="AG1356" s="17">
        <v>8</v>
      </c>
      <c r="AH1356" s="17">
        <v>0</v>
      </c>
      <c r="AI1356" s="17">
        <v>0</v>
      </c>
      <c r="AJ1356" s="17">
        <v>0</v>
      </c>
      <c r="AK1356" s="17">
        <v>0</v>
      </c>
      <c r="AL1356" s="17">
        <v>0</v>
      </c>
      <c r="AM1356" s="17">
        <v>0</v>
      </c>
      <c r="AN1356" s="17">
        <v>0</v>
      </c>
      <c r="AO1356" s="18">
        <v>0</v>
      </c>
      <c r="AP1356" s="17">
        <v>3</v>
      </c>
      <c r="AQ1356" s="17">
        <v>11</v>
      </c>
      <c r="AR1356" s="19">
        <v>111</v>
      </c>
      <c r="AS1356" s="19">
        <v>150</v>
      </c>
    </row>
    <row r="1357" spans="1:45" x14ac:dyDescent="0.25">
      <c r="A1357">
        <v>638</v>
      </c>
      <c r="B1357" s="11">
        <f t="shared" si="21"/>
        <v>61278</v>
      </c>
      <c r="C1357" s="12">
        <v>612780</v>
      </c>
      <c r="D1357" s="13">
        <v>0</v>
      </c>
      <c r="E1357" s="13">
        <v>1</v>
      </c>
      <c r="F1357" s="13">
        <v>87</v>
      </c>
      <c r="G1357" s="13">
        <v>67</v>
      </c>
      <c r="H1357" s="13" t="str" cm="1">
        <f t="array" ref="H1357">_xlfn.IFS(G1357&lt;=20,"0-20",G1357&lt;=30,"20-30",G1357&lt;=40,"30-40",G1357&lt;=50,"50-60",G1357&lt;=60,"60-70",G1357&lt;=70,"70-80",G1357&lt;=80,"80-90")</f>
        <v>70-80</v>
      </c>
      <c r="I1357" s="13">
        <v>2335</v>
      </c>
      <c r="J1357" s="13" t="str" cm="1">
        <f t="array" ref="J1357">_xlfn.IFS(K1357=1,"Divorciado",L1357=1,"Casado",M1357=1,"Solteiro",N1357=1,"Juntos",O1357=1,"Viuvo")</f>
        <v>Juntos</v>
      </c>
      <c r="K1357" s="13">
        <v>0</v>
      </c>
      <c r="L1357" s="13">
        <v>0</v>
      </c>
      <c r="M1357" s="13">
        <v>0</v>
      </c>
      <c r="N1357" s="13">
        <v>1</v>
      </c>
      <c r="O1357" s="13">
        <v>0</v>
      </c>
      <c r="P1357" s="13">
        <v>0</v>
      </c>
      <c r="Q1357" s="13">
        <v>0</v>
      </c>
      <c r="R1357" s="13">
        <v>1</v>
      </c>
      <c r="S1357" s="13">
        <v>0</v>
      </c>
      <c r="T1357" s="13">
        <v>0</v>
      </c>
      <c r="U1357" s="13">
        <v>111</v>
      </c>
      <c r="V1357" s="13" t="str" cm="1">
        <f t="array" ref="V1357">_xlfn.IFS(U1357&lt;=250,"0-R$250",U1357&lt;=500,"251-R$500",U1357&lt;=750,"501-R$750",U1357&lt;=1000,"751-R$1000",U1357&lt;=1250,"1001-R$1250",U1357&lt;=1500,"1251-R$1500")</f>
        <v>0-R$250</v>
      </c>
      <c r="W1357" s="13">
        <v>3</v>
      </c>
      <c r="X1357" s="13" t="str" cm="1">
        <f t="array" ref="X1357">_xlfn.IFS(W1357 = 0, "0", W1357&lt;=20, "até R$20",W1357&lt;=40, "21 - R$40",W1357&lt;=60, "41- R$60",W1357&lt;=80, "61 - R$80", W1357&lt;=100, "81 - R$100",W1357&lt;=120, "101 - R$120",W1357&lt;=140, "121 - R$140", W1357&lt;=160, "141- R$160", W1357&lt;=180, "161 - R$180", W1357&lt;=200, "181-R$194")</f>
        <v>até R$20</v>
      </c>
      <c r="Y1357" s="13">
        <v>28</v>
      </c>
      <c r="Z1357" s="13">
        <v>2</v>
      </c>
      <c r="AA1357" s="13">
        <v>6</v>
      </c>
      <c r="AB1357" s="13">
        <v>15</v>
      </c>
      <c r="AC1357" s="13">
        <v>2</v>
      </c>
      <c r="AD1357" s="13">
        <v>3</v>
      </c>
      <c r="AE1357" s="13">
        <v>1</v>
      </c>
      <c r="AF1357" s="13">
        <v>4</v>
      </c>
      <c r="AG1357" s="13">
        <v>6</v>
      </c>
      <c r="AH1357" s="13">
        <v>0</v>
      </c>
      <c r="AI1357" s="13">
        <v>0</v>
      </c>
      <c r="AJ1357" s="13">
        <v>0</v>
      </c>
      <c r="AK1357" s="13">
        <v>0</v>
      </c>
      <c r="AL1357" s="13">
        <v>0</v>
      </c>
      <c r="AM1357" s="13">
        <v>0</v>
      </c>
      <c r="AN1357" s="13">
        <v>0</v>
      </c>
      <c r="AO1357" s="14">
        <v>0</v>
      </c>
      <c r="AP1357" s="13">
        <v>3</v>
      </c>
      <c r="AQ1357" s="13">
        <v>11</v>
      </c>
      <c r="AR1357" s="15">
        <v>135</v>
      </c>
      <c r="AS1357" s="15">
        <v>150</v>
      </c>
    </row>
    <row r="1358" spans="1:45" x14ac:dyDescent="0.25">
      <c r="A1358">
        <v>894</v>
      </c>
      <c r="B1358" s="11">
        <f t="shared" si="21"/>
        <v>35641</v>
      </c>
      <c r="C1358" s="12">
        <v>356410</v>
      </c>
      <c r="D1358" s="13">
        <v>1</v>
      </c>
      <c r="E1358" s="13">
        <v>0</v>
      </c>
      <c r="F1358" s="13">
        <v>11</v>
      </c>
      <c r="G1358" s="13">
        <v>48</v>
      </c>
      <c r="H1358" s="13" t="str" cm="1">
        <f t="array" ref="H1358">_xlfn.IFS(G1358&lt;=20,"0-20",G1358&lt;=30,"20-30",G1358&lt;=40,"30-40",G1358&lt;=50,"50-60",G1358&lt;=60,"60-70",G1358&lt;=70,"70-80",G1358&lt;=80,"80-90")</f>
        <v>50-60</v>
      </c>
      <c r="I1358" s="13">
        <v>2509</v>
      </c>
      <c r="J1358" s="13" t="str" cm="1">
        <f t="array" ref="J1358">_xlfn.IFS(K1358=1,"Divorciado",L1358=1,"Casado",M1358=1,"Solteiro",N1358=1,"Juntos",O1358=1,"Viuvo")</f>
        <v>Casado</v>
      </c>
      <c r="K1358" s="13">
        <v>0</v>
      </c>
      <c r="L1358" s="13">
        <v>1</v>
      </c>
      <c r="M1358" s="13">
        <v>0</v>
      </c>
      <c r="N1358" s="13">
        <v>0</v>
      </c>
      <c r="O1358" s="13">
        <v>0</v>
      </c>
      <c r="P1358" s="13">
        <v>0</v>
      </c>
      <c r="Q1358" s="13">
        <v>0</v>
      </c>
      <c r="R1358" s="13">
        <v>0</v>
      </c>
      <c r="S1358" s="13">
        <v>1</v>
      </c>
      <c r="T1358" s="13">
        <v>0</v>
      </c>
      <c r="U1358" s="13">
        <v>63</v>
      </c>
      <c r="V1358" s="13" t="str" cm="1">
        <f t="array" ref="V1358">_xlfn.IFS(U1358&lt;=250,"0-R$250",U1358&lt;=500,"251-R$500",U1358&lt;=750,"501-R$750",U1358&lt;=1000,"751-R$1000",U1358&lt;=1250,"1001-R$1250",U1358&lt;=1500,"1251-R$1500")</f>
        <v>0-R$250</v>
      </c>
      <c r="W1358" s="13">
        <v>3</v>
      </c>
      <c r="X1358" s="13" t="str" cm="1">
        <f t="array" ref="X1358">_xlfn.IFS(W1358 = 0, "0", W1358&lt;=20, "até R$20",W1358&lt;=40, "21 - R$40",W1358&lt;=60, "41- R$60",W1358&lt;=80, "61 - R$80", W1358&lt;=100, "81 - R$100",W1358&lt;=120, "101 - R$120",W1358&lt;=140, "121 - R$140", W1358&lt;=160, "141- R$160", W1358&lt;=180, "161 - R$180", W1358&lt;=200, "181-R$194")</f>
        <v>até R$20</v>
      </c>
      <c r="Y1358" s="13">
        <v>67</v>
      </c>
      <c r="Z1358" s="13">
        <v>8</v>
      </c>
      <c r="AA1358" s="13">
        <v>9</v>
      </c>
      <c r="AB1358" s="13">
        <v>28</v>
      </c>
      <c r="AC1358" s="13">
        <v>2</v>
      </c>
      <c r="AD1358" s="13">
        <v>3</v>
      </c>
      <c r="AE1358" s="13">
        <v>1</v>
      </c>
      <c r="AF1358" s="13">
        <v>4</v>
      </c>
      <c r="AG1358" s="13">
        <v>7</v>
      </c>
      <c r="AH1358" s="13">
        <v>0</v>
      </c>
      <c r="AI1358" s="13">
        <v>0</v>
      </c>
      <c r="AJ1358" s="13">
        <v>0</v>
      </c>
      <c r="AK1358" s="13">
        <v>0</v>
      </c>
      <c r="AL1358" s="13">
        <v>0</v>
      </c>
      <c r="AM1358" s="13">
        <v>0</v>
      </c>
      <c r="AN1358" s="13">
        <v>1</v>
      </c>
      <c r="AO1358" s="14">
        <v>0</v>
      </c>
      <c r="AP1358" s="13">
        <v>3</v>
      </c>
      <c r="AQ1358" s="13">
        <v>11</v>
      </c>
      <c r="AR1358" s="15">
        <v>122</v>
      </c>
      <c r="AS1358" s="15">
        <v>150</v>
      </c>
    </row>
    <row r="1359" spans="1:45" x14ac:dyDescent="0.25">
      <c r="A1359">
        <v>1174</v>
      </c>
      <c r="B1359" s="11">
        <f t="shared" si="21"/>
        <v>62307</v>
      </c>
      <c r="C1359" s="12">
        <v>623070</v>
      </c>
      <c r="D1359" s="13">
        <v>0</v>
      </c>
      <c r="E1359" s="13">
        <v>1</v>
      </c>
      <c r="F1359" s="13">
        <v>94</v>
      </c>
      <c r="G1359" s="13">
        <v>68</v>
      </c>
      <c r="H1359" s="13" t="str" cm="1">
        <f t="array" ref="H1359">_xlfn.IFS(G1359&lt;=20,"0-20",G1359&lt;=30,"20-30",G1359&lt;=40,"30-40",G1359&lt;=50,"50-60",G1359&lt;=60,"60-70",G1359&lt;=70,"70-80",G1359&lt;=80,"80-90")</f>
        <v>70-80</v>
      </c>
      <c r="I1359" s="13">
        <v>2291</v>
      </c>
      <c r="J1359" s="13" t="str" cm="1">
        <f t="array" ref="J1359">_xlfn.IFS(K1359=1,"Divorciado",L1359=1,"Casado",M1359=1,"Solteiro",N1359=1,"Juntos",O1359=1,"Viuvo")</f>
        <v>Solteiro</v>
      </c>
      <c r="K1359" s="13">
        <v>0</v>
      </c>
      <c r="L1359" s="13">
        <v>0</v>
      </c>
      <c r="M1359" s="13">
        <v>1</v>
      </c>
      <c r="N1359" s="13">
        <v>0</v>
      </c>
      <c r="O1359" s="13">
        <v>0</v>
      </c>
      <c r="P1359" s="13">
        <v>0</v>
      </c>
      <c r="Q1359" s="13">
        <v>0</v>
      </c>
      <c r="R1359" s="13">
        <v>1</v>
      </c>
      <c r="S1359" s="13">
        <v>0</v>
      </c>
      <c r="T1359" s="13">
        <v>0</v>
      </c>
      <c r="U1359" s="13">
        <v>87</v>
      </c>
      <c r="V1359" s="13" t="str" cm="1">
        <f t="array" ref="V1359">_xlfn.IFS(U1359&lt;=250,"0-R$250",U1359&lt;=500,"251-R$500",U1359&lt;=750,"501-R$750",U1359&lt;=1000,"751-R$1000",U1359&lt;=1250,"1001-R$1250",U1359&lt;=1500,"1251-R$1500")</f>
        <v>0-R$250</v>
      </c>
      <c r="W1359" s="13">
        <v>13</v>
      </c>
      <c r="X1359" s="13" t="str" cm="1">
        <f t="array" ref="X1359">_xlfn.IFS(W1359 = 0, "0", W1359&lt;=20, "até R$20",W1359&lt;=40, "21 - R$40",W1359&lt;=60, "41- R$60",W1359&lt;=80, "61 - R$80", W1359&lt;=100, "81 - R$100",W1359&lt;=120, "101 - R$120",W1359&lt;=140, "121 - R$140", W1359&lt;=160, "141- R$160", W1359&lt;=180, "161 - R$180", W1359&lt;=200, "181-R$194")</f>
        <v>até R$20</v>
      </c>
      <c r="Y1359" s="13">
        <v>34</v>
      </c>
      <c r="Z1359" s="13">
        <v>10</v>
      </c>
      <c r="AA1359" s="13">
        <v>6</v>
      </c>
      <c r="AB1359" s="13">
        <v>10</v>
      </c>
      <c r="AC1359" s="13">
        <v>1</v>
      </c>
      <c r="AD1359" s="13">
        <v>4</v>
      </c>
      <c r="AE1359" s="13">
        <v>0</v>
      </c>
      <c r="AF1359" s="13">
        <v>4</v>
      </c>
      <c r="AG1359" s="13">
        <v>5</v>
      </c>
      <c r="AH1359" s="13">
        <v>0</v>
      </c>
      <c r="AI1359" s="13">
        <v>0</v>
      </c>
      <c r="AJ1359" s="13">
        <v>0</v>
      </c>
      <c r="AK1359" s="13">
        <v>0</v>
      </c>
      <c r="AL1359" s="13">
        <v>0</v>
      </c>
      <c r="AM1359" s="13">
        <v>0</v>
      </c>
      <c r="AN1359" s="13">
        <v>0</v>
      </c>
      <c r="AO1359" s="14">
        <v>0</v>
      </c>
      <c r="AP1359" s="13">
        <v>3</v>
      </c>
      <c r="AQ1359" s="13">
        <v>11</v>
      </c>
      <c r="AR1359" s="15">
        <v>140</v>
      </c>
      <c r="AS1359" s="15">
        <v>150</v>
      </c>
    </row>
    <row r="1360" spans="1:45" x14ac:dyDescent="0.25">
      <c r="A1360">
        <v>1276</v>
      </c>
      <c r="B1360" s="11">
        <f t="shared" si="21"/>
        <v>60033</v>
      </c>
      <c r="C1360" s="12">
        <v>600330</v>
      </c>
      <c r="D1360" s="13">
        <v>0</v>
      </c>
      <c r="E1360" s="13">
        <v>1</v>
      </c>
      <c r="F1360" s="13">
        <v>28</v>
      </c>
      <c r="G1360" s="13">
        <v>66</v>
      </c>
      <c r="H1360" s="13" t="str" cm="1">
        <f t="array" ref="H1360">_xlfn.IFS(G1360&lt;=20,"0-20",G1360&lt;=30,"20-30",G1360&lt;=40,"30-40",G1360&lt;=50,"50-60",G1360&lt;=60,"60-70",G1360&lt;=70,"70-80",G1360&lt;=80,"80-90")</f>
        <v>70-80</v>
      </c>
      <c r="I1360" s="13">
        <v>2251</v>
      </c>
      <c r="J1360" s="13" t="str" cm="1">
        <f t="array" ref="J1360">_xlfn.IFS(K1360=1,"Divorciado",L1360=1,"Casado",M1360=1,"Solteiro",N1360=1,"Juntos",O1360=1,"Viuvo")</f>
        <v>Juntos</v>
      </c>
      <c r="K1360" s="13">
        <v>0</v>
      </c>
      <c r="L1360" s="13">
        <v>0</v>
      </c>
      <c r="M1360" s="13">
        <v>0</v>
      </c>
      <c r="N1360" s="13">
        <v>1</v>
      </c>
      <c r="O1360" s="13">
        <v>0</v>
      </c>
      <c r="P1360" s="13">
        <v>0</v>
      </c>
      <c r="Q1360" s="13">
        <v>0</v>
      </c>
      <c r="R1360" s="13">
        <v>0</v>
      </c>
      <c r="S1360" s="13">
        <v>1</v>
      </c>
      <c r="T1360" s="13">
        <v>0</v>
      </c>
      <c r="U1360" s="13">
        <v>62</v>
      </c>
      <c r="V1360" s="13" t="str" cm="1">
        <f t="array" ref="V1360">_xlfn.IFS(U1360&lt;=250,"0-R$250",U1360&lt;=500,"251-R$500",U1360&lt;=750,"501-R$750",U1360&lt;=1000,"751-R$1000",U1360&lt;=1250,"1001-R$1250",U1360&lt;=1500,"1251-R$1500")</f>
        <v>0-R$250</v>
      </c>
      <c r="W1360" s="13">
        <v>1</v>
      </c>
      <c r="X1360" s="13" t="str" cm="1">
        <f t="array" ref="X1360">_xlfn.IFS(W1360 = 0, "0", W1360&lt;=20, "até R$20",W1360&lt;=40, "21 - R$40",W1360&lt;=60, "41- R$60",W1360&lt;=80, "61 - R$80", W1360&lt;=100, "81 - R$100",W1360&lt;=120, "101 - R$120",W1360&lt;=140, "121 - R$140", W1360&lt;=160, "141- R$160", W1360&lt;=180, "161 - R$180", W1360&lt;=200, "181-R$194")</f>
        <v>até R$20</v>
      </c>
      <c r="Y1360" s="13">
        <v>57</v>
      </c>
      <c r="Z1360" s="13">
        <v>19</v>
      </c>
      <c r="AA1360" s="13">
        <v>11</v>
      </c>
      <c r="AB1360" s="13">
        <v>48</v>
      </c>
      <c r="AC1360" s="13">
        <v>2</v>
      </c>
      <c r="AD1360" s="13">
        <v>2</v>
      </c>
      <c r="AE1360" s="13">
        <v>1</v>
      </c>
      <c r="AF1360" s="13">
        <v>5</v>
      </c>
      <c r="AG1360" s="13">
        <v>2</v>
      </c>
      <c r="AH1360" s="13">
        <v>0</v>
      </c>
      <c r="AI1360" s="13">
        <v>0</v>
      </c>
      <c r="AJ1360" s="13">
        <v>0</v>
      </c>
      <c r="AK1360" s="13">
        <v>0</v>
      </c>
      <c r="AL1360" s="13">
        <v>0</v>
      </c>
      <c r="AM1360" s="13">
        <v>0</v>
      </c>
      <c r="AN1360" s="13">
        <v>0</v>
      </c>
      <c r="AO1360" s="14">
        <v>0</v>
      </c>
      <c r="AP1360" s="13">
        <v>3</v>
      </c>
      <c r="AQ1360" s="13">
        <v>11</v>
      </c>
      <c r="AR1360" s="15">
        <v>102</v>
      </c>
      <c r="AS1360" s="15">
        <v>150</v>
      </c>
    </row>
    <row r="1361" spans="1:45" x14ac:dyDescent="0.25">
      <c r="A1361">
        <v>1680</v>
      </c>
      <c r="B1361" s="11">
        <f t="shared" si="21"/>
        <v>38175</v>
      </c>
      <c r="C1361" s="12">
        <v>381750</v>
      </c>
      <c r="D1361" s="13">
        <v>1</v>
      </c>
      <c r="E1361" s="13">
        <v>0</v>
      </c>
      <c r="F1361" s="13">
        <v>6</v>
      </c>
      <c r="G1361" s="13">
        <v>36</v>
      </c>
      <c r="H1361" s="13" t="str" cm="1">
        <f t="array" ref="H1361">_xlfn.IFS(G1361&lt;=20,"0-20",G1361&lt;=30,"20-30",G1361&lt;=40,"30-40",G1361&lt;=50,"50-60",G1361&lt;=60,"60-70",G1361&lt;=70,"70-80",G1361&lt;=80,"80-90")</f>
        <v>30-40</v>
      </c>
      <c r="I1361" s="13">
        <v>2438</v>
      </c>
      <c r="J1361" s="13" t="str" cm="1">
        <f t="array" ref="J1361">_xlfn.IFS(K1361=1,"Divorciado",L1361=1,"Casado",M1361=1,"Solteiro",N1361=1,"Juntos",O1361=1,"Viuvo")</f>
        <v>Casado</v>
      </c>
      <c r="K1361" s="13">
        <v>0</v>
      </c>
      <c r="L1361" s="13">
        <v>1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1</v>
      </c>
      <c r="U1361" s="13">
        <v>70</v>
      </c>
      <c r="V1361" s="13" t="str" cm="1">
        <f t="array" ref="V1361">_xlfn.IFS(U1361&lt;=250,"0-R$250",U1361&lt;=500,"251-R$500",U1361&lt;=750,"501-R$750",U1361&lt;=1000,"751-R$1000",U1361&lt;=1250,"1001-R$1250",U1361&lt;=1500,"1251-R$1500")</f>
        <v>0-R$250</v>
      </c>
      <c r="W1361" s="13">
        <v>6</v>
      </c>
      <c r="X1361" s="13" t="str" cm="1">
        <f t="array" ref="X1361">_xlfn.IFS(W1361 = 0, "0", W1361&lt;=20, "até R$20",W1361&lt;=40, "21 - R$40",W1361&lt;=60, "41- R$60",W1361&lt;=80, "61 - R$80", W1361&lt;=100, "81 - R$100",W1361&lt;=120, "101 - R$120",W1361&lt;=140, "121 - R$140", W1361&lt;=160, "141- R$160", W1361&lt;=180, "161 - R$180", W1361&lt;=200, "181-R$194")</f>
        <v>até R$20</v>
      </c>
      <c r="Y1361" s="13">
        <v>69</v>
      </c>
      <c r="Z1361" s="13">
        <v>2</v>
      </c>
      <c r="AA1361" s="13">
        <v>3</v>
      </c>
      <c r="AB1361" s="13">
        <v>3</v>
      </c>
      <c r="AC1361" s="13">
        <v>3</v>
      </c>
      <c r="AD1361" s="13">
        <v>3</v>
      </c>
      <c r="AE1361" s="13">
        <v>1</v>
      </c>
      <c r="AF1361" s="13">
        <v>4</v>
      </c>
      <c r="AG1361" s="13">
        <v>7</v>
      </c>
      <c r="AH1361" s="13">
        <v>0</v>
      </c>
      <c r="AI1361" s="13">
        <v>0</v>
      </c>
      <c r="AJ1361" s="13">
        <v>0</v>
      </c>
      <c r="AK1361" s="13">
        <v>0</v>
      </c>
      <c r="AL1361" s="13">
        <v>0</v>
      </c>
      <c r="AM1361" s="13">
        <v>0</v>
      </c>
      <c r="AN1361" s="13">
        <v>0</v>
      </c>
      <c r="AO1361" s="14">
        <v>0</v>
      </c>
      <c r="AP1361" s="13">
        <v>3</v>
      </c>
      <c r="AQ1361" s="13">
        <v>11</v>
      </c>
      <c r="AR1361" s="15">
        <v>147</v>
      </c>
      <c r="AS1361" s="15">
        <v>150</v>
      </c>
    </row>
    <row r="1362" spans="1:45" x14ac:dyDescent="0.25">
      <c r="A1362">
        <v>314</v>
      </c>
      <c r="B1362" s="11">
        <f t="shared" si="21"/>
        <v>29999</v>
      </c>
      <c r="C1362" s="12">
        <v>299990</v>
      </c>
      <c r="D1362" s="13">
        <v>1</v>
      </c>
      <c r="E1362" s="13">
        <v>0</v>
      </c>
      <c r="F1362" s="13">
        <v>22</v>
      </c>
      <c r="G1362" s="13">
        <v>34</v>
      </c>
      <c r="H1362" s="13" t="str" cm="1">
        <f t="array" ref="H1362">_xlfn.IFS(G1362&lt;=20,"0-20",G1362&lt;=30,"20-30",G1362&lt;=40,"30-40",G1362&lt;=50,"50-60",G1362&lt;=60,"60-70",G1362&lt;=70,"70-80",G1362&lt;=80,"80-90")</f>
        <v>30-40</v>
      </c>
      <c r="I1362" s="13">
        <v>2660</v>
      </c>
      <c r="J1362" s="13" t="str" cm="1">
        <f t="array" ref="J1362">_xlfn.IFS(K1362=1,"Divorciado",L1362=1,"Casado",M1362=1,"Solteiro",N1362=1,"Juntos",O1362=1,"Viuvo")</f>
        <v>Solteiro</v>
      </c>
      <c r="K1362" s="13">
        <v>0</v>
      </c>
      <c r="L1362" s="13">
        <v>0</v>
      </c>
      <c r="M1362" s="13">
        <v>1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0</v>
      </c>
      <c r="T1362" s="13">
        <v>1</v>
      </c>
      <c r="U1362" s="13">
        <v>68</v>
      </c>
      <c r="V1362" s="13" t="str" cm="1">
        <f t="array" ref="V1362">_xlfn.IFS(U1362&lt;=250,"0-R$250",U1362&lt;=500,"251-R$500",U1362&lt;=750,"501-R$750",U1362&lt;=1000,"751-R$1000",U1362&lt;=1250,"1001-R$1250",U1362&lt;=1500,"1251-R$1500")</f>
        <v>0-R$250</v>
      </c>
      <c r="W1362" s="13">
        <v>7</v>
      </c>
      <c r="X1362" s="13" t="str" cm="1">
        <f t="array" ref="X1362">_xlfn.IFS(W1362 = 0, "0", W1362&lt;=20, "até R$20",W1362&lt;=40, "21 - R$40",W1362&lt;=60, "41- R$60",W1362&lt;=80, "61 - R$80", W1362&lt;=100, "81 - R$100",W1362&lt;=120, "101 - R$120",W1362&lt;=140, "121 - R$140", W1362&lt;=160, "141- R$160", W1362&lt;=180, "161 - R$180", W1362&lt;=200, "181-R$194")</f>
        <v>até R$20</v>
      </c>
      <c r="Y1362" s="13">
        <v>59</v>
      </c>
      <c r="Z1362" s="13">
        <v>10</v>
      </c>
      <c r="AA1362" s="13">
        <v>5</v>
      </c>
      <c r="AB1362" s="13">
        <v>11</v>
      </c>
      <c r="AC1362" s="13">
        <v>4</v>
      </c>
      <c r="AD1362" s="13">
        <v>3</v>
      </c>
      <c r="AE1362" s="13">
        <v>1</v>
      </c>
      <c r="AF1362" s="13">
        <v>4</v>
      </c>
      <c r="AG1362" s="13">
        <v>8</v>
      </c>
      <c r="AH1362" s="13">
        <v>0</v>
      </c>
      <c r="AI1362" s="13">
        <v>0</v>
      </c>
      <c r="AJ1362" s="13">
        <v>0</v>
      </c>
      <c r="AK1362" s="13">
        <v>0</v>
      </c>
      <c r="AL1362" s="13">
        <v>0</v>
      </c>
      <c r="AM1362" s="13">
        <v>0</v>
      </c>
      <c r="AN1362" s="13">
        <v>0</v>
      </c>
      <c r="AO1362" s="14">
        <v>0</v>
      </c>
      <c r="AP1362" s="13">
        <v>3</v>
      </c>
      <c r="AQ1362" s="13">
        <v>11</v>
      </c>
      <c r="AR1362" s="15">
        <v>138</v>
      </c>
      <c r="AS1362" s="15">
        <v>149</v>
      </c>
    </row>
    <row r="1363" spans="1:45" x14ac:dyDescent="0.25">
      <c r="A1363">
        <v>589</v>
      </c>
      <c r="B1363" s="11">
        <f t="shared" si="21"/>
        <v>21888</v>
      </c>
      <c r="C1363" s="16">
        <v>218880</v>
      </c>
      <c r="D1363" s="17">
        <v>1</v>
      </c>
      <c r="E1363" s="17">
        <v>0</v>
      </c>
      <c r="F1363" s="17">
        <v>15</v>
      </c>
      <c r="G1363" s="17">
        <v>34</v>
      </c>
      <c r="H1363" s="13" t="str" cm="1">
        <f t="array" ref="H1363">_xlfn.IFS(G1363&lt;=20,"0-20",G1363&lt;=30,"20-30",G1363&lt;=40,"30-40",G1363&lt;=50,"50-60",G1363&lt;=60,"60-70",G1363&lt;=70,"70-80",G1363&lt;=80,"80-90")</f>
        <v>30-40</v>
      </c>
      <c r="I1363" s="17">
        <v>2706</v>
      </c>
      <c r="J1363" s="13" t="str" cm="1">
        <f t="array" ref="J1363">_xlfn.IFS(K1363=1,"Divorciado",L1363=1,"Casado",M1363=1,"Solteiro",N1363=1,"Juntos",O1363=1,"Viuvo")</f>
        <v>Solteiro</v>
      </c>
      <c r="K1363" s="17">
        <v>0</v>
      </c>
      <c r="L1363" s="17">
        <v>0</v>
      </c>
      <c r="M1363" s="17">
        <v>1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1</v>
      </c>
      <c r="T1363" s="17">
        <v>0</v>
      </c>
      <c r="U1363" s="17">
        <v>88</v>
      </c>
      <c r="V1363" s="13" t="str" cm="1">
        <f t="array" ref="V1363">_xlfn.IFS(U1363&lt;=250,"0-R$250",U1363&lt;=500,"251-R$500",U1363&lt;=750,"501-R$750",U1363&lt;=1000,"751-R$1000",U1363&lt;=1250,"1001-R$1250",U1363&lt;=1500,"1251-R$1500")</f>
        <v>0-R$250</v>
      </c>
      <c r="W1363" s="17">
        <v>10</v>
      </c>
      <c r="X1363" s="13" t="str" cm="1">
        <f t="array" ref="X1363">_xlfn.IFS(W1363 = 0, "0", W1363&lt;=20, "até R$20",W1363&lt;=40, "21 - R$40",W1363&lt;=60, "41- R$60",W1363&lt;=80, "61 - R$80", W1363&lt;=100, "81 - R$100",W1363&lt;=120, "101 - R$120",W1363&lt;=140, "121 - R$140", W1363&lt;=160, "141- R$160", W1363&lt;=180, "161 - R$180", W1363&lt;=200, "181-R$194")</f>
        <v>até R$20</v>
      </c>
      <c r="Y1363" s="17">
        <v>46</v>
      </c>
      <c r="Z1363" s="17">
        <v>2</v>
      </c>
      <c r="AA1363" s="17">
        <v>3</v>
      </c>
      <c r="AB1363" s="17">
        <v>64</v>
      </c>
      <c r="AC1363" s="17">
        <v>4</v>
      </c>
      <c r="AD1363" s="17">
        <v>5</v>
      </c>
      <c r="AE1363" s="17">
        <v>1</v>
      </c>
      <c r="AF1363" s="17">
        <v>2</v>
      </c>
      <c r="AG1363" s="17">
        <v>10</v>
      </c>
      <c r="AH1363" s="17">
        <v>0</v>
      </c>
      <c r="AI1363" s="17">
        <v>0</v>
      </c>
      <c r="AJ1363" s="17">
        <v>0</v>
      </c>
      <c r="AK1363" s="17">
        <v>0</v>
      </c>
      <c r="AL1363" s="17">
        <v>0</v>
      </c>
      <c r="AM1363" s="17">
        <v>0</v>
      </c>
      <c r="AN1363" s="17">
        <v>1</v>
      </c>
      <c r="AO1363" s="18">
        <v>0</v>
      </c>
      <c r="AP1363" s="17">
        <v>3</v>
      </c>
      <c r="AQ1363" s="17">
        <v>11</v>
      </c>
      <c r="AR1363" s="19">
        <v>85</v>
      </c>
      <c r="AS1363" s="19">
        <v>149</v>
      </c>
    </row>
    <row r="1364" spans="1:45" x14ac:dyDescent="0.25">
      <c r="A1364">
        <v>1360</v>
      </c>
      <c r="B1364" s="11">
        <f t="shared" si="21"/>
        <v>54342</v>
      </c>
      <c r="C1364" s="12">
        <v>543420</v>
      </c>
      <c r="D1364" s="13">
        <v>1</v>
      </c>
      <c r="E1364" s="13">
        <v>1</v>
      </c>
      <c r="F1364" s="13">
        <v>74</v>
      </c>
      <c r="G1364" s="13">
        <v>64</v>
      </c>
      <c r="H1364" s="13" t="str" cm="1">
        <f t="array" ref="H1364">_xlfn.IFS(G1364&lt;=20,"0-20",G1364&lt;=30,"20-30",G1364&lt;=40,"30-40",G1364&lt;=50,"50-60",G1364&lt;=60,"60-70",G1364&lt;=70,"70-80",G1364&lt;=80,"80-90")</f>
        <v>70-80</v>
      </c>
      <c r="I1364" s="13">
        <v>2520</v>
      </c>
      <c r="J1364" s="13" t="str" cm="1">
        <f t="array" ref="J1364">_xlfn.IFS(K1364=1,"Divorciado",L1364=1,"Casado",M1364=1,"Solteiro",N1364=1,"Juntos",O1364=1,"Viuvo")</f>
        <v>Juntos</v>
      </c>
      <c r="K1364" s="13">
        <v>0</v>
      </c>
      <c r="L1364" s="13">
        <v>0</v>
      </c>
      <c r="M1364" s="13">
        <v>0</v>
      </c>
      <c r="N1364" s="13">
        <v>1</v>
      </c>
      <c r="O1364" s="13">
        <v>0</v>
      </c>
      <c r="P1364" s="13">
        <v>1</v>
      </c>
      <c r="Q1364" s="13">
        <v>0</v>
      </c>
      <c r="R1364" s="13">
        <v>0</v>
      </c>
      <c r="S1364" s="13">
        <v>0</v>
      </c>
      <c r="T1364" s="13">
        <v>0</v>
      </c>
      <c r="U1364" s="13">
        <v>84</v>
      </c>
      <c r="V1364" s="13" t="str" cm="1">
        <f t="array" ref="V1364">_xlfn.IFS(U1364&lt;=250,"0-R$250",U1364&lt;=500,"251-R$500",U1364&lt;=750,"501-R$750",U1364&lt;=1000,"751-R$1000",U1364&lt;=1250,"1001-R$1250",U1364&lt;=1500,"1251-R$1500")</f>
        <v>0-R$250</v>
      </c>
      <c r="W1364" s="13">
        <v>10</v>
      </c>
      <c r="X1364" s="13" t="str" cm="1">
        <f t="array" ref="X1364">_xlfn.IFS(W1364 = 0, "0", W1364&lt;=20, "até R$20",W1364&lt;=40, "21 - R$40",W1364&lt;=60, "41- R$60",W1364&lt;=80, "61 - R$80", W1364&lt;=100, "81 - R$100",W1364&lt;=120, "101 - R$120",W1364&lt;=140, "121 - R$140", W1364&lt;=160, "141- R$160", W1364&lt;=180, "161 - R$180", W1364&lt;=200, "181-R$194")</f>
        <v>até R$20</v>
      </c>
      <c r="Y1364" s="13">
        <v>34</v>
      </c>
      <c r="Z1364" s="13">
        <v>11</v>
      </c>
      <c r="AA1364" s="13">
        <v>10</v>
      </c>
      <c r="AB1364" s="13">
        <v>28</v>
      </c>
      <c r="AC1364" s="13">
        <v>4</v>
      </c>
      <c r="AD1364" s="13">
        <v>3</v>
      </c>
      <c r="AE1364" s="13">
        <v>1</v>
      </c>
      <c r="AF1364" s="13">
        <v>4</v>
      </c>
      <c r="AG1364" s="13">
        <v>6</v>
      </c>
      <c r="AH1364" s="13">
        <v>0</v>
      </c>
      <c r="AI1364" s="13">
        <v>0</v>
      </c>
      <c r="AJ1364" s="13">
        <v>0</v>
      </c>
      <c r="AK1364" s="13">
        <v>0</v>
      </c>
      <c r="AL1364" s="13">
        <v>0</v>
      </c>
      <c r="AM1364" s="13">
        <v>0</v>
      </c>
      <c r="AN1364" s="13">
        <v>0</v>
      </c>
      <c r="AO1364" s="14">
        <v>0</v>
      </c>
      <c r="AP1364" s="13">
        <v>3</v>
      </c>
      <c r="AQ1364" s="13">
        <v>11</v>
      </c>
      <c r="AR1364" s="15">
        <v>121</v>
      </c>
      <c r="AS1364" s="15">
        <v>149</v>
      </c>
    </row>
    <row r="1365" spans="1:45" x14ac:dyDescent="0.25">
      <c r="A1365">
        <v>1432</v>
      </c>
      <c r="B1365" s="11">
        <f t="shared" si="21"/>
        <v>43300</v>
      </c>
      <c r="C1365" s="12">
        <v>433000</v>
      </c>
      <c r="D1365" s="13">
        <v>0</v>
      </c>
      <c r="E1365" s="13">
        <v>1</v>
      </c>
      <c r="F1365" s="13">
        <v>87</v>
      </c>
      <c r="G1365" s="13">
        <v>49</v>
      </c>
      <c r="H1365" s="13" t="str" cm="1">
        <f t="array" ref="H1365">_xlfn.IFS(G1365&lt;=20,"0-20",G1365&lt;=30,"20-30",G1365&lt;=40,"30-40",G1365&lt;=50,"50-60",G1365&lt;=60,"60-70",G1365&lt;=70,"70-80",G1365&lt;=80,"80-90")</f>
        <v>50-60</v>
      </c>
      <c r="I1365" s="13">
        <v>2783</v>
      </c>
      <c r="J1365" s="13" t="str" cm="1">
        <f t="array" ref="J1365">_xlfn.IFS(K1365=1,"Divorciado",L1365=1,"Casado",M1365=1,"Solteiro",N1365=1,"Juntos",O1365=1,"Viuvo")</f>
        <v>Divorciado</v>
      </c>
      <c r="K1365" s="13">
        <v>1</v>
      </c>
      <c r="L1365" s="13">
        <v>0</v>
      </c>
      <c r="M1365" s="13">
        <v>0</v>
      </c>
      <c r="N1365" s="13">
        <v>0</v>
      </c>
      <c r="O1365" s="13">
        <v>0</v>
      </c>
      <c r="P1365" s="13">
        <v>0</v>
      </c>
      <c r="Q1365" s="13">
        <v>0</v>
      </c>
      <c r="R1365" s="13">
        <v>1</v>
      </c>
      <c r="S1365" s="13">
        <v>0</v>
      </c>
      <c r="T1365" s="13">
        <v>0</v>
      </c>
      <c r="U1365" s="13">
        <v>91</v>
      </c>
      <c r="V1365" s="13" t="str" cm="1">
        <f t="array" ref="V1365">_xlfn.IFS(U1365&lt;=250,"0-R$250",U1365&lt;=500,"251-R$500",U1365&lt;=750,"501-R$750",U1365&lt;=1000,"751-R$1000",U1365&lt;=1250,"1001-R$1250",U1365&lt;=1500,"1251-R$1500")</f>
        <v>0-R$250</v>
      </c>
      <c r="W1365" s="13">
        <v>3</v>
      </c>
      <c r="X1365" s="13" t="str" cm="1">
        <f t="array" ref="X1365">_xlfn.IFS(W1365 = 0, "0", W1365&lt;=20, "até R$20",W1365&lt;=40, "21 - R$40",W1365&lt;=60, "41- R$60",W1365&lt;=80, "61 - R$80", W1365&lt;=100, "81 - R$100",W1365&lt;=120, "101 - R$120",W1365&lt;=140, "121 - R$140", W1365&lt;=160, "141- R$160", W1365&lt;=180, "161 - R$180", W1365&lt;=200, "181-R$194")</f>
        <v>até R$20</v>
      </c>
      <c r="Y1365" s="13">
        <v>52</v>
      </c>
      <c r="Z1365" s="13">
        <v>2</v>
      </c>
      <c r="AA1365" s="13">
        <v>1</v>
      </c>
      <c r="AB1365" s="13">
        <v>31</v>
      </c>
      <c r="AC1365" s="13">
        <v>3</v>
      </c>
      <c r="AD1365" s="13">
        <v>4</v>
      </c>
      <c r="AE1365" s="13">
        <v>0</v>
      </c>
      <c r="AF1365" s="13">
        <v>4</v>
      </c>
      <c r="AG1365" s="13">
        <v>8</v>
      </c>
      <c r="AH1365" s="13">
        <v>0</v>
      </c>
      <c r="AI1365" s="13">
        <v>0</v>
      </c>
      <c r="AJ1365" s="13">
        <v>0</v>
      </c>
      <c r="AK1365" s="13">
        <v>0</v>
      </c>
      <c r="AL1365" s="13">
        <v>0</v>
      </c>
      <c r="AM1365" s="13">
        <v>0</v>
      </c>
      <c r="AN1365" s="13">
        <v>1</v>
      </c>
      <c r="AO1365" s="14">
        <v>0</v>
      </c>
      <c r="AP1365" s="13">
        <v>3</v>
      </c>
      <c r="AQ1365" s="13">
        <v>11</v>
      </c>
      <c r="AR1365" s="15">
        <v>118</v>
      </c>
      <c r="AS1365" s="15">
        <v>149</v>
      </c>
    </row>
    <row r="1366" spans="1:45" x14ac:dyDescent="0.25">
      <c r="A1366">
        <v>1777</v>
      </c>
      <c r="B1366" s="11">
        <f t="shared" si="21"/>
        <v>59385</v>
      </c>
      <c r="C1366" s="16">
        <v>593850</v>
      </c>
      <c r="D1366" s="17">
        <v>1</v>
      </c>
      <c r="E1366" s="17">
        <v>1</v>
      </c>
      <c r="F1366" s="17">
        <v>85</v>
      </c>
      <c r="G1366" s="17">
        <v>69</v>
      </c>
      <c r="H1366" s="13" t="str" cm="1">
        <f t="array" ref="H1366">_xlfn.IFS(G1366&lt;=20,"0-20",G1366&lt;=30,"20-30",G1366&lt;=40,"30-40",G1366&lt;=50,"50-60",G1366&lt;=60,"60-70",G1366&lt;=70,"70-80",G1366&lt;=80,"80-90")</f>
        <v>70-80</v>
      </c>
      <c r="I1366" s="17">
        <v>2586</v>
      </c>
      <c r="J1366" s="13" t="str" cm="1">
        <f t="array" ref="J1366">_xlfn.IFS(K1366=1,"Divorciado",L1366=1,"Casado",M1366=1,"Solteiro",N1366=1,"Juntos",O1366=1,"Viuvo")</f>
        <v>Juntos</v>
      </c>
      <c r="K1366" s="17">
        <v>0</v>
      </c>
      <c r="L1366" s="17">
        <v>0</v>
      </c>
      <c r="M1366" s="17">
        <v>0</v>
      </c>
      <c r="N1366" s="17">
        <v>1</v>
      </c>
      <c r="O1366" s="17">
        <v>0</v>
      </c>
      <c r="P1366" s="17">
        <v>0</v>
      </c>
      <c r="Q1366" s="17">
        <v>0</v>
      </c>
      <c r="R1366" s="17">
        <v>0</v>
      </c>
      <c r="S1366" s="17">
        <v>1</v>
      </c>
      <c r="T1366" s="17">
        <v>0</v>
      </c>
      <c r="U1366" s="17">
        <v>135</v>
      </c>
      <c r="V1366" s="13" t="str" cm="1">
        <f t="array" ref="V1366">_xlfn.IFS(U1366&lt;=250,"0-R$250",U1366&lt;=500,"251-R$500",U1366&lt;=750,"501-R$750",U1366&lt;=1000,"751-R$1000",U1366&lt;=1250,"1001-R$1250",U1366&lt;=1500,"1251-R$1500")</f>
        <v>0-R$250</v>
      </c>
      <c r="W1366" s="17">
        <v>0</v>
      </c>
      <c r="X1366" s="13" t="str" cm="1">
        <f t="array" ref="X1366">_xlfn.IFS(W1366 = 0, "0", W1366&lt;=20, "até R$20",W1366&lt;=40, "21 - R$40",W1366&lt;=60, "41- R$60",W1366&lt;=80, "61 - R$80", W1366&lt;=100, "81 - R$100",W1366&lt;=120, "101 - R$120",W1366&lt;=140, "121 - R$140", W1366&lt;=160, "141- R$160", W1366&lt;=180, "161 - R$180", W1366&lt;=200, "181-R$194")</f>
        <v>0</v>
      </c>
      <c r="Y1366" s="17">
        <v>10</v>
      </c>
      <c r="Z1366" s="17">
        <v>0</v>
      </c>
      <c r="AA1366" s="17">
        <v>4</v>
      </c>
      <c r="AB1366" s="17">
        <v>36</v>
      </c>
      <c r="AC1366" s="17">
        <v>2</v>
      </c>
      <c r="AD1366" s="17">
        <v>3</v>
      </c>
      <c r="AE1366" s="17">
        <v>1</v>
      </c>
      <c r="AF1366" s="17">
        <v>4</v>
      </c>
      <c r="AG1366" s="17">
        <v>5</v>
      </c>
      <c r="AH1366" s="17">
        <v>0</v>
      </c>
      <c r="AI1366" s="17">
        <v>0</v>
      </c>
      <c r="AJ1366" s="17">
        <v>0</v>
      </c>
      <c r="AK1366" s="17">
        <v>0</v>
      </c>
      <c r="AL1366" s="17">
        <v>0</v>
      </c>
      <c r="AM1366" s="17">
        <v>0</v>
      </c>
      <c r="AN1366" s="17">
        <v>0</v>
      </c>
      <c r="AO1366" s="18">
        <v>0</v>
      </c>
      <c r="AP1366" s="17">
        <v>3</v>
      </c>
      <c r="AQ1366" s="17">
        <v>11</v>
      </c>
      <c r="AR1366" s="19">
        <v>113</v>
      </c>
      <c r="AS1366" s="19">
        <v>149</v>
      </c>
    </row>
    <row r="1367" spans="1:45" x14ac:dyDescent="0.25">
      <c r="A1367">
        <v>1955</v>
      </c>
      <c r="B1367" s="11">
        <f t="shared" si="21"/>
        <v>24570</v>
      </c>
      <c r="C1367" s="16">
        <v>245700</v>
      </c>
      <c r="D1367" s="17">
        <v>1</v>
      </c>
      <c r="E1367" s="17">
        <v>0</v>
      </c>
      <c r="F1367" s="17">
        <v>97</v>
      </c>
      <c r="G1367" s="17">
        <v>36</v>
      </c>
      <c r="H1367" s="13" t="str" cm="1">
        <f t="array" ref="H1367">_xlfn.IFS(G1367&lt;=20,"0-20",G1367&lt;=30,"20-30",G1367&lt;=40,"30-40",G1367&lt;=50,"50-60",G1367&lt;=60,"60-70",G1367&lt;=70,"70-80",G1367&lt;=80,"80-90")</f>
        <v>30-40</v>
      </c>
      <c r="I1367" s="17">
        <v>2646</v>
      </c>
      <c r="J1367" s="13" t="str" cm="1">
        <f t="array" ref="J1367">_xlfn.IFS(K1367=1,"Divorciado",L1367=1,"Casado",M1367=1,"Solteiro",N1367=1,"Juntos",O1367=1,"Viuvo")</f>
        <v>Casado</v>
      </c>
      <c r="K1367" s="17">
        <v>0</v>
      </c>
      <c r="L1367" s="17">
        <v>1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1</v>
      </c>
      <c r="S1367" s="17">
        <v>0</v>
      </c>
      <c r="T1367" s="17">
        <v>0</v>
      </c>
      <c r="U1367" s="17">
        <v>28</v>
      </c>
      <c r="V1367" s="13" t="str" cm="1">
        <f t="array" ref="V1367">_xlfn.IFS(U1367&lt;=250,"0-R$250",U1367&lt;=500,"251-R$500",U1367&lt;=750,"501-R$750",U1367&lt;=1000,"751-R$1000",U1367&lt;=1250,"1001-R$1250",U1367&lt;=1500,"1251-R$1500")</f>
        <v>0-R$250</v>
      </c>
      <c r="W1367" s="17">
        <v>34</v>
      </c>
      <c r="X1367" s="13" t="str" cm="1">
        <f t="array" ref="X1367">_xlfn.IFS(W1367 = 0, "0", W1367&lt;=20, "até R$20",W1367&lt;=40, "21 - R$40",W1367&lt;=60, "41- R$60",W1367&lt;=80, "61 - R$80", W1367&lt;=100, "81 - R$100",W1367&lt;=120, "101 - R$120",W1367&lt;=140, "121 - R$140", W1367&lt;=160, "141- R$160", W1367&lt;=180, "161 - R$180", W1367&lt;=200, "181-R$194")</f>
        <v>21 - R$40</v>
      </c>
      <c r="Y1367" s="17">
        <v>62</v>
      </c>
      <c r="Z1367" s="17">
        <v>11</v>
      </c>
      <c r="AA1367" s="17">
        <v>14</v>
      </c>
      <c r="AB1367" s="17">
        <v>44</v>
      </c>
      <c r="AC1367" s="17">
        <v>3</v>
      </c>
      <c r="AD1367" s="17">
        <v>4</v>
      </c>
      <c r="AE1367" s="17">
        <v>0</v>
      </c>
      <c r="AF1367" s="17">
        <v>4</v>
      </c>
      <c r="AG1367" s="17">
        <v>9</v>
      </c>
      <c r="AH1367" s="17">
        <v>0</v>
      </c>
      <c r="AI1367" s="17">
        <v>0</v>
      </c>
      <c r="AJ1367" s="17">
        <v>0</v>
      </c>
      <c r="AK1367" s="17">
        <v>0</v>
      </c>
      <c r="AL1367" s="17">
        <v>0</v>
      </c>
      <c r="AM1367" s="17">
        <v>0</v>
      </c>
      <c r="AN1367" s="17">
        <v>0</v>
      </c>
      <c r="AO1367" s="18">
        <v>0</v>
      </c>
      <c r="AP1367" s="17">
        <v>3</v>
      </c>
      <c r="AQ1367" s="17">
        <v>11</v>
      </c>
      <c r="AR1367" s="19">
        <v>105</v>
      </c>
      <c r="AS1367" s="19">
        <v>149</v>
      </c>
    </row>
    <row r="1368" spans="1:45" x14ac:dyDescent="0.25">
      <c r="A1368">
        <v>2124</v>
      </c>
      <c r="B1368" s="11">
        <f t="shared" si="21"/>
        <v>41713</v>
      </c>
      <c r="C1368" s="12">
        <v>417130</v>
      </c>
      <c r="D1368" s="13">
        <v>1</v>
      </c>
      <c r="E1368" s="13">
        <v>1</v>
      </c>
      <c r="F1368" s="13">
        <v>57</v>
      </c>
      <c r="G1368" s="13">
        <v>56</v>
      </c>
      <c r="H1368" s="13" t="str" cm="1">
        <f t="array" ref="H1368">_xlfn.IFS(G1368&lt;=20,"0-20",G1368&lt;=30,"20-30",G1368&lt;=40,"30-40",G1368&lt;=50,"50-60",G1368&lt;=60,"60-70",G1368&lt;=70,"70-80",G1368&lt;=80,"80-90")</f>
        <v>60-70</v>
      </c>
      <c r="I1368" s="13">
        <v>2220</v>
      </c>
      <c r="J1368" s="13" t="str" cm="1">
        <f t="array" ref="J1368">_xlfn.IFS(K1368=1,"Divorciado",L1368=1,"Casado",M1368=1,"Solteiro",N1368=1,"Juntos",O1368=1,"Viuvo")</f>
        <v>Divorciado</v>
      </c>
      <c r="K1368" s="13">
        <v>1</v>
      </c>
      <c r="L1368" s="13">
        <v>0</v>
      </c>
      <c r="M1368" s="13">
        <v>0</v>
      </c>
      <c r="N1368" s="13">
        <v>0</v>
      </c>
      <c r="O1368" s="13">
        <v>0</v>
      </c>
      <c r="P1368" s="13">
        <v>1</v>
      </c>
      <c r="Q1368" s="13">
        <v>0</v>
      </c>
      <c r="R1368" s="13">
        <v>0</v>
      </c>
      <c r="S1368" s="13">
        <v>0</v>
      </c>
      <c r="T1368" s="13">
        <v>0</v>
      </c>
      <c r="U1368" s="13">
        <v>77</v>
      </c>
      <c r="V1368" s="13" t="str" cm="1">
        <f t="array" ref="V1368">_xlfn.IFS(U1368&lt;=250,"0-R$250",U1368&lt;=500,"251-R$500",U1368&lt;=750,"501-R$750",U1368&lt;=1000,"751-R$1000",U1368&lt;=1250,"1001-R$1250",U1368&lt;=1500,"1251-R$1500")</f>
        <v>0-R$250</v>
      </c>
      <c r="W1368" s="13">
        <v>8</v>
      </c>
      <c r="X1368" s="13" t="str" cm="1">
        <f t="array" ref="X1368">_xlfn.IFS(W1368 = 0, "0", W1368&lt;=20, "até R$20",W1368&lt;=40, "21 - R$40",W1368&lt;=60, "41- R$60",W1368&lt;=80, "61 - R$80", W1368&lt;=100, "81 - R$100",W1368&lt;=120, "101 - R$120",W1368&lt;=140, "121 - R$140", W1368&lt;=160, "141- R$160", W1368&lt;=180, "161 - R$180", W1368&lt;=200, "181-R$194")</f>
        <v>até R$20</v>
      </c>
      <c r="Y1368" s="13">
        <v>44</v>
      </c>
      <c r="Z1368" s="13">
        <v>10</v>
      </c>
      <c r="AA1368" s="13">
        <v>10</v>
      </c>
      <c r="AB1368" s="13">
        <v>25</v>
      </c>
      <c r="AC1368" s="13">
        <v>5</v>
      </c>
      <c r="AD1368" s="13">
        <v>3</v>
      </c>
      <c r="AE1368" s="13">
        <v>1</v>
      </c>
      <c r="AF1368" s="13">
        <v>4</v>
      </c>
      <c r="AG1368" s="13">
        <v>6</v>
      </c>
      <c r="AH1368" s="13">
        <v>0</v>
      </c>
      <c r="AI1368" s="13">
        <v>0</v>
      </c>
      <c r="AJ1368" s="13">
        <v>0</v>
      </c>
      <c r="AK1368" s="13">
        <v>0</v>
      </c>
      <c r="AL1368" s="13">
        <v>0</v>
      </c>
      <c r="AM1368" s="13">
        <v>0</v>
      </c>
      <c r="AN1368" s="13">
        <v>0</v>
      </c>
      <c r="AO1368" s="14">
        <v>0</v>
      </c>
      <c r="AP1368" s="13">
        <v>3</v>
      </c>
      <c r="AQ1368" s="13">
        <v>11</v>
      </c>
      <c r="AR1368" s="15">
        <v>124</v>
      </c>
      <c r="AS1368" s="15">
        <v>149</v>
      </c>
    </row>
    <row r="1369" spans="1:45" x14ac:dyDescent="0.25">
      <c r="A1369">
        <v>75</v>
      </c>
      <c r="B1369" s="11">
        <f t="shared" si="21"/>
        <v>29760</v>
      </c>
      <c r="C1369" s="16">
        <v>297600</v>
      </c>
      <c r="D1369" s="17">
        <v>1</v>
      </c>
      <c r="E1369" s="17">
        <v>0</v>
      </c>
      <c r="F1369" s="17">
        <v>87</v>
      </c>
      <c r="G1369" s="17">
        <v>35</v>
      </c>
      <c r="H1369" s="13" t="str" cm="1">
        <f t="array" ref="H1369">_xlfn.IFS(G1369&lt;=20,"0-20",G1369&lt;=30,"20-30",G1369&lt;=40,"30-40",G1369&lt;=50,"50-60",G1369&lt;=60,"60-70",G1369&lt;=70,"70-80",G1369&lt;=80,"80-90")</f>
        <v>30-40</v>
      </c>
      <c r="I1369" s="17">
        <v>2828</v>
      </c>
      <c r="J1369" s="13" t="str" cm="1">
        <f t="array" ref="J1369">_xlfn.IFS(K1369=1,"Divorciado",L1369=1,"Casado",M1369=1,"Solteiro",N1369=1,"Juntos",O1369=1,"Viuvo")</f>
        <v>Solteiro</v>
      </c>
      <c r="K1369" s="17">
        <v>0</v>
      </c>
      <c r="L1369" s="17">
        <v>0</v>
      </c>
      <c r="M1369" s="17">
        <v>1</v>
      </c>
      <c r="N1369" s="17">
        <v>0</v>
      </c>
      <c r="O1369" s="17">
        <v>0</v>
      </c>
      <c r="P1369" s="17">
        <v>0</v>
      </c>
      <c r="Q1369" s="17">
        <v>0</v>
      </c>
      <c r="R1369" s="17">
        <v>1</v>
      </c>
      <c r="S1369" s="17">
        <v>0</v>
      </c>
      <c r="T1369" s="17">
        <v>0</v>
      </c>
      <c r="U1369" s="17">
        <v>64</v>
      </c>
      <c r="V1369" s="13" t="str" cm="1">
        <f t="array" ref="V1369">_xlfn.IFS(U1369&lt;=250,"0-R$250",U1369&lt;=500,"251-R$500",U1369&lt;=750,"501-R$750",U1369&lt;=1000,"751-R$1000",U1369&lt;=1250,"1001-R$1250",U1369&lt;=1500,"1251-R$1500")</f>
        <v>0-R$250</v>
      </c>
      <c r="W1369" s="17">
        <v>4</v>
      </c>
      <c r="X1369" s="13" t="str" cm="1">
        <f t="array" ref="X1369">_xlfn.IFS(W1369 = 0, "0", W1369&lt;=20, "até R$20",W1369&lt;=40, "21 - R$40",W1369&lt;=60, "41- R$60",W1369&lt;=80, "61 - R$80", W1369&lt;=100, "81 - R$100",W1369&lt;=120, "101 - R$120",W1369&lt;=140, "121 - R$140", W1369&lt;=160, "141- R$160", W1369&lt;=180, "161 - R$180", W1369&lt;=200, "181-R$194")</f>
        <v>até R$20</v>
      </c>
      <c r="Y1369" s="17">
        <v>68</v>
      </c>
      <c r="Z1369" s="17">
        <v>7</v>
      </c>
      <c r="AA1369" s="17">
        <v>5</v>
      </c>
      <c r="AB1369" s="17">
        <v>17</v>
      </c>
      <c r="AC1369" s="17">
        <v>4</v>
      </c>
      <c r="AD1369" s="17">
        <v>3</v>
      </c>
      <c r="AE1369" s="17">
        <v>1</v>
      </c>
      <c r="AF1369" s="17">
        <v>4</v>
      </c>
      <c r="AG1369" s="17">
        <v>8</v>
      </c>
      <c r="AH1369" s="17">
        <v>0</v>
      </c>
      <c r="AI1369" s="17">
        <v>0</v>
      </c>
      <c r="AJ1369" s="17">
        <v>0</v>
      </c>
      <c r="AK1369" s="17">
        <v>0</v>
      </c>
      <c r="AL1369" s="17">
        <v>0</v>
      </c>
      <c r="AM1369" s="17">
        <v>0</v>
      </c>
      <c r="AN1369" s="17">
        <v>0</v>
      </c>
      <c r="AO1369" s="18">
        <v>0</v>
      </c>
      <c r="AP1369" s="17">
        <v>3</v>
      </c>
      <c r="AQ1369" s="17">
        <v>11</v>
      </c>
      <c r="AR1369" s="19">
        <v>131</v>
      </c>
      <c r="AS1369" s="19">
        <v>148</v>
      </c>
    </row>
    <row r="1370" spans="1:45" x14ac:dyDescent="0.25">
      <c r="A1370">
        <v>148</v>
      </c>
      <c r="B1370" s="11">
        <f t="shared" si="21"/>
        <v>55375</v>
      </c>
      <c r="C1370" s="12">
        <v>553750</v>
      </c>
      <c r="D1370" s="13">
        <v>0</v>
      </c>
      <c r="E1370" s="13">
        <v>1</v>
      </c>
      <c r="F1370" s="13">
        <v>3</v>
      </c>
      <c r="G1370" s="13">
        <v>43</v>
      </c>
      <c r="H1370" s="13" t="str" cm="1">
        <f t="array" ref="H1370">_xlfn.IFS(G1370&lt;=20,"0-20",G1370&lt;=30,"20-30",G1370&lt;=40,"30-40",G1370&lt;=50,"50-60",G1370&lt;=60,"60-70",G1370&lt;=70,"70-80",G1370&lt;=80,"80-90")</f>
        <v>50-60</v>
      </c>
      <c r="I1370" s="13">
        <v>2414</v>
      </c>
      <c r="J1370" s="13" t="str" cm="1">
        <f t="array" ref="J1370">_xlfn.IFS(K1370=1,"Divorciado",L1370=1,"Casado",M1370=1,"Solteiro",N1370=1,"Juntos",O1370=1,"Viuvo")</f>
        <v>Juntos</v>
      </c>
      <c r="K1370" s="13">
        <v>0</v>
      </c>
      <c r="L1370" s="13">
        <v>0</v>
      </c>
      <c r="M1370" s="13">
        <v>0</v>
      </c>
      <c r="N1370" s="13">
        <v>1</v>
      </c>
      <c r="O1370" s="13">
        <v>0</v>
      </c>
      <c r="P1370" s="13">
        <v>0</v>
      </c>
      <c r="Q1370" s="13">
        <v>0</v>
      </c>
      <c r="R1370" s="13">
        <v>1</v>
      </c>
      <c r="S1370" s="13">
        <v>0</v>
      </c>
      <c r="T1370" s="13">
        <v>0</v>
      </c>
      <c r="U1370" s="13">
        <v>42</v>
      </c>
      <c r="V1370" s="13" t="str" cm="1">
        <f t="array" ref="V1370">_xlfn.IFS(U1370&lt;=250,"0-R$250",U1370&lt;=500,"251-R$500",U1370&lt;=750,"501-R$750",U1370&lt;=1000,"751-R$1000",U1370&lt;=1250,"1001-R$1250",U1370&lt;=1500,"1251-R$1500")</f>
        <v>0-R$250</v>
      </c>
      <c r="W1370" s="13">
        <v>11</v>
      </c>
      <c r="X1370" s="13" t="str" cm="1">
        <f t="array" ref="X1370">_xlfn.IFS(W1370 = 0, "0", W1370&lt;=20, "até R$20",W1370&lt;=40, "21 - R$40",W1370&lt;=60, "41- R$60",W1370&lt;=80, "61 - R$80", W1370&lt;=100, "81 - R$100",W1370&lt;=120, "101 - R$120",W1370&lt;=140, "121 - R$140", W1370&lt;=160, "141- R$160", W1370&lt;=180, "161 - R$180", W1370&lt;=200, "181-R$194")</f>
        <v>até R$20</v>
      </c>
      <c r="Y1370" s="13">
        <v>57</v>
      </c>
      <c r="Z1370" s="13">
        <v>10</v>
      </c>
      <c r="AA1370" s="13">
        <v>28</v>
      </c>
      <c r="AB1370" s="13">
        <v>14</v>
      </c>
      <c r="AC1370" s="13">
        <v>1</v>
      </c>
      <c r="AD1370" s="13">
        <v>1</v>
      </c>
      <c r="AE1370" s="13">
        <v>1</v>
      </c>
      <c r="AF1370" s="13">
        <v>6</v>
      </c>
      <c r="AG1370" s="13">
        <v>2</v>
      </c>
      <c r="AH1370" s="13">
        <v>0</v>
      </c>
      <c r="AI1370" s="13">
        <v>0</v>
      </c>
      <c r="AJ1370" s="13">
        <v>0</v>
      </c>
      <c r="AK1370" s="13">
        <v>0</v>
      </c>
      <c r="AL1370" s="13">
        <v>0</v>
      </c>
      <c r="AM1370" s="13">
        <v>0</v>
      </c>
      <c r="AN1370" s="13">
        <v>0</v>
      </c>
      <c r="AO1370" s="14">
        <v>0</v>
      </c>
      <c r="AP1370" s="13">
        <v>3</v>
      </c>
      <c r="AQ1370" s="13">
        <v>11</v>
      </c>
      <c r="AR1370" s="15">
        <v>134</v>
      </c>
      <c r="AS1370" s="15">
        <v>148</v>
      </c>
    </row>
    <row r="1371" spans="1:45" x14ac:dyDescent="0.25">
      <c r="A1371">
        <v>1198</v>
      </c>
      <c r="B1371" s="11">
        <f t="shared" si="21"/>
        <v>33629</v>
      </c>
      <c r="C1371" s="12">
        <v>336290</v>
      </c>
      <c r="D1371" s="13">
        <v>1</v>
      </c>
      <c r="E1371" s="13">
        <v>1</v>
      </c>
      <c r="F1371" s="13">
        <v>49</v>
      </c>
      <c r="G1371" s="13">
        <v>57</v>
      </c>
      <c r="H1371" s="13" t="str" cm="1">
        <f t="array" ref="H1371">_xlfn.IFS(G1371&lt;=20,"0-20",G1371&lt;=30,"20-30",G1371&lt;=40,"30-40",G1371&lt;=50,"50-60",G1371&lt;=60,"60-70",G1371&lt;=70,"70-80",G1371&lt;=80,"80-90")</f>
        <v>60-70</v>
      </c>
      <c r="I1371" s="13">
        <v>2849</v>
      </c>
      <c r="J1371" s="13" t="str" cm="1">
        <f t="array" ref="J1371">_xlfn.IFS(K1371=1,"Divorciado",L1371=1,"Casado",M1371=1,"Solteiro",N1371=1,"Juntos",O1371=1,"Viuvo")</f>
        <v>Juntos</v>
      </c>
      <c r="K1371" s="13">
        <v>0</v>
      </c>
      <c r="L1371" s="13">
        <v>0</v>
      </c>
      <c r="M1371" s="13">
        <v>0</v>
      </c>
      <c r="N1371" s="13">
        <v>1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1</v>
      </c>
      <c r="U1371" s="13">
        <v>132</v>
      </c>
      <c r="V1371" s="13" t="str" cm="1">
        <f t="array" ref="V1371">_xlfn.IFS(U1371&lt;=250,"0-R$250",U1371&lt;=500,"251-R$500",U1371&lt;=750,"501-R$750",U1371&lt;=1000,"751-R$1000",U1371&lt;=1250,"1001-R$1250",U1371&lt;=1500,"1251-R$1500")</f>
        <v>0-R$250</v>
      </c>
      <c r="W1371" s="13">
        <v>0</v>
      </c>
      <c r="X1371" s="13" t="str" cm="1">
        <f t="array" ref="X1371">_xlfn.IFS(W1371 = 0, "0", W1371&lt;=20, "até R$20",W1371&lt;=40, "21 - R$40",W1371&lt;=60, "41- R$60",W1371&lt;=80, "61 - R$80", W1371&lt;=100, "81 - R$100",W1371&lt;=120, "101 - R$120",W1371&lt;=140, "121 - R$140", W1371&lt;=160, "141- R$160", W1371&lt;=180, "161 - R$180", W1371&lt;=200, "181-R$194")</f>
        <v>0</v>
      </c>
      <c r="Y1371" s="13">
        <v>16</v>
      </c>
      <c r="Z1371" s="13">
        <v>0</v>
      </c>
      <c r="AA1371" s="13">
        <v>0</v>
      </c>
      <c r="AB1371" s="13">
        <v>4</v>
      </c>
      <c r="AC1371" s="13">
        <v>5</v>
      </c>
      <c r="AD1371" s="13">
        <v>3</v>
      </c>
      <c r="AE1371" s="13">
        <v>1</v>
      </c>
      <c r="AF1371" s="13">
        <v>4</v>
      </c>
      <c r="AG1371" s="13">
        <v>9</v>
      </c>
      <c r="AH1371" s="13">
        <v>0</v>
      </c>
      <c r="AI1371" s="13">
        <v>0</v>
      </c>
      <c r="AJ1371" s="13">
        <v>0</v>
      </c>
      <c r="AK1371" s="13">
        <v>0</v>
      </c>
      <c r="AL1371" s="13">
        <v>0</v>
      </c>
      <c r="AM1371" s="13">
        <v>0</v>
      </c>
      <c r="AN1371" s="13">
        <v>0</v>
      </c>
      <c r="AO1371" s="14">
        <v>0</v>
      </c>
      <c r="AP1371" s="13">
        <v>3</v>
      </c>
      <c r="AQ1371" s="13">
        <v>11</v>
      </c>
      <c r="AR1371" s="15">
        <v>144</v>
      </c>
      <c r="AS1371" s="15">
        <v>148</v>
      </c>
    </row>
    <row r="1372" spans="1:45" x14ac:dyDescent="0.25">
      <c r="A1372">
        <v>1751</v>
      </c>
      <c r="B1372" s="11">
        <f t="shared" si="21"/>
        <v>29760</v>
      </c>
      <c r="C1372" s="16">
        <v>297600</v>
      </c>
      <c r="D1372" s="17">
        <v>1</v>
      </c>
      <c r="E1372" s="17">
        <v>0</v>
      </c>
      <c r="F1372" s="17">
        <v>87</v>
      </c>
      <c r="G1372" s="17">
        <v>35</v>
      </c>
      <c r="H1372" s="13" t="str" cm="1">
        <f t="array" ref="H1372">_xlfn.IFS(G1372&lt;=20,"0-20",G1372&lt;=30,"20-30",G1372&lt;=40,"30-40",G1372&lt;=50,"50-60",G1372&lt;=60,"60-70",G1372&lt;=70,"70-80",G1372&lt;=80,"80-90")</f>
        <v>30-40</v>
      </c>
      <c r="I1372" s="17">
        <v>2828</v>
      </c>
      <c r="J1372" s="13" t="str" cm="1">
        <f t="array" ref="J1372">_xlfn.IFS(K1372=1,"Divorciado",L1372=1,"Casado",M1372=1,"Solteiro",N1372=1,"Juntos",O1372=1,"Viuvo")</f>
        <v>Solteiro</v>
      </c>
      <c r="K1372" s="17">
        <v>0</v>
      </c>
      <c r="L1372" s="17">
        <v>0</v>
      </c>
      <c r="M1372" s="17">
        <v>1</v>
      </c>
      <c r="N1372" s="17">
        <v>0</v>
      </c>
      <c r="O1372" s="17">
        <v>0</v>
      </c>
      <c r="P1372" s="17">
        <v>0</v>
      </c>
      <c r="Q1372" s="17">
        <v>0</v>
      </c>
      <c r="R1372" s="17">
        <v>1</v>
      </c>
      <c r="S1372" s="17">
        <v>0</v>
      </c>
      <c r="T1372" s="17">
        <v>0</v>
      </c>
      <c r="U1372" s="17">
        <v>64</v>
      </c>
      <c r="V1372" s="13" t="str" cm="1">
        <f t="array" ref="V1372">_xlfn.IFS(U1372&lt;=250,"0-R$250",U1372&lt;=500,"251-R$500",U1372&lt;=750,"501-R$750",U1372&lt;=1000,"751-R$1000",U1372&lt;=1250,"1001-R$1250",U1372&lt;=1500,"1251-R$1500")</f>
        <v>0-R$250</v>
      </c>
      <c r="W1372" s="17">
        <v>4</v>
      </c>
      <c r="X1372" s="13" t="str" cm="1">
        <f t="array" ref="X1372">_xlfn.IFS(W1372 = 0, "0", W1372&lt;=20, "até R$20",W1372&lt;=40, "21 - R$40",W1372&lt;=60, "41- R$60",W1372&lt;=80, "61 - R$80", W1372&lt;=100, "81 - R$100",W1372&lt;=120, "101 - R$120",W1372&lt;=140, "121 - R$140", W1372&lt;=160, "141- R$160", W1372&lt;=180, "161 - R$180", W1372&lt;=200, "181-R$194")</f>
        <v>até R$20</v>
      </c>
      <c r="Y1372" s="17">
        <v>68</v>
      </c>
      <c r="Z1372" s="17">
        <v>7</v>
      </c>
      <c r="AA1372" s="17">
        <v>5</v>
      </c>
      <c r="AB1372" s="17">
        <v>17</v>
      </c>
      <c r="AC1372" s="17">
        <v>4</v>
      </c>
      <c r="AD1372" s="17">
        <v>3</v>
      </c>
      <c r="AE1372" s="17">
        <v>1</v>
      </c>
      <c r="AF1372" s="17">
        <v>4</v>
      </c>
      <c r="AG1372" s="17">
        <v>8</v>
      </c>
      <c r="AH1372" s="17">
        <v>0</v>
      </c>
      <c r="AI1372" s="17">
        <v>0</v>
      </c>
      <c r="AJ1372" s="17">
        <v>0</v>
      </c>
      <c r="AK1372" s="17">
        <v>0</v>
      </c>
      <c r="AL1372" s="17">
        <v>0</v>
      </c>
      <c r="AM1372" s="17">
        <v>0</v>
      </c>
      <c r="AN1372" s="17">
        <v>0</v>
      </c>
      <c r="AO1372" s="18">
        <v>0</v>
      </c>
      <c r="AP1372" s="17">
        <v>3</v>
      </c>
      <c r="AQ1372" s="17">
        <v>11</v>
      </c>
      <c r="AR1372" s="19">
        <v>131</v>
      </c>
      <c r="AS1372" s="19">
        <v>148</v>
      </c>
    </row>
    <row r="1373" spans="1:45" x14ac:dyDescent="0.25">
      <c r="A1373">
        <v>641</v>
      </c>
      <c r="B1373" s="11">
        <f t="shared" si="21"/>
        <v>46734</v>
      </c>
      <c r="C1373" s="16">
        <v>467340</v>
      </c>
      <c r="D1373" s="17">
        <v>1</v>
      </c>
      <c r="E1373" s="17">
        <v>2</v>
      </c>
      <c r="F1373" s="17">
        <v>86</v>
      </c>
      <c r="G1373" s="17">
        <v>54</v>
      </c>
      <c r="H1373" s="13" t="str" cm="1">
        <f t="array" ref="H1373">_xlfn.IFS(G1373&lt;=20,"0-20",G1373&lt;=30,"20-30",G1373&lt;=40,"30-40",G1373&lt;=50,"50-60",G1373&lt;=60,"60-70",G1373&lt;=70,"70-80",G1373&lt;=80,"80-90")</f>
        <v>60-70</v>
      </c>
      <c r="I1373" s="17">
        <v>2410</v>
      </c>
      <c r="J1373" s="13" t="str" cm="1">
        <f t="array" ref="J1373">_xlfn.IFS(K1373=1,"Divorciado",L1373=1,"Casado",M1373=1,"Solteiro",N1373=1,"Juntos",O1373=1,"Viuvo")</f>
        <v>Solteiro</v>
      </c>
      <c r="K1373" s="17">
        <v>0</v>
      </c>
      <c r="L1373" s="17">
        <v>0</v>
      </c>
      <c r="M1373" s="17">
        <v>1</v>
      </c>
      <c r="N1373" s="17">
        <v>0</v>
      </c>
      <c r="O1373" s="17">
        <v>0</v>
      </c>
      <c r="P1373" s="17">
        <v>0</v>
      </c>
      <c r="Q1373" s="17">
        <v>0</v>
      </c>
      <c r="R1373" s="17">
        <v>0</v>
      </c>
      <c r="S1373" s="17">
        <v>0</v>
      </c>
      <c r="T1373" s="17">
        <v>1</v>
      </c>
      <c r="U1373" s="17">
        <v>100</v>
      </c>
      <c r="V1373" s="13" t="str" cm="1">
        <f t="array" ref="V1373">_xlfn.IFS(U1373&lt;=250,"0-R$250",U1373&lt;=500,"251-R$500",U1373&lt;=750,"501-R$750",U1373&lt;=1000,"751-R$1000",U1373&lt;=1250,"1001-R$1250",U1373&lt;=1500,"1251-R$1500")</f>
        <v>0-R$250</v>
      </c>
      <c r="W1373" s="17">
        <v>1</v>
      </c>
      <c r="X1373" s="13" t="str" cm="1">
        <f t="array" ref="X1373">_xlfn.IFS(W1373 = 0, "0", W1373&lt;=20, "até R$20",W1373&lt;=40, "21 - R$40",W1373&lt;=60, "41- R$60",W1373&lt;=80, "61 - R$80", W1373&lt;=100, "81 - R$100",W1373&lt;=120, "101 - R$120",W1373&lt;=140, "121 - R$140", W1373&lt;=160, "141- R$160", W1373&lt;=180, "161 - R$180", W1373&lt;=200, "181-R$194")</f>
        <v>até R$20</v>
      </c>
      <c r="Y1373" s="17">
        <v>39</v>
      </c>
      <c r="Z1373" s="17">
        <v>6</v>
      </c>
      <c r="AA1373" s="17">
        <v>1</v>
      </c>
      <c r="AB1373" s="17">
        <v>76</v>
      </c>
      <c r="AC1373" s="17">
        <v>4</v>
      </c>
      <c r="AD1373" s="17">
        <v>3</v>
      </c>
      <c r="AE1373" s="17">
        <v>2</v>
      </c>
      <c r="AF1373" s="17">
        <v>3</v>
      </c>
      <c r="AG1373" s="17">
        <v>6</v>
      </c>
      <c r="AH1373" s="17">
        <v>0</v>
      </c>
      <c r="AI1373" s="17">
        <v>1</v>
      </c>
      <c r="AJ1373" s="17">
        <v>0</v>
      </c>
      <c r="AK1373" s="17">
        <v>0</v>
      </c>
      <c r="AL1373" s="17">
        <v>0</v>
      </c>
      <c r="AM1373" s="17">
        <v>0</v>
      </c>
      <c r="AN1373" s="17">
        <v>0</v>
      </c>
      <c r="AO1373" s="18">
        <v>1</v>
      </c>
      <c r="AP1373" s="17">
        <v>3</v>
      </c>
      <c r="AQ1373" s="17">
        <v>11</v>
      </c>
      <c r="AR1373" s="19">
        <v>71</v>
      </c>
      <c r="AS1373" s="19">
        <v>147</v>
      </c>
    </row>
    <row r="1374" spans="1:45" x14ac:dyDescent="0.25">
      <c r="A1374">
        <v>944</v>
      </c>
      <c r="B1374" s="11">
        <f t="shared" si="21"/>
        <v>40233</v>
      </c>
      <c r="C1374" s="12">
        <v>402330</v>
      </c>
      <c r="D1374" s="13">
        <v>0</v>
      </c>
      <c r="E1374" s="13">
        <v>1</v>
      </c>
      <c r="F1374" s="13">
        <v>84</v>
      </c>
      <c r="G1374" s="13">
        <v>45</v>
      </c>
      <c r="H1374" s="13" t="str" cm="1">
        <f t="array" ref="H1374">_xlfn.IFS(G1374&lt;=20,"0-20",G1374&lt;=30,"20-30",G1374&lt;=40,"30-40",G1374&lt;=50,"50-60",G1374&lt;=60,"60-70",G1374&lt;=70,"70-80",G1374&lt;=80,"80-90")</f>
        <v>50-60</v>
      </c>
      <c r="I1374" s="13">
        <v>2417</v>
      </c>
      <c r="J1374" s="13" t="str" cm="1">
        <f t="array" ref="J1374">_xlfn.IFS(K1374=1,"Divorciado",L1374=1,"Casado",M1374=1,"Solteiro",N1374=1,"Juntos",O1374=1,"Viuvo")</f>
        <v>Casado</v>
      </c>
      <c r="K1374" s="13">
        <v>0</v>
      </c>
      <c r="L1374" s="13">
        <v>1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1</v>
      </c>
      <c r="U1374" s="13">
        <v>80</v>
      </c>
      <c r="V1374" s="13" t="str" cm="1">
        <f t="array" ref="V1374">_xlfn.IFS(U1374&lt;=250,"0-R$250",U1374&lt;=500,"251-R$500",U1374&lt;=750,"501-R$750",U1374&lt;=1000,"751-R$1000",U1374&lt;=1250,"1001-R$1250",U1374&lt;=1500,"1251-R$1500")</f>
        <v>0-R$250</v>
      </c>
      <c r="W1374" s="13">
        <v>4</v>
      </c>
      <c r="X1374" s="13" t="str" cm="1">
        <f t="array" ref="X1374">_xlfn.IFS(W1374 = 0, "0", W1374&lt;=20, "até R$20",W1374&lt;=40, "21 - R$40",W1374&lt;=60, "41- R$60",W1374&lt;=80, "61 - R$80", W1374&lt;=100, "81 - R$100",W1374&lt;=120, "101 - R$120",W1374&lt;=140, "121 - R$140", W1374&lt;=160, "141- R$160", W1374&lt;=180, "161 - R$180", W1374&lt;=200, "181-R$194")</f>
        <v>até R$20</v>
      </c>
      <c r="Y1374" s="13">
        <v>46</v>
      </c>
      <c r="Z1374" s="13">
        <v>0</v>
      </c>
      <c r="AA1374" s="13">
        <v>17</v>
      </c>
      <c r="AB1374" s="13">
        <v>2</v>
      </c>
      <c r="AC1374" s="13">
        <v>5</v>
      </c>
      <c r="AD1374" s="13">
        <v>2</v>
      </c>
      <c r="AE1374" s="13">
        <v>1</v>
      </c>
      <c r="AF1374" s="13">
        <v>5</v>
      </c>
      <c r="AG1374" s="13">
        <v>6</v>
      </c>
      <c r="AH1374" s="13">
        <v>0</v>
      </c>
      <c r="AI1374" s="13">
        <v>0</v>
      </c>
      <c r="AJ1374" s="13">
        <v>0</v>
      </c>
      <c r="AK1374" s="13">
        <v>0</v>
      </c>
      <c r="AL1374" s="13">
        <v>0</v>
      </c>
      <c r="AM1374" s="13">
        <v>0</v>
      </c>
      <c r="AN1374" s="13">
        <v>0</v>
      </c>
      <c r="AO1374" s="14">
        <v>0</v>
      </c>
      <c r="AP1374" s="13">
        <v>3</v>
      </c>
      <c r="AQ1374" s="13">
        <v>11</v>
      </c>
      <c r="AR1374" s="15">
        <v>145</v>
      </c>
      <c r="AS1374" s="15">
        <v>147</v>
      </c>
    </row>
    <row r="1375" spans="1:45" x14ac:dyDescent="0.25">
      <c r="A1375">
        <v>1378</v>
      </c>
      <c r="B1375" s="11">
        <f t="shared" si="21"/>
        <v>37716</v>
      </c>
      <c r="C1375" s="12">
        <v>377160</v>
      </c>
      <c r="D1375" s="13">
        <v>0</v>
      </c>
      <c r="E1375" s="13">
        <v>1</v>
      </c>
      <c r="F1375" s="13">
        <v>4</v>
      </c>
      <c r="G1375" s="13">
        <v>67</v>
      </c>
      <c r="H1375" s="13" t="str" cm="1">
        <f t="array" ref="H1375">_xlfn.IFS(G1375&lt;=20,"0-20",G1375&lt;=30,"20-30",G1375&lt;=40,"30-40",G1375&lt;=50,"50-60",G1375&lt;=60,"60-70",G1375&lt;=70,"70-80",G1375&lt;=80,"80-90")</f>
        <v>70-80</v>
      </c>
      <c r="I1375" s="13">
        <v>2228</v>
      </c>
      <c r="J1375" s="13" t="str" cm="1">
        <f t="array" ref="J1375">_xlfn.IFS(K1375=1,"Divorciado",L1375=1,"Casado",M1375=1,"Solteiro",N1375=1,"Juntos",O1375=1,"Viuvo")</f>
        <v>Casado</v>
      </c>
      <c r="K1375" s="13">
        <v>0</v>
      </c>
      <c r="L1375" s="13">
        <v>1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1</v>
      </c>
      <c r="S1375" s="13">
        <v>0</v>
      </c>
      <c r="T1375" s="13">
        <v>0</v>
      </c>
      <c r="U1375" s="13">
        <v>97</v>
      </c>
      <c r="V1375" s="13" t="str" cm="1">
        <f t="array" ref="V1375">_xlfn.IFS(U1375&lt;=250,"0-R$250",U1375&lt;=500,"251-R$500",U1375&lt;=750,"501-R$750",U1375&lt;=1000,"751-R$1000",U1375&lt;=1250,"1001-R$1250",U1375&lt;=1500,"1251-R$1500")</f>
        <v>0-R$250</v>
      </c>
      <c r="W1375" s="13">
        <v>1</v>
      </c>
      <c r="X1375" s="13" t="str" cm="1">
        <f t="array" ref="X1375">_xlfn.IFS(W1375 = 0, "0", W1375&lt;=20, "até R$20",W1375&lt;=40, "21 - R$40",W1375&lt;=60, "41- R$60",W1375&lt;=80, "61 - R$80", W1375&lt;=100, "81 - R$100",W1375&lt;=120, "101 - R$120",W1375&lt;=140, "121 - R$140", W1375&lt;=160, "141- R$160", W1375&lt;=180, "161 - R$180", W1375&lt;=200, "181-R$194")</f>
        <v>até R$20</v>
      </c>
      <c r="Y1375" s="13">
        <v>41</v>
      </c>
      <c r="Z1375" s="13">
        <v>6</v>
      </c>
      <c r="AA1375" s="13">
        <v>2</v>
      </c>
      <c r="AB1375" s="13">
        <v>41</v>
      </c>
      <c r="AC1375" s="13">
        <v>2</v>
      </c>
      <c r="AD1375" s="13">
        <v>4</v>
      </c>
      <c r="AE1375" s="13">
        <v>1</v>
      </c>
      <c r="AF1375" s="13">
        <v>3</v>
      </c>
      <c r="AG1375" s="13">
        <v>7</v>
      </c>
      <c r="AH1375" s="13">
        <v>0</v>
      </c>
      <c r="AI1375" s="13">
        <v>0</v>
      </c>
      <c r="AJ1375" s="13">
        <v>0</v>
      </c>
      <c r="AK1375" s="13">
        <v>0</v>
      </c>
      <c r="AL1375" s="13">
        <v>0</v>
      </c>
      <c r="AM1375" s="13">
        <v>0</v>
      </c>
      <c r="AN1375" s="13">
        <v>0</v>
      </c>
      <c r="AO1375" s="14">
        <v>0</v>
      </c>
      <c r="AP1375" s="13">
        <v>3</v>
      </c>
      <c r="AQ1375" s="13">
        <v>11</v>
      </c>
      <c r="AR1375" s="15">
        <v>106</v>
      </c>
      <c r="AS1375" s="15">
        <v>147</v>
      </c>
    </row>
    <row r="1376" spans="1:45" x14ac:dyDescent="0.25">
      <c r="A1376">
        <v>8</v>
      </c>
      <c r="B1376" s="11">
        <f t="shared" si="21"/>
        <v>33454</v>
      </c>
      <c r="C1376" s="12">
        <v>334540</v>
      </c>
      <c r="D1376" s="13">
        <v>1</v>
      </c>
      <c r="E1376" s="13">
        <v>0</v>
      </c>
      <c r="F1376" s="13">
        <v>32</v>
      </c>
      <c r="G1376" s="13">
        <v>35</v>
      </c>
      <c r="H1376" s="13" t="str" cm="1">
        <f t="array" ref="H1376">_xlfn.IFS(G1376&lt;=20,"0-20",G1376&lt;=30,"20-30",G1376&lt;=40,"30-40",G1376&lt;=50,"50-60",G1376&lt;=60,"60-70",G1376&lt;=70,"70-80",G1376&lt;=80,"80-90")</f>
        <v>30-40</v>
      </c>
      <c r="I1376" s="13">
        <v>2576</v>
      </c>
      <c r="J1376" s="13" t="str" cm="1">
        <f t="array" ref="J1376">_xlfn.IFS(K1376=1,"Divorciado",L1376=1,"Casado",M1376=1,"Solteiro",N1376=1,"Juntos",O1376=1,"Viuvo")</f>
        <v>Casado</v>
      </c>
      <c r="K1376" s="13">
        <v>0</v>
      </c>
      <c r="L1376" s="13">
        <v>1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1</v>
      </c>
      <c r="U1376" s="13">
        <v>76</v>
      </c>
      <c r="V1376" s="13" t="str" cm="1">
        <f t="array" ref="V1376">_xlfn.IFS(U1376&lt;=250,"0-R$250",U1376&lt;=500,"251-R$500",U1376&lt;=750,"501-R$750",U1376&lt;=1000,"751-R$1000",U1376&lt;=1250,"1001-R$1250",U1376&lt;=1500,"1251-R$1500")</f>
        <v>0-R$250</v>
      </c>
      <c r="W1376" s="13">
        <v>10</v>
      </c>
      <c r="X1376" s="13" t="str" cm="1">
        <f t="array" ref="X1376">_xlfn.IFS(W1376 = 0, "0", W1376&lt;=20, "até R$20",W1376&lt;=40, "21 - R$40",W1376&lt;=60, "41- R$60",W1376&lt;=80, "61 - R$80", W1376&lt;=100, "81 - R$100",W1376&lt;=120, "101 - R$120",W1376&lt;=140, "121 - R$140", W1376&lt;=160, "141- R$160", W1376&lt;=180, "161 - R$180", W1376&lt;=200, "181-R$194")</f>
        <v>até R$20</v>
      </c>
      <c r="Y1376" s="13">
        <v>56</v>
      </c>
      <c r="Z1376" s="13">
        <v>3</v>
      </c>
      <c r="AA1376" s="13">
        <v>1</v>
      </c>
      <c r="AB1376" s="13">
        <v>23</v>
      </c>
      <c r="AC1376" s="13">
        <v>2</v>
      </c>
      <c r="AD1376" s="13">
        <v>4</v>
      </c>
      <c r="AE1376" s="13">
        <v>0</v>
      </c>
      <c r="AF1376" s="13">
        <v>4</v>
      </c>
      <c r="AG1376" s="13">
        <v>8</v>
      </c>
      <c r="AH1376" s="13">
        <v>0</v>
      </c>
      <c r="AI1376" s="13">
        <v>0</v>
      </c>
      <c r="AJ1376" s="13">
        <v>0</v>
      </c>
      <c r="AK1376" s="13">
        <v>0</v>
      </c>
      <c r="AL1376" s="13">
        <v>0</v>
      </c>
      <c r="AM1376" s="13">
        <v>0</v>
      </c>
      <c r="AN1376" s="13">
        <v>0</v>
      </c>
      <c r="AO1376" s="14">
        <v>0</v>
      </c>
      <c r="AP1376" s="13">
        <v>3</v>
      </c>
      <c r="AQ1376" s="13">
        <v>11</v>
      </c>
      <c r="AR1376" s="15">
        <v>123</v>
      </c>
      <c r="AS1376" s="15">
        <v>146</v>
      </c>
    </row>
    <row r="1377" spans="1:45" x14ac:dyDescent="0.25">
      <c r="A1377">
        <v>81</v>
      </c>
      <c r="B1377" s="11">
        <f t="shared" si="21"/>
        <v>36138</v>
      </c>
      <c r="C1377" s="16">
        <v>361380</v>
      </c>
      <c r="D1377" s="17">
        <v>1</v>
      </c>
      <c r="E1377" s="17">
        <v>1</v>
      </c>
      <c r="F1377" s="17">
        <v>48</v>
      </c>
      <c r="G1377" s="17">
        <v>50</v>
      </c>
      <c r="H1377" s="13" t="str" cm="1">
        <f t="array" ref="H1377">_xlfn.IFS(G1377&lt;=20,"0-20",G1377&lt;=30,"20-30",G1377&lt;=40,"30-40",G1377&lt;=50,"50-60",G1377&lt;=60,"60-70",G1377&lt;=70,"70-80",G1377&lt;=80,"80-90")</f>
        <v>50-60</v>
      </c>
      <c r="I1377" s="17">
        <v>2507</v>
      </c>
      <c r="J1377" s="13" t="str" cm="1">
        <f t="array" ref="J1377">_xlfn.IFS(K1377=1,"Divorciado",L1377=1,"Casado",M1377=1,"Solteiro",N1377=1,"Juntos",O1377=1,"Viuvo")</f>
        <v>Casado</v>
      </c>
      <c r="K1377" s="17">
        <v>0</v>
      </c>
      <c r="L1377" s="17">
        <v>1</v>
      </c>
      <c r="M1377" s="17">
        <v>0</v>
      </c>
      <c r="N1377" s="17">
        <v>0</v>
      </c>
      <c r="O1377" s="17">
        <v>0</v>
      </c>
      <c r="P1377" s="17">
        <v>0</v>
      </c>
      <c r="Q1377" s="17">
        <v>0</v>
      </c>
      <c r="R1377" s="17">
        <v>0</v>
      </c>
      <c r="S1377" s="17">
        <v>1</v>
      </c>
      <c r="T1377" s="17">
        <v>0</v>
      </c>
      <c r="U1377" s="17">
        <v>130</v>
      </c>
      <c r="V1377" s="13" t="str" cm="1">
        <f t="array" ref="V1377">_xlfn.IFS(U1377&lt;=250,"0-R$250",U1377&lt;=500,"251-R$500",U1377&lt;=750,"501-R$750",U1377&lt;=1000,"751-R$1000",U1377&lt;=1250,"1001-R$1250",U1377&lt;=1500,"1251-R$1500")</f>
        <v>0-R$250</v>
      </c>
      <c r="W1377" s="17">
        <v>0</v>
      </c>
      <c r="X1377" s="13" t="str" cm="1">
        <f t="array" ref="X1377">_xlfn.IFS(W1377 = 0, "0", W1377&lt;=20, "até R$20",W1377&lt;=40, "21 - R$40",W1377&lt;=60, "41- R$60",W1377&lt;=80, "61 - R$80", W1377&lt;=100, "81 - R$100",W1377&lt;=120, "101 - R$120",W1377&lt;=140, "121 - R$140", W1377&lt;=160, "141- R$160", W1377&lt;=180, "161 - R$180", W1377&lt;=200, "181-R$194")</f>
        <v>0</v>
      </c>
      <c r="Y1377" s="17">
        <v>16</v>
      </c>
      <c r="Z1377" s="17">
        <v>0</v>
      </c>
      <c r="AA1377" s="17">
        <v>0</v>
      </c>
      <c r="AB1377" s="17">
        <v>5</v>
      </c>
      <c r="AC1377" s="17">
        <v>5</v>
      </c>
      <c r="AD1377" s="17">
        <v>3</v>
      </c>
      <c r="AE1377" s="17">
        <v>1</v>
      </c>
      <c r="AF1377" s="17">
        <v>4</v>
      </c>
      <c r="AG1377" s="17">
        <v>7</v>
      </c>
      <c r="AH1377" s="17">
        <v>0</v>
      </c>
      <c r="AI1377" s="17">
        <v>0</v>
      </c>
      <c r="AJ1377" s="17">
        <v>1</v>
      </c>
      <c r="AK1377" s="17">
        <v>0</v>
      </c>
      <c r="AL1377" s="17">
        <v>0</v>
      </c>
      <c r="AM1377" s="17">
        <v>0</v>
      </c>
      <c r="AN1377" s="17">
        <v>0</v>
      </c>
      <c r="AO1377" s="18">
        <v>1</v>
      </c>
      <c r="AP1377" s="17">
        <v>3</v>
      </c>
      <c r="AQ1377" s="17">
        <v>11</v>
      </c>
      <c r="AR1377" s="19">
        <v>141</v>
      </c>
      <c r="AS1377" s="19">
        <v>146</v>
      </c>
    </row>
    <row r="1378" spans="1:45" x14ac:dyDescent="0.25">
      <c r="A1378">
        <v>1220</v>
      </c>
      <c r="B1378" s="11">
        <f t="shared" si="21"/>
        <v>44213</v>
      </c>
      <c r="C1378" s="12">
        <v>442130</v>
      </c>
      <c r="D1378" s="13">
        <v>1</v>
      </c>
      <c r="E1378" s="13">
        <v>1</v>
      </c>
      <c r="F1378" s="13">
        <v>48</v>
      </c>
      <c r="G1378" s="13">
        <v>68</v>
      </c>
      <c r="H1378" s="13" t="str" cm="1">
        <f t="array" ref="H1378">_xlfn.IFS(G1378&lt;=20,"0-20",G1378&lt;=30,"20-30",G1378&lt;=40,"30-40",G1378&lt;=50,"50-60",G1378&lt;=60,"60-70",G1378&lt;=70,"70-80",G1378&lt;=80,"80-90")</f>
        <v>70-80</v>
      </c>
      <c r="I1378" s="13">
        <v>2371</v>
      </c>
      <c r="J1378" s="13" t="str" cm="1">
        <f t="array" ref="J1378">_xlfn.IFS(K1378=1,"Divorciado",L1378=1,"Casado",M1378=1,"Solteiro",N1378=1,"Juntos",O1378=1,"Viuvo")</f>
        <v>Solteiro</v>
      </c>
      <c r="K1378" s="13">
        <v>0</v>
      </c>
      <c r="L1378" s="13">
        <v>0</v>
      </c>
      <c r="M1378" s="13">
        <v>1</v>
      </c>
      <c r="N1378" s="13">
        <v>0</v>
      </c>
      <c r="O1378" s="13">
        <v>0</v>
      </c>
      <c r="P1378" s="13">
        <v>0</v>
      </c>
      <c r="Q1378" s="13">
        <v>0</v>
      </c>
      <c r="R1378" s="13">
        <v>1</v>
      </c>
      <c r="S1378" s="13">
        <v>0</v>
      </c>
      <c r="T1378" s="13">
        <v>0</v>
      </c>
      <c r="U1378" s="13">
        <v>95</v>
      </c>
      <c r="V1378" s="13" t="str" cm="1">
        <f t="array" ref="V1378">_xlfn.IFS(U1378&lt;=250,"0-R$250",U1378&lt;=500,"251-R$500",U1378&lt;=750,"501-R$750",U1378&lt;=1000,"751-R$1000",U1378&lt;=1250,"1001-R$1250",U1378&lt;=1500,"1251-R$1500")</f>
        <v>0-R$250</v>
      </c>
      <c r="W1378" s="13">
        <v>11</v>
      </c>
      <c r="X1378" s="13" t="str" cm="1">
        <f t="array" ref="X1378">_xlfn.IFS(W1378 = 0, "0", W1378&lt;=20, "até R$20",W1378&lt;=40, "21 - R$40",W1378&lt;=60, "41- R$60",W1378&lt;=80, "61 - R$80", W1378&lt;=100, "81 - R$100",W1378&lt;=120, "101 - R$120",W1378&lt;=140, "121 - R$140", W1378&lt;=160, "141- R$160", W1378&lt;=180, "161 - R$180", W1378&lt;=200, "181-R$194")</f>
        <v>até R$20</v>
      </c>
      <c r="Y1378" s="13">
        <v>35</v>
      </c>
      <c r="Z1378" s="13">
        <v>0</v>
      </c>
      <c r="AA1378" s="13">
        <v>4</v>
      </c>
      <c r="AB1378" s="13">
        <v>7</v>
      </c>
      <c r="AC1378" s="13">
        <v>4</v>
      </c>
      <c r="AD1378" s="13">
        <v>2</v>
      </c>
      <c r="AE1378" s="13">
        <v>1</v>
      </c>
      <c r="AF1378" s="13">
        <v>5</v>
      </c>
      <c r="AG1378" s="13">
        <v>6</v>
      </c>
      <c r="AH1378" s="13">
        <v>0</v>
      </c>
      <c r="AI1378" s="13">
        <v>0</v>
      </c>
      <c r="AJ1378" s="13">
        <v>0</v>
      </c>
      <c r="AK1378" s="13">
        <v>0</v>
      </c>
      <c r="AL1378" s="13">
        <v>0</v>
      </c>
      <c r="AM1378" s="13">
        <v>0</v>
      </c>
      <c r="AN1378" s="13">
        <v>0</v>
      </c>
      <c r="AO1378" s="14">
        <v>0</v>
      </c>
      <c r="AP1378" s="13">
        <v>3</v>
      </c>
      <c r="AQ1378" s="13">
        <v>11</v>
      </c>
      <c r="AR1378" s="15">
        <v>138</v>
      </c>
      <c r="AS1378" s="15">
        <v>145</v>
      </c>
    </row>
    <row r="1379" spans="1:45" x14ac:dyDescent="0.25">
      <c r="A1379">
        <v>1857</v>
      </c>
      <c r="B1379" s="11">
        <f t="shared" si="21"/>
        <v>50616</v>
      </c>
      <c r="C1379" s="16">
        <v>506160</v>
      </c>
      <c r="D1379" s="17">
        <v>0</v>
      </c>
      <c r="E1379" s="17">
        <v>1</v>
      </c>
      <c r="F1379" s="17">
        <v>56</v>
      </c>
      <c r="G1379" s="17">
        <v>52</v>
      </c>
      <c r="H1379" s="13" t="str" cm="1">
        <f t="array" ref="H1379">_xlfn.IFS(G1379&lt;=20,"0-20",G1379&lt;=30,"20-30",G1379&lt;=40,"30-40",G1379&lt;=50,"50-60",G1379&lt;=60,"60-70",G1379&lt;=70,"70-80",G1379&lt;=80,"80-90")</f>
        <v>60-70</v>
      </c>
      <c r="I1379" s="17">
        <v>2231</v>
      </c>
      <c r="J1379" s="13" t="str" cm="1">
        <f t="array" ref="J1379">_xlfn.IFS(K1379=1,"Divorciado",L1379=1,"Casado",M1379=1,"Solteiro",N1379=1,"Juntos",O1379=1,"Viuvo")</f>
        <v>Divorciado</v>
      </c>
      <c r="K1379" s="17">
        <v>1</v>
      </c>
      <c r="L1379" s="17">
        <v>0</v>
      </c>
      <c r="M1379" s="17">
        <v>0</v>
      </c>
      <c r="N1379" s="17">
        <v>0</v>
      </c>
      <c r="O1379" s="17">
        <v>0</v>
      </c>
      <c r="P1379" s="17">
        <v>0</v>
      </c>
      <c r="Q1379" s="17">
        <v>0</v>
      </c>
      <c r="R1379" s="17">
        <v>0</v>
      </c>
      <c r="S1379" s="17">
        <v>0</v>
      </c>
      <c r="T1379" s="17">
        <v>1</v>
      </c>
      <c r="U1379" s="17">
        <v>128</v>
      </c>
      <c r="V1379" s="13" t="str" cm="1">
        <f t="array" ref="V1379">_xlfn.IFS(U1379&lt;=250,"0-R$250",U1379&lt;=500,"251-R$500",U1379&lt;=750,"501-R$750",U1379&lt;=1000,"751-R$1000",U1379&lt;=1250,"1001-R$1250",U1379&lt;=1500,"1251-R$1500")</f>
        <v>0-R$250</v>
      </c>
      <c r="W1379" s="17">
        <v>0</v>
      </c>
      <c r="X1379" s="13" t="str" cm="1">
        <f t="array" ref="X1379">_xlfn.IFS(W1379 = 0, "0", W1379&lt;=20, "até R$20",W1379&lt;=40, "21 - R$40",W1379&lt;=60, "41- R$60",W1379&lt;=80, "61 - R$80", W1379&lt;=100, "81 - R$100",W1379&lt;=120, "101 - R$120",W1379&lt;=140, "121 - R$140", W1379&lt;=160, "141- R$160", W1379&lt;=180, "161 - R$180", W1379&lt;=200, "181-R$194")</f>
        <v>0</v>
      </c>
      <c r="Y1379" s="17">
        <v>16</v>
      </c>
      <c r="Z1379" s="17">
        <v>0</v>
      </c>
      <c r="AA1379" s="17">
        <v>1</v>
      </c>
      <c r="AB1379" s="17">
        <v>4</v>
      </c>
      <c r="AC1379" s="17">
        <v>2</v>
      </c>
      <c r="AD1379" s="17">
        <v>4</v>
      </c>
      <c r="AE1379" s="17">
        <v>0</v>
      </c>
      <c r="AF1379" s="17">
        <v>4</v>
      </c>
      <c r="AG1379" s="17">
        <v>7</v>
      </c>
      <c r="AH1379" s="17">
        <v>0</v>
      </c>
      <c r="AI1379" s="17">
        <v>0</v>
      </c>
      <c r="AJ1379" s="17">
        <v>0</v>
      </c>
      <c r="AK1379" s="17">
        <v>0</v>
      </c>
      <c r="AL1379" s="17">
        <v>0</v>
      </c>
      <c r="AM1379" s="17">
        <v>0</v>
      </c>
      <c r="AN1379" s="17">
        <v>0</v>
      </c>
      <c r="AO1379" s="18">
        <v>0</v>
      </c>
      <c r="AP1379" s="17">
        <v>3</v>
      </c>
      <c r="AQ1379" s="17">
        <v>11</v>
      </c>
      <c r="AR1379" s="19">
        <v>141</v>
      </c>
      <c r="AS1379" s="19">
        <v>145</v>
      </c>
    </row>
    <row r="1380" spans="1:45" x14ac:dyDescent="0.25">
      <c r="A1380">
        <v>386</v>
      </c>
      <c r="B1380" s="11">
        <f t="shared" si="21"/>
        <v>42373</v>
      </c>
      <c r="C1380" s="12">
        <v>423730</v>
      </c>
      <c r="D1380" s="13">
        <v>1</v>
      </c>
      <c r="E1380" s="13">
        <v>1</v>
      </c>
      <c r="F1380" s="13">
        <v>83</v>
      </c>
      <c r="G1380" s="13">
        <v>46</v>
      </c>
      <c r="H1380" s="13" t="str" cm="1">
        <f t="array" ref="H1380">_xlfn.IFS(G1380&lt;=20,"0-20",G1380&lt;=30,"20-30",G1380&lt;=40,"30-40",G1380&lt;=50,"50-60",G1380&lt;=60,"60-70",G1380&lt;=70,"70-80",G1380&lt;=80,"80-90")</f>
        <v>50-60</v>
      </c>
      <c r="I1380" s="13">
        <v>2477</v>
      </c>
      <c r="J1380" s="13" t="str" cm="1">
        <f t="array" ref="J1380">_xlfn.IFS(K1380=1,"Divorciado",L1380=1,"Casado",M1380=1,"Solteiro",N1380=1,"Juntos",O1380=1,"Viuvo")</f>
        <v>Solteiro</v>
      </c>
      <c r="K1380" s="13">
        <v>0</v>
      </c>
      <c r="L1380" s="13">
        <v>0</v>
      </c>
      <c r="M1380" s="13">
        <v>1</v>
      </c>
      <c r="N1380" s="13">
        <v>0</v>
      </c>
      <c r="O1380" s="13">
        <v>0</v>
      </c>
      <c r="P1380" s="13">
        <v>0</v>
      </c>
      <c r="Q1380" s="13">
        <v>0</v>
      </c>
      <c r="R1380" s="13">
        <v>1</v>
      </c>
      <c r="S1380" s="13">
        <v>0</v>
      </c>
      <c r="T1380" s="13">
        <v>0</v>
      </c>
      <c r="U1380" s="13">
        <v>67</v>
      </c>
      <c r="V1380" s="13" t="str" cm="1">
        <f t="array" ref="V1380">_xlfn.IFS(U1380&lt;=250,"0-R$250",U1380&lt;=500,"251-R$500",U1380&lt;=750,"501-R$750",U1380&lt;=1000,"751-R$1000",U1380&lt;=1250,"1001-R$1250",U1380&lt;=1500,"1251-R$1500")</f>
        <v>0-R$250</v>
      </c>
      <c r="W1380" s="13">
        <v>5</v>
      </c>
      <c r="X1380" s="13" t="str" cm="1">
        <f t="array" ref="X1380">_xlfn.IFS(W1380 = 0, "0", W1380&lt;=20, "até R$20",W1380&lt;=40, "21 - R$40",W1380&lt;=60, "41- R$60",W1380&lt;=80, "61 - R$80", W1380&lt;=100, "81 - R$100",W1380&lt;=120, "101 - R$120",W1380&lt;=140, "121 - R$140", W1380&lt;=160, "141- R$160", W1380&lt;=180, "161 - R$180", W1380&lt;=200, "181-R$194")</f>
        <v>até R$20</v>
      </c>
      <c r="Y1380" s="13">
        <v>61</v>
      </c>
      <c r="Z1380" s="13">
        <v>3</v>
      </c>
      <c r="AA1380" s="13">
        <v>8</v>
      </c>
      <c r="AB1380" s="13">
        <v>19</v>
      </c>
      <c r="AC1380" s="13">
        <v>5</v>
      </c>
      <c r="AD1380" s="13">
        <v>2</v>
      </c>
      <c r="AE1380" s="13">
        <v>1</v>
      </c>
      <c r="AF1380" s="13">
        <v>5</v>
      </c>
      <c r="AG1380" s="13">
        <v>5</v>
      </c>
      <c r="AH1380" s="13">
        <v>0</v>
      </c>
      <c r="AI1380" s="13">
        <v>0</v>
      </c>
      <c r="AJ1380" s="13">
        <v>0</v>
      </c>
      <c r="AK1380" s="13">
        <v>0</v>
      </c>
      <c r="AL1380" s="13">
        <v>0</v>
      </c>
      <c r="AM1380" s="13">
        <v>0</v>
      </c>
      <c r="AN1380" s="13">
        <v>0</v>
      </c>
      <c r="AO1380" s="14">
        <v>0</v>
      </c>
      <c r="AP1380" s="13">
        <v>3</v>
      </c>
      <c r="AQ1380" s="13">
        <v>11</v>
      </c>
      <c r="AR1380" s="15">
        <v>125</v>
      </c>
      <c r="AS1380" s="15">
        <v>144</v>
      </c>
    </row>
    <row r="1381" spans="1:45" x14ac:dyDescent="0.25">
      <c r="A1381">
        <v>2051</v>
      </c>
      <c r="B1381" s="11">
        <f t="shared" si="21"/>
        <v>27803</v>
      </c>
      <c r="C1381" s="16">
        <v>278030</v>
      </c>
      <c r="D1381" s="17">
        <v>1</v>
      </c>
      <c r="E1381" s="17">
        <v>0</v>
      </c>
      <c r="F1381" s="17">
        <v>40</v>
      </c>
      <c r="G1381" s="17">
        <v>47</v>
      </c>
      <c r="H1381" s="13" t="str" cm="1">
        <f t="array" ref="H1381">_xlfn.IFS(G1381&lt;=20,"0-20",G1381&lt;=30,"20-30",G1381&lt;=40,"30-40",G1381&lt;=50,"50-60",G1381&lt;=60,"60-70",G1381&lt;=70,"70-80",G1381&lt;=80,"80-90")</f>
        <v>50-60</v>
      </c>
      <c r="I1381" s="17">
        <v>2831</v>
      </c>
      <c r="J1381" s="13" t="str" cm="1">
        <f t="array" ref="J1381">_xlfn.IFS(K1381=1,"Divorciado",L1381=1,"Casado",M1381=1,"Solteiro",N1381=1,"Juntos",O1381=1,"Viuvo")</f>
        <v>Casado</v>
      </c>
      <c r="K1381" s="17">
        <v>0</v>
      </c>
      <c r="L1381" s="17">
        <v>1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1</v>
      </c>
      <c r="S1381" s="17">
        <v>0</v>
      </c>
      <c r="T1381" s="17">
        <v>0</v>
      </c>
      <c r="U1381" s="17">
        <v>8</v>
      </c>
      <c r="V1381" s="13" t="str" cm="1">
        <f t="array" ref="V1381">_xlfn.IFS(U1381&lt;=250,"0-R$250",U1381&lt;=500,"251-R$500",U1381&lt;=750,"501-R$750",U1381&lt;=1000,"751-R$1000",U1381&lt;=1250,"1001-R$1250",U1381&lt;=1500,"1251-R$1500")</f>
        <v>0-R$250</v>
      </c>
      <c r="W1381" s="17">
        <v>26</v>
      </c>
      <c r="X1381" s="13" t="str" cm="1">
        <f t="array" ref="X1381">_xlfn.IFS(W1381 = 0, "0", W1381&lt;=20, "até R$20",W1381&lt;=40, "21 - R$40",W1381&lt;=60, "41- R$60",W1381&lt;=80, "61 - R$80", W1381&lt;=100, "81 - R$100",W1381&lt;=120, "101 - R$120",W1381&lt;=140, "121 - R$140", W1381&lt;=160, "141- R$160", W1381&lt;=180, "161 - R$180", W1381&lt;=200, "181-R$194")</f>
        <v>21 - R$40</v>
      </c>
      <c r="Y1381" s="17">
        <v>46</v>
      </c>
      <c r="Z1381" s="17">
        <v>38</v>
      </c>
      <c r="AA1381" s="17">
        <v>9</v>
      </c>
      <c r="AB1381" s="17">
        <v>49</v>
      </c>
      <c r="AC1381" s="17">
        <v>2</v>
      </c>
      <c r="AD1381" s="17">
        <v>3</v>
      </c>
      <c r="AE1381" s="17">
        <v>0</v>
      </c>
      <c r="AF1381" s="17">
        <v>4</v>
      </c>
      <c r="AG1381" s="17">
        <v>8</v>
      </c>
      <c r="AH1381" s="17">
        <v>0</v>
      </c>
      <c r="AI1381" s="17">
        <v>0</v>
      </c>
      <c r="AJ1381" s="17">
        <v>0</v>
      </c>
      <c r="AK1381" s="17">
        <v>0</v>
      </c>
      <c r="AL1381" s="17">
        <v>0</v>
      </c>
      <c r="AM1381" s="17">
        <v>0</v>
      </c>
      <c r="AN1381" s="17">
        <v>0</v>
      </c>
      <c r="AO1381" s="18">
        <v>0</v>
      </c>
      <c r="AP1381" s="17">
        <v>3</v>
      </c>
      <c r="AQ1381" s="17">
        <v>11</v>
      </c>
      <c r="AR1381" s="19">
        <v>78</v>
      </c>
      <c r="AS1381" s="19">
        <v>127</v>
      </c>
    </row>
    <row r="1382" spans="1:45" x14ac:dyDescent="0.25">
      <c r="A1382">
        <v>1104</v>
      </c>
      <c r="B1382" s="11">
        <f t="shared" si="21"/>
        <v>48526</v>
      </c>
      <c r="C1382" s="12">
        <v>485260</v>
      </c>
      <c r="D1382" s="13">
        <v>1</v>
      </c>
      <c r="E1382" s="13">
        <v>0</v>
      </c>
      <c r="F1382" s="13">
        <v>32</v>
      </c>
      <c r="G1382" s="13">
        <v>41</v>
      </c>
      <c r="H1382" s="13" t="str" cm="1">
        <f t="array" ref="H1382">_xlfn.IFS(G1382&lt;=20,"0-20",G1382&lt;=30,"20-30",G1382&lt;=40,"30-40",G1382&lt;=50,"50-60",G1382&lt;=60,"60-70",G1382&lt;=70,"70-80",G1382&lt;=80,"80-90")</f>
        <v>50-60</v>
      </c>
      <c r="I1382" s="13">
        <v>2346</v>
      </c>
      <c r="J1382" s="13" t="str" cm="1">
        <f t="array" ref="J1382">_xlfn.IFS(K1382=1,"Divorciado",L1382=1,"Casado",M1382=1,"Solteiro",N1382=1,"Juntos",O1382=1,"Viuvo")</f>
        <v>Solteiro</v>
      </c>
      <c r="K1382" s="13">
        <v>0</v>
      </c>
      <c r="L1382" s="13">
        <v>0</v>
      </c>
      <c r="M1382" s="13">
        <v>1</v>
      </c>
      <c r="N1382" s="13">
        <v>0</v>
      </c>
      <c r="O1382" s="13">
        <v>0</v>
      </c>
      <c r="P1382" s="13">
        <v>0</v>
      </c>
      <c r="Q1382" s="13">
        <v>0</v>
      </c>
      <c r="R1382" s="13">
        <v>1</v>
      </c>
      <c r="S1382" s="13">
        <v>0</v>
      </c>
      <c r="T1382" s="13">
        <v>0</v>
      </c>
      <c r="U1382" s="13">
        <v>23</v>
      </c>
      <c r="V1382" s="13" t="str" cm="1">
        <f t="array" ref="V1382">_xlfn.IFS(U1382&lt;=250,"0-R$250",U1382&lt;=500,"251-R$500",U1382&lt;=750,"501-R$750",U1382&lt;=1000,"751-R$1000",U1382&lt;=1250,"1001-R$1250",U1382&lt;=1500,"1251-R$1500")</f>
        <v>0-R$250</v>
      </c>
      <c r="W1382" s="13">
        <v>17</v>
      </c>
      <c r="X1382" s="13" t="str" cm="1">
        <f t="array" ref="X1382">_xlfn.IFS(W1382 = 0, "0", W1382&lt;=20, "até R$20",W1382&lt;=40, "21 - R$40",W1382&lt;=60, "41- R$60",W1382&lt;=80, "61 - R$80", W1382&lt;=100, "81 - R$100",W1382&lt;=120, "101 - R$120",W1382&lt;=140, "121 - R$140", W1382&lt;=160, "141- R$160", W1382&lt;=180, "161 - R$180", W1382&lt;=200, "181-R$194")</f>
        <v>até R$20</v>
      </c>
      <c r="Y1382" s="13">
        <v>23</v>
      </c>
      <c r="Z1382" s="13">
        <v>43</v>
      </c>
      <c r="AA1382" s="13">
        <v>20</v>
      </c>
      <c r="AB1382" s="13">
        <v>9</v>
      </c>
      <c r="AC1382" s="13">
        <v>1</v>
      </c>
      <c r="AD1382" s="13">
        <v>2</v>
      </c>
      <c r="AE1382" s="13">
        <v>1</v>
      </c>
      <c r="AF1382" s="13">
        <v>4</v>
      </c>
      <c r="AG1382" s="13">
        <v>3</v>
      </c>
      <c r="AH1382" s="13">
        <v>0</v>
      </c>
      <c r="AI1382" s="13">
        <v>0</v>
      </c>
      <c r="AJ1382" s="13">
        <v>0</v>
      </c>
      <c r="AK1382" s="13">
        <v>0</v>
      </c>
      <c r="AL1382" s="13">
        <v>0</v>
      </c>
      <c r="AM1382" s="13">
        <v>0</v>
      </c>
      <c r="AN1382" s="13">
        <v>0</v>
      </c>
      <c r="AO1382" s="14">
        <v>0</v>
      </c>
      <c r="AP1382" s="13">
        <v>3</v>
      </c>
      <c r="AQ1382" s="13">
        <v>11</v>
      </c>
      <c r="AR1382" s="15">
        <v>117</v>
      </c>
      <c r="AS1382" s="15">
        <v>126</v>
      </c>
    </row>
    <row r="1383" spans="1:45" x14ac:dyDescent="0.25">
      <c r="A1383">
        <v>508</v>
      </c>
      <c r="B1383" s="11">
        <f t="shared" si="21"/>
        <v>25545</v>
      </c>
      <c r="C1383" s="12">
        <v>255450</v>
      </c>
      <c r="D1383" s="13">
        <v>1</v>
      </c>
      <c r="E1383" s="13">
        <v>0</v>
      </c>
      <c r="F1383" s="13">
        <v>35</v>
      </c>
      <c r="G1383" s="13">
        <v>33</v>
      </c>
      <c r="H1383" s="13" t="str" cm="1">
        <f t="array" ref="H1383">_xlfn.IFS(G1383&lt;=20,"0-20",G1383&lt;=30,"20-30",G1383&lt;=40,"30-40",G1383&lt;=50,"50-60",G1383&lt;=60,"60-70",G1383&lt;=70,"70-80",G1383&lt;=80,"80-90")</f>
        <v>30-40</v>
      </c>
      <c r="I1383" s="13">
        <v>2818</v>
      </c>
      <c r="J1383" s="13" t="str" cm="1">
        <f t="array" ref="J1383">_xlfn.IFS(K1383=1,"Divorciado",L1383=1,"Casado",M1383=1,"Solteiro",N1383=1,"Juntos",O1383=1,"Viuvo")</f>
        <v>Casado</v>
      </c>
      <c r="K1383" s="13">
        <v>0</v>
      </c>
      <c r="L1383" s="13">
        <v>1</v>
      </c>
      <c r="M1383" s="13">
        <v>0</v>
      </c>
      <c r="N1383" s="13">
        <v>0</v>
      </c>
      <c r="O1383" s="13">
        <v>0</v>
      </c>
      <c r="P1383" s="13">
        <v>0</v>
      </c>
      <c r="Q1383" s="13">
        <v>0</v>
      </c>
      <c r="R1383" s="13">
        <v>1</v>
      </c>
      <c r="S1383" s="13">
        <v>0</v>
      </c>
      <c r="T1383" s="13">
        <v>0</v>
      </c>
      <c r="U1383" s="13">
        <v>32</v>
      </c>
      <c r="V1383" s="13" t="str" cm="1">
        <f t="array" ref="V1383">_xlfn.IFS(U1383&lt;=250,"0-R$250",U1383&lt;=500,"251-R$500",U1383&lt;=750,"501-R$750",U1383&lt;=1000,"751-R$1000",U1383&lt;=1250,"1001-R$1250",U1383&lt;=1500,"1251-R$1500")</f>
        <v>0-R$250</v>
      </c>
      <c r="W1383" s="13">
        <v>1</v>
      </c>
      <c r="X1383" s="13" t="str" cm="1">
        <f t="array" ref="X1383">_xlfn.IFS(W1383 = 0, "0", W1383&lt;=20, "até R$20",W1383&lt;=40, "21 - R$40",W1383&lt;=60, "41- R$60",W1383&lt;=80, "61 - R$80", W1383&lt;=100, "81 - R$100",W1383&lt;=120, "101 - R$120",W1383&lt;=140, "121 - R$140", W1383&lt;=160, "141- R$160", W1383&lt;=180, "161 - R$180", W1383&lt;=200, "181-R$194")</f>
        <v>até R$20</v>
      </c>
      <c r="Y1383" s="13">
        <v>64</v>
      </c>
      <c r="Z1383" s="13">
        <v>16</v>
      </c>
      <c r="AA1383" s="13">
        <v>12</v>
      </c>
      <c r="AB1383" s="13">
        <v>85</v>
      </c>
      <c r="AC1383" s="13">
        <v>3</v>
      </c>
      <c r="AD1383" s="13">
        <v>2</v>
      </c>
      <c r="AE1383" s="13">
        <v>2</v>
      </c>
      <c r="AF1383" s="13">
        <v>3</v>
      </c>
      <c r="AG1383" s="13">
        <v>6</v>
      </c>
      <c r="AH1383" s="13">
        <v>0</v>
      </c>
      <c r="AI1383" s="13">
        <v>0</v>
      </c>
      <c r="AJ1383" s="13">
        <v>0</v>
      </c>
      <c r="AK1383" s="13">
        <v>0</v>
      </c>
      <c r="AL1383" s="13">
        <v>0</v>
      </c>
      <c r="AM1383" s="13">
        <v>0</v>
      </c>
      <c r="AN1383" s="13">
        <v>1</v>
      </c>
      <c r="AO1383" s="14">
        <v>0</v>
      </c>
      <c r="AP1383" s="13">
        <v>3</v>
      </c>
      <c r="AQ1383" s="13">
        <v>11</v>
      </c>
      <c r="AR1383" s="15">
        <v>40</v>
      </c>
      <c r="AS1383" s="15">
        <v>125</v>
      </c>
    </row>
    <row r="1384" spans="1:45" x14ac:dyDescent="0.25">
      <c r="A1384">
        <v>755</v>
      </c>
      <c r="B1384" s="11">
        <f t="shared" si="21"/>
        <v>6835</v>
      </c>
      <c r="C1384" s="16">
        <v>68350</v>
      </c>
      <c r="D1384" s="17">
        <v>0</v>
      </c>
      <c r="E1384" s="17">
        <v>1</v>
      </c>
      <c r="F1384" s="17">
        <v>76</v>
      </c>
      <c r="G1384" s="17">
        <v>63</v>
      </c>
      <c r="H1384" s="13" t="str" cm="1">
        <f t="array" ref="H1384">_xlfn.IFS(G1384&lt;=20,"0-20",G1384&lt;=30,"20-30",G1384&lt;=40,"30-40",G1384&lt;=50,"50-60",G1384&lt;=60,"60-70",G1384&lt;=70,"70-80",G1384&lt;=80,"80-90")</f>
        <v>70-80</v>
      </c>
      <c r="I1384" s="17">
        <v>2727</v>
      </c>
      <c r="J1384" s="13" t="str" cm="1">
        <f t="array" ref="J1384">_xlfn.IFS(K1384=1,"Divorciado",L1384=1,"Casado",M1384=1,"Solteiro",N1384=1,"Juntos",O1384=1,"Viuvo")</f>
        <v>Juntos</v>
      </c>
      <c r="K1384" s="17">
        <v>0</v>
      </c>
      <c r="L1384" s="17">
        <v>0</v>
      </c>
      <c r="M1384" s="17">
        <v>0</v>
      </c>
      <c r="N1384" s="17">
        <v>1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1</v>
      </c>
      <c r="U1384" s="17">
        <v>107</v>
      </c>
      <c r="V1384" s="13" t="str" cm="1">
        <f t="array" ref="V1384">_xlfn.IFS(U1384&lt;=250,"0-R$250",U1384&lt;=500,"251-R$500",U1384&lt;=750,"501-R$750",U1384&lt;=1000,"751-R$1000",U1384&lt;=1250,"1001-R$1250",U1384&lt;=1500,"1251-R$1500")</f>
        <v>0-R$250</v>
      </c>
      <c r="W1384" s="17">
        <v>2</v>
      </c>
      <c r="X1384" s="13" t="str" cm="1">
        <f t="array" ref="X1384">_xlfn.IFS(W1384 = 0, "0", W1384&lt;=20, "até R$20",W1384&lt;=40, "21 - R$40",W1384&lt;=60, "41- R$60",W1384&lt;=80, "61 - R$80", W1384&lt;=100, "81 - R$100",W1384&lt;=120, "101 - R$120",W1384&lt;=140, "121 - R$140", W1384&lt;=160, "141- R$160", W1384&lt;=180, "161 - R$180", W1384&lt;=200, "181-R$194")</f>
        <v>até R$20</v>
      </c>
      <c r="Y1384" s="17">
        <v>12</v>
      </c>
      <c r="Z1384" s="17">
        <v>2</v>
      </c>
      <c r="AA1384" s="17">
        <v>2</v>
      </c>
      <c r="AB1384" s="17">
        <v>12</v>
      </c>
      <c r="AC1384" s="17">
        <v>0</v>
      </c>
      <c r="AD1384" s="17">
        <v>0</v>
      </c>
      <c r="AE1384" s="17">
        <v>0</v>
      </c>
      <c r="AF1384" s="17">
        <v>1</v>
      </c>
      <c r="AG1384" s="17">
        <v>20</v>
      </c>
      <c r="AH1384" s="17">
        <v>0</v>
      </c>
      <c r="AI1384" s="17">
        <v>0</v>
      </c>
      <c r="AJ1384" s="17">
        <v>0</v>
      </c>
      <c r="AK1384" s="17">
        <v>0</v>
      </c>
      <c r="AL1384" s="17">
        <v>0</v>
      </c>
      <c r="AM1384" s="17">
        <v>0</v>
      </c>
      <c r="AN1384" s="17">
        <v>0</v>
      </c>
      <c r="AO1384" s="18">
        <v>0</v>
      </c>
      <c r="AP1384" s="17">
        <v>3</v>
      </c>
      <c r="AQ1384" s="17">
        <v>11</v>
      </c>
      <c r="AR1384" s="19">
        <v>113</v>
      </c>
      <c r="AS1384" s="19">
        <v>125</v>
      </c>
    </row>
    <row r="1385" spans="1:45" x14ac:dyDescent="0.25">
      <c r="A1385">
        <v>775</v>
      </c>
      <c r="B1385" s="11">
        <f t="shared" si="21"/>
        <v>46524</v>
      </c>
      <c r="C1385" s="16">
        <v>465240</v>
      </c>
      <c r="D1385" s="17">
        <v>0</v>
      </c>
      <c r="E1385" s="17">
        <v>1</v>
      </c>
      <c r="F1385" s="17">
        <v>70</v>
      </c>
      <c r="G1385" s="17">
        <v>59</v>
      </c>
      <c r="H1385" s="13" t="str" cm="1">
        <f t="array" ref="H1385">_xlfn.IFS(G1385&lt;=20,"0-20",G1385&lt;=30,"20-30",G1385&lt;=40,"30-40",G1385&lt;=50,"50-60",G1385&lt;=60,"60-70",G1385&lt;=70,"70-80",G1385&lt;=80,"80-90")</f>
        <v>60-70</v>
      </c>
      <c r="I1385" s="17">
        <v>2609</v>
      </c>
      <c r="J1385" s="13" t="str" cm="1">
        <f t="array" ref="J1385">_xlfn.IFS(K1385=1,"Divorciado",L1385=1,"Casado",M1385=1,"Solteiro",N1385=1,"Juntos",O1385=1,"Viuvo")</f>
        <v>Solteiro</v>
      </c>
      <c r="K1385" s="17">
        <v>0</v>
      </c>
      <c r="L1385" s="17">
        <v>0</v>
      </c>
      <c r="M1385" s="17">
        <v>1</v>
      </c>
      <c r="N1385" s="17">
        <v>0</v>
      </c>
      <c r="O1385" s="17">
        <v>0</v>
      </c>
      <c r="P1385" s="17">
        <v>0</v>
      </c>
      <c r="Q1385" s="17">
        <v>0</v>
      </c>
      <c r="R1385" s="17">
        <v>1</v>
      </c>
      <c r="S1385" s="17">
        <v>0</v>
      </c>
      <c r="T1385" s="17">
        <v>0</v>
      </c>
      <c r="U1385" s="17">
        <v>31</v>
      </c>
      <c r="V1385" s="13" t="str" cm="1">
        <f t="array" ref="V1385">_xlfn.IFS(U1385&lt;=250,"0-R$250",U1385&lt;=500,"251-R$500",U1385&lt;=750,"501-R$750",U1385&lt;=1000,"751-R$1000",U1385&lt;=1250,"1001-R$1250",U1385&lt;=1500,"1251-R$1500")</f>
        <v>0-R$250</v>
      </c>
      <c r="W1385" s="17">
        <v>19</v>
      </c>
      <c r="X1385" s="13" t="str" cm="1">
        <f t="array" ref="X1385">_xlfn.IFS(W1385 = 0, "0", W1385&lt;=20, "até R$20",W1385&lt;=40, "21 - R$40",W1385&lt;=60, "41- R$60",W1385&lt;=80, "61 - R$80", W1385&lt;=100, "81 - R$100",W1385&lt;=120, "101 - R$120",W1385&lt;=140, "121 - R$140", W1385&lt;=160, "141- R$160", W1385&lt;=180, "161 - R$180", W1385&lt;=200, "181-R$194")</f>
        <v>até R$20</v>
      </c>
      <c r="Y1385" s="17">
        <v>35</v>
      </c>
      <c r="Z1385" s="17">
        <v>26</v>
      </c>
      <c r="AA1385" s="17">
        <v>14</v>
      </c>
      <c r="AB1385" s="17">
        <v>52</v>
      </c>
      <c r="AC1385" s="17">
        <v>2</v>
      </c>
      <c r="AD1385" s="17">
        <v>1</v>
      </c>
      <c r="AE1385" s="17">
        <v>1</v>
      </c>
      <c r="AF1385" s="17">
        <v>5</v>
      </c>
      <c r="AG1385" s="17">
        <v>3</v>
      </c>
      <c r="AH1385" s="17">
        <v>0</v>
      </c>
      <c r="AI1385" s="17">
        <v>0</v>
      </c>
      <c r="AJ1385" s="17">
        <v>0</v>
      </c>
      <c r="AK1385" s="17">
        <v>0</v>
      </c>
      <c r="AL1385" s="17">
        <v>0</v>
      </c>
      <c r="AM1385" s="17">
        <v>0</v>
      </c>
      <c r="AN1385" s="17">
        <v>0</v>
      </c>
      <c r="AO1385" s="18">
        <v>0</v>
      </c>
      <c r="AP1385" s="17">
        <v>3</v>
      </c>
      <c r="AQ1385" s="17">
        <v>11</v>
      </c>
      <c r="AR1385" s="19">
        <v>73</v>
      </c>
      <c r="AS1385" s="19">
        <v>125</v>
      </c>
    </row>
    <row r="1386" spans="1:45" x14ac:dyDescent="0.25">
      <c r="A1386">
        <v>1781</v>
      </c>
      <c r="B1386" s="11">
        <f t="shared" si="21"/>
        <v>7144</v>
      </c>
      <c r="C1386" s="16">
        <v>71440</v>
      </c>
      <c r="D1386" s="17">
        <v>0</v>
      </c>
      <c r="E1386" s="17">
        <v>2</v>
      </c>
      <c r="F1386" s="17">
        <v>92</v>
      </c>
      <c r="G1386" s="17">
        <v>54</v>
      </c>
      <c r="H1386" s="13" t="str" cm="1">
        <f t="array" ref="H1386">_xlfn.IFS(G1386&lt;=20,"0-20",G1386&lt;=30,"20-30",G1386&lt;=40,"30-40",G1386&lt;=50,"50-60",G1386&lt;=60,"60-70",G1386&lt;=70,"70-80",G1386&lt;=80,"80-90")</f>
        <v>60-70</v>
      </c>
      <c r="I1386" s="17">
        <v>2363</v>
      </c>
      <c r="J1386" s="13" t="str" cm="1">
        <f t="array" ref="J1386">_xlfn.IFS(K1386=1,"Divorciado",L1386=1,"Casado",M1386=1,"Solteiro",N1386=1,"Juntos",O1386=1,"Viuvo")</f>
        <v>Solteiro</v>
      </c>
      <c r="K1386" s="17">
        <v>0</v>
      </c>
      <c r="L1386" s="17">
        <v>0</v>
      </c>
      <c r="M1386" s="17">
        <v>1</v>
      </c>
      <c r="N1386" s="17">
        <v>0</v>
      </c>
      <c r="O1386" s="17">
        <v>0</v>
      </c>
      <c r="P1386" s="17">
        <v>0</v>
      </c>
      <c r="Q1386" s="17">
        <v>0</v>
      </c>
      <c r="R1386" s="17">
        <v>0</v>
      </c>
      <c r="S1386" s="17">
        <v>0</v>
      </c>
      <c r="T1386" s="17">
        <v>1</v>
      </c>
      <c r="U1386" s="17">
        <v>81</v>
      </c>
      <c r="V1386" s="13" t="str" cm="1">
        <f t="array" ref="V1386">_xlfn.IFS(U1386&lt;=250,"0-R$250",U1386&lt;=500,"251-R$500",U1386&lt;=750,"501-R$750",U1386&lt;=1000,"751-R$1000",U1386&lt;=1250,"1001-R$1250",U1386&lt;=1500,"1251-R$1500")</f>
        <v>0-R$250</v>
      </c>
      <c r="W1386" s="17">
        <v>4</v>
      </c>
      <c r="X1386" s="13" t="str" cm="1">
        <f t="array" ref="X1386">_xlfn.IFS(W1386 = 0, "0", W1386&lt;=20, "até R$20",W1386&lt;=40, "21 - R$40",W1386&lt;=60, "41- R$60",W1386&lt;=80, "61 - R$80", W1386&lt;=100, "81 - R$100",W1386&lt;=120, "101 - R$120",W1386&lt;=140, "121 - R$140", W1386&lt;=160, "141- R$160", W1386&lt;=180, "161 - R$180", W1386&lt;=200, "181-R$194")</f>
        <v>até R$20</v>
      </c>
      <c r="Y1386" s="17">
        <v>33</v>
      </c>
      <c r="Z1386" s="17">
        <v>5</v>
      </c>
      <c r="AA1386" s="17">
        <v>2</v>
      </c>
      <c r="AB1386" s="17">
        <v>291</v>
      </c>
      <c r="AC1386" s="17">
        <v>0</v>
      </c>
      <c r="AD1386" s="17">
        <v>23</v>
      </c>
      <c r="AE1386" s="17">
        <v>1</v>
      </c>
      <c r="AF1386" s="17">
        <v>1</v>
      </c>
      <c r="AG1386" s="17">
        <v>0</v>
      </c>
      <c r="AH1386" s="17">
        <v>0</v>
      </c>
      <c r="AI1386" s="17">
        <v>0</v>
      </c>
      <c r="AJ1386" s="17">
        <v>0</v>
      </c>
      <c r="AK1386" s="17">
        <v>0</v>
      </c>
      <c r="AL1386" s="17">
        <v>0</v>
      </c>
      <c r="AM1386" s="17">
        <v>0</v>
      </c>
      <c r="AN1386" s="17">
        <v>0</v>
      </c>
      <c r="AO1386" s="18">
        <v>0</v>
      </c>
      <c r="AP1386" s="17">
        <v>3</v>
      </c>
      <c r="AQ1386" s="17">
        <v>11</v>
      </c>
      <c r="AR1386" s="19">
        <v>-166</v>
      </c>
      <c r="AS1386" s="19">
        <v>125</v>
      </c>
    </row>
    <row r="1387" spans="1:45" x14ac:dyDescent="0.25">
      <c r="A1387">
        <v>1804</v>
      </c>
      <c r="B1387" s="11">
        <f t="shared" si="21"/>
        <v>22669</v>
      </c>
      <c r="C1387" s="12">
        <v>226690</v>
      </c>
      <c r="D1387" s="13">
        <v>1</v>
      </c>
      <c r="E1387" s="13">
        <v>0</v>
      </c>
      <c r="F1387" s="13">
        <v>30</v>
      </c>
      <c r="G1387" s="13">
        <v>45</v>
      </c>
      <c r="H1387" s="13" t="str" cm="1">
        <f t="array" ref="H1387">_xlfn.IFS(G1387&lt;=20,"0-20",G1387&lt;=30,"20-30",G1387&lt;=40,"30-40",G1387&lt;=50,"50-60",G1387&lt;=60,"60-70",G1387&lt;=70,"70-80",G1387&lt;=80,"80-90")</f>
        <v>50-60</v>
      </c>
      <c r="I1387" s="13">
        <v>2562</v>
      </c>
      <c r="J1387" s="13" t="str" cm="1">
        <f t="array" ref="J1387">_xlfn.IFS(K1387=1,"Divorciado",L1387=1,"Casado",M1387=1,"Solteiro",N1387=1,"Juntos",O1387=1,"Viuvo")</f>
        <v>Juntos</v>
      </c>
      <c r="K1387" s="13">
        <v>0</v>
      </c>
      <c r="L1387" s="13">
        <v>0</v>
      </c>
      <c r="M1387" s="13">
        <v>0</v>
      </c>
      <c r="N1387" s="13">
        <v>1</v>
      </c>
      <c r="O1387" s="13">
        <v>0</v>
      </c>
      <c r="P1387" s="13">
        <v>0</v>
      </c>
      <c r="Q1387" s="13">
        <v>0</v>
      </c>
      <c r="R1387" s="13">
        <v>0</v>
      </c>
      <c r="S1387" s="13">
        <v>1</v>
      </c>
      <c r="T1387" s="13">
        <v>0</v>
      </c>
      <c r="U1387" s="13">
        <v>16</v>
      </c>
      <c r="V1387" s="13" t="str" cm="1">
        <f t="array" ref="V1387">_xlfn.IFS(U1387&lt;=250,"0-R$250",U1387&lt;=500,"251-R$500",U1387&lt;=750,"501-R$750",U1387&lt;=1000,"751-R$1000",U1387&lt;=1250,"1001-R$1250",U1387&lt;=1500,"1251-R$1500")</f>
        <v>0-R$250</v>
      </c>
      <c r="W1387" s="13">
        <v>14</v>
      </c>
      <c r="X1387" s="13" t="str" cm="1">
        <f t="array" ref="X1387">_xlfn.IFS(W1387 = 0, "0", W1387&lt;=20, "até R$20",W1387&lt;=40, "21 - R$40",W1387&lt;=60, "41- R$60",W1387&lt;=80, "61 - R$80", W1387&lt;=100, "81 - R$100",W1387&lt;=120, "101 - R$120",W1387&lt;=140, "121 - R$140", W1387&lt;=160, "141- R$160", W1387&lt;=180, "161 - R$180", W1387&lt;=200, "181-R$194")</f>
        <v>até R$20</v>
      </c>
      <c r="Y1387" s="13">
        <v>36</v>
      </c>
      <c r="Z1387" s="13">
        <v>37</v>
      </c>
      <c r="AA1387" s="13">
        <v>22</v>
      </c>
      <c r="AB1387" s="13">
        <v>48</v>
      </c>
      <c r="AC1387" s="13">
        <v>3</v>
      </c>
      <c r="AD1387" s="13">
        <v>4</v>
      </c>
      <c r="AE1387" s="13">
        <v>1</v>
      </c>
      <c r="AF1387" s="13">
        <v>2</v>
      </c>
      <c r="AG1387" s="13">
        <v>9</v>
      </c>
      <c r="AH1387" s="13">
        <v>0</v>
      </c>
      <c r="AI1387" s="13">
        <v>0</v>
      </c>
      <c r="AJ1387" s="13">
        <v>0</v>
      </c>
      <c r="AK1387" s="13">
        <v>0</v>
      </c>
      <c r="AL1387" s="13">
        <v>0</v>
      </c>
      <c r="AM1387" s="13">
        <v>0</v>
      </c>
      <c r="AN1387" s="13">
        <v>1</v>
      </c>
      <c r="AO1387" s="14">
        <v>0</v>
      </c>
      <c r="AP1387" s="13">
        <v>3</v>
      </c>
      <c r="AQ1387" s="13">
        <v>11</v>
      </c>
      <c r="AR1387" s="15">
        <v>77</v>
      </c>
      <c r="AS1387" s="15">
        <v>125</v>
      </c>
    </row>
    <row r="1388" spans="1:45" x14ac:dyDescent="0.25">
      <c r="A1388">
        <v>531</v>
      </c>
      <c r="B1388" s="11">
        <f t="shared" si="21"/>
        <v>47850</v>
      </c>
      <c r="C1388" s="16">
        <v>478500</v>
      </c>
      <c r="D1388" s="17">
        <v>1</v>
      </c>
      <c r="E1388" s="17">
        <v>0</v>
      </c>
      <c r="F1388" s="17">
        <v>72</v>
      </c>
      <c r="G1388" s="17">
        <v>40</v>
      </c>
      <c r="H1388" s="13" t="str" cm="1">
        <f t="array" ref="H1388">_xlfn.IFS(G1388&lt;=20,"0-20",G1388&lt;=30,"20-30",G1388&lt;=40,"30-40",G1388&lt;=50,"50-60",G1388&lt;=60,"60-70",G1388&lt;=70,"70-80",G1388&lt;=80,"80-90")</f>
        <v>30-40</v>
      </c>
      <c r="I1388" s="17">
        <v>2367</v>
      </c>
      <c r="J1388" s="13" t="str" cm="1">
        <f t="array" ref="J1388">_xlfn.IFS(K1388=1,"Divorciado",L1388=1,"Casado",M1388=1,"Solteiro",N1388=1,"Juntos",O1388=1,"Viuvo")</f>
        <v>Casado</v>
      </c>
      <c r="K1388" s="17">
        <v>0</v>
      </c>
      <c r="L1388" s="17">
        <v>1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1</v>
      </c>
      <c r="S1388" s="17">
        <v>0</v>
      </c>
      <c r="T1388" s="17">
        <v>0</v>
      </c>
      <c r="U1388" s="17">
        <v>42</v>
      </c>
      <c r="V1388" s="13" t="str" cm="1">
        <f t="array" ref="V1388">_xlfn.IFS(U1388&lt;=250,"0-R$250",U1388&lt;=500,"251-R$500",U1388&lt;=750,"501-R$750",U1388&lt;=1000,"751-R$1000",U1388&lt;=1250,"1001-R$1250",U1388&lt;=1500,"1251-R$1500")</f>
        <v>0-R$250</v>
      </c>
      <c r="W1388" s="17">
        <v>7</v>
      </c>
      <c r="X1388" s="13" t="str" cm="1">
        <f t="array" ref="X1388">_xlfn.IFS(W1388 = 0, "0", W1388&lt;=20, "até R$20",W1388&lt;=40, "21 - R$40",W1388&lt;=60, "41- R$60",W1388&lt;=80, "61 - R$80", W1388&lt;=100, "81 - R$100",W1388&lt;=120, "101 - R$120",W1388&lt;=140, "121 - R$140", W1388&lt;=160, "141- R$160", W1388&lt;=180, "161 - R$180", W1388&lt;=200, "181-R$194")</f>
        <v>até R$20</v>
      </c>
      <c r="Y1388" s="17">
        <v>43</v>
      </c>
      <c r="Z1388" s="17">
        <v>20</v>
      </c>
      <c r="AA1388" s="17">
        <v>12</v>
      </c>
      <c r="AB1388" s="17">
        <v>10</v>
      </c>
      <c r="AC1388" s="17">
        <v>1</v>
      </c>
      <c r="AD1388" s="17">
        <v>3</v>
      </c>
      <c r="AE1388" s="17">
        <v>0</v>
      </c>
      <c r="AF1388" s="17">
        <v>4</v>
      </c>
      <c r="AG1388" s="17">
        <v>6</v>
      </c>
      <c r="AH1388" s="17">
        <v>0</v>
      </c>
      <c r="AI1388" s="17">
        <v>0</v>
      </c>
      <c r="AJ1388" s="17">
        <v>0</v>
      </c>
      <c r="AK1388" s="17">
        <v>0</v>
      </c>
      <c r="AL1388" s="17">
        <v>0</v>
      </c>
      <c r="AM1388" s="17">
        <v>0</v>
      </c>
      <c r="AN1388" s="17">
        <v>0</v>
      </c>
      <c r="AO1388" s="18">
        <v>0</v>
      </c>
      <c r="AP1388" s="17">
        <v>3</v>
      </c>
      <c r="AQ1388" s="17">
        <v>11</v>
      </c>
      <c r="AR1388" s="19">
        <v>114</v>
      </c>
      <c r="AS1388" s="19">
        <v>124</v>
      </c>
    </row>
    <row r="1389" spans="1:45" x14ac:dyDescent="0.25">
      <c r="A1389">
        <v>278</v>
      </c>
      <c r="B1389" s="11">
        <f t="shared" si="21"/>
        <v>38361</v>
      </c>
      <c r="C1389" s="12">
        <v>383610</v>
      </c>
      <c r="D1389" s="13">
        <v>1</v>
      </c>
      <c r="E1389" s="13">
        <v>0</v>
      </c>
      <c r="F1389" s="13">
        <v>74</v>
      </c>
      <c r="G1389" s="13">
        <v>51</v>
      </c>
      <c r="H1389" s="13" t="str" cm="1">
        <f t="array" ref="H1389">_xlfn.IFS(G1389&lt;=20,"0-20",G1389&lt;=30,"20-30",G1389&lt;=40,"30-40",G1389&lt;=50,"50-60",G1389&lt;=60,"60-70",G1389&lt;=70,"70-80",G1389&lt;=80,"80-90")</f>
        <v>60-70</v>
      </c>
      <c r="I1389" s="13">
        <v>2343</v>
      </c>
      <c r="J1389" s="13" t="str" cm="1">
        <f t="array" ref="J1389">_xlfn.IFS(K1389=1,"Divorciado",L1389=1,"Casado",M1389=1,"Solteiro",N1389=1,"Juntos",O1389=1,"Viuvo")</f>
        <v>Juntos</v>
      </c>
      <c r="K1389" s="13">
        <v>0</v>
      </c>
      <c r="L1389" s="13">
        <v>0</v>
      </c>
      <c r="M1389" s="13">
        <v>0</v>
      </c>
      <c r="N1389" s="13">
        <v>1</v>
      </c>
      <c r="O1389" s="13">
        <v>0</v>
      </c>
      <c r="P1389" s="13">
        <v>0</v>
      </c>
      <c r="Q1389" s="13">
        <v>0</v>
      </c>
      <c r="R1389" s="13">
        <v>1</v>
      </c>
      <c r="S1389" s="13">
        <v>0</v>
      </c>
      <c r="T1389" s="13">
        <v>0</v>
      </c>
      <c r="U1389" s="13">
        <v>39</v>
      </c>
      <c r="V1389" s="13" t="str" cm="1">
        <f t="array" ref="V1389">_xlfn.IFS(U1389&lt;=250,"0-R$250",U1389&lt;=500,"251-R$500",U1389&lt;=750,"501-R$750",U1389&lt;=1000,"751-R$1000",U1389&lt;=1250,"1001-R$1250",U1389&lt;=1500,"1251-R$1500")</f>
        <v>0-R$250</v>
      </c>
      <c r="W1389" s="13">
        <v>0</v>
      </c>
      <c r="X1389" s="13" t="str" cm="1">
        <f t="array" ref="X1389">_xlfn.IFS(W1389 = 0, "0", W1389&lt;=20, "até R$20",W1389&lt;=40, "21 - R$40",W1389&lt;=60, "41- R$60",W1389&lt;=80, "61 - R$80", W1389&lt;=100, "81 - R$100",W1389&lt;=120, "101 - R$120",W1389&lt;=140, "121 - R$140", W1389&lt;=160, "141- R$160", W1389&lt;=180, "161 - R$180", W1389&lt;=200, "181-R$194")</f>
        <v>0</v>
      </c>
      <c r="Y1389" s="13">
        <v>56</v>
      </c>
      <c r="Z1389" s="13">
        <v>20</v>
      </c>
      <c r="AA1389" s="13">
        <v>8</v>
      </c>
      <c r="AB1389" s="13">
        <v>14</v>
      </c>
      <c r="AC1389" s="13">
        <v>3</v>
      </c>
      <c r="AD1389" s="13">
        <v>3</v>
      </c>
      <c r="AE1389" s="13">
        <v>1</v>
      </c>
      <c r="AF1389" s="13">
        <v>3</v>
      </c>
      <c r="AG1389" s="13">
        <v>7</v>
      </c>
      <c r="AH1389" s="13">
        <v>0</v>
      </c>
      <c r="AI1389" s="13">
        <v>0</v>
      </c>
      <c r="AJ1389" s="13">
        <v>0</v>
      </c>
      <c r="AK1389" s="13">
        <v>0</v>
      </c>
      <c r="AL1389" s="13">
        <v>0</v>
      </c>
      <c r="AM1389" s="13">
        <v>0</v>
      </c>
      <c r="AN1389" s="13">
        <v>0</v>
      </c>
      <c r="AO1389" s="14">
        <v>0</v>
      </c>
      <c r="AP1389" s="13">
        <v>3</v>
      </c>
      <c r="AQ1389" s="13">
        <v>11</v>
      </c>
      <c r="AR1389" s="15">
        <v>109</v>
      </c>
      <c r="AS1389" s="15">
        <v>123</v>
      </c>
    </row>
    <row r="1390" spans="1:45" x14ac:dyDescent="0.25">
      <c r="A1390">
        <v>783</v>
      </c>
      <c r="B1390" s="11">
        <f t="shared" si="21"/>
        <v>34838</v>
      </c>
      <c r="C1390" s="16">
        <v>348380</v>
      </c>
      <c r="D1390" s="17">
        <v>1</v>
      </c>
      <c r="E1390" s="17">
        <v>1</v>
      </c>
      <c r="F1390" s="17">
        <v>62</v>
      </c>
      <c r="G1390" s="17">
        <v>69</v>
      </c>
      <c r="H1390" s="13" t="str" cm="1">
        <f t="array" ref="H1390">_xlfn.IFS(G1390&lt;=20,"0-20",G1390&lt;=30,"20-30",G1390&lt;=40,"30-40",G1390&lt;=50,"50-60",G1390&lt;=60,"60-70",G1390&lt;=70,"70-80",G1390&lt;=80,"80-90")</f>
        <v>70-80</v>
      </c>
      <c r="I1390" s="17">
        <v>2685</v>
      </c>
      <c r="J1390" s="13" t="str" cm="1">
        <f t="array" ref="J1390">_xlfn.IFS(K1390=1,"Divorciado",L1390=1,"Casado",M1390=1,"Solteiro",N1390=1,"Juntos",O1390=1,"Viuvo")</f>
        <v>Casado</v>
      </c>
      <c r="K1390" s="17">
        <v>0</v>
      </c>
      <c r="L1390" s="17">
        <v>1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1</v>
      </c>
      <c r="S1390" s="17">
        <v>0</v>
      </c>
      <c r="T1390" s="17">
        <v>0</v>
      </c>
      <c r="U1390" s="17">
        <v>28</v>
      </c>
      <c r="V1390" s="13" t="str" cm="1">
        <f t="array" ref="V1390">_xlfn.IFS(U1390&lt;=250,"0-R$250",U1390&lt;=500,"251-R$500",U1390&lt;=750,"501-R$750",U1390&lt;=1000,"751-R$1000",U1390&lt;=1250,"1001-R$1250",U1390&lt;=1500,"1251-R$1500")</f>
        <v>0-R$250</v>
      </c>
      <c r="W1390" s="17">
        <v>23</v>
      </c>
      <c r="X1390" s="13" t="str" cm="1">
        <f t="array" ref="X1390">_xlfn.IFS(W1390 = 0, "0", W1390&lt;=20, "até R$20",W1390&lt;=40, "21 - R$40",W1390&lt;=60, "41- R$60",W1390&lt;=80, "61 - R$80", W1390&lt;=100, "81 - R$100",W1390&lt;=120, "101 - R$120",W1390&lt;=140, "121 - R$140", W1390&lt;=160, "141- R$160", W1390&lt;=180, "161 - R$180", W1390&lt;=200, "181-R$194")</f>
        <v>21 - R$40</v>
      </c>
      <c r="Y1390" s="17">
        <v>29</v>
      </c>
      <c r="Z1390" s="17">
        <v>29</v>
      </c>
      <c r="AA1390" s="17">
        <v>14</v>
      </c>
      <c r="AB1390" s="17">
        <v>47</v>
      </c>
      <c r="AC1390" s="17">
        <v>3</v>
      </c>
      <c r="AD1390" s="17">
        <v>2</v>
      </c>
      <c r="AE1390" s="17">
        <v>1</v>
      </c>
      <c r="AF1390" s="17">
        <v>4</v>
      </c>
      <c r="AG1390" s="17">
        <v>6</v>
      </c>
      <c r="AH1390" s="17">
        <v>0</v>
      </c>
      <c r="AI1390" s="17">
        <v>0</v>
      </c>
      <c r="AJ1390" s="17">
        <v>0</v>
      </c>
      <c r="AK1390" s="17">
        <v>0</v>
      </c>
      <c r="AL1390" s="17">
        <v>0</v>
      </c>
      <c r="AM1390" s="17">
        <v>0</v>
      </c>
      <c r="AN1390" s="17">
        <v>0</v>
      </c>
      <c r="AO1390" s="18">
        <v>0</v>
      </c>
      <c r="AP1390" s="17">
        <v>3</v>
      </c>
      <c r="AQ1390" s="17">
        <v>11</v>
      </c>
      <c r="AR1390" s="19">
        <v>76</v>
      </c>
      <c r="AS1390" s="19">
        <v>123</v>
      </c>
    </row>
    <row r="1391" spans="1:45" x14ac:dyDescent="0.25">
      <c r="A1391">
        <v>1552</v>
      </c>
      <c r="B1391" s="11">
        <f t="shared" si="21"/>
        <v>45203</v>
      </c>
      <c r="C1391" s="12">
        <v>452030</v>
      </c>
      <c r="D1391" s="13">
        <v>2</v>
      </c>
      <c r="E1391" s="13">
        <v>0</v>
      </c>
      <c r="F1391" s="13">
        <v>4</v>
      </c>
      <c r="G1391" s="13">
        <v>38</v>
      </c>
      <c r="H1391" s="13" t="str" cm="1">
        <f t="array" ref="H1391">_xlfn.IFS(G1391&lt;=20,"0-20",G1391&lt;=30,"20-30",G1391&lt;=40,"30-40",G1391&lt;=50,"50-60",G1391&lt;=60,"60-70",G1391&lt;=70,"70-80",G1391&lt;=80,"80-90")</f>
        <v>30-40</v>
      </c>
      <c r="I1391" s="13">
        <v>2257</v>
      </c>
      <c r="J1391" s="13" t="str" cm="1">
        <f t="array" ref="J1391">_xlfn.IFS(K1391=1,"Divorciado",L1391=1,"Casado",M1391=1,"Solteiro",N1391=1,"Juntos",O1391=1,"Viuvo")</f>
        <v>Juntos</v>
      </c>
      <c r="K1391" s="13">
        <v>0</v>
      </c>
      <c r="L1391" s="13">
        <v>0</v>
      </c>
      <c r="M1391" s="13">
        <v>0</v>
      </c>
      <c r="N1391" s="13">
        <v>1</v>
      </c>
      <c r="O1391" s="13">
        <v>0</v>
      </c>
      <c r="P1391" s="13">
        <v>0</v>
      </c>
      <c r="Q1391" s="13">
        <v>0</v>
      </c>
      <c r="R1391" s="13">
        <v>1</v>
      </c>
      <c r="S1391" s="13">
        <v>0</v>
      </c>
      <c r="T1391" s="13">
        <v>0</v>
      </c>
      <c r="U1391" s="13">
        <v>35</v>
      </c>
      <c r="V1391" s="13" t="str" cm="1">
        <f t="array" ref="V1391">_xlfn.IFS(U1391&lt;=250,"0-R$250",U1391&lt;=500,"251-R$500",U1391&lt;=750,"501-R$750",U1391&lt;=1000,"751-R$1000",U1391&lt;=1250,"1001-R$1250",U1391&lt;=1500,"1251-R$1500")</f>
        <v>0-R$250</v>
      </c>
      <c r="W1391" s="13">
        <v>3</v>
      </c>
      <c r="X1391" s="13" t="str" cm="1">
        <f t="array" ref="X1391">_xlfn.IFS(W1391 = 0, "0", W1391&lt;=20, "até R$20",W1391&lt;=40, "21 - R$40",W1391&lt;=60, "41- R$60",W1391&lt;=80, "61 - R$80", W1391&lt;=100, "81 - R$100",W1391&lt;=120, "101 - R$120",W1391&lt;=140, "121 - R$140", W1391&lt;=160, "141- R$160", W1391&lt;=180, "161 - R$180", W1391&lt;=200, "181-R$194")</f>
        <v>até R$20</v>
      </c>
      <c r="Y1391" s="13">
        <v>67</v>
      </c>
      <c r="Z1391" s="13">
        <v>10</v>
      </c>
      <c r="AA1391" s="13">
        <v>8</v>
      </c>
      <c r="AB1391" s="13">
        <v>24</v>
      </c>
      <c r="AC1391" s="13">
        <v>1</v>
      </c>
      <c r="AD1391" s="13">
        <v>3</v>
      </c>
      <c r="AE1391" s="13">
        <v>1</v>
      </c>
      <c r="AF1391" s="13">
        <v>3</v>
      </c>
      <c r="AG1391" s="13">
        <v>6</v>
      </c>
      <c r="AH1391" s="13">
        <v>0</v>
      </c>
      <c r="AI1391" s="13">
        <v>0</v>
      </c>
      <c r="AJ1391" s="13">
        <v>0</v>
      </c>
      <c r="AK1391" s="13">
        <v>0</v>
      </c>
      <c r="AL1391" s="13">
        <v>0</v>
      </c>
      <c r="AM1391" s="13">
        <v>0</v>
      </c>
      <c r="AN1391" s="13">
        <v>1</v>
      </c>
      <c r="AO1391" s="14">
        <v>0</v>
      </c>
      <c r="AP1391" s="13">
        <v>3</v>
      </c>
      <c r="AQ1391" s="13">
        <v>11</v>
      </c>
      <c r="AR1391" s="15">
        <v>99</v>
      </c>
      <c r="AS1391" s="15">
        <v>123</v>
      </c>
    </row>
    <row r="1392" spans="1:45" x14ac:dyDescent="0.25">
      <c r="A1392">
        <v>2034</v>
      </c>
      <c r="B1392" s="11">
        <f t="shared" si="21"/>
        <v>38361</v>
      </c>
      <c r="C1392" s="12">
        <v>383610</v>
      </c>
      <c r="D1392" s="13">
        <v>1</v>
      </c>
      <c r="E1392" s="13">
        <v>0</v>
      </c>
      <c r="F1392" s="13">
        <v>74</v>
      </c>
      <c r="G1392" s="13">
        <v>51</v>
      </c>
      <c r="H1392" s="13" t="str" cm="1">
        <f t="array" ref="H1392">_xlfn.IFS(G1392&lt;=20,"0-20",G1392&lt;=30,"20-30",G1392&lt;=40,"30-40",G1392&lt;=50,"50-60",G1392&lt;=60,"60-70",G1392&lt;=70,"70-80",G1392&lt;=80,"80-90")</f>
        <v>60-70</v>
      </c>
      <c r="I1392" s="13">
        <v>2343</v>
      </c>
      <c r="J1392" s="13" t="str" cm="1">
        <f t="array" ref="J1392">_xlfn.IFS(K1392=1,"Divorciado",L1392=1,"Casado",M1392=1,"Solteiro",N1392=1,"Juntos",O1392=1,"Viuvo")</f>
        <v>Juntos</v>
      </c>
      <c r="K1392" s="13">
        <v>0</v>
      </c>
      <c r="L1392" s="13">
        <v>0</v>
      </c>
      <c r="M1392" s="13">
        <v>0</v>
      </c>
      <c r="N1392" s="13">
        <v>1</v>
      </c>
      <c r="O1392" s="13">
        <v>0</v>
      </c>
      <c r="P1392" s="13">
        <v>0</v>
      </c>
      <c r="Q1392" s="13">
        <v>0</v>
      </c>
      <c r="R1392" s="13">
        <v>1</v>
      </c>
      <c r="S1392" s="13">
        <v>0</v>
      </c>
      <c r="T1392" s="13">
        <v>0</v>
      </c>
      <c r="U1392" s="13">
        <v>39</v>
      </c>
      <c r="V1392" s="13" t="str" cm="1">
        <f t="array" ref="V1392">_xlfn.IFS(U1392&lt;=250,"0-R$250",U1392&lt;=500,"251-R$500",U1392&lt;=750,"501-R$750",U1392&lt;=1000,"751-R$1000",U1392&lt;=1250,"1001-R$1250",U1392&lt;=1500,"1251-R$1500")</f>
        <v>0-R$250</v>
      </c>
      <c r="W1392" s="13">
        <v>0</v>
      </c>
      <c r="X1392" s="13" t="str" cm="1">
        <f t="array" ref="X1392">_xlfn.IFS(W1392 = 0, "0", W1392&lt;=20, "até R$20",W1392&lt;=40, "21 - R$40",W1392&lt;=60, "41- R$60",W1392&lt;=80, "61 - R$80", W1392&lt;=100, "81 - R$100",W1392&lt;=120, "101 - R$120",W1392&lt;=140, "121 - R$140", W1392&lt;=160, "141- R$160", W1392&lt;=180, "161 - R$180", W1392&lt;=200, "181-R$194")</f>
        <v>0</v>
      </c>
      <c r="Y1392" s="13">
        <v>56</v>
      </c>
      <c r="Z1392" s="13">
        <v>20</v>
      </c>
      <c r="AA1392" s="13">
        <v>8</v>
      </c>
      <c r="AB1392" s="13">
        <v>14</v>
      </c>
      <c r="AC1392" s="13">
        <v>3</v>
      </c>
      <c r="AD1392" s="13">
        <v>3</v>
      </c>
      <c r="AE1392" s="13">
        <v>1</v>
      </c>
      <c r="AF1392" s="13">
        <v>3</v>
      </c>
      <c r="AG1392" s="13">
        <v>7</v>
      </c>
      <c r="AH1392" s="13">
        <v>0</v>
      </c>
      <c r="AI1392" s="13">
        <v>0</v>
      </c>
      <c r="AJ1392" s="13">
        <v>0</v>
      </c>
      <c r="AK1392" s="13">
        <v>0</v>
      </c>
      <c r="AL1392" s="13">
        <v>0</v>
      </c>
      <c r="AM1392" s="13">
        <v>0</v>
      </c>
      <c r="AN1392" s="13">
        <v>0</v>
      </c>
      <c r="AO1392" s="14">
        <v>0</v>
      </c>
      <c r="AP1392" s="13">
        <v>3</v>
      </c>
      <c r="AQ1392" s="13">
        <v>11</v>
      </c>
      <c r="AR1392" s="15">
        <v>109</v>
      </c>
      <c r="AS1392" s="15">
        <v>123</v>
      </c>
    </row>
    <row r="1393" spans="1:45" x14ac:dyDescent="0.25">
      <c r="A1393">
        <v>2164</v>
      </c>
      <c r="B1393" s="11">
        <f t="shared" si="21"/>
        <v>43322</v>
      </c>
      <c r="C1393" s="12">
        <v>433220</v>
      </c>
      <c r="D1393" s="13">
        <v>0</v>
      </c>
      <c r="E1393" s="13">
        <v>0</v>
      </c>
      <c r="F1393" s="13">
        <v>25</v>
      </c>
      <c r="G1393" s="13">
        <v>46</v>
      </c>
      <c r="H1393" s="13" t="str" cm="1">
        <f t="array" ref="H1393">_xlfn.IFS(G1393&lt;=20,"0-20",G1393&lt;=30,"20-30",G1393&lt;=40,"30-40",G1393&lt;=50,"50-60",G1393&lt;=60,"60-70",G1393&lt;=70,"70-80",G1393&lt;=80,"80-90")</f>
        <v>50-60</v>
      </c>
      <c r="I1393" s="13">
        <v>2228</v>
      </c>
      <c r="J1393" s="13" t="str" cm="1">
        <f t="array" ref="J1393">_xlfn.IFS(K1393=1,"Divorciado",L1393=1,"Casado",M1393=1,"Solteiro",N1393=1,"Juntos",O1393=1,"Viuvo")</f>
        <v>Solteiro</v>
      </c>
      <c r="K1393" s="13">
        <v>0</v>
      </c>
      <c r="L1393" s="13">
        <v>0</v>
      </c>
      <c r="M1393" s="13">
        <v>1</v>
      </c>
      <c r="N1393" s="13">
        <v>0</v>
      </c>
      <c r="O1393" s="13">
        <v>0</v>
      </c>
      <c r="P1393" s="13">
        <v>0</v>
      </c>
      <c r="Q1393" s="13">
        <v>0</v>
      </c>
      <c r="R1393" s="13">
        <v>1</v>
      </c>
      <c r="S1393" s="13">
        <v>0</v>
      </c>
      <c r="T1393" s="13">
        <v>0</v>
      </c>
      <c r="U1393" s="13">
        <v>56</v>
      </c>
      <c r="V1393" s="13" t="str" cm="1">
        <f t="array" ref="V1393">_xlfn.IFS(U1393&lt;=250,"0-R$250",U1393&lt;=500,"251-R$500",U1393&lt;=750,"501-R$750",U1393&lt;=1000,"751-R$1000",U1393&lt;=1250,"1001-R$1250",U1393&lt;=1500,"1251-R$1500")</f>
        <v>0-R$250</v>
      </c>
      <c r="W1393" s="13">
        <v>7</v>
      </c>
      <c r="X1393" s="13" t="str" cm="1">
        <f t="array" ref="X1393">_xlfn.IFS(W1393 = 0, "0", W1393&lt;=20, "até R$20",W1393&lt;=40, "21 - R$40",W1393&lt;=60, "41- R$60",W1393&lt;=80, "61 - R$80", W1393&lt;=100, "81 - R$100",W1393&lt;=120, "101 - R$120",W1393&lt;=140, "121 - R$140", W1393&lt;=160, "141- R$160", W1393&lt;=180, "161 - R$180", W1393&lt;=200, "181-R$194")</f>
        <v>até R$20</v>
      </c>
      <c r="Y1393" s="13">
        <v>48</v>
      </c>
      <c r="Z1393" s="13">
        <v>10</v>
      </c>
      <c r="AA1393" s="13">
        <v>2</v>
      </c>
      <c r="AB1393" s="13">
        <v>18</v>
      </c>
      <c r="AC1393" s="13">
        <v>1</v>
      </c>
      <c r="AD1393" s="13">
        <v>3</v>
      </c>
      <c r="AE1393" s="13">
        <v>0</v>
      </c>
      <c r="AF1393" s="13">
        <v>4</v>
      </c>
      <c r="AG1393" s="13">
        <v>7</v>
      </c>
      <c r="AH1393" s="13">
        <v>0</v>
      </c>
      <c r="AI1393" s="13">
        <v>0</v>
      </c>
      <c r="AJ1393" s="13">
        <v>0</v>
      </c>
      <c r="AK1393" s="13">
        <v>0</v>
      </c>
      <c r="AL1393" s="13">
        <v>0</v>
      </c>
      <c r="AM1393" s="13">
        <v>0</v>
      </c>
      <c r="AN1393" s="13">
        <v>0</v>
      </c>
      <c r="AO1393" s="14">
        <v>0</v>
      </c>
      <c r="AP1393" s="13">
        <v>3</v>
      </c>
      <c r="AQ1393" s="13">
        <v>11</v>
      </c>
      <c r="AR1393" s="15">
        <v>105</v>
      </c>
      <c r="AS1393" s="15">
        <v>123</v>
      </c>
    </row>
    <row r="1394" spans="1:45" x14ac:dyDescent="0.25">
      <c r="A1394">
        <v>749</v>
      </c>
      <c r="B1394" s="11">
        <f t="shared" si="21"/>
        <v>46891</v>
      </c>
      <c r="C1394" s="16">
        <v>468910</v>
      </c>
      <c r="D1394" s="17">
        <v>0</v>
      </c>
      <c r="E1394" s="17">
        <v>1</v>
      </c>
      <c r="F1394" s="17">
        <v>91</v>
      </c>
      <c r="G1394" s="17">
        <v>55</v>
      </c>
      <c r="H1394" s="13" t="str" cm="1">
        <f t="array" ref="H1394">_xlfn.IFS(G1394&lt;=20,"0-20",G1394&lt;=30,"20-30",G1394&lt;=40,"30-40",G1394&lt;=50,"50-60",G1394&lt;=60,"60-70",G1394&lt;=70,"70-80",G1394&lt;=80,"80-90")</f>
        <v>60-70</v>
      </c>
      <c r="I1394" s="17">
        <v>2460</v>
      </c>
      <c r="J1394" s="13" t="str" cm="1">
        <f t="array" ref="J1394">_xlfn.IFS(K1394=1,"Divorciado",L1394=1,"Casado",M1394=1,"Solteiro",N1394=1,"Juntos",O1394=1,"Viuvo")</f>
        <v>Casado</v>
      </c>
      <c r="K1394" s="17">
        <v>0</v>
      </c>
      <c r="L1394" s="17">
        <v>1</v>
      </c>
      <c r="M1394" s="17">
        <v>0</v>
      </c>
      <c r="N1394" s="17">
        <v>0</v>
      </c>
      <c r="O1394" s="17">
        <v>0</v>
      </c>
      <c r="P1394" s="17">
        <v>1</v>
      </c>
      <c r="Q1394" s="17">
        <v>0</v>
      </c>
      <c r="R1394" s="17">
        <v>0</v>
      </c>
      <c r="S1394" s="17">
        <v>0</v>
      </c>
      <c r="T1394" s="17">
        <v>0</v>
      </c>
      <c r="U1394" s="17">
        <v>43</v>
      </c>
      <c r="V1394" s="13" t="str" cm="1">
        <f t="array" ref="V1394">_xlfn.IFS(U1394&lt;=250,"0-R$250",U1394&lt;=500,"251-R$500",U1394&lt;=750,"501-R$750",U1394&lt;=1000,"751-R$1000",U1394&lt;=1250,"1001-R$1250",U1394&lt;=1500,"1251-R$1500")</f>
        <v>0-R$250</v>
      </c>
      <c r="W1394" s="17">
        <v>12</v>
      </c>
      <c r="X1394" s="13" t="str" cm="1">
        <f t="array" ref="X1394">_xlfn.IFS(W1394 = 0, "0", W1394&lt;=20, "até R$20",W1394&lt;=40, "21 - R$40",W1394&lt;=60, "41- R$60",W1394&lt;=80, "61 - R$80", W1394&lt;=100, "81 - R$100",W1394&lt;=120, "101 - R$120",W1394&lt;=140, "121 - R$140", W1394&lt;=160, "141- R$160", W1394&lt;=180, "161 - R$180", W1394&lt;=200, "181-R$194")</f>
        <v>até R$20</v>
      </c>
      <c r="Y1394" s="17">
        <v>23</v>
      </c>
      <c r="Z1394" s="17">
        <v>29</v>
      </c>
      <c r="AA1394" s="17">
        <v>15</v>
      </c>
      <c r="AB1394" s="17">
        <v>61</v>
      </c>
      <c r="AC1394" s="17">
        <v>1</v>
      </c>
      <c r="AD1394" s="17">
        <v>2</v>
      </c>
      <c r="AE1394" s="17">
        <v>1</v>
      </c>
      <c r="AF1394" s="17">
        <v>4</v>
      </c>
      <c r="AG1394" s="17">
        <v>4</v>
      </c>
      <c r="AH1394" s="17">
        <v>0</v>
      </c>
      <c r="AI1394" s="17">
        <v>0</v>
      </c>
      <c r="AJ1394" s="17">
        <v>0</v>
      </c>
      <c r="AK1394" s="17">
        <v>0</v>
      </c>
      <c r="AL1394" s="17">
        <v>0</v>
      </c>
      <c r="AM1394" s="17">
        <v>0</v>
      </c>
      <c r="AN1394" s="17">
        <v>0</v>
      </c>
      <c r="AO1394" s="18">
        <v>0</v>
      </c>
      <c r="AP1394" s="17">
        <v>3</v>
      </c>
      <c r="AQ1394" s="17">
        <v>11</v>
      </c>
      <c r="AR1394" s="19">
        <v>61</v>
      </c>
      <c r="AS1394" s="19">
        <v>122</v>
      </c>
    </row>
    <row r="1395" spans="1:45" x14ac:dyDescent="0.25">
      <c r="A1395">
        <v>1177</v>
      </c>
      <c r="B1395" s="11">
        <f t="shared" si="21"/>
        <v>46891</v>
      </c>
      <c r="C1395" s="16">
        <v>468910</v>
      </c>
      <c r="D1395" s="17">
        <v>0</v>
      </c>
      <c r="E1395" s="17">
        <v>1</v>
      </c>
      <c r="F1395" s="17">
        <v>91</v>
      </c>
      <c r="G1395" s="17">
        <v>55</v>
      </c>
      <c r="H1395" s="13" t="str" cm="1">
        <f t="array" ref="H1395">_xlfn.IFS(G1395&lt;=20,"0-20",G1395&lt;=30,"20-30",G1395&lt;=40,"30-40",G1395&lt;=50,"50-60",G1395&lt;=60,"60-70",G1395&lt;=70,"70-80",G1395&lt;=80,"80-90")</f>
        <v>60-70</v>
      </c>
      <c r="I1395" s="17">
        <v>2460</v>
      </c>
      <c r="J1395" s="13" t="str" cm="1">
        <f t="array" ref="J1395">_xlfn.IFS(K1395=1,"Divorciado",L1395=1,"Casado",M1395=1,"Solteiro",N1395=1,"Juntos",O1395=1,"Viuvo")</f>
        <v>Casado</v>
      </c>
      <c r="K1395" s="17">
        <v>0</v>
      </c>
      <c r="L1395" s="17">
        <v>1</v>
      </c>
      <c r="M1395" s="17">
        <v>0</v>
      </c>
      <c r="N1395" s="17">
        <v>0</v>
      </c>
      <c r="O1395" s="17">
        <v>0</v>
      </c>
      <c r="P1395" s="17">
        <v>1</v>
      </c>
      <c r="Q1395" s="17">
        <v>0</v>
      </c>
      <c r="R1395" s="17">
        <v>0</v>
      </c>
      <c r="S1395" s="17">
        <v>0</v>
      </c>
      <c r="T1395" s="17">
        <v>0</v>
      </c>
      <c r="U1395" s="17">
        <v>43</v>
      </c>
      <c r="V1395" s="13" t="str" cm="1">
        <f t="array" ref="V1395">_xlfn.IFS(U1395&lt;=250,"0-R$250",U1395&lt;=500,"251-R$500",U1395&lt;=750,"501-R$750",U1395&lt;=1000,"751-R$1000",U1395&lt;=1250,"1001-R$1250",U1395&lt;=1500,"1251-R$1500")</f>
        <v>0-R$250</v>
      </c>
      <c r="W1395" s="17">
        <v>12</v>
      </c>
      <c r="X1395" s="13" t="str" cm="1">
        <f t="array" ref="X1395">_xlfn.IFS(W1395 = 0, "0", W1395&lt;=20, "até R$20",W1395&lt;=40, "21 - R$40",W1395&lt;=60, "41- R$60",W1395&lt;=80, "61 - R$80", W1395&lt;=100, "81 - R$100",W1395&lt;=120, "101 - R$120",W1395&lt;=140, "121 - R$140", W1395&lt;=160, "141- R$160", W1395&lt;=180, "161 - R$180", W1395&lt;=200, "181-R$194")</f>
        <v>até R$20</v>
      </c>
      <c r="Y1395" s="17">
        <v>23</v>
      </c>
      <c r="Z1395" s="17">
        <v>29</v>
      </c>
      <c r="AA1395" s="17">
        <v>15</v>
      </c>
      <c r="AB1395" s="17">
        <v>61</v>
      </c>
      <c r="AC1395" s="17">
        <v>1</v>
      </c>
      <c r="AD1395" s="17">
        <v>2</v>
      </c>
      <c r="AE1395" s="17">
        <v>1</v>
      </c>
      <c r="AF1395" s="17">
        <v>4</v>
      </c>
      <c r="AG1395" s="17">
        <v>4</v>
      </c>
      <c r="AH1395" s="17">
        <v>0</v>
      </c>
      <c r="AI1395" s="17">
        <v>0</v>
      </c>
      <c r="AJ1395" s="17">
        <v>0</v>
      </c>
      <c r="AK1395" s="17">
        <v>0</v>
      </c>
      <c r="AL1395" s="17">
        <v>0</v>
      </c>
      <c r="AM1395" s="17">
        <v>0</v>
      </c>
      <c r="AN1395" s="17">
        <v>0</v>
      </c>
      <c r="AO1395" s="18">
        <v>0</v>
      </c>
      <c r="AP1395" s="17">
        <v>3</v>
      </c>
      <c r="AQ1395" s="17">
        <v>11</v>
      </c>
      <c r="AR1395" s="19">
        <v>61</v>
      </c>
      <c r="AS1395" s="19">
        <v>122</v>
      </c>
    </row>
    <row r="1396" spans="1:45" x14ac:dyDescent="0.25">
      <c r="A1396">
        <v>1451</v>
      </c>
      <c r="B1396" s="11">
        <f t="shared" si="21"/>
        <v>39898</v>
      </c>
      <c r="C1396" s="16">
        <v>398980</v>
      </c>
      <c r="D1396" s="17">
        <v>0</v>
      </c>
      <c r="E1396" s="17">
        <v>1</v>
      </c>
      <c r="F1396" s="17">
        <v>20</v>
      </c>
      <c r="G1396" s="17">
        <v>66</v>
      </c>
      <c r="H1396" s="13" t="str" cm="1">
        <f t="array" ref="H1396">_xlfn.IFS(G1396&lt;=20,"0-20",G1396&lt;=30,"20-30",G1396&lt;=40,"30-40",G1396&lt;=50,"50-60",G1396&lt;=60,"60-70",G1396&lt;=70,"70-80",G1396&lt;=80,"80-90")</f>
        <v>70-80</v>
      </c>
      <c r="I1396" s="17">
        <v>2661</v>
      </c>
      <c r="J1396" s="13" t="str" cm="1">
        <f t="array" ref="J1396">_xlfn.IFS(K1396=1,"Divorciado",L1396=1,"Casado",M1396=1,"Solteiro",N1396=1,"Juntos",O1396=1,"Viuvo")</f>
        <v>Juntos</v>
      </c>
      <c r="K1396" s="17">
        <v>0</v>
      </c>
      <c r="L1396" s="17">
        <v>0</v>
      </c>
      <c r="M1396" s="17">
        <v>0</v>
      </c>
      <c r="N1396" s="17">
        <v>1</v>
      </c>
      <c r="O1396" s="17">
        <v>0</v>
      </c>
      <c r="P1396" s="17">
        <v>0</v>
      </c>
      <c r="Q1396" s="17">
        <v>0</v>
      </c>
      <c r="R1396" s="17">
        <v>1</v>
      </c>
      <c r="S1396" s="17">
        <v>0</v>
      </c>
      <c r="T1396" s="17">
        <v>0</v>
      </c>
      <c r="U1396" s="17">
        <v>69</v>
      </c>
      <c r="V1396" s="13" t="str" cm="1">
        <f t="array" ref="V1396">_xlfn.IFS(U1396&lt;=250,"0-R$250",U1396&lt;=500,"251-R$500",U1396&lt;=750,"501-R$750",U1396&lt;=1000,"751-R$1000",U1396&lt;=1250,"1001-R$1250",U1396&lt;=1500,"1251-R$1500")</f>
        <v>0-R$250</v>
      </c>
      <c r="W1396" s="17">
        <v>8</v>
      </c>
      <c r="X1396" s="13" t="str" cm="1">
        <f t="array" ref="X1396">_xlfn.IFS(W1396 = 0, "0", W1396&lt;=20, "até R$20",W1396&lt;=40, "21 - R$40",W1396&lt;=60, "41- R$60",W1396&lt;=80, "61 - R$80", W1396&lt;=100, "81 - R$100",W1396&lt;=120, "101 - R$120",W1396&lt;=140, "121 - R$140", W1396&lt;=160, "141- R$160", W1396&lt;=180, "161 - R$180", W1396&lt;=200, "181-R$194")</f>
        <v>até R$20</v>
      </c>
      <c r="Y1396" s="17">
        <v>26</v>
      </c>
      <c r="Z1396" s="17">
        <v>12</v>
      </c>
      <c r="AA1396" s="17">
        <v>7</v>
      </c>
      <c r="AB1396" s="17">
        <v>12</v>
      </c>
      <c r="AC1396" s="17">
        <v>2</v>
      </c>
      <c r="AD1396" s="17">
        <v>3</v>
      </c>
      <c r="AE1396" s="17">
        <v>0</v>
      </c>
      <c r="AF1396" s="17">
        <v>4</v>
      </c>
      <c r="AG1396" s="17">
        <v>7</v>
      </c>
      <c r="AH1396" s="17">
        <v>0</v>
      </c>
      <c r="AI1396" s="17">
        <v>0</v>
      </c>
      <c r="AJ1396" s="17">
        <v>0</v>
      </c>
      <c r="AK1396" s="17">
        <v>0</v>
      </c>
      <c r="AL1396" s="17">
        <v>0</v>
      </c>
      <c r="AM1396" s="17">
        <v>0</v>
      </c>
      <c r="AN1396" s="17">
        <v>0</v>
      </c>
      <c r="AO1396" s="18">
        <v>0</v>
      </c>
      <c r="AP1396" s="17">
        <v>3</v>
      </c>
      <c r="AQ1396" s="17">
        <v>11</v>
      </c>
      <c r="AR1396" s="19">
        <v>110</v>
      </c>
      <c r="AS1396" s="19">
        <v>122</v>
      </c>
    </row>
    <row r="1397" spans="1:45" x14ac:dyDescent="0.25">
      <c r="A1397">
        <v>1625</v>
      </c>
      <c r="B1397" s="11">
        <f t="shared" si="21"/>
        <v>56551</v>
      </c>
      <c r="C1397" s="16">
        <v>565510</v>
      </c>
      <c r="D1397" s="17">
        <v>1</v>
      </c>
      <c r="E1397" s="17">
        <v>1</v>
      </c>
      <c r="F1397" s="17">
        <v>48</v>
      </c>
      <c r="G1397" s="17">
        <v>70</v>
      </c>
      <c r="H1397" s="13" t="str" cm="1">
        <f t="array" ref="H1397">_xlfn.IFS(G1397&lt;=20,"0-20",G1397&lt;=30,"20-30",G1397&lt;=40,"30-40",G1397&lt;=50,"50-60",G1397&lt;=60,"60-70",G1397&lt;=70,"70-80",G1397&lt;=80,"80-90")</f>
        <v>70-80</v>
      </c>
      <c r="I1397" s="17">
        <v>2212</v>
      </c>
      <c r="J1397" s="13" t="str" cm="1">
        <f t="array" ref="J1397">_xlfn.IFS(K1397=1,"Divorciado",L1397=1,"Casado",M1397=1,"Solteiro",N1397=1,"Juntos",O1397=1,"Viuvo")</f>
        <v>Viuvo</v>
      </c>
      <c r="K1397" s="17">
        <v>0</v>
      </c>
      <c r="L1397" s="17">
        <v>0</v>
      </c>
      <c r="M1397" s="17">
        <v>0</v>
      </c>
      <c r="N1397" s="17">
        <v>0</v>
      </c>
      <c r="O1397" s="17">
        <v>1</v>
      </c>
      <c r="P1397" s="17">
        <v>0</v>
      </c>
      <c r="Q1397" s="17">
        <v>0</v>
      </c>
      <c r="R1397" s="17">
        <v>0</v>
      </c>
      <c r="S1397" s="17">
        <v>0</v>
      </c>
      <c r="T1397" s="17">
        <v>1</v>
      </c>
      <c r="U1397" s="17">
        <v>67</v>
      </c>
      <c r="V1397" s="13" t="str" cm="1">
        <f t="array" ref="V1397">_xlfn.IFS(U1397&lt;=250,"0-R$250",U1397&lt;=500,"251-R$500",U1397&lt;=750,"501-R$750",U1397&lt;=1000,"751-R$1000",U1397&lt;=1250,"1001-R$1250",U1397&lt;=1500,"1251-R$1500")</f>
        <v>0-R$250</v>
      </c>
      <c r="W1397" s="17">
        <v>4</v>
      </c>
      <c r="X1397" s="13" t="str" cm="1">
        <f t="array" ref="X1397">_xlfn.IFS(W1397 = 0, "0", W1397&lt;=20, "até R$20",W1397&lt;=40, "21 - R$40",W1397&lt;=60, "41- R$60",W1397&lt;=80, "61 - R$80", W1397&lt;=100, "81 - R$100",W1397&lt;=120, "101 - R$120",W1397&lt;=140, "121 - R$140", W1397&lt;=160, "141- R$160", W1397&lt;=180, "161 - R$180", W1397&lt;=200, "181-R$194")</f>
        <v>até R$20</v>
      </c>
      <c r="Y1397" s="17">
        <v>32</v>
      </c>
      <c r="Z1397" s="17">
        <v>17</v>
      </c>
      <c r="AA1397" s="17">
        <v>2</v>
      </c>
      <c r="AB1397" s="17">
        <v>16</v>
      </c>
      <c r="AC1397" s="17">
        <v>3</v>
      </c>
      <c r="AD1397" s="17">
        <v>2</v>
      </c>
      <c r="AE1397" s="17">
        <v>1</v>
      </c>
      <c r="AF1397" s="17">
        <v>4</v>
      </c>
      <c r="AG1397" s="17">
        <v>4</v>
      </c>
      <c r="AH1397" s="17">
        <v>0</v>
      </c>
      <c r="AI1397" s="17">
        <v>0</v>
      </c>
      <c r="AJ1397" s="17">
        <v>0</v>
      </c>
      <c r="AK1397" s="17">
        <v>0</v>
      </c>
      <c r="AL1397" s="17">
        <v>0</v>
      </c>
      <c r="AM1397" s="17">
        <v>0</v>
      </c>
      <c r="AN1397" s="17">
        <v>0</v>
      </c>
      <c r="AO1397" s="18">
        <v>0</v>
      </c>
      <c r="AP1397" s="17">
        <v>3</v>
      </c>
      <c r="AQ1397" s="17">
        <v>11</v>
      </c>
      <c r="AR1397" s="19">
        <v>106</v>
      </c>
      <c r="AS1397" s="19">
        <v>122</v>
      </c>
    </row>
    <row r="1398" spans="1:45" x14ac:dyDescent="0.25">
      <c r="A1398">
        <v>1924</v>
      </c>
      <c r="B1398" s="11">
        <f t="shared" si="21"/>
        <v>39898</v>
      </c>
      <c r="C1398" s="12">
        <v>398980</v>
      </c>
      <c r="D1398" s="13">
        <v>0</v>
      </c>
      <c r="E1398" s="13">
        <v>1</v>
      </c>
      <c r="F1398" s="13">
        <v>20</v>
      </c>
      <c r="G1398" s="13">
        <v>66</v>
      </c>
      <c r="H1398" s="13" t="str" cm="1">
        <f t="array" ref="H1398">_xlfn.IFS(G1398&lt;=20,"0-20",G1398&lt;=30,"20-30",G1398&lt;=40,"30-40",G1398&lt;=50,"50-60",G1398&lt;=60,"60-70",G1398&lt;=70,"70-80",G1398&lt;=80,"80-90")</f>
        <v>70-80</v>
      </c>
      <c r="I1398" s="13">
        <v>2661</v>
      </c>
      <c r="J1398" s="13" t="str" cm="1">
        <f t="array" ref="J1398">_xlfn.IFS(K1398=1,"Divorciado",L1398=1,"Casado",M1398=1,"Solteiro",N1398=1,"Juntos",O1398=1,"Viuvo")</f>
        <v>Juntos</v>
      </c>
      <c r="K1398" s="13">
        <v>0</v>
      </c>
      <c r="L1398" s="13">
        <v>0</v>
      </c>
      <c r="M1398" s="13">
        <v>0</v>
      </c>
      <c r="N1398" s="13">
        <v>1</v>
      </c>
      <c r="O1398" s="13">
        <v>0</v>
      </c>
      <c r="P1398" s="13">
        <v>0</v>
      </c>
      <c r="Q1398" s="13">
        <v>0</v>
      </c>
      <c r="R1398" s="13">
        <v>1</v>
      </c>
      <c r="S1398" s="13">
        <v>0</v>
      </c>
      <c r="T1398" s="13">
        <v>0</v>
      </c>
      <c r="U1398" s="13">
        <v>69</v>
      </c>
      <c r="V1398" s="13" t="str" cm="1">
        <f t="array" ref="V1398">_xlfn.IFS(U1398&lt;=250,"0-R$250",U1398&lt;=500,"251-R$500",U1398&lt;=750,"501-R$750",U1398&lt;=1000,"751-R$1000",U1398&lt;=1250,"1001-R$1250",U1398&lt;=1500,"1251-R$1500")</f>
        <v>0-R$250</v>
      </c>
      <c r="W1398" s="13">
        <v>8</v>
      </c>
      <c r="X1398" s="13" t="str" cm="1">
        <f t="array" ref="X1398">_xlfn.IFS(W1398 = 0, "0", W1398&lt;=20, "até R$20",W1398&lt;=40, "21 - R$40",W1398&lt;=60, "41- R$60",W1398&lt;=80, "61 - R$80", W1398&lt;=100, "81 - R$100",W1398&lt;=120, "101 - R$120",W1398&lt;=140, "121 - R$140", W1398&lt;=160, "141- R$160", W1398&lt;=180, "161 - R$180", W1398&lt;=200, "181-R$194")</f>
        <v>até R$20</v>
      </c>
      <c r="Y1398" s="13">
        <v>26</v>
      </c>
      <c r="Z1398" s="13">
        <v>12</v>
      </c>
      <c r="AA1398" s="13">
        <v>7</v>
      </c>
      <c r="AB1398" s="13">
        <v>12</v>
      </c>
      <c r="AC1398" s="13">
        <v>2</v>
      </c>
      <c r="AD1398" s="13">
        <v>3</v>
      </c>
      <c r="AE1398" s="13">
        <v>0</v>
      </c>
      <c r="AF1398" s="13">
        <v>4</v>
      </c>
      <c r="AG1398" s="13">
        <v>7</v>
      </c>
      <c r="AH1398" s="13">
        <v>0</v>
      </c>
      <c r="AI1398" s="13">
        <v>0</v>
      </c>
      <c r="AJ1398" s="13">
        <v>0</v>
      </c>
      <c r="AK1398" s="13">
        <v>0</v>
      </c>
      <c r="AL1398" s="13">
        <v>0</v>
      </c>
      <c r="AM1398" s="13">
        <v>0</v>
      </c>
      <c r="AN1398" s="13">
        <v>0</v>
      </c>
      <c r="AO1398" s="14">
        <v>0</v>
      </c>
      <c r="AP1398" s="13">
        <v>3</v>
      </c>
      <c r="AQ1398" s="13">
        <v>11</v>
      </c>
      <c r="AR1398" s="15">
        <v>110</v>
      </c>
      <c r="AS1398" s="15">
        <v>122</v>
      </c>
    </row>
    <row r="1399" spans="1:45" x14ac:dyDescent="0.25">
      <c r="A1399">
        <v>1934</v>
      </c>
      <c r="B1399" s="11">
        <f t="shared" si="21"/>
        <v>56551</v>
      </c>
      <c r="C1399" s="12">
        <v>565510</v>
      </c>
      <c r="D1399" s="13">
        <v>1</v>
      </c>
      <c r="E1399" s="13">
        <v>1</v>
      </c>
      <c r="F1399" s="13">
        <v>48</v>
      </c>
      <c r="G1399" s="13">
        <v>70</v>
      </c>
      <c r="H1399" s="13" t="str" cm="1">
        <f t="array" ref="H1399">_xlfn.IFS(G1399&lt;=20,"0-20",G1399&lt;=30,"20-30",G1399&lt;=40,"30-40",G1399&lt;=50,"50-60",G1399&lt;=60,"60-70",G1399&lt;=70,"70-80",G1399&lt;=80,"80-90")</f>
        <v>70-80</v>
      </c>
      <c r="I1399" s="13">
        <v>2212</v>
      </c>
      <c r="J1399" s="13" t="str" cm="1">
        <f t="array" ref="J1399">_xlfn.IFS(K1399=1,"Divorciado",L1399=1,"Casado",M1399=1,"Solteiro",N1399=1,"Juntos",O1399=1,"Viuvo")</f>
        <v>Viuvo</v>
      </c>
      <c r="K1399" s="13">
        <v>0</v>
      </c>
      <c r="L1399" s="13">
        <v>0</v>
      </c>
      <c r="M1399" s="13">
        <v>0</v>
      </c>
      <c r="N1399" s="13">
        <v>0</v>
      </c>
      <c r="O1399" s="13">
        <v>1</v>
      </c>
      <c r="P1399" s="13">
        <v>0</v>
      </c>
      <c r="Q1399" s="13">
        <v>0</v>
      </c>
      <c r="R1399" s="13">
        <v>0</v>
      </c>
      <c r="S1399" s="13">
        <v>0</v>
      </c>
      <c r="T1399" s="13">
        <v>1</v>
      </c>
      <c r="U1399" s="13">
        <v>67</v>
      </c>
      <c r="V1399" s="13" t="str" cm="1">
        <f t="array" ref="V1399">_xlfn.IFS(U1399&lt;=250,"0-R$250",U1399&lt;=500,"251-R$500",U1399&lt;=750,"501-R$750",U1399&lt;=1000,"751-R$1000",U1399&lt;=1250,"1001-R$1250",U1399&lt;=1500,"1251-R$1500")</f>
        <v>0-R$250</v>
      </c>
      <c r="W1399" s="13">
        <v>4</v>
      </c>
      <c r="X1399" s="13" t="str" cm="1">
        <f t="array" ref="X1399">_xlfn.IFS(W1399 = 0, "0", W1399&lt;=20, "até R$20",W1399&lt;=40, "21 - R$40",W1399&lt;=60, "41- R$60",W1399&lt;=80, "61 - R$80", W1399&lt;=100, "81 - R$100",W1399&lt;=120, "101 - R$120",W1399&lt;=140, "121 - R$140", W1399&lt;=160, "141- R$160", W1399&lt;=180, "161 - R$180", W1399&lt;=200, "181-R$194")</f>
        <v>até R$20</v>
      </c>
      <c r="Y1399" s="13">
        <v>32</v>
      </c>
      <c r="Z1399" s="13">
        <v>17</v>
      </c>
      <c r="AA1399" s="13">
        <v>2</v>
      </c>
      <c r="AB1399" s="13">
        <v>16</v>
      </c>
      <c r="AC1399" s="13">
        <v>3</v>
      </c>
      <c r="AD1399" s="13">
        <v>2</v>
      </c>
      <c r="AE1399" s="13">
        <v>1</v>
      </c>
      <c r="AF1399" s="13">
        <v>4</v>
      </c>
      <c r="AG1399" s="13">
        <v>4</v>
      </c>
      <c r="AH1399" s="13">
        <v>0</v>
      </c>
      <c r="AI1399" s="13">
        <v>0</v>
      </c>
      <c r="AJ1399" s="13">
        <v>0</v>
      </c>
      <c r="AK1399" s="13">
        <v>0</v>
      </c>
      <c r="AL1399" s="13">
        <v>0</v>
      </c>
      <c r="AM1399" s="13">
        <v>0</v>
      </c>
      <c r="AN1399" s="13">
        <v>0</v>
      </c>
      <c r="AO1399" s="14">
        <v>0</v>
      </c>
      <c r="AP1399" s="13">
        <v>3</v>
      </c>
      <c r="AQ1399" s="13">
        <v>11</v>
      </c>
      <c r="AR1399" s="15">
        <v>106</v>
      </c>
      <c r="AS1399" s="15">
        <v>122</v>
      </c>
    </row>
    <row r="1400" spans="1:45" x14ac:dyDescent="0.25">
      <c r="A1400">
        <v>27</v>
      </c>
      <c r="B1400" s="11">
        <f t="shared" si="21"/>
        <v>38360</v>
      </c>
      <c r="C1400" s="16">
        <v>383600</v>
      </c>
      <c r="D1400" s="17">
        <v>1</v>
      </c>
      <c r="E1400" s="17">
        <v>0</v>
      </c>
      <c r="F1400" s="17">
        <v>26</v>
      </c>
      <c r="G1400" s="17">
        <v>31</v>
      </c>
      <c r="H1400" s="13" t="str" cm="1">
        <f t="array" ref="H1400">_xlfn.IFS(G1400&lt;=20,"0-20",G1400&lt;=30,"20-30",G1400&lt;=40,"30-40",G1400&lt;=50,"50-60",G1400&lt;=60,"60-70",G1400&lt;=70,"70-80",G1400&lt;=80,"80-90")</f>
        <v>30-40</v>
      </c>
      <c r="I1400" s="17">
        <v>2553</v>
      </c>
      <c r="J1400" s="13" t="str" cm="1">
        <f t="array" ref="J1400">_xlfn.IFS(K1400=1,"Divorciado",L1400=1,"Casado",M1400=1,"Solteiro",N1400=1,"Juntos",O1400=1,"Viuvo")</f>
        <v>Casado</v>
      </c>
      <c r="K1400" s="17">
        <v>0</v>
      </c>
      <c r="L1400" s="17">
        <v>1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1</v>
      </c>
      <c r="S1400" s="17">
        <v>0</v>
      </c>
      <c r="T1400" s="17">
        <v>0</v>
      </c>
      <c r="U1400" s="17">
        <v>36</v>
      </c>
      <c r="V1400" s="13" t="str" cm="1">
        <f t="array" ref="V1400">_xlfn.IFS(U1400&lt;=250,"0-R$250",U1400&lt;=500,"251-R$500",U1400&lt;=750,"501-R$750",U1400&lt;=1000,"751-R$1000",U1400&lt;=1250,"1001-R$1250",U1400&lt;=1500,"1251-R$1500")</f>
        <v>0-R$250</v>
      </c>
      <c r="W1400" s="17">
        <v>2</v>
      </c>
      <c r="X1400" s="13" t="str" cm="1">
        <f t="array" ref="X1400">_xlfn.IFS(W1400 = 0, "0", W1400&lt;=20, "até R$20",W1400&lt;=40, "21 - R$40",W1400&lt;=60, "41- R$60",W1400&lt;=80, "61 - R$80", W1400&lt;=100, "81 - R$100",W1400&lt;=120, "101 - R$120",W1400&lt;=140, "121 - R$140", W1400&lt;=160, "141- R$160", W1400&lt;=180, "161 - R$180", W1400&lt;=200, "181-R$194")</f>
        <v>até R$20</v>
      </c>
      <c r="Y1400" s="17">
        <v>42</v>
      </c>
      <c r="Z1400" s="17">
        <v>20</v>
      </c>
      <c r="AA1400" s="17">
        <v>21</v>
      </c>
      <c r="AB1400" s="17">
        <v>10</v>
      </c>
      <c r="AC1400" s="17">
        <v>2</v>
      </c>
      <c r="AD1400" s="17">
        <v>2</v>
      </c>
      <c r="AE1400" s="17">
        <v>1</v>
      </c>
      <c r="AF1400" s="17">
        <v>4</v>
      </c>
      <c r="AG1400" s="17">
        <v>3</v>
      </c>
      <c r="AH1400" s="17">
        <v>0</v>
      </c>
      <c r="AI1400" s="17">
        <v>0</v>
      </c>
      <c r="AJ1400" s="17">
        <v>0</v>
      </c>
      <c r="AK1400" s="17">
        <v>0</v>
      </c>
      <c r="AL1400" s="17">
        <v>0</v>
      </c>
      <c r="AM1400" s="17">
        <v>0</v>
      </c>
      <c r="AN1400" s="17">
        <v>0</v>
      </c>
      <c r="AO1400" s="18">
        <v>0</v>
      </c>
      <c r="AP1400" s="17">
        <v>3</v>
      </c>
      <c r="AQ1400" s="17">
        <v>11</v>
      </c>
      <c r="AR1400" s="19">
        <v>111</v>
      </c>
      <c r="AS1400" s="19">
        <v>121</v>
      </c>
    </row>
    <row r="1401" spans="1:45" x14ac:dyDescent="0.25">
      <c r="A1401">
        <v>161</v>
      </c>
      <c r="B1401" s="11">
        <f t="shared" si="21"/>
        <v>50447</v>
      </c>
      <c r="C1401" s="16">
        <v>504470</v>
      </c>
      <c r="D1401" s="17">
        <v>2</v>
      </c>
      <c r="E1401" s="17">
        <v>0</v>
      </c>
      <c r="F1401" s="17">
        <v>4</v>
      </c>
      <c r="G1401" s="17">
        <v>50</v>
      </c>
      <c r="H1401" s="13" t="str" cm="1">
        <f t="array" ref="H1401">_xlfn.IFS(G1401&lt;=20,"0-20",G1401&lt;=30,"20-30",G1401&lt;=40,"30-40",G1401&lt;=50,"50-60",G1401&lt;=60,"60-70",G1401&lt;=70,"70-80",G1401&lt;=80,"80-90")</f>
        <v>50-60</v>
      </c>
      <c r="I1401" s="17">
        <v>2228</v>
      </c>
      <c r="J1401" s="13" t="str" cm="1">
        <f t="array" ref="J1401">_xlfn.IFS(K1401=1,"Divorciado",L1401=1,"Casado",M1401=1,"Solteiro",N1401=1,"Juntos",O1401=1,"Viuvo")</f>
        <v>Casado</v>
      </c>
      <c r="K1401" s="17">
        <v>0</v>
      </c>
      <c r="L1401" s="17">
        <v>1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1</v>
      </c>
      <c r="S1401" s="17">
        <v>0</v>
      </c>
      <c r="T1401" s="17">
        <v>0</v>
      </c>
      <c r="U1401" s="17">
        <v>85</v>
      </c>
      <c r="V1401" s="13" t="str" cm="1">
        <f t="array" ref="V1401">_xlfn.IFS(U1401&lt;=250,"0-R$250",U1401&lt;=500,"251-R$500",U1401&lt;=750,"501-R$750",U1401&lt;=1000,"751-R$1000",U1401&lt;=1250,"1001-R$1250",U1401&lt;=1500,"1251-R$1500")</f>
        <v>0-R$250</v>
      </c>
      <c r="W1401" s="17">
        <v>7</v>
      </c>
      <c r="X1401" s="13" t="str" cm="1">
        <f t="array" ref="X1401">_xlfn.IFS(W1401 = 0, "0", W1401&lt;=20, "até R$20",W1401&lt;=40, "21 - R$40",W1401&lt;=60, "41- R$60",W1401&lt;=80, "61 - R$80", W1401&lt;=100, "81 - R$100",W1401&lt;=120, "101 - R$120",W1401&lt;=140, "121 - R$140", W1401&lt;=160, "141- R$160", W1401&lt;=180, "161 - R$180", W1401&lt;=200, "181-R$194")</f>
        <v>até R$20</v>
      </c>
      <c r="Y1401" s="17">
        <v>24</v>
      </c>
      <c r="Z1401" s="17">
        <v>2</v>
      </c>
      <c r="AA1401" s="17">
        <v>3</v>
      </c>
      <c r="AB1401" s="17">
        <v>27</v>
      </c>
      <c r="AC1401" s="17">
        <v>1</v>
      </c>
      <c r="AD1401" s="17">
        <v>3</v>
      </c>
      <c r="AE1401" s="17">
        <v>1</v>
      </c>
      <c r="AF1401" s="17">
        <v>3</v>
      </c>
      <c r="AG1401" s="17">
        <v>6</v>
      </c>
      <c r="AH1401" s="17">
        <v>0</v>
      </c>
      <c r="AI1401" s="17">
        <v>0</v>
      </c>
      <c r="AJ1401" s="17">
        <v>0</v>
      </c>
      <c r="AK1401" s="17">
        <v>0</v>
      </c>
      <c r="AL1401" s="17">
        <v>0</v>
      </c>
      <c r="AM1401" s="17">
        <v>0</v>
      </c>
      <c r="AN1401" s="17">
        <v>0</v>
      </c>
      <c r="AO1401" s="18">
        <v>0</v>
      </c>
      <c r="AP1401" s="17">
        <v>3</v>
      </c>
      <c r="AQ1401" s="17">
        <v>11</v>
      </c>
      <c r="AR1401" s="19">
        <v>94</v>
      </c>
      <c r="AS1401" s="19">
        <v>121</v>
      </c>
    </row>
    <row r="1402" spans="1:45" x14ac:dyDescent="0.25">
      <c r="A1402">
        <v>325</v>
      </c>
      <c r="B1402" s="11">
        <f t="shared" si="21"/>
        <v>41411</v>
      </c>
      <c r="C1402" s="16">
        <v>414110</v>
      </c>
      <c r="D1402" s="17">
        <v>0</v>
      </c>
      <c r="E1402" s="17">
        <v>0</v>
      </c>
      <c r="F1402" s="17">
        <v>11</v>
      </c>
      <c r="G1402" s="17">
        <v>34</v>
      </c>
      <c r="H1402" s="13" t="str" cm="1">
        <f t="array" ref="H1402">_xlfn.IFS(G1402&lt;=20,"0-20",G1402&lt;=30,"20-30",G1402&lt;=40,"30-40",G1402&lt;=50,"50-60",G1402&lt;=60,"60-70",G1402&lt;=70,"70-80",G1402&lt;=80,"80-90")</f>
        <v>30-40</v>
      </c>
      <c r="I1402" s="17">
        <v>2363</v>
      </c>
      <c r="J1402" s="13" t="str" cm="1">
        <f t="array" ref="J1402">_xlfn.IFS(K1402=1,"Divorciado",L1402=1,"Casado",M1402=1,"Solteiro",N1402=1,"Juntos",O1402=1,"Viuvo")</f>
        <v>Divorciado</v>
      </c>
      <c r="K1402" s="17">
        <v>1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1</v>
      </c>
      <c r="S1402" s="17">
        <v>0</v>
      </c>
      <c r="T1402" s="17">
        <v>0</v>
      </c>
      <c r="U1402" s="17">
        <v>37</v>
      </c>
      <c r="V1402" s="13" t="str" cm="1">
        <f t="array" ref="V1402">_xlfn.IFS(U1402&lt;=250,"0-R$250",U1402&lt;=500,"251-R$500",U1402&lt;=750,"501-R$750",U1402&lt;=1000,"751-R$1000",U1402&lt;=1250,"1001-R$1250",U1402&lt;=1500,"1251-R$1500")</f>
        <v>0-R$250</v>
      </c>
      <c r="W1402" s="17">
        <v>32</v>
      </c>
      <c r="X1402" s="13" t="str" cm="1">
        <f t="array" ref="X1402">_xlfn.IFS(W1402 = 0, "0", W1402&lt;=20, "até R$20",W1402&lt;=40, "21 - R$40",W1402&lt;=60, "41- R$60",W1402&lt;=80, "61 - R$80", W1402&lt;=100, "81 - R$100",W1402&lt;=120, "101 - R$120",W1402&lt;=140, "121 - R$140", W1402&lt;=160, "141- R$160", W1402&lt;=180, "161 - R$180", W1402&lt;=200, "181-R$194")</f>
        <v>21 - R$40</v>
      </c>
      <c r="Y1402" s="17">
        <v>38</v>
      </c>
      <c r="Z1402" s="17">
        <v>11</v>
      </c>
      <c r="AA1402" s="17">
        <v>3</v>
      </c>
      <c r="AB1402" s="17">
        <v>18</v>
      </c>
      <c r="AC1402" s="17">
        <v>1</v>
      </c>
      <c r="AD1402" s="17">
        <v>2</v>
      </c>
      <c r="AE1402" s="17">
        <v>1</v>
      </c>
      <c r="AF1402" s="17">
        <v>4</v>
      </c>
      <c r="AG1402" s="17">
        <v>6</v>
      </c>
      <c r="AH1402" s="17">
        <v>0</v>
      </c>
      <c r="AI1402" s="17">
        <v>0</v>
      </c>
      <c r="AJ1402" s="17">
        <v>0</v>
      </c>
      <c r="AK1402" s="17">
        <v>0</v>
      </c>
      <c r="AL1402" s="17">
        <v>0</v>
      </c>
      <c r="AM1402" s="17">
        <v>0</v>
      </c>
      <c r="AN1402" s="17">
        <v>0</v>
      </c>
      <c r="AO1402" s="18">
        <v>0</v>
      </c>
      <c r="AP1402" s="17">
        <v>3</v>
      </c>
      <c r="AQ1402" s="17">
        <v>11</v>
      </c>
      <c r="AR1402" s="19">
        <v>103</v>
      </c>
      <c r="AS1402" s="19">
        <v>121</v>
      </c>
    </row>
    <row r="1403" spans="1:45" x14ac:dyDescent="0.25">
      <c r="A1403">
        <v>446</v>
      </c>
      <c r="B1403" s="11">
        <f t="shared" si="21"/>
        <v>50520</v>
      </c>
      <c r="C1403" s="12">
        <v>505200</v>
      </c>
      <c r="D1403" s="13">
        <v>0</v>
      </c>
      <c r="E1403" s="13">
        <v>1</v>
      </c>
      <c r="F1403" s="13">
        <v>25</v>
      </c>
      <c r="G1403" s="13">
        <v>62</v>
      </c>
      <c r="H1403" s="13" t="str" cm="1">
        <f t="array" ref="H1403">_xlfn.IFS(G1403&lt;=20,"0-20",G1403&lt;=30,"20-30",G1403&lt;=40,"30-40",G1403&lt;=50,"50-60",G1403&lt;=60,"60-70",G1403&lt;=70,"70-80",G1403&lt;=80,"80-90")</f>
        <v>70-80</v>
      </c>
      <c r="I1403" s="13">
        <v>2311</v>
      </c>
      <c r="J1403" s="13" t="str" cm="1">
        <f t="array" ref="J1403">_xlfn.IFS(K1403=1,"Divorciado",L1403=1,"Casado",M1403=1,"Solteiro",N1403=1,"Juntos",O1403=1,"Viuvo")</f>
        <v>Viuvo</v>
      </c>
      <c r="K1403" s="13">
        <v>0</v>
      </c>
      <c r="L1403" s="13">
        <v>0</v>
      </c>
      <c r="M1403" s="13">
        <v>0</v>
      </c>
      <c r="N1403" s="13">
        <v>0</v>
      </c>
      <c r="O1403" s="13">
        <v>1</v>
      </c>
      <c r="P1403" s="13">
        <v>0</v>
      </c>
      <c r="Q1403" s="13">
        <v>0</v>
      </c>
      <c r="R1403" s="13">
        <v>0</v>
      </c>
      <c r="S1403" s="13">
        <v>0</v>
      </c>
      <c r="T1403" s="13">
        <v>1</v>
      </c>
      <c r="U1403" s="13">
        <v>112</v>
      </c>
      <c r="V1403" s="13" t="str" cm="1">
        <f t="array" ref="V1403">_xlfn.IFS(U1403&lt;=250,"0-R$250",U1403&lt;=500,"251-R$500",U1403&lt;=750,"501-R$750",U1403&lt;=1000,"751-R$1000",U1403&lt;=1250,"1001-R$1250",U1403&lt;=1500,"1251-R$1500")</f>
        <v>0-R$250</v>
      </c>
      <c r="W1403" s="13">
        <v>0</v>
      </c>
      <c r="X1403" s="13" t="str" cm="1">
        <f t="array" ref="X1403">_xlfn.IFS(W1403 = 0, "0", W1403&lt;=20, "até R$20",W1403&lt;=40, "21 - R$40",W1403&lt;=60, "41- R$60",W1403&lt;=80, "61 - R$80", W1403&lt;=100, "81 - R$100",W1403&lt;=120, "101 - R$120",W1403&lt;=140, "121 - R$140", W1403&lt;=160, "141- R$160", W1403&lt;=180, "161 - R$180", W1403&lt;=200, "181-R$194")</f>
        <v>0</v>
      </c>
      <c r="Y1403" s="13">
        <v>6</v>
      </c>
      <c r="Z1403" s="13">
        <v>2</v>
      </c>
      <c r="AA1403" s="13">
        <v>1</v>
      </c>
      <c r="AB1403" s="13">
        <v>14</v>
      </c>
      <c r="AC1403" s="13">
        <v>2</v>
      </c>
      <c r="AD1403" s="13">
        <v>3</v>
      </c>
      <c r="AE1403" s="13">
        <v>1</v>
      </c>
      <c r="AF1403" s="13">
        <v>3</v>
      </c>
      <c r="AG1403" s="13">
        <v>6</v>
      </c>
      <c r="AH1403" s="13">
        <v>0</v>
      </c>
      <c r="AI1403" s="13">
        <v>0</v>
      </c>
      <c r="AJ1403" s="13">
        <v>0</v>
      </c>
      <c r="AK1403" s="13">
        <v>0</v>
      </c>
      <c r="AL1403" s="13">
        <v>0</v>
      </c>
      <c r="AM1403" s="13">
        <v>0</v>
      </c>
      <c r="AN1403" s="13">
        <v>0</v>
      </c>
      <c r="AO1403" s="14">
        <v>0</v>
      </c>
      <c r="AP1403" s="13">
        <v>3</v>
      </c>
      <c r="AQ1403" s="13">
        <v>11</v>
      </c>
      <c r="AR1403" s="15">
        <v>107</v>
      </c>
      <c r="AS1403" s="15">
        <v>121</v>
      </c>
    </row>
    <row r="1404" spans="1:45" x14ac:dyDescent="0.25">
      <c r="A1404">
        <v>860</v>
      </c>
      <c r="B1404" s="11">
        <f t="shared" si="21"/>
        <v>17117</v>
      </c>
      <c r="C1404" s="12">
        <v>171170</v>
      </c>
      <c r="D1404" s="13">
        <v>1</v>
      </c>
      <c r="E1404" s="13">
        <v>0</v>
      </c>
      <c r="F1404" s="13">
        <v>96</v>
      </c>
      <c r="G1404" s="13">
        <v>42</v>
      </c>
      <c r="H1404" s="13" t="str" cm="1">
        <f t="array" ref="H1404">_xlfn.IFS(G1404&lt;=20,"0-20",G1404&lt;=30,"20-30",G1404&lt;=40,"30-40",G1404&lt;=50,"50-60",G1404&lt;=60,"60-70",G1404&lt;=70,"70-80",G1404&lt;=80,"80-90")</f>
        <v>50-60</v>
      </c>
      <c r="I1404" s="13">
        <v>2687</v>
      </c>
      <c r="J1404" s="13" t="str" cm="1">
        <f t="array" ref="J1404">_xlfn.IFS(K1404=1,"Divorciado",L1404=1,"Casado",M1404=1,"Solteiro",N1404=1,"Juntos",O1404=1,"Viuvo")</f>
        <v>Juntos</v>
      </c>
      <c r="K1404" s="13">
        <v>0</v>
      </c>
      <c r="L1404" s="13">
        <v>0</v>
      </c>
      <c r="M1404" s="13">
        <v>0</v>
      </c>
      <c r="N1404" s="13">
        <v>1</v>
      </c>
      <c r="O1404" s="13">
        <v>0</v>
      </c>
      <c r="P1404" s="13">
        <v>1</v>
      </c>
      <c r="Q1404" s="13">
        <v>0</v>
      </c>
      <c r="R1404" s="13">
        <v>0</v>
      </c>
      <c r="S1404" s="13">
        <v>0</v>
      </c>
      <c r="T1404" s="13">
        <v>0</v>
      </c>
      <c r="U1404" s="13">
        <v>12</v>
      </c>
      <c r="V1404" s="13" t="str" cm="1">
        <f t="array" ref="V1404">_xlfn.IFS(U1404&lt;=250,"0-R$250",U1404&lt;=500,"251-R$500",U1404&lt;=750,"501-R$750",U1404&lt;=1000,"751-R$1000",U1404&lt;=1250,"1001-R$1250",U1404&lt;=1500,"1251-R$1500")</f>
        <v>0-R$250</v>
      </c>
      <c r="W1404" s="13">
        <v>23</v>
      </c>
      <c r="X1404" s="13" t="str" cm="1">
        <f t="array" ref="X1404">_xlfn.IFS(W1404 = 0, "0", W1404&lt;=20, "até R$20",W1404&lt;=40, "21 - R$40",W1404&lt;=60, "41- R$60",W1404&lt;=80, "61 - R$80", W1404&lt;=100, "81 - R$100",W1404&lt;=120, "101 - R$120",W1404&lt;=140, "121 - R$140", W1404&lt;=160, "141- R$160", W1404&lt;=180, "161 - R$180", W1404&lt;=200, "181-R$194")</f>
        <v>21 - R$40</v>
      </c>
      <c r="Y1404" s="13">
        <v>38</v>
      </c>
      <c r="Z1404" s="13">
        <v>30</v>
      </c>
      <c r="AA1404" s="13">
        <v>18</v>
      </c>
      <c r="AB1404" s="13">
        <v>7</v>
      </c>
      <c r="AC1404" s="13">
        <v>4</v>
      </c>
      <c r="AD1404" s="13">
        <v>3</v>
      </c>
      <c r="AE1404" s="13">
        <v>1</v>
      </c>
      <c r="AF1404" s="13">
        <v>3</v>
      </c>
      <c r="AG1404" s="13">
        <v>9</v>
      </c>
      <c r="AH1404" s="13">
        <v>0</v>
      </c>
      <c r="AI1404" s="13">
        <v>0</v>
      </c>
      <c r="AJ1404" s="13">
        <v>0</v>
      </c>
      <c r="AK1404" s="13">
        <v>0</v>
      </c>
      <c r="AL1404" s="13">
        <v>0</v>
      </c>
      <c r="AM1404" s="13">
        <v>0</v>
      </c>
      <c r="AN1404" s="13">
        <v>0</v>
      </c>
      <c r="AO1404" s="14">
        <v>0</v>
      </c>
      <c r="AP1404" s="13">
        <v>3</v>
      </c>
      <c r="AQ1404" s="13">
        <v>11</v>
      </c>
      <c r="AR1404" s="15">
        <v>114</v>
      </c>
      <c r="AS1404" s="15">
        <v>121</v>
      </c>
    </row>
    <row r="1405" spans="1:45" x14ac:dyDescent="0.25">
      <c r="A1405">
        <v>1072</v>
      </c>
      <c r="B1405" s="11">
        <f t="shared" si="21"/>
        <v>39190</v>
      </c>
      <c r="C1405" s="12">
        <v>391900</v>
      </c>
      <c r="D1405" s="13">
        <v>1</v>
      </c>
      <c r="E1405" s="13">
        <v>0</v>
      </c>
      <c r="F1405" s="13">
        <v>91</v>
      </c>
      <c r="G1405" s="13">
        <v>46</v>
      </c>
      <c r="H1405" s="13" t="str" cm="1">
        <f t="array" ref="H1405">_xlfn.IFS(G1405&lt;=20,"0-20",G1405&lt;=30,"20-30",G1405&lt;=40,"30-40",G1405&lt;=50,"50-60",G1405&lt;=60,"60-70",G1405&lt;=70,"70-80",G1405&lt;=80,"80-90")</f>
        <v>50-60</v>
      </c>
      <c r="I1405" s="13">
        <v>2223</v>
      </c>
      <c r="J1405" s="13" t="str" cm="1">
        <f t="array" ref="J1405">_xlfn.IFS(K1405=1,"Divorciado",L1405=1,"Casado",M1405=1,"Solteiro",N1405=1,"Juntos",O1405=1,"Viuvo")</f>
        <v>Solteiro</v>
      </c>
      <c r="K1405" s="13">
        <v>0</v>
      </c>
      <c r="L1405" s="13">
        <v>0</v>
      </c>
      <c r="M1405" s="13">
        <v>1</v>
      </c>
      <c r="N1405" s="13">
        <v>0</v>
      </c>
      <c r="O1405" s="13">
        <v>0</v>
      </c>
      <c r="P1405" s="13">
        <v>0</v>
      </c>
      <c r="Q1405" s="13">
        <v>0</v>
      </c>
      <c r="R1405" s="13">
        <v>0</v>
      </c>
      <c r="S1405" s="13">
        <v>0</v>
      </c>
      <c r="T1405" s="13">
        <v>1</v>
      </c>
      <c r="U1405" s="13">
        <v>68</v>
      </c>
      <c r="V1405" s="13" t="str" cm="1">
        <f t="array" ref="V1405">_xlfn.IFS(U1405&lt;=250,"0-R$250",U1405&lt;=500,"251-R$500",U1405&lt;=750,"501-R$750",U1405&lt;=1000,"751-R$1000",U1405&lt;=1250,"1001-R$1250",U1405&lt;=1500,"1251-R$1500")</f>
        <v>0-R$250</v>
      </c>
      <c r="W1405" s="13">
        <v>8</v>
      </c>
      <c r="X1405" s="13" t="str" cm="1">
        <f t="array" ref="X1405">_xlfn.IFS(W1405 = 0, "0", W1405&lt;=20, "até R$20",W1405&lt;=40, "21 - R$40",W1405&lt;=60, "41- R$60",W1405&lt;=80, "61 - R$80", W1405&lt;=100, "81 - R$100",W1405&lt;=120, "101 - R$120",W1405&lt;=140, "121 - R$140", W1405&lt;=160, "141- R$160", W1405&lt;=180, "161 - R$180", W1405&lt;=200, "181-R$194")</f>
        <v>até R$20</v>
      </c>
      <c r="Y1405" s="13">
        <v>18</v>
      </c>
      <c r="Z1405" s="13">
        <v>19</v>
      </c>
      <c r="AA1405" s="13">
        <v>8</v>
      </c>
      <c r="AB1405" s="13">
        <v>12</v>
      </c>
      <c r="AC1405" s="13">
        <v>2</v>
      </c>
      <c r="AD1405" s="13">
        <v>2</v>
      </c>
      <c r="AE1405" s="13">
        <v>1</v>
      </c>
      <c r="AF1405" s="13">
        <v>4</v>
      </c>
      <c r="AG1405" s="13">
        <v>5</v>
      </c>
      <c r="AH1405" s="13">
        <v>0</v>
      </c>
      <c r="AI1405" s="13">
        <v>0</v>
      </c>
      <c r="AJ1405" s="13">
        <v>0</v>
      </c>
      <c r="AK1405" s="13">
        <v>0</v>
      </c>
      <c r="AL1405" s="13">
        <v>0</v>
      </c>
      <c r="AM1405" s="13">
        <v>0</v>
      </c>
      <c r="AN1405" s="13">
        <v>0</v>
      </c>
      <c r="AO1405" s="14">
        <v>0</v>
      </c>
      <c r="AP1405" s="13">
        <v>3</v>
      </c>
      <c r="AQ1405" s="13">
        <v>11</v>
      </c>
      <c r="AR1405" s="15">
        <v>109</v>
      </c>
      <c r="AS1405" s="15">
        <v>121</v>
      </c>
    </row>
    <row r="1406" spans="1:45" x14ac:dyDescent="0.25">
      <c r="A1406">
        <v>1385</v>
      </c>
      <c r="B1406" s="11">
        <f t="shared" si="21"/>
        <v>36957</v>
      </c>
      <c r="C1406" s="16">
        <v>369570</v>
      </c>
      <c r="D1406" s="17">
        <v>1</v>
      </c>
      <c r="E1406" s="17">
        <v>1</v>
      </c>
      <c r="F1406" s="17">
        <v>43</v>
      </c>
      <c r="G1406" s="17">
        <v>67</v>
      </c>
      <c r="H1406" s="13" t="str" cm="1">
        <f t="array" ref="H1406">_xlfn.IFS(G1406&lt;=20,"0-20",G1406&lt;=30,"20-30",G1406&lt;=40,"30-40",G1406&lt;=50,"50-60",G1406&lt;=60,"60-70",G1406&lt;=70,"70-80",G1406&lt;=80,"80-90")</f>
        <v>70-80</v>
      </c>
      <c r="I1406" s="17">
        <v>2820</v>
      </c>
      <c r="J1406" s="13" t="str" cm="1">
        <f t="array" ref="J1406">_xlfn.IFS(K1406=1,"Divorciado",L1406=1,"Casado",M1406=1,"Solteiro",N1406=1,"Juntos",O1406=1,"Viuvo")</f>
        <v>Divorciado</v>
      </c>
      <c r="K1406" s="17">
        <v>1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1</v>
      </c>
      <c r="U1406" s="17">
        <v>100</v>
      </c>
      <c r="V1406" s="13" t="str" cm="1">
        <f t="array" ref="V1406">_xlfn.IFS(U1406&lt;=250,"0-R$250",U1406&lt;=500,"251-R$500",U1406&lt;=750,"501-R$750",U1406&lt;=1000,"751-R$1000",U1406&lt;=1250,"1001-R$1250",U1406&lt;=1500,"1251-R$1500")</f>
        <v>0-R$250</v>
      </c>
      <c r="W1406" s="17">
        <v>2</v>
      </c>
      <c r="X1406" s="13" t="str" cm="1">
        <f t="array" ref="X1406">_xlfn.IFS(W1406 = 0, "0", W1406&lt;=20, "até R$20",W1406&lt;=40, "21 - R$40",W1406&lt;=60, "41- R$60",W1406&lt;=80, "61 - R$80", W1406&lt;=100, "81 - R$100",W1406&lt;=120, "101 - R$120",W1406&lt;=140, "121 - R$140", W1406&lt;=160, "141- R$160", W1406&lt;=180, "161 - R$180", W1406&lt;=200, "181-R$194")</f>
        <v>até R$20</v>
      </c>
      <c r="Y1406" s="17">
        <v>16</v>
      </c>
      <c r="Z1406" s="17">
        <v>2</v>
      </c>
      <c r="AA1406" s="17">
        <v>1</v>
      </c>
      <c r="AB1406" s="17">
        <v>31</v>
      </c>
      <c r="AC1406" s="17">
        <v>4</v>
      </c>
      <c r="AD1406" s="17">
        <v>3</v>
      </c>
      <c r="AE1406" s="17">
        <v>2</v>
      </c>
      <c r="AF1406" s="17">
        <v>2</v>
      </c>
      <c r="AG1406" s="17">
        <v>9</v>
      </c>
      <c r="AH1406" s="17">
        <v>0</v>
      </c>
      <c r="AI1406" s="17">
        <v>0</v>
      </c>
      <c r="AJ1406" s="17">
        <v>0</v>
      </c>
      <c r="AK1406" s="17">
        <v>0</v>
      </c>
      <c r="AL1406" s="17">
        <v>0</v>
      </c>
      <c r="AM1406" s="17">
        <v>0</v>
      </c>
      <c r="AN1406" s="17">
        <v>1</v>
      </c>
      <c r="AO1406" s="18">
        <v>0</v>
      </c>
      <c r="AP1406" s="17">
        <v>3</v>
      </c>
      <c r="AQ1406" s="17">
        <v>11</v>
      </c>
      <c r="AR1406" s="19">
        <v>90</v>
      </c>
      <c r="AS1406" s="19">
        <v>121</v>
      </c>
    </row>
    <row r="1407" spans="1:45" x14ac:dyDescent="0.25">
      <c r="A1407">
        <v>1919</v>
      </c>
      <c r="B1407" s="11">
        <f t="shared" si="21"/>
        <v>34529</v>
      </c>
      <c r="C1407" s="16">
        <v>345290</v>
      </c>
      <c r="D1407" s="17">
        <v>1</v>
      </c>
      <c r="E1407" s="17">
        <v>0</v>
      </c>
      <c r="F1407" s="17">
        <v>94</v>
      </c>
      <c r="G1407" s="17">
        <v>44</v>
      </c>
      <c r="H1407" s="13" t="str" cm="1">
        <f t="array" ref="H1407">_xlfn.IFS(G1407&lt;=20,"0-20",G1407&lt;=30,"20-30",G1407&lt;=40,"30-40",G1407&lt;=50,"50-60",G1407&lt;=60,"60-70",G1407&lt;=70,"70-80",G1407&lt;=80,"80-90")</f>
        <v>50-60</v>
      </c>
      <c r="I1407" s="17">
        <v>2812</v>
      </c>
      <c r="J1407" s="13" t="str" cm="1">
        <f t="array" ref="J1407">_xlfn.IFS(K1407=1,"Divorciado",L1407=1,"Casado",M1407=1,"Solteiro",N1407=1,"Juntos",O1407=1,"Viuvo")</f>
        <v>Casado</v>
      </c>
      <c r="K1407" s="17">
        <v>0</v>
      </c>
      <c r="L1407" s="17">
        <v>1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1</v>
      </c>
      <c r="T1407" s="17">
        <v>0</v>
      </c>
      <c r="U1407" s="17">
        <v>68</v>
      </c>
      <c r="V1407" s="13" t="str" cm="1">
        <f t="array" ref="V1407">_xlfn.IFS(U1407&lt;=250,"0-R$250",U1407&lt;=500,"251-R$500",U1407&lt;=750,"501-R$750",U1407&lt;=1000,"751-R$1000",U1407&lt;=1250,"1001-R$1250",U1407&lt;=1500,"1251-R$1500")</f>
        <v>0-R$250</v>
      </c>
      <c r="W1407" s="17">
        <v>6</v>
      </c>
      <c r="X1407" s="13" t="str" cm="1">
        <f t="array" ref="X1407">_xlfn.IFS(W1407 = 0, "0", W1407&lt;=20, "até R$20",W1407&lt;=40, "21 - R$40",W1407&lt;=60, "41- R$60",W1407&lt;=80, "61 - R$80", W1407&lt;=100, "81 - R$100",W1407&lt;=120, "101 - R$120",W1407&lt;=140, "121 - R$140", W1407&lt;=160, "141- R$160", W1407&lt;=180, "161 - R$180", W1407&lt;=200, "181-R$194")</f>
        <v>até R$20</v>
      </c>
      <c r="Y1407" s="17">
        <v>38</v>
      </c>
      <c r="Z1407" s="17">
        <v>3</v>
      </c>
      <c r="AA1407" s="17">
        <v>6</v>
      </c>
      <c r="AB1407" s="17">
        <v>41</v>
      </c>
      <c r="AC1407" s="17">
        <v>2</v>
      </c>
      <c r="AD1407" s="17">
        <v>2</v>
      </c>
      <c r="AE1407" s="17">
        <v>2</v>
      </c>
      <c r="AF1407" s="17">
        <v>3</v>
      </c>
      <c r="AG1407" s="17">
        <v>7</v>
      </c>
      <c r="AH1407" s="17">
        <v>0</v>
      </c>
      <c r="AI1407" s="17">
        <v>0</v>
      </c>
      <c r="AJ1407" s="17">
        <v>0</v>
      </c>
      <c r="AK1407" s="17">
        <v>0</v>
      </c>
      <c r="AL1407" s="17">
        <v>0</v>
      </c>
      <c r="AM1407" s="17">
        <v>0</v>
      </c>
      <c r="AN1407" s="17">
        <v>0</v>
      </c>
      <c r="AO1407" s="18">
        <v>0</v>
      </c>
      <c r="AP1407" s="17">
        <v>3</v>
      </c>
      <c r="AQ1407" s="17">
        <v>11</v>
      </c>
      <c r="AR1407" s="19">
        <v>80</v>
      </c>
      <c r="AS1407" s="19">
        <v>121</v>
      </c>
    </row>
    <row r="1408" spans="1:45" x14ac:dyDescent="0.25">
      <c r="A1408">
        <v>537</v>
      </c>
      <c r="B1408" s="11">
        <f t="shared" si="21"/>
        <v>22419</v>
      </c>
      <c r="C1408" s="16">
        <v>224190</v>
      </c>
      <c r="D1408" s="17">
        <v>0</v>
      </c>
      <c r="E1408" s="17">
        <v>0</v>
      </c>
      <c r="F1408" s="17">
        <v>74</v>
      </c>
      <c r="G1408" s="17">
        <v>57</v>
      </c>
      <c r="H1408" s="13" t="str" cm="1">
        <f t="array" ref="H1408">_xlfn.IFS(G1408&lt;=20,"0-20",G1408&lt;=30,"20-30",G1408&lt;=40,"30-40",G1408&lt;=50,"50-60",G1408&lt;=60,"60-70",G1408&lt;=70,"70-80",G1408&lt;=80,"80-90")</f>
        <v>60-70</v>
      </c>
      <c r="I1408" s="17">
        <v>2596</v>
      </c>
      <c r="J1408" s="13" t="str" cm="1">
        <f t="array" ref="J1408">_xlfn.IFS(K1408=1,"Divorciado",L1408=1,"Casado",M1408=1,"Solteiro",N1408=1,"Juntos",O1408=1,"Viuvo")</f>
        <v>Casado</v>
      </c>
      <c r="K1408" s="17">
        <v>0</v>
      </c>
      <c r="L1408" s="17">
        <v>1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1</v>
      </c>
      <c r="S1408" s="17">
        <v>0</v>
      </c>
      <c r="T1408" s="17">
        <v>0</v>
      </c>
      <c r="U1408" s="17">
        <v>30</v>
      </c>
      <c r="V1408" s="13" t="str" cm="1">
        <f t="array" ref="V1408">_xlfn.IFS(U1408&lt;=250,"0-R$250",U1408&lt;=500,"251-R$500",U1408&lt;=750,"501-R$750",U1408&lt;=1000,"751-R$1000",U1408&lt;=1250,"1001-R$1250",U1408&lt;=1500,"1251-R$1500")</f>
        <v>0-R$250</v>
      </c>
      <c r="W1408" s="17">
        <v>3</v>
      </c>
      <c r="X1408" s="13" t="str" cm="1">
        <f t="array" ref="X1408">_xlfn.IFS(W1408 = 0, "0", W1408&lt;=20, "até R$20",W1408&lt;=40, "21 - R$40",W1408&lt;=60, "41- R$60",W1408&lt;=80, "61 - R$80", W1408&lt;=100, "81 - R$100",W1408&lt;=120, "101 - R$120",W1408&lt;=140, "121 - R$140", W1408&lt;=160, "141- R$160", W1408&lt;=180, "161 - R$180", W1408&lt;=200, "181-R$194")</f>
        <v>até R$20</v>
      </c>
      <c r="Y1408" s="17">
        <v>47</v>
      </c>
      <c r="Z1408" s="17">
        <v>19</v>
      </c>
      <c r="AA1408" s="17">
        <v>21</v>
      </c>
      <c r="AB1408" s="17">
        <v>42</v>
      </c>
      <c r="AC1408" s="17">
        <v>1</v>
      </c>
      <c r="AD1408" s="17">
        <v>3</v>
      </c>
      <c r="AE1408" s="17">
        <v>2</v>
      </c>
      <c r="AF1408" s="17">
        <v>2</v>
      </c>
      <c r="AG1408" s="17">
        <v>8</v>
      </c>
      <c r="AH1408" s="17">
        <v>0</v>
      </c>
      <c r="AI1408" s="17">
        <v>0</v>
      </c>
      <c r="AJ1408" s="17">
        <v>0</v>
      </c>
      <c r="AK1408" s="17">
        <v>0</v>
      </c>
      <c r="AL1408" s="17">
        <v>0</v>
      </c>
      <c r="AM1408" s="17">
        <v>0</v>
      </c>
      <c r="AN1408" s="17">
        <v>0</v>
      </c>
      <c r="AO1408" s="18">
        <v>0</v>
      </c>
      <c r="AP1408" s="17">
        <v>3</v>
      </c>
      <c r="AQ1408" s="17">
        <v>11</v>
      </c>
      <c r="AR1408" s="19">
        <v>78</v>
      </c>
      <c r="AS1408" s="19">
        <v>120</v>
      </c>
    </row>
    <row r="1409" spans="1:45" x14ac:dyDescent="0.25">
      <c r="A1409">
        <v>676</v>
      </c>
      <c r="B1409" s="11">
        <f t="shared" si="21"/>
        <v>61923</v>
      </c>
      <c r="C1409" s="12">
        <v>619230</v>
      </c>
      <c r="D1409" s="13">
        <v>0</v>
      </c>
      <c r="E1409" s="13">
        <v>2</v>
      </c>
      <c r="F1409" s="13">
        <v>94</v>
      </c>
      <c r="G1409" s="13">
        <v>59</v>
      </c>
      <c r="H1409" s="13" t="str" cm="1">
        <f t="array" ref="H1409">_xlfn.IFS(G1409&lt;=20,"0-20",G1409&lt;=30,"20-30",G1409&lt;=40,"30-40",G1409&lt;=50,"50-60",G1409&lt;=60,"60-70",G1409&lt;=70,"70-80",G1409&lt;=80,"80-90")</f>
        <v>60-70</v>
      </c>
      <c r="I1409" s="13">
        <v>2497</v>
      </c>
      <c r="J1409" s="13" t="str" cm="1">
        <f t="array" ref="J1409">_xlfn.IFS(K1409=1,"Divorciado",L1409=1,"Casado",M1409=1,"Solteiro",N1409=1,"Juntos",O1409=1,"Viuvo")</f>
        <v>Casado</v>
      </c>
      <c r="K1409" s="13">
        <v>0</v>
      </c>
      <c r="L1409" s="13">
        <v>1</v>
      </c>
      <c r="M1409" s="13">
        <v>0</v>
      </c>
      <c r="N1409" s="13">
        <v>0</v>
      </c>
      <c r="O1409" s="13">
        <v>0</v>
      </c>
      <c r="P1409" s="13">
        <v>0</v>
      </c>
      <c r="Q1409" s="13">
        <v>0</v>
      </c>
      <c r="R1409" s="13">
        <v>0</v>
      </c>
      <c r="S1409" s="13">
        <v>1</v>
      </c>
      <c r="T1409" s="13">
        <v>0</v>
      </c>
      <c r="U1409" s="13">
        <v>92</v>
      </c>
      <c r="V1409" s="13" t="str" cm="1">
        <f t="array" ref="V1409">_xlfn.IFS(U1409&lt;=250,"0-R$250",U1409&lt;=500,"251-R$500",U1409&lt;=750,"501-R$750",U1409&lt;=1000,"751-R$1000",U1409&lt;=1250,"1001-R$1250",U1409&lt;=1500,"1251-R$1500")</f>
        <v>0-R$250</v>
      </c>
      <c r="W1409" s="13">
        <v>4</v>
      </c>
      <c r="X1409" s="13" t="str" cm="1">
        <f t="array" ref="X1409">_xlfn.IFS(W1409 = 0, "0", W1409&lt;=20, "até R$20",W1409&lt;=40, "21 - R$40",W1409&lt;=60, "41- R$60",W1409&lt;=80, "61 - R$80", W1409&lt;=100, "81 - R$100",W1409&lt;=120, "101 - R$120",W1409&lt;=140, "121 - R$140", W1409&lt;=160, "141- R$160", W1409&lt;=180, "161 - R$180", W1409&lt;=200, "181-R$194")</f>
        <v>até R$20</v>
      </c>
      <c r="Y1409" s="13">
        <v>18</v>
      </c>
      <c r="Z1409" s="13">
        <v>3</v>
      </c>
      <c r="AA1409" s="13">
        <v>3</v>
      </c>
      <c r="AB1409" s="13">
        <v>6</v>
      </c>
      <c r="AC1409" s="13">
        <v>1</v>
      </c>
      <c r="AD1409" s="13">
        <v>2</v>
      </c>
      <c r="AE1409" s="13">
        <v>1</v>
      </c>
      <c r="AF1409" s="13">
        <v>4</v>
      </c>
      <c r="AG1409" s="13">
        <v>3</v>
      </c>
      <c r="AH1409" s="13">
        <v>0</v>
      </c>
      <c r="AI1409" s="13">
        <v>0</v>
      </c>
      <c r="AJ1409" s="13">
        <v>0</v>
      </c>
      <c r="AK1409" s="13">
        <v>0</v>
      </c>
      <c r="AL1409" s="13">
        <v>0</v>
      </c>
      <c r="AM1409" s="13">
        <v>0</v>
      </c>
      <c r="AN1409" s="13">
        <v>0</v>
      </c>
      <c r="AO1409" s="14">
        <v>0</v>
      </c>
      <c r="AP1409" s="13">
        <v>3</v>
      </c>
      <c r="AQ1409" s="13">
        <v>11</v>
      </c>
      <c r="AR1409" s="15">
        <v>114</v>
      </c>
      <c r="AS1409" s="15">
        <v>120</v>
      </c>
    </row>
    <row r="1410" spans="1:45" x14ac:dyDescent="0.25">
      <c r="A1410">
        <v>804</v>
      </c>
      <c r="B1410" s="11">
        <f t="shared" ref="B1410:B1473" si="22">C1410/10</f>
        <v>22419</v>
      </c>
      <c r="C1410" s="12">
        <v>224190</v>
      </c>
      <c r="D1410" s="13">
        <v>0</v>
      </c>
      <c r="E1410" s="13">
        <v>0</v>
      </c>
      <c r="F1410" s="13">
        <v>74</v>
      </c>
      <c r="G1410" s="13">
        <v>57</v>
      </c>
      <c r="H1410" s="13" t="str" cm="1">
        <f t="array" ref="H1410">_xlfn.IFS(G1410&lt;=20,"0-20",G1410&lt;=30,"20-30",G1410&lt;=40,"30-40",G1410&lt;=50,"50-60",G1410&lt;=60,"60-70",G1410&lt;=70,"70-80",G1410&lt;=80,"80-90")</f>
        <v>60-70</v>
      </c>
      <c r="I1410" s="13">
        <v>2596</v>
      </c>
      <c r="J1410" s="13" t="str" cm="1">
        <f t="array" ref="J1410">_xlfn.IFS(K1410=1,"Divorciado",L1410=1,"Casado",M1410=1,"Solteiro",N1410=1,"Juntos",O1410=1,"Viuvo")</f>
        <v>Casado</v>
      </c>
      <c r="K1410" s="13">
        <v>0</v>
      </c>
      <c r="L1410" s="13">
        <v>1</v>
      </c>
      <c r="M1410" s="13">
        <v>0</v>
      </c>
      <c r="N1410" s="13">
        <v>0</v>
      </c>
      <c r="O1410" s="13">
        <v>0</v>
      </c>
      <c r="P1410" s="13">
        <v>0</v>
      </c>
      <c r="Q1410" s="13">
        <v>0</v>
      </c>
      <c r="R1410" s="13">
        <v>1</v>
      </c>
      <c r="S1410" s="13">
        <v>0</v>
      </c>
      <c r="T1410" s="13">
        <v>0</v>
      </c>
      <c r="U1410" s="13">
        <v>30</v>
      </c>
      <c r="V1410" s="13" t="str" cm="1">
        <f t="array" ref="V1410">_xlfn.IFS(U1410&lt;=250,"0-R$250",U1410&lt;=500,"251-R$500",U1410&lt;=750,"501-R$750",U1410&lt;=1000,"751-R$1000",U1410&lt;=1250,"1001-R$1250",U1410&lt;=1500,"1251-R$1500")</f>
        <v>0-R$250</v>
      </c>
      <c r="W1410" s="13">
        <v>3</v>
      </c>
      <c r="X1410" s="13" t="str" cm="1">
        <f t="array" ref="X1410">_xlfn.IFS(W1410 = 0, "0", W1410&lt;=20, "até R$20",W1410&lt;=40, "21 - R$40",W1410&lt;=60, "41- R$60",W1410&lt;=80, "61 - R$80", W1410&lt;=100, "81 - R$100",W1410&lt;=120, "101 - R$120",W1410&lt;=140, "121 - R$140", W1410&lt;=160, "141- R$160", W1410&lt;=180, "161 - R$180", W1410&lt;=200, "181-R$194")</f>
        <v>até R$20</v>
      </c>
      <c r="Y1410" s="13">
        <v>47</v>
      </c>
      <c r="Z1410" s="13">
        <v>19</v>
      </c>
      <c r="AA1410" s="13">
        <v>21</v>
      </c>
      <c r="AB1410" s="13">
        <v>42</v>
      </c>
      <c r="AC1410" s="13">
        <v>1</v>
      </c>
      <c r="AD1410" s="13">
        <v>3</v>
      </c>
      <c r="AE1410" s="13">
        <v>2</v>
      </c>
      <c r="AF1410" s="13">
        <v>2</v>
      </c>
      <c r="AG1410" s="13">
        <v>8</v>
      </c>
      <c r="AH1410" s="13">
        <v>0</v>
      </c>
      <c r="AI1410" s="13">
        <v>0</v>
      </c>
      <c r="AJ1410" s="13">
        <v>0</v>
      </c>
      <c r="AK1410" s="13">
        <v>0</v>
      </c>
      <c r="AL1410" s="13">
        <v>0</v>
      </c>
      <c r="AM1410" s="13">
        <v>0</v>
      </c>
      <c r="AN1410" s="13">
        <v>0</v>
      </c>
      <c r="AO1410" s="14">
        <v>0</v>
      </c>
      <c r="AP1410" s="13">
        <v>3</v>
      </c>
      <c r="AQ1410" s="13">
        <v>11</v>
      </c>
      <c r="AR1410" s="15">
        <v>78</v>
      </c>
      <c r="AS1410" s="15">
        <v>120</v>
      </c>
    </row>
    <row r="1411" spans="1:45" x14ac:dyDescent="0.25">
      <c r="A1411">
        <v>858</v>
      </c>
      <c r="B1411" s="11">
        <f t="shared" si="22"/>
        <v>39922</v>
      </c>
      <c r="C1411" s="12">
        <v>399220</v>
      </c>
      <c r="D1411" s="13">
        <v>1</v>
      </c>
      <c r="E1411" s="13">
        <v>0</v>
      </c>
      <c r="F1411" s="13">
        <v>30</v>
      </c>
      <c r="G1411" s="13">
        <v>37</v>
      </c>
      <c r="H1411" s="13" t="str" cm="1">
        <f t="array" ref="H1411">_xlfn.IFS(G1411&lt;=20,"0-20",G1411&lt;=30,"20-30",G1411&lt;=40,"30-40",G1411&lt;=50,"50-60",G1411&lt;=60,"60-70",G1411&lt;=70,"70-80",G1411&lt;=80,"80-90")</f>
        <v>30-40</v>
      </c>
      <c r="I1411" s="13">
        <v>2659</v>
      </c>
      <c r="J1411" s="13" t="str" cm="1">
        <f t="array" ref="J1411">_xlfn.IFS(K1411=1,"Divorciado",L1411=1,"Casado",M1411=1,"Solteiro",N1411=1,"Juntos",O1411=1,"Viuvo")</f>
        <v>Casado</v>
      </c>
      <c r="K1411" s="13">
        <v>0</v>
      </c>
      <c r="L1411" s="13">
        <v>1</v>
      </c>
      <c r="M1411" s="13">
        <v>0</v>
      </c>
      <c r="N1411" s="13">
        <v>0</v>
      </c>
      <c r="O1411" s="13">
        <v>0</v>
      </c>
      <c r="P1411" s="13">
        <v>0</v>
      </c>
      <c r="Q1411" s="13">
        <v>0</v>
      </c>
      <c r="R1411" s="13">
        <v>1</v>
      </c>
      <c r="S1411" s="13">
        <v>0</v>
      </c>
      <c r="T1411" s="13">
        <v>0</v>
      </c>
      <c r="U1411" s="13">
        <v>29</v>
      </c>
      <c r="V1411" s="13" t="str" cm="1">
        <f t="array" ref="V1411">_xlfn.IFS(U1411&lt;=250,"0-R$250",U1411&lt;=500,"251-R$500",U1411&lt;=750,"501-R$750",U1411&lt;=1000,"751-R$1000",U1411&lt;=1250,"1001-R$1250",U1411&lt;=1500,"1251-R$1500")</f>
        <v>0-R$250</v>
      </c>
      <c r="W1411" s="13">
        <v>12</v>
      </c>
      <c r="X1411" s="13" t="str" cm="1">
        <f t="array" ref="X1411">_xlfn.IFS(W1411 = 0, "0", W1411&lt;=20, "até R$20",W1411&lt;=40, "21 - R$40",W1411&lt;=60, "41- R$60",W1411&lt;=80, "61 - R$80", W1411&lt;=100, "81 - R$100",W1411&lt;=120, "101 - R$120",W1411&lt;=140, "121 - R$140", W1411&lt;=160, "141- R$160", W1411&lt;=180, "161 - R$180", W1411&lt;=200, "181-R$194")</f>
        <v>até R$20</v>
      </c>
      <c r="Y1411" s="13">
        <v>59</v>
      </c>
      <c r="Z1411" s="13">
        <v>19</v>
      </c>
      <c r="AA1411" s="13">
        <v>1</v>
      </c>
      <c r="AB1411" s="13">
        <v>36</v>
      </c>
      <c r="AC1411" s="13">
        <v>2</v>
      </c>
      <c r="AD1411" s="13">
        <v>3</v>
      </c>
      <c r="AE1411" s="13">
        <v>0</v>
      </c>
      <c r="AF1411" s="13">
        <v>4</v>
      </c>
      <c r="AG1411" s="13">
        <v>8</v>
      </c>
      <c r="AH1411" s="13">
        <v>0</v>
      </c>
      <c r="AI1411" s="13">
        <v>0</v>
      </c>
      <c r="AJ1411" s="13">
        <v>0</v>
      </c>
      <c r="AK1411" s="13">
        <v>0</v>
      </c>
      <c r="AL1411" s="13">
        <v>0</v>
      </c>
      <c r="AM1411" s="13">
        <v>0</v>
      </c>
      <c r="AN1411" s="13">
        <v>0</v>
      </c>
      <c r="AO1411" s="14">
        <v>0</v>
      </c>
      <c r="AP1411" s="13">
        <v>3</v>
      </c>
      <c r="AQ1411" s="13">
        <v>11</v>
      </c>
      <c r="AR1411" s="15">
        <v>84</v>
      </c>
      <c r="AS1411" s="15">
        <v>120</v>
      </c>
    </row>
    <row r="1412" spans="1:45" x14ac:dyDescent="0.25">
      <c r="A1412">
        <v>1190</v>
      </c>
      <c r="B1412" s="11">
        <f t="shared" si="22"/>
        <v>36317</v>
      </c>
      <c r="C1412" s="12">
        <v>363170</v>
      </c>
      <c r="D1412" s="13">
        <v>0</v>
      </c>
      <c r="E1412" s="13">
        <v>1</v>
      </c>
      <c r="F1412" s="13">
        <v>53</v>
      </c>
      <c r="G1412" s="13">
        <v>55</v>
      </c>
      <c r="H1412" s="13" t="str" cm="1">
        <f t="array" ref="H1412">_xlfn.IFS(G1412&lt;=20,"0-20",G1412&lt;=30,"20-30",G1412&lt;=40,"30-40",G1412&lt;=50,"50-60",G1412&lt;=60,"60-70",G1412&lt;=70,"70-80",G1412&lt;=80,"80-90")</f>
        <v>60-70</v>
      </c>
      <c r="I1412" s="13">
        <v>2562</v>
      </c>
      <c r="J1412" s="13" t="str" cm="1">
        <f t="array" ref="J1412">_xlfn.IFS(K1412=1,"Divorciado",L1412=1,"Casado",M1412=1,"Solteiro",N1412=1,"Juntos",O1412=1,"Viuvo")</f>
        <v>Juntos</v>
      </c>
      <c r="K1412" s="13">
        <v>0</v>
      </c>
      <c r="L1412" s="13">
        <v>0</v>
      </c>
      <c r="M1412" s="13">
        <v>0</v>
      </c>
      <c r="N1412" s="13">
        <v>1</v>
      </c>
      <c r="O1412" s="13">
        <v>0</v>
      </c>
      <c r="P1412" s="13">
        <v>0</v>
      </c>
      <c r="Q1412" s="13">
        <v>0</v>
      </c>
      <c r="R1412" s="13">
        <v>1</v>
      </c>
      <c r="S1412" s="13">
        <v>0</v>
      </c>
      <c r="T1412" s="13">
        <v>0</v>
      </c>
      <c r="U1412" s="13">
        <v>87</v>
      </c>
      <c r="V1412" s="13" t="str" cm="1">
        <f t="array" ref="V1412">_xlfn.IFS(U1412&lt;=250,"0-R$250",U1412&lt;=500,"251-R$500",U1412&lt;=750,"501-R$750",U1412&lt;=1000,"751-R$1000",U1412&lt;=1250,"1001-R$1250",U1412&lt;=1500,"1251-R$1500")</f>
        <v>0-R$250</v>
      </c>
      <c r="W1412" s="13">
        <v>3</v>
      </c>
      <c r="X1412" s="13" t="str" cm="1">
        <f t="array" ref="X1412">_xlfn.IFS(W1412 = 0, "0", W1412&lt;=20, "até R$20",W1412&lt;=40, "21 - R$40",W1412&lt;=60, "41- R$60",W1412&lt;=80, "61 - R$80", W1412&lt;=100, "81 - R$100",W1412&lt;=120, "101 - R$120",W1412&lt;=140, "121 - R$140", W1412&lt;=160, "141- R$160", W1412&lt;=180, "161 - R$180", W1412&lt;=200, "181-R$194")</f>
        <v>até R$20</v>
      </c>
      <c r="Y1412" s="13">
        <v>25</v>
      </c>
      <c r="Z1412" s="13">
        <v>3</v>
      </c>
      <c r="AA1412" s="13">
        <v>2</v>
      </c>
      <c r="AB1412" s="13">
        <v>13</v>
      </c>
      <c r="AC1412" s="13">
        <v>2</v>
      </c>
      <c r="AD1412" s="13">
        <v>3</v>
      </c>
      <c r="AE1412" s="13">
        <v>0</v>
      </c>
      <c r="AF1412" s="13">
        <v>4</v>
      </c>
      <c r="AG1412" s="13">
        <v>7</v>
      </c>
      <c r="AH1412" s="13">
        <v>0</v>
      </c>
      <c r="AI1412" s="13">
        <v>0</v>
      </c>
      <c r="AJ1412" s="13">
        <v>0</v>
      </c>
      <c r="AK1412" s="13">
        <v>0</v>
      </c>
      <c r="AL1412" s="13">
        <v>0</v>
      </c>
      <c r="AM1412" s="13">
        <v>0</v>
      </c>
      <c r="AN1412" s="13">
        <v>0</v>
      </c>
      <c r="AO1412" s="14">
        <v>0</v>
      </c>
      <c r="AP1412" s="13">
        <v>3</v>
      </c>
      <c r="AQ1412" s="13">
        <v>11</v>
      </c>
      <c r="AR1412" s="15">
        <v>107</v>
      </c>
      <c r="AS1412" s="15">
        <v>120</v>
      </c>
    </row>
    <row r="1413" spans="1:45" x14ac:dyDescent="0.25">
      <c r="A1413">
        <v>1196</v>
      </c>
      <c r="B1413" s="11">
        <f t="shared" si="22"/>
        <v>42160</v>
      </c>
      <c r="C1413" s="12">
        <v>421600</v>
      </c>
      <c r="D1413" s="13">
        <v>1</v>
      </c>
      <c r="E1413" s="13">
        <v>1</v>
      </c>
      <c r="F1413" s="13">
        <v>26</v>
      </c>
      <c r="G1413" s="13">
        <v>45</v>
      </c>
      <c r="H1413" s="13" t="str" cm="1">
        <f t="array" ref="H1413">_xlfn.IFS(G1413&lt;=20,"0-20",G1413&lt;=30,"20-30",G1413&lt;=40,"30-40",G1413&lt;=50,"50-60",G1413&lt;=60,"60-70",G1413&lt;=70,"70-80",G1413&lt;=80,"80-90")</f>
        <v>50-60</v>
      </c>
      <c r="I1413" s="13">
        <v>2525</v>
      </c>
      <c r="J1413" s="13" t="str" cm="1">
        <f t="array" ref="J1413">_xlfn.IFS(K1413=1,"Divorciado",L1413=1,"Casado",M1413=1,"Solteiro",N1413=1,"Juntos",O1413=1,"Viuvo")</f>
        <v>Solteiro</v>
      </c>
      <c r="K1413" s="13">
        <v>0</v>
      </c>
      <c r="L1413" s="13">
        <v>0</v>
      </c>
      <c r="M1413" s="13">
        <v>1</v>
      </c>
      <c r="N1413" s="13">
        <v>0</v>
      </c>
      <c r="O1413" s="13">
        <v>0</v>
      </c>
      <c r="P1413" s="13">
        <v>0</v>
      </c>
      <c r="Q1413" s="13">
        <v>0</v>
      </c>
      <c r="R1413" s="13">
        <v>1</v>
      </c>
      <c r="S1413" s="13">
        <v>0</v>
      </c>
      <c r="T1413" s="13">
        <v>0</v>
      </c>
      <c r="U1413" s="13">
        <v>48</v>
      </c>
      <c r="V1413" s="13" t="str" cm="1">
        <f t="array" ref="V1413">_xlfn.IFS(U1413&lt;=250,"0-R$250",U1413&lt;=500,"251-R$500",U1413&lt;=750,"501-R$750",U1413&lt;=1000,"751-R$1000",U1413&lt;=1250,"1001-R$1250",U1413&lt;=1500,"1251-R$1500")</f>
        <v>0-R$250</v>
      </c>
      <c r="W1413" s="13">
        <v>9</v>
      </c>
      <c r="X1413" s="13" t="str" cm="1">
        <f t="array" ref="X1413">_xlfn.IFS(W1413 = 0, "0", W1413&lt;=20, "até R$20",W1413&lt;=40, "21 - R$40",W1413&lt;=60, "41- R$60",W1413&lt;=80, "61 - R$80", W1413&lt;=100, "81 - R$100",W1413&lt;=120, "101 - R$120",W1413&lt;=140, "121 - R$140", W1413&lt;=160, "141- R$160", W1413&lt;=180, "161 - R$180", W1413&lt;=200, "181-R$194")</f>
        <v>até R$20</v>
      </c>
      <c r="Y1413" s="13">
        <v>45</v>
      </c>
      <c r="Z1413" s="13">
        <v>3</v>
      </c>
      <c r="AA1413" s="13">
        <v>15</v>
      </c>
      <c r="AB1413" s="13">
        <v>20</v>
      </c>
      <c r="AC1413" s="13">
        <v>4</v>
      </c>
      <c r="AD1413" s="13">
        <v>2</v>
      </c>
      <c r="AE1413" s="13">
        <v>1</v>
      </c>
      <c r="AF1413" s="13">
        <v>4</v>
      </c>
      <c r="AG1413" s="13">
        <v>6</v>
      </c>
      <c r="AH1413" s="13">
        <v>0</v>
      </c>
      <c r="AI1413" s="13">
        <v>0</v>
      </c>
      <c r="AJ1413" s="13">
        <v>0</v>
      </c>
      <c r="AK1413" s="13">
        <v>0</v>
      </c>
      <c r="AL1413" s="13">
        <v>0</v>
      </c>
      <c r="AM1413" s="13">
        <v>0</v>
      </c>
      <c r="AN1413" s="13">
        <v>1</v>
      </c>
      <c r="AO1413" s="14">
        <v>0</v>
      </c>
      <c r="AP1413" s="13">
        <v>3</v>
      </c>
      <c r="AQ1413" s="13">
        <v>11</v>
      </c>
      <c r="AR1413" s="15">
        <v>100</v>
      </c>
      <c r="AS1413" s="15">
        <v>120</v>
      </c>
    </row>
    <row r="1414" spans="1:45" x14ac:dyDescent="0.25">
      <c r="A1414">
        <v>1415</v>
      </c>
      <c r="B1414" s="11">
        <f t="shared" si="22"/>
        <v>39922</v>
      </c>
      <c r="C1414" s="16">
        <v>399220</v>
      </c>
      <c r="D1414" s="17">
        <v>1</v>
      </c>
      <c r="E1414" s="17">
        <v>0</v>
      </c>
      <c r="F1414" s="17">
        <v>30</v>
      </c>
      <c r="G1414" s="17">
        <v>37</v>
      </c>
      <c r="H1414" s="13" t="str" cm="1">
        <f t="array" ref="H1414">_xlfn.IFS(G1414&lt;=20,"0-20",G1414&lt;=30,"20-30",G1414&lt;=40,"30-40",G1414&lt;=50,"50-60",G1414&lt;=60,"60-70",G1414&lt;=70,"70-80",G1414&lt;=80,"80-90")</f>
        <v>30-40</v>
      </c>
      <c r="I1414" s="17">
        <v>2659</v>
      </c>
      <c r="J1414" s="13" t="str" cm="1">
        <f t="array" ref="J1414">_xlfn.IFS(K1414=1,"Divorciado",L1414=1,"Casado",M1414=1,"Solteiro",N1414=1,"Juntos",O1414=1,"Viuvo")</f>
        <v>Casado</v>
      </c>
      <c r="K1414" s="17">
        <v>0</v>
      </c>
      <c r="L1414" s="17">
        <v>1</v>
      </c>
      <c r="M1414" s="17">
        <v>0</v>
      </c>
      <c r="N1414" s="17">
        <v>0</v>
      </c>
      <c r="O1414" s="17">
        <v>0</v>
      </c>
      <c r="P1414" s="17">
        <v>0</v>
      </c>
      <c r="Q1414" s="17">
        <v>0</v>
      </c>
      <c r="R1414" s="17">
        <v>1</v>
      </c>
      <c r="S1414" s="17">
        <v>0</v>
      </c>
      <c r="T1414" s="17">
        <v>0</v>
      </c>
      <c r="U1414" s="17">
        <v>29</v>
      </c>
      <c r="V1414" s="13" t="str" cm="1">
        <f t="array" ref="V1414">_xlfn.IFS(U1414&lt;=250,"0-R$250",U1414&lt;=500,"251-R$500",U1414&lt;=750,"501-R$750",U1414&lt;=1000,"751-R$1000",U1414&lt;=1250,"1001-R$1250",U1414&lt;=1500,"1251-R$1500")</f>
        <v>0-R$250</v>
      </c>
      <c r="W1414" s="17">
        <v>12</v>
      </c>
      <c r="X1414" s="13" t="str" cm="1">
        <f t="array" ref="X1414">_xlfn.IFS(W1414 = 0, "0", W1414&lt;=20, "até R$20",W1414&lt;=40, "21 - R$40",W1414&lt;=60, "41- R$60",W1414&lt;=80, "61 - R$80", W1414&lt;=100, "81 - R$100",W1414&lt;=120, "101 - R$120",W1414&lt;=140, "121 - R$140", W1414&lt;=160, "141- R$160", W1414&lt;=180, "161 - R$180", W1414&lt;=200, "181-R$194")</f>
        <v>até R$20</v>
      </c>
      <c r="Y1414" s="17">
        <v>59</v>
      </c>
      <c r="Z1414" s="17">
        <v>19</v>
      </c>
      <c r="AA1414" s="17">
        <v>1</v>
      </c>
      <c r="AB1414" s="17">
        <v>36</v>
      </c>
      <c r="AC1414" s="17">
        <v>2</v>
      </c>
      <c r="AD1414" s="17">
        <v>3</v>
      </c>
      <c r="AE1414" s="17">
        <v>0</v>
      </c>
      <c r="AF1414" s="17">
        <v>4</v>
      </c>
      <c r="AG1414" s="17">
        <v>8</v>
      </c>
      <c r="AH1414" s="17">
        <v>0</v>
      </c>
      <c r="AI1414" s="17">
        <v>0</v>
      </c>
      <c r="AJ1414" s="17">
        <v>0</v>
      </c>
      <c r="AK1414" s="17">
        <v>0</v>
      </c>
      <c r="AL1414" s="17">
        <v>0</v>
      </c>
      <c r="AM1414" s="17">
        <v>0</v>
      </c>
      <c r="AN1414" s="17">
        <v>0</v>
      </c>
      <c r="AO1414" s="18">
        <v>0</v>
      </c>
      <c r="AP1414" s="17">
        <v>3</v>
      </c>
      <c r="AQ1414" s="17">
        <v>11</v>
      </c>
      <c r="AR1414" s="19">
        <v>84</v>
      </c>
      <c r="AS1414" s="19">
        <v>120</v>
      </c>
    </row>
    <row r="1415" spans="1:45" x14ac:dyDescent="0.25">
      <c r="A1415">
        <v>1536</v>
      </c>
      <c r="B1415" s="11">
        <f t="shared" si="22"/>
        <v>39922</v>
      </c>
      <c r="C1415" s="12">
        <v>399220</v>
      </c>
      <c r="D1415" s="13">
        <v>1</v>
      </c>
      <c r="E1415" s="13">
        <v>0</v>
      </c>
      <c r="F1415" s="13">
        <v>30</v>
      </c>
      <c r="G1415" s="13">
        <v>37</v>
      </c>
      <c r="H1415" s="13" t="str" cm="1">
        <f t="array" ref="H1415">_xlfn.IFS(G1415&lt;=20,"0-20",G1415&lt;=30,"20-30",G1415&lt;=40,"30-40",G1415&lt;=50,"50-60",G1415&lt;=60,"60-70",G1415&lt;=70,"70-80",G1415&lt;=80,"80-90")</f>
        <v>30-40</v>
      </c>
      <c r="I1415" s="13">
        <v>2659</v>
      </c>
      <c r="J1415" s="13" t="str" cm="1">
        <f t="array" ref="J1415">_xlfn.IFS(K1415=1,"Divorciado",L1415=1,"Casado",M1415=1,"Solteiro",N1415=1,"Juntos",O1415=1,"Viuvo")</f>
        <v>Casado</v>
      </c>
      <c r="K1415" s="13">
        <v>0</v>
      </c>
      <c r="L1415" s="13">
        <v>1</v>
      </c>
      <c r="M1415" s="13">
        <v>0</v>
      </c>
      <c r="N1415" s="13">
        <v>0</v>
      </c>
      <c r="O1415" s="13">
        <v>0</v>
      </c>
      <c r="P1415" s="13">
        <v>0</v>
      </c>
      <c r="Q1415" s="13">
        <v>0</v>
      </c>
      <c r="R1415" s="13">
        <v>1</v>
      </c>
      <c r="S1415" s="13">
        <v>0</v>
      </c>
      <c r="T1415" s="13">
        <v>0</v>
      </c>
      <c r="U1415" s="13">
        <v>29</v>
      </c>
      <c r="V1415" s="13" t="str" cm="1">
        <f t="array" ref="V1415">_xlfn.IFS(U1415&lt;=250,"0-R$250",U1415&lt;=500,"251-R$500",U1415&lt;=750,"501-R$750",U1415&lt;=1000,"751-R$1000",U1415&lt;=1250,"1001-R$1250",U1415&lt;=1500,"1251-R$1500")</f>
        <v>0-R$250</v>
      </c>
      <c r="W1415" s="13">
        <v>12</v>
      </c>
      <c r="X1415" s="13" t="str" cm="1">
        <f t="array" ref="X1415">_xlfn.IFS(W1415 = 0, "0", W1415&lt;=20, "até R$20",W1415&lt;=40, "21 - R$40",W1415&lt;=60, "41- R$60",W1415&lt;=80, "61 - R$80", W1415&lt;=100, "81 - R$100",W1415&lt;=120, "101 - R$120",W1415&lt;=140, "121 - R$140", W1415&lt;=160, "141- R$160", W1415&lt;=180, "161 - R$180", W1415&lt;=200, "181-R$194")</f>
        <v>até R$20</v>
      </c>
      <c r="Y1415" s="13">
        <v>59</v>
      </c>
      <c r="Z1415" s="13">
        <v>19</v>
      </c>
      <c r="AA1415" s="13">
        <v>1</v>
      </c>
      <c r="AB1415" s="13">
        <v>36</v>
      </c>
      <c r="AC1415" s="13">
        <v>2</v>
      </c>
      <c r="AD1415" s="13">
        <v>3</v>
      </c>
      <c r="AE1415" s="13">
        <v>0</v>
      </c>
      <c r="AF1415" s="13">
        <v>4</v>
      </c>
      <c r="AG1415" s="13">
        <v>8</v>
      </c>
      <c r="AH1415" s="13">
        <v>0</v>
      </c>
      <c r="AI1415" s="13">
        <v>0</v>
      </c>
      <c r="AJ1415" s="13">
        <v>0</v>
      </c>
      <c r="AK1415" s="13">
        <v>0</v>
      </c>
      <c r="AL1415" s="13">
        <v>0</v>
      </c>
      <c r="AM1415" s="13">
        <v>0</v>
      </c>
      <c r="AN1415" s="13">
        <v>0</v>
      </c>
      <c r="AO1415" s="14">
        <v>0</v>
      </c>
      <c r="AP1415" s="13">
        <v>3</v>
      </c>
      <c r="AQ1415" s="13">
        <v>11</v>
      </c>
      <c r="AR1415" s="15">
        <v>84</v>
      </c>
      <c r="AS1415" s="15">
        <v>120</v>
      </c>
    </row>
    <row r="1416" spans="1:45" x14ac:dyDescent="0.25">
      <c r="A1416">
        <v>1717</v>
      </c>
      <c r="B1416" s="11">
        <f t="shared" si="22"/>
        <v>45576</v>
      </c>
      <c r="C1416" s="16">
        <v>455760</v>
      </c>
      <c r="D1416" s="17">
        <v>0</v>
      </c>
      <c r="E1416" s="17">
        <v>0</v>
      </c>
      <c r="F1416" s="17">
        <v>9</v>
      </c>
      <c r="G1416" s="17">
        <v>75</v>
      </c>
      <c r="H1416" s="13" t="str" cm="1">
        <f t="array" ref="H1416">_xlfn.IFS(G1416&lt;=20,"0-20",G1416&lt;=30,"20-30",G1416&lt;=40,"30-40",G1416&lt;=50,"50-60",G1416&lt;=60,"60-70",G1416&lt;=70,"70-80",G1416&lt;=80,"80-90")</f>
        <v>80-90</v>
      </c>
      <c r="I1416" s="17">
        <v>2191</v>
      </c>
      <c r="J1416" s="13" t="str" cm="1">
        <f t="array" ref="J1416">_xlfn.IFS(K1416=1,"Divorciado",L1416=1,"Casado",M1416=1,"Solteiro",N1416=1,"Juntos",O1416=1,"Viuvo")</f>
        <v>Solteiro</v>
      </c>
      <c r="K1416" s="17">
        <v>0</v>
      </c>
      <c r="L1416" s="17">
        <v>0</v>
      </c>
      <c r="M1416" s="17">
        <v>1</v>
      </c>
      <c r="N1416" s="17">
        <v>0</v>
      </c>
      <c r="O1416" s="17">
        <v>0</v>
      </c>
      <c r="P1416" s="17">
        <v>0</v>
      </c>
      <c r="Q1416" s="17">
        <v>0</v>
      </c>
      <c r="R1416" s="17">
        <v>0</v>
      </c>
      <c r="S1416" s="17">
        <v>0</v>
      </c>
      <c r="T1416" s="17">
        <v>1</v>
      </c>
      <c r="U1416" s="17">
        <v>56</v>
      </c>
      <c r="V1416" s="13" t="str" cm="1">
        <f t="array" ref="V1416">_xlfn.IFS(U1416&lt;=250,"0-R$250",U1416&lt;=500,"251-R$500",U1416&lt;=750,"501-R$750",U1416&lt;=1000,"751-R$1000",U1416&lt;=1250,"1001-R$1250",U1416&lt;=1500,"1251-R$1500")</f>
        <v>0-R$250</v>
      </c>
      <c r="W1416" s="17">
        <v>19</v>
      </c>
      <c r="X1416" s="13" t="str" cm="1">
        <f t="array" ref="X1416">_xlfn.IFS(W1416 = 0, "0", W1416&lt;=20, "até R$20",W1416&lt;=40, "21 - R$40",W1416&lt;=60, "41- R$60",W1416&lt;=80, "61 - R$80", W1416&lt;=100, "81 - R$100",W1416&lt;=120, "101 - R$120",W1416&lt;=140, "121 - R$140", W1416&lt;=160, "141- R$160", W1416&lt;=180, "161 - R$180", W1416&lt;=200, "181-R$194")</f>
        <v>até R$20</v>
      </c>
      <c r="Y1416" s="17">
        <v>29</v>
      </c>
      <c r="Z1416" s="17">
        <v>2</v>
      </c>
      <c r="AA1416" s="17">
        <v>14</v>
      </c>
      <c r="AB1416" s="17">
        <v>25</v>
      </c>
      <c r="AC1416" s="17">
        <v>1</v>
      </c>
      <c r="AD1416" s="17">
        <v>3</v>
      </c>
      <c r="AE1416" s="17">
        <v>1</v>
      </c>
      <c r="AF1416" s="17">
        <v>3</v>
      </c>
      <c r="AG1416" s="17">
        <v>8</v>
      </c>
      <c r="AH1416" s="17">
        <v>0</v>
      </c>
      <c r="AI1416" s="17">
        <v>0</v>
      </c>
      <c r="AJ1416" s="17">
        <v>0</v>
      </c>
      <c r="AK1416" s="17">
        <v>0</v>
      </c>
      <c r="AL1416" s="17">
        <v>0</v>
      </c>
      <c r="AM1416" s="17">
        <v>0</v>
      </c>
      <c r="AN1416" s="17">
        <v>1</v>
      </c>
      <c r="AO1416" s="18">
        <v>0</v>
      </c>
      <c r="AP1416" s="17">
        <v>3</v>
      </c>
      <c r="AQ1416" s="17">
        <v>11</v>
      </c>
      <c r="AR1416" s="19">
        <v>95</v>
      </c>
      <c r="AS1416" s="19">
        <v>120</v>
      </c>
    </row>
    <row r="1417" spans="1:45" x14ac:dyDescent="0.25">
      <c r="A1417">
        <v>1939</v>
      </c>
      <c r="B1417" s="11">
        <f t="shared" si="22"/>
        <v>48877</v>
      </c>
      <c r="C1417" s="16">
        <v>488770</v>
      </c>
      <c r="D1417" s="17">
        <v>0</v>
      </c>
      <c r="E1417" s="17">
        <v>1</v>
      </c>
      <c r="F1417" s="17">
        <v>27</v>
      </c>
      <c r="G1417" s="17">
        <v>54</v>
      </c>
      <c r="H1417" s="13" t="str" cm="1">
        <f t="array" ref="H1417">_xlfn.IFS(G1417&lt;=20,"0-20",G1417&lt;=30,"20-30",G1417&lt;=40,"30-40",G1417&lt;=50,"50-60",G1417&lt;=60,"60-70",G1417&lt;=70,"70-80",G1417&lt;=80,"80-90")</f>
        <v>60-70</v>
      </c>
      <c r="I1417" s="17">
        <v>2334</v>
      </c>
      <c r="J1417" s="13" t="str" cm="1">
        <f t="array" ref="J1417">_xlfn.IFS(K1417=1,"Divorciado",L1417=1,"Casado",M1417=1,"Solteiro",N1417=1,"Juntos",O1417=1,"Viuvo")</f>
        <v>Divorciado</v>
      </c>
      <c r="K1417" s="17">
        <v>1</v>
      </c>
      <c r="L1417" s="17">
        <v>0</v>
      </c>
      <c r="M1417" s="17">
        <v>0</v>
      </c>
      <c r="N1417" s="17">
        <v>0</v>
      </c>
      <c r="O1417" s="17">
        <v>0</v>
      </c>
      <c r="P1417" s="17">
        <v>0</v>
      </c>
      <c r="Q1417" s="17">
        <v>0</v>
      </c>
      <c r="R1417" s="17">
        <v>1</v>
      </c>
      <c r="S1417" s="17">
        <v>0</v>
      </c>
      <c r="T1417" s="17">
        <v>0</v>
      </c>
      <c r="U1417" s="17">
        <v>102</v>
      </c>
      <c r="V1417" s="13" t="str" cm="1">
        <f t="array" ref="V1417">_xlfn.IFS(U1417&lt;=250,"0-R$250",U1417&lt;=500,"251-R$500",U1417&lt;=750,"501-R$750",U1417&lt;=1000,"751-R$1000",U1417&lt;=1250,"1001-R$1250",U1417&lt;=1500,"1251-R$1500")</f>
        <v>0-R$250</v>
      </c>
      <c r="W1417" s="17">
        <v>1</v>
      </c>
      <c r="X1417" s="13" t="str" cm="1">
        <f t="array" ref="X1417">_xlfn.IFS(W1417 = 0, "0", W1417&lt;=20, "até R$20",W1417&lt;=40, "21 - R$40",W1417&lt;=60, "41- R$60",W1417&lt;=80, "61 - R$80", W1417&lt;=100, "81 - R$100",W1417&lt;=120, "101 - R$120",W1417&lt;=140, "121 - R$140", W1417&lt;=160, "141- R$160", W1417&lt;=180, "161 - R$180", W1417&lt;=200, "181-R$194")</f>
        <v>até R$20</v>
      </c>
      <c r="Y1417" s="17">
        <v>15</v>
      </c>
      <c r="Z1417" s="17">
        <v>2</v>
      </c>
      <c r="AA1417" s="17">
        <v>0</v>
      </c>
      <c r="AB1417" s="17">
        <v>24</v>
      </c>
      <c r="AC1417" s="17">
        <v>1</v>
      </c>
      <c r="AD1417" s="17">
        <v>3</v>
      </c>
      <c r="AE1417" s="17">
        <v>0</v>
      </c>
      <c r="AF1417" s="17">
        <v>4</v>
      </c>
      <c r="AG1417" s="17">
        <v>7</v>
      </c>
      <c r="AH1417" s="17">
        <v>0</v>
      </c>
      <c r="AI1417" s="17">
        <v>0</v>
      </c>
      <c r="AJ1417" s="17">
        <v>0</v>
      </c>
      <c r="AK1417" s="17">
        <v>0</v>
      </c>
      <c r="AL1417" s="17">
        <v>0</v>
      </c>
      <c r="AM1417" s="17">
        <v>0</v>
      </c>
      <c r="AN1417" s="17">
        <v>0</v>
      </c>
      <c r="AO1417" s="18">
        <v>0</v>
      </c>
      <c r="AP1417" s="17">
        <v>3</v>
      </c>
      <c r="AQ1417" s="17">
        <v>11</v>
      </c>
      <c r="AR1417" s="19">
        <v>96</v>
      </c>
      <c r="AS1417" s="19">
        <v>120</v>
      </c>
    </row>
    <row r="1418" spans="1:45" x14ac:dyDescent="0.25">
      <c r="A1418">
        <v>139</v>
      </c>
      <c r="B1418" s="11">
        <f t="shared" si="22"/>
        <v>49605</v>
      </c>
      <c r="C1418" s="16">
        <v>496050</v>
      </c>
      <c r="D1418" s="17">
        <v>0</v>
      </c>
      <c r="E1418" s="17">
        <v>0</v>
      </c>
      <c r="F1418" s="17">
        <v>65</v>
      </c>
      <c r="G1418" s="17">
        <v>54</v>
      </c>
      <c r="H1418" s="13" t="str" cm="1">
        <f t="array" ref="H1418">_xlfn.IFS(G1418&lt;=20,"0-20",G1418&lt;=30,"20-30",G1418&lt;=40,"30-40",G1418&lt;=50,"50-60",G1418&lt;=60,"60-70",G1418&lt;=70,"70-80",G1418&lt;=80,"80-90")</f>
        <v>60-70</v>
      </c>
      <c r="I1418" s="17">
        <v>2167</v>
      </c>
      <c r="J1418" s="13" t="str" cm="1">
        <f t="array" ref="J1418">_xlfn.IFS(K1418=1,"Divorciado",L1418=1,"Casado",M1418=1,"Solteiro",N1418=1,"Juntos",O1418=1,"Viuvo")</f>
        <v>Casado</v>
      </c>
      <c r="K1418" s="17">
        <v>0</v>
      </c>
      <c r="L1418" s="17">
        <v>1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1</v>
      </c>
      <c r="T1418" s="17">
        <v>0</v>
      </c>
      <c r="U1418" s="17">
        <v>42</v>
      </c>
      <c r="V1418" s="13" t="str" cm="1">
        <f t="array" ref="V1418">_xlfn.IFS(U1418&lt;=250,"0-R$250",U1418&lt;=500,"251-R$500",U1418&lt;=750,"501-R$750",U1418&lt;=1000,"751-R$1000",U1418&lt;=1250,"1001-R$1250",U1418&lt;=1500,"1251-R$1500")</f>
        <v>0-R$250</v>
      </c>
      <c r="W1418" s="17">
        <v>16</v>
      </c>
      <c r="X1418" s="13" t="str" cm="1">
        <f t="array" ref="X1418">_xlfn.IFS(W1418 = 0, "0", W1418&lt;=20, "até R$20",W1418&lt;=40, "21 - R$40",W1418&lt;=60, "41- R$60",W1418&lt;=80, "61 - R$80", W1418&lt;=100, "81 - R$100",W1418&lt;=120, "101 - R$120",W1418&lt;=140, "121 - R$140", W1418&lt;=160, "141- R$160", W1418&lt;=180, "161 - R$180", W1418&lt;=200, "181-R$194")</f>
        <v>até R$20</v>
      </c>
      <c r="Y1418" s="17">
        <v>29</v>
      </c>
      <c r="Z1418" s="17">
        <v>12</v>
      </c>
      <c r="AA1418" s="17">
        <v>20</v>
      </c>
      <c r="AB1418" s="17">
        <v>8</v>
      </c>
      <c r="AC1418" s="17">
        <v>1</v>
      </c>
      <c r="AD1418" s="17">
        <v>2</v>
      </c>
      <c r="AE1418" s="17">
        <v>1</v>
      </c>
      <c r="AF1418" s="17">
        <v>4</v>
      </c>
      <c r="AG1418" s="17">
        <v>3</v>
      </c>
      <c r="AH1418" s="17">
        <v>0</v>
      </c>
      <c r="AI1418" s="17">
        <v>0</v>
      </c>
      <c r="AJ1418" s="17">
        <v>0</v>
      </c>
      <c r="AK1418" s="17">
        <v>0</v>
      </c>
      <c r="AL1418" s="17">
        <v>0</v>
      </c>
      <c r="AM1418" s="17">
        <v>0</v>
      </c>
      <c r="AN1418" s="17">
        <v>0</v>
      </c>
      <c r="AO1418" s="18">
        <v>0</v>
      </c>
      <c r="AP1418" s="17">
        <v>3</v>
      </c>
      <c r="AQ1418" s="17">
        <v>11</v>
      </c>
      <c r="AR1418" s="19">
        <v>111</v>
      </c>
      <c r="AS1418" s="19">
        <v>119</v>
      </c>
    </row>
    <row r="1419" spans="1:45" x14ac:dyDescent="0.25">
      <c r="A1419">
        <v>1000</v>
      </c>
      <c r="B1419" s="11">
        <f t="shared" si="22"/>
        <v>20180</v>
      </c>
      <c r="C1419" s="12">
        <v>201800</v>
      </c>
      <c r="D1419" s="13">
        <v>0</v>
      </c>
      <c r="E1419" s="13">
        <v>0</v>
      </c>
      <c r="F1419" s="13">
        <v>27</v>
      </c>
      <c r="G1419" s="13">
        <v>44</v>
      </c>
      <c r="H1419" s="13" t="str" cm="1">
        <f t="array" ref="H1419">_xlfn.IFS(G1419&lt;=20,"0-20",G1419&lt;=30,"20-30",G1419&lt;=40,"30-40",G1419&lt;=50,"50-60",G1419&lt;=60,"60-70",G1419&lt;=70,"70-80",G1419&lt;=80,"80-90")</f>
        <v>50-60</v>
      </c>
      <c r="I1419" s="13">
        <v>2653</v>
      </c>
      <c r="J1419" s="13" t="str" cm="1">
        <f t="array" ref="J1419">_xlfn.IFS(K1419=1,"Divorciado",L1419=1,"Casado",M1419=1,"Solteiro",N1419=1,"Juntos",O1419=1,"Viuvo")</f>
        <v>Solteiro</v>
      </c>
      <c r="K1419" s="13">
        <v>0</v>
      </c>
      <c r="L1419" s="13">
        <v>0</v>
      </c>
      <c r="M1419" s="13">
        <v>1</v>
      </c>
      <c r="N1419" s="13">
        <v>0</v>
      </c>
      <c r="O1419" s="13">
        <v>0</v>
      </c>
      <c r="P1419" s="13">
        <v>0</v>
      </c>
      <c r="Q1419" s="13">
        <v>0</v>
      </c>
      <c r="R1419" s="13">
        <v>1</v>
      </c>
      <c r="S1419" s="13">
        <v>0</v>
      </c>
      <c r="T1419" s="13">
        <v>0</v>
      </c>
      <c r="U1419" s="13">
        <v>18</v>
      </c>
      <c r="V1419" s="13" t="str" cm="1">
        <f t="array" ref="V1419">_xlfn.IFS(U1419&lt;=250,"0-R$250",U1419&lt;=500,"251-R$500",U1419&lt;=750,"501-R$750",U1419&lt;=1000,"751-R$1000",U1419&lt;=1250,"1001-R$1250",U1419&lt;=1500,"1251-R$1500")</f>
        <v>0-R$250</v>
      </c>
      <c r="W1419" s="13">
        <v>42</v>
      </c>
      <c r="X1419" s="13" t="str" cm="1">
        <f t="array" ref="X1419">_xlfn.IFS(W1419 = 0, "0", W1419&lt;=20, "até R$20",W1419&lt;=40, "21 - R$40",W1419&lt;=60, "41- R$60",W1419&lt;=80, "61 - R$80", W1419&lt;=100, "81 - R$100",W1419&lt;=120, "101 - R$120",W1419&lt;=140, "121 - R$140", W1419&lt;=160, "141- R$160", W1419&lt;=180, "161 - R$180", W1419&lt;=200, "181-R$194")</f>
        <v>41- R$60</v>
      </c>
      <c r="Y1419" s="13">
        <v>24</v>
      </c>
      <c r="Z1419" s="13">
        <v>15</v>
      </c>
      <c r="AA1419" s="13">
        <v>20</v>
      </c>
      <c r="AB1419" s="13">
        <v>18</v>
      </c>
      <c r="AC1419" s="13">
        <v>1</v>
      </c>
      <c r="AD1419" s="13">
        <v>2</v>
      </c>
      <c r="AE1419" s="13">
        <v>1</v>
      </c>
      <c r="AF1419" s="13">
        <v>4</v>
      </c>
      <c r="AG1419" s="13">
        <v>7</v>
      </c>
      <c r="AH1419" s="13">
        <v>0</v>
      </c>
      <c r="AI1419" s="13">
        <v>0</v>
      </c>
      <c r="AJ1419" s="13">
        <v>0</v>
      </c>
      <c r="AK1419" s="13">
        <v>0</v>
      </c>
      <c r="AL1419" s="13">
        <v>0</v>
      </c>
      <c r="AM1419" s="13">
        <v>0</v>
      </c>
      <c r="AN1419" s="13">
        <v>0</v>
      </c>
      <c r="AO1419" s="14">
        <v>0</v>
      </c>
      <c r="AP1419" s="13">
        <v>3</v>
      </c>
      <c r="AQ1419" s="13">
        <v>11</v>
      </c>
      <c r="AR1419" s="15">
        <v>101</v>
      </c>
      <c r="AS1419" s="15">
        <v>119</v>
      </c>
    </row>
    <row r="1420" spans="1:45" x14ac:dyDescent="0.25">
      <c r="A1420">
        <v>1026</v>
      </c>
      <c r="B1420" s="11">
        <f t="shared" si="22"/>
        <v>33168</v>
      </c>
      <c r="C1420" s="12">
        <v>331680</v>
      </c>
      <c r="D1420" s="13">
        <v>0</v>
      </c>
      <c r="E1420" s="13">
        <v>1</v>
      </c>
      <c r="F1420" s="13">
        <v>0</v>
      </c>
      <c r="G1420" s="13">
        <v>55</v>
      </c>
      <c r="H1420" s="13" t="str" cm="1">
        <f t="array" ref="H1420">_xlfn.IFS(G1420&lt;=20,"0-20",G1420&lt;=30,"20-30",G1420&lt;=40,"30-40",G1420&lt;=50,"50-60",G1420&lt;=60,"60-70",G1420&lt;=70,"70-80",G1420&lt;=80,"80-90")</f>
        <v>60-70</v>
      </c>
      <c r="I1420" s="13">
        <v>2783</v>
      </c>
      <c r="J1420" s="13" t="str" cm="1">
        <f t="array" ref="J1420">_xlfn.IFS(K1420=1,"Divorciado",L1420=1,"Casado",M1420=1,"Solteiro",N1420=1,"Juntos",O1420=1,"Viuvo")</f>
        <v>Solteiro</v>
      </c>
      <c r="K1420" s="13">
        <v>0</v>
      </c>
      <c r="L1420" s="13">
        <v>0</v>
      </c>
      <c r="M1420" s="13">
        <v>1</v>
      </c>
      <c r="N1420" s="13">
        <v>0</v>
      </c>
      <c r="O1420" s="13">
        <v>0</v>
      </c>
      <c r="P1420" s="13">
        <v>0</v>
      </c>
      <c r="Q1420" s="13">
        <v>0</v>
      </c>
      <c r="R1420" s="13">
        <v>0</v>
      </c>
      <c r="S1420" s="13">
        <v>1</v>
      </c>
      <c r="T1420" s="13">
        <v>0</v>
      </c>
      <c r="U1420" s="13">
        <v>80</v>
      </c>
      <c r="V1420" s="13" t="str" cm="1">
        <f t="array" ref="V1420">_xlfn.IFS(U1420&lt;=250,"0-R$250",U1420&lt;=500,"251-R$500",U1420&lt;=750,"501-R$750",U1420&lt;=1000,"751-R$1000",U1420&lt;=1250,"1001-R$1250",U1420&lt;=1500,"1251-R$1500")</f>
        <v>0-R$250</v>
      </c>
      <c r="W1420" s="13">
        <v>1</v>
      </c>
      <c r="X1420" s="13" t="str" cm="1">
        <f t="array" ref="X1420">_xlfn.IFS(W1420 = 0, "0", W1420&lt;=20, "até R$20",W1420&lt;=40, "21 - R$40",W1420&lt;=60, "41- R$60",W1420&lt;=80, "61 - R$80", W1420&lt;=100, "81 - R$100",W1420&lt;=120, "101 - R$120",W1420&lt;=140, "121 - R$140", W1420&lt;=160, "141- R$160", W1420&lt;=180, "161 - R$180", W1420&lt;=200, "181-R$194")</f>
        <v>até R$20</v>
      </c>
      <c r="Y1420" s="13">
        <v>37</v>
      </c>
      <c r="Z1420" s="13">
        <v>0</v>
      </c>
      <c r="AA1420" s="13">
        <v>1</v>
      </c>
      <c r="AB1420" s="13">
        <v>3</v>
      </c>
      <c r="AC1420" s="13">
        <v>3</v>
      </c>
      <c r="AD1420" s="13">
        <v>2</v>
      </c>
      <c r="AE1420" s="13">
        <v>1</v>
      </c>
      <c r="AF1420" s="13">
        <v>4</v>
      </c>
      <c r="AG1420" s="13">
        <v>7</v>
      </c>
      <c r="AH1420" s="13">
        <v>0</v>
      </c>
      <c r="AI1420" s="13">
        <v>0</v>
      </c>
      <c r="AJ1420" s="13">
        <v>0</v>
      </c>
      <c r="AK1420" s="13">
        <v>0</v>
      </c>
      <c r="AL1420" s="13">
        <v>0</v>
      </c>
      <c r="AM1420" s="13">
        <v>0</v>
      </c>
      <c r="AN1420" s="13">
        <v>0</v>
      </c>
      <c r="AO1420" s="14">
        <v>0</v>
      </c>
      <c r="AP1420" s="13">
        <v>3</v>
      </c>
      <c r="AQ1420" s="13">
        <v>11</v>
      </c>
      <c r="AR1420" s="15">
        <v>116</v>
      </c>
      <c r="AS1420" s="15">
        <v>119</v>
      </c>
    </row>
    <row r="1421" spans="1:45" x14ac:dyDescent="0.25">
      <c r="A1421">
        <v>1102</v>
      </c>
      <c r="B1421" s="11">
        <f t="shared" si="22"/>
        <v>31605</v>
      </c>
      <c r="C1421" s="12">
        <v>316050</v>
      </c>
      <c r="D1421" s="13">
        <v>1</v>
      </c>
      <c r="E1421" s="13">
        <v>0</v>
      </c>
      <c r="F1421" s="13">
        <v>15</v>
      </c>
      <c r="G1421" s="13">
        <v>41</v>
      </c>
      <c r="H1421" s="13" t="str" cm="1">
        <f t="array" ref="H1421">_xlfn.IFS(G1421&lt;=20,"0-20",G1421&lt;=30,"20-30",G1421&lt;=40,"30-40",G1421&lt;=50,"50-60",G1421&lt;=60,"60-70",G1421&lt;=70,"70-80",G1421&lt;=80,"80-90")</f>
        <v>50-60</v>
      </c>
      <c r="I1421" s="13">
        <v>2743</v>
      </c>
      <c r="J1421" s="13" t="str" cm="1">
        <f t="array" ref="J1421">_xlfn.IFS(K1421=1,"Divorciado",L1421=1,"Casado",M1421=1,"Solteiro",N1421=1,"Juntos",O1421=1,"Viuvo")</f>
        <v>Casado</v>
      </c>
      <c r="K1421" s="13">
        <v>0</v>
      </c>
      <c r="L1421" s="13">
        <v>1</v>
      </c>
      <c r="M1421" s="13">
        <v>0</v>
      </c>
      <c r="N1421" s="13">
        <v>0</v>
      </c>
      <c r="O1421" s="13">
        <v>0</v>
      </c>
      <c r="P1421" s="13">
        <v>0</v>
      </c>
      <c r="Q1421" s="13">
        <v>0</v>
      </c>
      <c r="R1421" s="13">
        <v>0</v>
      </c>
      <c r="S1421" s="13">
        <v>0</v>
      </c>
      <c r="T1421" s="13">
        <v>1</v>
      </c>
      <c r="U1421" s="13">
        <v>74</v>
      </c>
      <c r="V1421" s="13" t="str" cm="1">
        <f t="array" ref="V1421">_xlfn.IFS(U1421&lt;=250,"0-R$250",U1421&lt;=500,"251-R$500",U1421&lt;=750,"501-R$750",U1421&lt;=1000,"751-R$1000",U1421&lt;=1250,"1001-R$1250",U1421&lt;=1500,"1251-R$1500")</f>
        <v>0-R$250</v>
      </c>
      <c r="W1421" s="13">
        <v>0</v>
      </c>
      <c r="X1421" s="13" t="str" cm="1">
        <f t="array" ref="X1421">_xlfn.IFS(W1421 = 0, "0", W1421&lt;=20, "até R$20",W1421&lt;=40, "21 - R$40",W1421&lt;=60, "41- R$60",W1421&lt;=80, "61 - R$80", W1421&lt;=100, "81 - R$100",W1421&lt;=120, "101 - R$120",W1421&lt;=140, "121 - R$140", W1421&lt;=160, "141- R$160", W1421&lt;=180, "161 - R$180", W1421&lt;=200, "181-R$194")</f>
        <v>0</v>
      </c>
      <c r="Y1421" s="13">
        <v>42</v>
      </c>
      <c r="Z1421" s="13">
        <v>2</v>
      </c>
      <c r="AA1421" s="13">
        <v>1</v>
      </c>
      <c r="AB1421" s="13">
        <v>6</v>
      </c>
      <c r="AC1421" s="13">
        <v>2</v>
      </c>
      <c r="AD1421" s="13">
        <v>2</v>
      </c>
      <c r="AE1421" s="13">
        <v>1</v>
      </c>
      <c r="AF1421" s="13">
        <v>4</v>
      </c>
      <c r="AG1421" s="13">
        <v>7</v>
      </c>
      <c r="AH1421" s="13">
        <v>0</v>
      </c>
      <c r="AI1421" s="13">
        <v>0</v>
      </c>
      <c r="AJ1421" s="13">
        <v>0</v>
      </c>
      <c r="AK1421" s="13">
        <v>0</v>
      </c>
      <c r="AL1421" s="13">
        <v>0</v>
      </c>
      <c r="AM1421" s="13">
        <v>0</v>
      </c>
      <c r="AN1421" s="13">
        <v>0</v>
      </c>
      <c r="AO1421" s="14">
        <v>0</v>
      </c>
      <c r="AP1421" s="13">
        <v>3</v>
      </c>
      <c r="AQ1421" s="13">
        <v>11</v>
      </c>
      <c r="AR1421" s="15">
        <v>113</v>
      </c>
      <c r="AS1421" s="15">
        <v>119</v>
      </c>
    </row>
    <row r="1422" spans="1:45" x14ac:dyDescent="0.25">
      <c r="A1422">
        <v>1217</v>
      </c>
      <c r="B1422" s="11">
        <f t="shared" si="22"/>
        <v>55249</v>
      </c>
      <c r="C1422" s="16">
        <v>552490</v>
      </c>
      <c r="D1422" s="17">
        <v>0</v>
      </c>
      <c r="E1422" s="17">
        <v>1</v>
      </c>
      <c r="F1422" s="17">
        <v>81</v>
      </c>
      <c r="G1422" s="17">
        <v>64</v>
      </c>
      <c r="H1422" s="13" t="str" cm="1">
        <f t="array" ref="H1422">_xlfn.IFS(G1422&lt;=20,"0-20",G1422&lt;=30,"20-30",G1422&lt;=40,"30-40",G1422&lt;=50,"50-60",G1422&lt;=60,"60-70",G1422&lt;=70,"70-80",G1422&lt;=80,"80-90")</f>
        <v>70-80</v>
      </c>
      <c r="I1422" s="17">
        <v>2232</v>
      </c>
      <c r="J1422" s="13" t="str" cm="1">
        <f t="array" ref="J1422">_xlfn.IFS(K1422=1,"Divorciado",L1422=1,"Casado",M1422=1,"Solteiro",N1422=1,"Juntos",O1422=1,"Viuvo")</f>
        <v>Juntos</v>
      </c>
      <c r="K1422" s="17">
        <v>0</v>
      </c>
      <c r="L1422" s="17">
        <v>0</v>
      </c>
      <c r="M1422" s="17">
        <v>0</v>
      </c>
      <c r="N1422" s="17">
        <v>1</v>
      </c>
      <c r="O1422" s="17">
        <v>0</v>
      </c>
      <c r="P1422" s="17">
        <v>0</v>
      </c>
      <c r="Q1422" s="17">
        <v>0</v>
      </c>
      <c r="R1422" s="17">
        <v>0</v>
      </c>
      <c r="S1422" s="17">
        <v>1</v>
      </c>
      <c r="T1422" s="17">
        <v>0</v>
      </c>
      <c r="U1422" s="17">
        <v>97</v>
      </c>
      <c r="V1422" s="13" t="str" cm="1">
        <f t="array" ref="V1422">_xlfn.IFS(U1422&lt;=250,"0-R$250",U1422&lt;=500,"251-R$500",U1422&lt;=750,"501-R$750",U1422&lt;=1000,"751-R$1000",U1422&lt;=1250,"1001-R$1250",U1422&lt;=1500,"1251-R$1500")</f>
        <v>0-R$250</v>
      </c>
      <c r="W1422" s="17">
        <v>1</v>
      </c>
      <c r="X1422" s="13" t="str" cm="1">
        <f t="array" ref="X1422">_xlfn.IFS(W1422 = 0, "0", W1422&lt;=20, "até R$20",W1422&lt;=40, "21 - R$40",W1422&lt;=60, "41- R$60",W1422&lt;=80, "61 - R$80", W1422&lt;=100, "81 - R$100",W1422&lt;=120, "101 - R$120",W1422&lt;=140, "121 - R$140", W1422&lt;=160, "141- R$160", W1422&lt;=180, "161 - R$180", W1422&lt;=200, "181-R$194")</f>
        <v>até R$20</v>
      </c>
      <c r="Y1422" s="17">
        <v>19</v>
      </c>
      <c r="Z1422" s="17">
        <v>2</v>
      </c>
      <c r="AA1422" s="17">
        <v>0</v>
      </c>
      <c r="AB1422" s="17">
        <v>11</v>
      </c>
      <c r="AC1422" s="17">
        <v>1</v>
      </c>
      <c r="AD1422" s="17">
        <v>2</v>
      </c>
      <c r="AE1422" s="17">
        <v>1</v>
      </c>
      <c r="AF1422" s="17">
        <v>4</v>
      </c>
      <c r="AG1422" s="17">
        <v>3</v>
      </c>
      <c r="AH1422" s="17">
        <v>0</v>
      </c>
      <c r="AI1422" s="17">
        <v>0</v>
      </c>
      <c r="AJ1422" s="17">
        <v>0</v>
      </c>
      <c r="AK1422" s="17">
        <v>0</v>
      </c>
      <c r="AL1422" s="17">
        <v>0</v>
      </c>
      <c r="AM1422" s="17">
        <v>0</v>
      </c>
      <c r="AN1422" s="17">
        <v>0</v>
      </c>
      <c r="AO1422" s="18">
        <v>0</v>
      </c>
      <c r="AP1422" s="17">
        <v>3</v>
      </c>
      <c r="AQ1422" s="17">
        <v>11</v>
      </c>
      <c r="AR1422" s="19">
        <v>108</v>
      </c>
      <c r="AS1422" s="19">
        <v>119</v>
      </c>
    </row>
    <row r="1423" spans="1:45" x14ac:dyDescent="0.25">
      <c r="A1423">
        <v>1339</v>
      </c>
      <c r="B1423" s="11">
        <f t="shared" si="22"/>
        <v>33316</v>
      </c>
      <c r="C1423" s="16">
        <v>333160</v>
      </c>
      <c r="D1423" s="17">
        <v>1</v>
      </c>
      <c r="E1423" s="17">
        <v>1</v>
      </c>
      <c r="F1423" s="17">
        <v>34</v>
      </c>
      <c r="G1423" s="17">
        <v>49</v>
      </c>
      <c r="H1423" s="13" t="str" cm="1">
        <f t="array" ref="H1423">_xlfn.IFS(G1423&lt;=20,"0-20",G1423&lt;=30,"20-30",G1423&lt;=40,"30-40",G1423&lt;=50,"50-60",G1423&lt;=60,"60-70",G1423&lt;=70,"70-80",G1423&lt;=80,"80-90")</f>
        <v>50-60</v>
      </c>
      <c r="I1423" s="17">
        <v>2427</v>
      </c>
      <c r="J1423" s="13" t="str" cm="1">
        <f t="array" ref="J1423">_xlfn.IFS(K1423=1,"Divorciado",L1423=1,"Casado",M1423=1,"Solteiro",N1423=1,"Juntos",O1423=1,"Viuvo")</f>
        <v>Solteiro</v>
      </c>
      <c r="K1423" s="17">
        <v>0</v>
      </c>
      <c r="L1423" s="17">
        <v>0</v>
      </c>
      <c r="M1423" s="17">
        <v>1</v>
      </c>
      <c r="N1423" s="17">
        <v>0</v>
      </c>
      <c r="O1423" s="17">
        <v>0</v>
      </c>
      <c r="P1423" s="17">
        <v>0</v>
      </c>
      <c r="Q1423" s="17">
        <v>0</v>
      </c>
      <c r="R1423" s="17">
        <v>0</v>
      </c>
      <c r="S1423" s="17">
        <v>1</v>
      </c>
      <c r="T1423" s="17">
        <v>0</v>
      </c>
      <c r="U1423" s="17">
        <v>79</v>
      </c>
      <c r="V1423" s="13" t="str" cm="1">
        <f t="array" ref="V1423">_xlfn.IFS(U1423&lt;=250,"0-R$250",U1423&lt;=500,"251-R$500",U1423&lt;=750,"501-R$750",U1423&lt;=1000,"751-R$1000",U1423&lt;=1250,"1001-R$1250",U1423&lt;=1500,"1251-R$1500")</f>
        <v>0-R$250</v>
      </c>
      <c r="W1423" s="17">
        <v>1</v>
      </c>
      <c r="X1423" s="13" t="str" cm="1">
        <f t="array" ref="X1423">_xlfn.IFS(W1423 = 0, "0", W1423&lt;=20, "até R$20",W1423&lt;=40, "21 - R$40",W1423&lt;=60, "41- R$60",W1423&lt;=80, "61 - R$80", W1423&lt;=100, "81 - R$100",W1423&lt;=120, "101 - R$120",W1423&lt;=140, "121 - R$140", W1423&lt;=160, "141- R$160", W1423&lt;=180, "161 - R$180", W1423&lt;=200, "181-R$194")</f>
        <v>até R$20</v>
      </c>
      <c r="Y1423" s="17">
        <v>31</v>
      </c>
      <c r="Z1423" s="17">
        <v>4</v>
      </c>
      <c r="AA1423" s="17">
        <v>4</v>
      </c>
      <c r="AB1423" s="17">
        <v>12</v>
      </c>
      <c r="AC1423" s="17">
        <v>3</v>
      </c>
      <c r="AD1423" s="17">
        <v>2</v>
      </c>
      <c r="AE1423" s="17">
        <v>1</v>
      </c>
      <c r="AF1423" s="17">
        <v>4</v>
      </c>
      <c r="AG1423" s="17">
        <v>6</v>
      </c>
      <c r="AH1423" s="17">
        <v>0</v>
      </c>
      <c r="AI1423" s="17">
        <v>0</v>
      </c>
      <c r="AJ1423" s="17">
        <v>0</v>
      </c>
      <c r="AK1423" s="17">
        <v>0</v>
      </c>
      <c r="AL1423" s="17">
        <v>0</v>
      </c>
      <c r="AM1423" s="17">
        <v>0</v>
      </c>
      <c r="AN1423" s="17">
        <v>0</v>
      </c>
      <c r="AO1423" s="18">
        <v>0</v>
      </c>
      <c r="AP1423" s="17">
        <v>3</v>
      </c>
      <c r="AQ1423" s="17">
        <v>11</v>
      </c>
      <c r="AR1423" s="19">
        <v>107</v>
      </c>
      <c r="AS1423" s="19">
        <v>119</v>
      </c>
    </row>
    <row r="1424" spans="1:45" x14ac:dyDescent="0.25">
      <c r="A1424">
        <v>1756</v>
      </c>
      <c r="B1424" s="11">
        <f t="shared" si="22"/>
        <v>42473</v>
      </c>
      <c r="C1424" s="12">
        <v>424730</v>
      </c>
      <c r="D1424" s="13">
        <v>1</v>
      </c>
      <c r="E1424" s="13">
        <v>1</v>
      </c>
      <c r="F1424" s="13">
        <v>72</v>
      </c>
      <c r="G1424" s="13">
        <v>44</v>
      </c>
      <c r="H1424" s="13" t="str" cm="1">
        <f t="array" ref="H1424">_xlfn.IFS(G1424&lt;=20,"0-20",G1424&lt;=30,"20-30",G1424&lt;=40,"30-40",G1424&lt;=50,"50-60",G1424&lt;=60,"60-70",G1424&lt;=70,"70-80",G1424&lt;=80,"80-90")</f>
        <v>50-60</v>
      </c>
      <c r="I1424" s="13">
        <v>2291</v>
      </c>
      <c r="J1424" s="13" t="str" cm="1">
        <f t="array" ref="J1424">_xlfn.IFS(K1424=1,"Divorciado",L1424=1,"Casado",M1424=1,"Solteiro",N1424=1,"Juntos",O1424=1,"Viuvo")</f>
        <v>Solteiro</v>
      </c>
      <c r="K1424" s="13">
        <v>0</v>
      </c>
      <c r="L1424" s="13">
        <v>0</v>
      </c>
      <c r="M1424" s="13">
        <v>1</v>
      </c>
      <c r="N1424" s="13">
        <v>0</v>
      </c>
      <c r="O1424" s="13">
        <v>0</v>
      </c>
      <c r="P1424" s="13">
        <v>0</v>
      </c>
      <c r="Q1424" s="13">
        <v>0</v>
      </c>
      <c r="R1424" s="13">
        <v>0</v>
      </c>
      <c r="S1424" s="13">
        <v>0</v>
      </c>
      <c r="T1424" s="13">
        <v>1</v>
      </c>
      <c r="U1424" s="13">
        <v>93</v>
      </c>
      <c r="V1424" s="13" t="str" cm="1">
        <f t="array" ref="V1424">_xlfn.IFS(U1424&lt;=250,"0-R$250",U1424&lt;=500,"251-R$500",U1424&lt;=750,"501-R$750",U1424&lt;=1000,"751-R$1000",U1424&lt;=1250,"1001-R$1250",U1424&lt;=1500,"1251-R$1500")</f>
        <v>0-R$250</v>
      </c>
      <c r="W1424" s="13">
        <v>1</v>
      </c>
      <c r="X1424" s="13" t="str" cm="1">
        <f t="array" ref="X1424">_xlfn.IFS(W1424 = 0, "0", W1424&lt;=20, "até R$20",W1424&lt;=40, "21 - R$40",W1424&lt;=60, "41- R$60",W1424&lt;=80, "61 - R$80", W1424&lt;=100, "81 - R$100",W1424&lt;=120, "101 - R$120",W1424&lt;=140, "121 - R$140", W1424&lt;=160, "141- R$160", W1424&lt;=180, "161 - R$180", W1424&lt;=200, "181-R$194")</f>
        <v>até R$20</v>
      </c>
      <c r="Y1424" s="13">
        <v>21</v>
      </c>
      <c r="Z1424" s="13">
        <v>0</v>
      </c>
      <c r="AA1424" s="13">
        <v>4</v>
      </c>
      <c r="AB1424" s="13">
        <v>25</v>
      </c>
      <c r="AC1424" s="13">
        <v>3</v>
      </c>
      <c r="AD1424" s="13">
        <v>2</v>
      </c>
      <c r="AE1424" s="13">
        <v>1</v>
      </c>
      <c r="AF1424" s="13">
        <v>4</v>
      </c>
      <c r="AG1424" s="13">
        <v>5</v>
      </c>
      <c r="AH1424" s="13">
        <v>0</v>
      </c>
      <c r="AI1424" s="13">
        <v>0</v>
      </c>
      <c r="AJ1424" s="13">
        <v>0</v>
      </c>
      <c r="AK1424" s="13">
        <v>0</v>
      </c>
      <c r="AL1424" s="13">
        <v>0</v>
      </c>
      <c r="AM1424" s="13">
        <v>0</v>
      </c>
      <c r="AN1424" s="13">
        <v>0</v>
      </c>
      <c r="AO1424" s="14">
        <v>0</v>
      </c>
      <c r="AP1424" s="13">
        <v>3</v>
      </c>
      <c r="AQ1424" s="13">
        <v>11</v>
      </c>
      <c r="AR1424" s="15">
        <v>94</v>
      </c>
      <c r="AS1424" s="15">
        <v>119</v>
      </c>
    </row>
    <row r="1425" spans="1:45" x14ac:dyDescent="0.25">
      <c r="A1425">
        <v>1797</v>
      </c>
      <c r="B1425" s="11">
        <f t="shared" si="22"/>
        <v>33316</v>
      </c>
      <c r="C1425" s="16">
        <v>333160</v>
      </c>
      <c r="D1425" s="17">
        <v>1</v>
      </c>
      <c r="E1425" s="17">
        <v>1</v>
      </c>
      <c r="F1425" s="17">
        <v>34</v>
      </c>
      <c r="G1425" s="17">
        <v>49</v>
      </c>
      <c r="H1425" s="13" t="str" cm="1">
        <f t="array" ref="H1425">_xlfn.IFS(G1425&lt;=20,"0-20",G1425&lt;=30,"20-30",G1425&lt;=40,"30-40",G1425&lt;=50,"50-60",G1425&lt;=60,"60-70",G1425&lt;=70,"70-80",G1425&lt;=80,"80-90")</f>
        <v>50-60</v>
      </c>
      <c r="I1425" s="17">
        <v>2427</v>
      </c>
      <c r="J1425" s="13" t="str" cm="1">
        <f t="array" ref="J1425">_xlfn.IFS(K1425=1,"Divorciado",L1425=1,"Casado",M1425=1,"Solteiro",N1425=1,"Juntos",O1425=1,"Viuvo")</f>
        <v>Solteiro</v>
      </c>
      <c r="K1425" s="17">
        <v>0</v>
      </c>
      <c r="L1425" s="17">
        <v>0</v>
      </c>
      <c r="M1425" s="17">
        <v>1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1</v>
      </c>
      <c r="T1425" s="17">
        <v>0</v>
      </c>
      <c r="U1425" s="17">
        <v>79</v>
      </c>
      <c r="V1425" s="13" t="str" cm="1">
        <f t="array" ref="V1425">_xlfn.IFS(U1425&lt;=250,"0-R$250",U1425&lt;=500,"251-R$500",U1425&lt;=750,"501-R$750",U1425&lt;=1000,"751-R$1000",U1425&lt;=1250,"1001-R$1250",U1425&lt;=1500,"1251-R$1500")</f>
        <v>0-R$250</v>
      </c>
      <c r="W1425" s="17">
        <v>1</v>
      </c>
      <c r="X1425" s="13" t="str" cm="1">
        <f t="array" ref="X1425">_xlfn.IFS(W1425 = 0, "0", W1425&lt;=20, "até R$20",W1425&lt;=40, "21 - R$40",W1425&lt;=60, "41- R$60",W1425&lt;=80, "61 - R$80", W1425&lt;=100, "81 - R$100",W1425&lt;=120, "101 - R$120",W1425&lt;=140, "121 - R$140", W1425&lt;=160, "141- R$160", W1425&lt;=180, "161 - R$180", W1425&lt;=200, "181-R$194")</f>
        <v>até R$20</v>
      </c>
      <c r="Y1425" s="17">
        <v>31</v>
      </c>
      <c r="Z1425" s="17">
        <v>4</v>
      </c>
      <c r="AA1425" s="17">
        <v>4</v>
      </c>
      <c r="AB1425" s="17">
        <v>12</v>
      </c>
      <c r="AC1425" s="17">
        <v>3</v>
      </c>
      <c r="AD1425" s="17">
        <v>2</v>
      </c>
      <c r="AE1425" s="17">
        <v>1</v>
      </c>
      <c r="AF1425" s="17">
        <v>4</v>
      </c>
      <c r="AG1425" s="17">
        <v>6</v>
      </c>
      <c r="AH1425" s="17">
        <v>0</v>
      </c>
      <c r="AI1425" s="17">
        <v>0</v>
      </c>
      <c r="AJ1425" s="17">
        <v>0</v>
      </c>
      <c r="AK1425" s="17">
        <v>0</v>
      </c>
      <c r="AL1425" s="17">
        <v>0</v>
      </c>
      <c r="AM1425" s="17">
        <v>0</v>
      </c>
      <c r="AN1425" s="17">
        <v>0</v>
      </c>
      <c r="AO1425" s="18">
        <v>0</v>
      </c>
      <c r="AP1425" s="17">
        <v>3</v>
      </c>
      <c r="AQ1425" s="17">
        <v>11</v>
      </c>
      <c r="AR1425" s="19">
        <v>107</v>
      </c>
      <c r="AS1425" s="19">
        <v>119</v>
      </c>
    </row>
    <row r="1426" spans="1:45" x14ac:dyDescent="0.25">
      <c r="A1426">
        <v>1893</v>
      </c>
      <c r="B1426" s="11">
        <f t="shared" si="22"/>
        <v>20180</v>
      </c>
      <c r="C1426" s="16">
        <v>201800</v>
      </c>
      <c r="D1426" s="17">
        <v>0</v>
      </c>
      <c r="E1426" s="17">
        <v>0</v>
      </c>
      <c r="F1426" s="17">
        <v>27</v>
      </c>
      <c r="G1426" s="17">
        <v>44</v>
      </c>
      <c r="H1426" s="13" t="str" cm="1">
        <f t="array" ref="H1426">_xlfn.IFS(G1426&lt;=20,"0-20",G1426&lt;=30,"20-30",G1426&lt;=40,"30-40",G1426&lt;=50,"50-60",G1426&lt;=60,"60-70",G1426&lt;=70,"70-80",G1426&lt;=80,"80-90")</f>
        <v>50-60</v>
      </c>
      <c r="I1426" s="17">
        <v>2653</v>
      </c>
      <c r="J1426" s="13" t="str" cm="1">
        <f t="array" ref="J1426">_xlfn.IFS(K1426=1,"Divorciado",L1426=1,"Casado",M1426=1,"Solteiro",N1426=1,"Juntos",O1426=1,"Viuvo")</f>
        <v>Solteiro</v>
      </c>
      <c r="K1426" s="17">
        <v>0</v>
      </c>
      <c r="L1426" s="17">
        <v>0</v>
      </c>
      <c r="M1426" s="17">
        <v>1</v>
      </c>
      <c r="N1426" s="17">
        <v>0</v>
      </c>
      <c r="O1426" s="17">
        <v>0</v>
      </c>
      <c r="P1426" s="17">
        <v>0</v>
      </c>
      <c r="Q1426" s="17">
        <v>0</v>
      </c>
      <c r="R1426" s="17">
        <v>1</v>
      </c>
      <c r="S1426" s="17">
        <v>0</v>
      </c>
      <c r="T1426" s="17">
        <v>0</v>
      </c>
      <c r="U1426" s="17">
        <v>18</v>
      </c>
      <c r="V1426" s="13" t="str" cm="1">
        <f t="array" ref="V1426">_xlfn.IFS(U1426&lt;=250,"0-R$250",U1426&lt;=500,"251-R$500",U1426&lt;=750,"501-R$750",U1426&lt;=1000,"751-R$1000",U1426&lt;=1250,"1001-R$1250",U1426&lt;=1500,"1251-R$1500")</f>
        <v>0-R$250</v>
      </c>
      <c r="W1426" s="17">
        <v>42</v>
      </c>
      <c r="X1426" s="13" t="str" cm="1">
        <f t="array" ref="X1426">_xlfn.IFS(W1426 = 0, "0", W1426&lt;=20, "até R$20",W1426&lt;=40, "21 - R$40",W1426&lt;=60, "41- R$60",W1426&lt;=80, "61 - R$80", W1426&lt;=100, "81 - R$100",W1426&lt;=120, "101 - R$120",W1426&lt;=140, "121 - R$140", W1426&lt;=160, "141- R$160", W1426&lt;=180, "161 - R$180", W1426&lt;=200, "181-R$194")</f>
        <v>41- R$60</v>
      </c>
      <c r="Y1426" s="17">
        <v>24</v>
      </c>
      <c r="Z1426" s="17">
        <v>15</v>
      </c>
      <c r="AA1426" s="17">
        <v>20</v>
      </c>
      <c r="AB1426" s="17">
        <v>18</v>
      </c>
      <c r="AC1426" s="17">
        <v>1</v>
      </c>
      <c r="AD1426" s="17">
        <v>2</v>
      </c>
      <c r="AE1426" s="17">
        <v>1</v>
      </c>
      <c r="AF1426" s="17">
        <v>4</v>
      </c>
      <c r="AG1426" s="17">
        <v>7</v>
      </c>
      <c r="AH1426" s="17">
        <v>0</v>
      </c>
      <c r="AI1426" s="17">
        <v>0</v>
      </c>
      <c r="AJ1426" s="17">
        <v>0</v>
      </c>
      <c r="AK1426" s="17">
        <v>0</v>
      </c>
      <c r="AL1426" s="17">
        <v>0</v>
      </c>
      <c r="AM1426" s="17">
        <v>0</v>
      </c>
      <c r="AN1426" s="17">
        <v>0</v>
      </c>
      <c r="AO1426" s="18">
        <v>0</v>
      </c>
      <c r="AP1426" s="17">
        <v>3</v>
      </c>
      <c r="AQ1426" s="17">
        <v>11</v>
      </c>
      <c r="AR1426" s="19">
        <v>101</v>
      </c>
      <c r="AS1426" s="19">
        <v>119</v>
      </c>
    </row>
    <row r="1427" spans="1:45" x14ac:dyDescent="0.25">
      <c r="A1427">
        <v>100</v>
      </c>
      <c r="B1427" s="11">
        <f t="shared" si="22"/>
        <v>38557</v>
      </c>
      <c r="C1427" s="12">
        <v>385570</v>
      </c>
      <c r="D1427" s="13">
        <v>1</v>
      </c>
      <c r="E1427" s="13">
        <v>0</v>
      </c>
      <c r="F1427" s="13">
        <v>17</v>
      </c>
      <c r="G1427" s="13">
        <v>42</v>
      </c>
      <c r="H1427" s="13" t="str" cm="1">
        <f t="array" ref="H1427">_xlfn.IFS(G1427&lt;=20,"0-20",G1427&lt;=30,"20-30",G1427&lt;=40,"30-40",G1427&lt;=50,"50-60",G1427&lt;=60,"60-70",G1427&lt;=70,"70-80",G1427&lt;=80,"80-90")</f>
        <v>50-60</v>
      </c>
      <c r="I1427" s="13">
        <v>2716</v>
      </c>
      <c r="J1427" s="13" t="str" cm="1">
        <f t="array" ref="J1427">_xlfn.IFS(K1427=1,"Divorciado",L1427=1,"Casado",M1427=1,"Solteiro",N1427=1,"Juntos",O1427=1,"Viuvo")</f>
        <v>Solteiro</v>
      </c>
      <c r="K1427" s="13">
        <v>0</v>
      </c>
      <c r="L1427" s="13">
        <v>0</v>
      </c>
      <c r="M1427" s="13">
        <v>1</v>
      </c>
      <c r="N1427" s="13">
        <v>0</v>
      </c>
      <c r="O1427" s="13">
        <v>0</v>
      </c>
      <c r="P1427" s="13">
        <v>0</v>
      </c>
      <c r="Q1427" s="13">
        <v>0</v>
      </c>
      <c r="R1427" s="13">
        <v>1</v>
      </c>
      <c r="S1427" s="13">
        <v>0</v>
      </c>
      <c r="T1427" s="13">
        <v>0</v>
      </c>
      <c r="U1427" s="13">
        <v>76</v>
      </c>
      <c r="V1427" s="13" t="str" cm="1">
        <f t="array" ref="V1427">_xlfn.IFS(U1427&lt;=250,"0-R$250",U1427&lt;=500,"251-R$500",U1427&lt;=750,"501-R$750",U1427&lt;=1000,"751-R$1000",U1427&lt;=1250,"1001-R$1250",U1427&lt;=1500,"1251-R$1500")</f>
        <v>0-R$250</v>
      </c>
      <c r="W1427" s="13">
        <v>3</v>
      </c>
      <c r="X1427" s="13" t="str" cm="1">
        <f t="array" ref="X1427">_xlfn.IFS(W1427 = 0, "0", W1427&lt;=20, "até R$20",W1427&lt;=40, "21 - R$40",W1427&lt;=60, "41- R$60",W1427&lt;=80, "61 - R$80", W1427&lt;=100, "81 - R$100",W1427&lt;=120, "101 - R$120",W1427&lt;=140, "121 - R$140", W1427&lt;=160, "141- R$160", W1427&lt;=180, "161 - R$180", W1427&lt;=200, "181-R$194")</f>
        <v>até R$20</v>
      </c>
      <c r="Y1427" s="13">
        <v>31</v>
      </c>
      <c r="Z1427" s="13">
        <v>4</v>
      </c>
      <c r="AA1427" s="13">
        <v>4</v>
      </c>
      <c r="AB1427" s="13">
        <v>27</v>
      </c>
      <c r="AC1427" s="13">
        <v>2</v>
      </c>
      <c r="AD1427" s="13">
        <v>3</v>
      </c>
      <c r="AE1427" s="13">
        <v>1</v>
      </c>
      <c r="AF1427" s="13">
        <v>3</v>
      </c>
      <c r="AG1427" s="13">
        <v>7</v>
      </c>
      <c r="AH1427" s="13">
        <v>0</v>
      </c>
      <c r="AI1427" s="13">
        <v>0</v>
      </c>
      <c r="AJ1427" s="13">
        <v>0</v>
      </c>
      <c r="AK1427" s="13">
        <v>0</v>
      </c>
      <c r="AL1427" s="13">
        <v>0</v>
      </c>
      <c r="AM1427" s="13">
        <v>0</v>
      </c>
      <c r="AN1427" s="13">
        <v>0</v>
      </c>
      <c r="AO1427" s="14">
        <v>0</v>
      </c>
      <c r="AP1427" s="13">
        <v>3</v>
      </c>
      <c r="AQ1427" s="13">
        <v>11</v>
      </c>
      <c r="AR1427" s="15">
        <v>91</v>
      </c>
      <c r="AS1427" s="15">
        <v>118</v>
      </c>
    </row>
    <row r="1428" spans="1:45" x14ac:dyDescent="0.25">
      <c r="A1428">
        <v>500</v>
      </c>
      <c r="B1428" s="11">
        <f t="shared" si="22"/>
        <v>36443</v>
      </c>
      <c r="C1428" s="12">
        <v>364430</v>
      </c>
      <c r="D1428" s="13">
        <v>1</v>
      </c>
      <c r="E1428" s="13">
        <v>1</v>
      </c>
      <c r="F1428" s="13">
        <v>9</v>
      </c>
      <c r="G1428" s="13">
        <v>59</v>
      </c>
      <c r="H1428" s="13" t="str" cm="1">
        <f t="array" ref="H1428">_xlfn.IFS(G1428&lt;=20,"0-20",G1428&lt;=30,"20-30",G1428&lt;=40,"30-40",G1428&lt;=50,"50-60",G1428&lt;=60,"60-70",G1428&lt;=70,"70-80",G1428&lt;=80,"80-90")</f>
        <v>60-70</v>
      </c>
      <c r="I1428" s="13">
        <v>2670</v>
      </c>
      <c r="J1428" s="13" t="str" cm="1">
        <f t="array" ref="J1428">_xlfn.IFS(K1428=1,"Divorciado",L1428=1,"Casado",M1428=1,"Solteiro",N1428=1,"Juntos",O1428=1,"Viuvo")</f>
        <v>Casado</v>
      </c>
      <c r="K1428" s="13">
        <v>0</v>
      </c>
      <c r="L1428" s="13">
        <v>1</v>
      </c>
      <c r="M1428" s="13">
        <v>0</v>
      </c>
      <c r="N1428" s="13">
        <v>0</v>
      </c>
      <c r="O1428" s="13">
        <v>0</v>
      </c>
      <c r="P1428" s="13">
        <v>0</v>
      </c>
      <c r="Q1428" s="13">
        <v>0</v>
      </c>
      <c r="R1428" s="13">
        <v>1</v>
      </c>
      <c r="S1428" s="13">
        <v>0</v>
      </c>
      <c r="T1428" s="13">
        <v>0</v>
      </c>
      <c r="U1428" s="13">
        <v>65</v>
      </c>
      <c r="V1428" s="13" t="str" cm="1">
        <f t="array" ref="V1428">_xlfn.IFS(U1428&lt;=250,"0-R$250",U1428&lt;=500,"251-R$500",U1428&lt;=750,"501-R$750",U1428&lt;=1000,"751-R$1000",U1428&lt;=1250,"1001-R$1250",U1428&lt;=1500,"1251-R$1500")</f>
        <v>0-R$250</v>
      </c>
      <c r="W1428" s="13">
        <v>0</v>
      </c>
      <c r="X1428" s="13" t="str" cm="1">
        <f t="array" ref="X1428">_xlfn.IFS(W1428 = 0, "0", W1428&lt;=20, "até R$20",W1428&lt;=40, "21 - R$40",W1428&lt;=60, "41- R$60",W1428&lt;=80, "61 - R$80", W1428&lt;=100, "81 - R$100",W1428&lt;=120, "101 - R$120",W1428&lt;=140, "121 - R$140", W1428&lt;=160, "141- R$160", W1428&lt;=180, "161 - R$180", W1428&lt;=200, "181-R$194")</f>
        <v>0</v>
      </c>
      <c r="Y1428" s="13">
        <v>46</v>
      </c>
      <c r="Z1428" s="13">
        <v>4</v>
      </c>
      <c r="AA1428" s="13">
        <v>3</v>
      </c>
      <c r="AB1428" s="13">
        <v>20</v>
      </c>
      <c r="AC1428" s="13">
        <v>4</v>
      </c>
      <c r="AD1428" s="13">
        <v>3</v>
      </c>
      <c r="AE1428" s="13">
        <v>1</v>
      </c>
      <c r="AF1428" s="13">
        <v>3</v>
      </c>
      <c r="AG1428" s="13">
        <v>8</v>
      </c>
      <c r="AH1428" s="13">
        <v>0</v>
      </c>
      <c r="AI1428" s="13">
        <v>0</v>
      </c>
      <c r="AJ1428" s="13">
        <v>0</v>
      </c>
      <c r="AK1428" s="13">
        <v>0</v>
      </c>
      <c r="AL1428" s="13">
        <v>0</v>
      </c>
      <c r="AM1428" s="13">
        <v>0</v>
      </c>
      <c r="AN1428" s="13">
        <v>0</v>
      </c>
      <c r="AO1428" s="14">
        <v>0</v>
      </c>
      <c r="AP1428" s="13">
        <v>3</v>
      </c>
      <c r="AQ1428" s="13">
        <v>11</v>
      </c>
      <c r="AR1428" s="15">
        <v>98</v>
      </c>
      <c r="AS1428" s="15">
        <v>118</v>
      </c>
    </row>
    <row r="1429" spans="1:45" x14ac:dyDescent="0.25">
      <c r="A1429">
        <v>1127</v>
      </c>
      <c r="B1429" s="11">
        <f t="shared" si="22"/>
        <v>42162</v>
      </c>
      <c r="C1429" s="16">
        <v>421620</v>
      </c>
      <c r="D1429" s="17">
        <v>1</v>
      </c>
      <c r="E1429" s="17">
        <v>0</v>
      </c>
      <c r="F1429" s="17">
        <v>31</v>
      </c>
      <c r="G1429" s="17">
        <v>39</v>
      </c>
      <c r="H1429" s="13" t="str" cm="1">
        <f t="array" ref="H1429">_xlfn.IFS(G1429&lt;=20,"0-20",G1429&lt;=30,"20-30",G1429&lt;=40,"30-40",G1429&lt;=50,"50-60",G1429&lt;=60,"60-70",G1429&lt;=70,"70-80",G1429&lt;=80,"80-90")</f>
        <v>30-40</v>
      </c>
      <c r="I1429" s="17">
        <v>2381</v>
      </c>
      <c r="J1429" s="13" t="str" cm="1">
        <f t="array" ref="J1429">_xlfn.IFS(K1429=1,"Divorciado",L1429=1,"Casado",M1429=1,"Solteiro",N1429=1,"Juntos",O1429=1,"Viuvo")</f>
        <v>Juntos</v>
      </c>
      <c r="K1429" s="17">
        <v>0</v>
      </c>
      <c r="L1429" s="17">
        <v>0</v>
      </c>
      <c r="M1429" s="17">
        <v>0</v>
      </c>
      <c r="N1429" s="17">
        <v>1</v>
      </c>
      <c r="O1429" s="17">
        <v>0</v>
      </c>
      <c r="P1429" s="17">
        <v>0</v>
      </c>
      <c r="Q1429" s="17">
        <v>0</v>
      </c>
      <c r="R1429" s="17">
        <v>1</v>
      </c>
      <c r="S1429" s="17">
        <v>0</v>
      </c>
      <c r="T1429" s="17">
        <v>0</v>
      </c>
      <c r="U1429" s="17">
        <v>46</v>
      </c>
      <c r="V1429" s="13" t="str" cm="1">
        <f t="array" ref="V1429">_xlfn.IFS(U1429&lt;=250,"0-R$250",U1429&lt;=500,"251-R$500",U1429&lt;=750,"501-R$750",U1429&lt;=1000,"751-R$1000",U1429&lt;=1250,"1001-R$1250",U1429&lt;=1500,"1251-R$1500")</f>
        <v>0-R$250</v>
      </c>
      <c r="W1429" s="17">
        <v>7</v>
      </c>
      <c r="X1429" s="13" t="str" cm="1">
        <f t="array" ref="X1429">_xlfn.IFS(W1429 = 0, "0", W1429&lt;=20, "até R$20",W1429&lt;=40, "21 - R$40",W1429&lt;=60, "41- R$60",W1429&lt;=80, "61 - R$80", W1429&lt;=100, "81 - R$100",W1429&lt;=120, "101 - R$120",W1429&lt;=140, "121 - R$140", W1429&lt;=160, "141- R$160", W1429&lt;=180, "161 - R$180", W1429&lt;=200, "181-R$194")</f>
        <v>até R$20</v>
      </c>
      <c r="Y1429" s="17">
        <v>59</v>
      </c>
      <c r="Z1429" s="17">
        <v>2</v>
      </c>
      <c r="AA1429" s="17">
        <v>4</v>
      </c>
      <c r="AB1429" s="17">
        <v>27</v>
      </c>
      <c r="AC1429" s="17">
        <v>2</v>
      </c>
      <c r="AD1429" s="17">
        <v>3</v>
      </c>
      <c r="AE1429" s="17">
        <v>1</v>
      </c>
      <c r="AF1429" s="17">
        <v>3</v>
      </c>
      <c r="AG1429" s="17">
        <v>6</v>
      </c>
      <c r="AH1429" s="17">
        <v>0</v>
      </c>
      <c r="AI1429" s="17">
        <v>1</v>
      </c>
      <c r="AJ1429" s="17">
        <v>0</v>
      </c>
      <c r="AK1429" s="17">
        <v>0</v>
      </c>
      <c r="AL1429" s="17">
        <v>0</v>
      </c>
      <c r="AM1429" s="17">
        <v>0</v>
      </c>
      <c r="AN1429" s="17">
        <v>1</v>
      </c>
      <c r="AO1429" s="18">
        <v>1</v>
      </c>
      <c r="AP1429" s="17">
        <v>3</v>
      </c>
      <c r="AQ1429" s="17">
        <v>11</v>
      </c>
      <c r="AR1429" s="19">
        <v>91</v>
      </c>
      <c r="AS1429" s="19">
        <v>118</v>
      </c>
    </row>
    <row r="1430" spans="1:45" x14ac:dyDescent="0.25">
      <c r="A1430">
        <v>1523</v>
      </c>
      <c r="B1430" s="11">
        <f t="shared" si="22"/>
        <v>30983</v>
      </c>
      <c r="C1430" s="16">
        <v>309830</v>
      </c>
      <c r="D1430" s="17">
        <v>0</v>
      </c>
      <c r="E1430" s="17">
        <v>0</v>
      </c>
      <c r="F1430" s="17">
        <v>50</v>
      </c>
      <c r="G1430" s="17">
        <v>57</v>
      </c>
      <c r="H1430" s="13" t="str" cm="1">
        <f t="array" ref="H1430">_xlfn.IFS(G1430&lt;=20,"0-20",G1430&lt;=30,"20-30",G1430&lt;=40,"30-40",G1430&lt;=50,"50-60",G1430&lt;=60,"60-70",G1430&lt;=70,"70-80",G1430&lt;=80,"80-90")</f>
        <v>60-70</v>
      </c>
      <c r="I1430" s="17">
        <v>2756</v>
      </c>
      <c r="J1430" s="13" t="str" cm="1">
        <f t="array" ref="J1430">_xlfn.IFS(K1430=1,"Divorciado",L1430=1,"Casado",M1430=1,"Solteiro",N1430=1,"Juntos",O1430=1,"Viuvo")</f>
        <v>Solteiro</v>
      </c>
      <c r="K1430" s="17">
        <v>0</v>
      </c>
      <c r="L1430" s="17">
        <v>0</v>
      </c>
      <c r="M1430" s="17">
        <v>1</v>
      </c>
      <c r="N1430" s="17">
        <v>0</v>
      </c>
      <c r="O1430" s="17">
        <v>0</v>
      </c>
      <c r="P1430" s="17">
        <v>0</v>
      </c>
      <c r="Q1430" s="17">
        <v>0</v>
      </c>
      <c r="R1430" s="17">
        <v>1</v>
      </c>
      <c r="S1430" s="17">
        <v>0</v>
      </c>
      <c r="T1430" s="17">
        <v>0</v>
      </c>
      <c r="U1430" s="17">
        <v>51</v>
      </c>
      <c r="V1430" s="13" t="str" cm="1">
        <f t="array" ref="V1430">_xlfn.IFS(U1430&lt;=250,"0-R$250",U1430&lt;=500,"251-R$500",U1430&lt;=750,"501-R$750",U1430&lt;=1000,"751-R$1000",U1430&lt;=1250,"1001-R$1250",U1430&lt;=1500,"1251-R$1500")</f>
        <v>0-R$250</v>
      </c>
      <c r="W1430" s="17">
        <v>4</v>
      </c>
      <c r="X1430" s="13" t="str" cm="1">
        <f t="array" ref="X1430">_xlfn.IFS(W1430 = 0, "0", W1430&lt;=20, "até R$20",W1430&lt;=40, "21 - R$40",W1430&lt;=60, "41- R$60",W1430&lt;=80, "61 - R$80", W1430&lt;=100, "81 - R$100",W1430&lt;=120, "101 - R$120",W1430&lt;=140, "121 - R$140", W1430&lt;=160, "141- R$160", W1430&lt;=180, "161 - R$180", W1430&lt;=200, "181-R$194")</f>
        <v>até R$20</v>
      </c>
      <c r="Y1430" s="17">
        <v>50</v>
      </c>
      <c r="Z1430" s="17">
        <v>12</v>
      </c>
      <c r="AA1430" s="17">
        <v>1</v>
      </c>
      <c r="AB1430" s="17">
        <v>49</v>
      </c>
      <c r="AC1430" s="17">
        <v>1</v>
      </c>
      <c r="AD1430" s="17">
        <v>4</v>
      </c>
      <c r="AE1430" s="17">
        <v>0</v>
      </c>
      <c r="AF1430" s="17">
        <v>3</v>
      </c>
      <c r="AG1430" s="17">
        <v>8</v>
      </c>
      <c r="AH1430" s="17">
        <v>0</v>
      </c>
      <c r="AI1430" s="17">
        <v>0</v>
      </c>
      <c r="AJ1430" s="17">
        <v>0</v>
      </c>
      <c r="AK1430" s="17">
        <v>0</v>
      </c>
      <c r="AL1430" s="17">
        <v>0</v>
      </c>
      <c r="AM1430" s="17">
        <v>0</v>
      </c>
      <c r="AN1430" s="17">
        <v>1</v>
      </c>
      <c r="AO1430" s="18">
        <v>0</v>
      </c>
      <c r="AP1430" s="17">
        <v>3</v>
      </c>
      <c r="AQ1430" s="17">
        <v>11</v>
      </c>
      <c r="AR1430" s="19">
        <v>69</v>
      </c>
      <c r="AS1430" s="19">
        <v>118</v>
      </c>
    </row>
    <row r="1431" spans="1:45" x14ac:dyDescent="0.25">
      <c r="A1431">
        <v>1938</v>
      </c>
      <c r="B1431" s="11">
        <f t="shared" si="22"/>
        <v>40887</v>
      </c>
      <c r="C1431" s="12">
        <v>408870</v>
      </c>
      <c r="D1431" s="13">
        <v>1</v>
      </c>
      <c r="E1431" s="13">
        <v>1</v>
      </c>
      <c r="F1431" s="13">
        <v>32</v>
      </c>
      <c r="G1431" s="13">
        <v>68</v>
      </c>
      <c r="H1431" s="13" t="str" cm="1">
        <f t="array" ref="H1431">_xlfn.IFS(G1431&lt;=20,"0-20",G1431&lt;=30,"20-30",G1431&lt;=40,"30-40",G1431&lt;=50,"50-60",G1431&lt;=60,"60-70",G1431&lt;=70,"70-80",G1431&lt;=80,"80-90")</f>
        <v>70-80</v>
      </c>
      <c r="I1431" s="13">
        <v>2578</v>
      </c>
      <c r="J1431" s="13" t="str" cm="1">
        <f t="array" ref="J1431">_xlfn.IFS(K1431=1,"Divorciado",L1431=1,"Casado",M1431=1,"Solteiro",N1431=1,"Juntos",O1431=1,"Viuvo")</f>
        <v>Solteiro</v>
      </c>
      <c r="K1431" s="13">
        <v>0</v>
      </c>
      <c r="L1431" s="13">
        <v>0</v>
      </c>
      <c r="M1431" s="13">
        <v>1</v>
      </c>
      <c r="N1431" s="13">
        <v>0</v>
      </c>
      <c r="O1431" s="13">
        <v>0</v>
      </c>
      <c r="P1431" s="13">
        <v>0</v>
      </c>
      <c r="Q1431" s="13">
        <v>0</v>
      </c>
      <c r="R1431" s="13">
        <v>1</v>
      </c>
      <c r="S1431" s="13">
        <v>0</v>
      </c>
      <c r="T1431" s="13">
        <v>0</v>
      </c>
      <c r="U1431" s="13">
        <v>50</v>
      </c>
      <c r="V1431" s="13" t="str" cm="1">
        <f t="array" ref="V1431">_xlfn.IFS(U1431&lt;=250,"0-R$250",U1431&lt;=500,"251-R$500",U1431&lt;=750,"501-R$750",U1431&lt;=1000,"751-R$1000",U1431&lt;=1250,"1001-R$1250",U1431&lt;=1500,"1251-R$1500")</f>
        <v>0-R$250</v>
      </c>
      <c r="W1431" s="13">
        <v>4</v>
      </c>
      <c r="X1431" s="13" t="str" cm="1">
        <f t="array" ref="X1431">_xlfn.IFS(W1431 = 0, "0", W1431&lt;=20, "até R$20",W1431&lt;=40, "21 - R$40",W1431&lt;=60, "41- R$60",W1431&lt;=80, "61 - R$80", W1431&lt;=100, "81 - R$100",W1431&lt;=120, "101 - R$120",W1431&lt;=140, "121 - R$140", W1431&lt;=160, "141- R$160", W1431&lt;=180, "161 - R$180", W1431&lt;=200, "181-R$194")</f>
        <v>até R$20</v>
      </c>
      <c r="Y1431" s="13">
        <v>44</v>
      </c>
      <c r="Z1431" s="13">
        <v>10</v>
      </c>
      <c r="AA1431" s="13">
        <v>10</v>
      </c>
      <c r="AB1431" s="13">
        <v>43</v>
      </c>
      <c r="AC1431" s="13">
        <v>3</v>
      </c>
      <c r="AD1431" s="13">
        <v>3</v>
      </c>
      <c r="AE1431" s="13">
        <v>1</v>
      </c>
      <c r="AF1431" s="13">
        <v>3</v>
      </c>
      <c r="AG1431" s="13">
        <v>9</v>
      </c>
      <c r="AH1431" s="13">
        <v>0</v>
      </c>
      <c r="AI1431" s="13">
        <v>0</v>
      </c>
      <c r="AJ1431" s="13">
        <v>0</v>
      </c>
      <c r="AK1431" s="13">
        <v>0</v>
      </c>
      <c r="AL1431" s="13">
        <v>0</v>
      </c>
      <c r="AM1431" s="13">
        <v>0</v>
      </c>
      <c r="AN1431" s="13">
        <v>1</v>
      </c>
      <c r="AO1431" s="14">
        <v>0</v>
      </c>
      <c r="AP1431" s="13">
        <v>3</v>
      </c>
      <c r="AQ1431" s="13">
        <v>11</v>
      </c>
      <c r="AR1431" s="15">
        <v>75</v>
      </c>
      <c r="AS1431" s="15">
        <v>118</v>
      </c>
    </row>
    <row r="1432" spans="1:45" x14ac:dyDescent="0.25">
      <c r="A1432">
        <v>1958</v>
      </c>
      <c r="B1432" s="11">
        <f t="shared" si="22"/>
        <v>58646</v>
      </c>
      <c r="C1432" s="12">
        <v>586460</v>
      </c>
      <c r="D1432" s="13">
        <v>0</v>
      </c>
      <c r="E1432" s="13">
        <v>1</v>
      </c>
      <c r="F1432" s="13">
        <v>3</v>
      </c>
      <c r="G1432" s="13">
        <v>58</v>
      </c>
      <c r="H1432" s="13" t="str" cm="1">
        <f t="array" ref="H1432">_xlfn.IFS(G1432&lt;=20,"0-20",G1432&lt;=30,"20-30",G1432&lt;=40,"30-40",G1432&lt;=50,"50-60",G1432&lt;=60,"60-70",G1432&lt;=70,"70-80",G1432&lt;=80,"80-90")</f>
        <v>60-70</v>
      </c>
      <c r="I1432" s="13">
        <v>2543</v>
      </c>
      <c r="J1432" s="13" t="str" cm="1">
        <f t="array" ref="J1432">_xlfn.IFS(K1432=1,"Divorciado",L1432=1,"Casado",M1432=1,"Solteiro",N1432=1,"Juntos",O1432=1,"Viuvo")</f>
        <v>Casado</v>
      </c>
      <c r="K1432" s="13">
        <v>0</v>
      </c>
      <c r="L1432" s="13">
        <v>1</v>
      </c>
      <c r="M1432" s="13">
        <v>0</v>
      </c>
      <c r="N1432" s="13">
        <v>0</v>
      </c>
      <c r="O1432" s="13">
        <v>0</v>
      </c>
      <c r="P1432" s="13">
        <v>0</v>
      </c>
      <c r="Q1432" s="13">
        <v>0</v>
      </c>
      <c r="R1432" s="13">
        <v>0</v>
      </c>
      <c r="S1432" s="13">
        <v>1</v>
      </c>
      <c r="T1432" s="13">
        <v>0</v>
      </c>
      <c r="U1432" s="13">
        <v>62</v>
      </c>
      <c r="V1432" s="13" t="str" cm="1">
        <f t="array" ref="V1432">_xlfn.IFS(U1432&lt;=250,"0-R$250",U1432&lt;=500,"251-R$500",U1432&lt;=750,"501-R$750",U1432&lt;=1000,"751-R$1000",U1432&lt;=1250,"1001-R$1250",U1432&lt;=1500,"1251-R$1500")</f>
        <v>0-R$250</v>
      </c>
      <c r="W1432" s="13">
        <v>1</v>
      </c>
      <c r="X1432" s="13" t="str" cm="1">
        <f t="array" ref="X1432">_xlfn.IFS(W1432 = 0, "0", W1432&lt;=20, "até R$20",W1432&lt;=40, "21 - R$40",W1432&lt;=60, "41- R$60",W1432&lt;=80, "61 - R$80", W1432&lt;=100, "81 - R$100",W1432&lt;=120, "101 - R$120",W1432&lt;=140, "121 - R$140", W1432&lt;=160, "141- R$160", W1432&lt;=180, "161 - R$180", W1432&lt;=200, "181-R$194")</f>
        <v>até R$20</v>
      </c>
      <c r="Y1432" s="13">
        <v>44</v>
      </c>
      <c r="Z1432" s="13">
        <v>6</v>
      </c>
      <c r="AA1432" s="13">
        <v>5</v>
      </c>
      <c r="AB1432" s="13">
        <v>22</v>
      </c>
      <c r="AC1432" s="13">
        <v>1</v>
      </c>
      <c r="AD1432" s="13">
        <v>2</v>
      </c>
      <c r="AE1432" s="13">
        <v>1</v>
      </c>
      <c r="AF1432" s="13">
        <v>4</v>
      </c>
      <c r="AG1432" s="13">
        <v>4</v>
      </c>
      <c r="AH1432" s="13">
        <v>0</v>
      </c>
      <c r="AI1432" s="13">
        <v>0</v>
      </c>
      <c r="AJ1432" s="13">
        <v>0</v>
      </c>
      <c r="AK1432" s="13">
        <v>0</v>
      </c>
      <c r="AL1432" s="13">
        <v>0</v>
      </c>
      <c r="AM1432" s="13">
        <v>0</v>
      </c>
      <c r="AN1432" s="13">
        <v>0</v>
      </c>
      <c r="AO1432" s="14">
        <v>0</v>
      </c>
      <c r="AP1432" s="13">
        <v>3</v>
      </c>
      <c r="AQ1432" s="13">
        <v>11</v>
      </c>
      <c r="AR1432" s="15">
        <v>96</v>
      </c>
      <c r="AS1432" s="15">
        <v>118</v>
      </c>
    </row>
    <row r="1433" spans="1:45" x14ac:dyDescent="0.25">
      <c r="A1433">
        <v>1963</v>
      </c>
      <c r="B1433" s="11">
        <f t="shared" si="22"/>
        <v>23477</v>
      </c>
      <c r="C1433" s="16">
        <v>234770</v>
      </c>
      <c r="D1433" s="17">
        <v>1</v>
      </c>
      <c r="E1433" s="17">
        <v>0</v>
      </c>
      <c r="F1433" s="17">
        <v>39</v>
      </c>
      <c r="G1433" s="17">
        <v>34</v>
      </c>
      <c r="H1433" s="13" t="str" cm="1">
        <f t="array" ref="H1433">_xlfn.IFS(G1433&lt;=20,"0-20",G1433&lt;=30,"20-30",G1433&lt;=40,"30-40",G1433&lt;=50,"50-60",G1433&lt;=60,"60-70",G1433&lt;=70,"70-80",G1433&lt;=80,"80-90")</f>
        <v>30-40</v>
      </c>
      <c r="I1433" s="17">
        <v>2410</v>
      </c>
      <c r="J1433" s="13" t="str" cm="1">
        <f t="array" ref="J1433">_xlfn.IFS(K1433=1,"Divorciado",L1433=1,"Casado",M1433=1,"Solteiro",N1433=1,"Juntos",O1433=1,"Viuvo")</f>
        <v>Casado</v>
      </c>
      <c r="K1433" s="17">
        <v>0</v>
      </c>
      <c r="L1433" s="17">
        <v>1</v>
      </c>
      <c r="M1433" s="17">
        <v>0</v>
      </c>
      <c r="N1433" s="17">
        <v>0</v>
      </c>
      <c r="O1433" s="17">
        <v>0</v>
      </c>
      <c r="P1433" s="17">
        <v>0</v>
      </c>
      <c r="Q1433" s="17">
        <v>0</v>
      </c>
      <c r="R1433" s="17">
        <v>1</v>
      </c>
      <c r="S1433" s="17">
        <v>0</v>
      </c>
      <c r="T1433" s="17">
        <v>0</v>
      </c>
      <c r="U1433" s="17">
        <v>38</v>
      </c>
      <c r="V1433" s="13" t="str" cm="1">
        <f t="array" ref="V1433">_xlfn.IFS(U1433&lt;=250,"0-R$250",U1433&lt;=500,"251-R$500",U1433&lt;=750,"501-R$750",U1433&lt;=1000,"751-R$1000",U1433&lt;=1250,"1001-R$1250",U1433&lt;=1500,"1251-R$1500")</f>
        <v>0-R$250</v>
      </c>
      <c r="W1433" s="17">
        <v>15</v>
      </c>
      <c r="X1433" s="13" t="str" cm="1">
        <f t="array" ref="X1433">_xlfn.IFS(W1433 = 0, "0", W1433&lt;=20, "até R$20",W1433&lt;=40, "21 - R$40",W1433&lt;=60, "41- R$60",W1433&lt;=80, "61 - R$80", W1433&lt;=100, "81 - R$100",W1433&lt;=120, "101 - R$120",W1433&lt;=140, "121 - R$140", W1433&lt;=160, "141- R$160", W1433&lt;=180, "161 - R$180", W1433&lt;=200, "181-R$194")</f>
        <v>até R$20</v>
      </c>
      <c r="Y1433" s="17">
        <v>54</v>
      </c>
      <c r="Z1433" s="17">
        <v>3</v>
      </c>
      <c r="AA1433" s="17">
        <v>8</v>
      </c>
      <c r="AB1433" s="17">
        <v>29</v>
      </c>
      <c r="AC1433" s="17">
        <v>3</v>
      </c>
      <c r="AD1433" s="17">
        <v>3</v>
      </c>
      <c r="AE1433" s="17">
        <v>0</v>
      </c>
      <c r="AF1433" s="17">
        <v>4</v>
      </c>
      <c r="AG1433" s="17">
        <v>8</v>
      </c>
      <c r="AH1433" s="17">
        <v>0</v>
      </c>
      <c r="AI1433" s="17">
        <v>0</v>
      </c>
      <c r="AJ1433" s="17">
        <v>0</v>
      </c>
      <c r="AK1433" s="17">
        <v>0</v>
      </c>
      <c r="AL1433" s="17">
        <v>0</v>
      </c>
      <c r="AM1433" s="17">
        <v>0</v>
      </c>
      <c r="AN1433" s="17">
        <v>0</v>
      </c>
      <c r="AO1433" s="18">
        <v>0</v>
      </c>
      <c r="AP1433" s="17">
        <v>3</v>
      </c>
      <c r="AQ1433" s="17">
        <v>11</v>
      </c>
      <c r="AR1433" s="19">
        <v>89</v>
      </c>
      <c r="AS1433" s="19">
        <v>118</v>
      </c>
    </row>
    <row r="1434" spans="1:45" x14ac:dyDescent="0.25">
      <c r="A1434">
        <v>2075</v>
      </c>
      <c r="B1434" s="11">
        <f t="shared" si="22"/>
        <v>58646</v>
      </c>
      <c r="C1434" s="16">
        <v>586460</v>
      </c>
      <c r="D1434" s="17">
        <v>0</v>
      </c>
      <c r="E1434" s="17">
        <v>1</v>
      </c>
      <c r="F1434" s="17">
        <v>3</v>
      </c>
      <c r="G1434" s="17">
        <v>58</v>
      </c>
      <c r="H1434" s="13" t="str" cm="1">
        <f t="array" ref="H1434">_xlfn.IFS(G1434&lt;=20,"0-20",G1434&lt;=30,"20-30",G1434&lt;=40,"30-40",G1434&lt;=50,"50-60",G1434&lt;=60,"60-70",G1434&lt;=70,"70-80",G1434&lt;=80,"80-90")</f>
        <v>60-70</v>
      </c>
      <c r="I1434" s="17">
        <v>2543</v>
      </c>
      <c r="J1434" s="13" t="str" cm="1">
        <f t="array" ref="J1434">_xlfn.IFS(K1434=1,"Divorciado",L1434=1,"Casado",M1434=1,"Solteiro",N1434=1,"Juntos",O1434=1,"Viuvo")</f>
        <v>Casado</v>
      </c>
      <c r="K1434" s="17">
        <v>0</v>
      </c>
      <c r="L1434" s="17">
        <v>1</v>
      </c>
      <c r="M1434" s="17">
        <v>0</v>
      </c>
      <c r="N1434" s="17">
        <v>0</v>
      </c>
      <c r="O1434" s="17">
        <v>0</v>
      </c>
      <c r="P1434" s="17">
        <v>0</v>
      </c>
      <c r="Q1434" s="17">
        <v>0</v>
      </c>
      <c r="R1434" s="17">
        <v>0</v>
      </c>
      <c r="S1434" s="17">
        <v>1</v>
      </c>
      <c r="T1434" s="17">
        <v>0</v>
      </c>
      <c r="U1434" s="17">
        <v>62</v>
      </c>
      <c r="V1434" s="13" t="str" cm="1">
        <f t="array" ref="V1434">_xlfn.IFS(U1434&lt;=250,"0-R$250",U1434&lt;=500,"251-R$500",U1434&lt;=750,"501-R$750",U1434&lt;=1000,"751-R$1000",U1434&lt;=1250,"1001-R$1250",U1434&lt;=1500,"1251-R$1500")</f>
        <v>0-R$250</v>
      </c>
      <c r="W1434" s="17">
        <v>1</v>
      </c>
      <c r="X1434" s="13" t="str" cm="1">
        <f t="array" ref="X1434">_xlfn.IFS(W1434 = 0, "0", W1434&lt;=20, "até R$20",W1434&lt;=40, "21 - R$40",W1434&lt;=60, "41- R$60",W1434&lt;=80, "61 - R$80", W1434&lt;=100, "81 - R$100",W1434&lt;=120, "101 - R$120",W1434&lt;=140, "121 - R$140", W1434&lt;=160, "141- R$160", W1434&lt;=180, "161 - R$180", W1434&lt;=200, "181-R$194")</f>
        <v>até R$20</v>
      </c>
      <c r="Y1434" s="17">
        <v>44</v>
      </c>
      <c r="Z1434" s="17">
        <v>6</v>
      </c>
      <c r="AA1434" s="17">
        <v>5</v>
      </c>
      <c r="AB1434" s="17">
        <v>22</v>
      </c>
      <c r="AC1434" s="17">
        <v>1</v>
      </c>
      <c r="AD1434" s="17">
        <v>2</v>
      </c>
      <c r="AE1434" s="17">
        <v>1</v>
      </c>
      <c r="AF1434" s="17">
        <v>4</v>
      </c>
      <c r="AG1434" s="17">
        <v>4</v>
      </c>
      <c r="AH1434" s="17">
        <v>0</v>
      </c>
      <c r="AI1434" s="17">
        <v>0</v>
      </c>
      <c r="AJ1434" s="17">
        <v>0</v>
      </c>
      <c r="AK1434" s="17">
        <v>0</v>
      </c>
      <c r="AL1434" s="17">
        <v>0</v>
      </c>
      <c r="AM1434" s="17">
        <v>0</v>
      </c>
      <c r="AN1434" s="17">
        <v>0</v>
      </c>
      <c r="AO1434" s="18">
        <v>0</v>
      </c>
      <c r="AP1434" s="17">
        <v>3</v>
      </c>
      <c r="AQ1434" s="17">
        <v>11</v>
      </c>
      <c r="AR1434" s="19">
        <v>96</v>
      </c>
      <c r="AS1434" s="19">
        <v>118</v>
      </c>
    </row>
    <row r="1435" spans="1:45" x14ac:dyDescent="0.25">
      <c r="A1435">
        <v>2089</v>
      </c>
      <c r="B1435" s="11">
        <f t="shared" si="22"/>
        <v>37509</v>
      </c>
      <c r="C1435" s="16">
        <v>375090</v>
      </c>
      <c r="D1435" s="17">
        <v>1</v>
      </c>
      <c r="E1435" s="17">
        <v>0</v>
      </c>
      <c r="F1435" s="17">
        <v>24</v>
      </c>
      <c r="G1435" s="17">
        <v>44</v>
      </c>
      <c r="H1435" s="13" t="str" cm="1">
        <f t="array" ref="H1435">_xlfn.IFS(G1435&lt;=20,"0-20",G1435&lt;=30,"20-30",G1435&lt;=40,"30-40",G1435&lt;=50,"50-60",G1435&lt;=60,"60-70",G1435&lt;=70,"70-80",G1435&lt;=80,"80-90")</f>
        <v>50-60</v>
      </c>
      <c r="I1435" s="17">
        <v>2814</v>
      </c>
      <c r="J1435" s="13" t="str" cm="1">
        <f t="array" ref="J1435">_xlfn.IFS(K1435=1,"Divorciado",L1435=1,"Casado",M1435=1,"Solteiro",N1435=1,"Juntos",O1435=1,"Viuvo")</f>
        <v>Juntos</v>
      </c>
      <c r="K1435" s="17">
        <v>0</v>
      </c>
      <c r="L1435" s="17">
        <v>0</v>
      </c>
      <c r="M1435" s="17">
        <v>0</v>
      </c>
      <c r="N1435" s="17">
        <v>1</v>
      </c>
      <c r="O1435" s="17">
        <v>0</v>
      </c>
      <c r="P1435" s="17">
        <v>0</v>
      </c>
      <c r="Q1435" s="17">
        <v>0</v>
      </c>
      <c r="R1435" s="17">
        <v>0</v>
      </c>
      <c r="S1435" s="17">
        <v>1</v>
      </c>
      <c r="T1435" s="17">
        <v>0</v>
      </c>
      <c r="U1435" s="17">
        <v>37</v>
      </c>
      <c r="V1435" s="13" t="str" cm="1">
        <f t="array" ref="V1435">_xlfn.IFS(U1435&lt;=250,"0-R$250",U1435&lt;=500,"251-R$500",U1435&lt;=750,"501-R$750",U1435&lt;=1000,"751-R$1000",U1435&lt;=1250,"1001-R$1250",U1435&lt;=1500,"1251-R$1500")</f>
        <v>0-R$250</v>
      </c>
      <c r="W1435" s="17">
        <v>5</v>
      </c>
      <c r="X1435" s="13" t="str" cm="1">
        <f t="array" ref="X1435">_xlfn.IFS(W1435 = 0, "0", W1435&lt;=20, "até R$20",W1435&lt;=40, "21 - R$40",W1435&lt;=60, "41- R$60",W1435&lt;=80, "61 - R$80", W1435&lt;=100, "81 - R$100",W1435&lt;=120, "101 - R$120",W1435&lt;=140, "121 - R$140", W1435&lt;=160, "141- R$160", W1435&lt;=180, "161 - R$180", W1435&lt;=200, "181-R$194")</f>
        <v>até R$20</v>
      </c>
      <c r="Y1435" s="17">
        <v>56</v>
      </c>
      <c r="Z1435" s="17">
        <v>12</v>
      </c>
      <c r="AA1435" s="17">
        <v>8</v>
      </c>
      <c r="AB1435" s="17">
        <v>5</v>
      </c>
      <c r="AC1435" s="17">
        <v>2</v>
      </c>
      <c r="AD1435" s="17">
        <v>3</v>
      </c>
      <c r="AE1435" s="17">
        <v>0</v>
      </c>
      <c r="AF1435" s="17">
        <v>4</v>
      </c>
      <c r="AG1435" s="17">
        <v>7</v>
      </c>
      <c r="AH1435" s="17">
        <v>0</v>
      </c>
      <c r="AI1435" s="17">
        <v>0</v>
      </c>
      <c r="AJ1435" s="17">
        <v>0</v>
      </c>
      <c r="AK1435" s="17">
        <v>0</v>
      </c>
      <c r="AL1435" s="17">
        <v>0</v>
      </c>
      <c r="AM1435" s="17">
        <v>0</v>
      </c>
      <c r="AN1435" s="17">
        <v>0</v>
      </c>
      <c r="AO1435" s="18">
        <v>0</v>
      </c>
      <c r="AP1435" s="17">
        <v>3</v>
      </c>
      <c r="AQ1435" s="17">
        <v>11</v>
      </c>
      <c r="AR1435" s="19">
        <v>113</v>
      </c>
      <c r="AS1435" s="19">
        <v>118</v>
      </c>
    </row>
    <row r="1436" spans="1:45" x14ac:dyDescent="0.25">
      <c r="A1436">
        <v>31</v>
      </c>
      <c r="B1436" s="11">
        <f t="shared" si="22"/>
        <v>40548</v>
      </c>
      <c r="C1436" s="16">
        <v>405480</v>
      </c>
      <c r="D1436" s="17">
        <v>0</v>
      </c>
      <c r="E1436" s="17">
        <v>1</v>
      </c>
      <c r="F1436" s="17">
        <v>31</v>
      </c>
      <c r="G1436" s="17">
        <v>50</v>
      </c>
      <c r="H1436" s="13" t="str" cm="1">
        <f t="array" ref="H1436">_xlfn.IFS(G1436&lt;=20,"0-20",G1436&lt;=30,"20-30",G1436&lt;=40,"30-40",G1436&lt;=50,"50-60",G1436&lt;=60,"60-70",G1436&lt;=70,"70-80",G1436&lt;=80,"80-90")</f>
        <v>50-60</v>
      </c>
      <c r="I1436" s="17">
        <v>2786</v>
      </c>
      <c r="J1436" s="13" t="str" cm="1">
        <f t="array" ref="J1436">_xlfn.IFS(K1436=1,"Divorciado",L1436=1,"Casado",M1436=1,"Solteiro",N1436=1,"Juntos",O1436=1,"Viuvo")</f>
        <v>Juntos</v>
      </c>
      <c r="K1436" s="17">
        <v>0</v>
      </c>
      <c r="L1436" s="17">
        <v>0</v>
      </c>
      <c r="M1436" s="17">
        <v>0</v>
      </c>
      <c r="N1436" s="17">
        <v>1</v>
      </c>
      <c r="O1436" s="17">
        <v>0</v>
      </c>
      <c r="P1436" s="17">
        <v>0</v>
      </c>
      <c r="Q1436" s="17">
        <v>0</v>
      </c>
      <c r="R1436" s="17">
        <v>1</v>
      </c>
      <c r="S1436" s="17">
        <v>0</v>
      </c>
      <c r="T1436" s="17">
        <v>0</v>
      </c>
      <c r="U1436" s="17">
        <v>110</v>
      </c>
      <c r="V1436" s="13" t="str" cm="1">
        <f t="array" ref="V1436">_xlfn.IFS(U1436&lt;=250,"0-R$250",U1436&lt;=500,"251-R$500",U1436&lt;=750,"501-R$750",U1436&lt;=1000,"751-R$1000",U1436&lt;=1250,"1001-R$1250",U1436&lt;=1500,"1251-R$1500")</f>
        <v>0-R$250</v>
      </c>
      <c r="W1436" s="17">
        <v>0</v>
      </c>
      <c r="X1436" s="13" t="str" cm="1">
        <f t="array" ref="X1436">_xlfn.IFS(W1436 = 0, "0", W1436&lt;=20, "até R$20",W1436&lt;=40, "21 - R$40",W1436&lt;=60, "41- R$60",W1436&lt;=80, "61 - R$80", W1436&lt;=100, "81 - R$100",W1436&lt;=120, "101 - R$120",W1436&lt;=140, "121 - R$140", W1436&lt;=160, "141- R$160", W1436&lt;=180, "161 - R$180", W1436&lt;=200, "181-R$194")</f>
        <v>0</v>
      </c>
      <c r="Y1436" s="17">
        <v>5</v>
      </c>
      <c r="Z1436" s="17">
        <v>2</v>
      </c>
      <c r="AA1436" s="17">
        <v>0</v>
      </c>
      <c r="AB1436" s="17">
        <v>3</v>
      </c>
      <c r="AC1436" s="17">
        <v>2</v>
      </c>
      <c r="AD1436" s="17">
        <v>2</v>
      </c>
      <c r="AE1436" s="17">
        <v>1</v>
      </c>
      <c r="AF1436" s="17">
        <v>4</v>
      </c>
      <c r="AG1436" s="17">
        <v>5</v>
      </c>
      <c r="AH1436" s="17">
        <v>0</v>
      </c>
      <c r="AI1436" s="17">
        <v>0</v>
      </c>
      <c r="AJ1436" s="17">
        <v>1</v>
      </c>
      <c r="AK1436" s="17">
        <v>0</v>
      </c>
      <c r="AL1436" s="17">
        <v>0</v>
      </c>
      <c r="AM1436" s="17">
        <v>0</v>
      </c>
      <c r="AN1436" s="17">
        <v>0</v>
      </c>
      <c r="AO1436" s="18">
        <v>1</v>
      </c>
      <c r="AP1436" s="17">
        <v>3</v>
      </c>
      <c r="AQ1436" s="17">
        <v>11</v>
      </c>
      <c r="AR1436" s="19">
        <v>114</v>
      </c>
      <c r="AS1436" s="19">
        <v>117</v>
      </c>
    </row>
    <row r="1437" spans="1:45" x14ac:dyDescent="0.25">
      <c r="A1437">
        <v>422</v>
      </c>
      <c r="B1437" s="11">
        <f t="shared" si="22"/>
        <v>32011</v>
      </c>
      <c r="C1437" s="12">
        <v>320110</v>
      </c>
      <c r="D1437" s="13">
        <v>1</v>
      </c>
      <c r="E1437" s="13">
        <v>0</v>
      </c>
      <c r="F1437" s="13">
        <v>89</v>
      </c>
      <c r="G1437" s="13">
        <v>49</v>
      </c>
      <c r="H1437" s="13" t="str" cm="1">
        <f t="array" ref="H1437">_xlfn.IFS(G1437&lt;=20,"0-20",G1437&lt;=30,"20-30",G1437&lt;=40,"30-40",G1437&lt;=50,"50-60",G1437&lt;=60,"60-70",G1437&lt;=70,"70-80",G1437&lt;=80,"80-90")</f>
        <v>50-60</v>
      </c>
      <c r="I1437" s="13">
        <v>2470</v>
      </c>
      <c r="J1437" s="13" t="str" cm="1">
        <f t="array" ref="J1437">_xlfn.IFS(K1437=1,"Divorciado",L1437=1,"Casado",M1437=1,"Solteiro",N1437=1,"Juntos",O1437=1,"Viuvo")</f>
        <v>Casado</v>
      </c>
      <c r="K1437" s="13">
        <v>0</v>
      </c>
      <c r="L1437" s="13">
        <v>1</v>
      </c>
      <c r="M1437" s="13">
        <v>0</v>
      </c>
      <c r="N1437" s="13">
        <v>0</v>
      </c>
      <c r="O1437" s="13">
        <v>0</v>
      </c>
      <c r="P1437" s="13">
        <v>0</v>
      </c>
      <c r="Q1437" s="13">
        <v>0</v>
      </c>
      <c r="R1437" s="13">
        <v>0</v>
      </c>
      <c r="S1437" s="13">
        <v>0</v>
      </c>
      <c r="T1437" s="13">
        <v>1</v>
      </c>
      <c r="U1437" s="13">
        <v>99</v>
      </c>
      <c r="V1437" s="13" t="str" cm="1">
        <f t="array" ref="V1437">_xlfn.IFS(U1437&lt;=250,"0-R$250",U1437&lt;=500,"251-R$500",U1437&lt;=750,"501-R$750",U1437&lt;=1000,"751-R$1000",U1437&lt;=1250,"1001-R$1250",U1437&lt;=1500,"1251-R$1500")</f>
        <v>0-R$250</v>
      </c>
      <c r="W1437" s="13">
        <v>0</v>
      </c>
      <c r="X1437" s="13" t="str" cm="1">
        <f t="array" ref="X1437">_xlfn.IFS(W1437 = 0, "0", W1437&lt;=20, "até R$20",W1437&lt;=40, "21 - R$40",W1437&lt;=60, "41- R$60",W1437&lt;=80, "61 - R$80", W1437&lt;=100, "81 - R$100",W1437&lt;=120, "101 - R$120",W1437&lt;=140, "121 - R$140", W1437&lt;=160, "141- R$160", W1437&lt;=180, "161 - R$180", W1437&lt;=200, "181-R$194")</f>
        <v>0</v>
      </c>
      <c r="Y1437" s="13">
        <v>15</v>
      </c>
      <c r="Z1437" s="13">
        <v>2</v>
      </c>
      <c r="AA1437" s="13">
        <v>1</v>
      </c>
      <c r="AB1437" s="13">
        <v>5</v>
      </c>
      <c r="AC1437" s="13">
        <v>3</v>
      </c>
      <c r="AD1437" s="13">
        <v>2</v>
      </c>
      <c r="AE1437" s="13">
        <v>1</v>
      </c>
      <c r="AF1437" s="13">
        <v>4</v>
      </c>
      <c r="AG1437" s="13">
        <v>7</v>
      </c>
      <c r="AH1437" s="13">
        <v>0</v>
      </c>
      <c r="AI1437" s="13">
        <v>0</v>
      </c>
      <c r="AJ1437" s="13">
        <v>0</v>
      </c>
      <c r="AK1437" s="13">
        <v>0</v>
      </c>
      <c r="AL1437" s="13">
        <v>0</v>
      </c>
      <c r="AM1437" s="13">
        <v>0</v>
      </c>
      <c r="AN1437" s="13">
        <v>0</v>
      </c>
      <c r="AO1437" s="14">
        <v>0</v>
      </c>
      <c r="AP1437" s="13">
        <v>3</v>
      </c>
      <c r="AQ1437" s="13">
        <v>11</v>
      </c>
      <c r="AR1437" s="15">
        <v>112</v>
      </c>
      <c r="AS1437" s="15">
        <v>117</v>
      </c>
    </row>
    <row r="1438" spans="1:45" x14ac:dyDescent="0.25">
      <c r="A1438">
        <v>492</v>
      </c>
      <c r="B1438" s="11">
        <f t="shared" si="22"/>
        <v>34935</v>
      </c>
      <c r="C1438" s="12">
        <v>349350</v>
      </c>
      <c r="D1438" s="13">
        <v>0</v>
      </c>
      <c r="E1438" s="13">
        <v>0</v>
      </c>
      <c r="F1438" s="13">
        <v>71</v>
      </c>
      <c r="G1438" s="13">
        <v>28</v>
      </c>
      <c r="H1438" s="13" t="str" cm="1">
        <f t="array" ref="H1438">_xlfn.IFS(G1438&lt;=20,"0-20",G1438&lt;=30,"20-30",G1438&lt;=40,"30-40",G1438&lt;=50,"50-60",G1438&lt;=60,"60-70",G1438&lt;=70,"70-80",G1438&lt;=80,"80-90")</f>
        <v>20-30</v>
      </c>
      <c r="I1438" s="13">
        <v>2532</v>
      </c>
      <c r="J1438" s="13" t="str" cm="1">
        <f t="array" ref="J1438">_xlfn.IFS(K1438=1,"Divorciado",L1438=1,"Casado",M1438=1,"Solteiro",N1438=1,"Juntos",O1438=1,"Viuvo")</f>
        <v>Casado</v>
      </c>
      <c r="K1438" s="13">
        <v>0</v>
      </c>
      <c r="L1438" s="13">
        <v>1</v>
      </c>
      <c r="M1438" s="13">
        <v>0</v>
      </c>
      <c r="N1438" s="13">
        <v>0</v>
      </c>
      <c r="O1438" s="13">
        <v>0</v>
      </c>
      <c r="P1438" s="13">
        <v>0</v>
      </c>
      <c r="Q1438" s="13">
        <v>0</v>
      </c>
      <c r="R1438" s="13">
        <v>1</v>
      </c>
      <c r="S1438" s="13">
        <v>0</v>
      </c>
      <c r="T1438" s="13">
        <v>0</v>
      </c>
      <c r="U1438" s="13">
        <v>34</v>
      </c>
      <c r="V1438" s="13" t="str" cm="1">
        <f t="array" ref="V1438">_xlfn.IFS(U1438&lt;=250,"0-R$250",U1438&lt;=500,"251-R$500",U1438&lt;=750,"501-R$750",U1438&lt;=1000,"751-R$1000",U1438&lt;=1250,"1001-R$1250",U1438&lt;=1500,"1251-R$1500")</f>
        <v>0-R$250</v>
      </c>
      <c r="W1438" s="13">
        <v>4</v>
      </c>
      <c r="X1438" s="13" t="str" cm="1">
        <f t="array" ref="X1438">_xlfn.IFS(W1438 = 0, "0", W1438&lt;=20, "até R$20",W1438&lt;=40, "21 - R$40",W1438&lt;=60, "41- R$60",W1438&lt;=80, "61 - R$80", W1438&lt;=100, "81 - R$100",W1438&lt;=120, "101 - R$120",W1438&lt;=140, "121 - R$140", W1438&lt;=160, "141- R$160", W1438&lt;=180, "161 - R$180", W1438&lt;=200, "181-R$194")</f>
        <v>até R$20</v>
      </c>
      <c r="Y1438" s="13">
        <v>66</v>
      </c>
      <c r="Z1438" s="13">
        <v>3</v>
      </c>
      <c r="AA1438" s="13">
        <v>10</v>
      </c>
      <c r="AB1438" s="13">
        <v>20</v>
      </c>
      <c r="AC1438" s="13">
        <v>1</v>
      </c>
      <c r="AD1438" s="13">
        <v>2</v>
      </c>
      <c r="AE1438" s="13">
        <v>1</v>
      </c>
      <c r="AF1438" s="13">
        <v>4</v>
      </c>
      <c r="AG1438" s="13">
        <v>7</v>
      </c>
      <c r="AH1438" s="13">
        <v>0</v>
      </c>
      <c r="AI1438" s="13">
        <v>0</v>
      </c>
      <c r="AJ1438" s="13">
        <v>0</v>
      </c>
      <c r="AK1438" s="13">
        <v>0</v>
      </c>
      <c r="AL1438" s="13">
        <v>0</v>
      </c>
      <c r="AM1438" s="13">
        <v>0</v>
      </c>
      <c r="AN1438" s="13">
        <v>0</v>
      </c>
      <c r="AO1438" s="14">
        <v>0</v>
      </c>
      <c r="AP1438" s="13">
        <v>3</v>
      </c>
      <c r="AQ1438" s="13">
        <v>11</v>
      </c>
      <c r="AR1438" s="15">
        <v>97</v>
      </c>
      <c r="AS1438" s="15">
        <v>117</v>
      </c>
    </row>
    <row r="1439" spans="1:45" x14ac:dyDescent="0.25">
      <c r="A1439">
        <v>1075</v>
      </c>
      <c r="B1439" s="11">
        <f t="shared" si="22"/>
        <v>57236</v>
      </c>
      <c r="C1439" s="16">
        <v>572360</v>
      </c>
      <c r="D1439" s="17">
        <v>1</v>
      </c>
      <c r="E1439" s="17">
        <v>1</v>
      </c>
      <c r="F1439" s="17">
        <v>22</v>
      </c>
      <c r="G1439" s="17">
        <v>55</v>
      </c>
      <c r="H1439" s="13" t="str" cm="1">
        <f t="array" ref="H1439">_xlfn.IFS(G1439&lt;=20,"0-20",G1439&lt;=30,"20-30",G1439&lt;=40,"30-40",G1439&lt;=50,"50-60",G1439&lt;=60,"60-70",G1439&lt;=70,"70-80",G1439&lt;=80,"80-90")</f>
        <v>60-70</v>
      </c>
      <c r="I1439" s="17">
        <v>2268</v>
      </c>
      <c r="J1439" s="13" t="str" cm="1">
        <f t="array" ref="J1439">_xlfn.IFS(K1439=1,"Divorciado",L1439=1,"Casado",M1439=1,"Solteiro",N1439=1,"Juntos",O1439=1,"Viuvo")</f>
        <v>Casado</v>
      </c>
      <c r="K1439" s="17">
        <v>0</v>
      </c>
      <c r="L1439" s="17">
        <v>1</v>
      </c>
      <c r="M1439" s="17">
        <v>0</v>
      </c>
      <c r="N1439" s="17">
        <v>0</v>
      </c>
      <c r="O1439" s="17">
        <v>0</v>
      </c>
      <c r="P1439" s="17">
        <v>0</v>
      </c>
      <c r="Q1439" s="17">
        <v>0</v>
      </c>
      <c r="R1439" s="17">
        <v>0</v>
      </c>
      <c r="S1439" s="17">
        <v>0</v>
      </c>
      <c r="T1439" s="17">
        <v>1</v>
      </c>
      <c r="U1439" s="17">
        <v>105</v>
      </c>
      <c r="V1439" s="13" t="str" cm="1">
        <f t="array" ref="V1439">_xlfn.IFS(U1439&lt;=250,"0-R$250",U1439&lt;=500,"251-R$500",U1439&lt;=750,"501-R$750",U1439&lt;=1000,"751-R$1000",U1439&lt;=1250,"1001-R$1250",U1439&lt;=1500,"1251-R$1500")</f>
        <v>0-R$250</v>
      </c>
      <c r="W1439" s="17">
        <v>0</v>
      </c>
      <c r="X1439" s="13" t="str" cm="1">
        <f t="array" ref="X1439">_xlfn.IFS(W1439 = 0, "0", W1439&lt;=20, "até R$20",W1439&lt;=40, "21 - R$40",W1439&lt;=60, "41- R$60",W1439&lt;=80, "61 - R$80", W1439&lt;=100, "81 - R$100",W1439&lt;=120, "101 - R$120",W1439&lt;=140, "121 - R$140", W1439&lt;=160, "141- R$160", W1439&lt;=180, "161 - R$180", W1439&lt;=200, "181-R$194")</f>
        <v>0</v>
      </c>
      <c r="Y1439" s="17">
        <v>9</v>
      </c>
      <c r="Z1439" s="17">
        <v>2</v>
      </c>
      <c r="AA1439" s="17">
        <v>1</v>
      </c>
      <c r="AB1439" s="17">
        <v>4</v>
      </c>
      <c r="AC1439" s="17">
        <v>3</v>
      </c>
      <c r="AD1439" s="17">
        <v>2</v>
      </c>
      <c r="AE1439" s="17">
        <v>1</v>
      </c>
      <c r="AF1439" s="17">
        <v>4</v>
      </c>
      <c r="AG1439" s="17">
        <v>3</v>
      </c>
      <c r="AH1439" s="17">
        <v>0</v>
      </c>
      <c r="AI1439" s="17">
        <v>0</v>
      </c>
      <c r="AJ1439" s="17">
        <v>0</v>
      </c>
      <c r="AK1439" s="17">
        <v>0</v>
      </c>
      <c r="AL1439" s="17">
        <v>0</v>
      </c>
      <c r="AM1439" s="17">
        <v>0</v>
      </c>
      <c r="AN1439" s="17">
        <v>0</v>
      </c>
      <c r="AO1439" s="18">
        <v>0</v>
      </c>
      <c r="AP1439" s="17">
        <v>3</v>
      </c>
      <c r="AQ1439" s="17">
        <v>11</v>
      </c>
      <c r="AR1439" s="19">
        <v>113</v>
      </c>
      <c r="AS1439" s="19">
        <v>117</v>
      </c>
    </row>
    <row r="1440" spans="1:45" x14ac:dyDescent="0.25">
      <c r="A1440">
        <v>1381</v>
      </c>
      <c r="B1440" s="11">
        <f t="shared" si="22"/>
        <v>36947</v>
      </c>
      <c r="C1440" s="16">
        <v>369470</v>
      </c>
      <c r="D1440" s="17">
        <v>1</v>
      </c>
      <c r="E1440" s="17">
        <v>1</v>
      </c>
      <c r="F1440" s="17">
        <v>49</v>
      </c>
      <c r="G1440" s="17">
        <v>53</v>
      </c>
      <c r="H1440" s="13" t="str" cm="1">
        <f t="array" ref="H1440">_xlfn.IFS(G1440&lt;=20,"0-20",G1440&lt;=30,"20-30",G1440&lt;=40,"30-40",G1440&lt;=50,"50-60",G1440&lt;=60,"60-70",G1440&lt;=70,"70-80",G1440&lt;=80,"80-90")</f>
        <v>60-70</v>
      </c>
      <c r="I1440" s="17">
        <v>2850</v>
      </c>
      <c r="J1440" s="13" t="str" cm="1">
        <f t="array" ref="J1440">_xlfn.IFS(K1440=1,"Divorciado",L1440=1,"Casado",M1440=1,"Solteiro",N1440=1,"Juntos",O1440=1,"Viuvo")</f>
        <v>Casado</v>
      </c>
      <c r="K1440" s="17">
        <v>0</v>
      </c>
      <c r="L1440" s="17">
        <v>1</v>
      </c>
      <c r="M1440" s="17">
        <v>0</v>
      </c>
      <c r="N1440" s="17">
        <v>0</v>
      </c>
      <c r="O1440" s="17">
        <v>0</v>
      </c>
      <c r="P1440" s="17">
        <v>0</v>
      </c>
      <c r="Q1440" s="17">
        <v>0</v>
      </c>
      <c r="R1440" s="17">
        <v>0</v>
      </c>
      <c r="S1440" s="17">
        <v>0</v>
      </c>
      <c r="T1440" s="17">
        <v>1</v>
      </c>
      <c r="U1440" s="17">
        <v>88</v>
      </c>
      <c r="V1440" s="13" t="str" cm="1">
        <f t="array" ref="V1440">_xlfn.IFS(U1440&lt;=250,"0-R$250",U1440&lt;=500,"251-R$500",U1440&lt;=750,"501-R$750",U1440&lt;=1000,"751-R$1000",U1440&lt;=1250,"1001-R$1250",U1440&lt;=1500,"1251-R$1500")</f>
        <v>0-R$250</v>
      </c>
      <c r="W1440" s="17">
        <v>3</v>
      </c>
      <c r="X1440" s="13" t="str" cm="1">
        <f t="array" ref="X1440">_xlfn.IFS(W1440 = 0, "0", W1440&lt;=20, "até R$20",W1440&lt;=40, "21 - R$40",W1440&lt;=60, "41- R$60",W1440&lt;=80, "61 - R$80", W1440&lt;=100, "81 - R$100",W1440&lt;=120, "101 - R$120",W1440&lt;=140, "121 - R$140", W1440&lt;=160, "141- R$160", W1440&lt;=180, "161 - R$180", W1440&lt;=200, "181-R$194")</f>
        <v>até R$20</v>
      </c>
      <c r="Y1440" s="17">
        <v>21</v>
      </c>
      <c r="Z1440" s="17">
        <v>4</v>
      </c>
      <c r="AA1440" s="17">
        <v>1</v>
      </c>
      <c r="AB1440" s="17">
        <v>29</v>
      </c>
      <c r="AC1440" s="17">
        <v>4</v>
      </c>
      <c r="AD1440" s="17">
        <v>3</v>
      </c>
      <c r="AE1440" s="17">
        <v>0</v>
      </c>
      <c r="AF1440" s="17">
        <v>4</v>
      </c>
      <c r="AG1440" s="17">
        <v>9</v>
      </c>
      <c r="AH1440" s="17">
        <v>0</v>
      </c>
      <c r="AI1440" s="17">
        <v>0</v>
      </c>
      <c r="AJ1440" s="17">
        <v>0</v>
      </c>
      <c r="AK1440" s="17">
        <v>0</v>
      </c>
      <c r="AL1440" s="17">
        <v>0</v>
      </c>
      <c r="AM1440" s="17">
        <v>0</v>
      </c>
      <c r="AN1440" s="17">
        <v>0</v>
      </c>
      <c r="AO1440" s="18">
        <v>0</v>
      </c>
      <c r="AP1440" s="17">
        <v>3</v>
      </c>
      <c r="AQ1440" s="17">
        <v>11</v>
      </c>
      <c r="AR1440" s="19">
        <v>88</v>
      </c>
      <c r="AS1440" s="19">
        <v>117</v>
      </c>
    </row>
    <row r="1441" spans="1:45" x14ac:dyDescent="0.25">
      <c r="A1441">
        <v>1554</v>
      </c>
      <c r="B1441" s="11">
        <f t="shared" si="22"/>
        <v>34935</v>
      </c>
      <c r="C1441" s="12">
        <v>349350</v>
      </c>
      <c r="D1441" s="13">
        <v>0</v>
      </c>
      <c r="E1441" s="13">
        <v>0</v>
      </c>
      <c r="F1441" s="13">
        <v>71</v>
      </c>
      <c r="G1441" s="13">
        <v>28</v>
      </c>
      <c r="H1441" s="13" t="str" cm="1">
        <f t="array" ref="H1441">_xlfn.IFS(G1441&lt;=20,"0-20",G1441&lt;=30,"20-30",G1441&lt;=40,"30-40",G1441&lt;=50,"50-60",G1441&lt;=60,"60-70",G1441&lt;=70,"70-80",G1441&lt;=80,"80-90")</f>
        <v>20-30</v>
      </c>
      <c r="I1441" s="13">
        <v>2532</v>
      </c>
      <c r="J1441" s="13" t="str" cm="1">
        <f t="array" ref="J1441">_xlfn.IFS(K1441=1,"Divorciado",L1441=1,"Casado",M1441=1,"Solteiro",N1441=1,"Juntos",O1441=1,"Viuvo")</f>
        <v>Casado</v>
      </c>
      <c r="K1441" s="13">
        <v>0</v>
      </c>
      <c r="L1441" s="13">
        <v>1</v>
      </c>
      <c r="M1441" s="13">
        <v>0</v>
      </c>
      <c r="N1441" s="13">
        <v>0</v>
      </c>
      <c r="O1441" s="13">
        <v>0</v>
      </c>
      <c r="P1441" s="13">
        <v>0</v>
      </c>
      <c r="Q1441" s="13">
        <v>0</v>
      </c>
      <c r="R1441" s="13">
        <v>1</v>
      </c>
      <c r="S1441" s="13">
        <v>0</v>
      </c>
      <c r="T1441" s="13">
        <v>0</v>
      </c>
      <c r="U1441" s="13">
        <v>34</v>
      </c>
      <c r="V1441" s="13" t="str" cm="1">
        <f t="array" ref="V1441">_xlfn.IFS(U1441&lt;=250,"0-R$250",U1441&lt;=500,"251-R$500",U1441&lt;=750,"501-R$750",U1441&lt;=1000,"751-R$1000",U1441&lt;=1250,"1001-R$1250",U1441&lt;=1500,"1251-R$1500")</f>
        <v>0-R$250</v>
      </c>
      <c r="W1441" s="13">
        <v>4</v>
      </c>
      <c r="X1441" s="13" t="str" cm="1">
        <f t="array" ref="X1441">_xlfn.IFS(W1441 = 0, "0", W1441&lt;=20, "até R$20",W1441&lt;=40, "21 - R$40",W1441&lt;=60, "41- R$60",W1441&lt;=80, "61 - R$80", W1441&lt;=100, "81 - R$100",W1441&lt;=120, "101 - R$120",W1441&lt;=140, "121 - R$140", W1441&lt;=160, "141- R$160", W1441&lt;=180, "161 - R$180", W1441&lt;=200, "181-R$194")</f>
        <v>até R$20</v>
      </c>
      <c r="Y1441" s="13">
        <v>66</v>
      </c>
      <c r="Z1441" s="13">
        <v>3</v>
      </c>
      <c r="AA1441" s="13">
        <v>10</v>
      </c>
      <c r="AB1441" s="13">
        <v>20</v>
      </c>
      <c r="AC1441" s="13">
        <v>1</v>
      </c>
      <c r="AD1441" s="13">
        <v>2</v>
      </c>
      <c r="AE1441" s="13">
        <v>1</v>
      </c>
      <c r="AF1441" s="13">
        <v>4</v>
      </c>
      <c r="AG1441" s="13">
        <v>7</v>
      </c>
      <c r="AH1441" s="13">
        <v>0</v>
      </c>
      <c r="AI1441" s="13">
        <v>0</v>
      </c>
      <c r="AJ1441" s="13">
        <v>0</v>
      </c>
      <c r="AK1441" s="13">
        <v>0</v>
      </c>
      <c r="AL1441" s="13">
        <v>0</v>
      </c>
      <c r="AM1441" s="13">
        <v>0</v>
      </c>
      <c r="AN1441" s="13">
        <v>0</v>
      </c>
      <c r="AO1441" s="14">
        <v>0</v>
      </c>
      <c r="AP1441" s="13">
        <v>3</v>
      </c>
      <c r="AQ1441" s="13">
        <v>11</v>
      </c>
      <c r="AR1441" s="15">
        <v>97</v>
      </c>
      <c r="AS1441" s="15">
        <v>117</v>
      </c>
    </row>
    <row r="1442" spans="1:45" x14ac:dyDescent="0.25">
      <c r="A1442">
        <v>1596</v>
      </c>
      <c r="B1442" s="11">
        <f t="shared" si="22"/>
        <v>51717</v>
      </c>
      <c r="C1442" s="12">
        <v>517170</v>
      </c>
      <c r="D1442" s="13">
        <v>0</v>
      </c>
      <c r="E1442" s="13">
        <v>1</v>
      </c>
      <c r="F1442" s="13">
        <v>55</v>
      </c>
      <c r="G1442" s="13">
        <v>55</v>
      </c>
      <c r="H1442" s="13" t="str" cm="1">
        <f t="array" ref="H1442">_xlfn.IFS(G1442&lt;=20,"0-20",G1442&lt;=30,"20-30",G1442&lt;=40,"30-40",G1442&lt;=50,"50-60",G1442&lt;=60,"60-70",G1442&lt;=70,"70-80",G1442&lt;=80,"80-90")</f>
        <v>60-70</v>
      </c>
      <c r="I1442" s="13">
        <v>2472</v>
      </c>
      <c r="J1442" s="13" t="str" cm="1">
        <f t="array" ref="J1442">_xlfn.IFS(K1442=1,"Divorciado",L1442=1,"Casado",M1442=1,"Solteiro",N1442=1,"Juntos",O1442=1,"Viuvo")</f>
        <v>Juntos</v>
      </c>
      <c r="K1442" s="13">
        <v>0</v>
      </c>
      <c r="L1442" s="13">
        <v>0</v>
      </c>
      <c r="M1442" s="13">
        <v>0</v>
      </c>
      <c r="N1442" s="13">
        <v>1</v>
      </c>
      <c r="O1442" s="13">
        <v>0</v>
      </c>
      <c r="P1442" s="13">
        <v>0</v>
      </c>
      <c r="Q1442" s="13">
        <v>0</v>
      </c>
      <c r="R1442" s="13">
        <v>0</v>
      </c>
      <c r="S1442" s="13">
        <v>0</v>
      </c>
      <c r="T1442" s="13">
        <v>1</v>
      </c>
      <c r="U1442" s="13">
        <v>98</v>
      </c>
      <c r="V1442" s="13" t="str" cm="1">
        <f t="array" ref="V1442">_xlfn.IFS(U1442&lt;=250,"0-R$250",U1442&lt;=500,"251-R$500",U1442&lt;=750,"501-R$750",U1442&lt;=1000,"751-R$1000",U1442&lt;=1250,"1001-R$1250",U1442&lt;=1500,"1251-R$1500")</f>
        <v>0-R$250</v>
      </c>
      <c r="W1442" s="13">
        <v>1</v>
      </c>
      <c r="X1442" s="13" t="str" cm="1">
        <f t="array" ref="X1442">_xlfn.IFS(W1442 = 0, "0", W1442&lt;=20, "até R$20",W1442&lt;=40, "21 - R$40",W1442&lt;=60, "41- R$60",W1442&lt;=80, "61 - R$80", W1442&lt;=100, "81 - R$100",W1442&lt;=120, "101 - R$120",W1442&lt;=140, "121 - R$140", W1442&lt;=160, "141- R$160", W1442&lt;=180, "161 - R$180", W1442&lt;=200, "181-R$194")</f>
        <v>até R$20</v>
      </c>
      <c r="Y1442" s="13">
        <v>17</v>
      </c>
      <c r="Z1442" s="13">
        <v>0</v>
      </c>
      <c r="AA1442" s="13">
        <v>1</v>
      </c>
      <c r="AB1442" s="13">
        <v>5</v>
      </c>
      <c r="AC1442" s="13">
        <v>1</v>
      </c>
      <c r="AD1442" s="13">
        <v>3</v>
      </c>
      <c r="AE1442" s="13">
        <v>0</v>
      </c>
      <c r="AF1442" s="13">
        <v>4</v>
      </c>
      <c r="AG1442" s="13">
        <v>7</v>
      </c>
      <c r="AH1442" s="13">
        <v>0</v>
      </c>
      <c r="AI1442" s="13">
        <v>0</v>
      </c>
      <c r="AJ1442" s="13">
        <v>1</v>
      </c>
      <c r="AK1442" s="13">
        <v>0</v>
      </c>
      <c r="AL1442" s="13">
        <v>0</v>
      </c>
      <c r="AM1442" s="13">
        <v>0</v>
      </c>
      <c r="AN1442" s="13">
        <v>0</v>
      </c>
      <c r="AO1442" s="14">
        <v>1</v>
      </c>
      <c r="AP1442" s="13">
        <v>3</v>
      </c>
      <c r="AQ1442" s="13">
        <v>11</v>
      </c>
      <c r="AR1442" s="15">
        <v>112</v>
      </c>
      <c r="AS1442" s="15">
        <v>117</v>
      </c>
    </row>
    <row r="1443" spans="1:45" x14ac:dyDescent="0.25">
      <c r="A1443">
        <v>152</v>
      </c>
      <c r="B1443" s="11">
        <f t="shared" si="22"/>
        <v>23228</v>
      </c>
      <c r="C1443" s="12">
        <v>232280</v>
      </c>
      <c r="D1443" s="13">
        <v>1</v>
      </c>
      <c r="E1443" s="13">
        <v>0</v>
      </c>
      <c r="F1443" s="13">
        <v>91</v>
      </c>
      <c r="G1443" s="13">
        <v>36</v>
      </c>
      <c r="H1443" s="13" t="str" cm="1">
        <f t="array" ref="H1443">_xlfn.IFS(G1443&lt;=20,"0-20",G1443&lt;=30,"20-30",G1443&lt;=40,"30-40",G1443&lt;=50,"50-60",G1443&lt;=60,"60-70",G1443&lt;=70,"70-80",G1443&lt;=80,"80-90")</f>
        <v>30-40</v>
      </c>
      <c r="I1443" s="13">
        <v>2334</v>
      </c>
      <c r="J1443" s="13" t="str" cm="1">
        <f t="array" ref="J1443">_xlfn.IFS(K1443=1,"Divorciado",L1443=1,"Casado",M1443=1,"Solteiro",N1443=1,"Juntos",O1443=1,"Viuvo")</f>
        <v>Casado</v>
      </c>
      <c r="K1443" s="13">
        <v>0</v>
      </c>
      <c r="L1443" s="13">
        <v>1</v>
      </c>
      <c r="M1443" s="13">
        <v>0</v>
      </c>
      <c r="N1443" s="13">
        <v>0</v>
      </c>
      <c r="O1443" s="13">
        <v>0</v>
      </c>
      <c r="P1443" s="13">
        <v>0</v>
      </c>
      <c r="Q1443" s="13">
        <v>0</v>
      </c>
      <c r="R1443" s="13">
        <v>1</v>
      </c>
      <c r="S1443" s="13">
        <v>0</v>
      </c>
      <c r="T1443" s="13">
        <v>0</v>
      </c>
      <c r="U1443" s="13">
        <v>53</v>
      </c>
      <c r="V1443" s="13" t="str" cm="1">
        <f t="array" ref="V1443">_xlfn.IFS(U1443&lt;=250,"0-R$250",U1443&lt;=500,"251-R$500",U1443&lt;=750,"501-R$750",U1443&lt;=1000,"751-R$1000",U1443&lt;=1250,"1001-R$1250",U1443&lt;=1500,"1251-R$1500")</f>
        <v>0-R$250</v>
      </c>
      <c r="W1443" s="13">
        <v>3</v>
      </c>
      <c r="X1443" s="13" t="str" cm="1">
        <f t="array" ref="X1443">_xlfn.IFS(W1443 = 0, "0", W1443&lt;=20, "até R$20",W1443&lt;=40, "21 - R$40",W1443&lt;=60, "41- R$60",W1443&lt;=80, "61 - R$80", W1443&lt;=100, "81 - R$100",W1443&lt;=120, "101 - R$120",W1443&lt;=140, "121 - R$140", W1443&lt;=160, "141- R$160", W1443&lt;=180, "161 - R$180", W1443&lt;=200, "181-R$194")</f>
        <v>até R$20</v>
      </c>
      <c r="Y1443" s="13">
        <v>49</v>
      </c>
      <c r="Z1443" s="13">
        <v>7</v>
      </c>
      <c r="AA1443" s="13">
        <v>4</v>
      </c>
      <c r="AB1443" s="13">
        <v>5</v>
      </c>
      <c r="AC1443" s="13">
        <v>4</v>
      </c>
      <c r="AD1443" s="13">
        <v>3</v>
      </c>
      <c r="AE1443" s="13">
        <v>0</v>
      </c>
      <c r="AF1443" s="13">
        <v>4</v>
      </c>
      <c r="AG1443" s="13">
        <v>8</v>
      </c>
      <c r="AH1443" s="13">
        <v>0</v>
      </c>
      <c r="AI1443" s="13">
        <v>0</v>
      </c>
      <c r="AJ1443" s="13">
        <v>0</v>
      </c>
      <c r="AK1443" s="13">
        <v>0</v>
      </c>
      <c r="AL1443" s="13">
        <v>0</v>
      </c>
      <c r="AM1443" s="13">
        <v>0</v>
      </c>
      <c r="AN1443" s="13">
        <v>0</v>
      </c>
      <c r="AO1443" s="14">
        <v>0</v>
      </c>
      <c r="AP1443" s="13">
        <v>3</v>
      </c>
      <c r="AQ1443" s="13">
        <v>11</v>
      </c>
      <c r="AR1443" s="15">
        <v>111</v>
      </c>
      <c r="AS1443" s="15">
        <v>116</v>
      </c>
    </row>
    <row r="1444" spans="1:45" x14ac:dyDescent="0.25">
      <c r="A1444">
        <v>992</v>
      </c>
      <c r="B1444" s="11">
        <f t="shared" si="22"/>
        <v>49187</v>
      </c>
      <c r="C1444" s="12">
        <v>491870</v>
      </c>
      <c r="D1444" s="13">
        <v>0</v>
      </c>
      <c r="E1444" s="13">
        <v>1</v>
      </c>
      <c r="F1444" s="13">
        <v>63</v>
      </c>
      <c r="G1444" s="13">
        <v>44</v>
      </c>
      <c r="H1444" s="13" t="str" cm="1">
        <f t="array" ref="H1444">_xlfn.IFS(G1444&lt;=20,"0-20",G1444&lt;=30,"20-30",G1444&lt;=40,"30-40",G1444&lt;=50,"50-60",G1444&lt;=60,"60-70",G1444&lt;=70,"70-80",G1444&lt;=80,"80-90")</f>
        <v>50-60</v>
      </c>
      <c r="I1444" s="13">
        <v>2328</v>
      </c>
      <c r="J1444" s="13" t="str" cm="1">
        <f t="array" ref="J1444">_xlfn.IFS(K1444=1,"Divorciado",L1444=1,"Casado",M1444=1,"Solteiro",N1444=1,"Juntos",O1444=1,"Viuvo")</f>
        <v>Juntos</v>
      </c>
      <c r="K1444" s="13">
        <v>0</v>
      </c>
      <c r="L1444" s="13">
        <v>0</v>
      </c>
      <c r="M1444" s="13">
        <v>0</v>
      </c>
      <c r="N1444" s="13">
        <v>1</v>
      </c>
      <c r="O1444" s="13">
        <v>0</v>
      </c>
      <c r="P1444" s="13">
        <v>0</v>
      </c>
      <c r="Q1444" s="13">
        <v>0</v>
      </c>
      <c r="R1444" s="13">
        <v>0</v>
      </c>
      <c r="S1444" s="13">
        <v>0</v>
      </c>
      <c r="T1444" s="13">
        <v>1</v>
      </c>
      <c r="U1444" s="13">
        <v>81</v>
      </c>
      <c r="V1444" s="13" t="str" cm="1">
        <f t="array" ref="V1444">_xlfn.IFS(U1444&lt;=250,"0-R$250",U1444&lt;=500,"251-R$500",U1444&lt;=750,"501-R$750",U1444&lt;=1000,"751-R$1000",U1444&lt;=1250,"1001-R$1250",U1444&lt;=1500,"1251-R$1500")</f>
        <v>0-R$250</v>
      </c>
      <c r="W1444" s="13">
        <v>1</v>
      </c>
      <c r="X1444" s="13" t="str" cm="1">
        <f t="array" ref="X1444">_xlfn.IFS(W1444 = 0, "0", W1444&lt;=20, "até R$20",W1444&lt;=40, "21 - R$40",W1444&lt;=60, "41- R$60",W1444&lt;=80, "61 - R$80", W1444&lt;=100, "81 - R$100",W1444&lt;=120, "101 - R$120",W1444&lt;=140, "121 - R$140", W1444&lt;=160, "141- R$160", W1444&lt;=180, "161 - R$180", W1444&lt;=200, "181-R$194")</f>
        <v>até R$20</v>
      </c>
      <c r="Y1444" s="13">
        <v>31</v>
      </c>
      <c r="Z1444" s="13">
        <v>2</v>
      </c>
      <c r="AA1444" s="13">
        <v>1</v>
      </c>
      <c r="AB1444" s="13">
        <v>0</v>
      </c>
      <c r="AC1444" s="13">
        <v>1</v>
      </c>
      <c r="AD1444" s="13">
        <v>1</v>
      </c>
      <c r="AE1444" s="13">
        <v>1</v>
      </c>
      <c r="AF1444" s="13">
        <v>5</v>
      </c>
      <c r="AG1444" s="13">
        <v>2</v>
      </c>
      <c r="AH1444" s="13">
        <v>0</v>
      </c>
      <c r="AI1444" s="13">
        <v>0</v>
      </c>
      <c r="AJ1444" s="13">
        <v>0</v>
      </c>
      <c r="AK1444" s="13">
        <v>0</v>
      </c>
      <c r="AL1444" s="13">
        <v>0</v>
      </c>
      <c r="AM1444" s="13">
        <v>0</v>
      </c>
      <c r="AN1444" s="13">
        <v>0</v>
      </c>
      <c r="AO1444" s="14">
        <v>0</v>
      </c>
      <c r="AP1444" s="13">
        <v>3</v>
      </c>
      <c r="AQ1444" s="13">
        <v>11</v>
      </c>
      <c r="AR1444" s="15">
        <v>116</v>
      </c>
      <c r="AS1444" s="15">
        <v>116</v>
      </c>
    </row>
    <row r="1445" spans="1:45" x14ac:dyDescent="0.25">
      <c r="A1445">
        <v>1175</v>
      </c>
      <c r="B1445" s="11">
        <f t="shared" si="22"/>
        <v>43641</v>
      </c>
      <c r="C1445" s="16">
        <v>436410</v>
      </c>
      <c r="D1445" s="17">
        <v>1</v>
      </c>
      <c r="E1445" s="17">
        <v>1</v>
      </c>
      <c r="F1445" s="17">
        <v>50</v>
      </c>
      <c r="G1445" s="17">
        <v>51</v>
      </c>
      <c r="H1445" s="13" t="str" cm="1">
        <f t="array" ref="H1445">_xlfn.IFS(G1445&lt;=20,"0-20",G1445&lt;=30,"20-30",G1445&lt;=40,"30-40",G1445&lt;=50,"50-60",G1445&lt;=60,"60-70",G1445&lt;=70,"70-80",G1445&lt;=80,"80-90")</f>
        <v>60-70</v>
      </c>
      <c r="I1445" s="17">
        <v>2592</v>
      </c>
      <c r="J1445" s="13" t="str" cm="1">
        <f t="array" ref="J1445">_xlfn.IFS(K1445=1,"Divorciado",L1445=1,"Casado",M1445=1,"Solteiro",N1445=1,"Juntos",O1445=1,"Viuvo")</f>
        <v>Casado</v>
      </c>
      <c r="K1445" s="17">
        <v>0</v>
      </c>
      <c r="L1445" s="17">
        <v>1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1</v>
      </c>
      <c r="T1445" s="17">
        <v>0</v>
      </c>
      <c r="U1445" s="17">
        <v>57</v>
      </c>
      <c r="V1445" s="13" t="str" cm="1">
        <f t="array" ref="V1445">_xlfn.IFS(U1445&lt;=250,"0-R$250",U1445&lt;=500,"251-R$500",U1445&lt;=750,"501-R$750",U1445&lt;=1000,"751-R$1000",U1445&lt;=1250,"1001-R$1250",U1445&lt;=1500,"1251-R$1500")</f>
        <v>0-R$250</v>
      </c>
      <c r="W1445" s="17">
        <v>2</v>
      </c>
      <c r="X1445" s="13" t="str" cm="1">
        <f t="array" ref="X1445">_xlfn.IFS(W1445 = 0, "0", W1445&lt;=20, "até R$20",W1445&lt;=40, "21 - R$40",W1445&lt;=60, "41- R$60",W1445&lt;=80, "61 - R$80", W1445&lt;=100, "81 - R$100",W1445&lt;=120, "101 - R$120",W1445&lt;=140, "121 - R$140", W1445&lt;=160, "141- R$160", W1445&lt;=180, "161 - R$180", W1445&lt;=200, "181-R$194")</f>
        <v>até R$20</v>
      </c>
      <c r="Y1445" s="17">
        <v>51</v>
      </c>
      <c r="Z1445" s="17">
        <v>4</v>
      </c>
      <c r="AA1445" s="17">
        <v>2</v>
      </c>
      <c r="AB1445" s="17">
        <v>23</v>
      </c>
      <c r="AC1445" s="17">
        <v>3</v>
      </c>
      <c r="AD1445" s="17">
        <v>2</v>
      </c>
      <c r="AE1445" s="17">
        <v>1</v>
      </c>
      <c r="AF1445" s="17">
        <v>4</v>
      </c>
      <c r="AG1445" s="17">
        <v>6</v>
      </c>
      <c r="AH1445" s="17">
        <v>0</v>
      </c>
      <c r="AI1445" s="17">
        <v>0</v>
      </c>
      <c r="AJ1445" s="17">
        <v>0</v>
      </c>
      <c r="AK1445" s="17">
        <v>0</v>
      </c>
      <c r="AL1445" s="17">
        <v>0</v>
      </c>
      <c r="AM1445" s="17">
        <v>0</v>
      </c>
      <c r="AN1445" s="17">
        <v>0</v>
      </c>
      <c r="AO1445" s="18">
        <v>0</v>
      </c>
      <c r="AP1445" s="17">
        <v>3</v>
      </c>
      <c r="AQ1445" s="17">
        <v>11</v>
      </c>
      <c r="AR1445" s="19">
        <v>93</v>
      </c>
      <c r="AS1445" s="19">
        <v>116</v>
      </c>
    </row>
    <row r="1446" spans="1:45" x14ac:dyDescent="0.25">
      <c r="A1446">
        <v>1608</v>
      </c>
      <c r="B1446" s="11">
        <f t="shared" si="22"/>
        <v>52854</v>
      </c>
      <c r="C1446" s="12">
        <v>528540</v>
      </c>
      <c r="D1446" s="13">
        <v>1</v>
      </c>
      <c r="E1446" s="13">
        <v>1</v>
      </c>
      <c r="F1446" s="13">
        <v>43</v>
      </c>
      <c r="G1446" s="13">
        <v>61</v>
      </c>
      <c r="H1446" s="13" t="str" cm="1">
        <f t="array" ref="H1446">_xlfn.IFS(G1446&lt;=20,"0-20",G1446&lt;=30,"20-30",G1446&lt;=40,"30-40",G1446&lt;=50,"50-60",G1446&lt;=60,"60-70",G1446&lt;=70,"70-80",G1446&lt;=80,"80-90")</f>
        <v>70-80</v>
      </c>
      <c r="I1446" s="13">
        <v>2256</v>
      </c>
      <c r="J1446" s="13" t="str" cm="1">
        <f t="array" ref="J1446">_xlfn.IFS(K1446=1,"Divorciado",L1446=1,"Casado",M1446=1,"Solteiro",N1446=1,"Juntos",O1446=1,"Viuvo")</f>
        <v>Casado</v>
      </c>
      <c r="K1446" s="13">
        <v>0</v>
      </c>
      <c r="L1446" s="13">
        <v>1</v>
      </c>
      <c r="M1446" s="13">
        <v>0</v>
      </c>
      <c r="N1446" s="13">
        <v>0</v>
      </c>
      <c r="O1446" s="13">
        <v>0</v>
      </c>
      <c r="P1446" s="13">
        <v>0</v>
      </c>
      <c r="Q1446" s="13">
        <v>0</v>
      </c>
      <c r="R1446" s="13">
        <v>0</v>
      </c>
      <c r="S1446" s="13">
        <v>0</v>
      </c>
      <c r="T1446" s="13">
        <v>1</v>
      </c>
      <c r="U1446" s="13">
        <v>105</v>
      </c>
      <c r="V1446" s="13" t="str" cm="1">
        <f t="array" ref="V1446">_xlfn.IFS(U1446&lt;=250,"0-R$250",U1446&lt;=500,"251-R$500",U1446&lt;=750,"501-R$750",U1446&lt;=1000,"751-R$1000",U1446&lt;=1250,"1001-R$1250",U1446&lt;=1500,"1251-R$1500")</f>
        <v>0-R$250</v>
      </c>
      <c r="W1446" s="13">
        <v>0</v>
      </c>
      <c r="X1446" s="13" t="str" cm="1">
        <f t="array" ref="X1446">_xlfn.IFS(W1446 = 0, "0", W1446&lt;=20, "até R$20",W1446&lt;=40, "21 - R$40",W1446&lt;=60, "41- R$60",W1446&lt;=80, "61 - R$80", W1446&lt;=100, "81 - R$100",W1446&lt;=120, "101 - R$120",W1446&lt;=140, "121 - R$140", W1446&lt;=160, "141- R$160", W1446&lt;=180, "161 - R$180", W1446&lt;=200, "181-R$194")</f>
        <v>0</v>
      </c>
      <c r="Y1446" s="13">
        <v>10</v>
      </c>
      <c r="Z1446" s="13">
        <v>0</v>
      </c>
      <c r="AA1446" s="13">
        <v>1</v>
      </c>
      <c r="AB1446" s="13">
        <v>0</v>
      </c>
      <c r="AC1446" s="13">
        <v>2</v>
      </c>
      <c r="AD1446" s="13">
        <v>2</v>
      </c>
      <c r="AE1446" s="13">
        <v>1</v>
      </c>
      <c r="AF1446" s="13">
        <v>4</v>
      </c>
      <c r="AG1446" s="13">
        <v>5</v>
      </c>
      <c r="AH1446" s="13">
        <v>0</v>
      </c>
      <c r="AI1446" s="13">
        <v>0</v>
      </c>
      <c r="AJ1446" s="13">
        <v>0</v>
      </c>
      <c r="AK1446" s="13">
        <v>0</v>
      </c>
      <c r="AL1446" s="13">
        <v>0</v>
      </c>
      <c r="AM1446" s="13">
        <v>0</v>
      </c>
      <c r="AN1446" s="13">
        <v>0</v>
      </c>
      <c r="AO1446" s="14">
        <v>0</v>
      </c>
      <c r="AP1446" s="13">
        <v>3</v>
      </c>
      <c r="AQ1446" s="13">
        <v>11</v>
      </c>
      <c r="AR1446" s="15">
        <v>116</v>
      </c>
      <c r="AS1446" s="15">
        <v>116</v>
      </c>
    </row>
    <row r="1447" spans="1:45" x14ac:dyDescent="0.25">
      <c r="A1447">
        <v>2091</v>
      </c>
      <c r="B1447" s="11">
        <f t="shared" si="22"/>
        <v>43586</v>
      </c>
      <c r="C1447" s="16">
        <v>435860</v>
      </c>
      <c r="D1447" s="17">
        <v>0</v>
      </c>
      <c r="E1447" s="17">
        <v>1</v>
      </c>
      <c r="F1447" s="17">
        <v>26</v>
      </c>
      <c r="G1447" s="17">
        <v>40</v>
      </c>
      <c r="H1447" s="13" t="str" cm="1">
        <f t="array" ref="H1447">_xlfn.IFS(G1447&lt;=20,"0-20",G1447&lt;=30,"20-30",G1447&lt;=40,"30-40",G1447&lt;=50,"50-60",G1447&lt;=60,"60-70",G1447&lt;=70,"70-80",G1447&lt;=80,"80-90")</f>
        <v>30-40</v>
      </c>
      <c r="I1447" s="17">
        <v>2827</v>
      </c>
      <c r="J1447" s="13" t="str" cm="1">
        <f t="array" ref="J1447">_xlfn.IFS(K1447=1,"Divorciado",L1447=1,"Casado",M1447=1,"Solteiro",N1447=1,"Juntos",O1447=1,"Viuvo")</f>
        <v>Casado</v>
      </c>
      <c r="K1447" s="17">
        <v>0</v>
      </c>
      <c r="L1447" s="17">
        <v>1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1</v>
      </c>
      <c r="S1447" s="17">
        <v>0</v>
      </c>
      <c r="T1447" s="17">
        <v>0</v>
      </c>
      <c r="U1447" s="17">
        <v>99</v>
      </c>
      <c r="V1447" s="13" t="str" cm="1">
        <f t="array" ref="V1447">_xlfn.IFS(U1447&lt;=250,"0-R$250",U1447&lt;=500,"251-R$500",U1447&lt;=750,"501-R$750",U1447&lt;=1000,"751-R$1000",U1447&lt;=1250,"1001-R$1250",U1447&lt;=1500,"1251-R$1500")</f>
        <v>0-R$250</v>
      </c>
      <c r="W1447" s="17">
        <v>2</v>
      </c>
      <c r="X1447" s="13" t="str" cm="1">
        <f t="array" ref="X1447">_xlfn.IFS(W1447 = 0, "0", W1447&lt;=20, "até R$20",W1447&lt;=40, "21 - R$40",W1447&lt;=60, "41- R$60",W1447&lt;=80, "61 - R$80", W1447&lt;=100, "81 - R$100",W1447&lt;=120, "101 - R$120",W1447&lt;=140, "121 - R$140", W1447&lt;=160, "141- R$160", W1447&lt;=180, "161 - R$180", W1447&lt;=200, "181-R$194")</f>
        <v>até R$20</v>
      </c>
      <c r="Y1447" s="17">
        <v>11</v>
      </c>
      <c r="Z1447" s="17">
        <v>4</v>
      </c>
      <c r="AA1447" s="17">
        <v>0</v>
      </c>
      <c r="AB1447" s="17">
        <v>16</v>
      </c>
      <c r="AC1447" s="17">
        <v>3</v>
      </c>
      <c r="AD1447" s="17">
        <v>3</v>
      </c>
      <c r="AE1447" s="17">
        <v>0</v>
      </c>
      <c r="AF1447" s="17">
        <v>4</v>
      </c>
      <c r="AG1447" s="17">
        <v>8</v>
      </c>
      <c r="AH1447" s="17">
        <v>0</v>
      </c>
      <c r="AI1447" s="17">
        <v>0</v>
      </c>
      <c r="AJ1447" s="17">
        <v>0</v>
      </c>
      <c r="AK1447" s="17">
        <v>0</v>
      </c>
      <c r="AL1447" s="17">
        <v>0</v>
      </c>
      <c r="AM1447" s="17">
        <v>0</v>
      </c>
      <c r="AN1447" s="17">
        <v>0</v>
      </c>
      <c r="AO1447" s="18">
        <v>0</v>
      </c>
      <c r="AP1447" s="17">
        <v>3</v>
      </c>
      <c r="AQ1447" s="17">
        <v>11</v>
      </c>
      <c r="AR1447" s="19">
        <v>100</v>
      </c>
      <c r="AS1447" s="19">
        <v>116</v>
      </c>
    </row>
    <row r="1448" spans="1:45" x14ac:dyDescent="0.25">
      <c r="A1448">
        <v>2107</v>
      </c>
      <c r="B1448" s="11">
        <f t="shared" si="22"/>
        <v>29435</v>
      </c>
      <c r="C1448" s="16">
        <v>294350</v>
      </c>
      <c r="D1448" s="17">
        <v>1</v>
      </c>
      <c r="E1448" s="17">
        <v>1</v>
      </c>
      <c r="F1448" s="17">
        <v>11</v>
      </c>
      <c r="G1448" s="17">
        <v>54</v>
      </c>
      <c r="H1448" s="13" t="str" cm="1">
        <f t="array" ref="H1448">_xlfn.IFS(G1448&lt;=20,"0-20",G1448&lt;=30,"20-30",G1448&lt;=40,"30-40",G1448&lt;=50,"50-60",G1448&lt;=60,"60-70",G1448&lt;=70,"70-80",G1448&lt;=80,"80-90")</f>
        <v>60-70</v>
      </c>
      <c r="I1448" s="17">
        <v>2851</v>
      </c>
      <c r="J1448" s="13" t="str" cm="1">
        <f t="array" ref="J1448">_xlfn.IFS(K1448=1,"Divorciado",L1448=1,"Casado",M1448=1,"Solteiro",N1448=1,"Juntos",O1448=1,"Viuvo")</f>
        <v>Divorciado</v>
      </c>
      <c r="K1448" s="17">
        <v>1</v>
      </c>
      <c r="L1448" s="17">
        <v>0</v>
      </c>
      <c r="M1448" s="17">
        <v>0</v>
      </c>
      <c r="N1448" s="17">
        <v>0</v>
      </c>
      <c r="O1448" s="17">
        <v>0</v>
      </c>
      <c r="P1448" s="17">
        <v>0</v>
      </c>
      <c r="Q1448" s="17">
        <v>0</v>
      </c>
      <c r="R1448" s="17">
        <v>0</v>
      </c>
      <c r="S1448" s="17">
        <v>1</v>
      </c>
      <c r="T1448" s="17">
        <v>0</v>
      </c>
      <c r="U1448" s="17">
        <v>70</v>
      </c>
      <c r="V1448" s="13" t="str" cm="1">
        <f t="array" ref="V1448">_xlfn.IFS(U1448&lt;=250,"0-R$250",U1448&lt;=500,"251-R$500",U1448&lt;=750,"501-R$750",U1448&lt;=1000,"751-R$1000",U1448&lt;=1250,"1001-R$1250",U1448&lt;=1500,"1251-R$1500")</f>
        <v>0-R$250</v>
      </c>
      <c r="W1448" s="17">
        <v>3</v>
      </c>
      <c r="X1448" s="13" t="str" cm="1">
        <f t="array" ref="X1448">_xlfn.IFS(W1448 = 0, "0", W1448&lt;=20, "até R$20",W1448&lt;=40, "21 - R$40",W1448&lt;=60, "41- R$60",W1448&lt;=80, "61 - R$80", W1448&lt;=100, "81 - R$100",W1448&lt;=120, "101 - R$120",W1448&lt;=140, "121 - R$140", W1448&lt;=160, "141- R$160", W1448&lt;=180, "161 - R$180", W1448&lt;=200, "181-R$194")</f>
        <v>até R$20</v>
      </c>
      <c r="Y1448" s="17">
        <v>37</v>
      </c>
      <c r="Z1448" s="17">
        <v>4</v>
      </c>
      <c r="AA1448" s="17">
        <v>2</v>
      </c>
      <c r="AB1448" s="17">
        <v>64</v>
      </c>
      <c r="AC1448" s="17">
        <v>4</v>
      </c>
      <c r="AD1448" s="17">
        <v>3</v>
      </c>
      <c r="AE1448" s="17">
        <v>2</v>
      </c>
      <c r="AF1448" s="17">
        <v>2</v>
      </c>
      <c r="AG1448" s="17">
        <v>9</v>
      </c>
      <c r="AH1448" s="17">
        <v>0</v>
      </c>
      <c r="AI1448" s="17">
        <v>0</v>
      </c>
      <c r="AJ1448" s="17">
        <v>0</v>
      </c>
      <c r="AK1448" s="17">
        <v>0</v>
      </c>
      <c r="AL1448" s="17">
        <v>0</v>
      </c>
      <c r="AM1448" s="17">
        <v>0</v>
      </c>
      <c r="AN1448" s="17">
        <v>1</v>
      </c>
      <c r="AO1448" s="18">
        <v>0</v>
      </c>
      <c r="AP1448" s="17">
        <v>3</v>
      </c>
      <c r="AQ1448" s="17">
        <v>11</v>
      </c>
      <c r="AR1448" s="19">
        <v>52</v>
      </c>
      <c r="AS1448" s="19">
        <v>116</v>
      </c>
    </row>
    <row r="1449" spans="1:45" x14ac:dyDescent="0.25">
      <c r="A1449">
        <v>254</v>
      </c>
      <c r="B1449" s="11">
        <f t="shared" si="22"/>
        <v>38097</v>
      </c>
      <c r="C1449" s="12">
        <v>380970</v>
      </c>
      <c r="D1449" s="13">
        <v>1</v>
      </c>
      <c r="E1449" s="13">
        <v>1</v>
      </c>
      <c r="F1449" s="13">
        <v>70</v>
      </c>
      <c r="G1449" s="13">
        <v>50</v>
      </c>
      <c r="H1449" s="13" t="str" cm="1">
        <f t="array" ref="H1449">_xlfn.IFS(G1449&lt;=20,"0-20",G1449&lt;=30,"20-30",G1449&lt;=40,"30-40",G1449&lt;=50,"50-60",G1449&lt;=60,"60-70",G1449&lt;=70,"70-80",G1449&lt;=80,"80-90")</f>
        <v>50-60</v>
      </c>
      <c r="I1449" s="13">
        <v>2781</v>
      </c>
      <c r="J1449" s="13" t="str" cm="1">
        <f t="array" ref="J1449">_xlfn.IFS(K1449=1,"Divorciado",L1449=1,"Casado",M1449=1,"Solteiro",N1449=1,"Juntos",O1449=1,"Viuvo")</f>
        <v>Casado</v>
      </c>
      <c r="K1449" s="13">
        <v>0</v>
      </c>
      <c r="L1449" s="13">
        <v>1</v>
      </c>
      <c r="M1449" s="13">
        <v>0</v>
      </c>
      <c r="N1449" s="13">
        <v>0</v>
      </c>
      <c r="O1449" s="13">
        <v>0</v>
      </c>
      <c r="P1449" s="13">
        <v>0</v>
      </c>
      <c r="Q1449" s="13">
        <v>0</v>
      </c>
      <c r="R1449" s="13">
        <v>0</v>
      </c>
      <c r="S1449" s="13">
        <v>0</v>
      </c>
      <c r="T1449" s="13">
        <v>1</v>
      </c>
      <c r="U1449" s="13">
        <v>77</v>
      </c>
      <c r="V1449" s="13" t="str" cm="1">
        <f t="array" ref="V1449">_xlfn.IFS(U1449&lt;=250,"0-R$250",U1449&lt;=500,"251-R$500",U1449&lt;=750,"501-R$750",U1449&lt;=1000,"751-R$1000",U1449&lt;=1250,"1001-R$1250",U1449&lt;=1500,"1251-R$1500")</f>
        <v>0-R$250</v>
      </c>
      <c r="W1449" s="13">
        <v>2</v>
      </c>
      <c r="X1449" s="13" t="str" cm="1">
        <f t="array" ref="X1449">_xlfn.IFS(W1449 = 0, "0", W1449&lt;=20, "até R$20",W1449&lt;=40, "21 - R$40",W1449&lt;=60, "41- R$60",W1449&lt;=80, "61 - R$80", W1449&lt;=100, "81 - R$100",W1449&lt;=120, "101 - R$120",W1449&lt;=140, "121 - R$140", W1449&lt;=160, "141- R$160", W1449&lt;=180, "161 - R$180", W1449&lt;=200, "181-R$194")</f>
        <v>até R$20</v>
      </c>
      <c r="Y1449" s="13">
        <v>35</v>
      </c>
      <c r="Z1449" s="13">
        <v>0</v>
      </c>
      <c r="AA1449" s="13">
        <v>1</v>
      </c>
      <c r="AB1449" s="13">
        <v>69</v>
      </c>
      <c r="AC1449" s="13">
        <v>4</v>
      </c>
      <c r="AD1449" s="13">
        <v>3</v>
      </c>
      <c r="AE1449" s="13">
        <v>2</v>
      </c>
      <c r="AF1449" s="13">
        <v>2</v>
      </c>
      <c r="AG1449" s="13">
        <v>7</v>
      </c>
      <c r="AH1449" s="13">
        <v>0</v>
      </c>
      <c r="AI1449" s="13">
        <v>1</v>
      </c>
      <c r="AJ1449" s="13">
        <v>0</v>
      </c>
      <c r="AK1449" s="13">
        <v>0</v>
      </c>
      <c r="AL1449" s="13">
        <v>0</v>
      </c>
      <c r="AM1449" s="13">
        <v>0</v>
      </c>
      <c r="AN1449" s="13">
        <v>1</v>
      </c>
      <c r="AO1449" s="14">
        <v>1</v>
      </c>
      <c r="AP1449" s="13">
        <v>3</v>
      </c>
      <c r="AQ1449" s="13">
        <v>11</v>
      </c>
      <c r="AR1449" s="15">
        <v>46</v>
      </c>
      <c r="AS1449" s="15">
        <v>115</v>
      </c>
    </row>
    <row r="1450" spans="1:45" x14ac:dyDescent="0.25">
      <c r="A1450">
        <v>588</v>
      </c>
      <c r="B1450" s="11">
        <f t="shared" si="22"/>
        <v>49618</v>
      </c>
      <c r="C1450" s="12">
        <v>496180</v>
      </c>
      <c r="D1450" s="13">
        <v>1</v>
      </c>
      <c r="E1450" s="13">
        <v>1</v>
      </c>
      <c r="F1450" s="13">
        <v>77</v>
      </c>
      <c r="G1450" s="13">
        <v>54</v>
      </c>
      <c r="H1450" s="13" t="str" cm="1">
        <f t="array" ref="H1450">_xlfn.IFS(G1450&lt;=20,"0-20",G1450&lt;=30,"20-30",G1450&lt;=40,"30-40",G1450&lt;=50,"50-60",G1450&lt;=60,"60-70",G1450&lt;=70,"70-80",G1450&lt;=80,"80-90")</f>
        <v>60-70</v>
      </c>
      <c r="I1450" s="13">
        <v>2678</v>
      </c>
      <c r="J1450" s="13" t="str" cm="1">
        <f t="array" ref="J1450">_xlfn.IFS(K1450=1,"Divorciado",L1450=1,"Casado",M1450=1,"Solteiro",N1450=1,"Juntos",O1450=1,"Viuvo")</f>
        <v>Juntos</v>
      </c>
      <c r="K1450" s="13">
        <v>0</v>
      </c>
      <c r="L1450" s="13">
        <v>0</v>
      </c>
      <c r="M1450" s="13">
        <v>0</v>
      </c>
      <c r="N1450" s="13">
        <v>1</v>
      </c>
      <c r="O1450" s="13">
        <v>0</v>
      </c>
      <c r="P1450" s="13">
        <v>0</v>
      </c>
      <c r="Q1450" s="13">
        <v>0</v>
      </c>
      <c r="R1450" s="13">
        <v>0</v>
      </c>
      <c r="S1450" s="13">
        <v>1</v>
      </c>
      <c r="T1450" s="13">
        <v>0</v>
      </c>
      <c r="U1450" s="13">
        <v>80</v>
      </c>
      <c r="V1450" s="13" t="str" cm="1">
        <f t="array" ref="V1450">_xlfn.IFS(U1450&lt;=250,"0-R$250",U1450&lt;=500,"251-R$500",U1450&lt;=750,"501-R$750",U1450&lt;=1000,"751-R$1000",U1450&lt;=1250,"1001-R$1250",U1450&lt;=1500,"1251-R$1500")</f>
        <v>0-R$250</v>
      </c>
      <c r="W1450" s="13">
        <v>3</v>
      </c>
      <c r="X1450" s="13" t="str" cm="1">
        <f t="array" ref="X1450">_xlfn.IFS(W1450 = 0, "0", W1450&lt;=20, "até R$20",W1450&lt;=40, "21 - R$40",W1450&lt;=60, "41- R$60",W1450&lt;=80, "61 - R$80", W1450&lt;=100, "81 - R$100",W1450&lt;=120, "101 - R$120",W1450&lt;=140, "121 - R$140", W1450&lt;=160, "141- R$160", W1450&lt;=180, "161 - R$180", W1450&lt;=200, "181-R$194")</f>
        <v>até R$20</v>
      </c>
      <c r="Y1450" s="13">
        <v>26</v>
      </c>
      <c r="Z1450" s="13">
        <v>4</v>
      </c>
      <c r="AA1450" s="13">
        <v>2</v>
      </c>
      <c r="AB1450" s="13">
        <v>14</v>
      </c>
      <c r="AC1450" s="13">
        <v>4</v>
      </c>
      <c r="AD1450" s="13">
        <v>3</v>
      </c>
      <c r="AE1450" s="13">
        <v>1</v>
      </c>
      <c r="AF1450" s="13">
        <v>3</v>
      </c>
      <c r="AG1450" s="13">
        <v>7</v>
      </c>
      <c r="AH1450" s="13">
        <v>0</v>
      </c>
      <c r="AI1450" s="13">
        <v>0</v>
      </c>
      <c r="AJ1450" s="13">
        <v>0</v>
      </c>
      <c r="AK1450" s="13">
        <v>0</v>
      </c>
      <c r="AL1450" s="13">
        <v>0</v>
      </c>
      <c r="AM1450" s="13">
        <v>0</v>
      </c>
      <c r="AN1450" s="13">
        <v>0</v>
      </c>
      <c r="AO1450" s="14">
        <v>0</v>
      </c>
      <c r="AP1450" s="13">
        <v>3</v>
      </c>
      <c r="AQ1450" s="13">
        <v>11</v>
      </c>
      <c r="AR1450" s="15">
        <v>101</v>
      </c>
      <c r="AS1450" s="15">
        <v>115</v>
      </c>
    </row>
    <row r="1451" spans="1:45" x14ac:dyDescent="0.25">
      <c r="A1451">
        <v>1317</v>
      </c>
      <c r="B1451" s="11">
        <f t="shared" si="22"/>
        <v>35876</v>
      </c>
      <c r="C1451" s="16">
        <v>358760</v>
      </c>
      <c r="D1451" s="17">
        <v>0</v>
      </c>
      <c r="E1451" s="17">
        <v>0</v>
      </c>
      <c r="F1451" s="17">
        <v>13</v>
      </c>
      <c r="G1451" s="17">
        <v>37</v>
      </c>
      <c r="H1451" s="13" t="str" cm="1">
        <f t="array" ref="H1451">_xlfn.IFS(G1451&lt;=20,"0-20",G1451&lt;=30,"20-30",G1451&lt;=40,"30-40",G1451&lt;=50,"50-60",G1451&lt;=60,"60-70",G1451&lt;=70,"70-80",G1451&lt;=80,"80-90")</f>
        <v>30-40</v>
      </c>
      <c r="I1451" s="17">
        <v>2229</v>
      </c>
      <c r="J1451" s="13" t="str" cm="1">
        <f t="array" ref="J1451">_xlfn.IFS(K1451=1,"Divorciado",L1451=1,"Casado",M1451=1,"Solteiro",N1451=1,"Juntos",O1451=1,"Viuvo")</f>
        <v>Casado</v>
      </c>
      <c r="K1451" s="17">
        <v>0</v>
      </c>
      <c r="L1451" s="17">
        <v>1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1</v>
      </c>
      <c r="T1451" s="17">
        <v>0</v>
      </c>
      <c r="U1451" s="17">
        <v>66</v>
      </c>
      <c r="V1451" s="13" t="str" cm="1">
        <f t="array" ref="V1451">_xlfn.IFS(U1451&lt;=250,"0-R$250",U1451&lt;=500,"251-R$500",U1451&lt;=750,"501-R$750",U1451&lt;=1000,"751-R$1000",U1451&lt;=1250,"1001-R$1250",U1451&lt;=1500,"1251-R$1500")</f>
        <v>0-R$250</v>
      </c>
      <c r="W1451" s="17">
        <v>2</v>
      </c>
      <c r="X1451" s="13" t="str" cm="1">
        <f t="array" ref="X1451">_xlfn.IFS(W1451 = 0, "0", W1451&lt;=20, "até R$20",W1451&lt;=40, "21 - R$40",W1451&lt;=60, "41- R$60",W1451&lt;=80, "61 - R$80", W1451&lt;=100, "81 - R$100",W1451&lt;=120, "101 - R$120",W1451&lt;=140, "121 - R$140", W1451&lt;=160, "141- R$160", W1451&lt;=180, "161 - R$180", W1451&lt;=200, "181-R$194")</f>
        <v>até R$20</v>
      </c>
      <c r="Y1451" s="17">
        <v>40</v>
      </c>
      <c r="Z1451" s="17">
        <v>4</v>
      </c>
      <c r="AA1451" s="17">
        <v>3</v>
      </c>
      <c r="AB1451" s="17">
        <v>14</v>
      </c>
      <c r="AC1451" s="17">
        <v>1</v>
      </c>
      <c r="AD1451" s="17">
        <v>3</v>
      </c>
      <c r="AE1451" s="17">
        <v>1</v>
      </c>
      <c r="AF1451" s="17">
        <v>3</v>
      </c>
      <c r="AG1451" s="17">
        <v>6</v>
      </c>
      <c r="AH1451" s="17">
        <v>0</v>
      </c>
      <c r="AI1451" s="17">
        <v>0</v>
      </c>
      <c r="AJ1451" s="17">
        <v>0</v>
      </c>
      <c r="AK1451" s="17">
        <v>0</v>
      </c>
      <c r="AL1451" s="17">
        <v>0</v>
      </c>
      <c r="AM1451" s="17">
        <v>0</v>
      </c>
      <c r="AN1451" s="17">
        <v>0</v>
      </c>
      <c r="AO1451" s="18">
        <v>0</v>
      </c>
      <c r="AP1451" s="17">
        <v>3</v>
      </c>
      <c r="AQ1451" s="17">
        <v>11</v>
      </c>
      <c r="AR1451" s="19">
        <v>101</v>
      </c>
      <c r="AS1451" s="19">
        <v>115</v>
      </c>
    </row>
    <row r="1452" spans="1:45" x14ac:dyDescent="0.25">
      <c r="A1452">
        <v>1308</v>
      </c>
      <c r="B1452" s="11">
        <f t="shared" si="22"/>
        <v>6560</v>
      </c>
      <c r="C1452" s="12">
        <v>65600</v>
      </c>
      <c r="D1452" s="13">
        <v>0</v>
      </c>
      <c r="E1452" s="13">
        <v>0</v>
      </c>
      <c r="F1452" s="13">
        <v>2</v>
      </c>
      <c r="G1452" s="13">
        <v>38</v>
      </c>
      <c r="H1452" s="13" t="str" cm="1">
        <f t="array" ref="H1452">_xlfn.IFS(G1452&lt;=20,"0-20",G1452&lt;=30,"20-30",G1452&lt;=40,"30-40",G1452&lt;=50,"50-60",G1452&lt;=60,"60-70",G1452&lt;=70,"70-80",G1452&lt;=80,"80-90")</f>
        <v>30-40</v>
      </c>
      <c r="I1452" s="13">
        <v>2358</v>
      </c>
      <c r="J1452" s="13" t="str" cm="1">
        <f t="array" ref="J1452">_xlfn.IFS(K1452=1,"Divorciado",L1452=1,"Casado",M1452=1,"Solteiro",N1452=1,"Juntos",O1452=1,"Viuvo")</f>
        <v>Solteiro</v>
      </c>
      <c r="K1452" s="13">
        <v>0</v>
      </c>
      <c r="L1452" s="13">
        <v>0</v>
      </c>
      <c r="M1452" s="13">
        <v>1</v>
      </c>
      <c r="N1452" s="13">
        <v>0</v>
      </c>
      <c r="O1452" s="13">
        <v>0</v>
      </c>
      <c r="P1452" s="13">
        <v>0</v>
      </c>
      <c r="Q1452" s="13">
        <v>0</v>
      </c>
      <c r="R1452" s="13">
        <v>0</v>
      </c>
      <c r="S1452" s="13">
        <v>1</v>
      </c>
      <c r="T1452" s="13">
        <v>0</v>
      </c>
      <c r="U1452" s="13">
        <v>67</v>
      </c>
      <c r="V1452" s="13" t="str" cm="1">
        <f t="array" ref="V1452">_xlfn.IFS(U1452&lt;=250,"0-R$250",U1452&lt;=500,"251-R$500",U1452&lt;=750,"501-R$750",U1452&lt;=1000,"751-R$1000",U1452&lt;=1250,"1001-R$1250",U1452&lt;=1500,"1251-R$1500")</f>
        <v>0-R$250</v>
      </c>
      <c r="W1452" s="13">
        <v>11</v>
      </c>
      <c r="X1452" s="13" t="str" cm="1">
        <f t="array" ref="X1452">_xlfn.IFS(W1452 = 0, "0", W1452&lt;=20, "até R$20",W1452&lt;=40, "21 - R$40",W1452&lt;=60, "41- R$60",W1452&lt;=80, "61 - R$80", W1452&lt;=100, "81 - R$100",W1452&lt;=120, "101 - R$120",W1452&lt;=140, "121 - R$140", W1452&lt;=160, "141- R$160", W1452&lt;=180, "161 - R$180", W1452&lt;=200, "181-R$194")</f>
        <v>até R$20</v>
      </c>
      <c r="Y1452" s="13">
        <v>26</v>
      </c>
      <c r="Z1452" s="13">
        <v>4</v>
      </c>
      <c r="AA1452" s="13">
        <v>3</v>
      </c>
      <c r="AB1452" s="13">
        <v>262</v>
      </c>
      <c r="AC1452" s="13">
        <v>0</v>
      </c>
      <c r="AD1452" s="13">
        <v>1</v>
      </c>
      <c r="AE1452" s="13">
        <v>0</v>
      </c>
      <c r="AF1452" s="13">
        <v>1</v>
      </c>
      <c r="AG1452" s="13">
        <v>17</v>
      </c>
      <c r="AH1452" s="13">
        <v>0</v>
      </c>
      <c r="AI1452" s="13">
        <v>0</v>
      </c>
      <c r="AJ1452" s="13">
        <v>0</v>
      </c>
      <c r="AK1452" s="13">
        <v>0</v>
      </c>
      <c r="AL1452" s="13">
        <v>0</v>
      </c>
      <c r="AM1452" s="13">
        <v>0</v>
      </c>
      <c r="AN1452" s="13">
        <v>0</v>
      </c>
      <c r="AO1452" s="14">
        <v>0</v>
      </c>
      <c r="AP1452" s="13">
        <v>3</v>
      </c>
      <c r="AQ1452" s="13">
        <v>11</v>
      </c>
      <c r="AR1452" s="15">
        <v>-151</v>
      </c>
      <c r="AS1452" s="15">
        <v>111</v>
      </c>
    </row>
    <row r="1453" spans="1:45" x14ac:dyDescent="0.25">
      <c r="A1453">
        <v>208</v>
      </c>
      <c r="B1453" s="11">
        <f t="shared" si="22"/>
        <v>45204</v>
      </c>
      <c r="C1453" s="12">
        <v>452040</v>
      </c>
      <c r="D1453" s="13">
        <v>1</v>
      </c>
      <c r="E1453" s="13">
        <v>0</v>
      </c>
      <c r="F1453" s="13">
        <v>93</v>
      </c>
      <c r="G1453" s="13">
        <v>32</v>
      </c>
      <c r="H1453" s="13" t="str" cm="1">
        <f t="array" ref="H1453">_xlfn.IFS(G1453&lt;=20,"0-20",G1453&lt;=30,"20-30",G1453&lt;=40,"30-40",G1453&lt;=50,"50-60",G1453&lt;=60,"60-70",G1453&lt;=70,"70-80",G1453&lt;=80,"80-90")</f>
        <v>30-40</v>
      </c>
      <c r="I1453" s="13">
        <v>2238</v>
      </c>
      <c r="J1453" s="13" t="str" cm="1">
        <f t="array" ref="J1453">_xlfn.IFS(K1453=1,"Divorciado",L1453=1,"Casado",M1453=1,"Solteiro",N1453=1,"Juntos",O1453=1,"Viuvo")</f>
        <v>Juntos</v>
      </c>
      <c r="K1453" s="13">
        <v>0</v>
      </c>
      <c r="L1453" s="13">
        <v>0</v>
      </c>
      <c r="M1453" s="13">
        <v>0</v>
      </c>
      <c r="N1453" s="13">
        <v>1</v>
      </c>
      <c r="O1453" s="13">
        <v>0</v>
      </c>
      <c r="P1453" s="13">
        <v>1</v>
      </c>
      <c r="Q1453" s="13">
        <v>0</v>
      </c>
      <c r="R1453" s="13">
        <v>0</v>
      </c>
      <c r="S1453" s="13">
        <v>0</v>
      </c>
      <c r="T1453" s="13">
        <v>0</v>
      </c>
      <c r="U1453" s="13">
        <v>30</v>
      </c>
      <c r="V1453" s="13" t="str" cm="1">
        <f t="array" ref="V1453">_xlfn.IFS(U1453&lt;=250,"0-R$250",U1453&lt;=500,"251-R$500",U1453&lt;=750,"501-R$750",U1453&lt;=1000,"751-R$1000",U1453&lt;=1250,"1001-R$1250",U1453&lt;=1500,"1251-R$1500")</f>
        <v>0-R$250</v>
      </c>
      <c r="W1453" s="13">
        <v>11</v>
      </c>
      <c r="X1453" s="13" t="str" cm="1">
        <f t="array" ref="X1453">_xlfn.IFS(W1453 = 0, "0", W1453&lt;=20, "até R$20",W1453&lt;=40, "21 - R$40",W1453&lt;=60, "41- R$60",W1453&lt;=80, "61 - R$80", W1453&lt;=100, "81 - R$100",W1453&lt;=120, "101 - R$120",W1453&lt;=140, "121 - R$140", W1453&lt;=160, "141- R$160", W1453&lt;=180, "161 - R$180", W1453&lt;=200, "181-R$194")</f>
        <v>até R$20</v>
      </c>
      <c r="Y1453" s="13">
        <v>25</v>
      </c>
      <c r="Z1453" s="13">
        <v>29</v>
      </c>
      <c r="AA1453" s="13">
        <v>1</v>
      </c>
      <c r="AB1453" s="13">
        <v>18</v>
      </c>
      <c r="AC1453" s="13">
        <v>1</v>
      </c>
      <c r="AD1453" s="13">
        <v>1</v>
      </c>
      <c r="AE1453" s="13">
        <v>1</v>
      </c>
      <c r="AF1453" s="13">
        <v>4</v>
      </c>
      <c r="AG1453" s="13">
        <v>3</v>
      </c>
      <c r="AH1453" s="13">
        <v>0</v>
      </c>
      <c r="AI1453" s="13">
        <v>0</v>
      </c>
      <c r="AJ1453" s="13">
        <v>0</v>
      </c>
      <c r="AK1453" s="13">
        <v>0</v>
      </c>
      <c r="AL1453" s="13">
        <v>0</v>
      </c>
      <c r="AM1453" s="13">
        <v>0</v>
      </c>
      <c r="AN1453" s="13">
        <v>0</v>
      </c>
      <c r="AO1453" s="14">
        <v>0</v>
      </c>
      <c r="AP1453" s="13">
        <v>3</v>
      </c>
      <c r="AQ1453" s="13">
        <v>11</v>
      </c>
      <c r="AR1453" s="15">
        <v>78</v>
      </c>
      <c r="AS1453" s="15">
        <v>96</v>
      </c>
    </row>
    <row r="1454" spans="1:45" x14ac:dyDescent="0.25">
      <c r="A1454">
        <v>611</v>
      </c>
      <c r="B1454" s="11">
        <f t="shared" si="22"/>
        <v>34487</v>
      </c>
      <c r="C1454" s="16">
        <v>344870</v>
      </c>
      <c r="D1454" s="17">
        <v>1</v>
      </c>
      <c r="E1454" s="17">
        <v>1</v>
      </c>
      <c r="F1454" s="17">
        <v>94</v>
      </c>
      <c r="G1454" s="17">
        <v>43</v>
      </c>
      <c r="H1454" s="13" t="str" cm="1">
        <f t="array" ref="H1454">_xlfn.IFS(G1454&lt;=20,"0-20",G1454&lt;=30,"20-30",G1454&lt;=40,"30-40",G1454&lt;=50,"50-60",G1454&lt;=60,"60-70",G1454&lt;=70,"70-80",G1454&lt;=80,"80-90")</f>
        <v>50-60</v>
      </c>
      <c r="I1454" s="17">
        <v>2820</v>
      </c>
      <c r="J1454" s="13" t="str" cm="1">
        <f t="array" ref="J1454">_xlfn.IFS(K1454=1,"Divorciado",L1454=1,"Casado",M1454=1,"Solteiro",N1454=1,"Juntos",O1454=1,"Viuvo")</f>
        <v>Divorciado</v>
      </c>
      <c r="K1454" s="17">
        <v>1</v>
      </c>
      <c r="L1454" s="17">
        <v>0</v>
      </c>
      <c r="M1454" s="17">
        <v>0</v>
      </c>
      <c r="N1454" s="17">
        <v>0</v>
      </c>
      <c r="O1454" s="17">
        <v>0</v>
      </c>
      <c r="P1454" s="17">
        <v>0</v>
      </c>
      <c r="Q1454" s="17">
        <v>0</v>
      </c>
      <c r="R1454" s="17">
        <v>0</v>
      </c>
      <c r="S1454" s="17">
        <v>0</v>
      </c>
      <c r="T1454" s="17">
        <v>1</v>
      </c>
      <c r="U1454" s="17">
        <v>19</v>
      </c>
      <c r="V1454" s="13" t="str" cm="1">
        <f t="array" ref="V1454">_xlfn.IFS(U1454&lt;=250,"0-R$250",U1454&lt;=500,"251-R$500",U1454&lt;=750,"501-R$750",U1454&lt;=1000,"751-R$1000",U1454&lt;=1250,"1001-R$1250",U1454&lt;=1500,"1251-R$1500")</f>
        <v>0-R$250</v>
      </c>
      <c r="W1454" s="17">
        <v>18</v>
      </c>
      <c r="X1454" s="13" t="str" cm="1">
        <f t="array" ref="X1454">_xlfn.IFS(W1454 = 0, "0", W1454&lt;=20, "até R$20",W1454&lt;=40, "21 - R$40",W1454&lt;=60, "41- R$60",W1454&lt;=80, "61 - R$80", W1454&lt;=100, "81 - R$100",W1454&lt;=120, "101 - R$120",W1454&lt;=140, "121 - R$140", W1454&lt;=160, "141- R$160", W1454&lt;=180, "161 - R$180", W1454&lt;=200, "181-R$194")</f>
        <v>até R$20</v>
      </c>
      <c r="Y1454" s="17">
        <v>33</v>
      </c>
      <c r="Z1454" s="17">
        <v>24</v>
      </c>
      <c r="AA1454" s="17">
        <v>1</v>
      </c>
      <c r="AB1454" s="17">
        <v>8</v>
      </c>
      <c r="AC1454" s="17">
        <v>3</v>
      </c>
      <c r="AD1454" s="17">
        <v>3</v>
      </c>
      <c r="AE1454" s="17">
        <v>0</v>
      </c>
      <c r="AF1454" s="17">
        <v>3</v>
      </c>
      <c r="AG1454" s="17">
        <v>9</v>
      </c>
      <c r="AH1454" s="17">
        <v>0</v>
      </c>
      <c r="AI1454" s="17">
        <v>0</v>
      </c>
      <c r="AJ1454" s="17">
        <v>0</v>
      </c>
      <c r="AK1454" s="17">
        <v>0</v>
      </c>
      <c r="AL1454" s="17">
        <v>0</v>
      </c>
      <c r="AM1454" s="17">
        <v>0</v>
      </c>
      <c r="AN1454" s="17">
        <v>0</v>
      </c>
      <c r="AO1454" s="18">
        <v>0</v>
      </c>
      <c r="AP1454" s="17">
        <v>3</v>
      </c>
      <c r="AQ1454" s="17">
        <v>11</v>
      </c>
      <c r="AR1454" s="19">
        <v>87</v>
      </c>
      <c r="AS1454" s="19">
        <v>95</v>
      </c>
    </row>
    <row r="1455" spans="1:45" x14ac:dyDescent="0.25">
      <c r="A1455">
        <v>19</v>
      </c>
      <c r="B1455" s="11">
        <f t="shared" si="22"/>
        <v>33812</v>
      </c>
      <c r="C1455" s="16">
        <v>338120</v>
      </c>
      <c r="D1455" s="17">
        <v>1</v>
      </c>
      <c r="E1455" s="17">
        <v>0</v>
      </c>
      <c r="F1455" s="17">
        <v>86</v>
      </c>
      <c r="G1455" s="17">
        <v>35</v>
      </c>
      <c r="H1455" s="13" t="str" cm="1">
        <f t="array" ref="H1455">_xlfn.IFS(G1455&lt;=20,"0-20",G1455&lt;=30,"20-30",G1455&lt;=40,"30-40",G1455&lt;=50,"50-60",G1455&lt;=60,"60-70",G1455&lt;=70,"70-80",G1455&lt;=80,"80-90")</f>
        <v>30-40</v>
      </c>
      <c r="I1455" s="17">
        <v>2762</v>
      </c>
      <c r="J1455" s="13" t="str" cm="1">
        <f t="array" ref="J1455">_xlfn.IFS(K1455=1,"Divorciado",L1455=1,"Casado",M1455=1,"Solteiro",N1455=1,"Juntos",O1455=1,"Viuvo")</f>
        <v>Solteiro</v>
      </c>
      <c r="K1455" s="17">
        <v>0</v>
      </c>
      <c r="L1455" s="17">
        <v>0</v>
      </c>
      <c r="M1455" s="17">
        <v>1</v>
      </c>
      <c r="N1455" s="17">
        <v>0</v>
      </c>
      <c r="O1455" s="17">
        <v>0</v>
      </c>
      <c r="P1455" s="17">
        <v>1</v>
      </c>
      <c r="Q1455" s="17">
        <v>0</v>
      </c>
      <c r="R1455" s="17">
        <v>0</v>
      </c>
      <c r="S1455" s="17">
        <v>0</v>
      </c>
      <c r="T1455" s="17">
        <v>0</v>
      </c>
      <c r="U1455" s="17">
        <v>4</v>
      </c>
      <c r="V1455" s="13" t="str" cm="1">
        <f t="array" ref="V1455">_xlfn.IFS(U1455&lt;=250,"0-R$250",U1455&lt;=500,"251-R$500",U1455&lt;=750,"501-R$750",U1455&lt;=1000,"751-R$1000",U1455&lt;=1250,"1001-R$1250",U1455&lt;=1500,"1251-R$1500")</f>
        <v>0-R$250</v>
      </c>
      <c r="W1455" s="17">
        <v>17</v>
      </c>
      <c r="X1455" s="13" t="str" cm="1">
        <f t="array" ref="X1455">_xlfn.IFS(W1455 = 0, "0", W1455&lt;=20, "até R$20",W1455&lt;=40, "21 - R$40",W1455&lt;=60, "41- R$60",W1455&lt;=80, "61 - R$80", W1455&lt;=100, "81 - R$100",W1455&lt;=120, "101 - R$120",W1455&lt;=140, "121 - R$140", W1455&lt;=160, "141- R$160", W1455&lt;=180, "161 - R$180", W1455&lt;=200, "181-R$194")</f>
        <v>até R$20</v>
      </c>
      <c r="Y1455" s="17">
        <v>19</v>
      </c>
      <c r="Z1455" s="17">
        <v>30</v>
      </c>
      <c r="AA1455" s="17">
        <v>24</v>
      </c>
      <c r="AB1455" s="17">
        <v>39</v>
      </c>
      <c r="AC1455" s="17">
        <v>2</v>
      </c>
      <c r="AD1455" s="17">
        <v>2</v>
      </c>
      <c r="AE1455" s="17">
        <v>1</v>
      </c>
      <c r="AF1455" s="17">
        <v>3</v>
      </c>
      <c r="AG1455" s="17">
        <v>6</v>
      </c>
      <c r="AH1455" s="17">
        <v>0</v>
      </c>
      <c r="AI1455" s="17">
        <v>0</v>
      </c>
      <c r="AJ1455" s="17">
        <v>0</v>
      </c>
      <c r="AK1455" s="17">
        <v>0</v>
      </c>
      <c r="AL1455" s="17">
        <v>0</v>
      </c>
      <c r="AM1455" s="17">
        <v>0</v>
      </c>
      <c r="AN1455" s="17">
        <v>0</v>
      </c>
      <c r="AO1455" s="18">
        <v>0</v>
      </c>
      <c r="AP1455" s="17">
        <v>3</v>
      </c>
      <c r="AQ1455" s="17">
        <v>11</v>
      </c>
      <c r="AR1455" s="19">
        <v>55</v>
      </c>
      <c r="AS1455" s="19">
        <v>94</v>
      </c>
    </row>
    <row r="1456" spans="1:45" x14ac:dyDescent="0.25">
      <c r="A1456">
        <v>934</v>
      </c>
      <c r="B1456" s="11">
        <f t="shared" si="22"/>
        <v>42767</v>
      </c>
      <c r="C1456" s="12">
        <v>427670</v>
      </c>
      <c r="D1456" s="13">
        <v>2</v>
      </c>
      <c r="E1456" s="13">
        <v>0</v>
      </c>
      <c r="F1456" s="13">
        <v>53</v>
      </c>
      <c r="G1456" s="13">
        <v>49</v>
      </c>
      <c r="H1456" s="13" t="str" cm="1">
        <f t="array" ref="H1456">_xlfn.IFS(G1456&lt;=20,"0-20",G1456&lt;=30,"20-30",G1456&lt;=40,"30-40",G1456&lt;=50,"50-60",G1456&lt;=60,"60-70",G1456&lt;=70,"70-80",G1456&lt;=80,"80-90")</f>
        <v>50-60</v>
      </c>
      <c r="I1456" s="13">
        <v>2573</v>
      </c>
      <c r="J1456" s="13" t="str" cm="1">
        <f t="array" ref="J1456">_xlfn.IFS(K1456=1,"Divorciado",L1456=1,"Casado",M1456=1,"Solteiro",N1456=1,"Juntos",O1456=1,"Viuvo")</f>
        <v>Solteiro</v>
      </c>
      <c r="K1456" s="13">
        <v>0</v>
      </c>
      <c r="L1456" s="13">
        <v>0</v>
      </c>
      <c r="M1456" s="13">
        <v>1</v>
      </c>
      <c r="N1456" s="13">
        <v>0</v>
      </c>
      <c r="O1456" s="13">
        <v>0</v>
      </c>
      <c r="P1456" s="13">
        <v>0</v>
      </c>
      <c r="Q1456" s="13">
        <v>0</v>
      </c>
      <c r="R1456" s="13">
        <v>0</v>
      </c>
      <c r="S1456" s="13">
        <v>0</v>
      </c>
      <c r="T1456" s="13">
        <v>1</v>
      </c>
      <c r="U1456" s="13">
        <v>20</v>
      </c>
      <c r="V1456" s="13" t="str" cm="1">
        <f t="array" ref="V1456">_xlfn.IFS(U1456&lt;=250,"0-R$250",U1456&lt;=500,"251-R$500",U1456&lt;=750,"501-R$750",U1456&lt;=1000,"751-R$1000",U1456&lt;=1250,"1001-R$1250",U1456&lt;=1500,"1251-R$1500")</f>
        <v>0-R$250</v>
      </c>
      <c r="W1456" s="13">
        <v>6</v>
      </c>
      <c r="X1456" s="13" t="str" cm="1">
        <f t="array" ref="X1456">_xlfn.IFS(W1456 = 0, "0", W1456&lt;=20, "até R$20",W1456&lt;=40, "21 - R$40",W1456&lt;=60, "41- R$60",W1456&lt;=80, "61 - R$80", W1456&lt;=100, "81 - R$100",W1456&lt;=120, "101 - R$120",W1456&lt;=140, "121 - R$140", W1456&lt;=160, "141- R$160", W1456&lt;=180, "161 - R$180", W1456&lt;=200, "181-R$194")</f>
        <v>até R$20</v>
      </c>
      <c r="Y1456" s="13">
        <v>43</v>
      </c>
      <c r="Z1456" s="13">
        <v>19</v>
      </c>
      <c r="AA1456" s="13">
        <v>5</v>
      </c>
      <c r="AB1456" s="13">
        <v>38</v>
      </c>
      <c r="AC1456" s="13">
        <v>1</v>
      </c>
      <c r="AD1456" s="13">
        <v>3</v>
      </c>
      <c r="AE1456" s="13">
        <v>1</v>
      </c>
      <c r="AF1456" s="13">
        <v>2</v>
      </c>
      <c r="AG1456" s="13">
        <v>8</v>
      </c>
      <c r="AH1456" s="13">
        <v>0</v>
      </c>
      <c r="AI1456" s="13">
        <v>0</v>
      </c>
      <c r="AJ1456" s="13">
        <v>0</v>
      </c>
      <c r="AK1456" s="13">
        <v>0</v>
      </c>
      <c r="AL1456" s="13">
        <v>0</v>
      </c>
      <c r="AM1456" s="13">
        <v>0</v>
      </c>
      <c r="AN1456" s="13">
        <v>0</v>
      </c>
      <c r="AO1456" s="14">
        <v>0</v>
      </c>
      <c r="AP1456" s="13">
        <v>3</v>
      </c>
      <c r="AQ1456" s="13">
        <v>11</v>
      </c>
      <c r="AR1456" s="15">
        <v>55</v>
      </c>
      <c r="AS1456" s="15">
        <v>93</v>
      </c>
    </row>
    <row r="1457" spans="1:45" x14ac:dyDescent="0.25">
      <c r="A1457">
        <v>1027</v>
      </c>
      <c r="B1457" s="11">
        <f t="shared" si="22"/>
        <v>33585</v>
      </c>
      <c r="C1457" s="16">
        <v>335850</v>
      </c>
      <c r="D1457" s="17">
        <v>0</v>
      </c>
      <c r="E1457" s="17">
        <v>1</v>
      </c>
      <c r="F1457" s="17">
        <v>91</v>
      </c>
      <c r="G1457" s="17">
        <v>54</v>
      </c>
      <c r="H1457" s="13" t="str" cm="1">
        <f t="array" ref="H1457">_xlfn.IFS(G1457&lt;=20,"0-20",G1457&lt;=30,"20-30",G1457&lt;=40,"30-40",G1457&lt;=50,"50-60",G1457&lt;=60,"60-70",G1457&lt;=70,"70-80",G1457&lt;=80,"80-90")</f>
        <v>60-70</v>
      </c>
      <c r="I1457" s="17">
        <v>2436</v>
      </c>
      <c r="J1457" s="13" t="str" cm="1">
        <f t="array" ref="J1457">_xlfn.IFS(K1457=1,"Divorciado",L1457=1,"Casado",M1457=1,"Solteiro",N1457=1,"Juntos",O1457=1,"Viuvo")</f>
        <v>Casado</v>
      </c>
      <c r="K1457" s="17">
        <v>0</v>
      </c>
      <c r="L1457" s="17">
        <v>1</v>
      </c>
      <c r="M1457" s="17">
        <v>0</v>
      </c>
      <c r="N1457" s="17">
        <v>0</v>
      </c>
      <c r="O1457" s="17">
        <v>0</v>
      </c>
      <c r="P1457" s="17">
        <v>0</v>
      </c>
      <c r="Q1457" s="17">
        <v>0</v>
      </c>
      <c r="R1457" s="17">
        <v>0</v>
      </c>
      <c r="S1457" s="17">
        <v>1</v>
      </c>
      <c r="T1457" s="17">
        <v>0</v>
      </c>
      <c r="U1457" s="17">
        <v>30</v>
      </c>
      <c r="V1457" s="13" t="str" cm="1">
        <f t="array" ref="V1457">_xlfn.IFS(U1457&lt;=250,"0-R$250",U1457&lt;=500,"251-R$500",U1457&lt;=750,"501-R$750",U1457&lt;=1000,"751-R$1000",U1457&lt;=1250,"1001-R$1250",U1457&lt;=1500,"1251-R$1500")</f>
        <v>0-R$250</v>
      </c>
      <c r="W1457" s="17">
        <v>11</v>
      </c>
      <c r="X1457" s="13" t="str" cm="1">
        <f t="array" ref="X1457">_xlfn.IFS(W1457 = 0, "0", W1457&lt;=20, "até R$20",W1457&lt;=40, "21 - R$40",W1457&lt;=60, "41- R$60",W1457&lt;=80, "61 - R$80", W1457&lt;=100, "81 - R$100",W1457&lt;=120, "101 - R$120",W1457&lt;=140, "121 - R$140", W1457&lt;=160, "141- R$160", W1457&lt;=180, "161 - R$180", W1457&lt;=200, "181-R$194")</f>
        <v>até R$20</v>
      </c>
      <c r="Y1457" s="17">
        <v>33</v>
      </c>
      <c r="Z1457" s="17">
        <v>13</v>
      </c>
      <c r="AA1457" s="17">
        <v>6</v>
      </c>
      <c r="AB1457" s="17">
        <v>29</v>
      </c>
      <c r="AC1457" s="17">
        <v>1</v>
      </c>
      <c r="AD1457" s="17">
        <v>2</v>
      </c>
      <c r="AE1457" s="17">
        <v>0</v>
      </c>
      <c r="AF1457" s="17">
        <v>4</v>
      </c>
      <c r="AG1457" s="17">
        <v>4</v>
      </c>
      <c r="AH1457" s="17">
        <v>0</v>
      </c>
      <c r="AI1457" s="17">
        <v>0</v>
      </c>
      <c r="AJ1457" s="17">
        <v>0</v>
      </c>
      <c r="AK1457" s="17">
        <v>0</v>
      </c>
      <c r="AL1457" s="17">
        <v>0</v>
      </c>
      <c r="AM1457" s="17">
        <v>0</v>
      </c>
      <c r="AN1457" s="17">
        <v>0</v>
      </c>
      <c r="AO1457" s="18">
        <v>0</v>
      </c>
      <c r="AP1457" s="17">
        <v>3</v>
      </c>
      <c r="AQ1457" s="17">
        <v>11</v>
      </c>
      <c r="AR1457" s="19">
        <v>64</v>
      </c>
      <c r="AS1457" s="19">
        <v>93</v>
      </c>
    </row>
    <row r="1458" spans="1:45" x14ac:dyDescent="0.25">
      <c r="A1458">
        <v>1148</v>
      </c>
      <c r="B1458" s="11">
        <f t="shared" si="22"/>
        <v>35322</v>
      </c>
      <c r="C1458" s="12">
        <v>353220</v>
      </c>
      <c r="D1458" s="13">
        <v>1</v>
      </c>
      <c r="E1458" s="13">
        <v>2</v>
      </c>
      <c r="F1458" s="13">
        <v>34</v>
      </c>
      <c r="G1458" s="13">
        <v>52</v>
      </c>
      <c r="H1458" s="13" t="str" cm="1">
        <f t="array" ref="H1458">_xlfn.IFS(G1458&lt;=20,"0-20",G1458&lt;=30,"20-30",G1458&lt;=40,"30-40",G1458&lt;=50,"50-60",G1458&lt;=60,"60-70",G1458&lt;=70,"70-80",G1458&lt;=80,"80-90")</f>
        <v>60-70</v>
      </c>
      <c r="I1458" s="13">
        <v>2835</v>
      </c>
      <c r="J1458" s="13" t="str" cm="1">
        <f t="array" ref="J1458">_xlfn.IFS(K1458=1,"Divorciado",L1458=1,"Casado",M1458=1,"Solteiro",N1458=1,"Juntos",O1458=1,"Viuvo")</f>
        <v>Juntos</v>
      </c>
      <c r="K1458" s="13">
        <v>0</v>
      </c>
      <c r="L1458" s="13">
        <v>0</v>
      </c>
      <c r="M1458" s="13">
        <v>0</v>
      </c>
      <c r="N1458" s="13">
        <v>1</v>
      </c>
      <c r="O1458" s="13">
        <v>0</v>
      </c>
      <c r="P1458" s="13">
        <v>0</v>
      </c>
      <c r="Q1458" s="13">
        <v>0</v>
      </c>
      <c r="R1458" s="13">
        <v>1</v>
      </c>
      <c r="S1458" s="13">
        <v>0</v>
      </c>
      <c r="T1458" s="13">
        <v>0</v>
      </c>
      <c r="U1458" s="13">
        <v>28</v>
      </c>
      <c r="V1458" s="13" t="str" cm="1">
        <f t="array" ref="V1458">_xlfn.IFS(U1458&lt;=250,"0-R$250",U1458&lt;=500,"251-R$500",U1458&lt;=750,"501-R$750",U1458&lt;=1000,"751-R$1000",U1458&lt;=1250,"1001-R$1250",U1458&lt;=1500,"1251-R$1500")</f>
        <v>0-R$250</v>
      </c>
      <c r="W1458" s="13">
        <v>9</v>
      </c>
      <c r="X1458" s="13" t="str" cm="1">
        <f t="array" ref="X1458">_xlfn.IFS(W1458 = 0, "0", W1458&lt;=20, "até R$20",W1458&lt;=40, "21 - R$40",W1458&lt;=60, "41- R$60",W1458&lt;=80, "61 - R$80", W1458&lt;=100, "81 - R$100",W1458&lt;=120, "101 - R$120",W1458&lt;=140, "121 - R$140", W1458&lt;=160, "141- R$160", W1458&lt;=180, "161 - R$180", W1458&lt;=200, "181-R$194")</f>
        <v>até R$20</v>
      </c>
      <c r="Y1458" s="13">
        <v>37</v>
      </c>
      <c r="Z1458" s="13">
        <v>12</v>
      </c>
      <c r="AA1458" s="13">
        <v>7</v>
      </c>
      <c r="AB1458" s="13">
        <v>13</v>
      </c>
      <c r="AC1458" s="13">
        <v>3</v>
      </c>
      <c r="AD1458" s="13">
        <v>2</v>
      </c>
      <c r="AE1458" s="13">
        <v>0</v>
      </c>
      <c r="AF1458" s="13">
        <v>4</v>
      </c>
      <c r="AG1458" s="13">
        <v>8</v>
      </c>
      <c r="AH1458" s="13">
        <v>0</v>
      </c>
      <c r="AI1458" s="13">
        <v>0</v>
      </c>
      <c r="AJ1458" s="13">
        <v>0</v>
      </c>
      <c r="AK1458" s="13">
        <v>0</v>
      </c>
      <c r="AL1458" s="13">
        <v>0</v>
      </c>
      <c r="AM1458" s="13">
        <v>0</v>
      </c>
      <c r="AN1458" s="13">
        <v>0</v>
      </c>
      <c r="AO1458" s="14">
        <v>0</v>
      </c>
      <c r="AP1458" s="13">
        <v>3</v>
      </c>
      <c r="AQ1458" s="13">
        <v>11</v>
      </c>
      <c r="AR1458" s="15">
        <v>80</v>
      </c>
      <c r="AS1458" s="15">
        <v>93</v>
      </c>
    </row>
    <row r="1459" spans="1:45" x14ac:dyDescent="0.25">
      <c r="A1459">
        <v>1977</v>
      </c>
      <c r="B1459" s="11">
        <f t="shared" si="22"/>
        <v>22979</v>
      </c>
      <c r="C1459" s="16">
        <v>229790</v>
      </c>
      <c r="D1459" s="17">
        <v>1</v>
      </c>
      <c r="E1459" s="17">
        <v>0</v>
      </c>
      <c r="F1459" s="17">
        <v>29</v>
      </c>
      <c r="G1459" s="17">
        <v>50</v>
      </c>
      <c r="H1459" s="13" t="str" cm="1">
        <f t="array" ref="H1459">_xlfn.IFS(G1459&lt;=20,"0-20",G1459&lt;=30,"20-30",G1459&lt;=40,"30-40",G1459&lt;=50,"50-60",G1459&lt;=60,"60-70",G1459&lt;=70,"70-80",G1459&lt;=80,"80-90")</f>
        <v>50-60</v>
      </c>
      <c r="I1459" s="17">
        <v>2820</v>
      </c>
      <c r="J1459" s="13" t="str" cm="1">
        <f t="array" ref="J1459">_xlfn.IFS(K1459=1,"Divorciado",L1459=1,"Casado",M1459=1,"Solteiro",N1459=1,"Juntos",O1459=1,"Viuvo")</f>
        <v>Casado</v>
      </c>
      <c r="K1459" s="17">
        <v>0</v>
      </c>
      <c r="L1459" s="17">
        <v>1</v>
      </c>
      <c r="M1459" s="17">
        <v>0</v>
      </c>
      <c r="N1459" s="17">
        <v>0</v>
      </c>
      <c r="O1459" s="17">
        <v>0</v>
      </c>
      <c r="P1459" s="17">
        <v>0</v>
      </c>
      <c r="Q1459" s="17">
        <v>0</v>
      </c>
      <c r="R1459" s="17">
        <v>1</v>
      </c>
      <c r="S1459" s="17">
        <v>0</v>
      </c>
      <c r="T1459" s="17">
        <v>0</v>
      </c>
      <c r="U1459" s="17">
        <v>16</v>
      </c>
      <c r="V1459" s="13" t="str" cm="1">
        <f t="array" ref="V1459">_xlfn.IFS(U1459&lt;=250,"0-R$250",U1459&lt;=500,"251-R$500",U1459&lt;=750,"501-R$750",U1459&lt;=1000,"751-R$1000",U1459&lt;=1250,"1001-R$1250",U1459&lt;=1500,"1251-R$1500")</f>
        <v>0-R$250</v>
      </c>
      <c r="W1459" s="17">
        <v>17</v>
      </c>
      <c r="X1459" s="13" t="str" cm="1">
        <f t="array" ref="X1459">_xlfn.IFS(W1459 = 0, "0", W1459&lt;=20, "até R$20",W1459&lt;=40, "21 - R$40",W1459&lt;=60, "41- R$60",W1459&lt;=80, "61 - R$80", W1459&lt;=100, "81 - R$100",W1459&lt;=120, "101 - R$120",W1459&lt;=140, "121 - R$140", W1459&lt;=160, "141- R$160", W1459&lt;=180, "161 - R$180", W1459&lt;=200, "181-R$194")</f>
        <v>até R$20</v>
      </c>
      <c r="Y1459" s="17">
        <v>19</v>
      </c>
      <c r="Z1459" s="17">
        <v>20</v>
      </c>
      <c r="AA1459" s="17">
        <v>21</v>
      </c>
      <c r="AB1459" s="17">
        <v>22</v>
      </c>
      <c r="AC1459" s="17">
        <v>3</v>
      </c>
      <c r="AD1459" s="17">
        <v>3</v>
      </c>
      <c r="AE1459" s="17">
        <v>2</v>
      </c>
      <c r="AF1459" s="17">
        <v>2</v>
      </c>
      <c r="AG1459" s="17">
        <v>8</v>
      </c>
      <c r="AH1459" s="17">
        <v>0</v>
      </c>
      <c r="AI1459" s="17">
        <v>0</v>
      </c>
      <c r="AJ1459" s="17">
        <v>0</v>
      </c>
      <c r="AK1459" s="17">
        <v>0</v>
      </c>
      <c r="AL1459" s="17">
        <v>0</v>
      </c>
      <c r="AM1459" s="17">
        <v>0</v>
      </c>
      <c r="AN1459" s="17">
        <v>1</v>
      </c>
      <c r="AO1459" s="18">
        <v>0</v>
      </c>
      <c r="AP1459" s="17">
        <v>3</v>
      </c>
      <c r="AQ1459" s="17">
        <v>11</v>
      </c>
      <c r="AR1459" s="19">
        <v>71</v>
      </c>
      <c r="AS1459" s="19">
        <v>93</v>
      </c>
    </row>
    <row r="1460" spans="1:45" x14ac:dyDescent="0.25">
      <c r="A1460">
        <v>2039</v>
      </c>
      <c r="B1460" s="11">
        <f t="shared" si="22"/>
        <v>42192</v>
      </c>
      <c r="C1460" s="16">
        <v>421920</v>
      </c>
      <c r="D1460" s="17">
        <v>0</v>
      </c>
      <c r="E1460" s="17">
        <v>0</v>
      </c>
      <c r="F1460" s="17">
        <v>40</v>
      </c>
      <c r="G1460" s="17">
        <v>72</v>
      </c>
      <c r="H1460" s="13" t="str" cm="1">
        <f t="array" ref="H1460">_xlfn.IFS(G1460&lt;=20,"0-20",G1460&lt;=30,"20-30",G1460&lt;=40,"30-40",G1460&lt;=50,"50-60",G1460&lt;=60,"60-70",G1460&lt;=70,"70-80",G1460&lt;=80,"80-90")</f>
        <v>80-90</v>
      </c>
      <c r="I1460" s="17">
        <v>2455</v>
      </c>
      <c r="J1460" s="13" t="str" cm="1">
        <f t="array" ref="J1460">_xlfn.IFS(K1460=1,"Divorciado",L1460=1,"Casado",M1460=1,"Solteiro",N1460=1,"Juntos",O1460=1,"Viuvo")</f>
        <v>Casado</v>
      </c>
      <c r="K1460" s="17">
        <v>0</v>
      </c>
      <c r="L1460" s="17">
        <v>1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1</v>
      </c>
      <c r="S1460" s="17">
        <v>0</v>
      </c>
      <c r="T1460" s="17">
        <v>0</v>
      </c>
      <c r="U1460" s="17">
        <v>40</v>
      </c>
      <c r="V1460" s="13" t="str" cm="1">
        <f t="array" ref="V1460">_xlfn.IFS(U1460&lt;=250,"0-R$250",U1460&lt;=500,"251-R$500",U1460&lt;=750,"501-R$750",U1460&lt;=1000,"751-R$1000",U1460&lt;=1250,"1001-R$1250",U1460&lt;=1500,"1251-R$1500")</f>
        <v>0-R$250</v>
      </c>
      <c r="W1460" s="17">
        <v>15</v>
      </c>
      <c r="X1460" s="13" t="str" cm="1">
        <f t="array" ref="X1460">_xlfn.IFS(W1460 = 0, "0", W1460&lt;=20, "até R$20",W1460&lt;=40, "21 - R$40",W1460&lt;=60, "41- R$60",W1460&lt;=80, "61 - R$80", W1460&lt;=100, "81 - R$100",W1460&lt;=120, "101 - R$120",W1460&lt;=140, "121 - R$140", W1460&lt;=160, "141- R$160", W1460&lt;=180, "161 - R$180", W1460&lt;=200, "181-R$194")</f>
        <v>até R$20</v>
      </c>
      <c r="Y1460" s="17">
        <v>15</v>
      </c>
      <c r="Z1460" s="17">
        <v>17</v>
      </c>
      <c r="AA1460" s="17">
        <v>6</v>
      </c>
      <c r="AB1460" s="17">
        <v>7</v>
      </c>
      <c r="AC1460" s="17">
        <v>1</v>
      </c>
      <c r="AD1460" s="17">
        <v>2</v>
      </c>
      <c r="AE1460" s="17">
        <v>1</v>
      </c>
      <c r="AF1460" s="17">
        <v>3</v>
      </c>
      <c r="AG1460" s="17">
        <v>4</v>
      </c>
      <c r="AH1460" s="17">
        <v>0</v>
      </c>
      <c r="AI1460" s="17">
        <v>0</v>
      </c>
      <c r="AJ1460" s="17">
        <v>0</v>
      </c>
      <c r="AK1460" s="17">
        <v>0</v>
      </c>
      <c r="AL1460" s="17">
        <v>0</v>
      </c>
      <c r="AM1460" s="17">
        <v>0</v>
      </c>
      <c r="AN1460" s="17">
        <v>0</v>
      </c>
      <c r="AO1460" s="18">
        <v>0</v>
      </c>
      <c r="AP1460" s="17">
        <v>3</v>
      </c>
      <c r="AQ1460" s="17">
        <v>11</v>
      </c>
      <c r="AR1460" s="19">
        <v>86</v>
      </c>
      <c r="AS1460" s="19">
        <v>93</v>
      </c>
    </row>
    <row r="1461" spans="1:45" x14ac:dyDescent="0.25">
      <c r="A1461">
        <v>16</v>
      </c>
      <c r="B1461" s="11">
        <f t="shared" si="22"/>
        <v>41850</v>
      </c>
      <c r="C1461" s="12">
        <v>418500</v>
      </c>
      <c r="D1461" s="13">
        <v>1</v>
      </c>
      <c r="E1461" s="13">
        <v>1</v>
      </c>
      <c r="F1461" s="13">
        <v>51</v>
      </c>
      <c r="G1461" s="13">
        <v>40</v>
      </c>
      <c r="H1461" s="13" t="str" cm="1">
        <f t="array" ref="H1461">_xlfn.IFS(G1461&lt;=20,"0-20",G1461&lt;=30,"20-30",G1461&lt;=40,"30-40",G1461&lt;=50,"50-60",G1461&lt;=60,"60-70",G1461&lt;=70,"70-80",G1461&lt;=80,"80-90")</f>
        <v>30-40</v>
      </c>
      <c r="I1461" s="13">
        <v>2711</v>
      </c>
      <c r="J1461" s="13" t="str" cm="1">
        <f t="array" ref="J1461">_xlfn.IFS(K1461=1,"Divorciado",L1461=1,"Casado",M1461=1,"Solteiro",N1461=1,"Juntos",O1461=1,"Viuvo")</f>
        <v>Casado</v>
      </c>
      <c r="K1461" s="13">
        <v>0</v>
      </c>
      <c r="L1461" s="13">
        <v>1</v>
      </c>
      <c r="M1461" s="13">
        <v>0</v>
      </c>
      <c r="N1461" s="13">
        <v>0</v>
      </c>
      <c r="O1461" s="13">
        <v>0</v>
      </c>
      <c r="P1461" s="13">
        <v>0</v>
      </c>
      <c r="Q1461" s="13">
        <v>0</v>
      </c>
      <c r="R1461" s="13">
        <v>1</v>
      </c>
      <c r="S1461" s="13">
        <v>0</v>
      </c>
      <c r="T1461" s="13">
        <v>0</v>
      </c>
      <c r="U1461" s="13">
        <v>53</v>
      </c>
      <c r="V1461" s="13" t="str" cm="1">
        <f t="array" ref="V1461">_xlfn.IFS(U1461&lt;=250,"0-R$250",U1461&lt;=500,"251-R$500",U1461&lt;=750,"501-R$750",U1461&lt;=1000,"751-R$1000",U1461&lt;=1250,"1001-R$1250",U1461&lt;=1500,"1251-R$1500")</f>
        <v>0-R$250</v>
      </c>
      <c r="W1461" s="13">
        <v>5</v>
      </c>
      <c r="X1461" s="13" t="str" cm="1">
        <f t="array" ref="X1461">_xlfn.IFS(W1461 = 0, "0", W1461&lt;=20, "até R$20",W1461&lt;=40, "21 - R$40",W1461&lt;=60, "41- R$60",W1461&lt;=80, "61 - R$80", W1461&lt;=100, "81 - R$100",W1461&lt;=120, "101 - R$120",W1461&lt;=140, "121 - R$140", W1461&lt;=160, "141- R$160", W1461&lt;=180, "161 - R$180", W1461&lt;=200, "181-R$194")</f>
        <v>até R$20</v>
      </c>
      <c r="Y1461" s="13">
        <v>19</v>
      </c>
      <c r="Z1461" s="13">
        <v>2</v>
      </c>
      <c r="AA1461" s="13">
        <v>13</v>
      </c>
      <c r="AB1461" s="13">
        <v>4</v>
      </c>
      <c r="AC1461" s="13">
        <v>3</v>
      </c>
      <c r="AD1461" s="13">
        <v>3</v>
      </c>
      <c r="AE1461" s="13">
        <v>0</v>
      </c>
      <c r="AF1461" s="13">
        <v>3</v>
      </c>
      <c r="AG1461" s="13">
        <v>8</v>
      </c>
      <c r="AH1461" s="13">
        <v>0</v>
      </c>
      <c r="AI1461" s="13">
        <v>0</v>
      </c>
      <c r="AJ1461" s="13">
        <v>0</v>
      </c>
      <c r="AK1461" s="13">
        <v>0</v>
      </c>
      <c r="AL1461" s="13">
        <v>0</v>
      </c>
      <c r="AM1461" s="13">
        <v>0</v>
      </c>
      <c r="AN1461" s="13">
        <v>0</v>
      </c>
      <c r="AO1461" s="14">
        <v>0</v>
      </c>
      <c r="AP1461" s="13">
        <v>3</v>
      </c>
      <c r="AQ1461" s="13">
        <v>11</v>
      </c>
      <c r="AR1461" s="15">
        <v>88</v>
      </c>
      <c r="AS1461" s="15">
        <v>92</v>
      </c>
    </row>
    <row r="1462" spans="1:45" x14ac:dyDescent="0.25">
      <c r="A1462">
        <v>293</v>
      </c>
      <c r="B1462" s="11">
        <f t="shared" si="22"/>
        <v>27038</v>
      </c>
      <c r="C1462" s="16">
        <v>270380</v>
      </c>
      <c r="D1462" s="17">
        <v>0</v>
      </c>
      <c r="E1462" s="17">
        <v>0</v>
      </c>
      <c r="F1462" s="17">
        <v>64</v>
      </c>
      <c r="G1462" s="17">
        <v>54</v>
      </c>
      <c r="H1462" s="13" t="str" cm="1">
        <f t="array" ref="H1462">_xlfn.IFS(G1462&lt;=20,"0-20",G1462&lt;=30,"20-30",G1462&lt;=40,"30-40",G1462&lt;=50,"50-60",G1462&lt;=60,"60-70",G1462&lt;=70,"70-80",G1462&lt;=80,"80-90")</f>
        <v>60-70</v>
      </c>
      <c r="I1462" s="17">
        <v>2808</v>
      </c>
      <c r="J1462" s="13" t="str" cm="1">
        <f t="array" ref="J1462">_xlfn.IFS(K1462=1,"Divorciado",L1462=1,"Casado",M1462=1,"Solteiro",N1462=1,"Juntos",O1462=1,"Viuvo")</f>
        <v>Viuvo</v>
      </c>
      <c r="K1462" s="17">
        <v>0</v>
      </c>
      <c r="L1462" s="17">
        <v>0</v>
      </c>
      <c r="M1462" s="17">
        <v>0</v>
      </c>
      <c r="N1462" s="17">
        <v>0</v>
      </c>
      <c r="O1462" s="17">
        <v>1</v>
      </c>
      <c r="P1462" s="17">
        <v>0</v>
      </c>
      <c r="Q1462" s="17">
        <v>0</v>
      </c>
      <c r="R1462" s="17">
        <v>1</v>
      </c>
      <c r="S1462" s="17">
        <v>0</v>
      </c>
      <c r="T1462" s="17">
        <v>0</v>
      </c>
      <c r="U1462" s="17">
        <v>1</v>
      </c>
      <c r="V1462" s="13" t="str" cm="1">
        <f t="array" ref="V1462">_xlfn.IFS(U1462&lt;=250,"0-R$250",U1462&lt;=500,"251-R$500",U1462&lt;=750,"501-R$750",U1462&lt;=1000,"751-R$1000",U1462&lt;=1250,"1001-R$1250",U1462&lt;=1500,"1251-R$1500")</f>
        <v>0-R$250</v>
      </c>
      <c r="W1462" s="17">
        <v>26</v>
      </c>
      <c r="X1462" s="13" t="str" cm="1">
        <f t="array" ref="X1462">_xlfn.IFS(W1462 = 0, "0", W1462&lt;=20, "até R$20",W1462&lt;=40, "21 - R$40",W1462&lt;=60, "41- R$60",W1462&lt;=80, "61 - R$80", W1462&lt;=100, "81 - R$100",W1462&lt;=120, "101 - R$120",W1462&lt;=140, "121 - R$140", W1462&lt;=160, "141- R$160", W1462&lt;=180, "161 - R$180", W1462&lt;=200, "181-R$194")</f>
        <v>21 - R$40</v>
      </c>
      <c r="Y1462" s="17">
        <v>25</v>
      </c>
      <c r="Z1462" s="17">
        <v>17</v>
      </c>
      <c r="AA1462" s="17">
        <v>23</v>
      </c>
      <c r="AB1462" s="17">
        <v>15</v>
      </c>
      <c r="AC1462" s="17">
        <v>1</v>
      </c>
      <c r="AD1462" s="17">
        <v>3</v>
      </c>
      <c r="AE1462" s="17">
        <v>0</v>
      </c>
      <c r="AF1462" s="17">
        <v>3</v>
      </c>
      <c r="AG1462" s="17">
        <v>9</v>
      </c>
      <c r="AH1462" s="17">
        <v>0</v>
      </c>
      <c r="AI1462" s="17">
        <v>0</v>
      </c>
      <c r="AJ1462" s="17">
        <v>0</v>
      </c>
      <c r="AK1462" s="17">
        <v>0</v>
      </c>
      <c r="AL1462" s="17">
        <v>0</v>
      </c>
      <c r="AM1462" s="17">
        <v>0</v>
      </c>
      <c r="AN1462" s="17">
        <v>1</v>
      </c>
      <c r="AO1462" s="18">
        <v>0</v>
      </c>
      <c r="AP1462" s="17">
        <v>3</v>
      </c>
      <c r="AQ1462" s="17">
        <v>11</v>
      </c>
      <c r="AR1462" s="19">
        <v>77</v>
      </c>
      <c r="AS1462" s="19">
        <v>92</v>
      </c>
    </row>
    <row r="1463" spans="1:45" x14ac:dyDescent="0.25">
      <c r="A1463">
        <v>912</v>
      </c>
      <c r="B1463" s="11">
        <f t="shared" si="22"/>
        <v>46107</v>
      </c>
      <c r="C1463" s="12">
        <v>461070</v>
      </c>
      <c r="D1463" s="13">
        <v>1</v>
      </c>
      <c r="E1463" s="13">
        <v>0</v>
      </c>
      <c r="F1463" s="13">
        <v>78</v>
      </c>
      <c r="G1463" s="13">
        <v>31</v>
      </c>
      <c r="H1463" s="13" t="str" cm="1">
        <f t="array" ref="H1463">_xlfn.IFS(G1463&lt;=20,"0-20",G1463&lt;=30,"20-30",G1463&lt;=40,"30-40",G1463&lt;=50,"50-60",G1463&lt;=60,"60-70",G1463&lt;=70,"70-80",G1463&lt;=80,"80-90")</f>
        <v>30-40</v>
      </c>
      <c r="I1463" s="13">
        <v>2298</v>
      </c>
      <c r="J1463" s="13" t="str" cm="1">
        <f t="array" ref="J1463">_xlfn.IFS(K1463=1,"Divorciado",L1463=1,"Casado",M1463=1,"Solteiro",N1463=1,"Juntos",O1463=1,"Viuvo")</f>
        <v>Solteiro</v>
      </c>
      <c r="K1463" s="13">
        <v>0</v>
      </c>
      <c r="L1463" s="13">
        <v>0</v>
      </c>
      <c r="M1463" s="13">
        <v>1</v>
      </c>
      <c r="N1463" s="13">
        <v>0</v>
      </c>
      <c r="O1463" s="13">
        <v>0</v>
      </c>
      <c r="P1463" s="13">
        <v>0</v>
      </c>
      <c r="Q1463" s="13">
        <v>0</v>
      </c>
      <c r="R1463" s="13">
        <v>1</v>
      </c>
      <c r="S1463" s="13">
        <v>0</v>
      </c>
      <c r="T1463" s="13">
        <v>0</v>
      </c>
      <c r="U1463" s="13">
        <v>31</v>
      </c>
      <c r="V1463" s="13" t="str" cm="1">
        <f t="array" ref="V1463">_xlfn.IFS(U1463&lt;=250,"0-R$250",U1463&lt;=500,"251-R$500",U1463&lt;=750,"501-R$750",U1463&lt;=1000,"751-R$1000",U1463&lt;=1250,"1001-R$1250",U1463&lt;=1500,"1251-R$1500")</f>
        <v>0-R$250</v>
      </c>
      <c r="W1463" s="13">
        <v>9</v>
      </c>
      <c r="X1463" s="13" t="str" cm="1">
        <f t="array" ref="X1463">_xlfn.IFS(W1463 = 0, "0", W1463&lt;=20, "até R$20",W1463&lt;=40, "21 - R$40",W1463&lt;=60, "41- R$60",W1463&lt;=80, "61 - R$80", W1463&lt;=100, "81 - R$100",W1463&lt;=120, "101 - R$120",W1463&lt;=140, "121 - R$140", W1463&lt;=160, "141- R$160", W1463&lt;=180, "161 - R$180", W1463&lt;=200, "181-R$194")</f>
        <v>até R$20</v>
      </c>
      <c r="Y1463" s="13">
        <v>27</v>
      </c>
      <c r="Z1463" s="13">
        <v>16</v>
      </c>
      <c r="AA1463" s="13">
        <v>9</v>
      </c>
      <c r="AB1463" s="13">
        <v>33</v>
      </c>
      <c r="AC1463" s="13">
        <v>1</v>
      </c>
      <c r="AD1463" s="13">
        <v>1</v>
      </c>
      <c r="AE1463" s="13">
        <v>1</v>
      </c>
      <c r="AF1463" s="13">
        <v>4</v>
      </c>
      <c r="AG1463" s="13">
        <v>3</v>
      </c>
      <c r="AH1463" s="13">
        <v>0</v>
      </c>
      <c r="AI1463" s="13">
        <v>0</v>
      </c>
      <c r="AJ1463" s="13">
        <v>0</v>
      </c>
      <c r="AK1463" s="13">
        <v>0</v>
      </c>
      <c r="AL1463" s="13">
        <v>0</v>
      </c>
      <c r="AM1463" s="13">
        <v>0</v>
      </c>
      <c r="AN1463" s="13">
        <v>0</v>
      </c>
      <c r="AO1463" s="14">
        <v>0</v>
      </c>
      <c r="AP1463" s="13">
        <v>3</v>
      </c>
      <c r="AQ1463" s="13">
        <v>11</v>
      </c>
      <c r="AR1463" s="15">
        <v>59</v>
      </c>
      <c r="AS1463" s="15">
        <v>92</v>
      </c>
    </row>
    <row r="1464" spans="1:45" x14ac:dyDescent="0.25">
      <c r="A1464">
        <v>372</v>
      </c>
      <c r="B1464" s="11">
        <f t="shared" si="22"/>
        <v>38823</v>
      </c>
      <c r="C1464" s="12">
        <v>388230</v>
      </c>
      <c r="D1464" s="13">
        <v>0</v>
      </c>
      <c r="E1464" s="13">
        <v>1</v>
      </c>
      <c r="F1464" s="13">
        <v>56</v>
      </c>
      <c r="G1464" s="13">
        <v>71</v>
      </c>
      <c r="H1464" s="13" t="str" cm="1">
        <f t="array" ref="H1464">_xlfn.IFS(G1464&lt;=20,"0-20",G1464&lt;=30,"20-30",G1464&lt;=40,"30-40",G1464&lt;=50,"50-60",G1464&lt;=60,"60-70",G1464&lt;=70,"70-80",G1464&lt;=80,"80-90")</f>
        <v>80-90</v>
      </c>
      <c r="I1464" s="13">
        <v>2827</v>
      </c>
      <c r="J1464" s="13" t="str" cm="1">
        <f t="array" ref="J1464">_xlfn.IFS(K1464=1,"Divorciado",L1464=1,"Casado",M1464=1,"Solteiro",N1464=1,"Juntos",O1464=1,"Viuvo")</f>
        <v>Juntos</v>
      </c>
      <c r="K1464" s="13">
        <v>0</v>
      </c>
      <c r="L1464" s="13">
        <v>0</v>
      </c>
      <c r="M1464" s="13">
        <v>0</v>
      </c>
      <c r="N1464" s="13">
        <v>1</v>
      </c>
      <c r="O1464" s="13">
        <v>0</v>
      </c>
      <c r="P1464" s="13">
        <v>0</v>
      </c>
      <c r="Q1464" s="13">
        <v>0</v>
      </c>
      <c r="R1464" s="13">
        <v>1</v>
      </c>
      <c r="S1464" s="13">
        <v>0</v>
      </c>
      <c r="T1464" s="13">
        <v>0</v>
      </c>
      <c r="U1464" s="13">
        <v>70</v>
      </c>
      <c r="V1464" s="13" t="str" cm="1">
        <f t="array" ref="V1464">_xlfn.IFS(U1464&lt;=250,"0-R$250",U1464&lt;=500,"251-R$500",U1464&lt;=750,"501-R$750",U1464&lt;=1000,"751-R$1000",U1464&lt;=1250,"1001-R$1250",U1464&lt;=1500,"1251-R$1500")</f>
        <v>0-R$250</v>
      </c>
      <c r="W1464" s="13">
        <v>0</v>
      </c>
      <c r="X1464" s="13" t="str" cm="1">
        <f t="array" ref="X1464">_xlfn.IFS(W1464 = 0, "0", W1464&lt;=20, "até R$20",W1464&lt;=40, "21 - R$40",W1464&lt;=60, "41- R$60",W1464&lt;=80, "61 - R$80", W1464&lt;=100, "81 - R$100",W1464&lt;=120, "101 - R$120",W1464&lt;=140, "121 - R$140", W1464&lt;=160, "141- R$160", W1464&lt;=180, "161 - R$180", W1464&lt;=200, "181-R$194")</f>
        <v>0</v>
      </c>
      <c r="Y1464" s="13">
        <v>11</v>
      </c>
      <c r="Z1464" s="13">
        <v>2</v>
      </c>
      <c r="AA1464" s="13">
        <v>8</v>
      </c>
      <c r="AB1464" s="13">
        <v>23</v>
      </c>
      <c r="AC1464" s="13">
        <v>1</v>
      </c>
      <c r="AD1464" s="13">
        <v>2</v>
      </c>
      <c r="AE1464" s="13">
        <v>1</v>
      </c>
      <c r="AF1464" s="13">
        <v>3</v>
      </c>
      <c r="AG1464" s="13">
        <v>6</v>
      </c>
      <c r="AH1464" s="13">
        <v>0</v>
      </c>
      <c r="AI1464" s="13">
        <v>0</v>
      </c>
      <c r="AJ1464" s="13">
        <v>0</v>
      </c>
      <c r="AK1464" s="13">
        <v>0</v>
      </c>
      <c r="AL1464" s="13">
        <v>0</v>
      </c>
      <c r="AM1464" s="13">
        <v>0</v>
      </c>
      <c r="AN1464" s="13">
        <v>0</v>
      </c>
      <c r="AO1464" s="14">
        <v>0</v>
      </c>
      <c r="AP1464" s="13">
        <v>3</v>
      </c>
      <c r="AQ1464" s="13">
        <v>11</v>
      </c>
      <c r="AR1464" s="15">
        <v>68</v>
      </c>
      <c r="AS1464" s="15">
        <v>91</v>
      </c>
    </row>
    <row r="1465" spans="1:45" x14ac:dyDescent="0.25">
      <c r="A1465">
        <v>567</v>
      </c>
      <c r="B1465" s="11">
        <f t="shared" si="22"/>
        <v>27450</v>
      </c>
      <c r="C1465" s="16">
        <v>274500</v>
      </c>
      <c r="D1465" s="17">
        <v>0</v>
      </c>
      <c r="E1465" s="17">
        <v>0</v>
      </c>
      <c r="F1465" s="17">
        <v>57</v>
      </c>
      <c r="G1465" s="17">
        <v>69</v>
      </c>
      <c r="H1465" s="13" t="str" cm="1">
        <f t="array" ref="H1465">_xlfn.IFS(G1465&lt;=20,"0-20",G1465&lt;=30,"20-30",G1465&lt;=40,"30-40",G1465&lt;=50,"50-60",G1465&lt;=60,"60-70",G1465&lt;=70,"70-80",G1465&lt;=80,"80-90")</f>
        <v>70-80</v>
      </c>
      <c r="I1465" s="17">
        <v>2599</v>
      </c>
      <c r="J1465" s="13" t="str" cm="1">
        <f t="array" ref="J1465">_xlfn.IFS(K1465=1,"Divorciado",L1465=1,"Casado",M1465=1,"Solteiro",N1465=1,"Juntos",O1465=1,"Viuvo")</f>
        <v>Casado</v>
      </c>
      <c r="K1465" s="17">
        <v>0</v>
      </c>
      <c r="L1465" s="17">
        <v>1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1</v>
      </c>
      <c r="T1465" s="17">
        <v>0</v>
      </c>
      <c r="U1465" s="17">
        <v>37</v>
      </c>
      <c r="V1465" s="13" t="str" cm="1">
        <f t="array" ref="V1465">_xlfn.IFS(U1465&lt;=250,"0-R$250",U1465&lt;=500,"251-R$500",U1465&lt;=750,"501-R$750",U1465&lt;=1000,"751-R$1000",U1465&lt;=1250,"1001-R$1250",U1465&lt;=1500,"1251-R$1500")</f>
        <v>0-R$250</v>
      </c>
      <c r="W1465" s="17">
        <v>12</v>
      </c>
      <c r="X1465" s="13" t="str" cm="1">
        <f t="array" ref="X1465">_xlfn.IFS(W1465 = 0, "0", W1465&lt;=20, "até R$20",W1465&lt;=40, "21 - R$40",W1465&lt;=60, "41- R$60",W1465&lt;=80, "61 - R$80", W1465&lt;=100, "81 - R$100",W1465&lt;=120, "101 - R$120",W1465&lt;=140, "121 - R$140", W1465&lt;=160, "141- R$160", W1465&lt;=180, "161 - R$180", W1465&lt;=200, "181-R$194")</f>
        <v>até R$20</v>
      </c>
      <c r="Y1465" s="17">
        <v>23</v>
      </c>
      <c r="Z1465" s="17">
        <v>8</v>
      </c>
      <c r="AA1465" s="17">
        <v>11</v>
      </c>
      <c r="AB1465" s="17">
        <v>52</v>
      </c>
      <c r="AC1465" s="17">
        <v>1</v>
      </c>
      <c r="AD1465" s="17">
        <v>2</v>
      </c>
      <c r="AE1465" s="17">
        <v>1</v>
      </c>
      <c r="AF1465" s="17">
        <v>3</v>
      </c>
      <c r="AG1465" s="17">
        <v>7</v>
      </c>
      <c r="AH1465" s="17">
        <v>0</v>
      </c>
      <c r="AI1465" s="17">
        <v>0</v>
      </c>
      <c r="AJ1465" s="17">
        <v>0</v>
      </c>
      <c r="AK1465" s="17">
        <v>0</v>
      </c>
      <c r="AL1465" s="17">
        <v>0</v>
      </c>
      <c r="AM1465" s="17">
        <v>0</v>
      </c>
      <c r="AN1465" s="17">
        <v>0</v>
      </c>
      <c r="AO1465" s="18">
        <v>0</v>
      </c>
      <c r="AP1465" s="17">
        <v>3</v>
      </c>
      <c r="AQ1465" s="17">
        <v>11</v>
      </c>
      <c r="AR1465" s="19">
        <v>39</v>
      </c>
      <c r="AS1465" s="19">
        <v>91</v>
      </c>
    </row>
    <row r="1466" spans="1:45" x14ac:dyDescent="0.25">
      <c r="A1466">
        <v>994</v>
      </c>
      <c r="B1466" s="11">
        <f t="shared" si="22"/>
        <v>34053</v>
      </c>
      <c r="C1466" s="12">
        <v>340530</v>
      </c>
      <c r="D1466" s="13">
        <v>0</v>
      </c>
      <c r="E1466" s="13">
        <v>1</v>
      </c>
      <c r="F1466" s="13">
        <v>14</v>
      </c>
      <c r="G1466" s="13">
        <v>52</v>
      </c>
      <c r="H1466" s="13" t="str" cm="1">
        <f t="array" ref="H1466">_xlfn.IFS(G1466&lt;=20,"0-20",G1466&lt;=30,"20-30",G1466&lt;=40,"30-40",G1466&lt;=50,"50-60",G1466&lt;=60,"60-70",G1466&lt;=70,"70-80",G1466&lt;=80,"80-90")</f>
        <v>60-70</v>
      </c>
      <c r="I1466" s="13">
        <v>2816</v>
      </c>
      <c r="J1466" s="13" t="str" cm="1">
        <f t="array" ref="J1466">_xlfn.IFS(K1466=1,"Divorciado",L1466=1,"Casado",M1466=1,"Solteiro",N1466=1,"Juntos",O1466=1,"Viuvo")</f>
        <v>Juntos</v>
      </c>
      <c r="K1466" s="13">
        <v>0</v>
      </c>
      <c r="L1466" s="13">
        <v>0</v>
      </c>
      <c r="M1466" s="13">
        <v>0</v>
      </c>
      <c r="N1466" s="13">
        <v>1</v>
      </c>
      <c r="O1466" s="13">
        <v>0</v>
      </c>
      <c r="P1466" s="13">
        <v>0</v>
      </c>
      <c r="Q1466" s="13">
        <v>0</v>
      </c>
      <c r="R1466" s="13">
        <v>0</v>
      </c>
      <c r="S1466" s="13">
        <v>1</v>
      </c>
      <c r="T1466" s="13">
        <v>0</v>
      </c>
      <c r="U1466" s="13">
        <v>63</v>
      </c>
      <c r="V1466" s="13" t="str" cm="1">
        <f t="array" ref="V1466">_xlfn.IFS(U1466&lt;=250,"0-R$250",U1466&lt;=500,"251-R$500",U1466&lt;=750,"501-R$750",U1466&lt;=1000,"751-R$1000",U1466&lt;=1250,"1001-R$1250",U1466&lt;=1500,"1251-R$1500")</f>
        <v>0-R$250</v>
      </c>
      <c r="W1466" s="13">
        <v>0</v>
      </c>
      <c r="X1466" s="13" t="str" cm="1">
        <f t="array" ref="X1466">_xlfn.IFS(W1466 = 0, "0", W1466&lt;=20, "até R$20",W1466&lt;=40, "21 - R$40",W1466&lt;=60, "41- R$60",W1466&lt;=80, "61 - R$80", W1466&lt;=100, "81 - R$100",W1466&lt;=120, "101 - R$120",W1466&lt;=140, "121 - R$140", W1466&lt;=160, "141- R$160", W1466&lt;=180, "161 - R$180", W1466&lt;=200, "181-R$194")</f>
        <v>0</v>
      </c>
      <c r="Y1466" s="13">
        <v>21</v>
      </c>
      <c r="Z1466" s="13">
        <v>7</v>
      </c>
      <c r="AA1466" s="13">
        <v>0</v>
      </c>
      <c r="AB1466" s="13">
        <v>12</v>
      </c>
      <c r="AC1466" s="13">
        <v>1</v>
      </c>
      <c r="AD1466" s="13">
        <v>3</v>
      </c>
      <c r="AE1466" s="13">
        <v>0</v>
      </c>
      <c r="AF1466" s="13">
        <v>3</v>
      </c>
      <c r="AG1466" s="13">
        <v>8</v>
      </c>
      <c r="AH1466" s="13">
        <v>0</v>
      </c>
      <c r="AI1466" s="13">
        <v>0</v>
      </c>
      <c r="AJ1466" s="13">
        <v>0</v>
      </c>
      <c r="AK1466" s="13">
        <v>0</v>
      </c>
      <c r="AL1466" s="13">
        <v>0</v>
      </c>
      <c r="AM1466" s="13">
        <v>0</v>
      </c>
      <c r="AN1466" s="13">
        <v>0</v>
      </c>
      <c r="AO1466" s="14">
        <v>0</v>
      </c>
      <c r="AP1466" s="13">
        <v>3</v>
      </c>
      <c r="AQ1466" s="13">
        <v>11</v>
      </c>
      <c r="AR1466" s="15">
        <v>79</v>
      </c>
      <c r="AS1466" s="15">
        <v>91</v>
      </c>
    </row>
    <row r="1467" spans="1:45" x14ac:dyDescent="0.25">
      <c r="A1467">
        <v>1503</v>
      </c>
      <c r="B1467" s="11">
        <f t="shared" si="22"/>
        <v>28087</v>
      </c>
      <c r="C1467" s="16">
        <v>280870</v>
      </c>
      <c r="D1467" s="17">
        <v>1</v>
      </c>
      <c r="E1467" s="17">
        <v>1</v>
      </c>
      <c r="F1467" s="17">
        <v>77</v>
      </c>
      <c r="G1467" s="17">
        <v>62</v>
      </c>
      <c r="H1467" s="13" t="str" cm="1">
        <f t="array" ref="H1467">_xlfn.IFS(G1467&lt;=20,"0-20",G1467&lt;=30,"20-30",G1467&lt;=40,"30-40",G1467&lt;=50,"50-60",G1467&lt;=60,"60-70",G1467&lt;=70,"70-80",G1467&lt;=80,"80-90")</f>
        <v>70-80</v>
      </c>
      <c r="I1467" s="17">
        <v>2724</v>
      </c>
      <c r="J1467" s="13" t="str" cm="1">
        <f t="array" ref="J1467">_xlfn.IFS(K1467=1,"Divorciado",L1467=1,"Casado",M1467=1,"Solteiro",N1467=1,"Juntos",O1467=1,"Viuvo")</f>
        <v>Juntos</v>
      </c>
      <c r="K1467" s="17">
        <v>0</v>
      </c>
      <c r="L1467" s="17">
        <v>0</v>
      </c>
      <c r="M1467" s="17">
        <v>0</v>
      </c>
      <c r="N1467" s="17">
        <v>1</v>
      </c>
      <c r="O1467" s="17">
        <v>0</v>
      </c>
      <c r="P1467" s="17">
        <v>0</v>
      </c>
      <c r="Q1467" s="17">
        <v>0</v>
      </c>
      <c r="R1467" s="17">
        <v>1</v>
      </c>
      <c r="S1467" s="17">
        <v>0</v>
      </c>
      <c r="T1467" s="17">
        <v>0</v>
      </c>
      <c r="U1467" s="17">
        <v>53</v>
      </c>
      <c r="V1467" s="13" t="str" cm="1">
        <f t="array" ref="V1467">_xlfn.IFS(U1467&lt;=250,"0-R$250",U1467&lt;=500,"251-R$500",U1467&lt;=750,"501-R$750",U1467&lt;=1000,"751-R$1000",U1467&lt;=1250,"1001-R$1250",U1467&lt;=1500,"1251-R$1500")</f>
        <v>0-R$250</v>
      </c>
      <c r="W1467" s="17">
        <v>8</v>
      </c>
      <c r="X1467" s="13" t="str" cm="1">
        <f t="array" ref="X1467">_xlfn.IFS(W1467 = 0, "0", W1467&lt;=20, "até R$20",W1467&lt;=40, "21 - R$40",W1467&lt;=60, "41- R$60",W1467&lt;=80, "61 - R$80", W1467&lt;=100, "81 - R$100",W1467&lt;=120, "101 - R$120",W1467&lt;=140, "121 - R$140", W1467&lt;=160, "141- R$160", W1467&lt;=180, "161 - R$180", W1467&lt;=200, "181-R$194")</f>
        <v>até R$20</v>
      </c>
      <c r="Y1467" s="17">
        <v>17</v>
      </c>
      <c r="Z1467" s="17">
        <v>13</v>
      </c>
      <c r="AA1467" s="17">
        <v>0</v>
      </c>
      <c r="AB1467" s="17">
        <v>21</v>
      </c>
      <c r="AC1467" s="17">
        <v>3</v>
      </c>
      <c r="AD1467" s="17">
        <v>2</v>
      </c>
      <c r="AE1467" s="17">
        <v>2</v>
      </c>
      <c r="AF1467" s="17">
        <v>2</v>
      </c>
      <c r="AG1467" s="17">
        <v>7</v>
      </c>
      <c r="AH1467" s="17">
        <v>0</v>
      </c>
      <c r="AI1467" s="17">
        <v>0</v>
      </c>
      <c r="AJ1467" s="17">
        <v>0</v>
      </c>
      <c r="AK1467" s="17">
        <v>0</v>
      </c>
      <c r="AL1467" s="17">
        <v>0</v>
      </c>
      <c r="AM1467" s="17">
        <v>0</v>
      </c>
      <c r="AN1467" s="17">
        <v>0</v>
      </c>
      <c r="AO1467" s="18">
        <v>0</v>
      </c>
      <c r="AP1467" s="17">
        <v>3</v>
      </c>
      <c r="AQ1467" s="17">
        <v>11</v>
      </c>
      <c r="AR1467" s="19">
        <v>70</v>
      </c>
      <c r="AS1467" s="19">
        <v>91</v>
      </c>
    </row>
    <row r="1468" spans="1:45" x14ac:dyDescent="0.25">
      <c r="A1468">
        <v>1526</v>
      </c>
      <c r="B1468" s="11">
        <f t="shared" si="22"/>
        <v>57530</v>
      </c>
      <c r="C1468" s="12">
        <v>575300</v>
      </c>
      <c r="D1468" s="13">
        <v>0</v>
      </c>
      <c r="E1468" s="13">
        <v>1</v>
      </c>
      <c r="F1468" s="13">
        <v>68</v>
      </c>
      <c r="G1468" s="13">
        <v>69</v>
      </c>
      <c r="H1468" s="13" t="str" cm="1">
        <f t="array" ref="H1468">_xlfn.IFS(G1468&lt;=20,"0-20",G1468&lt;=30,"20-30",G1468&lt;=40,"30-40",G1468&lt;=50,"50-60",G1468&lt;=60,"60-70",G1468&lt;=70,"70-80",G1468&lt;=80,"80-90")</f>
        <v>70-80</v>
      </c>
      <c r="I1468" s="13">
        <v>2419</v>
      </c>
      <c r="J1468" s="13" t="str" cm="1">
        <f t="array" ref="J1468">_xlfn.IFS(K1468=1,"Divorciado",L1468=1,"Casado",M1468=1,"Solteiro",N1468=1,"Juntos",O1468=1,"Viuvo")</f>
        <v>Divorciado</v>
      </c>
      <c r="K1468" s="13">
        <v>1</v>
      </c>
      <c r="L1468" s="13">
        <v>0</v>
      </c>
      <c r="M1468" s="13">
        <v>0</v>
      </c>
      <c r="N1468" s="13">
        <v>0</v>
      </c>
      <c r="O1468" s="13">
        <v>0</v>
      </c>
      <c r="P1468" s="13">
        <v>0</v>
      </c>
      <c r="Q1468" s="13">
        <v>0</v>
      </c>
      <c r="R1468" s="13">
        <v>0</v>
      </c>
      <c r="S1468" s="13">
        <v>1</v>
      </c>
      <c r="T1468" s="13">
        <v>0</v>
      </c>
      <c r="U1468" s="13">
        <v>50</v>
      </c>
      <c r="V1468" s="13" t="str" cm="1">
        <f t="array" ref="V1468">_xlfn.IFS(U1468&lt;=250,"0-R$250",U1468&lt;=500,"251-R$500",U1468&lt;=750,"501-R$750",U1468&lt;=1000,"751-R$1000",U1468&lt;=1250,"1001-R$1250",U1468&lt;=1500,"1251-R$1500")</f>
        <v>0-R$250</v>
      </c>
      <c r="W1468" s="13">
        <v>1</v>
      </c>
      <c r="X1468" s="13" t="str" cm="1">
        <f t="array" ref="X1468">_xlfn.IFS(W1468 = 0, "0", W1468&lt;=20, "até R$20",W1468&lt;=40, "21 - R$40",W1468&lt;=60, "41- R$60",W1468&lt;=80, "61 - R$80", W1468&lt;=100, "81 - R$100",W1468&lt;=120, "101 - R$120",W1468&lt;=140, "121 - R$140", W1468&lt;=160, "141- R$160", W1468&lt;=180, "161 - R$180", W1468&lt;=200, "181-R$194")</f>
        <v>até R$20</v>
      </c>
      <c r="Y1468" s="13">
        <v>27</v>
      </c>
      <c r="Z1468" s="13">
        <v>6</v>
      </c>
      <c r="AA1468" s="13">
        <v>7</v>
      </c>
      <c r="AB1468" s="13">
        <v>1</v>
      </c>
      <c r="AC1468" s="13">
        <v>1</v>
      </c>
      <c r="AD1468" s="13">
        <v>1</v>
      </c>
      <c r="AE1468" s="13">
        <v>1</v>
      </c>
      <c r="AF1468" s="13">
        <v>4</v>
      </c>
      <c r="AG1468" s="13">
        <v>1</v>
      </c>
      <c r="AH1468" s="13">
        <v>0</v>
      </c>
      <c r="AI1468" s="13">
        <v>0</v>
      </c>
      <c r="AJ1468" s="13">
        <v>0</v>
      </c>
      <c r="AK1468" s="13">
        <v>0</v>
      </c>
      <c r="AL1468" s="13">
        <v>0</v>
      </c>
      <c r="AM1468" s="13">
        <v>0</v>
      </c>
      <c r="AN1468" s="13">
        <v>0</v>
      </c>
      <c r="AO1468" s="14">
        <v>0</v>
      </c>
      <c r="AP1468" s="13">
        <v>3</v>
      </c>
      <c r="AQ1468" s="13">
        <v>11</v>
      </c>
      <c r="AR1468" s="15">
        <v>90</v>
      </c>
      <c r="AS1468" s="15">
        <v>91</v>
      </c>
    </row>
    <row r="1469" spans="1:45" x14ac:dyDescent="0.25">
      <c r="A1469">
        <v>1628</v>
      </c>
      <c r="B1469" s="11">
        <f t="shared" si="22"/>
        <v>34213</v>
      </c>
      <c r="C1469" s="12">
        <v>342130</v>
      </c>
      <c r="D1469" s="13">
        <v>1</v>
      </c>
      <c r="E1469" s="13">
        <v>1</v>
      </c>
      <c r="F1469" s="13">
        <v>2</v>
      </c>
      <c r="G1469" s="13">
        <v>57</v>
      </c>
      <c r="H1469" s="13" t="str" cm="1">
        <f t="array" ref="H1469">_xlfn.IFS(G1469&lt;=20,"0-20",G1469&lt;=30,"20-30",G1469&lt;=40,"30-40",G1469&lt;=50,"50-60",G1469&lt;=60,"60-70",G1469&lt;=70,"70-80",G1469&lt;=80,"80-90")</f>
        <v>60-70</v>
      </c>
      <c r="I1469" s="13">
        <v>2819</v>
      </c>
      <c r="J1469" s="13" t="str" cm="1">
        <f t="array" ref="J1469">_xlfn.IFS(K1469=1,"Divorciado",L1469=1,"Casado",M1469=1,"Solteiro",N1469=1,"Juntos",O1469=1,"Viuvo")</f>
        <v>Viuvo</v>
      </c>
      <c r="K1469" s="13">
        <v>0</v>
      </c>
      <c r="L1469" s="13">
        <v>0</v>
      </c>
      <c r="M1469" s="13">
        <v>0</v>
      </c>
      <c r="N1469" s="13">
        <v>0</v>
      </c>
      <c r="O1469" s="13">
        <v>1</v>
      </c>
      <c r="P1469" s="13">
        <v>0</v>
      </c>
      <c r="Q1469" s="13">
        <v>0</v>
      </c>
      <c r="R1469" s="13">
        <v>1</v>
      </c>
      <c r="S1469" s="13">
        <v>0</v>
      </c>
      <c r="T1469" s="13">
        <v>0</v>
      </c>
      <c r="U1469" s="13">
        <v>50</v>
      </c>
      <c r="V1469" s="13" t="str" cm="1">
        <f t="array" ref="V1469">_xlfn.IFS(U1469&lt;=250,"0-R$250",U1469&lt;=500,"251-R$500",U1469&lt;=750,"501-R$750",U1469&lt;=1000,"751-R$1000",U1469&lt;=1250,"1001-R$1250",U1469&lt;=1500,"1251-R$1500")</f>
        <v>0-R$250</v>
      </c>
      <c r="W1469" s="13">
        <v>4</v>
      </c>
      <c r="X1469" s="13" t="str" cm="1">
        <f t="array" ref="X1469">_xlfn.IFS(W1469 = 0, "0", W1469&lt;=20, "até R$20",W1469&lt;=40, "21 - R$40",W1469&lt;=60, "41- R$60",W1469&lt;=80, "61 - R$80", W1469&lt;=100, "81 - R$100",W1469&lt;=120, "101 - R$120",W1469&lt;=140, "121 - R$140", W1469&lt;=160, "141- R$160", W1469&lt;=180, "161 - R$180", W1469&lt;=200, "181-R$194")</f>
        <v>até R$20</v>
      </c>
      <c r="Y1469" s="13">
        <v>28</v>
      </c>
      <c r="Z1469" s="13">
        <v>6</v>
      </c>
      <c r="AA1469" s="13">
        <v>3</v>
      </c>
      <c r="AB1469" s="13">
        <v>26</v>
      </c>
      <c r="AC1469" s="13">
        <v>3</v>
      </c>
      <c r="AD1469" s="13">
        <v>3</v>
      </c>
      <c r="AE1469" s="13">
        <v>1</v>
      </c>
      <c r="AF1469" s="13">
        <v>2</v>
      </c>
      <c r="AG1469" s="13">
        <v>9</v>
      </c>
      <c r="AH1469" s="13">
        <v>0</v>
      </c>
      <c r="AI1469" s="13">
        <v>0</v>
      </c>
      <c r="AJ1469" s="13">
        <v>0</v>
      </c>
      <c r="AK1469" s="13">
        <v>0</v>
      </c>
      <c r="AL1469" s="13">
        <v>0</v>
      </c>
      <c r="AM1469" s="13">
        <v>0</v>
      </c>
      <c r="AN1469" s="13">
        <v>1</v>
      </c>
      <c r="AO1469" s="14">
        <v>0</v>
      </c>
      <c r="AP1469" s="13">
        <v>3</v>
      </c>
      <c r="AQ1469" s="13">
        <v>11</v>
      </c>
      <c r="AR1469" s="15">
        <v>65</v>
      </c>
      <c r="AS1469" s="15">
        <v>91</v>
      </c>
    </row>
    <row r="1470" spans="1:45" x14ac:dyDescent="0.25">
      <c r="A1470">
        <v>127</v>
      </c>
      <c r="B1470" s="11">
        <f t="shared" si="22"/>
        <v>33762</v>
      </c>
      <c r="C1470" s="16">
        <v>337620</v>
      </c>
      <c r="D1470" s="17">
        <v>2</v>
      </c>
      <c r="E1470" s="17">
        <v>1</v>
      </c>
      <c r="F1470" s="17">
        <v>61</v>
      </c>
      <c r="G1470" s="17">
        <v>61</v>
      </c>
      <c r="H1470" s="13" t="str" cm="1">
        <f t="array" ref="H1470">_xlfn.IFS(G1470&lt;=20,"0-20",G1470&lt;=30,"20-30",G1470&lt;=40,"30-40",G1470&lt;=50,"50-60",G1470&lt;=60,"60-70",G1470&lt;=70,"70-80",G1470&lt;=80,"80-90")</f>
        <v>70-80</v>
      </c>
      <c r="I1470" s="17">
        <v>2516</v>
      </c>
      <c r="J1470" s="13" t="str" cm="1">
        <f t="array" ref="J1470">_xlfn.IFS(K1470=1,"Divorciado",L1470=1,"Casado",M1470=1,"Solteiro",N1470=1,"Juntos",O1470=1,"Viuvo")</f>
        <v>Casado</v>
      </c>
      <c r="K1470" s="17">
        <v>0</v>
      </c>
      <c r="L1470" s="17">
        <v>1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1</v>
      </c>
      <c r="U1470" s="17">
        <v>53</v>
      </c>
      <c r="V1470" s="13" t="str" cm="1">
        <f t="array" ref="V1470">_xlfn.IFS(U1470&lt;=250,"0-R$250",U1470&lt;=500,"251-R$500",U1470&lt;=750,"501-R$750",U1470&lt;=1000,"751-R$1000",U1470&lt;=1250,"1001-R$1250",U1470&lt;=1500,"1251-R$1500")</f>
        <v>0-R$250</v>
      </c>
      <c r="W1470" s="17">
        <v>1</v>
      </c>
      <c r="X1470" s="13" t="str" cm="1">
        <f t="array" ref="X1470">_xlfn.IFS(W1470 = 0, "0", W1470&lt;=20, "até R$20",W1470&lt;=40, "21 - R$40",W1470&lt;=60, "41- R$60",W1470&lt;=80, "61 - R$80", W1470&lt;=100, "81 - R$100",W1470&lt;=120, "101 - R$120",W1470&lt;=140, "121 - R$140", W1470&lt;=160, "141- R$160", W1470&lt;=180, "161 - R$180", W1470&lt;=200, "181-R$194")</f>
        <v>até R$20</v>
      </c>
      <c r="Y1470" s="17">
        <v>34</v>
      </c>
      <c r="Z1470" s="17">
        <v>2</v>
      </c>
      <c r="AA1470" s="17">
        <v>0</v>
      </c>
      <c r="AB1470" s="17">
        <v>16</v>
      </c>
      <c r="AC1470" s="17">
        <v>3</v>
      </c>
      <c r="AD1470" s="17">
        <v>2</v>
      </c>
      <c r="AE1470" s="17">
        <v>2</v>
      </c>
      <c r="AF1470" s="17">
        <v>2</v>
      </c>
      <c r="AG1470" s="17">
        <v>8</v>
      </c>
      <c r="AH1470" s="17">
        <v>0</v>
      </c>
      <c r="AI1470" s="17">
        <v>0</v>
      </c>
      <c r="AJ1470" s="17">
        <v>0</v>
      </c>
      <c r="AK1470" s="17">
        <v>0</v>
      </c>
      <c r="AL1470" s="17">
        <v>0</v>
      </c>
      <c r="AM1470" s="17">
        <v>0</v>
      </c>
      <c r="AN1470" s="17">
        <v>0</v>
      </c>
      <c r="AO1470" s="18">
        <v>0</v>
      </c>
      <c r="AP1470" s="17">
        <v>3</v>
      </c>
      <c r="AQ1470" s="17">
        <v>11</v>
      </c>
      <c r="AR1470" s="19">
        <v>74</v>
      </c>
      <c r="AS1470" s="19">
        <v>90</v>
      </c>
    </row>
    <row r="1471" spans="1:45" x14ac:dyDescent="0.25">
      <c r="A1471">
        <v>289</v>
      </c>
      <c r="B1471" s="11">
        <f t="shared" si="22"/>
        <v>46377</v>
      </c>
      <c r="C1471" s="16">
        <v>463770</v>
      </c>
      <c r="D1471" s="17">
        <v>1</v>
      </c>
      <c r="E1471" s="17">
        <v>0</v>
      </c>
      <c r="F1471" s="17">
        <v>89</v>
      </c>
      <c r="G1471" s="17">
        <v>42</v>
      </c>
      <c r="H1471" s="13" t="str" cm="1">
        <f t="array" ref="H1471">_xlfn.IFS(G1471&lt;=20,"0-20",G1471&lt;=30,"20-30",G1471&lt;=40,"30-40",G1471&lt;=50,"50-60",G1471&lt;=60,"60-70",G1471&lt;=70,"70-80",G1471&lt;=80,"80-90")</f>
        <v>50-60</v>
      </c>
      <c r="I1471" s="17">
        <v>2279</v>
      </c>
      <c r="J1471" s="13" t="str" cm="1">
        <f t="array" ref="J1471">_xlfn.IFS(K1471=1,"Divorciado",L1471=1,"Casado",M1471=1,"Solteiro",N1471=1,"Juntos",O1471=1,"Viuvo")</f>
        <v>Casado</v>
      </c>
      <c r="K1471" s="17">
        <v>0</v>
      </c>
      <c r="L1471" s="17">
        <v>1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1</v>
      </c>
      <c r="U1471" s="17">
        <v>37</v>
      </c>
      <c r="V1471" s="13" t="str" cm="1">
        <f t="array" ref="V1471">_xlfn.IFS(U1471&lt;=250,"0-R$250",U1471&lt;=500,"251-R$500",U1471&lt;=750,"501-R$750",U1471&lt;=1000,"751-R$1000",U1471&lt;=1250,"1001-R$1250",U1471&lt;=1500,"1251-R$1500")</f>
        <v>0-R$250</v>
      </c>
      <c r="W1471" s="17">
        <v>0</v>
      </c>
      <c r="X1471" s="13" t="str" cm="1">
        <f t="array" ref="X1471">_xlfn.IFS(W1471 = 0, "0", W1471&lt;=20, "até R$20",W1471&lt;=40, "21 - R$40",W1471&lt;=60, "41- R$60",W1471&lt;=80, "61 - R$80", W1471&lt;=100, "81 - R$100",W1471&lt;=120, "101 - R$120",W1471&lt;=140, "121 - R$140", W1471&lt;=160, "141- R$160", W1471&lt;=180, "161 - R$180", W1471&lt;=200, "181-R$194")</f>
        <v>0</v>
      </c>
      <c r="Y1471" s="17">
        <v>46</v>
      </c>
      <c r="Z1471" s="17">
        <v>4</v>
      </c>
      <c r="AA1471" s="17">
        <v>3</v>
      </c>
      <c r="AB1471" s="17">
        <v>0</v>
      </c>
      <c r="AC1471" s="17">
        <v>1</v>
      </c>
      <c r="AD1471" s="17">
        <v>2</v>
      </c>
      <c r="AE1471" s="17">
        <v>1</v>
      </c>
      <c r="AF1471" s="17">
        <v>3</v>
      </c>
      <c r="AG1471" s="17">
        <v>4</v>
      </c>
      <c r="AH1471" s="17">
        <v>0</v>
      </c>
      <c r="AI1471" s="17">
        <v>0</v>
      </c>
      <c r="AJ1471" s="17">
        <v>0</v>
      </c>
      <c r="AK1471" s="17">
        <v>0</v>
      </c>
      <c r="AL1471" s="17">
        <v>0</v>
      </c>
      <c r="AM1471" s="17">
        <v>0</v>
      </c>
      <c r="AN1471" s="17">
        <v>0</v>
      </c>
      <c r="AO1471" s="18">
        <v>0</v>
      </c>
      <c r="AP1471" s="17">
        <v>3</v>
      </c>
      <c r="AQ1471" s="17">
        <v>11</v>
      </c>
      <c r="AR1471" s="19">
        <v>90</v>
      </c>
      <c r="AS1471" s="19">
        <v>90</v>
      </c>
    </row>
    <row r="1472" spans="1:45" x14ac:dyDescent="0.25">
      <c r="A1472">
        <v>675</v>
      </c>
      <c r="B1472" s="11">
        <f t="shared" si="22"/>
        <v>47570</v>
      </c>
      <c r="C1472" s="16">
        <v>475700</v>
      </c>
      <c r="D1472" s="17">
        <v>1</v>
      </c>
      <c r="E1472" s="17">
        <v>1</v>
      </c>
      <c r="F1472" s="17">
        <v>3</v>
      </c>
      <c r="G1472" s="17">
        <v>71</v>
      </c>
      <c r="H1472" s="13" t="str" cm="1">
        <f t="array" ref="H1472">_xlfn.IFS(G1472&lt;=20,"0-20",G1472&lt;=30,"20-30",G1472&lt;=40,"30-40",G1472&lt;=50,"50-60",G1472&lt;=60,"60-70",G1472&lt;=70,"70-80",G1472&lt;=80,"80-90")</f>
        <v>80-90</v>
      </c>
      <c r="I1472" s="17">
        <v>2555</v>
      </c>
      <c r="J1472" s="13" t="str" cm="1">
        <f t="array" ref="J1472">_xlfn.IFS(K1472=1,"Divorciado",L1472=1,"Casado",M1472=1,"Solteiro",N1472=1,"Juntos",O1472=1,"Viuvo")</f>
        <v>Viuvo</v>
      </c>
      <c r="K1472" s="17">
        <v>0</v>
      </c>
      <c r="L1472" s="17">
        <v>0</v>
      </c>
      <c r="M1472" s="17">
        <v>0</v>
      </c>
      <c r="N1472" s="17">
        <v>0</v>
      </c>
      <c r="O1472" s="17">
        <v>1</v>
      </c>
      <c r="P1472" s="17">
        <v>0</v>
      </c>
      <c r="Q1472" s="17">
        <v>0</v>
      </c>
      <c r="R1472" s="17">
        <v>0</v>
      </c>
      <c r="S1472" s="17">
        <v>1</v>
      </c>
      <c r="T1472" s="17">
        <v>0</v>
      </c>
      <c r="U1472" s="17">
        <v>67</v>
      </c>
      <c r="V1472" s="13" t="str" cm="1">
        <f t="array" ref="V1472">_xlfn.IFS(U1472&lt;=250,"0-R$250",U1472&lt;=500,"251-R$500",U1472&lt;=750,"501-R$750",U1472&lt;=1000,"751-R$1000",U1472&lt;=1250,"1001-R$1250",U1472&lt;=1500,"1251-R$1500")</f>
        <v>0-R$250</v>
      </c>
      <c r="W1472" s="17">
        <v>1</v>
      </c>
      <c r="X1472" s="13" t="str" cm="1">
        <f t="array" ref="X1472">_xlfn.IFS(W1472 = 0, "0", W1472&lt;=20, "até R$20",W1472&lt;=40, "21 - R$40",W1472&lt;=60, "41- R$60",W1472&lt;=80, "61 - R$80", W1472&lt;=100, "81 - R$100",W1472&lt;=120, "101 - R$120",W1472&lt;=140, "121 - R$140", W1472&lt;=160, "141- R$160", W1472&lt;=180, "161 - R$180", W1472&lt;=200, "181-R$194")</f>
        <v>até R$20</v>
      </c>
      <c r="Y1472" s="17">
        <v>20</v>
      </c>
      <c r="Z1472" s="17">
        <v>0</v>
      </c>
      <c r="AA1472" s="17">
        <v>2</v>
      </c>
      <c r="AB1472" s="17">
        <v>31</v>
      </c>
      <c r="AC1472" s="17">
        <v>3</v>
      </c>
      <c r="AD1472" s="17">
        <v>2</v>
      </c>
      <c r="AE1472" s="17">
        <v>2</v>
      </c>
      <c r="AF1472" s="17">
        <v>2</v>
      </c>
      <c r="AG1472" s="17">
        <v>7</v>
      </c>
      <c r="AH1472" s="17">
        <v>0</v>
      </c>
      <c r="AI1472" s="17">
        <v>0</v>
      </c>
      <c r="AJ1472" s="17">
        <v>0</v>
      </c>
      <c r="AK1472" s="17">
        <v>0</v>
      </c>
      <c r="AL1472" s="17">
        <v>0</v>
      </c>
      <c r="AM1472" s="17">
        <v>0</v>
      </c>
      <c r="AN1472" s="17">
        <v>1</v>
      </c>
      <c r="AO1472" s="18">
        <v>0</v>
      </c>
      <c r="AP1472" s="17">
        <v>3</v>
      </c>
      <c r="AQ1472" s="17">
        <v>11</v>
      </c>
      <c r="AR1472" s="19">
        <v>59</v>
      </c>
      <c r="AS1472" s="19">
        <v>90</v>
      </c>
    </row>
    <row r="1473" spans="1:45" x14ac:dyDescent="0.25">
      <c r="A1473">
        <v>939</v>
      </c>
      <c r="B1473" s="11">
        <f t="shared" si="22"/>
        <v>59041</v>
      </c>
      <c r="C1473" s="16">
        <v>590410</v>
      </c>
      <c r="D1473" s="17">
        <v>1</v>
      </c>
      <c r="E1473" s="17">
        <v>1</v>
      </c>
      <c r="F1473" s="17">
        <v>25</v>
      </c>
      <c r="G1473" s="17">
        <v>47</v>
      </c>
      <c r="H1473" s="13" t="str" cm="1">
        <f t="array" ref="H1473">_xlfn.IFS(G1473&lt;=20,"0-20",G1473&lt;=30,"20-30",G1473&lt;=40,"30-40",G1473&lt;=50,"50-60",G1473&lt;=60,"60-70",G1473&lt;=70,"70-80",G1473&lt;=80,"80-90")</f>
        <v>50-60</v>
      </c>
      <c r="I1473" s="17">
        <v>2212</v>
      </c>
      <c r="J1473" s="13" t="str" cm="1">
        <f t="array" ref="J1473">_xlfn.IFS(K1473=1,"Divorciado",L1473=1,"Casado",M1473=1,"Solteiro",N1473=1,"Juntos",O1473=1,"Viuvo")</f>
        <v>Casado</v>
      </c>
      <c r="K1473" s="17">
        <v>0</v>
      </c>
      <c r="L1473" s="17">
        <v>1</v>
      </c>
      <c r="M1473" s="17">
        <v>0</v>
      </c>
      <c r="N1473" s="17">
        <v>0</v>
      </c>
      <c r="O1473" s="17">
        <v>0</v>
      </c>
      <c r="P1473" s="17">
        <v>0</v>
      </c>
      <c r="Q1473" s="17">
        <v>0</v>
      </c>
      <c r="R1473" s="17">
        <v>1</v>
      </c>
      <c r="S1473" s="17">
        <v>0</v>
      </c>
      <c r="T1473" s="17">
        <v>0</v>
      </c>
      <c r="U1473" s="17">
        <v>69</v>
      </c>
      <c r="V1473" s="13" t="str" cm="1">
        <f t="array" ref="V1473">_xlfn.IFS(U1473&lt;=250,"0-R$250",U1473&lt;=500,"251-R$500",U1473&lt;=750,"501-R$750",U1473&lt;=1000,"751-R$1000",U1473&lt;=1250,"1001-R$1250",U1473&lt;=1500,"1251-R$1500")</f>
        <v>0-R$250</v>
      </c>
      <c r="W1473" s="17">
        <v>2</v>
      </c>
      <c r="X1473" s="13" t="str" cm="1">
        <f t="array" ref="X1473">_xlfn.IFS(W1473 = 0, "0", W1473&lt;=20, "até R$20",W1473&lt;=40, "21 - R$40",W1473&lt;=60, "41- R$60",W1473&lt;=80, "61 - R$80", W1473&lt;=100, "81 - R$100",W1473&lt;=120, "101 - R$120",W1473&lt;=140, "121 - R$140", W1473&lt;=160, "141- R$160", W1473&lt;=180, "161 - R$180", W1473&lt;=200, "181-R$194")</f>
        <v>até R$20</v>
      </c>
      <c r="Y1473" s="17">
        <v>15</v>
      </c>
      <c r="Z1473" s="17">
        <v>2</v>
      </c>
      <c r="AA1473" s="17">
        <v>2</v>
      </c>
      <c r="AB1473" s="17">
        <v>6</v>
      </c>
      <c r="AC1473" s="17">
        <v>2</v>
      </c>
      <c r="AD1473" s="17">
        <v>2</v>
      </c>
      <c r="AE1473" s="17">
        <v>0</v>
      </c>
      <c r="AF1473" s="17">
        <v>4</v>
      </c>
      <c r="AG1473" s="17">
        <v>5</v>
      </c>
      <c r="AH1473" s="17">
        <v>0</v>
      </c>
      <c r="AI1473" s="17">
        <v>0</v>
      </c>
      <c r="AJ1473" s="17">
        <v>0</v>
      </c>
      <c r="AK1473" s="17">
        <v>0</v>
      </c>
      <c r="AL1473" s="17">
        <v>0</v>
      </c>
      <c r="AM1473" s="17">
        <v>0</v>
      </c>
      <c r="AN1473" s="17">
        <v>0</v>
      </c>
      <c r="AO1473" s="18">
        <v>0</v>
      </c>
      <c r="AP1473" s="17">
        <v>3</v>
      </c>
      <c r="AQ1473" s="17">
        <v>11</v>
      </c>
      <c r="AR1473" s="19">
        <v>84</v>
      </c>
      <c r="AS1473" s="19">
        <v>90</v>
      </c>
    </row>
    <row r="1474" spans="1:45" x14ac:dyDescent="0.25">
      <c r="A1474">
        <v>1351</v>
      </c>
      <c r="B1474" s="11">
        <f t="shared" ref="B1474:B1537" si="23">C1474/10</f>
        <v>50523</v>
      </c>
      <c r="C1474" s="16">
        <v>505230</v>
      </c>
      <c r="D1474" s="17">
        <v>1</v>
      </c>
      <c r="E1474" s="17">
        <v>1</v>
      </c>
      <c r="F1474" s="17">
        <v>89</v>
      </c>
      <c r="G1474" s="17">
        <v>60</v>
      </c>
      <c r="H1474" s="13" t="str" cm="1">
        <f t="array" ref="H1474">_xlfn.IFS(G1474&lt;=20,"0-20",G1474&lt;=30,"20-30",G1474&lt;=40,"30-40",G1474&lt;=50,"50-60",G1474&lt;=60,"60-70",G1474&lt;=70,"70-80",G1474&lt;=80,"80-90")</f>
        <v>60-70</v>
      </c>
      <c r="I1474" s="17">
        <v>2345</v>
      </c>
      <c r="J1474" s="13" t="str" cm="1">
        <f t="array" ref="J1474">_xlfn.IFS(K1474=1,"Divorciado",L1474=1,"Casado",M1474=1,"Solteiro",N1474=1,"Juntos",O1474=1,"Viuvo")</f>
        <v>Juntos</v>
      </c>
      <c r="K1474" s="17">
        <v>0</v>
      </c>
      <c r="L1474" s="17">
        <v>0</v>
      </c>
      <c r="M1474" s="17">
        <v>0</v>
      </c>
      <c r="N1474" s="17">
        <v>1</v>
      </c>
      <c r="O1474" s="17">
        <v>0</v>
      </c>
      <c r="P1474" s="17">
        <v>1</v>
      </c>
      <c r="Q1474" s="17">
        <v>0</v>
      </c>
      <c r="R1474" s="17">
        <v>0</v>
      </c>
      <c r="S1474" s="17">
        <v>0</v>
      </c>
      <c r="T1474" s="17">
        <v>0</v>
      </c>
      <c r="U1474" s="17">
        <v>51</v>
      </c>
      <c r="V1474" s="13" t="str" cm="1">
        <f t="array" ref="V1474">_xlfn.IFS(U1474&lt;=250,"0-R$250",U1474&lt;=500,"251-R$500",U1474&lt;=750,"501-R$750",U1474&lt;=1000,"751-R$1000",U1474&lt;=1250,"1001-R$1250",U1474&lt;=1500,"1251-R$1500")</f>
        <v>0-R$250</v>
      </c>
      <c r="W1474" s="17">
        <v>4</v>
      </c>
      <c r="X1474" s="13" t="str" cm="1">
        <f t="array" ref="X1474">_xlfn.IFS(W1474 = 0, "0", W1474&lt;=20, "até R$20",W1474&lt;=40, "21 - R$40",W1474&lt;=60, "41- R$60",W1474&lt;=80, "61 - R$80", W1474&lt;=100, "81 - R$100",W1474&lt;=120, "101 - R$120",W1474&lt;=140, "121 - R$140", W1474&lt;=160, "141- R$160", W1474&lt;=180, "161 - R$180", W1474&lt;=200, "181-R$194")</f>
        <v>até R$20</v>
      </c>
      <c r="Y1474" s="17">
        <v>24</v>
      </c>
      <c r="Z1474" s="17">
        <v>4</v>
      </c>
      <c r="AA1474" s="17">
        <v>7</v>
      </c>
      <c r="AB1474" s="17">
        <v>1</v>
      </c>
      <c r="AC1474" s="17">
        <v>2</v>
      </c>
      <c r="AD1474" s="17">
        <v>2</v>
      </c>
      <c r="AE1474" s="17">
        <v>0</v>
      </c>
      <c r="AF1474" s="17">
        <v>4</v>
      </c>
      <c r="AG1474" s="17">
        <v>6</v>
      </c>
      <c r="AH1474" s="17">
        <v>0</v>
      </c>
      <c r="AI1474" s="17">
        <v>0</v>
      </c>
      <c r="AJ1474" s="17">
        <v>0</v>
      </c>
      <c r="AK1474" s="17">
        <v>0</v>
      </c>
      <c r="AL1474" s="17">
        <v>0</v>
      </c>
      <c r="AM1474" s="17">
        <v>0</v>
      </c>
      <c r="AN1474" s="17">
        <v>0</v>
      </c>
      <c r="AO1474" s="18">
        <v>0</v>
      </c>
      <c r="AP1474" s="17">
        <v>3</v>
      </c>
      <c r="AQ1474" s="17">
        <v>11</v>
      </c>
      <c r="AR1474" s="19">
        <v>89</v>
      </c>
      <c r="AS1474" s="19">
        <v>90</v>
      </c>
    </row>
    <row r="1475" spans="1:45" x14ac:dyDescent="0.25">
      <c r="A1475">
        <v>1414</v>
      </c>
      <c r="B1475" s="11">
        <f t="shared" si="23"/>
        <v>42523</v>
      </c>
      <c r="C1475" s="12">
        <v>425230</v>
      </c>
      <c r="D1475" s="13">
        <v>0</v>
      </c>
      <c r="E1475" s="13">
        <v>0</v>
      </c>
      <c r="F1475" s="13">
        <v>96</v>
      </c>
      <c r="G1475" s="13">
        <v>56</v>
      </c>
      <c r="H1475" s="13" t="str" cm="1">
        <f t="array" ref="H1475">_xlfn.IFS(G1475&lt;=20,"0-20",G1475&lt;=30,"20-30",G1475&lt;=40,"30-40",G1475&lt;=50,"50-60",G1475&lt;=60,"60-70",G1475&lt;=70,"70-80",G1475&lt;=80,"80-90")</f>
        <v>60-70</v>
      </c>
      <c r="I1475" s="13">
        <v>2226</v>
      </c>
      <c r="J1475" s="13" t="str" cm="1">
        <f t="array" ref="J1475">_xlfn.IFS(K1475=1,"Divorciado",L1475=1,"Casado",M1475=1,"Solteiro",N1475=1,"Juntos",O1475=1,"Viuvo")</f>
        <v>Casado</v>
      </c>
      <c r="K1475" s="13">
        <v>0</v>
      </c>
      <c r="L1475" s="13">
        <v>1</v>
      </c>
      <c r="M1475" s="13">
        <v>0</v>
      </c>
      <c r="N1475" s="13">
        <v>0</v>
      </c>
      <c r="O1475" s="13">
        <v>0</v>
      </c>
      <c r="P1475" s="13">
        <v>0</v>
      </c>
      <c r="Q1475" s="13">
        <v>0</v>
      </c>
      <c r="R1475" s="13">
        <v>1</v>
      </c>
      <c r="S1475" s="13">
        <v>0</v>
      </c>
      <c r="T1475" s="13">
        <v>0</v>
      </c>
      <c r="U1475" s="13">
        <v>14</v>
      </c>
      <c r="V1475" s="13" t="str" cm="1">
        <f t="array" ref="V1475">_xlfn.IFS(U1475&lt;=250,"0-R$250",U1475&lt;=500,"251-R$500",U1475&lt;=750,"501-R$750",U1475&lt;=1000,"751-R$1000",U1475&lt;=1250,"1001-R$1250",U1475&lt;=1500,"1251-R$1500")</f>
        <v>0-R$250</v>
      </c>
      <c r="W1475" s="13">
        <v>36</v>
      </c>
      <c r="X1475" s="13" t="str" cm="1">
        <f t="array" ref="X1475">_xlfn.IFS(W1475 = 0, "0", W1475&lt;=20, "até R$20",W1475&lt;=40, "21 - R$40",W1475&lt;=60, "41- R$60",W1475&lt;=80, "61 - R$80", W1475&lt;=100, "81 - R$100",W1475&lt;=120, "101 - R$120",W1475&lt;=140, "121 - R$140", W1475&lt;=160, "141- R$160", W1475&lt;=180, "161 - R$180", W1475&lt;=200, "181-R$194")</f>
        <v>21 - R$40</v>
      </c>
      <c r="Y1475" s="13">
        <v>11</v>
      </c>
      <c r="Z1475" s="13">
        <v>3</v>
      </c>
      <c r="AA1475" s="13">
        <v>26</v>
      </c>
      <c r="AB1475" s="13">
        <v>35</v>
      </c>
      <c r="AC1475" s="13">
        <v>1</v>
      </c>
      <c r="AD1475" s="13">
        <v>1</v>
      </c>
      <c r="AE1475" s="13">
        <v>1</v>
      </c>
      <c r="AF1475" s="13">
        <v>4</v>
      </c>
      <c r="AG1475" s="13">
        <v>2</v>
      </c>
      <c r="AH1475" s="13">
        <v>0</v>
      </c>
      <c r="AI1475" s="13">
        <v>0</v>
      </c>
      <c r="AJ1475" s="13">
        <v>0</v>
      </c>
      <c r="AK1475" s="13">
        <v>0</v>
      </c>
      <c r="AL1475" s="13">
        <v>0</v>
      </c>
      <c r="AM1475" s="13">
        <v>0</v>
      </c>
      <c r="AN1475" s="13">
        <v>0</v>
      </c>
      <c r="AO1475" s="14">
        <v>0</v>
      </c>
      <c r="AP1475" s="13">
        <v>3</v>
      </c>
      <c r="AQ1475" s="13">
        <v>11</v>
      </c>
      <c r="AR1475" s="15">
        <v>55</v>
      </c>
      <c r="AS1475" s="15">
        <v>90</v>
      </c>
    </row>
    <row r="1476" spans="1:45" x14ac:dyDescent="0.25">
      <c r="A1476">
        <v>1745</v>
      </c>
      <c r="B1476" s="11">
        <f t="shared" si="23"/>
        <v>25509</v>
      </c>
      <c r="C1476" s="16">
        <v>255090</v>
      </c>
      <c r="D1476" s="17">
        <v>1</v>
      </c>
      <c r="E1476" s="17">
        <v>0</v>
      </c>
      <c r="F1476" s="17">
        <v>15</v>
      </c>
      <c r="G1476" s="17">
        <v>46</v>
      </c>
      <c r="H1476" s="13" t="str" cm="1">
        <f t="array" ref="H1476">_xlfn.IFS(G1476&lt;=20,"0-20",G1476&lt;=30,"20-30",G1476&lt;=40,"30-40",G1476&lt;=50,"50-60",G1476&lt;=60,"60-70",G1476&lt;=70,"70-80",G1476&lt;=80,"80-90")</f>
        <v>50-60</v>
      </c>
      <c r="I1476" s="17">
        <v>2808</v>
      </c>
      <c r="J1476" s="13" t="str" cm="1">
        <f t="array" ref="J1476">_xlfn.IFS(K1476=1,"Divorciado",L1476=1,"Casado",M1476=1,"Solteiro",N1476=1,"Juntos",O1476=1,"Viuvo")</f>
        <v>Divorciado</v>
      </c>
      <c r="K1476" s="17">
        <v>1</v>
      </c>
      <c r="L1476" s="17">
        <v>0</v>
      </c>
      <c r="M1476" s="17">
        <v>0</v>
      </c>
      <c r="N1476" s="17">
        <v>0</v>
      </c>
      <c r="O1476" s="17">
        <v>0</v>
      </c>
      <c r="P1476" s="17">
        <v>0</v>
      </c>
      <c r="Q1476" s="17">
        <v>0</v>
      </c>
      <c r="R1476" s="17">
        <v>0</v>
      </c>
      <c r="S1476" s="17">
        <v>0</v>
      </c>
      <c r="T1476" s="17">
        <v>1</v>
      </c>
      <c r="U1476" s="17">
        <v>40</v>
      </c>
      <c r="V1476" s="13" t="str" cm="1">
        <f t="array" ref="V1476">_xlfn.IFS(U1476&lt;=250,"0-R$250",U1476&lt;=500,"251-R$500",U1476&lt;=750,"501-R$750",U1476&lt;=1000,"751-R$1000",U1476&lt;=1250,"1001-R$1250",U1476&lt;=1500,"1251-R$1500")</f>
        <v>0-R$250</v>
      </c>
      <c r="W1476" s="17">
        <v>3</v>
      </c>
      <c r="X1476" s="13" t="str" cm="1">
        <f t="array" ref="X1476">_xlfn.IFS(W1476 = 0, "0", W1476&lt;=20, "até R$20",W1476&lt;=40, "21 - R$40",W1476&lt;=60, "41- R$60",W1476&lt;=80, "61 - R$80", W1476&lt;=100, "81 - R$100",W1476&lt;=120, "101 - R$120",W1476&lt;=140, "121 - R$140", W1476&lt;=160, "141- R$160", W1476&lt;=180, "161 - R$180", W1476&lt;=200, "181-R$194")</f>
        <v>até R$20</v>
      </c>
      <c r="Y1476" s="17">
        <v>30</v>
      </c>
      <c r="Z1476" s="17">
        <v>10</v>
      </c>
      <c r="AA1476" s="17">
        <v>7</v>
      </c>
      <c r="AB1476" s="17">
        <v>11</v>
      </c>
      <c r="AC1476" s="17">
        <v>3</v>
      </c>
      <c r="AD1476" s="17">
        <v>3</v>
      </c>
      <c r="AE1476" s="17">
        <v>0</v>
      </c>
      <c r="AF1476" s="17">
        <v>3</v>
      </c>
      <c r="AG1476" s="17">
        <v>9</v>
      </c>
      <c r="AH1476" s="17">
        <v>0</v>
      </c>
      <c r="AI1476" s="17">
        <v>0</v>
      </c>
      <c r="AJ1476" s="17">
        <v>0</v>
      </c>
      <c r="AK1476" s="17">
        <v>0</v>
      </c>
      <c r="AL1476" s="17">
        <v>0</v>
      </c>
      <c r="AM1476" s="17">
        <v>0</v>
      </c>
      <c r="AN1476" s="17">
        <v>1</v>
      </c>
      <c r="AO1476" s="18">
        <v>0</v>
      </c>
      <c r="AP1476" s="17">
        <v>3</v>
      </c>
      <c r="AQ1476" s="17">
        <v>11</v>
      </c>
      <c r="AR1476" s="19">
        <v>79</v>
      </c>
      <c r="AS1476" s="19">
        <v>90</v>
      </c>
    </row>
    <row r="1477" spans="1:45" x14ac:dyDescent="0.25">
      <c r="A1477">
        <v>1805</v>
      </c>
      <c r="B1477" s="11">
        <f t="shared" si="23"/>
        <v>29236</v>
      </c>
      <c r="C1477" s="16">
        <v>292360</v>
      </c>
      <c r="D1477" s="17">
        <v>1</v>
      </c>
      <c r="E1477" s="17">
        <v>0</v>
      </c>
      <c r="F1477" s="17">
        <v>30</v>
      </c>
      <c r="G1477" s="17">
        <v>33</v>
      </c>
      <c r="H1477" s="13" t="str" cm="1">
        <f t="array" ref="H1477">_xlfn.IFS(G1477&lt;=20,"0-20",G1477&lt;=30,"20-30",G1477&lt;=40,"30-40",G1477&lt;=50,"50-60",G1477&lt;=60,"60-70",G1477&lt;=70,"70-80",G1477&lt;=80,"80-90")</f>
        <v>30-40</v>
      </c>
      <c r="I1477" s="17">
        <v>2423</v>
      </c>
      <c r="J1477" s="13" t="str" cm="1">
        <f t="array" ref="J1477">_xlfn.IFS(K1477=1,"Divorciado",L1477=1,"Casado",M1477=1,"Solteiro",N1477=1,"Juntos",O1477=1,"Viuvo")</f>
        <v>Solteiro</v>
      </c>
      <c r="K1477" s="17">
        <v>0</v>
      </c>
      <c r="L1477" s="17">
        <v>0</v>
      </c>
      <c r="M1477" s="17">
        <v>1</v>
      </c>
      <c r="N1477" s="17">
        <v>0</v>
      </c>
      <c r="O1477" s="17">
        <v>0</v>
      </c>
      <c r="P1477" s="17">
        <v>0</v>
      </c>
      <c r="Q1477" s="17">
        <v>0</v>
      </c>
      <c r="R1477" s="17">
        <v>1</v>
      </c>
      <c r="S1477" s="17">
        <v>0</v>
      </c>
      <c r="T1477" s="17">
        <v>0</v>
      </c>
      <c r="U1477" s="17">
        <v>37</v>
      </c>
      <c r="V1477" s="13" t="str" cm="1">
        <f t="array" ref="V1477">_xlfn.IFS(U1477&lt;=250,"0-R$250",U1477&lt;=500,"251-R$500",U1477&lt;=750,"501-R$750",U1477&lt;=1000,"751-R$1000",U1477&lt;=1250,"1001-R$1250",U1477&lt;=1500,"1251-R$1500")</f>
        <v>0-R$250</v>
      </c>
      <c r="W1477" s="17">
        <v>4</v>
      </c>
      <c r="X1477" s="13" t="str" cm="1">
        <f t="array" ref="X1477">_xlfn.IFS(W1477 = 0, "0", W1477&lt;=20, "até R$20",W1477&lt;=40, "21 - R$40",W1477&lt;=60, "41- R$60",W1477&lt;=80, "61 - R$80", W1477&lt;=100, "81 - R$100",W1477&lt;=120, "101 - R$120",W1477&lt;=140, "121 - R$140", W1477&lt;=160, "141- R$160", W1477&lt;=180, "161 - R$180", W1477&lt;=200, "181-R$194")</f>
        <v>até R$20</v>
      </c>
      <c r="Y1477" s="17">
        <v>24</v>
      </c>
      <c r="Z1477" s="17">
        <v>16</v>
      </c>
      <c r="AA1477" s="17">
        <v>9</v>
      </c>
      <c r="AB1477" s="17">
        <v>9</v>
      </c>
      <c r="AC1477" s="17">
        <v>2</v>
      </c>
      <c r="AD1477" s="17">
        <v>4</v>
      </c>
      <c r="AE1477" s="17">
        <v>0</v>
      </c>
      <c r="AF1477" s="17">
        <v>3</v>
      </c>
      <c r="AG1477" s="17">
        <v>9</v>
      </c>
      <c r="AH1477" s="17">
        <v>0</v>
      </c>
      <c r="AI1477" s="17">
        <v>0</v>
      </c>
      <c r="AJ1477" s="17">
        <v>0</v>
      </c>
      <c r="AK1477" s="17">
        <v>0</v>
      </c>
      <c r="AL1477" s="17">
        <v>0</v>
      </c>
      <c r="AM1477" s="17">
        <v>0</v>
      </c>
      <c r="AN1477" s="17">
        <v>0</v>
      </c>
      <c r="AO1477" s="18">
        <v>0</v>
      </c>
      <c r="AP1477" s="17">
        <v>3</v>
      </c>
      <c r="AQ1477" s="17">
        <v>11</v>
      </c>
      <c r="AR1477" s="19">
        <v>81</v>
      </c>
      <c r="AS1477" s="19">
        <v>90</v>
      </c>
    </row>
    <row r="1478" spans="1:45" x14ac:dyDescent="0.25">
      <c r="A1478">
        <v>1831</v>
      </c>
      <c r="B1478" s="11">
        <f t="shared" si="23"/>
        <v>58217</v>
      </c>
      <c r="C1478" s="16">
        <v>582170</v>
      </c>
      <c r="D1478" s="17">
        <v>2</v>
      </c>
      <c r="E1478" s="17">
        <v>1</v>
      </c>
      <c r="F1478" s="17">
        <v>84</v>
      </c>
      <c r="G1478" s="17">
        <v>69</v>
      </c>
      <c r="H1478" s="13" t="str" cm="1">
        <f t="array" ref="H1478">_xlfn.IFS(G1478&lt;=20,"0-20",G1478&lt;=30,"20-30",G1478&lt;=40,"30-40",G1478&lt;=50,"50-60",G1478&lt;=60,"60-70",G1478&lt;=70,"70-80",G1478&lt;=80,"80-90")</f>
        <v>70-80</v>
      </c>
      <c r="I1478" s="17">
        <v>2748</v>
      </c>
      <c r="J1478" s="13" t="str" cm="1">
        <f t="array" ref="J1478">_xlfn.IFS(K1478=1,"Divorciado",L1478=1,"Casado",M1478=1,"Solteiro",N1478=1,"Juntos",O1478=1,"Viuvo")</f>
        <v>Solteiro</v>
      </c>
      <c r="K1478" s="17">
        <v>0</v>
      </c>
      <c r="L1478" s="17">
        <v>0</v>
      </c>
      <c r="M1478" s="17">
        <v>1</v>
      </c>
      <c r="N1478" s="17">
        <v>0</v>
      </c>
      <c r="O1478" s="17">
        <v>0</v>
      </c>
      <c r="P1478" s="17">
        <v>0</v>
      </c>
      <c r="Q1478" s="17">
        <v>0</v>
      </c>
      <c r="R1478" s="17">
        <v>0</v>
      </c>
      <c r="S1478" s="17">
        <v>1</v>
      </c>
      <c r="T1478" s="17">
        <v>0</v>
      </c>
      <c r="U1478" s="17">
        <v>68</v>
      </c>
      <c r="V1478" s="13" t="str" cm="1">
        <f t="array" ref="V1478">_xlfn.IFS(U1478&lt;=250,"0-R$250",U1478&lt;=500,"251-R$500",U1478&lt;=750,"501-R$750",U1478&lt;=1000,"751-R$1000",U1478&lt;=1250,"1001-R$1250",U1478&lt;=1500,"1251-R$1500")</f>
        <v>0-R$250</v>
      </c>
      <c r="W1478" s="17">
        <v>1</v>
      </c>
      <c r="X1478" s="13" t="str" cm="1">
        <f t="array" ref="X1478">_xlfn.IFS(W1478 = 0, "0", W1478&lt;=20, "até R$20",W1478&lt;=40, "21 - R$40",W1478&lt;=60, "41- R$60",W1478&lt;=80, "61 - R$80", W1478&lt;=100, "81 - R$100",W1478&lt;=120, "101 - R$120",W1478&lt;=140, "121 - R$140", W1478&lt;=160, "141- R$160", W1478&lt;=180, "161 - R$180", W1478&lt;=200, "181-R$194")</f>
        <v>até R$20</v>
      </c>
      <c r="Y1478" s="17">
        <v>13</v>
      </c>
      <c r="Z1478" s="17">
        <v>3</v>
      </c>
      <c r="AA1478" s="17">
        <v>5</v>
      </c>
      <c r="AB1478" s="17">
        <v>13</v>
      </c>
      <c r="AC1478" s="17">
        <v>1</v>
      </c>
      <c r="AD1478" s="17">
        <v>2</v>
      </c>
      <c r="AE1478" s="17">
        <v>0</v>
      </c>
      <c r="AF1478" s="17">
        <v>4</v>
      </c>
      <c r="AG1478" s="17">
        <v>6</v>
      </c>
      <c r="AH1478" s="17">
        <v>0</v>
      </c>
      <c r="AI1478" s="17">
        <v>0</v>
      </c>
      <c r="AJ1478" s="17">
        <v>0</v>
      </c>
      <c r="AK1478" s="17">
        <v>0</v>
      </c>
      <c r="AL1478" s="17">
        <v>0</v>
      </c>
      <c r="AM1478" s="17">
        <v>0</v>
      </c>
      <c r="AN1478" s="17">
        <v>0</v>
      </c>
      <c r="AO1478" s="18">
        <v>0</v>
      </c>
      <c r="AP1478" s="17">
        <v>3</v>
      </c>
      <c r="AQ1478" s="17">
        <v>11</v>
      </c>
      <c r="AR1478" s="19">
        <v>77</v>
      </c>
      <c r="AS1478" s="19">
        <v>90</v>
      </c>
    </row>
    <row r="1479" spans="1:45" x14ac:dyDescent="0.25">
      <c r="A1479">
        <v>1905</v>
      </c>
      <c r="B1479" s="11">
        <f t="shared" si="23"/>
        <v>61917</v>
      </c>
      <c r="C1479" s="16">
        <v>619170</v>
      </c>
      <c r="D1479" s="17">
        <v>1</v>
      </c>
      <c r="E1479" s="17">
        <v>1</v>
      </c>
      <c r="F1479" s="17">
        <v>83</v>
      </c>
      <c r="G1479" s="17">
        <v>46</v>
      </c>
      <c r="H1479" s="13" t="str" cm="1">
        <f t="array" ref="H1479">_xlfn.IFS(G1479&lt;=20,"0-20",G1479&lt;=30,"20-30",G1479&lt;=40,"30-40",G1479&lt;=50,"50-60",G1479&lt;=60,"60-70",G1479&lt;=70,"70-80",G1479&lt;=80,"80-90")</f>
        <v>50-60</v>
      </c>
      <c r="I1479" s="17">
        <v>2380</v>
      </c>
      <c r="J1479" s="13" t="str" cm="1">
        <f t="array" ref="J1479">_xlfn.IFS(K1479=1,"Divorciado",L1479=1,"Casado",M1479=1,"Solteiro",N1479=1,"Juntos",O1479=1,"Viuvo")</f>
        <v>Casado</v>
      </c>
      <c r="K1479" s="17">
        <v>0</v>
      </c>
      <c r="L1479" s="17">
        <v>1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1</v>
      </c>
      <c r="U1479" s="17">
        <v>46</v>
      </c>
      <c r="V1479" s="13" t="str" cm="1">
        <f t="array" ref="V1479">_xlfn.IFS(U1479&lt;=250,"0-R$250",U1479&lt;=500,"251-R$500",U1479&lt;=750,"501-R$750",U1479&lt;=1000,"751-R$1000",U1479&lt;=1250,"1001-R$1250",U1479&lt;=1500,"1251-R$1500")</f>
        <v>0-R$250</v>
      </c>
      <c r="W1479" s="17">
        <v>4</v>
      </c>
      <c r="X1479" s="13" t="str" cm="1">
        <f t="array" ref="X1479">_xlfn.IFS(W1479 = 0, "0", W1479&lt;=20, "até R$20",W1479&lt;=40, "21 - R$40",W1479&lt;=60, "41- R$60",W1479&lt;=80, "61 - R$80", W1479&lt;=100, "81 - R$100",W1479&lt;=120, "101 - R$120",W1479&lt;=140, "121 - R$140", W1479&lt;=160, "141- R$160", W1479&lt;=180, "161 - R$180", W1479&lt;=200, "181-R$194")</f>
        <v>até R$20</v>
      </c>
      <c r="Y1479" s="17">
        <v>36</v>
      </c>
      <c r="Z1479" s="17">
        <v>2</v>
      </c>
      <c r="AA1479" s="17">
        <v>2</v>
      </c>
      <c r="AB1479" s="17">
        <v>1</v>
      </c>
      <c r="AC1479" s="17">
        <v>1</v>
      </c>
      <c r="AD1479" s="17">
        <v>2</v>
      </c>
      <c r="AE1479" s="17">
        <v>0</v>
      </c>
      <c r="AF1479" s="17">
        <v>4</v>
      </c>
      <c r="AG1479" s="17">
        <v>5</v>
      </c>
      <c r="AH1479" s="17">
        <v>0</v>
      </c>
      <c r="AI1479" s="17">
        <v>0</v>
      </c>
      <c r="AJ1479" s="17">
        <v>0</v>
      </c>
      <c r="AK1479" s="17">
        <v>0</v>
      </c>
      <c r="AL1479" s="17">
        <v>0</v>
      </c>
      <c r="AM1479" s="17">
        <v>0</v>
      </c>
      <c r="AN1479" s="17">
        <v>0</v>
      </c>
      <c r="AO1479" s="18">
        <v>0</v>
      </c>
      <c r="AP1479" s="17">
        <v>3</v>
      </c>
      <c r="AQ1479" s="17">
        <v>11</v>
      </c>
      <c r="AR1479" s="19">
        <v>89</v>
      </c>
      <c r="AS1479" s="19">
        <v>90</v>
      </c>
    </row>
    <row r="1480" spans="1:45" x14ac:dyDescent="0.25">
      <c r="A1480">
        <v>1956</v>
      </c>
      <c r="B1480" s="11">
        <f t="shared" si="23"/>
        <v>25509</v>
      </c>
      <c r="C1480" s="12">
        <v>255090</v>
      </c>
      <c r="D1480" s="13">
        <v>1</v>
      </c>
      <c r="E1480" s="13">
        <v>0</v>
      </c>
      <c r="F1480" s="13">
        <v>15</v>
      </c>
      <c r="G1480" s="13">
        <v>46</v>
      </c>
      <c r="H1480" s="13" t="str" cm="1">
        <f t="array" ref="H1480">_xlfn.IFS(G1480&lt;=20,"0-20",G1480&lt;=30,"20-30",G1480&lt;=40,"30-40",G1480&lt;=50,"50-60",G1480&lt;=60,"60-70",G1480&lt;=70,"70-80",G1480&lt;=80,"80-90")</f>
        <v>50-60</v>
      </c>
      <c r="I1480" s="13">
        <v>2808</v>
      </c>
      <c r="J1480" s="13" t="str" cm="1">
        <f t="array" ref="J1480">_xlfn.IFS(K1480=1,"Divorciado",L1480=1,"Casado",M1480=1,"Solteiro",N1480=1,"Juntos",O1480=1,"Viuvo")</f>
        <v>Divorciado</v>
      </c>
      <c r="K1480" s="13">
        <v>1</v>
      </c>
      <c r="L1480" s="13">
        <v>0</v>
      </c>
      <c r="M1480" s="13">
        <v>0</v>
      </c>
      <c r="N1480" s="13">
        <v>0</v>
      </c>
      <c r="O1480" s="13">
        <v>0</v>
      </c>
      <c r="P1480" s="13">
        <v>0</v>
      </c>
      <c r="Q1480" s="13">
        <v>0</v>
      </c>
      <c r="R1480" s="13">
        <v>0</v>
      </c>
      <c r="S1480" s="13">
        <v>0</v>
      </c>
      <c r="T1480" s="13">
        <v>1</v>
      </c>
      <c r="U1480" s="13">
        <v>40</v>
      </c>
      <c r="V1480" s="13" t="str" cm="1">
        <f t="array" ref="V1480">_xlfn.IFS(U1480&lt;=250,"0-R$250",U1480&lt;=500,"251-R$500",U1480&lt;=750,"501-R$750",U1480&lt;=1000,"751-R$1000",U1480&lt;=1250,"1001-R$1250",U1480&lt;=1500,"1251-R$1500")</f>
        <v>0-R$250</v>
      </c>
      <c r="W1480" s="13">
        <v>3</v>
      </c>
      <c r="X1480" s="13" t="str" cm="1">
        <f t="array" ref="X1480">_xlfn.IFS(W1480 = 0, "0", W1480&lt;=20, "até R$20",W1480&lt;=40, "21 - R$40",W1480&lt;=60, "41- R$60",W1480&lt;=80, "61 - R$80", W1480&lt;=100, "81 - R$100",W1480&lt;=120, "101 - R$120",W1480&lt;=140, "121 - R$140", W1480&lt;=160, "141- R$160", W1480&lt;=180, "161 - R$180", W1480&lt;=200, "181-R$194")</f>
        <v>até R$20</v>
      </c>
      <c r="Y1480" s="13">
        <v>30</v>
      </c>
      <c r="Z1480" s="13">
        <v>10</v>
      </c>
      <c r="AA1480" s="13">
        <v>7</v>
      </c>
      <c r="AB1480" s="13">
        <v>11</v>
      </c>
      <c r="AC1480" s="13">
        <v>3</v>
      </c>
      <c r="AD1480" s="13">
        <v>3</v>
      </c>
      <c r="AE1480" s="13">
        <v>0</v>
      </c>
      <c r="AF1480" s="13">
        <v>3</v>
      </c>
      <c r="AG1480" s="13">
        <v>9</v>
      </c>
      <c r="AH1480" s="13">
        <v>0</v>
      </c>
      <c r="AI1480" s="13">
        <v>0</v>
      </c>
      <c r="AJ1480" s="13">
        <v>0</v>
      </c>
      <c r="AK1480" s="13">
        <v>0</v>
      </c>
      <c r="AL1480" s="13">
        <v>0</v>
      </c>
      <c r="AM1480" s="13">
        <v>0</v>
      </c>
      <c r="AN1480" s="13">
        <v>1</v>
      </c>
      <c r="AO1480" s="14">
        <v>0</v>
      </c>
      <c r="AP1480" s="13">
        <v>3</v>
      </c>
      <c r="AQ1480" s="13">
        <v>11</v>
      </c>
      <c r="AR1480" s="15">
        <v>79</v>
      </c>
      <c r="AS1480" s="15">
        <v>90</v>
      </c>
    </row>
    <row r="1481" spans="1:45" x14ac:dyDescent="0.25">
      <c r="A1481">
        <v>2030</v>
      </c>
      <c r="B1481" s="11">
        <f t="shared" si="23"/>
        <v>23478</v>
      </c>
      <c r="C1481" s="12">
        <v>234780</v>
      </c>
      <c r="D1481" s="13">
        <v>0</v>
      </c>
      <c r="E1481" s="13">
        <v>0</v>
      </c>
      <c r="F1481" s="13">
        <v>51</v>
      </c>
      <c r="G1481" s="13">
        <v>55</v>
      </c>
      <c r="H1481" s="13" t="str" cm="1">
        <f t="array" ref="H1481">_xlfn.IFS(G1481&lt;=20,"0-20",G1481&lt;=30,"20-30",G1481&lt;=40,"30-40",G1481&lt;=50,"50-60",G1481&lt;=60,"60-70",G1481&lt;=70,"70-80",G1481&lt;=80,"80-90")</f>
        <v>60-70</v>
      </c>
      <c r="I1481" s="13">
        <v>2626</v>
      </c>
      <c r="J1481" s="13" t="str" cm="1">
        <f t="array" ref="J1481">_xlfn.IFS(K1481=1,"Divorciado",L1481=1,"Casado",M1481=1,"Solteiro",N1481=1,"Juntos",O1481=1,"Viuvo")</f>
        <v>Solteiro</v>
      </c>
      <c r="K1481" s="13">
        <v>0</v>
      </c>
      <c r="L1481" s="13">
        <v>0</v>
      </c>
      <c r="M1481" s="13">
        <v>1</v>
      </c>
      <c r="N1481" s="13">
        <v>0</v>
      </c>
      <c r="O1481" s="13">
        <v>0</v>
      </c>
      <c r="P1481" s="13">
        <v>0</v>
      </c>
      <c r="Q1481" s="13">
        <v>0</v>
      </c>
      <c r="R1481" s="13">
        <v>1</v>
      </c>
      <c r="S1481" s="13">
        <v>0</v>
      </c>
      <c r="T1481" s="13">
        <v>0</v>
      </c>
      <c r="U1481" s="13">
        <v>28</v>
      </c>
      <c r="V1481" s="13" t="str" cm="1">
        <f t="array" ref="V1481">_xlfn.IFS(U1481&lt;=250,"0-R$250",U1481&lt;=500,"251-R$500",U1481&lt;=750,"501-R$750",U1481&lt;=1000,"751-R$1000",U1481&lt;=1250,"1001-R$1250",U1481&lt;=1500,"1251-R$1500")</f>
        <v>0-R$250</v>
      </c>
      <c r="W1481" s="13">
        <v>6</v>
      </c>
      <c r="X1481" s="13" t="str" cm="1">
        <f t="array" ref="X1481">_xlfn.IFS(W1481 = 0, "0", W1481&lt;=20, "até R$20",W1481&lt;=40, "21 - R$40",W1481&lt;=60, "41- R$60",W1481&lt;=80, "61 - R$80", W1481&lt;=100, "81 - R$100",W1481&lt;=120, "101 - R$120",W1481&lt;=140, "121 - R$140", W1481&lt;=160, "141- R$160", W1481&lt;=180, "161 - R$180", W1481&lt;=200, "181-R$194")</f>
        <v>até R$20</v>
      </c>
      <c r="Y1481" s="13">
        <v>27</v>
      </c>
      <c r="Z1481" s="13">
        <v>12</v>
      </c>
      <c r="AA1481" s="13">
        <v>17</v>
      </c>
      <c r="AB1481" s="13">
        <v>39</v>
      </c>
      <c r="AC1481" s="13">
        <v>1</v>
      </c>
      <c r="AD1481" s="13">
        <v>3</v>
      </c>
      <c r="AE1481" s="13">
        <v>0</v>
      </c>
      <c r="AF1481" s="13">
        <v>3</v>
      </c>
      <c r="AG1481" s="13">
        <v>8</v>
      </c>
      <c r="AH1481" s="13">
        <v>0</v>
      </c>
      <c r="AI1481" s="13">
        <v>0</v>
      </c>
      <c r="AJ1481" s="13">
        <v>0</v>
      </c>
      <c r="AK1481" s="13">
        <v>0</v>
      </c>
      <c r="AL1481" s="13">
        <v>0</v>
      </c>
      <c r="AM1481" s="13">
        <v>0</v>
      </c>
      <c r="AN1481" s="13">
        <v>0</v>
      </c>
      <c r="AO1481" s="14">
        <v>0</v>
      </c>
      <c r="AP1481" s="13">
        <v>3</v>
      </c>
      <c r="AQ1481" s="13">
        <v>11</v>
      </c>
      <c r="AR1481" s="15">
        <v>51</v>
      </c>
      <c r="AS1481" s="15">
        <v>90</v>
      </c>
    </row>
    <row r="1482" spans="1:45" x14ac:dyDescent="0.25">
      <c r="A1482">
        <v>2150</v>
      </c>
      <c r="B1482" s="11">
        <f t="shared" si="23"/>
        <v>42523</v>
      </c>
      <c r="C1482" s="12">
        <v>425230</v>
      </c>
      <c r="D1482" s="13">
        <v>0</v>
      </c>
      <c r="E1482" s="13">
        <v>0</v>
      </c>
      <c r="F1482" s="13">
        <v>96</v>
      </c>
      <c r="G1482" s="13">
        <v>56</v>
      </c>
      <c r="H1482" s="13" t="str" cm="1">
        <f t="array" ref="H1482">_xlfn.IFS(G1482&lt;=20,"0-20",G1482&lt;=30,"20-30",G1482&lt;=40,"30-40",G1482&lt;=50,"50-60",G1482&lt;=60,"60-70",G1482&lt;=70,"70-80",G1482&lt;=80,"80-90")</f>
        <v>60-70</v>
      </c>
      <c r="I1482" s="13">
        <v>2226</v>
      </c>
      <c r="J1482" s="13" t="str" cm="1">
        <f t="array" ref="J1482">_xlfn.IFS(K1482=1,"Divorciado",L1482=1,"Casado",M1482=1,"Solteiro",N1482=1,"Juntos",O1482=1,"Viuvo")</f>
        <v>Casado</v>
      </c>
      <c r="K1482" s="13">
        <v>0</v>
      </c>
      <c r="L1482" s="13">
        <v>1</v>
      </c>
      <c r="M1482" s="13">
        <v>0</v>
      </c>
      <c r="N1482" s="13">
        <v>0</v>
      </c>
      <c r="O1482" s="13">
        <v>0</v>
      </c>
      <c r="P1482" s="13">
        <v>0</v>
      </c>
      <c r="Q1482" s="13">
        <v>0</v>
      </c>
      <c r="R1482" s="13">
        <v>1</v>
      </c>
      <c r="S1482" s="13">
        <v>0</v>
      </c>
      <c r="T1482" s="13">
        <v>0</v>
      </c>
      <c r="U1482" s="13">
        <v>14</v>
      </c>
      <c r="V1482" s="13" t="str" cm="1">
        <f t="array" ref="V1482">_xlfn.IFS(U1482&lt;=250,"0-R$250",U1482&lt;=500,"251-R$500",U1482&lt;=750,"501-R$750",U1482&lt;=1000,"751-R$1000",U1482&lt;=1250,"1001-R$1250",U1482&lt;=1500,"1251-R$1500")</f>
        <v>0-R$250</v>
      </c>
      <c r="W1482" s="13">
        <v>36</v>
      </c>
      <c r="X1482" s="13" t="str" cm="1">
        <f t="array" ref="X1482">_xlfn.IFS(W1482 = 0, "0", W1482&lt;=20, "até R$20",W1482&lt;=40, "21 - R$40",W1482&lt;=60, "41- R$60",W1482&lt;=80, "61 - R$80", W1482&lt;=100, "81 - R$100",W1482&lt;=120, "101 - R$120",W1482&lt;=140, "121 - R$140", W1482&lt;=160, "141- R$160", W1482&lt;=180, "161 - R$180", W1482&lt;=200, "181-R$194")</f>
        <v>21 - R$40</v>
      </c>
      <c r="Y1482" s="13">
        <v>11</v>
      </c>
      <c r="Z1482" s="13">
        <v>3</v>
      </c>
      <c r="AA1482" s="13">
        <v>26</v>
      </c>
      <c r="AB1482" s="13">
        <v>35</v>
      </c>
      <c r="AC1482" s="13">
        <v>1</v>
      </c>
      <c r="AD1482" s="13">
        <v>1</v>
      </c>
      <c r="AE1482" s="13">
        <v>1</v>
      </c>
      <c r="AF1482" s="13">
        <v>4</v>
      </c>
      <c r="AG1482" s="13">
        <v>2</v>
      </c>
      <c r="AH1482" s="13">
        <v>0</v>
      </c>
      <c r="AI1482" s="13">
        <v>0</v>
      </c>
      <c r="AJ1482" s="13">
        <v>0</v>
      </c>
      <c r="AK1482" s="13">
        <v>0</v>
      </c>
      <c r="AL1482" s="13">
        <v>0</v>
      </c>
      <c r="AM1482" s="13">
        <v>0</v>
      </c>
      <c r="AN1482" s="13">
        <v>0</v>
      </c>
      <c r="AO1482" s="14">
        <v>0</v>
      </c>
      <c r="AP1482" s="13">
        <v>3</v>
      </c>
      <c r="AQ1482" s="13">
        <v>11</v>
      </c>
      <c r="AR1482" s="15">
        <v>55</v>
      </c>
      <c r="AS1482" s="15">
        <v>90</v>
      </c>
    </row>
    <row r="1483" spans="1:45" x14ac:dyDescent="0.25">
      <c r="A1483">
        <v>261</v>
      </c>
      <c r="B1483" s="11">
        <f t="shared" si="23"/>
        <v>33378</v>
      </c>
      <c r="C1483" s="16">
        <v>333780</v>
      </c>
      <c r="D1483" s="17">
        <v>1</v>
      </c>
      <c r="E1483" s="17">
        <v>1</v>
      </c>
      <c r="F1483" s="17">
        <v>38</v>
      </c>
      <c r="G1483" s="17">
        <v>57</v>
      </c>
      <c r="H1483" s="13" t="str" cm="1">
        <f t="array" ref="H1483">_xlfn.IFS(G1483&lt;=20,"0-20",G1483&lt;=30,"20-30",G1483&lt;=40,"30-40",G1483&lt;=50,"50-60",G1483&lt;=60,"60-70",G1483&lt;=70,"70-80",G1483&lt;=80,"80-90")</f>
        <v>60-70</v>
      </c>
      <c r="I1483" s="17">
        <v>2667</v>
      </c>
      <c r="J1483" s="13" t="str" cm="1">
        <f t="array" ref="J1483">_xlfn.IFS(K1483=1,"Divorciado",L1483=1,"Casado",M1483=1,"Solteiro",N1483=1,"Juntos",O1483=1,"Viuvo")</f>
        <v>Divorciado</v>
      </c>
      <c r="K1483" s="17">
        <v>1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1</v>
      </c>
      <c r="S1483" s="17">
        <v>0</v>
      </c>
      <c r="T1483" s="17">
        <v>0</v>
      </c>
      <c r="U1483" s="17">
        <v>33</v>
      </c>
      <c r="V1483" s="13" t="str" cm="1">
        <f t="array" ref="V1483">_xlfn.IFS(U1483&lt;=250,"0-R$250",U1483&lt;=500,"251-R$500",U1483&lt;=750,"501-R$750",U1483&lt;=1000,"751-R$1000",U1483&lt;=1250,"1001-R$1250",U1483&lt;=1500,"1251-R$1500")</f>
        <v>0-R$250</v>
      </c>
      <c r="W1483" s="17">
        <v>6</v>
      </c>
      <c r="X1483" s="13" t="str" cm="1">
        <f t="array" ref="X1483">_xlfn.IFS(W1483 = 0, "0", W1483&lt;=20, "até R$20",W1483&lt;=40, "21 - R$40",W1483&lt;=60, "41- R$60",W1483&lt;=80, "61 - R$80", W1483&lt;=100, "81 - R$100",W1483&lt;=120, "101 - R$120",W1483&lt;=140, "121 - R$140", W1483&lt;=160, "141- R$160", W1483&lt;=180, "161 - R$180", W1483&lt;=200, "181-R$194")</f>
        <v>até R$20</v>
      </c>
      <c r="Y1483" s="17">
        <v>40</v>
      </c>
      <c r="Z1483" s="17">
        <v>3</v>
      </c>
      <c r="AA1483" s="17">
        <v>7</v>
      </c>
      <c r="AB1483" s="17">
        <v>10</v>
      </c>
      <c r="AC1483" s="17">
        <v>3</v>
      </c>
      <c r="AD1483" s="17">
        <v>2</v>
      </c>
      <c r="AE1483" s="17">
        <v>0</v>
      </c>
      <c r="AF1483" s="17">
        <v>4</v>
      </c>
      <c r="AG1483" s="17">
        <v>7</v>
      </c>
      <c r="AH1483" s="17">
        <v>0</v>
      </c>
      <c r="AI1483" s="17">
        <v>0</v>
      </c>
      <c r="AJ1483" s="17">
        <v>0</v>
      </c>
      <c r="AK1483" s="17">
        <v>0</v>
      </c>
      <c r="AL1483" s="17">
        <v>0</v>
      </c>
      <c r="AM1483" s="17">
        <v>0</v>
      </c>
      <c r="AN1483" s="17">
        <v>0</v>
      </c>
      <c r="AO1483" s="18">
        <v>0</v>
      </c>
      <c r="AP1483" s="17">
        <v>3</v>
      </c>
      <c r="AQ1483" s="17">
        <v>11</v>
      </c>
      <c r="AR1483" s="19">
        <v>79</v>
      </c>
      <c r="AS1483" s="19">
        <v>89</v>
      </c>
    </row>
    <row r="1484" spans="1:45" x14ac:dyDescent="0.25">
      <c r="A1484">
        <v>284</v>
      </c>
      <c r="B1484" s="11">
        <f t="shared" si="23"/>
        <v>42386</v>
      </c>
      <c r="C1484" s="12">
        <v>423860</v>
      </c>
      <c r="D1484" s="13">
        <v>1</v>
      </c>
      <c r="E1484" s="13">
        <v>0</v>
      </c>
      <c r="F1484" s="13">
        <v>43</v>
      </c>
      <c r="G1484" s="13">
        <v>34</v>
      </c>
      <c r="H1484" s="13" t="str" cm="1">
        <f t="array" ref="H1484">_xlfn.IFS(G1484&lt;=20,"0-20",G1484&lt;=30,"20-30",G1484&lt;=40,"30-40",G1484&lt;=50,"50-60",G1484&lt;=60,"60-70",G1484&lt;=70,"70-80",G1484&lt;=80,"80-90")</f>
        <v>30-40</v>
      </c>
      <c r="I1484" s="13">
        <v>2691</v>
      </c>
      <c r="J1484" s="13" t="str" cm="1">
        <f t="array" ref="J1484">_xlfn.IFS(K1484=1,"Divorciado",L1484=1,"Casado",M1484=1,"Solteiro",N1484=1,"Juntos",O1484=1,"Viuvo")</f>
        <v>Juntos</v>
      </c>
      <c r="K1484" s="13">
        <v>0</v>
      </c>
      <c r="L1484" s="13">
        <v>0</v>
      </c>
      <c r="M1484" s="13">
        <v>0</v>
      </c>
      <c r="N1484" s="13">
        <v>1</v>
      </c>
      <c r="O1484" s="13">
        <v>0</v>
      </c>
      <c r="P1484" s="13">
        <v>0</v>
      </c>
      <c r="Q1484" s="13">
        <v>0</v>
      </c>
      <c r="R1484" s="13">
        <v>0</v>
      </c>
      <c r="S1484" s="13">
        <v>1</v>
      </c>
      <c r="T1484" s="13">
        <v>0</v>
      </c>
      <c r="U1484" s="13">
        <v>65</v>
      </c>
      <c r="V1484" s="13" t="str" cm="1">
        <f t="array" ref="V1484">_xlfn.IFS(U1484&lt;=250,"0-R$250",U1484&lt;=500,"251-R$500",U1484&lt;=750,"501-R$750",U1484&lt;=1000,"751-R$1000",U1484&lt;=1250,"1001-R$1250",U1484&lt;=1500,"1251-R$1500")</f>
        <v>0-R$250</v>
      </c>
      <c r="W1484" s="13">
        <v>4</v>
      </c>
      <c r="X1484" s="13" t="str" cm="1">
        <f t="array" ref="X1484">_xlfn.IFS(W1484 = 0, "0", W1484&lt;=20, "até R$20",W1484&lt;=40, "21 - R$40",W1484&lt;=60, "41- R$60",W1484&lt;=80, "61 - R$80", W1484&lt;=100, "81 - R$100",W1484&lt;=120, "101 - R$120",W1484&lt;=140, "121 - R$140", W1484&lt;=160, "141- R$160", W1484&lt;=180, "161 - R$180", W1484&lt;=200, "181-R$194")</f>
        <v>até R$20</v>
      </c>
      <c r="Y1484" s="13">
        <v>16</v>
      </c>
      <c r="Z1484" s="13">
        <v>0</v>
      </c>
      <c r="AA1484" s="13">
        <v>4</v>
      </c>
      <c r="AB1484" s="13">
        <v>11</v>
      </c>
      <c r="AC1484" s="13">
        <v>1</v>
      </c>
      <c r="AD1484" s="13">
        <v>3</v>
      </c>
      <c r="AE1484" s="13">
        <v>0</v>
      </c>
      <c r="AF1484" s="13">
        <v>3</v>
      </c>
      <c r="AG1484" s="13">
        <v>8</v>
      </c>
      <c r="AH1484" s="13">
        <v>0</v>
      </c>
      <c r="AI1484" s="13">
        <v>0</v>
      </c>
      <c r="AJ1484" s="13">
        <v>0</v>
      </c>
      <c r="AK1484" s="13">
        <v>0</v>
      </c>
      <c r="AL1484" s="13">
        <v>0</v>
      </c>
      <c r="AM1484" s="13">
        <v>0</v>
      </c>
      <c r="AN1484" s="13">
        <v>0</v>
      </c>
      <c r="AO1484" s="14">
        <v>0</v>
      </c>
      <c r="AP1484" s="13">
        <v>3</v>
      </c>
      <c r="AQ1484" s="13">
        <v>11</v>
      </c>
      <c r="AR1484" s="15">
        <v>78</v>
      </c>
      <c r="AS1484" s="15">
        <v>89</v>
      </c>
    </row>
    <row r="1485" spans="1:45" x14ac:dyDescent="0.25">
      <c r="A1485">
        <v>340</v>
      </c>
      <c r="B1485" s="11">
        <f t="shared" si="23"/>
        <v>50737</v>
      </c>
      <c r="C1485" s="12">
        <v>507370</v>
      </c>
      <c r="D1485" s="13">
        <v>0</v>
      </c>
      <c r="E1485" s="13">
        <v>1</v>
      </c>
      <c r="F1485" s="13">
        <v>61</v>
      </c>
      <c r="G1485" s="13">
        <v>65</v>
      </c>
      <c r="H1485" s="13" t="str" cm="1">
        <f t="array" ref="H1485">_xlfn.IFS(G1485&lt;=20,"0-20",G1485&lt;=30,"20-30",G1485&lt;=40,"30-40",G1485&lt;=50,"50-60",G1485&lt;=60,"60-70",G1485&lt;=70,"70-80",G1485&lt;=80,"80-90")</f>
        <v>70-80</v>
      </c>
      <c r="I1485" s="13">
        <v>2573</v>
      </c>
      <c r="J1485" s="13" t="str" cm="1">
        <f t="array" ref="J1485">_xlfn.IFS(K1485=1,"Divorciado",L1485=1,"Casado",M1485=1,"Solteiro",N1485=1,"Juntos",O1485=1,"Viuvo")</f>
        <v>Casado</v>
      </c>
      <c r="K1485" s="13">
        <v>0</v>
      </c>
      <c r="L1485" s="13">
        <v>1</v>
      </c>
      <c r="M1485" s="13">
        <v>0</v>
      </c>
      <c r="N1485" s="13">
        <v>0</v>
      </c>
      <c r="O1485" s="13">
        <v>0</v>
      </c>
      <c r="P1485" s="13">
        <v>0</v>
      </c>
      <c r="Q1485" s="13">
        <v>0</v>
      </c>
      <c r="R1485" s="13">
        <v>1</v>
      </c>
      <c r="S1485" s="13">
        <v>0</v>
      </c>
      <c r="T1485" s="13">
        <v>0</v>
      </c>
      <c r="U1485" s="13">
        <v>78</v>
      </c>
      <c r="V1485" s="13" t="str" cm="1">
        <f t="array" ref="V1485">_xlfn.IFS(U1485&lt;=250,"0-R$250",U1485&lt;=500,"251-R$500",U1485&lt;=750,"501-R$750",U1485&lt;=1000,"751-R$1000",U1485&lt;=1250,"1001-R$1250",U1485&lt;=1500,"1251-R$1500")</f>
        <v>0-R$250</v>
      </c>
      <c r="W1485" s="13">
        <v>0</v>
      </c>
      <c r="X1485" s="13" t="str" cm="1">
        <f t="array" ref="X1485">_xlfn.IFS(W1485 = 0, "0", W1485&lt;=20, "até R$20",W1485&lt;=40, "21 - R$40",W1485&lt;=60, "41- R$60",W1485&lt;=80, "61 - R$80", W1485&lt;=100, "81 - R$100",W1485&lt;=120, "101 - R$120",W1485&lt;=140, "121 - R$140", W1485&lt;=160, "141- R$160", W1485&lt;=180, "161 - R$180", W1485&lt;=200, "181-R$194")</f>
        <v>0</v>
      </c>
      <c r="Y1485" s="13">
        <v>11</v>
      </c>
      <c r="Z1485" s="13">
        <v>0</v>
      </c>
      <c r="AA1485" s="13">
        <v>0</v>
      </c>
      <c r="AB1485" s="13">
        <v>10</v>
      </c>
      <c r="AC1485" s="13">
        <v>1</v>
      </c>
      <c r="AD1485" s="13">
        <v>2</v>
      </c>
      <c r="AE1485" s="13">
        <v>0</v>
      </c>
      <c r="AF1485" s="13">
        <v>4</v>
      </c>
      <c r="AG1485" s="13">
        <v>6</v>
      </c>
      <c r="AH1485" s="13">
        <v>0</v>
      </c>
      <c r="AI1485" s="13">
        <v>0</v>
      </c>
      <c r="AJ1485" s="13">
        <v>1</v>
      </c>
      <c r="AK1485" s="13">
        <v>0</v>
      </c>
      <c r="AL1485" s="13">
        <v>0</v>
      </c>
      <c r="AM1485" s="13">
        <v>0</v>
      </c>
      <c r="AN1485" s="13">
        <v>0</v>
      </c>
      <c r="AO1485" s="14">
        <v>1</v>
      </c>
      <c r="AP1485" s="13">
        <v>3</v>
      </c>
      <c r="AQ1485" s="13">
        <v>11</v>
      </c>
      <c r="AR1485" s="15">
        <v>79</v>
      </c>
      <c r="AS1485" s="15">
        <v>89</v>
      </c>
    </row>
    <row r="1486" spans="1:45" x14ac:dyDescent="0.25">
      <c r="A1486">
        <v>520</v>
      </c>
      <c r="B1486" s="11">
        <f t="shared" si="23"/>
        <v>44931</v>
      </c>
      <c r="C1486" s="12">
        <v>449310</v>
      </c>
      <c r="D1486" s="13">
        <v>0</v>
      </c>
      <c r="E1486" s="13">
        <v>1</v>
      </c>
      <c r="F1486" s="13">
        <v>0</v>
      </c>
      <c r="G1486" s="13">
        <v>53</v>
      </c>
      <c r="H1486" s="13" t="str" cm="1">
        <f t="array" ref="H1486">_xlfn.IFS(G1486&lt;=20,"0-20",G1486&lt;=30,"20-30",G1486&lt;=40,"30-40",G1486&lt;=50,"50-60",G1486&lt;=60,"60-70",G1486&lt;=70,"70-80",G1486&lt;=80,"80-90")</f>
        <v>60-70</v>
      </c>
      <c r="I1486" s="13">
        <v>2321</v>
      </c>
      <c r="J1486" s="13" t="str" cm="1">
        <f t="array" ref="J1486">_xlfn.IFS(K1486=1,"Divorciado",L1486=1,"Casado",M1486=1,"Solteiro",N1486=1,"Juntos",O1486=1,"Viuvo")</f>
        <v>Juntos</v>
      </c>
      <c r="K1486" s="13">
        <v>0</v>
      </c>
      <c r="L1486" s="13">
        <v>0</v>
      </c>
      <c r="M1486" s="13">
        <v>0</v>
      </c>
      <c r="N1486" s="13">
        <v>1</v>
      </c>
      <c r="O1486" s="13">
        <v>0</v>
      </c>
      <c r="P1486" s="13">
        <v>0</v>
      </c>
      <c r="Q1486" s="13">
        <v>0</v>
      </c>
      <c r="R1486" s="13">
        <v>1</v>
      </c>
      <c r="S1486" s="13">
        <v>0</v>
      </c>
      <c r="T1486" s="13">
        <v>0</v>
      </c>
      <c r="U1486" s="13">
        <v>78</v>
      </c>
      <c r="V1486" s="13" t="str" cm="1">
        <f t="array" ref="V1486">_xlfn.IFS(U1486&lt;=250,"0-R$250",U1486&lt;=500,"251-R$500",U1486&lt;=750,"501-R$750",U1486&lt;=1000,"751-R$1000",U1486&lt;=1250,"1001-R$1250",U1486&lt;=1500,"1251-R$1500")</f>
        <v>0-R$250</v>
      </c>
      <c r="W1486" s="13">
        <v>0</v>
      </c>
      <c r="X1486" s="13" t="str" cm="1">
        <f t="array" ref="X1486">_xlfn.IFS(W1486 = 0, "0", W1486&lt;=20, "até R$20",W1486&lt;=40, "21 - R$40",W1486&lt;=60, "41- R$60",W1486&lt;=80, "61 - R$80", W1486&lt;=100, "81 - R$100",W1486&lt;=120, "101 - R$120",W1486&lt;=140, "121 - R$140", W1486&lt;=160, "141- R$160", W1486&lt;=180, "161 - R$180", W1486&lt;=200, "181-R$194")</f>
        <v>0</v>
      </c>
      <c r="Y1486" s="13">
        <v>11</v>
      </c>
      <c r="Z1486" s="13">
        <v>0</v>
      </c>
      <c r="AA1486" s="13">
        <v>0</v>
      </c>
      <c r="AB1486" s="13">
        <v>7</v>
      </c>
      <c r="AC1486" s="13">
        <v>1</v>
      </c>
      <c r="AD1486" s="13">
        <v>2</v>
      </c>
      <c r="AE1486" s="13">
        <v>1</v>
      </c>
      <c r="AF1486" s="13">
        <v>3</v>
      </c>
      <c r="AG1486" s="13">
        <v>5</v>
      </c>
      <c r="AH1486" s="13">
        <v>0</v>
      </c>
      <c r="AI1486" s="13">
        <v>0</v>
      </c>
      <c r="AJ1486" s="13">
        <v>0</v>
      </c>
      <c r="AK1486" s="13">
        <v>0</v>
      </c>
      <c r="AL1486" s="13">
        <v>0</v>
      </c>
      <c r="AM1486" s="13">
        <v>0</v>
      </c>
      <c r="AN1486" s="13">
        <v>0</v>
      </c>
      <c r="AO1486" s="14">
        <v>0</v>
      </c>
      <c r="AP1486" s="13">
        <v>3</v>
      </c>
      <c r="AQ1486" s="13">
        <v>11</v>
      </c>
      <c r="AR1486" s="15">
        <v>82</v>
      </c>
      <c r="AS1486" s="15">
        <v>89</v>
      </c>
    </row>
    <row r="1487" spans="1:45" x14ac:dyDescent="0.25">
      <c r="A1487">
        <v>1258</v>
      </c>
      <c r="B1487" s="11">
        <f t="shared" si="23"/>
        <v>40800</v>
      </c>
      <c r="C1487" s="12">
        <v>408000</v>
      </c>
      <c r="D1487" s="13">
        <v>1</v>
      </c>
      <c r="E1487" s="13">
        <v>2</v>
      </c>
      <c r="F1487" s="13">
        <v>77</v>
      </c>
      <c r="G1487" s="13">
        <v>56</v>
      </c>
      <c r="H1487" s="13" t="str" cm="1">
        <f t="array" ref="H1487">_xlfn.IFS(G1487&lt;=20,"0-20",G1487&lt;=30,"20-30",G1487&lt;=40,"30-40",G1487&lt;=50,"50-60",G1487&lt;=60,"60-70",G1487&lt;=70,"70-80",G1487&lt;=80,"80-90")</f>
        <v>60-70</v>
      </c>
      <c r="I1487" s="13">
        <v>2703</v>
      </c>
      <c r="J1487" s="13" t="str" cm="1">
        <f t="array" ref="J1487">_xlfn.IFS(K1487=1,"Divorciado",L1487=1,"Casado",M1487=1,"Solteiro",N1487=1,"Juntos",O1487=1,"Viuvo")</f>
        <v>Casado</v>
      </c>
      <c r="K1487" s="13">
        <v>0</v>
      </c>
      <c r="L1487" s="13">
        <v>1</v>
      </c>
      <c r="M1487" s="13">
        <v>0</v>
      </c>
      <c r="N1487" s="13">
        <v>0</v>
      </c>
      <c r="O1487" s="13">
        <v>0</v>
      </c>
      <c r="P1487" s="13">
        <v>0</v>
      </c>
      <c r="Q1487" s="13">
        <v>0</v>
      </c>
      <c r="R1487" s="13">
        <v>1</v>
      </c>
      <c r="S1487" s="13">
        <v>0</v>
      </c>
      <c r="T1487" s="13">
        <v>0</v>
      </c>
      <c r="U1487" s="13">
        <v>24</v>
      </c>
      <c r="V1487" s="13" t="str" cm="1">
        <f t="array" ref="V1487">_xlfn.IFS(U1487&lt;=250,"0-R$250",U1487&lt;=500,"251-R$500",U1487&lt;=750,"501-R$750",U1487&lt;=1000,"751-R$1000",U1487&lt;=1250,"1001-R$1250",U1487&lt;=1500,"1251-R$1500")</f>
        <v>0-R$250</v>
      </c>
      <c r="W1487" s="13">
        <v>0</v>
      </c>
      <c r="X1487" s="13" t="str" cm="1">
        <f t="array" ref="X1487">_xlfn.IFS(W1487 = 0, "0", W1487&lt;=20, "até R$20",W1487&lt;=40, "21 - R$40",W1487&lt;=60, "41- R$60",W1487&lt;=80, "61 - R$80", W1487&lt;=100, "81 - R$100",W1487&lt;=120, "101 - R$120",W1487&lt;=140, "121 - R$140", W1487&lt;=160, "141- R$160", W1487&lt;=180, "161 - R$180", W1487&lt;=200, "181-R$194")</f>
        <v>0</v>
      </c>
      <c r="Y1487" s="13">
        <v>27</v>
      </c>
      <c r="Z1487" s="13">
        <v>8</v>
      </c>
      <c r="AA1487" s="13">
        <v>30</v>
      </c>
      <c r="AB1487" s="13">
        <v>10</v>
      </c>
      <c r="AC1487" s="13">
        <v>2</v>
      </c>
      <c r="AD1487" s="13">
        <v>3</v>
      </c>
      <c r="AE1487" s="13">
        <v>0</v>
      </c>
      <c r="AF1487" s="13">
        <v>3</v>
      </c>
      <c r="AG1487" s="13">
        <v>7</v>
      </c>
      <c r="AH1487" s="13">
        <v>1</v>
      </c>
      <c r="AI1487" s="13">
        <v>0</v>
      </c>
      <c r="AJ1487" s="13">
        <v>0</v>
      </c>
      <c r="AK1487" s="13">
        <v>0</v>
      </c>
      <c r="AL1487" s="13">
        <v>0</v>
      </c>
      <c r="AM1487" s="13">
        <v>0</v>
      </c>
      <c r="AN1487" s="13">
        <v>0</v>
      </c>
      <c r="AO1487" s="14">
        <v>0</v>
      </c>
      <c r="AP1487" s="13">
        <v>3</v>
      </c>
      <c r="AQ1487" s="13">
        <v>11</v>
      </c>
      <c r="AR1487" s="15">
        <v>79</v>
      </c>
      <c r="AS1487" s="15">
        <v>89</v>
      </c>
    </row>
    <row r="1488" spans="1:45" x14ac:dyDescent="0.25">
      <c r="A1488">
        <v>1521</v>
      </c>
      <c r="B1488" s="11">
        <f t="shared" si="23"/>
        <v>42386</v>
      </c>
      <c r="C1488" s="16">
        <v>423860</v>
      </c>
      <c r="D1488" s="17">
        <v>1</v>
      </c>
      <c r="E1488" s="17">
        <v>0</v>
      </c>
      <c r="F1488" s="17">
        <v>43</v>
      </c>
      <c r="G1488" s="17">
        <v>34</v>
      </c>
      <c r="H1488" s="13" t="str" cm="1">
        <f t="array" ref="H1488">_xlfn.IFS(G1488&lt;=20,"0-20",G1488&lt;=30,"20-30",G1488&lt;=40,"30-40",G1488&lt;=50,"50-60",G1488&lt;=60,"60-70",G1488&lt;=70,"70-80",G1488&lt;=80,"80-90")</f>
        <v>30-40</v>
      </c>
      <c r="I1488" s="17">
        <v>2691</v>
      </c>
      <c r="J1488" s="13" t="str" cm="1">
        <f t="array" ref="J1488">_xlfn.IFS(K1488=1,"Divorciado",L1488=1,"Casado",M1488=1,"Solteiro",N1488=1,"Juntos",O1488=1,"Viuvo")</f>
        <v>Juntos</v>
      </c>
      <c r="K1488" s="17">
        <v>0</v>
      </c>
      <c r="L1488" s="17">
        <v>0</v>
      </c>
      <c r="M1488" s="17">
        <v>0</v>
      </c>
      <c r="N1488" s="17">
        <v>1</v>
      </c>
      <c r="O1488" s="17">
        <v>0</v>
      </c>
      <c r="P1488" s="17">
        <v>0</v>
      </c>
      <c r="Q1488" s="17">
        <v>0</v>
      </c>
      <c r="R1488" s="17">
        <v>0</v>
      </c>
      <c r="S1488" s="17">
        <v>1</v>
      </c>
      <c r="T1488" s="17">
        <v>0</v>
      </c>
      <c r="U1488" s="17">
        <v>65</v>
      </c>
      <c r="V1488" s="13" t="str" cm="1">
        <f t="array" ref="V1488">_xlfn.IFS(U1488&lt;=250,"0-R$250",U1488&lt;=500,"251-R$500",U1488&lt;=750,"501-R$750",U1488&lt;=1000,"751-R$1000",U1488&lt;=1250,"1001-R$1250",U1488&lt;=1500,"1251-R$1500")</f>
        <v>0-R$250</v>
      </c>
      <c r="W1488" s="17">
        <v>4</v>
      </c>
      <c r="X1488" s="13" t="str" cm="1">
        <f t="array" ref="X1488">_xlfn.IFS(W1488 = 0, "0", W1488&lt;=20, "até R$20",W1488&lt;=40, "21 - R$40",W1488&lt;=60, "41- R$60",W1488&lt;=80, "61 - R$80", W1488&lt;=100, "81 - R$100",W1488&lt;=120, "101 - R$120",W1488&lt;=140, "121 - R$140", W1488&lt;=160, "141- R$160", W1488&lt;=180, "161 - R$180", W1488&lt;=200, "181-R$194")</f>
        <v>até R$20</v>
      </c>
      <c r="Y1488" s="17">
        <v>16</v>
      </c>
      <c r="Z1488" s="17">
        <v>0</v>
      </c>
      <c r="AA1488" s="17">
        <v>4</v>
      </c>
      <c r="AB1488" s="17">
        <v>11</v>
      </c>
      <c r="AC1488" s="17">
        <v>1</v>
      </c>
      <c r="AD1488" s="17">
        <v>3</v>
      </c>
      <c r="AE1488" s="17">
        <v>0</v>
      </c>
      <c r="AF1488" s="17">
        <v>3</v>
      </c>
      <c r="AG1488" s="17">
        <v>8</v>
      </c>
      <c r="AH1488" s="17">
        <v>0</v>
      </c>
      <c r="AI1488" s="17">
        <v>0</v>
      </c>
      <c r="AJ1488" s="17">
        <v>0</v>
      </c>
      <c r="AK1488" s="17">
        <v>0</v>
      </c>
      <c r="AL1488" s="17">
        <v>0</v>
      </c>
      <c r="AM1488" s="17">
        <v>0</v>
      </c>
      <c r="AN1488" s="17">
        <v>0</v>
      </c>
      <c r="AO1488" s="18">
        <v>0</v>
      </c>
      <c r="AP1488" s="17">
        <v>3</v>
      </c>
      <c r="AQ1488" s="17">
        <v>11</v>
      </c>
      <c r="AR1488" s="19">
        <v>78</v>
      </c>
      <c r="AS1488" s="19">
        <v>89</v>
      </c>
    </row>
    <row r="1489" spans="1:45" x14ac:dyDescent="0.25">
      <c r="A1489">
        <v>1540</v>
      </c>
      <c r="B1489" s="11">
        <f t="shared" si="23"/>
        <v>44322</v>
      </c>
      <c r="C1489" s="12">
        <v>443220</v>
      </c>
      <c r="D1489" s="13">
        <v>1</v>
      </c>
      <c r="E1489" s="13">
        <v>0</v>
      </c>
      <c r="F1489" s="13">
        <v>30</v>
      </c>
      <c r="G1489" s="13">
        <v>35</v>
      </c>
      <c r="H1489" s="13" t="str" cm="1">
        <f t="array" ref="H1489">_xlfn.IFS(G1489&lt;=20,"0-20",G1489&lt;=30,"20-30",G1489&lt;=40,"30-40",G1489&lt;=50,"50-60",G1489&lt;=60,"60-70",G1489&lt;=70,"70-80",G1489&lt;=80,"80-90")</f>
        <v>30-40</v>
      </c>
      <c r="I1489" s="13">
        <v>2172</v>
      </c>
      <c r="J1489" s="13" t="str" cm="1">
        <f t="array" ref="J1489">_xlfn.IFS(K1489=1,"Divorciado",L1489=1,"Casado",M1489=1,"Solteiro",N1489=1,"Juntos",O1489=1,"Viuvo")</f>
        <v>Casado</v>
      </c>
      <c r="K1489" s="13">
        <v>0</v>
      </c>
      <c r="L1489" s="13">
        <v>1</v>
      </c>
      <c r="M1489" s="13">
        <v>0</v>
      </c>
      <c r="N1489" s="13">
        <v>0</v>
      </c>
      <c r="O1489" s="13">
        <v>0</v>
      </c>
      <c r="P1489" s="13">
        <v>0</v>
      </c>
      <c r="Q1489" s="13">
        <v>0</v>
      </c>
      <c r="R1489" s="13">
        <v>1</v>
      </c>
      <c r="S1489" s="13">
        <v>0</v>
      </c>
      <c r="T1489" s="13">
        <v>0</v>
      </c>
      <c r="U1489" s="13">
        <v>46</v>
      </c>
      <c r="V1489" s="13" t="str" cm="1">
        <f t="array" ref="V1489">_xlfn.IFS(U1489&lt;=250,"0-R$250",U1489&lt;=500,"251-R$500",U1489&lt;=750,"501-R$750",U1489&lt;=1000,"751-R$1000",U1489&lt;=1250,"1001-R$1250",U1489&lt;=1500,"1251-R$1500")</f>
        <v>0-R$250</v>
      </c>
      <c r="W1489" s="13">
        <v>0</v>
      </c>
      <c r="X1489" s="13" t="str" cm="1">
        <f t="array" ref="X1489">_xlfn.IFS(W1489 = 0, "0", W1489&lt;=20, "até R$20",W1489&lt;=40, "21 - R$40",W1489&lt;=60, "41- R$60",W1489&lt;=80, "61 - R$80", W1489&lt;=100, "81 - R$100",W1489&lt;=120, "101 - R$120",W1489&lt;=140, "121 - R$140", W1489&lt;=160, "141- R$160", W1489&lt;=180, "161 - R$180", W1489&lt;=200, "181-R$194")</f>
        <v>0</v>
      </c>
      <c r="Y1489" s="13">
        <v>40</v>
      </c>
      <c r="Z1489" s="13">
        <v>3</v>
      </c>
      <c r="AA1489" s="13">
        <v>0</v>
      </c>
      <c r="AB1489" s="13">
        <v>3</v>
      </c>
      <c r="AC1489" s="13">
        <v>2</v>
      </c>
      <c r="AD1489" s="13">
        <v>3</v>
      </c>
      <c r="AE1489" s="13">
        <v>0</v>
      </c>
      <c r="AF1489" s="13">
        <v>3</v>
      </c>
      <c r="AG1489" s="13">
        <v>8</v>
      </c>
      <c r="AH1489" s="13">
        <v>0</v>
      </c>
      <c r="AI1489" s="13">
        <v>0</v>
      </c>
      <c r="AJ1489" s="13">
        <v>0</v>
      </c>
      <c r="AK1489" s="13">
        <v>0</v>
      </c>
      <c r="AL1489" s="13">
        <v>0</v>
      </c>
      <c r="AM1489" s="13">
        <v>0</v>
      </c>
      <c r="AN1489" s="13">
        <v>0</v>
      </c>
      <c r="AO1489" s="14">
        <v>0</v>
      </c>
      <c r="AP1489" s="13">
        <v>3</v>
      </c>
      <c r="AQ1489" s="13">
        <v>11</v>
      </c>
      <c r="AR1489" s="15">
        <v>86</v>
      </c>
      <c r="AS1489" s="15">
        <v>89</v>
      </c>
    </row>
    <row r="1490" spans="1:45" x14ac:dyDescent="0.25">
      <c r="A1490">
        <v>1656</v>
      </c>
      <c r="B1490" s="11">
        <f t="shared" si="23"/>
        <v>38232</v>
      </c>
      <c r="C1490" s="12">
        <v>382320</v>
      </c>
      <c r="D1490" s="13">
        <v>1</v>
      </c>
      <c r="E1490" s="13">
        <v>1</v>
      </c>
      <c r="F1490" s="13">
        <v>84</v>
      </c>
      <c r="G1490" s="13">
        <v>49</v>
      </c>
      <c r="H1490" s="13" t="str" cm="1">
        <f t="array" ref="H1490">_xlfn.IFS(G1490&lt;=20,"0-20",G1490&lt;=30,"20-30",G1490&lt;=40,"30-40",G1490&lt;=50,"50-60",G1490&lt;=60,"60-70",G1490&lt;=70,"70-80",G1490&lt;=80,"80-90")</f>
        <v>50-60</v>
      </c>
      <c r="I1490" s="13">
        <v>2322</v>
      </c>
      <c r="J1490" s="13" t="str" cm="1">
        <f t="array" ref="J1490">_xlfn.IFS(K1490=1,"Divorciado",L1490=1,"Casado",M1490=1,"Solteiro",N1490=1,"Juntos",O1490=1,"Viuvo")</f>
        <v>Juntos</v>
      </c>
      <c r="K1490" s="13">
        <v>0</v>
      </c>
      <c r="L1490" s="13">
        <v>0</v>
      </c>
      <c r="M1490" s="13">
        <v>0</v>
      </c>
      <c r="N1490" s="13">
        <v>1</v>
      </c>
      <c r="O1490" s="13">
        <v>0</v>
      </c>
      <c r="P1490" s="13">
        <v>0</v>
      </c>
      <c r="Q1490" s="13">
        <v>0</v>
      </c>
      <c r="R1490" s="13">
        <v>1</v>
      </c>
      <c r="S1490" s="13">
        <v>0</v>
      </c>
      <c r="T1490" s="13">
        <v>0</v>
      </c>
      <c r="U1490" s="13">
        <v>43</v>
      </c>
      <c r="V1490" s="13" t="str" cm="1">
        <f t="array" ref="V1490">_xlfn.IFS(U1490&lt;=250,"0-R$250",U1490&lt;=500,"251-R$500",U1490&lt;=750,"501-R$750",U1490&lt;=1000,"751-R$1000",U1490&lt;=1250,"1001-R$1250",U1490&lt;=1500,"1251-R$1500")</f>
        <v>0-R$250</v>
      </c>
      <c r="W1490" s="13">
        <v>5</v>
      </c>
      <c r="X1490" s="13" t="str" cm="1">
        <f t="array" ref="X1490">_xlfn.IFS(W1490 = 0, "0", W1490&lt;=20, "até R$20",W1490&lt;=40, "21 - R$40",W1490&lt;=60, "41- R$60",W1490&lt;=80, "61 - R$80", W1490&lt;=100, "81 - R$100",W1490&lt;=120, "101 - R$120",W1490&lt;=140, "121 - R$140", W1490&lt;=160, "141- R$160", W1490&lt;=180, "161 - R$180", W1490&lt;=200, "181-R$194")</f>
        <v>até R$20</v>
      </c>
      <c r="Y1490" s="13">
        <v>28</v>
      </c>
      <c r="Z1490" s="13">
        <v>7</v>
      </c>
      <c r="AA1490" s="13">
        <v>6</v>
      </c>
      <c r="AB1490" s="13">
        <v>33</v>
      </c>
      <c r="AC1490" s="13">
        <v>4</v>
      </c>
      <c r="AD1490" s="13">
        <v>3</v>
      </c>
      <c r="AE1490" s="13">
        <v>1</v>
      </c>
      <c r="AF1490" s="13">
        <v>3</v>
      </c>
      <c r="AG1490" s="13">
        <v>5</v>
      </c>
      <c r="AH1490" s="13">
        <v>0</v>
      </c>
      <c r="AI1490" s="13">
        <v>0</v>
      </c>
      <c r="AJ1490" s="13">
        <v>0</v>
      </c>
      <c r="AK1490" s="13">
        <v>0</v>
      </c>
      <c r="AL1490" s="13">
        <v>0</v>
      </c>
      <c r="AM1490" s="13">
        <v>0</v>
      </c>
      <c r="AN1490" s="13">
        <v>0</v>
      </c>
      <c r="AO1490" s="14">
        <v>0</v>
      </c>
      <c r="AP1490" s="13">
        <v>3</v>
      </c>
      <c r="AQ1490" s="13">
        <v>11</v>
      </c>
      <c r="AR1490" s="15">
        <v>56</v>
      </c>
      <c r="AS1490" s="15">
        <v>89</v>
      </c>
    </row>
    <row r="1491" spans="1:45" x14ac:dyDescent="0.25">
      <c r="A1491">
        <v>1753</v>
      </c>
      <c r="B1491" s="11">
        <f t="shared" si="23"/>
        <v>39435</v>
      </c>
      <c r="C1491" s="16">
        <v>394350</v>
      </c>
      <c r="D1491" s="17">
        <v>1</v>
      </c>
      <c r="E1491" s="17">
        <v>0</v>
      </c>
      <c r="F1491" s="17">
        <v>16</v>
      </c>
      <c r="G1491" s="17">
        <v>47</v>
      </c>
      <c r="H1491" s="13" t="str" cm="1">
        <f t="array" ref="H1491">_xlfn.IFS(G1491&lt;=20,"0-20",G1491&lt;=30,"20-30",G1491&lt;=40,"30-40",G1491&lt;=50,"50-60",G1491&lt;=60,"60-70",G1491&lt;=70,"70-80",G1491&lt;=80,"80-90")</f>
        <v>50-60</v>
      </c>
      <c r="I1491" s="17">
        <v>2486</v>
      </c>
      <c r="J1491" s="13" t="str" cm="1">
        <f t="array" ref="J1491">_xlfn.IFS(K1491=1,"Divorciado",L1491=1,"Casado",M1491=1,"Solteiro",N1491=1,"Juntos",O1491=1,"Viuvo")</f>
        <v>Juntos</v>
      </c>
      <c r="K1491" s="17">
        <v>0</v>
      </c>
      <c r="L1491" s="17">
        <v>0</v>
      </c>
      <c r="M1491" s="17">
        <v>0</v>
      </c>
      <c r="N1491" s="17">
        <v>1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1</v>
      </c>
      <c r="U1491" s="17">
        <v>71</v>
      </c>
      <c r="V1491" s="13" t="str" cm="1">
        <f t="array" ref="V1491">_xlfn.IFS(U1491&lt;=250,"0-R$250",U1491&lt;=500,"251-R$500",U1491&lt;=750,"501-R$750",U1491&lt;=1000,"751-R$1000",U1491&lt;=1250,"1001-R$1250",U1491&lt;=1500,"1251-R$1500")</f>
        <v>0-R$250</v>
      </c>
      <c r="W1491" s="17">
        <v>0</v>
      </c>
      <c r="X1491" s="13" t="str" cm="1">
        <f t="array" ref="X1491">_xlfn.IFS(W1491 = 0, "0", W1491&lt;=20, "até R$20",W1491&lt;=40, "21 - R$40",W1491&lt;=60, "41- R$60",W1491&lt;=80, "61 - R$80", W1491&lt;=100, "81 - R$100",W1491&lt;=120, "101 - R$120",W1491&lt;=140, "121 - R$140", W1491&lt;=160, "141- R$160", W1491&lt;=180, "161 - R$180", W1491&lt;=200, "181-R$194")</f>
        <v>0</v>
      </c>
      <c r="Y1491" s="17">
        <v>18</v>
      </c>
      <c r="Z1491" s="17">
        <v>0</v>
      </c>
      <c r="AA1491" s="17">
        <v>0</v>
      </c>
      <c r="AB1491" s="17">
        <v>13</v>
      </c>
      <c r="AC1491" s="17">
        <v>1</v>
      </c>
      <c r="AD1491" s="17">
        <v>3</v>
      </c>
      <c r="AE1491" s="17">
        <v>1</v>
      </c>
      <c r="AF1491" s="17">
        <v>2</v>
      </c>
      <c r="AG1491" s="17">
        <v>7</v>
      </c>
      <c r="AH1491" s="17">
        <v>0</v>
      </c>
      <c r="AI1491" s="17">
        <v>0</v>
      </c>
      <c r="AJ1491" s="17">
        <v>0</v>
      </c>
      <c r="AK1491" s="17">
        <v>0</v>
      </c>
      <c r="AL1491" s="17">
        <v>0</v>
      </c>
      <c r="AM1491" s="17">
        <v>0</v>
      </c>
      <c r="AN1491" s="17">
        <v>0</v>
      </c>
      <c r="AO1491" s="18">
        <v>0</v>
      </c>
      <c r="AP1491" s="17">
        <v>3</v>
      </c>
      <c r="AQ1491" s="17">
        <v>11</v>
      </c>
      <c r="AR1491" s="19">
        <v>76</v>
      </c>
      <c r="AS1491" s="19">
        <v>89</v>
      </c>
    </row>
    <row r="1492" spans="1:45" x14ac:dyDescent="0.25">
      <c r="A1492">
        <v>1762</v>
      </c>
      <c r="B1492" s="11">
        <f t="shared" si="23"/>
        <v>36075</v>
      </c>
      <c r="C1492" s="12">
        <v>360750</v>
      </c>
      <c r="D1492" s="13">
        <v>1</v>
      </c>
      <c r="E1492" s="13">
        <v>0</v>
      </c>
      <c r="F1492" s="13">
        <v>54</v>
      </c>
      <c r="G1492" s="13">
        <v>37</v>
      </c>
      <c r="H1492" s="13" t="str" cm="1">
        <f t="array" ref="H1492">_xlfn.IFS(G1492&lt;=20,"0-20",G1492&lt;=30,"20-30",G1492&lt;=40,"30-40",G1492&lt;=50,"50-60",G1492&lt;=60,"60-70",G1492&lt;=70,"70-80",G1492&lt;=80,"80-90")</f>
        <v>30-40</v>
      </c>
      <c r="I1492" s="13">
        <v>2361</v>
      </c>
      <c r="J1492" s="13" t="str" cm="1">
        <f t="array" ref="J1492">_xlfn.IFS(K1492=1,"Divorciado",L1492=1,"Casado",M1492=1,"Solteiro",N1492=1,"Juntos",O1492=1,"Viuvo")</f>
        <v>Juntos</v>
      </c>
      <c r="K1492" s="13">
        <v>0</v>
      </c>
      <c r="L1492" s="13">
        <v>0</v>
      </c>
      <c r="M1492" s="13">
        <v>0</v>
      </c>
      <c r="N1492" s="13">
        <v>1</v>
      </c>
      <c r="O1492" s="13">
        <v>0</v>
      </c>
      <c r="P1492" s="13">
        <v>0</v>
      </c>
      <c r="Q1492" s="13">
        <v>0</v>
      </c>
      <c r="R1492" s="13">
        <v>1</v>
      </c>
      <c r="S1492" s="13">
        <v>0</v>
      </c>
      <c r="T1492" s="13">
        <v>0</v>
      </c>
      <c r="U1492" s="13">
        <v>46</v>
      </c>
      <c r="V1492" s="13" t="str" cm="1">
        <f t="array" ref="V1492">_xlfn.IFS(U1492&lt;=250,"0-R$250",U1492&lt;=500,"251-R$500",U1492&lt;=750,"501-R$750",U1492&lt;=1000,"751-R$1000",U1492&lt;=1250,"1001-R$1250",U1492&lt;=1500,"1251-R$1500")</f>
        <v>0-R$250</v>
      </c>
      <c r="W1492" s="13">
        <v>0</v>
      </c>
      <c r="X1492" s="13" t="str" cm="1">
        <f t="array" ref="X1492">_xlfn.IFS(W1492 = 0, "0", W1492&lt;=20, "até R$20",W1492&lt;=40, "21 - R$40",W1492&lt;=60, "41- R$60",W1492&lt;=80, "61 - R$80", W1492&lt;=100, "81 - R$100",W1492&lt;=120, "101 - R$120",W1492&lt;=140, "121 - R$140", W1492&lt;=160, "141- R$160", W1492&lt;=180, "161 - R$180", W1492&lt;=200, "181-R$194")</f>
        <v>0</v>
      </c>
      <c r="Y1492" s="13">
        <v>30</v>
      </c>
      <c r="Z1492" s="13">
        <v>12</v>
      </c>
      <c r="AA1492" s="13">
        <v>1</v>
      </c>
      <c r="AB1492" s="13">
        <v>30</v>
      </c>
      <c r="AC1492" s="13">
        <v>1</v>
      </c>
      <c r="AD1492" s="13">
        <v>2</v>
      </c>
      <c r="AE1492" s="13">
        <v>0</v>
      </c>
      <c r="AF1492" s="13">
        <v>4</v>
      </c>
      <c r="AG1492" s="13">
        <v>6</v>
      </c>
      <c r="AH1492" s="13">
        <v>0</v>
      </c>
      <c r="AI1492" s="13">
        <v>0</v>
      </c>
      <c r="AJ1492" s="13">
        <v>0</v>
      </c>
      <c r="AK1492" s="13">
        <v>0</v>
      </c>
      <c r="AL1492" s="13">
        <v>0</v>
      </c>
      <c r="AM1492" s="13">
        <v>0</v>
      </c>
      <c r="AN1492" s="13">
        <v>0</v>
      </c>
      <c r="AO1492" s="14">
        <v>0</v>
      </c>
      <c r="AP1492" s="13">
        <v>3</v>
      </c>
      <c r="AQ1492" s="13">
        <v>11</v>
      </c>
      <c r="AR1492" s="15">
        <v>59</v>
      </c>
      <c r="AS1492" s="15">
        <v>89</v>
      </c>
    </row>
    <row r="1493" spans="1:45" x14ac:dyDescent="0.25">
      <c r="A1493">
        <v>1810</v>
      </c>
      <c r="B1493" s="11">
        <f t="shared" si="23"/>
        <v>41580</v>
      </c>
      <c r="C1493" s="12">
        <v>415800</v>
      </c>
      <c r="D1493" s="13">
        <v>1</v>
      </c>
      <c r="E1493" s="13">
        <v>1</v>
      </c>
      <c r="F1493" s="13">
        <v>15</v>
      </c>
      <c r="G1493" s="13">
        <v>42</v>
      </c>
      <c r="H1493" s="13" t="str" cm="1">
        <f t="array" ref="H1493">_xlfn.IFS(G1493&lt;=20,"0-20",G1493&lt;=30,"20-30",G1493&lt;=40,"30-40",G1493&lt;=50,"50-60",G1493&lt;=60,"60-70",G1493&lt;=70,"70-80",G1493&lt;=80,"80-90")</f>
        <v>50-60</v>
      </c>
      <c r="I1493" s="13">
        <v>2725</v>
      </c>
      <c r="J1493" s="13" t="str" cm="1">
        <f t="array" ref="J1493">_xlfn.IFS(K1493=1,"Divorciado",L1493=1,"Casado",M1493=1,"Solteiro",N1493=1,"Juntos",O1493=1,"Viuvo")</f>
        <v>Juntos</v>
      </c>
      <c r="K1493" s="13">
        <v>0</v>
      </c>
      <c r="L1493" s="13">
        <v>0</v>
      </c>
      <c r="M1493" s="13">
        <v>0</v>
      </c>
      <c r="N1493" s="13">
        <v>1</v>
      </c>
      <c r="O1493" s="13">
        <v>0</v>
      </c>
      <c r="P1493" s="13">
        <v>0</v>
      </c>
      <c r="Q1493" s="13">
        <v>0</v>
      </c>
      <c r="R1493" s="13">
        <v>1</v>
      </c>
      <c r="S1493" s="13">
        <v>0</v>
      </c>
      <c r="T1493" s="13">
        <v>0</v>
      </c>
      <c r="U1493" s="13">
        <v>56</v>
      </c>
      <c r="V1493" s="13" t="str" cm="1">
        <f t="array" ref="V1493">_xlfn.IFS(U1493&lt;=250,"0-R$250",U1493&lt;=500,"251-R$500",U1493&lt;=750,"501-R$750",U1493&lt;=1000,"751-R$1000",U1493&lt;=1250,"1001-R$1250",U1493&lt;=1500,"1251-R$1500")</f>
        <v>0-R$250</v>
      </c>
      <c r="W1493" s="13">
        <v>5</v>
      </c>
      <c r="X1493" s="13" t="str" cm="1">
        <f t="array" ref="X1493">_xlfn.IFS(W1493 = 0, "0", W1493&lt;=20, "até R$20",W1493&lt;=40, "21 - R$40",W1493&lt;=60, "41- R$60",W1493&lt;=80, "61 - R$80", W1493&lt;=100, "81 - R$100",W1493&lt;=120, "101 - R$120",W1493&lt;=140, "121 - R$140", W1493&lt;=160, "141- R$160", W1493&lt;=180, "161 - R$180", W1493&lt;=200, "181-R$194")</f>
        <v>até R$20</v>
      </c>
      <c r="Y1493" s="13">
        <v>24</v>
      </c>
      <c r="Z1493" s="13">
        <v>4</v>
      </c>
      <c r="AA1493" s="13">
        <v>0</v>
      </c>
      <c r="AB1493" s="13">
        <v>3</v>
      </c>
      <c r="AC1493" s="13">
        <v>3</v>
      </c>
      <c r="AD1493" s="13">
        <v>2</v>
      </c>
      <c r="AE1493" s="13">
        <v>1</v>
      </c>
      <c r="AF1493" s="13">
        <v>3</v>
      </c>
      <c r="AG1493" s="13">
        <v>5</v>
      </c>
      <c r="AH1493" s="13">
        <v>0</v>
      </c>
      <c r="AI1493" s="13">
        <v>0</v>
      </c>
      <c r="AJ1493" s="13">
        <v>0</v>
      </c>
      <c r="AK1493" s="13">
        <v>0</v>
      </c>
      <c r="AL1493" s="13">
        <v>0</v>
      </c>
      <c r="AM1493" s="13">
        <v>0</v>
      </c>
      <c r="AN1493" s="13">
        <v>0</v>
      </c>
      <c r="AO1493" s="14">
        <v>0</v>
      </c>
      <c r="AP1493" s="13">
        <v>3</v>
      </c>
      <c r="AQ1493" s="13">
        <v>11</v>
      </c>
      <c r="AR1493" s="15">
        <v>86</v>
      </c>
      <c r="AS1493" s="15">
        <v>89</v>
      </c>
    </row>
    <row r="1494" spans="1:45" x14ac:dyDescent="0.25">
      <c r="A1494">
        <v>975</v>
      </c>
      <c r="B1494" s="11">
        <f t="shared" si="23"/>
        <v>64587</v>
      </c>
      <c r="C1494" s="16">
        <v>645870</v>
      </c>
      <c r="D1494" s="17">
        <v>1</v>
      </c>
      <c r="E1494" s="17">
        <v>1</v>
      </c>
      <c r="F1494" s="17">
        <v>49</v>
      </c>
      <c r="G1494" s="17">
        <v>66</v>
      </c>
      <c r="H1494" s="13" t="str" cm="1">
        <f t="array" ref="H1494">_xlfn.IFS(G1494&lt;=20,"0-20",G1494&lt;=30,"20-30",G1494&lt;=40,"30-40",G1494&lt;=50,"50-60",G1494&lt;=60,"60-70",G1494&lt;=70,"70-80",G1494&lt;=80,"80-90")</f>
        <v>70-80</v>
      </c>
      <c r="I1494" s="17">
        <v>2166</v>
      </c>
      <c r="J1494" s="13" t="str" cm="1">
        <f t="array" ref="J1494">_xlfn.IFS(K1494=1,"Divorciado",L1494=1,"Casado",M1494=1,"Solteiro",N1494=1,"Juntos",O1494=1,"Viuvo")</f>
        <v>Divorciado</v>
      </c>
      <c r="K1494" s="17">
        <v>1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1</v>
      </c>
      <c r="S1494" s="17">
        <v>0</v>
      </c>
      <c r="T1494" s="17">
        <v>0</v>
      </c>
      <c r="U1494" s="17">
        <v>66</v>
      </c>
      <c r="V1494" s="13" t="str" cm="1">
        <f t="array" ref="V1494">_xlfn.IFS(U1494&lt;=250,"0-R$250",U1494&lt;=500,"251-R$500",U1494&lt;=750,"501-R$750",U1494&lt;=1000,"751-R$1000",U1494&lt;=1250,"1001-R$1250",U1494&lt;=1500,"1251-R$1500")</f>
        <v>0-R$250</v>
      </c>
      <c r="W1494" s="17">
        <v>0</v>
      </c>
      <c r="X1494" s="13" t="str" cm="1">
        <f t="array" ref="X1494">_xlfn.IFS(W1494 = 0, "0", W1494&lt;=20, "até R$20",W1494&lt;=40, "21 - R$40",W1494&lt;=60, "41- R$60",W1494&lt;=80, "61 - R$80", W1494&lt;=100, "81 - R$100",W1494&lt;=120, "101 - R$120",W1494&lt;=140, "121 - R$140", W1494&lt;=160, "141- R$160", W1494&lt;=180, "161 - R$180", W1494&lt;=200, "181-R$194")</f>
        <v>0</v>
      </c>
      <c r="Y1494" s="17">
        <v>16</v>
      </c>
      <c r="Z1494" s="17">
        <v>0</v>
      </c>
      <c r="AA1494" s="17">
        <v>6</v>
      </c>
      <c r="AB1494" s="17">
        <v>20</v>
      </c>
      <c r="AC1494" s="17">
        <v>2</v>
      </c>
      <c r="AD1494" s="17">
        <v>1</v>
      </c>
      <c r="AE1494" s="17">
        <v>1</v>
      </c>
      <c r="AF1494" s="17">
        <v>4</v>
      </c>
      <c r="AG1494" s="17">
        <v>3</v>
      </c>
      <c r="AH1494" s="17">
        <v>0</v>
      </c>
      <c r="AI1494" s="17">
        <v>0</v>
      </c>
      <c r="AJ1494" s="17">
        <v>0</v>
      </c>
      <c r="AK1494" s="17">
        <v>0</v>
      </c>
      <c r="AL1494" s="17">
        <v>0</v>
      </c>
      <c r="AM1494" s="17">
        <v>0</v>
      </c>
      <c r="AN1494" s="17">
        <v>0</v>
      </c>
      <c r="AO1494" s="18">
        <v>0</v>
      </c>
      <c r="AP1494" s="17">
        <v>3</v>
      </c>
      <c r="AQ1494" s="17">
        <v>11</v>
      </c>
      <c r="AR1494" s="19">
        <v>68</v>
      </c>
      <c r="AS1494" s="19">
        <v>88</v>
      </c>
    </row>
    <row r="1495" spans="1:45" x14ac:dyDescent="0.25">
      <c r="A1495">
        <v>1200</v>
      </c>
      <c r="B1495" s="11">
        <f t="shared" si="23"/>
        <v>34377</v>
      </c>
      <c r="C1495" s="12">
        <v>343770</v>
      </c>
      <c r="D1495" s="13">
        <v>0</v>
      </c>
      <c r="E1495" s="13">
        <v>1</v>
      </c>
      <c r="F1495" s="13">
        <v>55</v>
      </c>
      <c r="G1495" s="13">
        <v>57</v>
      </c>
      <c r="H1495" s="13" t="str" cm="1">
        <f t="array" ref="H1495">_xlfn.IFS(G1495&lt;=20,"0-20",G1495&lt;=30,"20-30",G1495&lt;=40,"30-40",G1495&lt;=50,"50-60",G1495&lt;=60,"60-70",G1495&lt;=70,"70-80",G1495&lt;=80,"80-90")</f>
        <v>60-70</v>
      </c>
      <c r="I1495" s="13">
        <v>2685</v>
      </c>
      <c r="J1495" s="13" t="str" cm="1">
        <f t="array" ref="J1495">_xlfn.IFS(K1495=1,"Divorciado",L1495=1,"Casado",M1495=1,"Solteiro",N1495=1,"Juntos",O1495=1,"Viuvo")</f>
        <v>Solteiro</v>
      </c>
      <c r="K1495" s="13">
        <v>0</v>
      </c>
      <c r="L1495" s="13">
        <v>0</v>
      </c>
      <c r="M1495" s="13">
        <v>1</v>
      </c>
      <c r="N1495" s="13">
        <v>0</v>
      </c>
      <c r="O1495" s="13">
        <v>0</v>
      </c>
      <c r="P1495" s="13">
        <v>0</v>
      </c>
      <c r="Q1495" s="13">
        <v>0</v>
      </c>
      <c r="R1495" s="13">
        <v>1</v>
      </c>
      <c r="S1495" s="13">
        <v>0</v>
      </c>
      <c r="T1495" s="13">
        <v>0</v>
      </c>
      <c r="U1495" s="13">
        <v>62</v>
      </c>
      <c r="V1495" s="13" t="str" cm="1">
        <f t="array" ref="V1495">_xlfn.IFS(U1495&lt;=250,"0-R$250",U1495&lt;=500,"251-R$500",U1495&lt;=750,"501-R$750",U1495&lt;=1000,"751-R$1000",U1495&lt;=1250,"1001-R$1250",U1495&lt;=1500,"1251-R$1500")</f>
        <v>0-R$250</v>
      </c>
      <c r="W1495" s="13">
        <v>0</v>
      </c>
      <c r="X1495" s="13" t="str" cm="1">
        <f t="array" ref="X1495">_xlfn.IFS(W1495 = 0, "0", W1495&lt;=20, "até R$20",W1495&lt;=40, "21 - R$40",W1495&lt;=60, "41- R$60",W1495&lt;=80, "61 - R$80", W1495&lt;=100, "81 - R$100",W1495&lt;=120, "101 - R$120",W1495&lt;=140, "121 - R$140", W1495&lt;=160, "141- R$160", W1495&lt;=180, "161 - R$180", W1495&lt;=200, "181-R$194")</f>
        <v>0</v>
      </c>
      <c r="Y1495" s="13">
        <v>22</v>
      </c>
      <c r="Z1495" s="13">
        <v>3</v>
      </c>
      <c r="AA1495" s="13">
        <v>1</v>
      </c>
      <c r="AB1495" s="13">
        <v>26</v>
      </c>
      <c r="AC1495" s="13">
        <v>2</v>
      </c>
      <c r="AD1495" s="13">
        <v>2</v>
      </c>
      <c r="AE1495" s="13">
        <v>2</v>
      </c>
      <c r="AF1495" s="13">
        <v>2</v>
      </c>
      <c r="AG1495" s="13">
        <v>7</v>
      </c>
      <c r="AH1495" s="13">
        <v>0</v>
      </c>
      <c r="AI1495" s="13">
        <v>0</v>
      </c>
      <c r="AJ1495" s="13">
        <v>0</v>
      </c>
      <c r="AK1495" s="13">
        <v>0</v>
      </c>
      <c r="AL1495" s="13">
        <v>0</v>
      </c>
      <c r="AM1495" s="13">
        <v>0</v>
      </c>
      <c r="AN1495" s="13">
        <v>0</v>
      </c>
      <c r="AO1495" s="14">
        <v>0</v>
      </c>
      <c r="AP1495" s="13">
        <v>3</v>
      </c>
      <c r="AQ1495" s="13">
        <v>11</v>
      </c>
      <c r="AR1495" s="15">
        <v>62</v>
      </c>
      <c r="AS1495" s="15">
        <v>88</v>
      </c>
    </row>
    <row r="1496" spans="1:45" x14ac:dyDescent="0.25">
      <c r="A1496">
        <v>1494</v>
      </c>
      <c r="B1496" s="11">
        <f t="shared" si="23"/>
        <v>37787</v>
      </c>
      <c r="C1496" s="12">
        <v>377870</v>
      </c>
      <c r="D1496" s="13">
        <v>1</v>
      </c>
      <c r="E1496" s="13">
        <v>0</v>
      </c>
      <c r="F1496" s="13">
        <v>50</v>
      </c>
      <c r="G1496" s="13">
        <v>48</v>
      </c>
      <c r="H1496" s="13" t="str" cm="1">
        <f t="array" ref="H1496">_xlfn.IFS(G1496&lt;=20,"0-20",G1496&lt;=30,"20-30",G1496&lt;=40,"30-40",G1496&lt;=50,"50-60",G1496&lt;=60,"60-70",G1496&lt;=70,"70-80",G1496&lt;=80,"80-90")</f>
        <v>50-60</v>
      </c>
      <c r="I1496" s="13">
        <v>2441</v>
      </c>
      <c r="J1496" s="13" t="str" cm="1">
        <f t="array" ref="J1496">_xlfn.IFS(K1496=1,"Divorciado",L1496=1,"Casado",M1496=1,"Solteiro",N1496=1,"Juntos",O1496=1,"Viuvo")</f>
        <v>Casado</v>
      </c>
      <c r="K1496" s="13">
        <v>0</v>
      </c>
      <c r="L1496" s="13">
        <v>1</v>
      </c>
      <c r="M1496" s="13">
        <v>0</v>
      </c>
      <c r="N1496" s="13">
        <v>0</v>
      </c>
      <c r="O1496" s="13">
        <v>0</v>
      </c>
      <c r="P1496" s="13">
        <v>0</v>
      </c>
      <c r="Q1496" s="13">
        <v>0</v>
      </c>
      <c r="R1496" s="13">
        <v>0</v>
      </c>
      <c r="S1496" s="13">
        <v>1</v>
      </c>
      <c r="T1496" s="13">
        <v>0</v>
      </c>
      <c r="U1496" s="13">
        <v>40</v>
      </c>
      <c r="V1496" s="13" t="str" cm="1">
        <f t="array" ref="V1496">_xlfn.IFS(U1496&lt;=250,"0-R$250",U1496&lt;=500,"251-R$500",U1496&lt;=750,"501-R$750",U1496&lt;=1000,"751-R$1000",U1496&lt;=1250,"1001-R$1250",U1496&lt;=1500,"1251-R$1500")</f>
        <v>0-R$250</v>
      </c>
      <c r="W1496" s="13">
        <v>1</v>
      </c>
      <c r="X1496" s="13" t="str" cm="1">
        <f t="array" ref="X1496">_xlfn.IFS(W1496 = 0, "0", W1496&lt;=20, "até R$20",W1496&lt;=40, "21 - R$40",W1496&lt;=60, "41- R$60",W1496&lt;=80, "61 - R$80", W1496&lt;=100, "81 - R$100",W1496&lt;=120, "101 - R$120",W1496&lt;=140, "121 - R$140", W1496&lt;=160, "141- R$160", W1496&lt;=180, "161 - R$180", W1496&lt;=200, "181-R$194")</f>
        <v>até R$20</v>
      </c>
      <c r="Y1496" s="13">
        <v>40</v>
      </c>
      <c r="Z1496" s="13">
        <v>4</v>
      </c>
      <c r="AA1496" s="13">
        <v>3</v>
      </c>
      <c r="AB1496" s="13">
        <v>18</v>
      </c>
      <c r="AC1496" s="13">
        <v>1</v>
      </c>
      <c r="AD1496" s="13">
        <v>3</v>
      </c>
      <c r="AE1496" s="13">
        <v>0</v>
      </c>
      <c r="AF1496" s="13">
        <v>3</v>
      </c>
      <c r="AG1496" s="13">
        <v>8</v>
      </c>
      <c r="AH1496" s="13">
        <v>0</v>
      </c>
      <c r="AI1496" s="13">
        <v>0</v>
      </c>
      <c r="AJ1496" s="13">
        <v>0</v>
      </c>
      <c r="AK1496" s="13">
        <v>0</v>
      </c>
      <c r="AL1496" s="13">
        <v>0</v>
      </c>
      <c r="AM1496" s="13">
        <v>0</v>
      </c>
      <c r="AN1496" s="13">
        <v>0</v>
      </c>
      <c r="AO1496" s="14">
        <v>0</v>
      </c>
      <c r="AP1496" s="13">
        <v>3</v>
      </c>
      <c r="AQ1496" s="13">
        <v>11</v>
      </c>
      <c r="AR1496" s="15">
        <v>70</v>
      </c>
      <c r="AS1496" s="15">
        <v>88</v>
      </c>
    </row>
    <row r="1497" spans="1:45" x14ac:dyDescent="0.25">
      <c r="A1497">
        <v>1570</v>
      </c>
      <c r="B1497" s="11">
        <f t="shared" si="23"/>
        <v>52569</v>
      </c>
      <c r="C1497" s="12">
        <v>525690</v>
      </c>
      <c r="D1497" s="13">
        <v>0</v>
      </c>
      <c r="E1497" s="13">
        <v>1</v>
      </c>
      <c r="F1497" s="13">
        <v>54</v>
      </c>
      <c r="G1497" s="13">
        <v>53</v>
      </c>
      <c r="H1497" s="13" t="str" cm="1">
        <f t="array" ref="H1497">_xlfn.IFS(G1497&lt;=20,"0-20",G1497&lt;=30,"20-30",G1497&lt;=40,"30-40",G1497&lt;=50,"50-60",G1497&lt;=60,"60-70",G1497&lt;=70,"70-80",G1497&lt;=80,"80-90")</f>
        <v>60-70</v>
      </c>
      <c r="I1497" s="13">
        <v>2244</v>
      </c>
      <c r="J1497" s="13" t="str" cm="1">
        <f t="array" ref="J1497">_xlfn.IFS(K1497=1,"Divorciado",L1497=1,"Casado",M1497=1,"Solteiro",N1497=1,"Juntos",O1497=1,"Viuvo")</f>
        <v>Solteiro</v>
      </c>
      <c r="K1497" s="13">
        <v>0</v>
      </c>
      <c r="L1497" s="13">
        <v>0</v>
      </c>
      <c r="M1497" s="13">
        <v>1</v>
      </c>
      <c r="N1497" s="13">
        <v>0</v>
      </c>
      <c r="O1497" s="13">
        <v>0</v>
      </c>
      <c r="P1497" s="13">
        <v>0</v>
      </c>
      <c r="Q1497" s="13">
        <v>0</v>
      </c>
      <c r="R1497" s="13">
        <v>0</v>
      </c>
      <c r="S1497" s="13">
        <v>0</v>
      </c>
      <c r="T1497" s="13">
        <v>1</v>
      </c>
      <c r="U1497" s="13">
        <v>85</v>
      </c>
      <c r="V1497" s="13" t="str" cm="1">
        <f t="array" ref="V1497">_xlfn.IFS(U1497&lt;=250,"0-R$250",U1497&lt;=500,"251-R$500",U1497&lt;=750,"501-R$750",U1497&lt;=1000,"751-R$1000",U1497&lt;=1250,"1001-R$1250",U1497&lt;=1500,"1251-R$1500")</f>
        <v>0-R$250</v>
      </c>
      <c r="W1497" s="13">
        <v>0</v>
      </c>
      <c r="X1497" s="13" t="str" cm="1">
        <f t="array" ref="X1497">_xlfn.IFS(W1497 = 0, "0", W1497&lt;=20, "até R$20",W1497&lt;=40, "21 - R$40",W1497&lt;=60, "41- R$60",W1497&lt;=80, "61 - R$80", W1497&lt;=100, "81 - R$100",W1497&lt;=120, "101 - R$120",W1497&lt;=140, "121 - R$140", W1497&lt;=160, "141- R$160", W1497&lt;=180, "161 - R$180", W1497&lt;=200, "181-R$194")</f>
        <v>0</v>
      </c>
      <c r="Y1497" s="13">
        <v>3</v>
      </c>
      <c r="Z1497" s="13">
        <v>0</v>
      </c>
      <c r="AA1497" s="13">
        <v>0</v>
      </c>
      <c r="AB1497" s="13">
        <v>7</v>
      </c>
      <c r="AC1497" s="13">
        <v>1</v>
      </c>
      <c r="AD1497" s="13">
        <v>2</v>
      </c>
      <c r="AE1497" s="13">
        <v>0</v>
      </c>
      <c r="AF1497" s="13">
        <v>4</v>
      </c>
      <c r="AG1497" s="13">
        <v>3</v>
      </c>
      <c r="AH1497" s="13">
        <v>0</v>
      </c>
      <c r="AI1497" s="13">
        <v>0</v>
      </c>
      <c r="AJ1497" s="13">
        <v>0</v>
      </c>
      <c r="AK1497" s="13">
        <v>0</v>
      </c>
      <c r="AL1497" s="13">
        <v>0</v>
      </c>
      <c r="AM1497" s="13">
        <v>0</v>
      </c>
      <c r="AN1497" s="13">
        <v>0</v>
      </c>
      <c r="AO1497" s="14">
        <v>0</v>
      </c>
      <c r="AP1497" s="13">
        <v>3</v>
      </c>
      <c r="AQ1497" s="13">
        <v>11</v>
      </c>
      <c r="AR1497" s="15">
        <v>81</v>
      </c>
      <c r="AS1497" s="15">
        <v>88</v>
      </c>
    </row>
    <row r="1498" spans="1:45" x14ac:dyDescent="0.25">
      <c r="A1498">
        <v>2117</v>
      </c>
      <c r="B1498" s="11">
        <f t="shared" si="23"/>
        <v>42769</v>
      </c>
      <c r="C1498" s="16">
        <v>427690</v>
      </c>
      <c r="D1498" s="17">
        <v>0</v>
      </c>
      <c r="E1498" s="17">
        <v>1</v>
      </c>
      <c r="F1498" s="17">
        <v>15</v>
      </c>
      <c r="G1498" s="17">
        <v>58</v>
      </c>
      <c r="H1498" s="13" t="str" cm="1">
        <f t="array" ref="H1498">_xlfn.IFS(G1498&lt;=20,"0-20",G1498&lt;=30,"20-30",G1498&lt;=40,"30-40",G1498&lt;=50,"50-60",G1498&lt;=60,"60-70",G1498&lt;=70,"70-80",G1498&lt;=80,"80-90")</f>
        <v>60-70</v>
      </c>
      <c r="I1498" s="17">
        <v>2419</v>
      </c>
      <c r="J1498" s="13" t="str" cm="1">
        <f t="array" ref="J1498">_xlfn.IFS(K1498=1,"Divorciado",L1498=1,"Casado",M1498=1,"Solteiro",N1498=1,"Juntos",O1498=1,"Viuvo")</f>
        <v>Casado</v>
      </c>
      <c r="K1498" s="17">
        <v>0</v>
      </c>
      <c r="L1498" s="17">
        <v>1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1</v>
      </c>
      <c r="U1498" s="17">
        <v>71</v>
      </c>
      <c r="V1498" s="13" t="str" cm="1">
        <f t="array" ref="V1498">_xlfn.IFS(U1498&lt;=250,"0-R$250",U1498&lt;=500,"251-R$500",U1498&lt;=750,"501-R$750",U1498&lt;=1000,"751-R$1000",U1498&lt;=1250,"1001-R$1250",U1498&lt;=1500,"1251-R$1500")</f>
        <v>0-R$250</v>
      </c>
      <c r="W1498" s="17">
        <v>0</v>
      </c>
      <c r="X1498" s="13" t="str" cm="1">
        <f t="array" ref="X1498">_xlfn.IFS(W1498 = 0, "0", W1498&lt;=20, "até R$20",W1498&lt;=40, "21 - R$40",W1498&lt;=60, "41- R$60",W1498&lt;=80, "61 - R$80", W1498&lt;=100, "81 - R$100",W1498&lt;=120, "101 - R$120",W1498&lt;=140, "121 - R$140", W1498&lt;=160, "141- R$160", W1498&lt;=180, "161 - R$180", W1498&lt;=200, "181-R$194")</f>
        <v>0</v>
      </c>
      <c r="Y1498" s="17">
        <v>13</v>
      </c>
      <c r="Z1498" s="17">
        <v>3</v>
      </c>
      <c r="AA1498" s="17">
        <v>1</v>
      </c>
      <c r="AB1498" s="17">
        <v>0</v>
      </c>
      <c r="AC1498" s="17">
        <v>2</v>
      </c>
      <c r="AD1498" s="17">
        <v>1</v>
      </c>
      <c r="AE1498" s="17">
        <v>1</v>
      </c>
      <c r="AF1498" s="17">
        <v>4</v>
      </c>
      <c r="AG1498" s="17">
        <v>4</v>
      </c>
      <c r="AH1498" s="17">
        <v>0</v>
      </c>
      <c r="AI1498" s="17">
        <v>0</v>
      </c>
      <c r="AJ1498" s="17">
        <v>0</v>
      </c>
      <c r="AK1498" s="17">
        <v>0</v>
      </c>
      <c r="AL1498" s="17">
        <v>0</v>
      </c>
      <c r="AM1498" s="17">
        <v>0</v>
      </c>
      <c r="AN1498" s="17">
        <v>0</v>
      </c>
      <c r="AO1498" s="18">
        <v>0</v>
      </c>
      <c r="AP1498" s="17">
        <v>3</v>
      </c>
      <c r="AQ1498" s="17">
        <v>11</v>
      </c>
      <c r="AR1498" s="19">
        <v>88</v>
      </c>
      <c r="AS1498" s="19">
        <v>88</v>
      </c>
    </row>
    <row r="1499" spans="1:45" x14ac:dyDescent="0.25">
      <c r="A1499">
        <v>107</v>
      </c>
      <c r="B1499" s="11">
        <f t="shared" si="23"/>
        <v>50785</v>
      </c>
      <c r="C1499" s="16">
        <v>507850</v>
      </c>
      <c r="D1499" s="17">
        <v>1</v>
      </c>
      <c r="E1499" s="17">
        <v>1</v>
      </c>
      <c r="F1499" s="17">
        <v>27</v>
      </c>
      <c r="G1499" s="17">
        <v>58</v>
      </c>
      <c r="H1499" s="13" t="str" cm="1">
        <f t="array" ref="H1499">_xlfn.IFS(G1499&lt;=20,"0-20",G1499&lt;=30,"20-30",G1499&lt;=40,"30-40",G1499&lt;=50,"50-60",G1499&lt;=60,"60-70",G1499&lt;=70,"70-80",G1499&lt;=80,"80-90")</f>
        <v>60-70</v>
      </c>
      <c r="I1499" s="17">
        <v>2451</v>
      </c>
      <c r="J1499" s="13" t="str" cm="1">
        <f t="array" ref="J1499">_xlfn.IFS(K1499=1,"Divorciado",L1499=1,"Casado",M1499=1,"Solteiro",N1499=1,"Juntos",O1499=1,"Viuvo")</f>
        <v>Solteiro</v>
      </c>
      <c r="K1499" s="17">
        <v>0</v>
      </c>
      <c r="L1499" s="17">
        <v>0</v>
      </c>
      <c r="M1499" s="17">
        <v>1</v>
      </c>
      <c r="N1499" s="17">
        <v>0</v>
      </c>
      <c r="O1499" s="17">
        <v>0</v>
      </c>
      <c r="P1499" s="17">
        <v>0</v>
      </c>
      <c r="Q1499" s="17">
        <v>0</v>
      </c>
      <c r="R1499" s="17">
        <v>1</v>
      </c>
      <c r="S1499" s="17">
        <v>0</v>
      </c>
      <c r="T1499" s="17">
        <v>0</v>
      </c>
      <c r="U1499" s="17">
        <v>64</v>
      </c>
      <c r="V1499" s="13" t="str" cm="1">
        <f t="array" ref="V1499">_xlfn.IFS(U1499&lt;=250,"0-R$250",U1499&lt;=500,"251-R$500",U1499&lt;=750,"501-R$750",U1499&lt;=1000,"751-R$1000",U1499&lt;=1250,"1001-R$1250",U1499&lt;=1500,"1251-R$1500")</f>
        <v>0-R$250</v>
      </c>
      <c r="W1499" s="17">
        <v>1</v>
      </c>
      <c r="X1499" s="13" t="str" cm="1">
        <f t="array" ref="X1499">_xlfn.IFS(W1499 = 0, "0", W1499&lt;=20, "até R$20",W1499&lt;=40, "21 - R$40",W1499&lt;=60, "41- R$60",W1499&lt;=80, "61 - R$80", W1499&lt;=100, "81 - R$100",W1499&lt;=120, "101 - R$120",W1499&lt;=140, "121 - R$140", W1499&lt;=160, "141- R$160", W1499&lt;=180, "161 - R$180", W1499&lt;=200, "181-R$194")</f>
        <v>até R$20</v>
      </c>
      <c r="Y1499" s="17">
        <v>21</v>
      </c>
      <c r="Z1499" s="17">
        <v>0</v>
      </c>
      <c r="AA1499" s="17">
        <v>1</v>
      </c>
      <c r="AB1499" s="17">
        <v>27</v>
      </c>
      <c r="AC1499" s="17">
        <v>2</v>
      </c>
      <c r="AD1499" s="17">
        <v>2</v>
      </c>
      <c r="AE1499" s="17">
        <v>1</v>
      </c>
      <c r="AF1499" s="17">
        <v>3</v>
      </c>
      <c r="AG1499" s="17">
        <v>6</v>
      </c>
      <c r="AH1499" s="17">
        <v>0</v>
      </c>
      <c r="AI1499" s="17">
        <v>0</v>
      </c>
      <c r="AJ1499" s="17">
        <v>0</v>
      </c>
      <c r="AK1499" s="17">
        <v>0</v>
      </c>
      <c r="AL1499" s="17">
        <v>0</v>
      </c>
      <c r="AM1499" s="17">
        <v>0</v>
      </c>
      <c r="AN1499" s="17">
        <v>0</v>
      </c>
      <c r="AO1499" s="18">
        <v>0</v>
      </c>
      <c r="AP1499" s="17">
        <v>3</v>
      </c>
      <c r="AQ1499" s="17">
        <v>11</v>
      </c>
      <c r="AR1499" s="19">
        <v>60</v>
      </c>
      <c r="AS1499" s="19">
        <v>87</v>
      </c>
    </row>
    <row r="1500" spans="1:45" x14ac:dyDescent="0.25">
      <c r="A1500">
        <v>162</v>
      </c>
      <c r="B1500" s="11">
        <f t="shared" si="23"/>
        <v>53537</v>
      </c>
      <c r="C1500" s="12">
        <v>535370</v>
      </c>
      <c r="D1500" s="13">
        <v>1</v>
      </c>
      <c r="E1500" s="13">
        <v>1</v>
      </c>
      <c r="F1500" s="13">
        <v>17</v>
      </c>
      <c r="G1500" s="13">
        <v>61</v>
      </c>
      <c r="H1500" s="13" t="str" cm="1">
        <f t="array" ref="H1500">_xlfn.IFS(G1500&lt;=20,"0-20",G1500&lt;=30,"20-30",G1500&lt;=40,"30-40",G1500&lt;=50,"50-60",G1500&lt;=60,"60-70",G1500&lt;=70,"70-80",G1500&lt;=80,"80-90")</f>
        <v>70-80</v>
      </c>
      <c r="I1500" s="13">
        <v>2309</v>
      </c>
      <c r="J1500" s="13" t="str" cm="1">
        <f t="array" ref="J1500">_xlfn.IFS(K1500=1,"Divorciado",L1500=1,"Casado",M1500=1,"Solteiro",N1500=1,"Juntos",O1500=1,"Viuvo")</f>
        <v>Juntos</v>
      </c>
      <c r="K1500" s="13">
        <v>0</v>
      </c>
      <c r="L1500" s="13">
        <v>0</v>
      </c>
      <c r="M1500" s="13">
        <v>0</v>
      </c>
      <c r="N1500" s="13">
        <v>1</v>
      </c>
      <c r="O1500" s="13">
        <v>0</v>
      </c>
      <c r="P1500" s="13">
        <v>0</v>
      </c>
      <c r="Q1500" s="13">
        <v>0</v>
      </c>
      <c r="R1500" s="13">
        <v>0</v>
      </c>
      <c r="S1500" s="13">
        <v>0</v>
      </c>
      <c r="T1500" s="13">
        <v>1</v>
      </c>
      <c r="U1500" s="13">
        <v>81</v>
      </c>
      <c r="V1500" s="13" t="str" cm="1">
        <f t="array" ref="V1500">_xlfn.IFS(U1500&lt;=250,"0-R$250",U1500&lt;=500,"251-R$500",U1500&lt;=750,"501-R$750",U1500&lt;=1000,"751-R$1000",U1500&lt;=1250,"1001-R$1250",U1500&lt;=1500,"1251-R$1500")</f>
        <v>0-R$250</v>
      </c>
      <c r="W1500" s="13">
        <v>0</v>
      </c>
      <c r="X1500" s="13" t="str" cm="1">
        <f t="array" ref="X1500">_xlfn.IFS(W1500 = 0, "0", W1500&lt;=20, "até R$20",W1500&lt;=40, "21 - R$40",W1500&lt;=60, "41- R$60",W1500&lt;=80, "61 - R$80", W1500&lt;=100, "81 - R$100",W1500&lt;=120, "101 - R$120",W1500&lt;=140, "121 - R$140", W1500&lt;=160, "141- R$160", W1500&lt;=180, "161 - R$180", W1500&lt;=200, "181-R$194")</f>
        <v>0</v>
      </c>
      <c r="Y1500" s="13">
        <v>6</v>
      </c>
      <c r="Z1500" s="13">
        <v>0</v>
      </c>
      <c r="AA1500" s="13">
        <v>0</v>
      </c>
      <c r="AB1500" s="13">
        <v>6</v>
      </c>
      <c r="AC1500" s="13">
        <v>2</v>
      </c>
      <c r="AD1500" s="13">
        <v>2</v>
      </c>
      <c r="AE1500" s="13">
        <v>1</v>
      </c>
      <c r="AF1500" s="13">
        <v>3</v>
      </c>
      <c r="AG1500" s="13">
        <v>5</v>
      </c>
      <c r="AH1500" s="13">
        <v>0</v>
      </c>
      <c r="AI1500" s="13">
        <v>0</v>
      </c>
      <c r="AJ1500" s="13">
        <v>0</v>
      </c>
      <c r="AK1500" s="13">
        <v>0</v>
      </c>
      <c r="AL1500" s="13">
        <v>0</v>
      </c>
      <c r="AM1500" s="13">
        <v>0</v>
      </c>
      <c r="AN1500" s="13">
        <v>0</v>
      </c>
      <c r="AO1500" s="14">
        <v>0</v>
      </c>
      <c r="AP1500" s="13">
        <v>3</v>
      </c>
      <c r="AQ1500" s="13">
        <v>11</v>
      </c>
      <c r="AR1500" s="15">
        <v>81</v>
      </c>
      <c r="AS1500" s="15">
        <v>87</v>
      </c>
    </row>
    <row r="1501" spans="1:45" x14ac:dyDescent="0.25">
      <c r="A1501">
        <v>757</v>
      </c>
      <c r="B1501" s="11">
        <f t="shared" si="23"/>
        <v>40760</v>
      </c>
      <c r="C1501" s="16">
        <v>407600</v>
      </c>
      <c r="D1501" s="17">
        <v>0</v>
      </c>
      <c r="E1501" s="17">
        <v>1</v>
      </c>
      <c r="F1501" s="17">
        <v>64</v>
      </c>
      <c r="G1501" s="17">
        <v>55</v>
      </c>
      <c r="H1501" s="13" t="str" cm="1">
        <f t="array" ref="H1501">_xlfn.IFS(G1501&lt;=20,"0-20",G1501&lt;=30,"20-30",G1501&lt;=40,"30-40",G1501&lt;=50,"50-60",G1501&lt;=60,"60-70",G1501&lt;=70,"70-80",G1501&lt;=80,"80-90")</f>
        <v>60-70</v>
      </c>
      <c r="I1501" s="17">
        <v>2462</v>
      </c>
      <c r="J1501" s="13" t="str" cm="1">
        <f t="array" ref="J1501">_xlfn.IFS(K1501=1,"Divorciado",L1501=1,"Casado",M1501=1,"Solteiro",N1501=1,"Juntos",O1501=1,"Viuvo")</f>
        <v>Solteiro</v>
      </c>
      <c r="K1501" s="17">
        <v>0</v>
      </c>
      <c r="L1501" s="17">
        <v>0</v>
      </c>
      <c r="M1501" s="17">
        <v>1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1</v>
      </c>
      <c r="U1501" s="17">
        <v>70</v>
      </c>
      <c r="V1501" s="13" t="str" cm="1">
        <f t="array" ref="V1501">_xlfn.IFS(U1501&lt;=250,"0-R$250",U1501&lt;=500,"251-R$500",U1501&lt;=750,"501-R$750",U1501&lt;=1000,"751-R$1000",U1501&lt;=1250,"1001-R$1250",U1501&lt;=1500,"1251-R$1500")</f>
        <v>0-R$250</v>
      </c>
      <c r="W1501" s="17">
        <v>0</v>
      </c>
      <c r="X1501" s="13" t="str" cm="1">
        <f t="array" ref="X1501">_xlfn.IFS(W1501 = 0, "0", W1501&lt;=20, "até R$20",W1501&lt;=40, "21 - R$40",W1501&lt;=60, "41- R$60",W1501&lt;=80, "61 - R$80", W1501&lt;=100, "81 - R$100",W1501&lt;=120, "101 - R$120",W1501&lt;=140, "121 - R$140", W1501&lt;=160, "141- R$160", W1501&lt;=180, "161 - R$180", W1501&lt;=200, "181-R$194")</f>
        <v>0</v>
      </c>
      <c r="Y1501" s="17">
        <v>17</v>
      </c>
      <c r="Z1501" s="17">
        <v>0</v>
      </c>
      <c r="AA1501" s="17">
        <v>0</v>
      </c>
      <c r="AB1501" s="17">
        <v>6</v>
      </c>
      <c r="AC1501" s="17">
        <v>2</v>
      </c>
      <c r="AD1501" s="17">
        <v>2</v>
      </c>
      <c r="AE1501" s="17">
        <v>1</v>
      </c>
      <c r="AF1501" s="17">
        <v>3</v>
      </c>
      <c r="AG1501" s="17">
        <v>6</v>
      </c>
      <c r="AH1501" s="17">
        <v>0</v>
      </c>
      <c r="AI1501" s="17">
        <v>0</v>
      </c>
      <c r="AJ1501" s="17">
        <v>0</v>
      </c>
      <c r="AK1501" s="17">
        <v>0</v>
      </c>
      <c r="AL1501" s="17">
        <v>0</v>
      </c>
      <c r="AM1501" s="17">
        <v>0</v>
      </c>
      <c r="AN1501" s="17">
        <v>0</v>
      </c>
      <c r="AO1501" s="18">
        <v>0</v>
      </c>
      <c r="AP1501" s="17">
        <v>3</v>
      </c>
      <c r="AQ1501" s="17">
        <v>11</v>
      </c>
      <c r="AR1501" s="19">
        <v>81</v>
      </c>
      <c r="AS1501" s="19">
        <v>87</v>
      </c>
    </row>
    <row r="1502" spans="1:45" x14ac:dyDescent="0.25">
      <c r="A1502">
        <v>1453</v>
      </c>
      <c r="B1502" s="11">
        <f t="shared" si="23"/>
        <v>59892</v>
      </c>
      <c r="C1502" s="16">
        <v>598920</v>
      </c>
      <c r="D1502" s="17">
        <v>0</v>
      </c>
      <c r="E1502" s="17">
        <v>1</v>
      </c>
      <c r="F1502" s="17">
        <v>26</v>
      </c>
      <c r="G1502" s="17">
        <v>50</v>
      </c>
      <c r="H1502" s="13" t="str" cm="1">
        <f t="array" ref="H1502">_xlfn.IFS(G1502&lt;=20,"0-20",G1502&lt;=30,"20-30",G1502&lt;=40,"30-40",G1502&lt;=50,"50-60",G1502&lt;=60,"60-70",G1502&lt;=70,"70-80",G1502&lt;=80,"80-90")</f>
        <v>50-60</v>
      </c>
      <c r="I1502" s="17">
        <v>2398</v>
      </c>
      <c r="J1502" s="13" t="str" cm="1">
        <f t="array" ref="J1502">_xlfn.IFS(K1502=1,"Divorciado",L1502=1,"Casado",M1502=1,"Solteiro",N1502=1,"Juntos",O1502=1,"Viuvo")</f>
        <v>Casado</v>
      </c>
      <c r="K1502" s="17">
        <v>0</v>
      </c>
      <c r="L1502" s="17">
        <v>1</v>
      </c>
      <c r="M1502" s="17">
        <v>0</v>
      </c>
      <c r="N1502" s="17">
        <v>0</v>
      </c>
      <c r="O1502" s="17">
        <v>0</v>
      </c>
      <c r="P1502" s="17">
        <v>0</v>
      </c>
      <c r="Q1502" s="17">
        <v>0</v>
      </c>
      <c r="R1502" s="17">
        <v>0</v>
      </c>
      <c r="S1502" s="17">
        <v>0</v>
      </c>
      <c r="T1502" s="17">
        <v>1</v>
      </c>
      <c r="U1502" s="17">
        <v>73</v>
      </c>
      <c r="V1502" s="13" t="str" cm="1">
        <f t="array" ref="V1502">_xlfn.IFS(U1502&lt;=250,"0-R$250",U1502&lt;=500,"251-R$500",U1502&lt;=750,"501-R$750",U1502&lt;=1000,"751-R$1000",U1502&lt;=1250,"1001-R$1250",U1502&lt;=1500,"1251-R$1500")</f>
        <v>0-R$250</v>
      </c>
      <c r="W1502" s="17">
        <v>0</v>
      </c>
      <c r="X1502" s="13" t="str" cm="1">
        <f t="array" ref="X1502">_xlfn.IFS(W1502 = 0, "0", W1502&lt;=20, "até R$20",W1502&lt;=40, "21 - R$40",W1502&lt;=60, "41- R$60",W1502&lt;=80, "61 - R$80", W1502&lt;=100, "81 - R$100",W1502&lt;=120, "101 - R$120",W1502&lt;=140, "121 - R$140", W1502&lt;=160, "141- R$160", W1502&lt;=180, "161 - R$180", W1502&lt;=200, "181-R$194")</f>
        <v>0</v>
      </c>
      <c r="Y1502" s="17">
        <v>13</v>
      </c>
      <c r="Z1502" s="17">
        <v>0</v>
      </c>
      <c r="AA1502" s="17">
        <v>1</v>
      </c>
      <c r="AB1502" s="17">
        <v>0</v>
      </c>
      <c r="AC1502" s="17">
        <v>1</v>
      </c>
      <c r="AD1502" s="17">
        <v>2</v>
      </c>
      <c r="AE1502" s="17">
        <v>1</v>
      </c>
      <c r="AF1502" s="17">
        <v>3</v>
      </c>
      <c r="AG1502" s="17">
        <v>3</v>
      </c>
      <c r="AH1502" s="17">
        <v>0</v>
      </c>
      <c r="AI1502" s="17">
        <v>0</v>
      </c>
      <c r="AJ1502" s="17">
        <v>0</v>
      </c>
      <c r="AK1502" s="17">
        <v>0</v>
      </c>
      <c r="AL1502" s="17">
        <v>0</v>
      </c>
      <c r="AM1502" s="17">
        <v>0</v>
      </c>
      <c r="AN1502" s="17">
        <v>0</v>
      </c>
      <c r="AO1502" s="18">
        <v>0</v>
      </c>
      <c r="AP1502" s="17">
        <v>3</v>
      </c>
      <c r="AQ1502" s="17">
        <v>11</v>
      </c>
      <c r="AR1502" s="19">
        <v>87</v>
      </c>
      <c r="AS1502" s="19">
        <v>87</v>
      </c>
    </row>
    <row r="1503" spans="1:45" x14ac:dyDescent="0.25">
      <c r="A1503">
        <v>2133</v>
      </c>
      <c r="B1503" s="11">
        <f t="shared" si="23"/>
        <v>31560</v>
      </c>
      <c r="C1503" s="16">
        <v>315600</v>
      </c>
      <c r="D1503" s="17">
        <v>1</v>
      </c>
      <c r="E1503" s="17">
        <v>0</v>
      </c>
      <c r="F1503" s="17">
        <v>98</v>
      </c>
      <c r="G1503" s="17">
        <v>46</v>
      </c>
      <c r="H1503" s="13" t="str" cm="1">
        <f t="array" ref="H1503">_xlfn.IFS(G1503&lt;=20,"0-20",G1503&lt;=30,"20-30",G1503&lt;=40,"30-40",G1503&lt;=50,"50-60",G1503&lt;=60,"60-70",G1503&lt;=70,"70-80",G1503&lt;=80,"80-90")</f>
        <v>50-60</v>
      </c>
      <c r="I1503" s="17">
        <v>2529</v>
      </c>
      <c r="J1503" s="13" t="str" cm="1">
        <f t="array" ref="J1503">_xlfn.IFS(K1503=1,"Divorciado",L1503=1,"Casado",M1503=1,"Solteiro",N1503=1,"Juntos",O1503=1,"Viuvo")</f>
        <v>Solteiro</v>
      </c>
      <c r="K1503" s="17">
        <v>0</v>
      </c>
      <c r="L1503" s="17">
        <v>0</v>
      </c>
      <c r="M1503" s="17">
        <v>1</v>
      </c>
      <c r="N1503" s="17">
        <v>0</v>
      </c>
      <c r="O1503" s="17">
        <v>0</v>
      </c>
      <c r="P1503" s="17">
        <v>0</v>
      </c>
      <c r="Q1503" s="17">
        <v>0</v>
      </c>
      <c r="R1503" s="17">
        <v>0</v>
      </c>
      <c r="S1503" s="17">
        <v>0</v>
      </c>
      <c r="T1503" s="17">
        <v>1</v>
      </c>
      <c r="U1503" s="17">
        <v>62</v>
      </c>
      <c r="V1503" s="13" t="str" cm="1">
        <f t="array" ref="V1503">_xlfn.IFS(U1503&lt;=250,"0-R$250",U1503&lt;=500,"251-R$500",U1503&lt;=750,"501-R$750",U1503&lt;=1000,"751-R$1000",U1503&lt;=1250,"1001-R$1250",U1503&lt;=1500,"1251-R$1500")</f>
        <v>0-R$250</v>
      </c>
      <c r="W1503" s="17">
        <v>1</v>
      </c>
      <c r="X1503" s="13" t="str" cm="1">
        <f t="array" ref="X1503">_xlfn.IFS(W1503 = 0, "0", W1503&lt;=20, "até R$20",W1503&lt;=40, "21 - R$40",W1503&lt;=60, "41- R$60",W1503&lt;=80, "61 - R$80", W1503&lt;=100, "81 - R$100",W1503&lt;=120, "101 - R$120",W1503&lt;=140, "121 - R$140", W1503&lt;=160, "141- R$160", W1503&lt;=180, "161 - R$180", W1503&lt;=200, "181-R$194")</f>
        <v>até R$20</v>
      </c>
      <c r="Y1503" s="17">
        <v>20</v>
      </c>
      <c r="Z1503" s="17">
        <v>4</v>
      </c>
      <c r="AA1503" s="17">
        <v>0</v>
      </c>
      <c r="AB1503" s="17">
        <v>7</v>
      </c>
      <c r="AC1503" s="17">
        <v>2</v>
      </c>
      <c r="AD1503" s="17">
        <v>2</v>
      </c>
      <c r="AE1503" s="17">
        <v>1</v>
      </c>
      <c r="AF1503" s="17">
        <v>3</v>
      </c>
      <c r="AG1503" s="17">
        <v>8</v>
      </c>
      <c r="AH1503" s="17">
        <v>0</v>
      </c>
      <c r="AI1503" s="17">
        <v>0</v>
      </c>
      <c r="AJ1503" s="17">
        <v>0</v>
      </c>
      <c r="AK1503" s="17">
        <v>0</v>
      </c>
      <c r="AL1503" s="17">
        <v>0</v>
      </c>
      <c r="AM1503" s="17">
        <v>0</v>
      </c>
      <c r="AN1503" s="17">
        <v>0</v>
      </c>
      <c r="AO1503" s="18">
        <v>0</v>
      </c>
      <c r="AP1503" s="17">
        <v>3</v>
      </c>
      <c r="AQ1503" s="17">
        <v>11</v>
      </c>
      <c r="AR1503" s="19">
        <v>80</v>
      </c>
      <c r="AS1503" s="19">
        <v>87</v>
      </c>
    </row>
    <row r="1504" spans="1:45" x14ac:dyDescent="0.25">
      <c r="A1504">
        <v>119</v>
      </c>
      <c r="B1504" s="11">
        <f t="shared" si="23"/>
        <v>54348</v>
      </c>
      <c r="C1504" s="16">
        <v>543480</v>
      </c>
      <c r="D1504" s="17">
        <v>1</v>
      </c>
      <c r="E1504" s="17">
        <v>1</v>
      </c>
      <c r="F1504" s="17">
        <v>51</v>
      </c>
      <c r="G1504" s="17">
        <v>67</v>
      </c>
      <c r="H1504" s="13" t="str" cm="1">
        <f t="array" ref="H1504">_xlfn.IFS(G1504&lt;=20,"0-20",G1504&lt;=30,"20-30",G1504&lt;=40,"30-40",G1504&lt;=50,"50-60",G1504&lt;=60,"60-70",G1504&lt;=70,"70-80",G1504&lt;=80,"80-90")</f>
        <v>70-80</v>
      </c>
      <c r="I1504" s="17">
        <v>2180</v>
      </c>
      <c r="J1504" s="13" t="str" cm="1">
        <f t="array" ref="J1504">_xlfn.IFS(K1504=1,"Divorciado",L1504=1,"Casado",M1504=1,"Solteiro",N1504=1,"Juntos",O1504=1,"Viuvo")</f>
        <v>Casado</v>
      </c>
      <c r="K1504" s="17">
        <v>0</v>
      </c>
      <c r="L1504" s="17">
        <v>1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1</v>
      </c>
      <c r="T1504" s="17">
        <v>0</v>
      </c>
      <c r="U1504" s="17">
        <v>70</v>
      </c>
      <c r="V1504" s="13" t="str" cm="1">
        <f t="array" ref="V1504">_xlfn.IFS(U1504&lt;=250,"0-R$250",U1504&lt;=500,"251-R$500",U1504&lt;=750,"501-R$750",U1504&lt;=1000,"751-R$1000",U1504&lt;=1250,"1001-R$1250",U1504&lt;=1500,"1251-R$1500")</f>
        <v>0-R$250</v>
      </c>
      <c r="W1504" s="17">
        <v>0</v>
      </c>
      <c r="X1504" s="13" t="str" cm="1">
        <f t="array" ref="X1504">_xlfn.IFS(W1504 = 0, "0", W1504&lt;=20, "até R$20",W1504&lt;=40, "21 - R$40",W1504&lt;=60, "41- R$60",W1504&lt;=80, "61 - R$80", W1504&lt;=100, "81 - R$100",W1504&lt;=120, "101 - R$120",W1504&lt;=140, "121 - R$140", W1504&lt;=160, "141- R$160", W1504&lt;=180, "161 - R$180", W1504&lt;=200, "181-R$194")</f>
        <v>0</v>
      </c>
      <c r="Y1504" s="17">
        <v>16</v>
      </c>
      <c r="Z1504" s="17">
        <v>0</v>
      </c>
      <c r="AA1504" s="17">
        <v>0</v>
      </c>
      <c r="AB1504" s="17">
        <v>4</v>
      </c>
      <c r="AC1504" s="17">
        <v>2</v>
      </c>
      <c r="AD1504" s="17">
        <v>2</v>
      </c>
      <c r="AE1504" s="17">
        <v>0</v>
      </c>
      <c r="AF1504" s="17">
        <v>4</v>
      </c>
      <c r="AG1504" s="17">
        <v>6</v>
      </c>
      <c r="AH1504" s="17">
        <v>0</v>
      </c>
      <c r="AI1504" s="17">
        <v>0</v>
      </c>
      <c r="AJ1504" s="17">
        <v>0</v>
      </c>
      <c r="AK1504" s="17">
        <v>0</v>
      </c>
      <c r="AL1504" s="17">
        <v>0</v>
      </c>
      <c r="AM1504" s="17">
        <v>0</v>
      </c>
      <c r="AN1504" s="17">
        <v>0</v>
      </c>
      <c r="AO1504" s="18">
        <v>0</v>
      </c>
      <c r="AP1504" s="17">
        <v>3</v>
      </c>
      <c r="AQ1504" s="17">
        <v>11</v>
      </c>
      <c r="AR1504" s="19">
        <v>82</v>
      </c>
      <c r="AS1504" s="19">
        <v>86</v>
      </c>
    </row>
    <row r="1505" spans="1:45" x14ac:dyDescent="0.25">
      <c r="A1505">
        <v>267</v>
      </c>
      <c r="B1505" s="11">
        <f t="shared" si="23"/>
        <v>24480</v>
      </c>
      <c r="C1505" s="16">
        <v>244800</v>
      </c>
      <c r="D1505" s="17">
        <v>1</v>
      </c>
      <c r="E1505" s="17">
        <v>0</v>
      </c>
      <c r="F1505" s="17">
        <v>46</v>
      </c>
      <c r="G1505" s="17">
        <v>39</v>
      </c>
      <c r="H1505" s="13" t="str" cm="1">
        <f t="array" ref="H1505">_xlfn.IFS(G1505&lt;=20,"0-20",G1505&lt;=30,"20-30",G1505&lt;=40,"30-40",G1505&lt;=50,"50-60",G1505&lt;=60,"60-70",G1505&lt;=70,"70-80",G1505&lt;=80,"80-90")</f>
        <v>30-40</v>
      </c>
      <c r="I1505" s="17">
        <v>2662</v>
      </c>
      <c r="J1505" s="13" t="str" cm="1">
        <f t="array" ref="J1505">_xlfn.IFS(K1505=1,"Divorciado",L1505=1,"Casado",M1505=1,"Solteiro",N1505=1,"Juntos",O1505=1,"Viuvo")</f>
        <v>Casado</v>
      </c>
      <c r="K1505" s="17">
        <v>0</v>
      </c>
      <c r="L1505" s="17">
        <v>1</v>
      </c>
      <c r="M1505" s="17">
        <v>0</v>
      </c>
      <c r="N1505" s="17">
        <v>0</v>
      </c>
      <c r="O1505" s="17">
        <v>0</v>
      </c>
      <c r="P1505" s="17">
        <v>0</v>
      </c>
      <c r="Q1505" s="17">
        <v>1</v>
      </c>
      <c r="R1505" s="17">
        <v>0</v>
      </c>
      <c r="S1505" s="17">
        <v>0</v>
      </c>
      <c r="T1505" s="17">
        <v>0</v>
      </c>
      <c r="U1505" s="17">
        <v>4</v>
      </c>
      <c r="V1505" s="13" t="str" cm="1">
        <f t="array" ref="V1505">_xlfn.IFS(U1505&lt;=250,"0-R$250",U1505&lt;=500,"251-R$500",U1505&lt;=750,"501-R$750",U1505&lt;=1000,"751-R$1000",U1505&lt;=1250,"1001-R$1250",U1505&lt;=1500,"1251-R$1500")</f>
        <v>0-R$250</v>
      </c>
      <c r="W1505" s="17">
        <v>19</v>
      </c>
      <c r="X1505" s="13" t="str" cm="1">
        <f t="array" ref="X1505">_xlfn.IFS(W1505 = 0, "0", W1505&lt;=20, "até R$20",W1505&lt;=40, "21 - R$40",W1505&lt;=60, "41- R$60",W1505&lt;=80, "61 - R$80", W1505&lt;=100, "81 - R$100",W1505&lt;=120, "101 - R$120",W1505&lt;=140, "121 - R$140", W1505&lt;=160, "141- R$160", W1505&lt;=180, "161 - R$180", W1505&lt;=200, "181-R$194")</f>
        <v>até R$20</v>
      </c>
      <c r="Y1505" s="17">
        <v>9</v>
      </c>
      <c r="Z1505" s="17">
        <v>28</v>
      </c>
      <c r="AA1505" s="17">
        <v>25</v>
      </c>
      <c r="AB1505" s="17">
        <v>17</v>
      </c>
      <c r="AC1505" s="17">
        <v>3</v>
      </c>
      <c r="AD1505" s="17">
        <v>3</v>
      </c>
      <c r="AE1505" s="17">
        <v>0</v>
      </c>
      <c r="AF1505" s="17">
        <v>4</v>
      </c>
      <c r="AG1505" s="17">
        <v>7</v>
      </c>
      <c r="AH1505" s="17">
        <v>0</v>
      </c>
      <c r="AI1505" s="17">
        <v>0</v>
      </c>
      <c r="AJ1505" s="17">
        <v>0</v>
      </c>
      <c r="AK1505" s="17">
        <v>0</v>
      </c>
      <c r="AL1505" s="17">
        <v>0</v>
      </c>
      <c r="AM1505" s="17">
        <v>0</v>
      </c>
      <c r="AN1505" s="17">
        <v>0</v>
      </c>
      <c r="AO1505" s="18">
        <v>0</v>
      </c>
      <c r="AP1505" s="17">
        <v>3</v>
      </c>
      <c r="AQ1505" s="17">
        <v>11</v>
      </c>
      <c r="AR1505" s="19">
        <v>68</v>
      </c>
      <c r="AS1505" s="19">
        <v>85</v>
      </c>
    </row>
    <row r="1506" spans="1:45" x14ac:dyDescent="0.25">
      <c r="A1506">
        <v>359</v>
      </c>
      <c r="B1506" s="11">
        <f t="shared" si="23"/>
        <v>46098</v>
      </c>
      <c r="C1506" s="16">
        <v>460980</v>
      </c>
      <c r="D1506" s="17">
        <v>1</v>
      </c>
      <c r="E1506" s="17">
        <v>1</v>
      </c>
      <c r="F1506" s="17">
        <v>86</v>
      </c>
      <c r="G1506" s="17">
        <v>45</v>
      </c>
      <c r="H1506" s="13" t="str" cm="1">
        <f t="array" ref="H1506">_xlfn.IFS(G1506&lt;=20,"0-20",G1506&lt;=30,"20-30",G1506&lt;=40,"30-40",G1506&lt;=50,"50-60",G1506&lt;=60,"60-70",G1506&lt;=70,"70-80",G1506&lt;=80,"80-90")</f>
        <v>50-60</v>
      </c>
      <c r="I1506" s="17">
        <v>2839</v>
      </c>
      <c r="J1506" s="13" t="str" cm="1">
        <f t="array" ref="J1506">_xlfn.IFS(K1506=1,"Divorciado",L1506=1,"Casado",M1506=1,"Solteiro",N1506=1,"Juntos",O1506=1,"Viuvo")</f>
        <v>Solteiro</v>
      </c>
      <c r="K1506" s="17">
        <v>0</v>
      </c>
      <c r="L1506" s="17">
        <v>0</v>
      </c>
      <c r="M1506" s="17">
        <v>1</v>
      </c>
      <c r="N1506" s="17">
        <v>0</v>
      </c>
      <c r="O1506" s="17">
        <v>0</v>
      </c>
      <c r="P1506" s="17">
        <v>0</v>
      </c>
      <c r="Q1506" s="17">
        <v>0</v>
      </c>
      <c r="R1506" s="17">
        <v>0</v>
      </c>
      <c r="S1506" s="17">
        <v>1</v>
      </c>
      <c r="T1506" s="17">
        <v>0</v>
      </c>
      <c r="U1506" s="17">
        <v>57</v>
      </c>
      <c r="V1506" s="13" t="str" cm="1">
        <f t="array" ref="V1506">_xlfn.IFS(U1506&lt;=250,"0-R$250",U1506&lt;=500,"251-R$500",U1506&lt;=750,"501-R$750",U1506&lt;=1000,"751-R$1000",U1506&lt;=1250,"1001-R$1250",U1506&lt;=1500,"1251-R$1500")</f>
        <v>0-R$250</v>
      </c>
      <c r="W1506" s="17">
        <v>0</v>
      </c>
      <c r="X1506" s="13" t="str" cm="1">
        <f t="array" ref="X1506">_xlfn.IFS(W1506 = 0, "0", W1506&lt;=20, "até R$20",W1506&lt;=40, "21 - R$40",W1506&lt;=60, "41- R$60",W1506&lt;=80, "61 - R$80", W1506&lt;=100, "81 - R$100",W1506&lt;=120, "101 - R$120",W1506&lt;=140, "121 - R$140", W1506&lt;=160, "141- R$160", W1506&lt;=180, "161 - R$180", W1506&lt;=200, "181-R$194")</f>
        <v>0</v>
      </c>
      <c r="Y1506" s="17">
        <v>27</v>
      </c>
      <c r="Z1506" s="17">
        <v>0</v>
      </c>
      <c r="AA1506" s="17">
        <v>0</v>
      </c>
      <c r="AB1506" s="17">
        <v>36</v>
      </c>
      <c r="AC1506" s="17">
        <v>4</v>
      </c>
      <c r="AD1506" s="17">
        <v>3</v>
      </c>
      <c r="AE1506" s="17">
        <v>2</v>
      </c>
      <c r="AF1506" s="17">
        <v>2</v>
      </c>
      <c r="AG1506" s="17">
        <v>8</v>
      </c>
      <c r="AH1506" s="17">
        <v>0</v>
      </c>
      <c r="AI1506" s="17">
        <v>0</v>
      </c>
      <c r="AJ1506" s="17">
        <v>0</v>
      </c>
      <c r="AK1506" s="17">
        <v>0</v>
      </c>
      <c r="AL1506" s="17">
        <v>0</v>
      </c>
      <c r="AM1506" s="17">
        <v>0</v>
      </c>
      <c r="AN1506" s="17">
        <v>0</v>
      </c>
      <c r="AO1506" s="18">
        <v>0</v>
      </c>
      <c r="AP1506" s="17">
        <v>3</v>
      </c>
      <c r="AQ1506" s="17">
        <v>11</v>
      </c>
      <c r="AR1506" s="19">
        <v>48</v>
      </c>
      <c r="AS1506" s="19">
        <v>84</v>
      </c>
    </row>
    <row r="1507" spans="1:45" x14ac:dyDescent="0.25">
      <c r="A1507">
        <v>1018</v>
      </c>
      <c r="B1507" s="11">
        <f t="shared" si="23"/>
        <v>46423</v>
      </c>
      <c r="C1507" s="12">
        <v>464230</v>
      </c>
      <c r="D1507" s="13">
        <v>1</v>
      </c>
      <c r="E1507" s="13">
        <v>1</v>
      </c>
      <c r="F1507" s="13">
        <v>6</v>
      </c>
      <c r="G1507" s="13">
        <v>48</v>
      </c>
      <c r="H1507" s="13" t="str" cm="1">
        <f t="array" ref="H1507">_xlfn.IFS(G1507&lt;=20,"0-20",G1507&lt;=30,"20-30",G1507&lt;=40,"30-40",G1507&lt;=50,"50-60",G1507&lt;=60,"60-70",G1507&lt;=70,"70-80",G1507&lt;=80,"80-90")</f>
        <v>50-60</v>
      </c>
      <c r="I1507" s="13">
        <v>2443</v>
      </c>
      <c r="J1507" s="13" t="str" cm="1">
        <f t="array" ref="J1507">_xlfn.IFS(K1507=1,"Divorciado",L1507=1,"Casado",M1507=1,"Solteiro",N1507=1,"Juntos",O1507=1,"Viuvo")</f>
        <v>Solteiro</v>
      </c>
      <c r="K1507" s="13">
        <v>0</v>
      </c>
      <c r="L1507" s="13">
        <v>0</v>
      </c>
      <c r="M1507" s="13">
        <v>1</v>
      </c>
      <c r="N1507" s="13">
        <v>0</v>
      </c>
      <c r="O1507" s="13">
        <v>0</v>
      </c>
      <c r="P1507" s="13">
        <v>0</v>
      </c>
      <c r="Q1507" s="13">
        <v>0</v>
      </c>
      <c r="R1507" s="13">
        <v>0</v>
      </c>
      <c r="S1507" s="13">
        <v>1</v>
      </c>
      <c r="T1507" s="13">
        <v>0</v>
      </c>
      <c r="U1507" s="13">
        <v>68</v>
      </c>
      <c r="V1507" s="13" t="str" cm="1">
        <f t="array" ref="V1507">_xlfn.IFS(U1507&lt;=250,"0-R$250",U1507&lt;=500,"251-R$500",U1507&lt;=750,"501-R$750",U1507&lt;=1000,"751-R$1000",U1507&lt;=1250,"1001-R$1250",U1507&lt;=1500,"1251-R$1500")</f>
        <v>0-R$250</v>
      </c>
      <c r="W1507" s="13">
        <v>0</v>
      </c>
      <c r="X1507" s="13" t="str" cm="1">
        <f t="array" ref="X1507">_xlfn.IFS(W1507 = 0, "0", W1507&lt;=20, "até R$20",W1507&lt;=40, "21 - R$40",W1507&lt;=60, "41- R$60",W1507&lt;=80, "61 - R$80", W1507&lt;=100, "81 - R$100",W1507&lt;=120, "101 - R$120",W1507&lt;=140, "121 - R$140", W1507&lt;=160, "141- R$160", W1507&lt;=180, "161 - R$180", W1507&lt;=200, "181-R$194")</f>
        <v>0</v>
      </c>
      <c r="Y1507" s="13">
        <v>16</v>
      </c>
      <c r="Z1507" s="13">
        <v>0</v>
      </c>
      <c r="AA1507" s="13">
        <v>0</v>
      </c>
      <c r="AB1507" s="13">
        <v>8</v>
      </c>
      <c r="AC1507" s="13">
        <v>3</v>
      </c>
      <c r="AD1507" s="13">
        <v>2</v>
      </c>
      <c r="AE1507" s="13">
        <v>0</v>
      </c>
      <c r="AF1507" s="13">
        <v>4</v>
      </c>
      <c r="AG1507" s="13">
        <v>7</v>
      </c>
      <c r="AH1507" s="13">
        <v>0</v>
      </c>
      <c r="AI1507" s="13">
        <v>0</v>
      </c>
      <c r="AJ1507" s="13">
        <v>0</v>
      </c>
      <c r="AK1507" s="13">
        <v>0</v>
      </c>
      <c r="AL1507" s="13">
        <v>0</v>
      </c>
      <c r="AM1507" s="13">
        <v>0</v>
      </c>
      <c r="AN1507" s="13">
        <v>0</v>
      </c>
      <c r="AO1507" s="14">
        <v>0</v>
      </c>
      <c r="AP1507" s="13">
        <v>3</v>
      </c>
      <c r="AQ1507" s="13">
        <v>11</v>
      </c>
      <c r="AR1507" s="15">
        <v>76</v>
      </c>
      <c r="AS1507" s="15">
        <v>84</v>
      </c>
    </row>
    <row r="1508" spans="1:45" x14ac:dyDescent="0.25">
      <c r="A1508">
        <v>1205</v>
      </c>
      <c r="B1508" s="11">
        <f t="shared" si="23"/>
        <v>33438</v>
      </c>
      <c r="C1508" s="16">
        <v>334380</v>
      </c>
      <c r="D1508" s="17">
        <v>1</v>
      </c>
      <c r="E1508" s="17">
        <v>1</v>
      </c>
      <c r="F1508" s="17">
        <v>81</v>
      </c>
      <c r="G1508" s="17">
        <v>62</v>
      </c>
      <c r="H1508" s="13" t="str" cm="1">
        <f t="array" ref="H1508">_xlfn.IFS(G1508&lt;=20,"0-20",G1508&lt;=30,"20-30",G1508&lt;=40,"30-40",G1508&lt;=50,"50-60",G1508&lt;=60,"60-70",G1508&lt;=70,"70-80",G1508&lt;=80,"80-90")</f>
        <v>70-80</v>
      </c>
      <c r="I1508" s="17">
        <v>2439</v>
      </c>
      <c r="J1508" s="13" t="str" cm="1">
        <f t="array" ref="J1508">_xlfn.IFS(K1508=1,"Divorciado",L1508=1,"Casado",M1508=1,"Solteiro",N1508=1,"Juntos",O1508=1,"Viuvo")</f>
        <v>Viuvo</v>
      </c>
      <c r="K1508" s="17">
        <v>0</v>
      </c>
      <c r="L1508" s="17">
        <v>0</v>
      </c>
      <c r="M1508" s="17">
        <v>0</v>
      </c>
      <c r="N1508" s="17">
        <v>0</v>
      </c>
      <c r="O1508" s="17">
        <v>1</v>
      </c>
      <c r="P1508" s="17">
        <v>0</v>
      </c>
      <c r="Q1508" s="17">
        <v>0</v>
      </c>
      <c r="R1508" s="17">
        <v>0</v>
      </c>
      <c r="S1508" s="17">
        <v>0</v>
      </c>
      <c r="T1508" s="17">
        <v>1</v>
      </c>
      <c r="U1508" s="17">
        <v>62</v>
      </c>
      <c r="V1508" s="13" t="str" cm="1">
        <f t="array" ref="V1508">_xlfn.IFS(U1508&lt;=250,"0-R$250",U1508&lt;=500,"251-R$500",U1508&lt;=750,"501-R$750",U1508&lt;=1000,"751-R$1000",U1508&lt;=1250,"1001-R$1250",U1508&lt;=1500,"1251-R$1500")</f>
        <v>0-R$250</v>
      </c>
      <c r="W1508" s="17">
        <v>1</v>
      </c>
      <c r="X1508" s="13" t="str" cm="1">
        <f t="array" ref="X1508">_xlfn.IFS(W1508 = 0, "0", W1508&lt;=20, "até R$20",W1508&lt;=40, "21 - R$40",W1508&lt;=60, "41- R$60",W1508&lt;=80, "61 - R$80", W1508&lt;=100, "81 - R$100",W1508&lt;=120, "101 - R$120",W1508&lt;=140, "121 - R$140", W1508&lt;=160, "141- R$160", W1508&lt;=180, "161 - R$180", W1508&lt;=200, "181-R$194")</f>
        <v>até R$20</v>
      </c>
      <c r="Y1508" s="17">
        <v>16</v>
      </c>
      <c r="Z1508" s="17">
        <v>3</v>
      </c>
      <c r="AA1508" s="17">
        <v>2</v>
      </c>
      <c r="AB1508" s="17">
        <v>6</v>
      </c>
      <c r="AC1508" s="17">
        <v>4</v>
      </c>
      <c r="AD1508" s="17">
        <v>2</v>
      </c>
      <c r="AE1508" s="17">
        <v>1</v>
      </c>
      <c r="AF1508" s="17">
        <v>4</v>
      </c>
      <c r="AG1508" s="17">
        <v>5</v>
      </c>
      <c r="AH1508" s="17">
        <v>0</v>
      </c>
      <c r="AI1508" s="17">
        <v>0</v>
      </c>
      <c r="AJ1508" s="17">
        <v>0</v>
      </c>
      <c r="AK1508" s="17">
        <v>0</v>
      </c>
      <c r="AL1508" s="17">
        <v>0</v>
      </c>
      <c r="AM1508" s="17">
        <v>0</v>
      </c>
      <c r="AN1508" s="17">
        <v>0</v>
      </c>
      <c r="AO1508" s="18">
        <v>0</v>
      </c>
      <c r="AP1508" s="17">
        <v>3</v>
      </c>
      <c r="AQ1508" s="17">
        <v>11</v>
      </c>
      <c r="AR1508" s="19">
        <v>78</v>
      </c>
      <c r="AS1508" s="19">
        <v>84</v>
      </c>
    </row>
    <row r="1509" spans="1:45" x14ac:dyDescent="0.25">
      <c r="A1509">
        <v>1487</v>
      </c>
      <c r="B1509" s="11">
        <f t="shared" si="23"/>
        <v>46098</v>
      </c>
      <c r="C1509" s="16">
        <v>460980</v>
      </c>
      <c r="D1509" s="17">
        <v>1</v>
      </c>
      <c r="E1509" s="17">
        <v>1</v>
      </c>
      <c r="F1509" s="17">
        <v>86</v>
      </c>
      <c r="G1509" s="17">
        <v>45</v>
      </c>
      <c r="H1509" s="13" t="str" cm="1">
        <f t="array" ref="H1509">_xlfn.IFS(G1509&lt;=20,"0-20",G1509&lt;=30,"20-30",G1509&lt;=40,"30-40",G1509&lt;=50,"50-60",G1509&lt;=60,"60-70",G1509&lt;=70,"70-80",G1509&lt;=80,"80-90")</f>
        <v>50-60</v>
      </c>
      <c r="I1509" s="17">
        <v>2839</v>
      </c>
      <c r="J1509" s="13" t="str" cm="1">
        <f t="array" ref="J1509">_xlfn.IFS(K1509=1,"Divorciado",L1509=1,"Casado",M1509=1,"Solteiro",N1509=1,"Juntos",O1509=1,"Viuvo")</f>
        <v>Solteiro</v>
      </c>
      <c r="K1509" s="17">
        <v>0</v>
      </c>
      <c r="L1509" s="17">
        <v>0</v>
      </c>
      <c r="M1509" s="17">
        <v>1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1</v>
      </c>
      <c r="T1509" s="17">
        <v>0</v>
      </c>
      <c r="U1509" s="17">
        <v>57</v>
      </c>
      <c r="V1509" s="13" t="str" cm="1">
        <f t="array" ref="V1509">_xlfn.IFS(U1509&lt;=250,"0-R$250",U1509&lt;=500,"251-R$500",U1509&lt;=750,"501-R$750",U1509&lt;=1000,"751-R$1000",U1509&lt;=1250,"1001-R$1250",U1509&lt;=1500,"1251-R$1500")</f>
        <v>0-R$250</v>
      </c>
      <c r="W1509" s="17">
        <v>0</v>
      </c>
      <c r="X1509" s="13" t="str" cm="1">
        <f t="array" ref="X1509">_xlfn.IFS(W1509 = 0, "0", W1509&lt;=20, "até R$20",W1509&lt;=40, "21 - R$40",W1509&lt;=60, "41- R$60",W1509&lt;=80, "61 - R$80", W1509&lt;=100, "81 - R$100",W1509&lt;=120, "101 - R$120",W1509&lt;=140, "121 - R$140", W1509&lt;=160, "141- R$160", W1509&lt;=180, "161 - R$180", W1509&lt;=200, "181-R$194")</f>
        <v>0</v>
      </c>
      <c r="Y1509" s="17">
        <v>27</v>
      </c>
      <c r="Z1509" s="17">
        <v>0</v>
      </c>
      <c r="AA1509" s="17">
        <v>0</v>
      </c>
      <c r="AB1509" s="17">
        <v>36</v>
      </c>
      <c r="AC1509" s="17">
        <v>4</v>
      </c>
      <c r="AD1509" s="17">
        <v>3</v>
      </c>
      <c r="AE1509" s="17">
        <v>2</v>
      </c>
      <c r="AF1509" s="17">
        <v>2</v>
      </c>
      <c r="AG1509" s="17">
        <v>8</v>
      </c>
      <c r="AH1509" s="17">
        <v>0</v>
      </c>
      <c r="AI1509" s="17">
        <v>0</v>
      </c>
      <c r="AJ1509" s="17">
        <v>0</v>
      </c>
      <c r="AK1509" s="17">
        <v>0</v>
      </c>
      <c r="AL1509" s="17">
        <v>0</v>
      </c>
      <c r="AM1509" s="17">
        <v>0</v>
      </c>
      <c r="AN1509" s="17">
        <v>0</v>
      </c>
      <c r="AO1509" s="18">
        <v>0</v>
      </c>
      <c r="AP1509" s="17">
        <v>3</v>
      </c>
      <c r="AQ1509" s="17">
        <v>11</v>
      </c>
      <c r="AR1509" s="19">
        <v>48</v>
      </c>
      <c r="AS1509" s="19">
        <v>84</v>
      </c>
    </row>
    <row r="1510" spans="1:45" x14ac:dyDescent="0.25">
      <c r="A1510">
        <v>1509</v>
      </c>
      <c r="B1510" s="11">
        <f t="shared" si="23"/>
        <v>46098</v>
      </c>
      <c r="C1510" s="16">
        <v>460980</v>
      </c>
      <c r="D1510" s="17">
        <v>1</v>
      </c>
      <c r="E1510" s="17">
        <v>1</v>
      </c>
      <c r="F1510" s="17">
        <v>86</v>
      </c>
      <c r="G1510" s="17">
        <v>45</v>
      </c>
      <c r="H1510" s="13" t="str" cm="1">
        <f t="array" ref="H1510">_xlfn.IFS(G1510&lt;=20,"0-20",G1510&lt;=30,"20-30",G1510&lt;=40,"30-40",G1510&lt;=50,"50-60",G1510&lt;=60,"60-70",G1510&lt;=70,"70-80",G1510&lt;=80,"80-90")</f>
        <v>50-60</v>
      </c>
      <c r="I1510" s="17">
        <v>2839</v>
      </c>
      <c r="J1510" s="13" t="str" cm="1">
        <f t="array" ref="J1510">_xlfn.IFS(K1510=1,"Divorciado",L1510=1,"Casado",M1510=1,"Solteiro",N1510=1,"Juntos",O1510=1,"Viuvo")</f>
        <v>Solteiro</v>
      </c>
      <c r="K1510" s="17">
        <v>0</v>
      </c>
      <c r="L1510" s="17">
        <v>0</v>
      </c>
      <c r="M1510" s="17">
        <v>1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1</v>
      </c>
      <c r="T1510" s="17">
        <v>0</v>
      </c>
      <c r="U1510" s="17">
        <v>57</v>
      </c>
      <c r="V1510" s="13" t="str" cm="1">
        <f t="array" ref="V1510">_xlfn.IFS(U1510&lt;=250,"0-R$250",U1510&lt;=500,"251-R$500",U1510&lt;=750,"501-R$750",U1510&lt;=1000,"751-R$1000",U1510&lt;=1250,"1001-R$1250",U1510&lt;=1500,"1251-R$1500")</f>
        <v>0-R$250</v>
      </c>
      <c r="W1510" s="17">
        <v>0</v>
      </c>
      <c r="X1510" s="13" t="str" cm="1">
        <f t="array" ref="X1510">_xlfn.IFS(W1510 = 0, "0", W1510&lt;=20, "até R$20",W1510&lt;=40, "21 - R$40",W1510&lt;=60, "41- R$60",W1510&lt;=80, "61 - R$80", W1510&lt;=100, "81 - R$100",W1510&lt;=120, "101 - R$120",W1510&lt;=140, "121 - R$140", W1510&lt;=160, "141- R$160", W1510&lt;=180, "161 - R$180", W1510&lt;=200, "181-R$194")</f>
        <v>0</v>
      </c>
      <c r="Y1510" s="17">
        <v>27</v>
      </c>
      <c r="Z1510" s="17">
        <v>0</v>
      </c>
      <c r="AA1510" s="17">
        <v>0</v>
      </c>
      <c r="AB1510" s="17">
        <v>36</v>
      </c>
      <c r="AC1510" s="17">
        <v>4</v>
      </c>
      <c r="AD1510" s="17">
        <v>3</v>
      </c>
      <c r="AE1510" s="17">
        <v>2</v>
      </c>
      <c r="AF1510" s="17">
        <v>2</v>
      </c>
      <c r="AG1510" s="17">
        <v>8</v>
      </c>
      <c r="AH1510" s="17">
        <v>0</v>
      </c>
      <c r="AI1510" s="17">
        <v>0</v>
      </c>
      <c r="AJ1510" s="17">
        <v>0</v>
      </c>
      <c r="AK1510" s="17">
        <v>0</v>
      </c>
      <c r="AL1510" s="17">
        <v>0</v>
      </c>
      <c r="AM1510" s="17">
        <v>0</v>
      </c>
      <c r="AN1510" s="17">
        <v>1</v>
      </c>
      <c r="AO1510" s="18">
        <v>0</v>
      </c>
      <c r="AP1510" s="17">
        <v>3</v>
      </c>
      <c r="AQ1510" s="17">
        <v>11</v>
      </c>
      <c r="AR1510" s="19">
        <v>48</v>
      </c>
      <c r="AS1510" s="19">
        <v>84</v>
      </c>
    </row>
    <row r="1511" spans="1:45" x14ac:dyDescent="0.25">
      <c r="A1511">
        <v>1979</v>
      </c>
      <c r="B1511" s="11">
        <f t="shared" si="23"/>
        <v>46423</v>
      </c>
      <c r="C1511" s="16">
        <v>464230</v>
      </c>
      <c r="D1511" s="17">
        <v>1</v>
      </c>
      <c r="E1511" s="17">
        <v>1</v>
      </c>
      <c r="F1511" s="17">
        <v>6</v>
      </c>
      <c r="G1511" s="17">
        <v>48</v>
      </c>
      <c r="H1511" s="13" t="str" cm="1">
        <f t="array" ref="H1511">_xlfn.IFS(G1511&lt;=20,"0-20",G1511&lt;=30,"20-30",G1511&lt;=40,"30-40",G1511&lt;=50,"50-60",G1511&lt;=60,"60-70",G1511&lt;=70,"70-80",G1511&lt;=80,"80-90")</f>
        <v>50-60</v>
      </c>
      <c r="I1511" s="17">
        <v>2443</v>
      </c>
      <c r="J1511" s="13" t="str" cm="1">
        <f t="array" ref="J1511">_xlfn.IFS(K1511=1,"Divorciado",L1511=1,"Casado",M1511=1,"Solteiro",N1511=1,"Juntos",O1511=1,"Viuvo")</f>
        <v>Solteiro</v>
      </c>
      <c r="K1511" s="17">
        <v>0</v>
      </c>
      <c r="L1511" s="17">
        <v>0</v>
      </c>
      <c r="M1511" s="17">
        <v>1</v>
      </c>
      <c r="N1511" s="17">
        <v>0</v>
      </c>
      <c r="O1511" s="17">
        <v>0</v>
      </c>
      <c r="P1511" s="17">
        <v>0</v>
      </c>
      <c r="Q1511" s="17">
        <v>0</v>
      </c>
      <c r="R1511" s="17">
        <v>0</v>
      </c>
      <c r="S1511" s="17">
        <v>1</v>
      </c>
      <c r="T1511" s="17">
        <v>0</v>
      </c>
      <c r="U1511" s="17">
        <v>68</v>
      </c>
      <c r="V1511" s="13" t="str" cm="1">
        <f t="array" ref="V1511">_xlfn.IFS(U1511&lt;=250,"0-R$250",U1511&lt;=500,"251-R$500",U1511&lt;=750,"501-R$750",U1511&lt;=1000,"751-R$1000",U1511&lt;=1250,"1001-R$1250",U1511&lt;=1500,"1251-R$1500")</f>
        <v>0-R$250</v>
      </c>
      <c r="W1511" s="17">
        <v>0</v>
      </c>
      <c r="X1511" s="13" t="str" cm="1">
        <f t="array" ref="X1511">_xlfn.IFS(W1511 = 0, "0", W1511&lt;=20, "até R$20",W1511&lt;=40, "21 - R$40",W1511&lt;=60, "41- R$60",W1511&lt;=80, "61 - R$80", W1511&lt;=100, "81 - R$100",W1511&lt;=120, "101 - R$120",W1511&lt;=140, "121 - R$140", W1511&lt;=160, "141- R$160", W1511&lt;=180, "161 - R$180", W1511&lt;=200, "181-R$194")</f>
        <v>0</v>
      </c>
      <c r="Y1511" s="17">
        <v>16</v>
      </c>
      <c r="Z1511" s="17">
        <v>0</v>
      </c>
      <c r="AA1511" s="17">
        <v>0</v>
      </c>
      <c r="AB1511" s="17">
        <v>8</v>
      </c>
      <c r="AC1511" s="17">
        <v>3</v>
      </c>
      <c r="AD1511" s="17">
        <v>2</v>
      </c>
      <c r="AE1511" s="17">
        <v>0</v>
      </c>
      <c r="AF1511" s="17">
        <v>4</v>
      </c>
      <c r="AG1511" s="17">
        <v>7</v>
      </c>
      <c r="AH1511" s="17">
        <v>0</v>
      </c>
      <c r="AI1511" s="17">
        <v>0</v>
      </c>
      <c r="AJ1511" s="17">
        <v>0</v>
      </c>
      <c r="AK1511" s="17">
        <v>0</v>
      </c>
      <c r="AL1511" s="17">
        <v>0</v>
      </c>
      <c r="AM1511" s="17">
        <v>0</v>
      </c>
      <c r="AN1511" s="17">
        <v>0</v>
      </c>
      <c r="AO1511" s="18">
        <v>0</v>
      </c>
      <c r="AP1511" s="17">
        <v>3</v>
      </c>
      <c r="AQ1511" s="17">
        <v>11</v>
      </c>
      <c r="AR1511" s="19">
        <v>76</v>
      </c>
      <c r="AS1511" s="19">
        <v>84</v>
      </c>
    </row>
    <row r="1512" spans="1:45" x14ac:dyDescent="0.25">
      <c r="A1512">
        <v>448</v>
      </c>
      <c r="B1512" s="11">
        <f t="shared" si="23"/>
        <v>33183</v>
      </c>
      <c r="C1512" s="12">
        <v>331830</v>
      </c>
      <c r="D1512" s="13">
        <v>1</v>
      </c>
      <c r="E1512" s="13">
        <v>0</v>
      </c>
      <c r="F1512" s="13">
        <v>46</v>
      </c>
      <c r="G1512" s="13">
        <v>45</v>
      </c>
      <c r="H1512" s="13" t="str" cm="1">
        <f t="array" ref="H1512">_xlfn.IFS(G1512&lt;=20,"0-20",G1512&lt;=30,"20-30",G1512&lt;=40,"30-40",G1512&lt;=50,"50-60",G1512&lt;=60,"60-70",G1512&lt;=70,"70-80",G1512&lt;=80,"80-90")</f>
        <v>50-60</v>
      </c>
      <c r="I1512" s="13">
        <v>2284</v>
      </c>
      <c r="J1512" s="13" t="str" cm="1">
        <f t="array" ref="J1512">_xlfn.IFS(K1512=1,"Divorciado",L1512=1,"Casado",M1512=1,"Solteiro",N1512=1,"Juntos",O1512=1,"Viuvo")</f>
        <v>Casado</v>
      </c>
      <c r="K1512" s="13">
        <v>0</v>
      </c>
      <c r="L1512" s="13">
        <v>1</v>
      </c>
      <c r="M1512" s="13">
        <v>0</v>
      </c>
      <c r="N1512" s="13">
        <v>0</v>
      </c>
      <c r="O1512" s="13">
        <v>0</v>
      </c>
      <c r="P1512" s="13">
        <v>0</v>
      </c>
      <c r="Q1512" s="13">
        <v>0</v>
      </c>
      <c r="R1512" s="13">
        <v>1</v>
      </c>
      <c r="S1512" s="13">
        <v>0</v>
      </c>
      <c r="T1512" s="13">
        <v>0</v>
      </c>
      <c r="U1512" s="13">
        <v>7</v>
      </c>
      <c r="V1512" s="13" t="str" cm="1">
        <f t="array" ref="V1512">_xlfn.IFS(U1512&lt;=250,"0-R$250",U1512&lt;=500,"251-R$500",U1512&lt;=750,"501-R$750",U1512&lt;=1000,"751-R$1000",U1512&lt;=1250,"1001-R$1250",U1512&lt;=1500,"1251-R$1500")</f>
        <v>0-R$250</v>
      </c>
      <c r="W1512" s="13">
        <v>5</v>
      </c>
      <c r="X1512" s="13" t="str" cm="1">
        <f t="array" ref="X1512">_xlfn.IFS(W1512 = 0, "0", W1512&lt;=20, "até R$20",W1512&lt;=40, "21 - R$40",W1512&lt;=60, "41- R$60",W1512&lt;=80, "61 - R$80", W1512&lt;=100, "81 - R$100",W1512&lt;=120, "101 - R$120",W1512&lt;=140, "121 - R$140", W1512&lt;=160, "141- R$160", W1512&lt;=180, "161 - R$180", W1512&lt;=200, "181-R$194")</f>
        <v>até R$20</v>
      </c>
      <c r="Y1512" s="13">
        <v>39</v>
      </c>
      <c r="Z1512" s="13">
        <v>17</v>
      </c>
      <c r="AA1512" s="13">
        <v>15</v>
      </c>
      <c r="AB1512" s="13">
        <v>37</v>
      </c>
      <c r="AC1512" s="13">
        <v>2</v>
      </c>
      <c r="AD1512" s="13">
        <v>4</v>
      </c>
      <c r="AE1512" s="13">
        <v>0</v>
      </c>
      <c r="AF1512" s="13">
        <v>3</v>
      </c>
      <c r="AG1512" s="13">
        <v>7</v>
      </c>
      <c r="AH1512" s="13">
        <v>0</v>
      </c>
      <c r="AI1512" s="13">
        <v>0</v>
      </c>
      <c r="AJ1512" s="13">
        <v>0</v>
      </c>
      <c r="AK1512" s="13">
        <v>0</v>
      </c>
      <c r="AL1512" s="13">
        <v>0</v>
      </c>
      <c r="AM1512" s="13">
        <v>0</v>
      </c>
      <c r="AN1512" s="13">
        <v>0</v>
      </c>
      <c r="AO1512" s="14">
        <v>0</v>
      </c>
      <c r="AP1512" s="13">
        <v>3</v>
      </c>
      <c r="AQ1512" s="13">
        <v>11</v>
      </c>
      <c r="AR1512" s="15">
        <v>46</v>
      </c>
      <c r="AS1512" s="15">
        <v>83</v>
      </c>
    </row>
    <row r="1513" spans="1:45" x14ac:dyDescent="0.25">
      <c r="A1513">
        <v>740</v>
      </c>
      <c r="B1513" s="11">
        <f t="shared" si="23"/>
        <v>38829</v>
      </c>
      <c r="C1513" s="12">
        <v>388290</v>
      </c>
      <c r="D1513" s="13">
        <v>0</v>
      </c>
      <c r="E1513" s="13">
        <v>1</v>
      </c>
      <c r="F1513" s="13">
        <v>86</v>
      </c>
      <c r="G1513" s="13">
        <v>61</v>
      </c>
      <c r="H1513" s="13" t="str" cm="1">
        <f t="array" ref="H1513">_xlfn.IFS(G1513&lt;=20,"0-20",G1513&lt;=30,"20-30",G1513&lt;=40,"30-40",G1513&lt;=50,"50-60",G1513&lt;=60,"60-70",G1513&lt;=70,"70-80",G1513&lt;=80,"80-90")</f>
        <v>70-80</v>
      </c>
      <c r="I1513" s="13">
        <v>2243</v>
      </c>
      <c r="J1513" s="13" t="str" cm="1">
        <f t="array" ref="J1513">_xlfn.IFS(K1513=1,"Divorciado",L1513=1,"Casado",M1513=1,"Solteiro",N1513=1,"Juntos",O1513=1,"Viuvo")</f>
        <v>Casado</v>
      </c>
      <c r="K1513" s="13">
        <v>0</v>
      </c>
      <c r="L1513" s="13">
        <v>1</v>
      </c>
      <c r="M1513" s="13">
        <v>0</v>
      </c>
      <c r="N1513" s="13">
        <v>0</v>
      </c>
      <c r="O1513" s="13">
        <v>0</v>
      </c>
      <c r="P1513" s="13">
        <v>0</v>
      </c>
      <c r="Q1513" s="13">
        <v>0</v>
      </c>
      <c r="R1513" s="13">
        <v>0</v>
      </c>
      <c r="S1513" s="13">
        <v>0</v>
      </c>
      <c r="T1513" s="13">
        <v>1</v>
      </c>
      <c r="U1513" s="13">
        <v>76</v>
      </c>
      <c r="V1513" s="13" t="str" cm="1">
        <f t="array" ref="V1513">_xlfn.IFS(U1513&lt;=250,"0-R$250",U1513&lt;=500,"251-R$500",U1513&lt;=750,"501-R$750",U1513&lt;=1000,"751-R$1000",U1513&lt;=1250,"1001-R$1250",U1513&lt;=1500,"1251-R$1500")</f>
        <v>0-R$250</v>
      </c>
      <c r="W1513" s="13">
        <v>0</v>
      </c>
      <c r="X1513" s="13" t="str" cm="1">
        <f t="array" ref="X1513">_xlfn.IFS(W1513 = 0, "0", W1513&lt;=20, "até R$20",W1513&lt;=40, "21 - R$40",W1513&lt;=60, "41- R$60",W1513&lt;=80, "61 - R$80", W1513&lt;=100, "81 - R$100",W1513&lt;=120, "101 - R$120",W1513&lt;=140, "121 - R$140", W1513&lt;=160, "141- R$160", W1513&lt;=180, "161 - R$180", W1513&lt;=200, "181-R$194")</f>
        <v>0</v>
      </c>
      <c r="Y1513" s="13">
        <v>7</v>
      </c>
      <c r="Z1513" s="13">
        <v>0</v>
      </c>
      <c r="AA1513" s="13">
        <v>0</v>
      </c>
      <c r="AB1513" s="13">
        <v>16</v>
      </c>
      <c r="AC1513" s="13">
        <v>1</v>
      </c>
      <c r="AD1513" s="13">
        <v>3</v>
      </c>
      <c r="AE1513" s="13">
        <v>2</v>
      </c>
      <c r="AF1513" s="13">
        <v>2</v>
      </c>
      <c r="AG1513" s="13">
        <v>5</v>
      </c>
      <c r="AH1513" s="13">
        <v>0</v>
      </c>
      <c r="AI1513" s="13">
        <v>0</v>
      </c>
      <c r="AJ1513" s="13">
        <v>0</v>
      </c>
      <c r="AK1513" s="13">
        <v>0</v>
      </c>
      <c r="AL1513" s="13">
        <v>0</v>
      </c>
      <c r="AM1513" s="13">
        <v>0</v>
      </c>
      <c r="AN1513" s="13">
        <v>0</v>
      </c>
      <c r="AO1513" s="14">
        <v>0</v>
      </c>
      <c r="AP1513" s="13">
        <v>3</v>
      </c>
      <c r="AQ1513" s="13">
        <v>11</v>
      </c>
      <c r="AR1513" s="15">
        <v>67</v>
      </c>
      <c r="AS1513" s="15">
        <v>83</v>
      </c>
    </row>
    <row r="1514" spans="1:45" x14ac:dyDescent="0.25">
      <c r="A1514">
        <v>948</v>
      </c>
      <c r="B1514" s="11">
        <f t="shared" si="23"/>
        <v>33471</v>
      </c>
      <c r="C1514" s="12">
        <v>334710</v>
      </c>
      <c r="D1514" s="13">
        <v>1</v>
      </c>
      <c r="E1514" s="13">
        <v>0</v>
      </c>
      <c r="F1514" s="13">
        <v>47</v>
      </c>
      <c r="G1514" s="13">
        <v>47</v>
      </c>
      <c r="H1514" s="13" t="str" cm="1">
        <f t="array" ref="H1514">_xlfn.IFS(G1514&lt;=20,"0-20",G1514&lt;=30,"20-30",G1514&lt;=40,"30-40",G1514&lt;=50,"50-60",G1514&lt;=60,"60-70",G1514&lt;=70,"70-80",G1514&lt;=80,"80-90")</f>
        <v>50-60</v>
      </c>
      <c r="I1514" s="13">
        <v>2784</v>
      </c>
      <c r="J1514" s="13" t="str" cm="1">
        <f t="array" ref="J1514">_xlfn.IFS(K1514=1,"Divorciado",L1514=1,"Casado",M1514=1,"Solteiro",N1514=1,"Juntos",O1514=1,"Viuvo")</f>
        <v>Casado</v>
      </c>
      <c r="K1514" s="13">
        <v>0</v>
      </c>
      <c r="L1514" s="13">
        <v>1</v>
      </c>
      <c r="M1514" s="13">
        <v>0</v>
      </c>
      <c r="N1514" s="13">
        <v>0</v>
      </c>
      <c r="O1514" s="13">
        <v>0</v>
      </c>
      <c r="P1514" s="13">
        <v>0</v>
      </c>
      <c r="Q1514" s="13">
        <v>0</v>
      </c>
      <c r="R1514" s="13">
        <v>1</v>
      </c>
      <c r="S1514" s="13">
        <v>0</v>
      </c>
      <c r="T1514" s="13">
        <v>0</v>
      </c>
      <c r="U1514" s="13">
        <v>43</v>
      </c>
      <c r="V1514" s="13" t="str" cm="1">
        <f t="array" ref="V1514">_xlfn.IFS(U1514&lt;=250,"0-R$250",U1514&lt;=500,"251-R$500",U1514&lt;=750,"501-R$750",U1514&lt;=1000,"751-R$1000",U1514&lt;=1250,"1001-R$1250",U1514&lt;=1500,"1251-R$1500")</f>
        <v>0-R$250</v>
      </c>
      <c r="W1514" s="13">
        <v>2</v>
      </c>
      <c r="X1514" s="13" t="str" cm="1">
        <f t="array" ref="X1514">_xlfn.IFS(W1514 = 0, "0", W1514&lt;=20, "até R$20",W1514&lt;=40, "21 - R$40",W1514&lt;=60, "41- R$60",W1514&lt;=80, "61 - R$80", W1514&lt;=100, "81 - R$100",W1514&lt;=120, "101 - R$120",W1514&lt;=140, "121 - R$140", W1514&lt;=160, "141- R$160", W1514&lt;=180, "161 - R$180", W1514&lt;=200, "181-R$194")</f>
        <v>até R$20</v>
      </c>
      <c r="Y1514" s="13">
        <v>27</v>
      </c>
      <c r="Z1514" s="13">
        <v>0</v>
      </c>
      <c r="AA1514" s="13">
        <v>9</v>
      </c>
      <c r="AB1514" s="13">
        <v>12</v>
      </c>
      <c r="AC1514" s="13">
        <v>3</v>
      </c>
      <c r="AD1514" s="13">
        <v>3</v>
      </c>
      <c r="AE1514" s="13">
        <v>0</v>
      </c>
      <c r="AF1514" s="13">
        <v>4</v>
      </c>
      <c r="AG1514" s="13">
        <v>7</v>
      </c>
      <c r="AH1514" s="13">
        <v>0</v>
      </c>
      <c r="AI1514" s="13">
        <v>0</v>
      </c>
      <c r="AJ1514" s="13">
        <v>0</v>
      </c>
      <c r="AK1514" s="13">
        <v>0</v>
      </c>
      <c r="AL1514" s="13">
        <v>0</v>
      </c>
      <c r="AM1514" s="13">
        <v>0</v>
      </c>
      <c r="AN1514" s="13">
        <v>0</v>
      </c>
      <c r="AO1514" s="14">
        <v>0</v>
      </c>
      <c r="AP1514" s="13">
        <v>3</v>
      </c>
      <c r="AQ1514" s="13">
        <v>11</v>
      </c>
      <c r="AR1514" s="15">
        <v>69</v>
      </c>
      <c r="AS1514" s="15">
        <v>81</v>
      </c>
    </row>
    <row r="1515" spans="1:45" x14ac:dyDescent="0.25">
      <c r="A1515">
        <v>1227</v>
      </c>
      <c r="B1515" s="11">
        <f t="shared" si="23"/>
        <v>7500</v>
      </c>
      <c r="C1515" s="16">
        <v>75000</v>
      </c>
      <c r="D1515" s="17">
        <v>1</v>
      </c>
      <c r="E1515" s="17">
        <v>0</v>
      </c>
      <c r="F1515" s="17">
        <v>63</v>
      </c>
      <c r="G1515" s="17">
        <v>28</v>
      </c>
      <c r="H1515" s="13" t="str" cm="1">
        <f t="array" ref="H1515">_xlfn.IFS(G1515&lt;=20,"0-20",G1515&lt;=30,"20-30",G1515&lt;=40,"30-40",G1515&lt;=50,"50-60",G1515&lt;=60,"60-70",G1515&lt;=70,"70-80",G1515&lt;=80,"80-90")</f>
        <v>20-30</v>
      </c>
      <c r="I1515" s="17">
        <v>2732</v>
      </c>
      <c r="J1515" s="13" t="str" cm="1">
        <f t="array" ref="J1515">_xlfn.IFS(K1515=1,"Divorciado",L1515=1,"Casado",M1515=1,"Solteiro",N1515=1,"Juntos",O1515=1,"Viuvo")</f>
        <v>Solteiro</v>
      </c>
      <c r="K1515" s="17">
        <v>0</v>
      </c>
      <c r="L1515" s="17">
        <v>0</v>
      </c>
      <c r="M1515" s="17">
        <v>1</v>
      </c>
      <c r="N1515" s="17">
        <v>0</v>
      </c>
      <c r="O1515" s="17">
        <v>0</v>
      </c>
      <c r="P1515" s="17">
        <v>0</v>
      </c>
      <c r="Q1515" s="17">
        <v>1</v>
      </c>
      <c r="R1515" s="17">
        <v>0</v>
      </c>
      <c r="S1515" s="17">
        <v>0</v>
      </c>
      <c r="T1515" s="17">
        <v>0</v>
      </c>
      <c r="U1515" s="17">
        <v>10</v>
      </c>
      <c r="V1515" s="13" t="str" cm="1">
        <f t="array" ref="V1515">_xlfn.IFS(U1515&lt;=250,"0-R$250",U1515&lt;=500,"251-R$500",U1515&lt;=750,"501-R$750",U1515&lt;=1000,"751-R$1000",U1515&lt;=1250,"1001-R$1250",U1515&lt;=1500,"1251-R$1500")</f>
        <v>0-R$250</v>
      </c>
      <c r="W1515" s="17">
        <v>17</v>
      </c>
      <c r="X1515" s="13" t="str" cm="1">
        <f t="array" ref="X1515">_xlfn.IFS(W1515 = 0, "0", W1515&lt;=20, "até R$20",W1515&lt;=40, "21 - R$40",W1515&lt;=60, "41- R$60",W1515&lt;=80, "61 - R$80", W1515&lt;=100, "81 - R$100",W1515&lt;=120, "101 - R$120",W1515&lt;=140, "121 - R$140", W1515&lt;=160, "141- R$160", W1515&lt;=180, "161 - R$180", W1515&lt;=200, "181-R$194")</f>
        <v>até R$20</v>
      </c>
      <c r="Y1515" s="17">
        <v>18</v>
      </c>
      <c r="Z1515" s="17">
        <v>8</v>
      </c>
      <c r="AA1515" s="17">
        <v>26</v>
      </c>
      <c r="AB1515" s="17">
        <v>40</v>
      </c>
      <c r="AC1515" s="17">
        <v>4</v>
      </c>
      <c r="AD1515" s="17">
        <v>3</v>
      </c>
      <c r="AE1515" s="17">
        <v>2</v>
      </c>
      <c r="AF1515" s="17">
        <v>2</v>
      </c>
      <c r="AG1515" s="17">
        <v>9</v>
      </c>
      <c r="AH1515" s="17">
        <v>0</v>
      </c>
      <c r="AI1515" s="17">
        <v>0</v>
      </c>
      <c r="AJ1515" s="17">
        <v>0</v>
      </c>
      <c r="AK1515" s="17">
        <v>0</v>
      </c>
      <c r="AL1515" s="17">
        <v>0</v>
      </c>
      <c r="AM1515" s="17">
        <v>0</v>
      </c>
      <c r="AN1515" s="17">
        <v>0</v>
      </c>
      <c r="AO1515" s="18">
        <v>0</v>
      </c>
      <c r="AP1515" s="17">
        <v>3</v>
      </c>
      <c r="AQ1515" s="17">
        <v>11</v>
      </c>
      <c r="AR1515" s="19">
        <v>39</v>
      </c>
      <c r="AS1515" s="19">
        <v>79</v>
      </c>
    </row>
    <row r="1516" spans="1:45" x14ac:dyDescent="0.25">
      <c r="A1516">
        <v>1001</v>
      </c>
      <c r="B1516" s="11">
        <f t="shared" si="23"/>
        <v>34961</v>
      </c>
      <c r="C1516" s="16">
        <v>349610</v>
      </c>
      <c r="D1516" s="17">
        <v>1</v>
      </c>
      <c r="E1516" s="17">
        <v>0</v>
      </c>
      <c r="F1516" s="17">
        <v>77</v>
      </c>
      <c r="G1516" s="17">
        <v>47</v>
      </c>
      <c r="H1516" s="13" t="str" cm="1">
        <f t="array" ref="H1516">_xlfn.IFS(G1516&lt;=20,"0-20",G1516&lt;=30,"20-30",G1516&lt;=40,"30-40",G1516&lt;=50,"50-60",G1516&lt;=60,"60-70",G1516&lt;=70,"70-80",G1516&lt;=80,"80-90")</f>
        <v>50-60</v>
      </c>
      <c r="I1516" s="17">
        <v>2169</v>
      </c>
      <c r="J1516" s="13" t="str" cm="1">
        <f t="array" ref="J1516">_xlfn.IFS(K1516=1,"Divorciado",L1516=1,"Casado",M1516=1,"Solteiro",N1516=1,"Juntos",O1516=1,"Viuvo")</f>
        <v>Casado</v>
      </c>
      <c r="K1516" s="17">
        <v>0</v>
      </c>
      <c r="L1516" s="17">
        <v>1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1</v>
      </c>
      <c r="S1516" s="17">
        <v>0</v>
      </c>
      <c r="T1516" s="17">
        <v>0</v>
      </c>
      <c r="U1516" s="17">
        <v>45</v>
      </c>
      <c r="V1516" s="13" t="str" cm="1">
        <f t="array" ref="V1516">_xlfn.IFS(U1516&lt;=250,"0-R$250",U1516&lt;=500,"251-R$500",U1516&lt;=750,"501-R$750",U1516&lt;=1000,"751-R$1000",U1516&lt;=1250,"1001-R$1250",U1516&lt;=1500,"1251-R$1500")</f>
        <v>0-R$250</v>
      </c>
      <c r="W1516" s="17">
        <v>2</v>
      </c>
      <c r="X1516" s="13" t="str" cm="1">
        <f t="array" ref="X1516">_xlfn.IFS(W1516 = 0, "0", W1516&lt;=20, "até R$20",W1516&lt;=40, "21 - R$40",W1516&lt;=60, "41- R$60",W1516&lt;=80, "61 - R$80", W1516&lt;=100, "81 - R$100",W1516&lt;=120, "101 - R$120",W1516&lt;=140, "121 - R$140", W1516&lt;=160, "141- R$160", W1516&lt;=180, "161 - R$180", W1516&lt;=200, "181-R$194")</f>
        <v>até R$20</v>
      </c>
      <c r="Y1516" s="17">
        <v>26</v>
      </c>
      <c r="Z1516" s="17">
        <v>4</v>
      </c>
      <c r="AA1516" s="17">
        <v>1</v>
      </c>
      <c r="AB1516" s="17">
        <v>1</v>
      </c>
      <c r="AC1516" s="17">
        <v>3</v>
      </c>
      <c r="AD1516" s="17">
        <v>3</v>
      </c>
      <c r="AE1516" s="17">
        <v>1</v>
      </c>
      <c r="AF1516" s="17">
        <v>3</v>
      </c>
      <c r="AG1516" s="17">
        <v>7</v>
      </c>
      <c r="AH1516" s="17">
        <v>0</v>
      </c>
      <c r="AI1516" s="17">
        <v>0</v>
      </c>
      <c r="AJ1516" s="17">
        <v>0</v>
      </c>
      <c r="AK1516" s="17">
        <v>0</v>
      </c>
      <c r="AL1516" s="17">
        <v>0</v>
      </c>
      <c r="AM1516" s="17">
        <v>0</v>
      </c>
      <c r="AN1516" s="17">
        <v>0</v>
      </c>
      <c r="AO1516" s="18">
        <v>0</v>
      </c>
      <c r="AP1516" s="17">
        <v>3</v>
      </c>
      <c r="AQ1516" s="17">
        <v>11</v>
      </c>
      <c r="AR1516" s="19">
        <v>77</v>
      </c>
      <c r="AS1516" s="19">
        <v>78</v>
      </c>
    </row>
    <row r="1517" spans="1:45" x14ac:dyDescent="0.25">
      <c r="A1517">
        <v>1952</v>
      </c>
      <c r="B1517" s="11">
        <f t="shared" si="23"/>
        <v>38236</v>
      </c>
      <c r="C1517" s="12">
        <v>382360</v>
      </c>
      <c r="D1517" s="13">
        <v>1</v>
      </c>
      <c r="E1517" s="13">
        <v>1</v>
      </c>
      <c r="F1517" s="13">
        <v>2</v>
      </c>
      <c r="G1517" s="13">
        <v>52</v>
      </c>
      <c r="H1517" s="13" t="str" cm="1">
        <f t="array" ref="H1517">_xlfn.IFS(G1517&lt;=20,"0-20",G1517&lt;=30,"20-30",G1517&lt;=40,"30-40",G1517&lt;=50,"50-60",G1517&lt;=60,"60-70",G1517&lt;=70,"70-80",G1517&lt;=80,"80-90")</f>
        <v>60-70</v>
      </c>
      <c r="I1517" s="13">
        <v>2441</v>
      </c>
      <c r="J1517" s="13" t="str" cm="1">
        <f t="array" ref="J1517">_xlfn.IFS(K1517=1,"Divorciado",L1517=1,"Casado",M1517=1,"Solteiro",N1517=1,"Juntos",O1517=1,"Viuvo")</f>
        <v>Solteiro</v>
      </c>
      <c r="K1517" s="13">
        <v>0</v>
      </c>
      <c r="L1517" s="13">
        <v>0</v>
      </c>
      <c r="M1517" s="13">
        <v>1</v>
      </c>
      <c r="N1517" s="13">
        <v>0</v>
      </c>
      <c r="O1517" s="13">
        <v>0</v>
      </c>
      <c r="P1517" s="13">
        <v>0</v>
      </c>
      <c r="Q1517" s="13">
        <v>0</v>
      </c>
      <c r="R1517" s="13">
        <v>0</v>
      </c>
      <c r="S1517" s="13">
        <v>0</v>
      </c>
      <c r="T1517" s="13">
        <v>1</v>
      </c>
      <c r="U1517" s="13">
        <v>58</v>
      </c>
      <c r="V1517" s="13" t="str" cm="1">
        <f t="array" ref="V1517">_xlfn.IFS(U1517&lt;=250,"0-R$250",U1517&lt;=500,"251-R$500",U1517&lt;=750,"501-R$750",U1517&lt;=1000,"751-R$1000",U1517&lt;=1250,"1001-R$1250",U1517&lt;=1500,"1251-R$1500")</f>
        <v>0-R$250</v>
      </c>
      <c r="W1517" s="13">
        <v>0</v>
      </c>
      <c r="X1517" s="13" t="str" cm="1">
        <f t="array" ref="X1517">_xlfn.IFS(W1517 = 0, "0", W1517&lt;=20, "até R$20",W1517&lt;=40, "21 - R$40",W1517&lt;=60, "41- R$60",W1517&lt;=80, "61 - R$80", W1517&lt;=100, "81 - R$100",W1517&lt;=120, "101 - R$120",W1517&lt;=140, "121 - R$140", W1517&lt;=160, "141- R$160", W1517&lt;=180, "161 - R$180", W1517&lt;=200, "181-R$194")</f>
        <v>0</v>
      </c>
      <c r="Y1517" s="13">
        <v>18</v>
      </c>
      <c r="Z1517" s="13">
        <v>2</v>
      </c>
      <c r="AA1517" s="13">
        <v>0</v>
      </c>
      <c r="AB1517" s="13">
        <v>10</v>
      </c>
      <c r="AC1517" s="13">
        <v>4</v>
      </c>
      <c r="AD1517" s="13">
        <v>3</v>
      </c>
      <c r="AE1517" s="13">
        <v>0</v>
      </c>
      <c r="AF1517" s="13">
        <v>4</v>
      </c>
      <c r="AG1517" s="13">
        <v>7</v>
      </c>
      <c r="AH1517" s="13">
        <v>0</v>
      </c>
      <c r="AI1517" s="13">
        <v>0</v>
      </c>
      <c r="AJ1517" s="13">
        <v>0</v>
      </c>
      <c r="AK1517" s="13">
        <v>0</v>
      </c>
      <c r="AL1517" s="13">
        <v>0</v>
      </c>
      <c r="AM1517" s="13">
        <v>0</v>
      </c>
      <c r="AN1517" s="13">
        <v>0</v>
      </c>
      <c r="AO1517" s="14">
        <v>0</v>
      </c>
      <c r="AP1517" s="13">
        <v>3</v>
      </c>
      <c r="AQ1517" s="13">
        <v>11</v>
      </c>
      <c r="AR1517" s="15">
        <v>68</v>
      </c>
      <c r="AS1517" s="15">
        <v>78</v>
      </c>
    </row>
    <row r="1518" spans="1:45" x14ac:dyDescent="0.25">
      <c r="A1518">
        <v>952</v>
      </c>
      <c r="B1518" s="11">
        <f t="shared" si="23"/>
        <v>40706</v>
      </c>
      <c r="C1518" s="12">
        <v>407060</v>
      </c>
      <c r="D1518" s="13">
        <v>2</v>
      </c>
      <c r="E1518" s="13">
        <v>1</v>
      </c>
      <c r="F1518" s="13">
        <v>37</v>
      </c>
      <c r="G1518" s="13">
        <v>52</v>
      </c>
      <c r="H1518" s="13" t="str" cm="1">
        <f t="array" ref="H1518">_xlfn.IFS(G1518&lt;=20,"0-20",G1518&lt;=30,"20-30",G1518&lt;=40,"30-40",G1518&lt;=50,"50-60",G1518&lt;=60,"60-70",G1518&lt;=70,"70-80",G1518&lt;=80,"80-90")</f>
        <v>60-70</v>
      </c>
      <c r="I1518" s="13">
        <v>2687</v>
      </c>
      <c r="J1518" s="13" t="str" cm="1">
        <f t="array" ref="J1518">_xlfn.IFS(K1518=1,"Divorciado",L1518=1,"Casado",M1518=1,"Solteiro",N1518=1,"Juntos",O1518=1,"Viuvo")</f>
        <v>Juntos</v>
      </c>
      <c r="K1518" s="13">
        <v>0</v>
      </c>
      <c r="L1518" s="13">
        <v>0</v>
      </c>
      <c r="M1518" s="13">
        <v>0</v>
      </c>
      <c r="N1518" s="13">
        <v>1</v>
      </c>
      <c r="O1518" s="13">
        <v>0</v>
      </c>
      <c r="P1518" s="13">
        <v>0</v>
      </c>
      <c r="Q1518" s="13">
        <v>0</v>
      </c>
      <c r="R1518" s="13">
        <v>0</v>
      </c>
      <c r="S1518" s="13">
        <v>0</v>
      </c>
      <c r="T1518" s="13">
        <v>1</v>
      </c>
      <c r="U1518" s="13">
        <v>59</v>
      </c>
      <c r="V1518" s="13" t="str" cm="1">
        <f t="array" ref="V1518">_xlfn.IFS(U1518&lt;=250,"0-R$250",U1518&lt;=500,"251-R$500",U1518&lt;=750,"501-R$750",U1518&lt;=1000,"751-R$1000",U1518&lt;=1250,"1001-R$1250",U1518&lt;=1500,"1251-R$1500")</f>
        <v>0-R$250</v>
      </c>
      <c r="W1518" s="13">
        <v>0</v>
      </c>
      <c r="X1518" s="13" t="str" cm="1">
        <f t="array" ref="X1518">_xlfn.IFS(W1518 = 0, "0", W1518&lt;=20, "até R$20",W1518&lt;=40, "21 - R$40",W1518&lt;=60, "41- R$60",W1518&lt;=80, "61 - R$80", W1518&lt;=100, "81 - R$100",W1518&lt;=120, "101 - R$120",W1518&lt;=140, "121 - R$140", W1518&lt;=160, "141- R$160", W1518&lt;=180, "161 - R$180", W1518&lt;=200, "181-R$194")</f>
        <v>0</v>
      </c>
      <c r="Y1518" s="13">
        <v>11</v>
      </c>
      <c r="Z1518" s="13">
        <v>4</v>
      </c>
      <c r="AA1518" s="13">
        <v>2</v>
      </c>
      <c r="AB1518" s="13">
        <v>5</v>
      </c>
      <c r="AC1518" s="13">
        <v>4</v>
      </c>
      <c r="AD1518" s="13">
        <v>3</v>
      </c>
      <c r="AE1518" s="13">
        <v>0</v>
      </c>
      <c r="AF1518" s="13">
        <v>4</v>
      </c>
      <c r="AG1518" s="13">
        <v>7</v>
      </c>
      <c r="AH1518" s="13">
        <v>0</v>
      </c>
      <c r="AI1518" s="13">
        <v>0</v>
      </c>
      <c r="AJ1518" s="13">
        <v>0</v>
      </c>
      <c r="AK1518" s="13">
        <v>0</v>
      </c>
      <c r="AL1518" s="13">
        <v>0</v>
      </c>
      <c r="AM1518" s="13">
        <v>0</v>
      </c>
      <c r="AN1518" s="13">
        <v>0</v>
      </c>
      <c r="AO1518" s="14">
        <v>0</v>
      </c>
      <c r="AP1518" s="13">
        <v>3</v>
      </c>
      <c r="AQ1518" s="13">
        <v>11</v>
      </c>
      <c r="AR1518" s="15">
        <v>71</v>
      </c>
      <c r="AS1518" s="15">
        <v>76</v>
      </c>
    </row>
    <row r="1519" spans="1:45" x14ac:dyDescent="0.25">
      <c r="A1519">
        <v>1498</v>
      </c>
      <c r="B1519" s="11">
        <f t="shared" si="23"/>
        <v>37697</v>
      </c>
      <c r="C1519" s="12">
        <v>376970</v>
      </c>
      <c r="D1519" s="13">
        <v>1</v>
      </c>
      <c r="E1519" s="13">
        <v>0</v>
      </c>
      <c r="F1519" s="13">
        <v>82</v>
      </c>
      <c r="G1519" s="13">
        <v>44</v>
      </c>
      <c r="H1519" s="13" t="str" cm="1">
        <f t="array" ref="H1519">_xlfn.IFS(G1519&lt;=20,"0-20",G1519&lt;=30,"20-30",G1519&lt;=40,"30-40",G1519&lt;=50,"50-60",G1519&lt;=60,"60-70",G1519&lt;=70,"70-80",G1519&lt;=80,"80-90")</f>
        <v>50-60</v>
      </c>
      <c r="I1519" s="13">
        <v>2301</v>
      </c>
      <c r="J1519" s="13" t="str" cm="1">
        <f t="array" ref="J1519">_xlfn.IFS(K1519=1,"Divorciado",L1519=1,"Casado",M1519=1,"Solteiro",N1519=1,"Juntos",O1519=1,"Viuvo")</f>
        <v>Solteiro</v>
      </c>
      <c r="K1519" s="13">
        <v>0</v>
      </c>
      <c r="L1519" s="13">
        <v>0</v>
      </c>
      <c r="M1519" s="13">
        <v>1</v>
      </c>
      <c r="N1519" s="13">
        <v>0</v>
      </c>
      <c r="O1519" s="13">
        <v>0</v>
      </c>
      <c r="P1519" s="13">
        <v>0</v>
      </c>
      <c r="Q1519" s="13">
        <v>0</v>
      </c>
      <c r="R1519" s="13">
        <v>1</v>
      </c>
      <c r="S1519" s="13">
        <v>0</v>
      </c>
      <c r="T1519" s="13">
        <v>0</v>
      </c>
      <c r="U1519" s="13">
        <v>34</v>
      </c>
      <c r="V1519" s="13" t="str" cm="1">
        <f t="array" ref="V1519">_xlfn.IFS(U1519&lt;=250,"0-R$250",U1519&lt;=500,"251-R$500",U1519&lt;=750,"501-R$750",U1519&lt;=1000,"751-R$1000",U1519&lt;=1250,"1001-R$1250",U1519&lt;=1500,"1251-R$1500")</f>
        <v>0-R$250</v>
      </c>
      <c r="W1519" s="13">
        <v>6</v>
      </c>
      <c r="X1519" s="13" t="str" cm="1">
        <f t="array" ref="X1519">_xlfn.IFS(W1519 = 0, "0", W1519&lt;=20, "até R$20",W1519&lt;=40, "21 - R$40",W1519&lt;=60, "41- R$60",W1519&lt;=80, "61 - R$80", W1519&lt;=100, "81 - R$100",W1519&lt;=120, "101 - R$120",W1519&lt;=140, "121 - R$140", W1519&lt;=160, "141- R$160", W1519&lt;=180, "161 - R$180", W1519&lt;=200, "181-R$194")</f>
        <v>até R$20</v>
      </c>
      <c r="Y1519" s="13">
        <v>21</v>
      </c>
      <c r="Z1519" s="13">
        <v>11</v>
      </c>
      <c r="AA1519" s="13">
        <v>4</v>
      </c>
      <c r="AB1519" s="13">
        <v>8</v>
      </c>
      <c r="AC1519" s="13">
        <v>1</v>
      </c>
      <c r="AD1519" s="13">
        <v>2</v>
      </c>
      <c r="AE1519" s="13">
        <v>1</v>
      </c>
      <c r="AF1519" s="13">
        <v>3</v>
      </c>
      <c r="AG1519" s="13">
        <v>6</v>
      </c>
      <c r="AH1519" s="13">
        <v>0</v>
      </c>
      <c r="AI1519" s="13">
        <v>0</v>
      </c>
      <c r="AJ1519" s="13">
        <v>0</v>
      </c>
      <c r="AK1519" s="13">
        <v>0</v>
      </c>
      <c r="AL1519" s="13">
        <v>0</v>
      </c>
      <c r="AM1519" s="13">
        <v>0</v>
      </c>
      <c r="AN1519" s="13">
        <v>0</v>
      </c>
      <c r="AO1519" s="14">
        <v>0</v>
      </c>
      <c r="AP1519" s="13">
        <v>3</v>
      </c>
      <c r="AQ1519" s="13">
        <v>11</v>
      </c>
      <c r="AR1519" s="15">
        <v>68</v>
      </c>
      <c r="AS1519" s="15">
        <v>76</v>
      </c>
    </row>
    <row r="1520" spans="1:45" x14ac:dyDescent="0.25">
      <c r="A1520">
        <v>1768</v>
      </c>
      <c r="B1520" s="11">
        <f t="shared" si="23"/>
        <v>37697</v>
      </c>
      <c r="C1520" s="12">
        <v>376970</v>
      </c>
      <c r="D1520" s="13">
        <v>1</v>
      </c>
      <c r="E1520" s="13">
        <v>0</v>
      </c>
      <c r="F1520" s="13">
        <v>82</v>
      </c>
      <c r="G1520" s="13">
        <v>44</v>
      </c>
      <c r="H1520" s="13" t="str" cm="1">
        <f t="array" ref="H1520">_xlfn.IFS(G1520&lt;=20,"0-20",G1520&lt;=30,"20-30",G1520&lt;=40,"30-40",G1520&lt;=50,"50-60",G1520&lt;=60,"60-70",G1520&lt;=70,"70-80",G1520&lt;=80,"80-90")</f>
        <v>50-60</v>
      </c>
      <c r="I1520" s="13">
        <v>2301</v>
      </c>
      <c r="J1520" s="13" t="str" cm="1">
        <f t="array" ref="J1520">_xlfn.IFS(K1520=1,"Divorciado",L1520=1,"Casado",M1520=1,"Solteiro",N1520=1,"Juntos",O1520=1,"Viuvo")</f>
        <v>Solteiro</v>
      </c>
      <c r="K1520" s="13">
        <v>0</v>
      </c>
      <c r="L1520" s="13">
        <v>0</v>
      </c>
      <c r="M1520" s="13">
        <v>1</v>
      </c>
      <c r="N1520" s="13">
        <v>0</v>
      </c>
      <c r="O1520" s="13">
        <v>0</v>
      </c>
      <c r="P1520" s="13">
        <v>0</v>
      </c>
      <c r="Q1520" s="13">
        <v>0</v>
      </c>
      <c r="R1520" s="13">
        <v>1</v>
      </c>
      <c r="S1520" s="13">
        <v>0</v>
      </c>
      <c r="T1520" s="13">
        <v>0</v>
      </c>
      <c r="U1520" s="13">
        <v>34</v>
      </c>
      <c r="V1520" s="13" t="str" cm="1">
        <f t="array" ref="V1520">_xlfn.IFS(U1520&lt;=250,"0-R$250",U1520&lt;=500,"251-R$500",U1520&lt;=750,"501-R$750",U1520&lt;=1000,"751-R$1000",U1520&lt;=1250,"1001-R$1250",U1520&lt;=1500,"1251-R$1500")</f>
        <v>0-R$250</v>
      </c>
      <c r="W1520" s="13">
        <v>6</v>
      </c>
      <c r="X1520" s="13" t="str" cm="1">
        <f t="array" ref="X1520">_xlfn.IFS(W1520 = 0, "0", W1520&lt;=20, "até R$20",W1520&lt;=40, "21 - R$40",W1520&lt;=60, "41- R$60",W1520&lt;=80, "61 - R$80", W1520&lt;=100, "81 - R$100",W1520&lt;=120, "101 - R$120",W1520&lt;=140, "121 - R$140", W1520&lt;=160, "141- R$160", W1520&lt;=180, "161 - R$180", W1520&lt;=200, "181-R$194")</f>
        <v>até R$20</v>
      </c>
      <c r="Y1520" s="13">
        <v>21</v>
      </c>
      <c r="Z1520" s="13">
        <v>11</v>
      </c>
      <c r="AA1520" s="13">
        <v>4</v>
      </c>
      <c r="AB1520" s="13">
        <v>8</v>
      </c>
      <c r="AC1520" s="13">
        <v>1</v>
      </c>
      <c r="AD1520" s="13">
        <v>2</v>
      </c>
      <c r="AE1520" s="13">
        <v>1</v>
      </c>
      <c r="AF1520" s="13">
        <v>3</v>
      </c>
      <c r="AG1520" s="13">
        <v>6</v>
      </c>
      <c r="AH1520" s="13">
        <v>0</v>
      </c>
      <c r="AI1520" s="13">
        <v>0</v>
      </c>
      <c r="AJ1520" s="13">
        <v>0</v>
      </c>
      <c r="AK1520" s="13">
        <v>0</v>
      </c>
      <c r="AL1520" s="13">
        <v>0</v>
      </c>
      <c r="AM1520" s="13">
        <v>0</v>
      </c>
      <c r="AN1520" s="13">
        <v>0</v>
      </c>
      <c r="AO1520" s="14">
        <v>0</v>
      </c>
      <c r="AP1520" s="13">
        <v>3</v>
      </c>
      <c r="AQ1520" s="13">
        <v>11</v>
      </c>
      <c r="AR1520" s="15">
        <v>68</v>
      </c>
      <c r="AS1520" s="15">
        <v>76</v>
      </c>
    </row>
    <row r="1521" spans="1:45" x14ac:dyDescent="0.25">
      <c r="A1521">
        <v>302</v>
      </c>
      <c r="B1521" s="11">
        <f t="shared" si="23"/>
        <v>40321</v>
      </c>
      <c r="C1521" s="12">
        <v>403210</v>
      </c>
      <c r="D1521" s="13">
        <v>1</v>
      </c>
      <c r="E1521" s="13">
        <v>1</v>
      </c>
      <c r="F1521" s="13">
        <v>59</v>
      </c>
      <c r="G1521" s="13">
        <v>48</v>
      </c>
      <c r="H1521" s="13" t="str" cm="1">
        <f t="array" ref="H1521">_xlfn.IFS(G1521&lt;=20,"0-20",G1521&lt;=30,"20-30",G1521&lt;=40,"30-40",G1521&lt;=50,"50-60",G1521&lt;=60,"60-70",G1521&lt;=70,"70-80",G1521&lt;=80,"80-90")</f>
        <v>50-60</v>
      </c>
      <c r="I1521" s="13">
        <v>2494</v>
      </c>
      <c r="J1521" s="13" t="str" cm="1">
        <f t="array" ref="J1521">_xlfn.IFS(K1521=1,"Divorciado",L1521=1,"Casado",M1521=1,"Solteiro",N1521=1,"Juntos",O1521=1,"Viuvo")</f>
        <v>Casado</v>
      </c>
      <c r="K1521" s="13">
        <v>0</v>
      </c>
      <c r="L1521" s="13">
        <v>1</v>
      </c>
      <c r="M1521" s="13">
        <v>0</v>
      </c>
      <c r="N1521" s="13">
        <v>0</v>
      </c>
      <c r="O1521" s="13">
        <v>0</v>
      </c>
      <c r="P1521" s="13">
        <v>0</v>
      </c>
      <c r="Q1521" s="13">
        <v>0</v>
      </c>
      <c r="R1521" s="13">
        <v>1</v>
      </c>
      <c r="S1521" s="13">
        <v>0</v>
      </c>
      <c r="T1521" s="13">
        <v>0</v>
      </c>
      <c r="U1521" s="13">
        <v>44</v>
      </c>
      <c r="V1521" s="13" t="str" cm="1">
        <f t="array" ref="V1521">_xlfn.IFS(U1521&lt;=250,"0-R$250",U1521&lt;=500,"251-R$500",U1521&lt;=750,"501-R$750",U1521&lt;=1000,"751-R$1000",U1521&lt;=1250,"1001-R$1250",U1521&lt;=1500,"1251-R$1500")</f>
        <v>0-R$250</v>
      </c>
      <c r="W1521" s="13">
        <v>4</v>
      </c>
      <c r="X1521" s="13" t="str" cm="1">
        <f t="array" ref="X1521">_xlfn.IFS(W1521 = 0, "0", W1521&lt;=20, "até R$20",W1521&lt;=40, "21 - R$40",W1521&lt;=60, "41- R$60",W1521&lt;=80, "61 - R$80", W1521&lt;=100, "81 - R$100",W1521&lt;=120, "101 - R$120",W1521&lt;=140, "121 - R$140", W1521&lt;=160, "141- R$160", W1521&lt;=180, "161 - R$180", W1521&lt;=200, "181-R$194")</f>
        <v>até R$20</v>
      </c>
      <c r="Y1521" s="13">
        <v>21</v>
      </c>
      <c r="Z1521" s="13">
        <v>6</v>
      </c>
      <c r="AA1521" s="13">
        <v>0</v>
      </c>
      <c r="AB1521" s="13">
        <v>27</v>
      </c>
      <c r="AC1521" s="13">
        <v>2</v>
      </c>
      <c r="AD1521" s="13">
        <v>3</v>
      </c>
      <c r="AE1521" s="13">
        <v>0</v>
      </c>
      <c r="AF1521" s="13">
        <v>3</v>
      </c>
      <c r="AG1521" s="13">
        <v>7</v>
      </c>
      <c r="AH1521" s="13">
        <v>0</v>
      </c>
      <c r="AI1521" s="13">
        <v>0</v>
      </c>
      <c r="AJ1521" s="13">
        <v>0</v>
      </c>
      <c r="AK1521" s="13">
        <v>0</v>
      </c>
      <c r="AL1521" s="13">
        <v>0</v>
      </c>
      <c r="AM1521" s="13">
        <v>0</v>
      </c>
      <c r="AN1521" s="13">
        <v>0</v>
      </c>
      <c r="AO1521" s="14">
        <v>0</v>
      </c>
      <c r="AP1521" s="13">
        <v>3</v>
      </c>
      <c r="AQ1521" s="13">
        <v>11</v>
      </c>
      <c r="AR1521" s="15">
        <v>48</v>
      </c>
      <c r="AS1521" s="15">
        <v>75</v>
      </c>
    </row>
    <row r="1522" spans="1:45" x14ac:dyDescent="0.25">
      <c r="A1522">
        <v>583</v>
      </c>
      <c r="B1522" s="11">
        <f t="shared" si="23"/>
        <v>31089</v>
      </c>
      <c r="C1522" s="16">
        <v>310890</v>
      </c>
      <c r="D1522" s="17">
        <v>1</v>
      </c>
      <c r="E1522" s="17">
        <v>0</v>
      </c>
      <c r="F1522" s="17">
        <v>57</v>
      </c>
      <c r="G1522" s="17">
        <v>39</v>
      </c>
      <c r="H1522" s="13" t="str" cm="1">
        <f t="array" ref="H1522">_xlfn.IFS(G1522&lt;=20,"0-20",G1522&lt;=30,"20-30",G1522&lt;=40,"30-40",G1522&lt;=50,"50-60",G1522&lt;=60,"60-70",G1522&lt;=70,"70-80",G1522&lt;=80,"80-90")</f>
        <v>30-40</v>
      </c>
      <c r="I1522" s="17">
        <v>2840</v>
      </c>
      <c r="J1522" s="13" t="str" cm="1">
        <f t="array" ref="J1522">_xlfn.IFS(K1522=1,"Divorciado",L1522=1,"Casado",M1522=1,"Solteiro",N1522=1,"Juntos",O1522=1,"Viuvo")</f>
        <v>Juntos</v>
      </c>
      <c r="K1522" s="17">
        <v>0</v>
      </c>
      <c r="L1522" s="17">
        <v>0</v>
      </c>
      <c r="M1522" s="17">
        <v>0</v>
      </c>
      <c r="N1522" s="17">
        <v>1</v>
      </c>
      <c r="O1522" s="17">
        <v>0</v>
      </c>
      <c r="P1522" s="17">
        <v>0</v>
      </c>
      <c r="Q1522" s="17">
        <v>0</v>
      </c>
      <c r="R1522" s="17">
        <v>1</v>
      </c>
      <c r="S1522" s="17">
        <v>0</v>
      </c>
      <c r="T1522" s="17">
        <v>0</v>
      </c>
      <c r="U1522" s="17">
        <v>31</v>
      </c>
      <c r="V1522" s="13" t="str" cm="1">
        <f t="array" ref="V1522">_xlfn.IFS(U1522&lt;=250,"0-R$250",U1522&lt;=500,"251-R$500",U1522&lt;=750,"501-R$750",U1522&lt;=1000,"751-R$1000",U1522&lt;=1250,"1001-R$1250",U1522&lt;=1500,"1251-R$1500")</f>
        <v>0-R$250</v>
      </c>
      <c r="W1522" s="17">
        <v>3</v>
      </c>
      <c r="X1522" s="13" t="str" cm="1">
        <f t="array" ref="X1522">_xlfn.IFS(W1522 = 0, "0", W1522&lt;=20, "até R$20",W1522&lt;=40, "21 - R$40",W1522&lt;=60, "41- R$60",W1522&lt;=80, "61 - R$80", W1522&lt;=100, "81 - R$100",W1522&lt;=120, "101 - R$120",W1522&lt;=140, "121 - R$140", W1522&lt;=160, "141- R$160", W1522&lt;=180, "161 - R$180", W1522&lt;=200, "181-R$194")</f>
        <v>até R$20</v>
      </c>
      <c r="Y1522" s="17">
        <v>31</v>
      </c>
      <c r="Z1522" s="17">
        <v>2</v>
      </c>
      <c r="AA1522" s="17">
        <v>8</v>
      </c>
      <c r="AB1522" s="17">
        <v>4</v>
      </c>
      <c r="AC1522" s="17">
        <v>3</v>
      </c>
      <c r="AD1522" s="17">
        <v>3</v>
      </c>
      <c r="AE1522" s="17">
        <v>0</v>
      </c>
      <c r="AF1522" s="17">
        <v>4</v>
      </c>
      <c r="AG1522" s="17">
        <v>8</v>
      </c>
      <c r="AH1522" s="17">
        <v>0</v>
      </c>
      <c r="AI1522" s="17">
        <v>0</v>
      </c>
      <c r="AJ1522" s="17">
        <v>0</v>
      </c>
      <c r="AK1522" s="17">
        <v>0</v>
      </c>
      <c r="AL1522" s="17">
        <v>0</v>
      </c>
      <c r="AM1522" s="17">
        <v>0</v>
      </c>
      <c r="AN1522" s="17">
        <v>0</v>
      </c>
      <c r="AO1522" s="18">
        <v>0</v>
      </c>
      <c r="AP1522" s="17">
        <v>3</v>
      </c>
      <c r="AQ1522" s="17">
        <v>11</v>
      </c>
      <c r="AR1522" s="19">
        <v>71</v>
      </c>
      <c r="AS1522" s="19">
        <v>75</v>
      </c>
    </row>
    <row r="1523" spans="1:45" x14ac:dyDescent="0.25">
      <c r="A1523">
        <v>1298</v>
      </c>
      <c r="B1523" s="11">
        <f t="shared" si="23"/>
        <v>40321</v>
      </c>
      <c r="C1523" s="12">
        <v>403210</v>
      </c>
      <c r="D1523" s="13">
        <v>1</v>
      </c>
      <c r="E1523" s="13">
        <v>1</v>
      </c>
      <c r="F1523" s="13">
        <v>59</v>
      </c>
      <c r="G1523" s="13">
        <v>48</v>
      </c>
      <c r="H1523" s="13" t="str" cm="1">
        <f t="array" ref="H1523">_xlfn.IFS(G1523&lt;=20,"0-20",G1523&lt;=30,"20-30",G1523&lt;=40,"30-40",G1523&lt;=50,"50-60",G1523&lt;=60,"60-70",G1523&lt;=70,"70-80",G1523&lt;=80,"80-90")</f>
        <v>50-60</v>
      </c>
      <c r="I1523" s="13">
        <v>2494</v>
      </c>
      <c r="J1523" s="13" t="str" cm="1">
        <f t="array" ref="J1523">_xlfn.IFS(K1523=1,"Divorciado",L1523=1,"Casado",M1523=1,"Solteiro",N1523=1,"Juntos",O1523=1,"Viuvo")</f>
        <v>Casado</v>
      </c>
      <c r="K1523" s="13">
        <v>0</v>
      </c>
      <c r="L1523" s="13">
        <v>1</v>
      </c>
      <c r="M1523" s="13">
        <v>0</v>
      </c>
      <c r="N1523" s="13">
        <v>0</v>
      </c>
      <c r="O1523" s="13">
        <v>0</v>
      </c>
      <c r="P1523" s="13">
        <v>0</v>
      </c>
      <c r="Q1523" s="13">
        <v>0</v>
      </c>
      <c r="R1523" s="13">
        <v>1</v>
      </c>
      <c r="S1523" s="13">
        <v>0</v>
      </c>
      <c r="T1523" s="13">
        <v>0</v>
      </c>
      <c r="U1523" s="13">
        <v>44</v>
      </c>
      <c r="V1523" s="13" t="str" cm="1">
        <f t="array" ref="V1523">_xlfn.IFS(U1523&lt;=250,"0-R$250",U1523&lt;=500,"251-R$500",U1523&lt;=750,"501-R$750",U1523&lt;=1000,"751-R$1000",U1523&lt;=1250,"1001-R$1250",U1523&lt;=1500,"1251-R$1500")</f>
        <v>0-R$250</v>
      </c>
      <c r="W1523" s="13">
        <v>4</v>
      </c>
      <c r="X1523" s="13" t="str" cm="1">
        <f t="array" ref="X1523">_xlfn.IFS(W1523 = 0, "0", W1523&lt;=20, "até R$20",W1523&lt;=40, "21 - R$40",W1523&lt;=60, "41- R$60",W1523&lt;=80, "61 - R$80", W1523&lt;=100, "81 - R$100",W1523&lt;=120, "101 - R$120",W1523&lt;=140, "121 - R$140", W1523&lt;=160, "141- R$160", W1523&lt;=180, "161 - R$180", W1523&lt;=200, "181-R$194")</f>
        <v>até R$20</v>
      </c>
      <c r="Y1523" s="13">
        <v>21</v>
      </c>
      <c r="Z1523" s="13">
        <v>6</v>
      </c>
      <c r="AA1523" s="13">
        <v>0</v>
      </c>
      <c r="AB1523" s="13">
        <v>27</v>
      </c>
      <c r="AC1523" s="13">
        <v>2</v>
      </c>
      <c r="AD1523" s="13">
        <v>3</v>
      </c>
      <c r="AE1523" s="13">
        <v>0</v>
      </c>
      <c r="AF1523" s="13">
        <v>3</v>
      </c>
      <c r="AG1523" s="13">
        <v>7</v>
      </c>
      <c r="AH1523" s="13">
        <v>0</v>
      </c>
      <c r="AI1523" s="13">
        <v>0</v>
      </c>
      <c r="AJ1523" s="13">
        <v>0</v>
      </c>
      <c r="AK1523" s="13">
        <v>0</v>
      </c>
      <c r="AL1523" s="13">
        <v>0</v>
      </c>
      <c r="AM1523" s="13">
        <v>0</v>
      </c>
      <c r="AN1523" s="13">
        <v>0</v>
      </c>
      <c r="AO1523" s="14">
        <v>0</v>
      </c>
      <c r="AP1523" s="13">
        <v>3</v>
      </c>
      <c r="AQ1523" s="13">
        <v>11</v>
      </c>
      <c r="AR1523" s="15">
        <v>48</v>
      </c>
      <c r="AS1523" s="15">
        <v>75</v>
      </c>
    </row>
    <row r="1524" spans="1:45" x14ac:dyDescent="0.25">
      <c r="A1524">
        <v>1534</v>
      </c>
      <c r="B1524" s="11">
        <f t="shared" si="23"/>
        <v>27215</v>
      </c>
      <c r="C1524" s="12">
        <v>272150</v>
      </c>
      <c r="D1524" s="13">
        <v>2</v>
      </c>
      <c r="E1524" s="13">
        <v>1</v>
      </c>
      <c r="F1524" s="13">
        <v>50</v>
      </c>
      <c r="G1524" s="13">
        <v>59</v>
      </c>
      <c r="H1524" s="13" t="str" cm="1">
        <f t="array" ref="H1524">_xlfn.IFS(G1524&lt;=20,"0-20",G1524&lt;=30,"20-30",G1524&lt;=40,"30-40",G1524&lt;=50,"50-60",G1524&lt;=60,"60-70",G1524&lt;=70,"70-80",G1524&lt;=80,"80-90")</f>
        <v>60-70</v>
      </c>
      <c r="I1524" s="13">
        <v>2681</v>
      </c>
      <c r="J1524" s="13" t="str" cm="1">
        <f t="array" ref="J1524">_xlfn.IFS(K1524=1,"Divorciado",L1524=1,"Casado",M1524=1,"Solteiro",N1524=1,"Juntos",O1524=1,"Viuvo")</f>
        <v>Divorciado</v>
      </c>
      <c r="K1524" s="13">
        <v>1</v>
      </c>
      <c r="L1524" s="13">
        <v>0</v>
      </c>
      <c r="M1524" s="13">
        <v>0</v>
      </c>
      <c r="N1524" s="13">
        <v>0</v>
      </c>
      <c r="O1524" s="13">
        <v>0</v>
      </c>
      <c r="P1524" s="13">
        <v>0</v>
      </c>
      <c r="Q1524" s="13">
        <v>0</v>
      </c>
      <c r="R1524" s="13">
        <v>1</v>
      </c>
      <c r="S1524" s="13">
        <v>0</v>
      </c>
      <c r="T1524" s="13">
        <v>0</v>
      </c>
      <c r="U1524" s="13">
        <v>30</v>
      </c>
      <c r="V1524" s="13" t="str" cm="1">
        <f t="array" ref="V1524">_xlfn.IFS(U1524&lt;=250,"0-R$250",U1524&lt;=500,"251-R$500",U1524&lt;=750,"501-R$750",U1524&lt;=1000,"751-R$1000",U1524&lt;=1250,"1001-R$1250",U1524&lt;=1500,"1251-R$1500")</f>
        <v>0-R$250</v>
      </c>
      <c r="W1524" s="13">
        <v>5</v>
      </c>
      <c r="X1524" s="13" t="str" cm="1">
        <f t="array" ref="X1524">_xlfn.IFS(W1524 = 0, "0", W1524&lt;=20, "até R$20",W1524&lt;=40, "21 - R$40",W1524&lt;=60, "41- R$60",W1524&lt;=80, "61 - R$80", W1524&lt;=100, "81 - R$100",W1524&lt;=120, "101 - R$120",W1524&lt;=140, "121 - R$140", W1524&lt;=160, "141- R$160", W1524&lt;=180, "161 - R$180", W1524&lt;=200, "181-R$194")</f>
        <v>até R$20</v>
      </c>
      <c r="Y1524" s="13">
        <v>22</v>
      </c>
      <c r="Z1524" s="13">
        <v>8</v>
      </c>
      <c r="AA1524" s="13">
        <v>9</v>
      </c>
      <c r="AB1524" s="13">
        <v>28</v>
      </c>
      <c r="AC1524" s="13">
        <v>4</v>
      </c>
      <c r="AD1524" s="13">
        <v>2</v>
      </c>
      <c r="AE1524" s="13">
        <v>1</v>
      </c>
      <c r="AF1524" s="13">
        <v>4</v>
      </c>
      <c r="AG1524" s="13">
        <v>6</v>
      </c>
      <c r="AH1524" s="13">
        <v>0</v>
      </c>
      <c r="AI1524" s="13">
        <v>0</v>
      </c>
      <c r="AJ1524" s="13">
        <v>0</v>
      </c>
      <c r="AK1524" s="13">
        <v>0</v>
      </c>
      <c r="AL1524" s="13">
        <v>0</v>
      </c>
      <c r="AM1524" s="13">
        <v>0</v>
      </c>
      <c r="AN1524" s="13">
        <v>0</v>
      </c>
      <c r="AO1524" s="14">
        <v>0</v>
      </c>
      <c r="AP1524" s="13">
        <v>3</v>
      </c>
      <c r="AQ1524" s="13">
        <v>11</v>
      </c>
      <c r="AR1524" s="15">
        <v>46</v>
      </c>
      <c r="AS1524" s="15">
        <v>74</v>
      </c>
    </row>
    <row r="1525" spans="1:45" x14ac:dyDescent="0.25">
      <c r="A1525">
        <v>722</v>
      </c>
      <c r="B1525" s="11">
        <f t="shared" si="23"/>
        <v>34941</v>
      </c>
      <c r="C1525" s="12">
        <v>349410</v>
      </c>
      <c r="D1525" s="13">
        <v>1</v>
      </c>
      <c r="E1525" s="13">
        <v>1</v>
      </c>
      <c r="F1525" s="13">
        <v>26</v>
      </c>
      <c r="G1525" s="13">
        <v>64</v>
      </c>
      <c r="H1525" s="13" t="str" cm="1">
        <f t="array" ref="H1525">_xlfn.IFS(G1525&lt;=20,"0-20",G1525&lt;=30,"20-30",G1525&lt;=40,"30-40",G1525&lt;=50,"50-60",G1525&lt;=60,"60-70",G1525&lt;=70,"70-80",G1525&lt;=80,"80-90")</f>
        <v>70-80</v>
      </c>
      <c r="I1525" s="13">
        <v>2639</v>
      </c>
      <c r="J1525" s="13" t="str" cm="1">
        <f t="array" ref="J1525">_xlfn.IFS(K1525=1,"Divorciado",L1525=1,"Casado",M1525=1,"Solteiro",N1525=1,"Juntos",O1525=1,"Viuvo")</f>
        <v>Juntos</v>
      </c>
      <c r="K1525" s="13">
        <v>0</v>
      </c>
      <c r="L1525" s="13">
        <v>0</v>
      </c>
      <c r="M1525" s="13">
        <v>0</v>
      </c>
      <c r="N1525" s="13">
        <v>1</v>
      </c>
      <c r="O1525" s="13">
        <v>0</v>
      </c>
      <c r="P1525" s="13">
        <v>0</v>
      </c>
      <c r="Q1525" s="13">
        <v>0</v>
      </c>
      <c r="R1525" s="13">
        <v>0</v>
      </c>
      <c r="S1525" s="13">
        <v>1</v>
      </c>
      <c r="T1525" s="13">
        <v>0</v>
      </c>
      <c r="U1525" s="13">
        <v>39</v>
      </c>
      <c r="V1525" s="13" t="str" cm="1">
        <f t="array" ref="V1525">_xlfn.IFS(U1525&lt;=250,"0-R$250",U1525&lt;=500,"251-R$500",U1525&lt;=750,"501-R$750",U1525&lt;=1000,"751-R$1000",U1525&lt;=1250,"1001-R$1250",U1525&lt;=1500,"1251-R$1500")</f>
        <v>0-R$250</v>
      </c>
      <c r="W1525" s="13">
        <v>2</v>
      </c>
      <c r="X1525" s="13" t="str" cm="1">
        <f t="array" ref="X1525">_xlfn.IFS(W1525 = 0, "0", W1525&lt;=20, "até R$20",W1525&lt;=40, "21 - R$40",W1525&lt;=60, "41- R$60",W1525&lt;=80, "61 - R$80", W1525&lt;=100, "81 - R$100",W1525&lt;=120, "101 - R$120",W1525&lt;=140, "121 - R$140", W1525&lt;=160, "141- R$160", W1525&lt;=180, "161 - R$180", W1525&lt;=200, "181-R$194")</f>
        <v>até R$20</v>
      </c>
      <c r="Y1525" s="13">
        <v>25</v>
      </c>
      <c r="Z1525" s="13">
        <v>4</v>
      </c>
      <c r="AA1525" s="13">
        <v>3</v>
      </c>
      <c r="AB1525" s="13">
        <v>24</v>
      </c>
      <c r="AC1525" s="13">
        <v>2</v>
      </c>
      <c r="AD1525" s="13">
        <v>3</v>
      </c>
      <c r="AE1525" s="13">
        <v>0</v>
      </c>
      <c r="AF1525" s="13">
        <v>3</v>
      </c>
      <c r="AG1525" s="13">
        <v>8</v>
      </c>
      <c r="AH1525" s="13">
        <v>0</v>
      </c>
      <c r="AI1525" s="13">
        <v>0</v>
      </c>
      <c r="AJ1525" s="13">
        <v>0</v>
      </c>
      <c r="AK1525" s="13">
        <v>0</v>
      </c>
      <c r="AL1525" s="13">
        <v>0</v>
      </c>
      <c r="AM1525" s="13">
        <v>0</v>
      </c>
      <c r="AN1525" s="13">
        <v>0</v>
      </c>
      <c r="AO1525" s="14">
        <v>0</v>
      </c>
      <c r="AP1525" s="13">
        <v>3</v>
      </c>
      <c r="AQ1525" s="13">
        <v>11</v>
      </c>
      <c r="AR1525" s="15">
        <v>49</v>
      </c>
      <c r="AS1525" s="15">
        <v>73</v>
      </c>
    </row>
    <row r="1526" spans="1:45" x14ac:dyDescent="0.25">
      <c r="A1526">
        <v>1117</v>
      </c>
      <c r="B1526" s="11">
        <f t="shared" si="23"/>
        <v>36778</v>
      </c>
      <c r="C1526" s="16">
        <v>367780</v>
      </c>
      <c r="D1526" s="17">
        <v>1</v>
      </c>
      <c r="E1526" s="17">
        <v>1</v>
      </c>
      <c r="F1526" s="17">
        <v>63</v>
      </c>
      <c r="G1526" s="17">
        <v>52</v>
      </c>
      <c r="H1526" s="13" t="str" cm="1">
        <f t="array" ref="H1526">_xlfn.IFS(G1526&lt;=20,"0-20",G1526&lt;=30,"20-30",G1526&lt;=40,"30-40",G1526&lt;=50,"50-60",G1526&lt;=60,"60-70",G1526&lt;=70,"70-80",G1526&lt;=80,"80-90")</f>
        <v>60-70</v>
      </c>
      <c r="I1526" s="17">
        <v>2852</v>
      </c>
      <c r="J1526" s="13" t="str" cm="1">
        <f t="array" ref="J1526">_xlfn.IFS(K1526=1,"Divorciado",L1526=1,"Casado",M1526=1,"Solteiro",N1526=1,"Juntos",O1526=1,"Viuvo")</f>
        <v>Casado</v>
      </c>
      <c r="K1526" s="17">
        <v>0</v>
      </c>
      <c r="L1526" s="17">
        <v>1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1</v>
      </c>
      <c r="U1526" s="17">
        <v>29</v>
      </c>
      <c r="V1526" s="13" t="str" cm="1">
        <f t="array" ref="V1526">_xlfn.IFS(U1526&lt;=250,"0-R$250",U1526&lt;=500,"251-R$500",U1526&lt;=750,"501-R$750",U1526&lt;=1000,"751-R$1000",U1526&lt;=1250,"1001-R$1250",U1526&lt;=1500,"1251-R$1500")</f>
        <v>0-R$250</v>
      </c>
      <c r="W1526" s="17">
        <v>4</v>
      </c>
      <c r="X1526" s="13" t="str" cm="1">
        <f t="array" ref="X1526">_xlfn.IFS(W1526 = 0, "0", W1526&lt;=20, "até R$20",W1526&lt;=40, "21 - R$40",W1526&lt;=60, "41- R$60",W1526&lt;=80, "61 - R$80", W1526&lt;=100, "81 - R$100",W1526&lt;=120, "101 - R$120",W1526&lt;=140, "121 - R$140", W1526&lt;=160, "141- R$160", W1526&lt;=180, "161 - R$180", W1526&lt;=200, "181-R$194")</f>
        <v>até R$20</v>
      </c>
      <c r="Y1526" s="17">
        <v>34</v>
      </c>
      <c r="Z1526" s="17">
        <v>2</v>
      </c>
      <c r="AA1526" s="17">
        <v>4</v>
      </c>
      <c r="AB1526" s="17">
        <v>4</v>
      </c>
      <c r="AC1526" s="17">
        <v>3</v>
      </c>
      <c r="AD1526" s="17">
        <v>3</v>
      </c>
      <c r="AE1526" s="17">
        <v>0</v>
      </c>
      <c r="AF1526" s="17">
        <v>3</v>
      </c>
      <c r="AG1526" s="17">
        <v>9</v>
      </c>
      <c r="AH1526" s="17">
        <v>0</v>
      </c>
      <c r="AI1526" s="17">
        <v>0</v>
      </c>
      <c r="AJ1526" s="17">
        <v>0</v>
      </c>
      <c r="AK1526" s="17">
        <v>0</v>
      </c>
      <c r="AL1526" s="17">
        <v>0</v>
      </c>
      <c r="AM1526" s="17">
        <v>0</v>
      </c>
      <c r="AN1526" s="17">
        <v>0</v>
      </c>
      <c r="AO1526" s="18">
        <v>0</v>
      </c>
      <c r="AP1526" s="17">
        <v>3</v>
      </c>
      <c r="AQ1526" s="17">
        <v>11</v>
      </c>
      <c r="AR1526" s="19">
        <v>69</v>
      </c>
      <c r="AS1526" s="19">
        <v>73</v>
      </c>
    </row>
    <row r="1527" spans="1:45" x14ac:dyDescent="0.25">
      <c r="A1527">
        <v>1650</v>
      </c>
      <c r="B1527" s="11">
        <f t="shared" si="23"/>
        <v>20193</v>
      </c>
      <c r="C1527" s="12">
        <v>201930</v>
      </c>
      <c r="D1527" s="13">
        <v>0</v>
      </c>
      <c r="E1527" s="13">
        <v>0</v>
      </c>
      <c r="F1527" s="13">
        <v>18</v>
      </c>
      <c r="G1527" s="13">
        <v>29</v>
      </c>
      <c r="H1527" s="13" t="str" cm="1">
        <f t="array" ref="H1527">_xlfn.IFS(G1527&lt;=20,"0-20",G1527&lt;=30,"20-30",G1527&lt;=40,"30-40",G1527&lt;=50,"50-60",G1527&lt;=60,"60-70",G1527&lt;=70,"70-80",G1527&lt;=80,"80-90")</f>
        <v>20-30</v>
      </c>
      <c r="I1527" s="13">
        <v>2737</v>
      </c>
      <c r="J1527" s="13" t="str" cm="1">
        <f t="array" ref="J1527">_xlfn.IFS(K1527=1,"Divorciado",L1527=1,"Casado",M1527=1,"Solteiro",N1527=1,"Juntos",O1527=1,"Viuvo")</f>
        <v>Juntos</v>
      </c>
      <c r="K1527" s="13">
        <v>0</v>
      </c>
      <c r="L1527" s="13">
        <v>0</v>
      </c>
      <c r="M1527" s="13">
        <v>0</v>
      </c>
      <c r="N1527" s="13">
        <v>1</v>
      </c>
      <c r="O1527" s="13">
        <v>0</v>
      </c>
      <c r="P1527" s="13">
        <v>1</v>
      </c>
      <c r="Q1527" s="13">
        <v>0</v>
      </c>
      <c r="R1527" s="13">
        <v>0</v>
      </c>
      <c r="S1527" s="13">
        <v>0</v>
      </c>
      <c r="T1527" s="13">
        <v>0</v>
      </c>
      <c r="U1527" s="13">
        <v>8</v>
      </c>
      <c r="V1527" s="13" t="str" cm="1">
        <f t="array" ref="V1527">_xlfn.IFS(U1527&lt;=250,"0-R$250",U1527&lt;=500,"251-R$500",U1527&lt;=750,"501-R$750",U1527&lt;=1000,"751-R$1000",U1527&lt;=1250,"1001-R$1250",U1527&lt;=1500,"1251-R$1500")</f>
        <v>0-R$250</v>
      </c>
      <c r="W1527" s="13">
        <v>8</v>
      </c>
      <c r="X1527" s="13" t="str" cm="1">
        <f t="array" ref="X1527">_xlfn.IFS(W1527 = 0, "0", W1527&lt;=20, "até R$20",W1527&lt;=40, "21 - R$40",W1527&lt;=60, "41- R$60",W1527&lt;=80, "61 - R$80", W1527&lt;=100, "81 - R$100",W1527&lt;=120, "101 - R$120",W1527&lt;=140, "121 - R$140", W1527&lt;=160, "141- R$160", W1527&lt;=180, "161 - R$180", W1527&lt;=200, "181-R$194")</f>
        <v>até R$20</v>
      </c>
      <c r="Y1527" s="13">
        <v>22</v>
      </c>
      <c r="Z1527" s="13">
        <v>24</v>
      </c>
      <c r="AA1527" s="13">
        <v>11</v>
      </c>
      <c r="AB1527" s="13">
        <v>9</v>
      </c>
      <c r="AC1527" s="13">
        <v>1</v>
      </c>
      <c r="AD1527" s="13">
        <v>1</v>
      </c>
      <c r="AE1527" s="13">
        <v>1</v>
      </c>
      <c r="AF1527" s="13">
        <v>4</v>
      </c>
      <c r="AG1527" s="13">
        <v>4</v>
      </c>
      <c r="AH1527" s="13">
        <v>0</v>
      </c>
      <c r="AI1527" s="13">
        <v>0</v>
      </c>
      <c r="AJ1527" s="13">
        <v>0</v>
      </c>
      <c r="AK1527" s="13">
        <v>0</v>
      </c>
      <c r="AL1527" s="13">
        <v>0</v>
      </c>
      <c r="AM1527" s="13">
        <v>0</v>
      </c>
      <c r="AN1527" s="13">
        <v>0</v>
      </c>
      <c r="AO1527" s="14">
        <v>0</v>
      </c>
      <c r="AP1527" s="13">
        <v>3</v>
      </c>
      <c r="AQ1527" s="13">
        <v>11</v>
      </c>
      <c r="AR1527" s="15">
        <v>64</v>
      </c>
      <c r="AS1527" s="15">
        <v>73</v>
      </c>
    </row>
    <row r="1528" spans="1:45" x14ac:dyDescent="0.25">
      <c r="A1528">
        <v>44</v>
      </c>
      <c r="B1528" s="11">
        <f t="shared" si="23"/>
        <v>7500</v>
      </c>
      <c r="C1528" s="12">
        <v>75000</v>
      </c>
      <c r="D1528" s="13">
        <v>0</v>
      </c>
      <c r="E1528" s="13">
        <v>0</v>
      </c>
      <c r="F1528" s="13">
        <v>24</v>
      </c>
      <c r="G1528" s="13">
        <v>24</v>
      </c>
      <c r="H1528" s="13" t="str" cm="1">
        <f t="array" ref="H1528">_xlfn.IFS(G1528&lt;=20,"0-20",G1528&lt;=30,"20-30",G1528&lt;=40,"30-40",G1528&lt;=50,"50-60",G1528&lt;=60,"60-70",G1528&lt;=70,"70-80",G1528&lt;=80,"80-90")</f>
        <v>20-30</v>
      </c>
      <c r="I1528" s="13">
        <v>2756</v>
      </c>
      <c r="J1528" s="13" t="str" cm="1">
        <f t="array" ref="J1528">_xlfn.IFS(K1528=1,"Divorciado",L1528=1,"Casado",M1528=1,"Solteiro",N1528=1,"Juntos",O1528=1,"Viuvo")</f>
        <v>Casado</v>
      </c>
      <c r="K1528" s="13">
        <v>0</v>
      </c>
      <c r="L1528" s="13">
        <v>1</v>
      </c>
      <c r="M1528" s="13">
        <v>0</v>
      </c>
      <c r="N1528" s="13">
        <v>0</v>
      </c>
      <c r="O1528" s="13">
        <v>0</v>
      </c>
      <c r="P1528" s="13">
        <v>1</v>
      </c>
      <c r="Q1528" s="13">
        <v>0</v>
      </c>
      <c r="R1528" s="13">
        <v>0</v>
      </c>
      <c r="S1528" s="13">
        <v>0</v>
      </c>
      <c r="T1528" s="13">
        <v>0</v>
      </c>
      <c r="U1528" s="13">
        <v>3</v>
      </c>
      <c r="V1528" s="13" t="str" cm="1">
        <f t="array" ref="V1528">_xlfn.IFS(U1528&lt;=250,"0-R$250",U1528&lt;=500,"251-R$500",U1528&lt;=750,"501-R$750",U1528&lt;=1000,"751-R$1000",U1528&lt;=1250,"1001-R$1250",U1528&lt;=1500,"1251-R$1500")</f>
        <v>0-R$250</v>
      </c>
      <c r="W1528" s="13">
        <v>18</v>
      </c>
      <c r="X1528" s="13" t="str" cm="1">
        <f t="array" ref="X1528">_xlfn.IFS(W1528 = 0, "0", W1528&lt;=20, "até R$20",W1528&lt;=40, "21 - R$40",W1528&lt;=60, "41- R$60",W1528&lt;=80, "61 - R$80", W1528&lt;=100, "81 - R$100",W1528&lt;=120, "101 - R$120",W1528&lt;=140, "121 - R$140", W1528&lt;=160, "141- R$160", W1528&lt;=180, "161 - R$180", W1528&lt;=200, "181-R$194")</f>
        <v>até R$20</v>
      </c>
      <c r="Y1528" s="13">
        <v>14</v>
      </c>
      <c r="Z1528" s="13">
        <v>15</v>
      </c>
      <c r="AA1528" s="13">
        <v>22</v>
      </c>
      <c r="AB1528" s="13">
        <v>50</v>
      </c>
      <c r="AC1528" s="13">
        <v>3</v>
      </c>
      <c r="AD1528" s="13">
        <v>3</v>
      </c>
      <c r="AE1528" s="13">
        <v>1</v>
      </c>
      <c r="AF1528" s="13">
        <v>3</v>
      </c>
      <c r="AG1528" s="13">
        <v>9</v>
      </c>
      <c r="AH1528" s="13">
        <v>0</v>
      </c>
      <c r="AI1528" s="13">
        <v>0</v>
      </c>
      <c r="AJ1528" s="13">
        <v>0</v>
      </c>
      <c r="AK1528" s="13">
        <v>0</v>
      </c>
      <c r="AL1528" s="13">
        <v>0</v>
      </c>
      <c r="AM1528" s="13">
        <v>0</v>
      </c>
      <c r="AN1528" s="13">
        <v>1</v>
      </c>
      <c r="AO1528" s="14">
        <v>0</v>
      </c>
      <c r="AP1528" s="13">
        <v>3</v>
      </c>
      <c r="AQ1528" s="13">
        <v>11</v>
      </c>
      <c r="AR1528" s="15">
        <v>22</v>
      </c>
      <c r="AS1528" s="15">
        <v>72</v>
      </c>
    </row>
    <row r="1529" spans="1:45" x14ac:dyDescent="0.25">
      <c r="A1529">
        <v>1159</v>
      </c>
      <c r="B1529" s="11">
        <f t="shared" si="23"/>
        <v>28510</v>
      </c>
      <c r="C1529" s="16">
        <v>285100</v>
      </c>
      <c r="D1529" s="17">
        <v>1</v>
      </c>
      <c r="E1529" s="17">
        <v>1</v>
      </c>
      <c r="F1529" s="17">
        <v>72</v>
      </c>
      <c r="G1529" s="17">
        <v>39</v>
      </c>
      <c r="H1529" s="13" t="str" cm="1">
        <f t="array" ref="H1529">_xlfn.IFS(G1529&lt;=20,"0-20",G1529&lt;=30,"20-30",G1529&lt;=40,"30-40",G1529&lt;=50,"50-60",G1529&lt;=60,"60-70",G1529&lt;=70,"70-80",G1529&lt;=80,"80-90")</f>
        <v>30-40</v>
      </c>
      <c r="I1529" s="17">
        <v>2601</v>
      </c>
      <c r="J1529" s="13" t="str" cm="1">
        <f t="array" ref="J1529">_xlfn.IFS(K1529=1,"Divorciado",L1529=1,"Casado",M1529=1,"Solteiro",N1529=1,"Juntos",O1529=1,"Viuvo")</f>
        <v>Divorciado</v>
      </c>
      <c r="K1529" s="17">
        <v>1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1</v>
      </c>
      <c r="S1529" s="17">
        <v>0</v>
      </c>
      <c r="T1529" s="17">
        <v>0</v>
      </c>
      <c r="U1529" s="17">
        <v>44</v>
      </c>
      <c r="V1529" s="13" t="str" cm="1">
        <f t="array" ref="V1529">_xlfn.IFS(U1529&lt;=250,"0-R$250",U1529&lt;=500,"251-R$500",U1529&lt;=750,"501-R$750",U1529&lt;=1000,"751-R$1000",U1529&lt;=1250,"1001-R$1250",U1529&lt;=1500,"1251-R$1500")</f>
        <v>0-R$250</v>
      </c>
      <c r="W1529" s="17">
        <v>5</v>
      </c>
      <c r="X1529" s="13" t="str" cm="1">
        <f t="array" ref="X1529">_xlfn.IFS(W1529 = 0, "0", W1529&lt;=20, "até R$20",W1529&lt;=40, "21 - R$40",W1529&lt;=60, "41- R$60",W1529&lt;=80, "61 - R$80", W1529&lt;=100, "81 - R$100",W1529&lt;=120, "101 - R$120",W1529&lt;=140, "121 - R$140", W1529&lt;=160, "141- R$160", W1529&lt;=180, "161 - R$180", W1529&lt;=200, "181-R$194")</f>
        <v>até R$20</v>
      </c>
      <c r="Y1529" s="17">
        <v>19</v>
      </c>
      <c r="Z1529" s="17">
        <v>0</v>
      </c>
      <c r="AA1529" s="17">
        <v>4</v>
      </c>
      <c r="AB1529" s="17">
        <v>19</v>
      </c>
      <c r="AC1529" s="17">
        <v>3</v>
      </c>
      <c r="AD1529" s="17">
        <v>2</v>
      </c>
      <c r="AE1529" s="17">
        <v>0</v>
      </c>
      <c r="AF1529" s="17">
        <v>4</v>
      </c>
      <c r="AG1529" s="17">
        <v>5</v>
      </c>
      <c r="AH1529" s="17">
        <v>0</v>
      </c>
      <c r="AI1529" s="17">
        <v>0</v>
      </c>
      <c r="AJ1529" s="17">
        <v>0</v>
      </c>
      <c r="AK1529" s="17">
        <v>0</v>
      </c>
      <c r="AL1529" s="17">
        <v>0</v>
      </c>
      <c r="AM1529" s="17">
        <v>0</v>
      </c>
      <c r="AN1529" s="17">
        <v>0</v>
      </c>
      <c r="AO1529" s="18">
        <v>0</v>
      </c>
      <c r="AP1529" s="17">
        <v>3</v>
      </c>
      <c r="AQ1529" s="17">
        <v>11</v>
      </c>
      <c r="AR1529" s="19">
        <v>53</v>
      </c>
      <c r="AS1529" s="19">
        <v>72</v>
      </c>
    </row>
    <row r="1530" spans="1:45" x14ac:dyDescent="0.25">
      <c r="A1530">
        <v>163</v>
      </c>
      <c r="B1530" s="11">
        <f t="shared" si="23"/>
        <v>52074</v>
      </c>
      <c r="C1530" s="16">
        <v>520740</v>
      </c>
      <c r="D1530" s="17">
        <v>0</v>
      </c>
      <c r="E1530" s="17">
        <v>1</v>
      </c>
      <c r="F1530" s="17">
        <v>77</v>
      </c>
      <c r="G1530" s="17">
        <v>53</v>
      </c>
      <c r="H1530" s="13" t="str" cm="1">
        <f t="array" ref="H1530">_xlfn.IFS(G1530&lt;=20,"0-20",G1530&lt;=30,"20-30",G1530&lt;=40,"30-40",G1530&lt;=50,"50-60",G1530&lt;=60,"60-70",G1530&lt;=70,"70-80",G1530&lt;=80,"80-90")</f>
        <v>60-70</v>
      </c>
      <c r="I1530" s="17">
        <v>2245</v>
      </c>
      <c r="J1530" s="13" t="str" cm="1">
        <f t="array" ref="J1530">_xlfn.IFS(K1530=1,"Divorciado",L1530=1,"Casado",M1530=1,"Solteiro",N1530=1,"Juntos",O1530=1,"Viuvo")</f>
        <v>Solteiro</v>
      </c>
      <c r="K1530" s="17">
        <v>0</v>
      </c>
      <c r="L1530" s="17">
        <v>0</v>
      </c>
      <c r="M1530" s="17">
        <v>1</v>
      </c>
      <c r="N1530" s="17">
        <v>0</v>
      </c>
      <c r="O1530" s="17">
        <v>0</v>
      </c>
      <c r="P1530" s="17">
        <v>0</v>
      </c>
      <c r="Q1530" s="17">
        <v>0</v>
      </c>
      <c r="R1530" s="17">
        <v>1</v>
      </c>
      <c r="S1530" s="17">
        <v>0</v>
      </c>
      <c r="T1530" s="17">
        <v>0</v>
      </c>
      <c r="U1530" s="17">
        <v>59</v>
      </c>
      <c r="V1530" s="13" t="str" cm="1">
        <f t="array" ref="V1530">_xlfn.IFS(U1530&lt;=250,"0-R$250",U1530&lt;=500,"251-R$500",U1530&lt;=750,"501-R$750",U1530&lt;=1000,"751-R$1000",U1530&lt;=1250,"1001-R$1250",U1530&lt;=1500,"1251-R$1500")</f>
        <v>0-R$250</v>
      </c>
      <c r="W1530" s="17">
        <v>0</v>
      </c>
      <c r="X1530" s="13" t="str" cm="1">
        <f t="array" ref="X1530">_xlfn.IFS(W1530 = 0, "0", W1530&lt;=20, "até R$20",W1530&lt;=40, "21 - R$40",W1530&lt;=60, "41- R$60",W1530&lt;=80, "61 - R$80", W1530&lt;=100, "81 - R$100",W1530&lt;=120, "101 - R$120",W1530&lt;=140, "121 - R$140", W1530&lt;=160, "141- R$160", W1530&lt;=180, "161 - R$180", W1530&lt;=200, "181-R$194")</f>
        <v>0</v>
      </c>
      <c r="Y1530" s="17">
        <v>12</v>
      </c>
      <c r="Z1530" s="17">
        <v>0</v>
      </c>
      <c r="AA1530" s="17">
        <v>0</v>
      </c>
      <c r="AB1530" s="17">
        <v>48</v>
      </c>
      <c r="AC1530" s="17">
        <v>1</v>
      </c>
      <c r="AD1530" s="17">
        <v>2</v>
      </c>
      <c r="AE1530" s="17">
        <v>2</v>
      </c>
      <c r="AF1530" s="17">
        <v>2</v>
      </c>
      <c r="AG1530" s="17">
        <v>4</v>
      </c>
      <c r="AH1530" s="17">
        <v>0</v>
      </c>
      <c r="AI1530" s="17">
        <v>1</v>
      </c>
      <c r="AJ1530" s="17">
        <v>0</v>
      </c>
      <c r="AK1530" s="17">
        <v>0</v>
      </c>
      <c r="AL1530" s="17">
        <v>0</v>
      </c>
      <c r="AM1530" s="17">
        <v>0</v>
      </c>
      <c r="AN1530" s="17">
        <v>0</v>
      </c>
      <c r="AO1530" s="18">
        <v>1</v>
      </c>
      <c r="AP1530" s="17">
        <v>3</v>
      </c>
      <c r="AQ1530" s="17">
        <v>11</v>
      </c>
      <c r="AR1530" s="19">
        <v>23</v>
      </c>
      <c r="AS1530" s="19">
        <v>71</v>
      </c>
    </row>
    <row r="1531" spans="1:45" x14ac:dyDescent="0.25">
      <c r="A1531">
        <v>1122</v>
      </c>
      <c r="B1531" s="11">
        <f t="shared" si="23"/>
        <v>37155</v>
      </c>
      <c r="C1531" s="12">
        <v>371550</v>
      </c>
      <c r="D1531" s="13">
        <v>1</v>
      </c>
      <c r="E1531" s="13">
        <v>0</v>
      </c>
      <c r="F1531" s="13">
        <v>51</v>
      </c>
      <c r="G1531" s="13">
        <v>31</v>
      </c>
      <c r="H1531" s="13" t="str" cm="1">
        <f t="array" ref="H1531">_xlfn.IFS(G1531&lt;=20,"0-20",G1531&lt;=30,"20-30",G1531&lt;=40,"30-40",G1531&lt;=50,"50-60",G1531&lt;=60,"60-70",G1531&lt;=70,"70-80",G1531&lt;=80,"80-90")</f>
        <v>30-40</v>
      </c>
      <c r="I1531" s="13">
        <v>2673</v>
      </c>
      <c r="J1531" s="13" t="str" cm="1">
        <f t="array" ref="J1531">_xlfn.IFS(K1531=1,"Divorciado",L1531=1,"Casado",M1531=1,"Solteiro",N1531=1,"Juntos",O1531=1,"Viuvo")</f>
        <v>Casado</v>
      </c>
      <c r="K1531" s="13">
        <v>0</v>
      </c>
      <c r="L1531" s="13">
        <v>1</v>
      </c>
      <c r="M1531" s="13">
        <v>0</v>
      </c>
      <c r="N1531" s="13">
        <v>0</v>
      </c>
      <c r="O1531" s="13">
        <v>0</v>
      </c>
      <c r="P1531" s="13">
        <v>0</v>
      </c>
      <c r="Q1531" s="13">
        <v>0</v>
      </c>
      <c r="R1531" s="13">
        <v>1</v>
      </c>
      <c r="S1531" s="13">
        <v>0</v>
      </c>
      <c r="T1531" s="13">
        <v>0</v>
      </c>
      <c r="U1531" s="13">
        <v>23</v>
      </c>
      <c r="V1531" s="13" t="str" cm="1">
        <f t="array" ref="V1531">_xlfn.IFS(U1531&lt;=250,"0-R$250",U1531&lt;=500,"251-R$500",U1531&lt;=750,"501-R$750",U1531&lt;=1000,"751-R$1000",U1531&lt;=1250,"1001-R$1250",U1531&lt;=1500,"1251-R$1500")</f>
        <v>0-R$250</v>
      </c>
      <c r="W1531" s="13">
        <v>0</v>
      </c>
      <c r="X1531" s="13" t="str" cm="1">
        <f t="array" ref="X1531">_xlfn.IFS(W1531 = 0, "0", W1531&lt;=20, "até R$20",W1531&lt;=40, "21 - R$40",W1531&lt;=60, "41- R$60",W1531&lt;=80, "61 - R$80", W1531&lt;=100, "81 - R$100",W1531&lt;=120, "101 - R$120",W1531&lt;=140, "121 - R$140", W1531&lt;=160, "141- R$160", W1531&lt;=180, "161 - R$180", W1531&lt;=200, "181-R$194")</f>
        <v>0</v>
      </c>
      <c r="Y1531" s="13">
        <v>26</v>
      </c>
      <c r="Z1531" s="13">
        <v>7</v>
      </c>
      <c r="AA1531" s="13">
        <v>15</v>
      </c>
      <c r="AB1531" s="13">
        <v>3</v>
      </c>
      <c r="AC1531" s="13">
        <v>1</v>
      </c>
      <c r="AD1531" s="13">
        <v>2</v>
      </c>
      <c r="AE1531" s="13">
        <v>0</v>
      </c>
      <c r="AF1531" s="13">
        <v>4</v>
      </c>
      <c r="AG1531" s="13">
        <v>5</v>
      </c>
      <c r="AH1531" s="13">
        <v>0</v>
      </c>
      <c r="AI1531" s="13">
        <v>0</v>
      </c>
      <c r="AJ1531" s="13">
        <v>0</v>
      </c>
      <c r="AK1531" s="13">
        <v>0</v>
      </c>
      <c r="AL1531" s="13">
        <v>0</v>
      </c>
      <c r="AM1531" s="13">
        <v>0</v>
      </c>
      <c r="AN1531" s="13">
        <v>0</v>
      </c>
      <c r="AO1531" s="14">
        <v>0</v>
      </c>
      <c r="AP1531" s="13">
        <v>3</v>
      </c>
      <c r="AQ1531" s="13">
        <v>11</v>
      </c>
      <c r="AR1531" s="15">
        <v>68</v>
      </c>
      <c r="AS1531" s="15">
        <v>71</v>
      </c>
    </row>
    <row r="1532" spans="1:45" x14ac:dyDescent="0.25">
      <c r="A1532">
        <v>1923</v>
      </c>
      <c r="B1532" s="11">
        <f t="shared" si="23"/>
        <v>36065</v>
      </c>
      <c r="C1532" s="16">
        <v>360650</v>
      </c>
      <c r="D1532" s="17">
        <v>1</v>
      </c>
      <c r="E1532" s="17">
        <v>1</v>
      </c>
      <c r="F1532" s="17">
        <v>54</v>
      </c>
      <c r="G1532" s="17">
        <v>52</v>
      </c>
      <c r="H1532" s="13" t="str" cm="1">
        <f t="array" ref="H1532">_xlfn.IFS(G1532&lt;=20,"0-20",G1532&lt;=30,"20-30",G1532&lt;=40,"30-40",G1532&lt;=50,"50-60",G1532&lt;=60,"60-70",G1532&lt;=70,"70-80",G1532&lt;=80,"80-90")</f>
        <v>60-70</v>
      </c>
      <c r="I1532" s="17">
        <v>2614</v>
      </c>
      <c r="J1532" s="13" t="str" cm="1">
        <f t="array" ref="J1532">_xlfn.IFS(K1532=1,"Divorciado",L1532=1,"Casado",M1532=1,"Solteiro",N1532=1,"Juntos",O1532=1,"Viuvo")</f>
        <v>Solteiro</v>
      </c>
      <c r="K1532" s="17">
        <v>0</v>
      </c>
      <c r="L1532" s="17">
        <v>0</v>
      </c>
      <c r="M1532" s="17">
        <v>1</v>
      </c>
      <c r="N1532" s="17">
        <v>0</v>
      </c>
      <c r="O1532" s="17">
        <v>0</v>
      </c>
      <c r="P1532" s="17">
        <v>0</v>
      </c>
      <c r="Q1532" s="17">
        <v>0</v>
      </c>
      <c r="R1532" s="17">
        <v>1</v>
      </c>
      <c r="S1532" s="17">
        <v>0</v>
      </c>
      <c r="T1532" s="17">
        <v>0</v>
      </c>
      <c r="U1532" s="17">
        <v>18</v>
      </c>
      <c r="V1532" s="13" t="str" cm="1">
        <f t="array" ref="V1532">_xlfn.IFS(U1532&lt;=250,"0-R$250",U1532&lt;=500,"251-R$500",U1532&lt;=750,"501-R$750",U1532&lt;=1000,"751-R$1000",U1532&lt;=1250,"1001-R$1250",U1532&lt;=1500,"1251-R$1500")</f>
        <v>0-R$250</v>
      </c>
      <c r="W1532" s="17">
        <v>7</v>
      </c>
      <c r="X1532" s="13" t="str" cm="1">
        <f t="array" ref="X1532">_xlfn.IFS(W1532 = 0, "0", W1532&lt;=20, "até R$20",W1532&lt;=40, "21 - R$40",W1532&lt;=60, "41- R$60",W1532&lt;=80, "61 - R$80", W1532&lt;=100, "81 - R$100",W1532&lt;=120, "101 - R$120",W1532&lt;=140, "121 - R$140", W1532&lt;=160, "141- R$160", W1532&lt;=180, "161 - R$180", W1532&lt;=200, "181-R$194")</f>
        <v>até R$20</v>
      </c>
      <c r="Y1532" s="17">
        <v>34</v>
      </c>
      <c r="Z1532" s="17">
        <v>10</v>
      </c>
      <c r="AA1532" s="17">
        <v>2</v>
      </c>
      <c r="AB1532" s="17">
        <v>3</v>
      </c>
      <c r="AC1532" s="17">
        <v>3</v>
      </c>
      <c r="AD1532" s="17">
        <v>3</v>
      </c>
      <c r="AE1532" s="17">
        <v>0</v>
      </c>
      <c r="AF1532" s="17">
        <v>3</v>
      </c>
      <c r="AG1532" s="17">
        <v>8</v>
      </c>
      <c r="AH1532" s="17">
        <v>0</v>
      </c>
      <c r="AI1532" s="17">
        <v>0</v>
      </c>
      <c r="AJ1532" s="17">
        <v>0</v>
      </c>
      <c r="AK1532" s="17">
        <v>0</v>
      </c>
      <c r="AL1532" s="17">
        <v>0</v>
      </c>
      <c r="AM1532" s="17">
        <v>0</v>
      </c>
      <c r="AN1532" s="17">
        <v>0</v>
      </c>
      <c r="AO1532" s="18">
        <v>0</v>
      </c>
      <c r="AP1532" s="17">
        <v>3</v>
      </c>
      <c r="AQ1532" s="17">
        <v>11</v>
      </c>
      <c r="AR1532" s="19">
        <v>68</v>
      </c>
      <c r="AS1532" s="19">
        <v>71</v>
      </c>
    </row>
    <row r="1533" spans="1:45" x14ac:dyDescent="0.25">
      <c r="A1533">
        <v>2050</v>
      </c>
      <c r="B1533" s="11">
        <f t="shared" si="23"/>
        <v>22123</v>
      </c>
      <c r="C1533" s="12">
        <v>221230</v>
      </c>
      <c r="D1533" s="13">
        <v>0</v>
      </c>
      <c r="E1533" s="13">
        <v>0</v>
      </c>
      <c r="F1533" s="13">
        <v>77</v>
      </c>
      <c r="G1533" s="13">
        <v>60</v>
      </c>
      <c r="H1533" s="13" t="str" cm="1">
        <f t="array" ref="H1533">_xlfn.IFS(G1533&lt;=20,"0-20",G1533&lt;=30,"20-30",G1533&lt;=40,"30-40",G1533&lt;=50,"50-60",G1533&lt;=60,"60-70",G1533&lt;=70,"70-80",G1533&lt;=80,"80-90")</f>
        <v>60-70</v>
      </c>
      <c r="I1533" s="13">
        <v>2253</v>
      </c>
      <c r="J1533" s="13" t="str" cm="1">
        <f t="array" ref="J1533">_xlfn.IFS(K1533=1,"Divorciado",L1533=1,"Casado",M1533=1,"Solteiro",N1533=1,"Juntos",O1533=1,"Viuvo")</f>
        <v>Viuvo</v>
      </c>
      <c r="K1533" s="13">
        <v>0</v>
      </c>
      <c r="L1533" s="13">
        <v>0</v>
      </c>
      <c r="M1533" s="13">
        <v>0</v>
      </c>
      <c r="N1533" s="13">
        <v>0</v>
      </c>
      <c r="O1533" s="13">
        <v>1</v>
      </c>
      <c r="P1533" s="13">
        <v>0</v>
      </c>
      <c r="Q1533" s="13">
        <v>1</v>
      </c>
      <c r="R1533" s="13">
        <v>0</v>
      </c>
      <c r="S1533" s="13">
        <v>0</v>
      </c>
      <c r="T1533" s="13">
        <v>0</v>
      </c>
      <c r="U1533" s="13">
        <v>3</v>
      </c>
      <c r="V1533" s="13" t="str" cm="1">
        <f t="array" ref="V1533">_xlfn.IFS(U1533&lt;=250,"0-R$250",U1533&lt;=500,"251-R$500",U1533&lt;=750,"501-R$750",U1533&lt;=1000,"751-R$1000",U1533&lt;=1250,"1001-R$1250",U1533&lt;=1500,"1251-R$1500")</f>
        <v>0-R$250</v>
      </c>
      <c r="W1533" s="13">
        <v>3</v>
      </c>
      <c r="X1533" s="13" t="str" cm="1">
        <f t="array" ref="X1533">_xlfn.IFS(W1533 = 0, "0", W1533&lt;=20, "até R$20",W1533&lt;=40, "21 - R$40",W1533&lt;=60, "41- R$60",W1533&lt;=80, "61 - R$80", W1533&lt;=100, "81 - R$100",W1533&lt;=120, "101 - R$120",W1533&lt;=140, "121 - R$140", W1533&lt;=160, "141- R$160", W1533&lt;=180, "161 - R$180", W1533&lt;=200, "181-R$194")</f>
        <v>até R$20</v>
      </c>
      <c r="Y1533" s="13">
        <v>24</v>
      </c>
      <c r="Z1533" s="13">
        <v>34</v>
      </c>
      <c r="AA1533" s="13">
        <v>7</v>
      </c>
      <c r="AB1533" s="13">
        <v>31</v>
      </c>
      <c r="AC1533" s="13">
        <v>1</v>
      </c>
      <c r="AD1533" s="13">
        <v>2</v>
      </c>
      <c r="AE1533" s="13">
        <v>1</v>
      </c>
      <c r="AF1533" s="13">
        <v>3</v>
      </c>
      <c r="AG1533" s="13">
        <v>5</v>
      </c>
      <c r="AH1533" s="13">
        <v>0</v>
      </c>
      <c r="AI1533" s="13">
        <v>0</v>
      </c>
      <c r="AJ1533" s="13">
        <v>0</v>
      </c>
      <c r="AK1533" s="13">
        <v>0</v>
      </c>
      <c r="AL1533" s="13">
        <v>0</v>
      </c>
      <c r="AM1533" s="13">
        <v>0</v>
      </c>
      <c r="AN1533" s="13">
        <v>0</v>
      </c>
      <c r="AO1533" s="14">
        <v>0</v>
      </c>
      <c r="AP1533" s="13">
        <v>3</v>
      </c>
      <c r="AQ1533" s="13">
        <v>11</v>
      </c>
      <c r="AR1533" s="15">
        <v>40</v>
      </c>
      <c r="AS1533" s="15">
        <v>71</v>
      </c>
    </row>
    <row r="1534" spans="1:45" x14ac:dyDescent="0.25">
      <c r="A1534">
        <v>113</v>
      </c>
      <c r="B1534" s="11">
        <f t="shared" si="23"/>
        <v>32557</v>
      </c>
      <c r="C1534" s="16">
        <v>325570</v>
      </c>
      <c r="D1534" s="17">
        <v>1</v>
      </c>
      <c r="E1534" s="17">
        <v>0</v>
      </c>
      <c r="F1534" s="17">
        <v>13</v>
      </c>
      <c r="G1534" s="17">
        <v>53</v>
      </c>
      <c r="H1534" s="13" t="str" cm="1">
        <f t="array" ref="H1534">_xlfn.IFS(G1534&lt;=20,"0-20",G1534&lt;=30,"20-30",G1534&lt;=40,"30-40",G1534&lt;=50,"50-60",G1534&lt;=60,"60-70",G1534&lt;=70,"70-80",G1534&lt;=80,"80-90")</f>
        <v>60-70</v>
      </c>
      <c r="I1534" s="17">
        <v>2284</v>
      </c>
      <c r="J1534" s="13" t="str" cm="1">
        <f t="array" ref="J1534">_xlfn.IFS(K1534=1,"Divorciado",L1534=1,"Casado",M1534=1,"Solteiro",N1534=1,"Juntos",O1534=1,"Viuvo")</f>
        <v>Solteiro</v>
      </c>
      <c r="K1534" s="17">
        <v>0</v>
      </c>
      <c r="L1534" s="17">
        <v>0</v>
      </c>
      <c r="M1534" s="17">
        <v>1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1</v>
      </c>
      <c r="T1534" s="17">
        <v>0</v>
      </c>
      <c r="U1534" s="17">
        <v>34</v>
      </c>
      <c r="V1534" s="13" t="str" cm="1">
        <f t="array" ref="V1534">_xlfn.IFS(U1534&lt;=250,"0-R$250",U1534&lt;=500,"251-R$500",U1534&lt;=750,"501-R$750",U1534&lt;=1000,"751-R$1000",U1534&lt;=1250,"1001-R$1250",U1534&lt;=1500,"1251-R$1500")</f>
        <v>0-R$250</v>
      </c>
      <c r="W1534" s="17">
        <v>3</v>
      </c>
      <c r="X1534" s="13" t="str" cm="1">
        <f t="array" ref="X1534">_xlfn.IFS(W1534 = 0, "0", W1534&lt;=20, "até R$20",W1534&lt;=40, "21 - R$40",W1534&lt;=60, "41- R$60",W1534&lt;=80, "61 - R$80", W1534&lt;=100, "81 - R$100",W1534&lt;=120, "101 - R$120",W1534&lt;=140, "121 - R$140", W1534&lt;=160, "141- R$160", W1534&lt;=180, "161 - R$180", W1534&lt;=200, "181-R$194")</f>
        <v>até R$20</v>
      </c>
      <c r="Y1534" s="17">
        <v>29</v>
      </c>
      <c r="Z1534" s="17">
        <v>0</v>
      </c>
      <c r="AA1534" s="17">
        <v>4</v>
      </c>
      <c r="AB1534" s="17">
        <v>10</v>
      </c>
      <c r="AC1534" s="17">
        <v>3</v>
      </c>
      <c r="AD1534" s="17">
        <v>2</v>
      </c>
      <c r="AE1534" s="17">
        <v>1</v>
      </c>
      <c r="AF1534" s="17">
        <v>3</v>
      </c>
      <c r="AG1534" s="17">
        <v>5</v>
      </c>
      <c r="AH1534" s="17">
        <v>0</v>
      </c>
      <c r="AI1534" s="17">
        <v>0</v>
      </c>
      <c r="AJ1534" s="17">
        <v>0</v>
      </c>
      <c r="AK1534" s="17">
        <v>0</v>
      </c>
      <c r="AL1534" s="17">
        <v>0</v>
      </c>
      <c r="AM1534" s="17">
        <v>0</v>
      </c>
      <c r="AN1534" s="17">
        <v>1</v>
      </c>
      <c r="AO1534" s="18">
        <v>0</v>
      </c>
      <c r="AP1534" s="17">
        <v>3</v>
      </c>
      <c r="AQ1534" s="17">
        <v>11</v>
      </c>
      <c r="AR1534" s="19">
        <v>60</v>
      </c>
      <c r="AS1534" s="19">
        <v>70</v>
      </c>
    </row>
    <row r="1535" spans="1:45" x14ac:dyDescent="0.25">
      <c r="A1535">
        <v>252</v>
      </c>
      <c r="B1535" s="11">
        <f t="shared" si="23"/>
        <v>38179</v>
      </c>
      <c r="C1535" s="12">
        <v>381790</v>
      </c>
      <c r="D1535" s="13">
        <v>1</v>
      </c>
      <c r="E1535" s="13">
        <v>1</v>
      </c>
      <c r="F1535" s="13">
        <v>30</v>
      </c>
      <c r="G1535" s="13">
        <v>54</v>
      </c>
      <c r="H1535" s="13" t="str" cm="1">
        <f t="array" ref="H1535">_xlfn.IFS(G1535&lt;=20,"0-20",G1535&lt;=30,"20-30",G1535&lt;=40,"30-40",G1535&lt;=50,"50-60",G1535&lt;=60,"60-70",G1535&lt;=70,"70-80",G1535&lt;=80,"80-90")</f>
        <v>60-70</v>
      </c>
      <c r="I1535" s="13">
        <v>2631</v>
      </c>
      <c r="J1535" s="13" t="str" cm="1">
        <f t="array" ref="J1535">_xlfn.IFS(K1535=1,"Divorciado",L1535=1,"Casado",M1535=1,"Solteiro",N1535=1,"Juntos",O1535=1,"Viuvo")</f>
        <v>Casado</v>
      </c>
      <c r="K1535" s="13">
        <v>0</v>
      </c>
      <c r="L1535" s="13">
        <v>1</v>
      </c>
      <c r="M1535" s="13">
        <v>0</v>
      </c>
      <c r="N1535" s="13">
        <v>0</v>
      </c>
      <c r="O1535" s="13">
        <v>0</v>
      </c>
      <c r="P1535" s="13">
        <v>0</v>
      </c>
      <c r="Q1535" s="13">
        <v>0</v>
      </c>
      <c r="R1535" s="13">
        <v>0</v>
      </c>
      <c r="S1535" s="13">
        <v>1</v>
      </c>
      <c r="T1535" s="13">
        <v>0</v>
      </c>
      <c r="U1535" s="13">
        <v>38</v>
      </c>
      <c r="V1535" s="13" t="str" cm="1">
        <f t="array" ref="V1535">_xlfn.IFS(U1535&lt;=250,"0-R$250",U1535&lt;=500,"251-R$500",U1535&lt;=750,"501-R$750",U1535&lt;=1000,"751-R$1000",U1535&lt;=1250,"1001-R$1250",U1535&lt;=1500,"1251-R$1500")</f>
        <v>0-R$250</v>
      </c>
      <c r="W1535" s="13">
        <v>4</v>
      </c>
      <c r="X1535" s="13" t="str" cm="1">
        <f t="array" ref="X1535">_xlfn.IFS(W1535 = 0, "0", W1535&lt;=20, "até R$20",W1535&lt;=40, "21 - R$40",W1535&lt;=60, "41- R$60",W1535&lt;=80, "61 - R$80", W1535&lt;=100, "81 - R$100",W1535&lt;=120, "101 - R$120",W1535&lt;=140, "121 - R$140", W1535&lt;=160, "141- R$160", W1535&lt;=180, "161 - R$180", W1535&lt;=200, "181-R$194")</f>
        <v>até R$20</v>
      </c>
      <c r="Y1535" s="13">
        <v>22</v>
      </c>
      <c r="Z1535" s="13">
        <v>4</v>
      </c>
      <c r="AA1535" s="13">
        <v>2</v>
      </c>
      <c r="AB1535" s="13">
        <v>20</v>
      </c>
      <c r="AC1535" s="13">
        <v>4</v>
      </c>
      <c r="AD1535" s="13">
        <v>3</v>
      </c>
      <c r="AE1535" s="13">
        <v>1</v>
      </c>
      <c r="AF1535" s="13">
        <v>3</v>
      </c>
      <c r="AG1535" s="13">
        <v>7</v>
      </c>
      <c r="AH1535" s="13">
        <v>0</v>
      </c>
      <c r="AI1535" s="13">
        <v>0</v>
      </c>
      <c r="AJ1535" s="13">
        <v>0</v>
      </c>
      <c r="AK1535" s="13">
        <v>0</v>
      </c>
      <c r="AL1535" s="13">
        <v>0</v>
      </c>
      <c r="AM1535" s="13">
        <v>0</v>
      </c>
      <c r="AN1535" s="13">
        <v>0</v>
      </c>
      <c r="AO1535" s="14">
        <v>0</v>
      </c>
      <c r="AP1535" s="13">
        <v>3</v>
      </c>
      <c r="AQ1535" s="13">
        <v>11</v>
      </c>
      <c r="AR1535" s="15">
        <v>50</v>
      </c>
      <c r="AS1535" s="15">
        <v>70</v>
      </c>
    </row>
    <row r="1536" spans="1:45" x14ac:dyDescent="0.25">
      <c r="A1536">
        <v>358</v>
      </c>
      <c r="B1536" s="11">
        <f t="shared" si="23"/>
        <v>38578</v>
      </c>
      <c r="C1536" s="12">
        <v>385780</v>
      </c>
      <c r="D1536" s="13">
        <v>1</v>
      </c>
      <c r="E1536" s="13">
        <v>1</v>
      </c>
      <c r="F1536" s="13">
        <v>2</v>
      </c>
      <c r="G1536" s="13">
        <v>48</v>
      </c>
      <c r="H1536" s="13" t="str" cm="1">
        <f t="array" ref="H1536">_xlfn.IFS(G1536&lt;=20,"0-20",G1536&lt;=30,"20-30",G1536&lt;=40,"30-40",G1536&lt;=50,"50-60",G1536&lt;=60,"60-70",G1536&lt;=70,"70-80",G1536&lt;=80,"80-90")</f>
        <v>50-60</v>
      </c>
      <c r="I1536" s="13">
        <v>2531</v>
      </c>
      <c r="J1536" s="13" t="str" cm="1">
        <f t="array" ref="J1536">_xlfn.IFS(K1536=1,"Divorciado",L1536=1,"Casado",M1536=1,"Solteiro",N1536=1,"Juntos",O1536=1,"Viuvo")</f>
        <v>Solteiro</v>
      </c>
      <c r="K1536" s="13">
        <v>0</v>
      </c>
      <c r="L1536" s="13">
        <v>0</v>
      </c>
      <c r="M1536" s="13">
        <v>1</v>
      </c>
      <c r="N1536" s="13">
        <v>0</v>
      </c>
      <c r="O1536" s="13">
        <v>0</v>
      </c>
      <c r="P1536" s="13">
        <v>0</v>
      </c>
      <c r="Q1536" s="13">
        <v>0</v>
      </c>
      <c r="R1536" s="13">
        <v>0</v>
      </c>
      <c r="S1536" s="13">
        <v>0</v>
      </c>
      <c r="T1536" s="13">
        <v>1</v>
      </c>
      <c r="U1536" s="13">
        <v>38</v>
      </c>
      <c r="V1536" s="13" t="str" cm="1">
        <f t="array" ref="V1536">_xlfn.IFS(U1536&lt;=250,"0-R$250",U1536&lt;=500,"251-R$500",U1536&lt;=750,"501-R$750",U1536&lt;=1000,"751-R$1000",U1536&lt;=1250,"1001-R$1250",U1536&lt;=1500,"1251-R$1500")</f>
        <v>0-R$250</v>
      </c>
      <c r="W1536" s="13">
        <v>4</v>
      </c>
      <c r="X1536" s="13" t="str" cm="1">
        <f t="array" ref="X1536">_xlfn.IFS(W1536 = 0, "0", W1536&lt;=20, "até R$20",W1536&lt;=40, "21 - R$40",W1536&lt;=60, "41- R$60",W1536&lt;=80, "61 - R$80", W1536&lt;=100, "81 - R$100",W1536&lt;=120, "101 - R$120",W1536&lt;=140, "121 - R$140", W1536&lt;=160, "141- R$160", W1536&lt;=180, "161 - R$180", W1536&lt;=200, "181-R$194")</f>
        <v>até R$20</v>
      </c>
      <c r="Y1536" s="13">
        <v>22</v>
      </c>
      <c r="Z1536" s="13">
        <v>3</v>
      </c>
      <c r="AA1536" s="13">
        <v>3</v>
      </c>
      <c r="AB1536" s="13">
        <v>3</v>
      </c>
      <c r="AC1536" s="13">
        <v>3</v>
      </c>
      <c r="AD1536" s="13">
        <v>3</v>
      </c>
      <c r="AE1536" s="13">
        <v>0</v>
      </c>
      <c r="AF1536" s="13">
        <v>3</v>
      </c>
      <c r="AG1536" s="13">
        <v>8</v>
      </c>
      <c r="AH1536" s="13">
        <v>0</v>
      </c>
      <c r="AI1536" s="13">
        <v>0</v>
      </c>
      <c r="AJ1536" s="13">
        <v>0</v>
      </c>
      <c r="AK1536" s="13">
        <v>0</v>
      </c>
      <c r="AL1536" s="13">
        <v>0</v>
      </c>
      <c r="AM1536" s="13">
        <v>0</v>
      </c>
      <c r="AN1536" s="13">
        <v>1</v>
      </c>
      <c r="AO1536" s="14">
        <v>0</v>
      </c>
      <c r="AP1536" s="13">
        <v>3</v>
      </c>
      <c r="AQ1536" s="13">
        <v>11</v>
      </c>
      <c r="AR1536" s="15">
        <v>67</v>
      </c>
      <c r="AS1536" s="15">
        <v>70</v>
      </c>
    </row>
    <row r="1537" spans="1:45" x14ac:dyDescent="0.25">
      <c r="A1537">
        <v>693</v>
      </c>
      <c r="B1537" s="11">
        <f t="shared" si="23"/>
        <v>33249</v>
      </c>
      <c r="C1537" s="16">
        <v>332490</v>
      </c>
      <c r="D1537" s="17">
        <v>1</v>
      </c>
      <c r="E1537" s="17">
        <v>0</v>
      </c>
      <c r="F1537" s="17">
        <v>11</v>
      </c>
      <c r="G1537" s="17">
        <v>45</v>
      </c>
      <c r="H1537" s="13" t="str" cm="1">
        <f t="array" ref="H1537">_xlfn.IFS(G1537&lt;=20,"0-20",G1537&lt;=30,"20-30",G1537&lt;=40,"30-40",G1537&lt;=50,"50-60",G1537&lt;=60,"60-70",G1537&lt;=70,"70-80",G1537&lt;=80,"80-90")</f>
        <v>50-60</v>
      </c>
      <c r="I1537" s="17">
        <v>2653</v>
      </c>
      <c r="J1537" s="13" t="str" cm="1">
        <f t="array" ref="J1537">_xlfn.IFS(K1537=1,"Divorciado",L1537=1,"Casado",M1537=1,"Solteiro",N1537=1,"Juntos",O1537=1,"Viuvo")</f>
        <v>Solteiro</v>
      </c>
      <c r="K1537" s="17">
        <v>0</v>
      </c>
      <c r="L1537" s="17">
        <v>0</v>
      </c>
      <c r="M1537" s="17">
        <v>1</v>
      </c>
      <c r="N1537" s="17">
        <v>0</v>
      </c>
      <c r="O1537" s="17">
        <v>0</v>
      </c>
      <c r="P1537" s="17">
        <v>0</v>
      </c>
      <c r="Q1537" s="17">
        <v>0</v>
      </c>
      <c r="R1537" s="17">
        <v>1</v>
      </c>
      <c r="S1537" s="17">
        <v>0</v>
      </c>
      <c r="T1537" s="17">
        <v>0</v>
      </c>
      <c r="U1537" s="17">
        <v>6</v>
      </c>
      <c r="V1537" s="13" t="str" cm="1">
        <f t="array" ref="V1537">_xlfn.IFS(U1537&lt;=250,"0-R$250",U1537&lt;=500,"251-R$500",U1537&lt;=750,"501-R$750",U1537&lt;=1000,"751-R$1000",U1537&lt;=1250,"1001-R$1250",U1537&lt;=1500,"1251-R$1500")</f>
        <v>0-R$250</v>
      </c>
      <c r="W1537" s="17">
        <v>10</v>
      </c>
      <c r="X1537" s="13" t="str" cm="1">
        <f t="array" ref="X1537">_xlfn.IFS(W1537 = 0, "0", W1537&lt;=20, "até R$20",W1537&lt;=40, "21 - R$40",W1537&lt;=60, "41- R$60",W1537&lt;=80, "61 - R$80", W1537&lt;=100, "81 - R$100",W1537&lt;=120, "101 - R$120",W1537&lt;=140, "121 - R$140", W1537&lt;=160, "141- R$160", W1537&lt;=180, "161 - R$180", W1537&lt;=200, "181-R$194")</f>
        <v>até R$20</v>
      </c>
      <c r="Y1537" s="17">
        <v>21</v>
      </c>
      <c r="Z1537" s="17">
        <v>19</v>
      </c>
      <c r="AA1537" s="17">
        <v>14</v>
      </c>
      <c r="AB1537" s="17">
        <v>42</v>
      </c>
      <c r="AC1537" s="17">
        <v>2</v>
      </c>
      <c r="AD1537" s="17">
        <v>2</v>
      </c>
      <c r="AE1537" s="17">
        <v>1</v>
      </c>
      <c r="AF1537" s="17">
        <v>3</v>
      </c>
      <c r="AG1537" s="17">
        <v>6</v>
      </c>
      <c r="AH1537" s="17">
        <v>0</v>
      </c>
      <c r="AI1537" s="17">
        <v>0</v>
      </c>
      <c r="AJ1537" s="17">
        <v>0</v>
      </c>
      <c r="AK1537" s="17">
        <v>0</v>
      </c>
      <c r="AL1537" s="17">
        <v>0</v>
      </c>
      <c r="AM1537" s="17">
        <v>0</v>
      </c>
      <c r="AN1537" s="17">
        <v>0</v>
      </c>
      <c r="AO1537" s="18">
        <v>0</v>
      </c>
      <c r="AP1537" s="17">
        <v>3</v>
      </c>
      <c r="AQ1537" s="17">
        <v>11</v>
      </c>
      <c r="AR1537" s="19">
        <v>28</v>
      </c>
      <c r="AS1537" s="19">
        <v>70</v>
      </c>
    </row>
    <row r="1538" spans="1:45" x14ac:dyDescent="0.25">
      <c r="A1538">
        <v>1074</v>
      </c>
      <c r="B1538" s="11">
        <f t="shared" ref="B1538:B1601" si="24">C1538/10</f>
        <v>38578</v>
      </c>
      <c r="C1538" s="12">
        <v>385780</v>
      </c>
      <c r="D1538" s="13">
        <v>1</v>
      </c>
      <c r="E1538" s="13">
        <v>1</v>
      </c>
      <c r="F1538" s="13">
        <v>2</v>
      </c>
      <c r="G1538" s="13">
        <v>48</v>
      </c>
      <c r="H1538" s="13" t="str" cm="1">
        <f t="array" ref="H1538">_xlfn.IFS(G1538&lt;=20,"0-20",G1538&lt;=30,"20-30",G1538&lt;=40,"30-40",G1538&lt;=50,"50-60",G1538&lt;=60,"60-70",G1538&lt;=70,"70-80",G1538&lt;=80,"80-90")</f>
        <v>50-60</v>
      </c>
      <c r="I1538" s="13">
        <v>2531</v>
      </c>
      <c r="J1538" s="13" t="str" cm="1">
        <f t="array" ref="J1538">_xlfn.IFS(K1538=1,"Divorciado",L1538=1,"Casado",M1538=1,"Solteiro",N1538=1,"Juntos",O1538=1,"Viuvo")</f>
        <v>Solteiro</v>
      </c>
      <c r="K1538" s="13">
        <v>0</v>
      </c>
      <c r="L1538" s="13">
        <v>0</v>
      </c>
      <c r="M1538" s="13">
        <v>1</v>
      </c>
      <c r="N1538" s="13">
        <v>0</v>
      </c>
      <c r="O1538" s="13">
        <v>0</v>
      </c>
      <c r="P1538" s="13">
        <v>0</v>
      </c>
      <c r="Q1538" s="13">
        <v>0</v>
      </c>
      <c r="R1538" s="13">
        <v>0</v>
      </c>
      <c r="S1538" s="13">
        <v>0</v>
      </c>
      <c r="T1538" s="13">
        <v>1</v>
      </c>
      <c r="U1538" s="13">
        <v>38</v>
      </c>
      <c r="V1538" s="13" t="str" cm="1">
        <f t="array" ref="V1538">_xlfn.IFS(U1538&lt;=250,"0-R$250",U1538&lt;=500,"251-R$500",U1538&lt;=750,"501-R$750",U1538&lt;=1000,"751-R$1000",U1538&lt;=1250,"1001-R$1250",U1538&lt;=1500,"1251-R$1500")</f>
        <v>0-R$250</v>
      </c>
      <c r="W1538" s="13">
        <v>4</v>
      </c>
      <c r="X1538" s="13" t="str" cm="1">
        <f t="array" ref="X1538">_xlfn.IFS(W1538 = 0, "0", W1538&lt;=20, "até R$20",W1538&lt;=40, "21 - R$40",W1538&lt;=60, "41- R$60",W1538&lt;=80, "61 - R$80", W1538&lt;=100, "81 - R$100",W1538&lt;=120, "101 - R$120",W1538&lt;=140, "121 - R$140", W1538&lt;=160, "141- R$160", W1538&lt;=180, "161 - R$180", W1538&lt;=200, "181-R$194")</f>
        <v>até R$20</v>
      </c>
      <c r="Y1538" s="13">
        <v>22</v>
      </c>
      <c r="Z1538" s="13">
        <v>3</v>
      </c>
      <c r="AA1538" s="13">
        <v>3</v>
      </c>
      <c r="AB1538" s="13">
        <v>3</v>
      </c>
      <c r="AC1538" s="13">
        <v>3</v>
      </c>
      <c r="AD1538" s="13">
        <v>3</v>
      </c>
      <c r="AE1538" s="13">
        <v>0</v>
      </c>
      <c r="AF1538" s="13">
        <v>3</v>
      </c>
      <c r="AG1538" s="13">
        <v>8</v>
      </c>
      <c r="AH1538" s="13">
        <v>0</v>
      </c>
      <c r="AI1538" s="13">
        <v>0</v>
      </c>
      <c r="AJ1538" s="13">
        <v>0</v>
      </c>
      <c r="AK1538" s="13">
        <v>0</v>
      </c>
      <c r="AL1538" s="13">
        <v>0</v>
      </c>
      <c r="AM1538" s="13">
        <v>0</v>
      </c>
      <c r="AN1538" s="13">
        <v>0</v>
      </c>
      <c r="AO1538" s="14">
        <v>0</v>
      </c>
      <c r="AP1538" s="13">
        <v>3</v>
      </c>
      <c r="AQ1538" s="13">
        <v>11</v>
      </c>
      <c r="AR1538" s="15">
        <v>67</v>
      </c>
      <c r="AS1538" s="15">
        <v>70</v>
      </c>
    </row>
    <row r="1539" spans="1:45" x14ac:dyDescent="0.25">
      <c r="A1539">
        <v>1210</v>
      </c>
      <c r="B1539" s="11">
        <f t="shared" si="24"/>
        <v>38452</v>
      </c>
      <c r="C1539" s="12">
        <v>384520</v>
      </c>
      <c r="D1539" s="13">
        <v>1</v>
      </c>
      <c r="E1539" s="13">
        <v>1</v>
      </c>
      <c r="F1539" s="13">
        <v>62</v>
      </c>
      <c r="G1539" s="13">
        <v>65</v>
      </c>
      <c r="H1539" s="13" t="str" cm="1">
        <f t="array" ref="H1539">_xlfn.IFS(G1539&lt;=20,"0-20",G1539&lt;=30,"20-30",G1539&lt;=40,"30-40",G1539&lt;=50,"50-60",G1539&lt;=60,"60-70",G1539&lt;=70,"70-80",G1539&lt;=80,"80-90")</f>
        <v>70-80</v>
      </c>
      <c r="I1539" s="13">
        <v>2250</v>
      </c>
      <c r="J1539" s="13" t="str" cm="1">
        <f t="array" ref="J1539">_xlfn.IFS(K1539=1,"Divorciado",L1539=1,"Casado",M1539=1,"Solteiro",N1539=1,"Juntos",O1539=1,"Viuvo")</f>
        <v>Casado</v>
      </c>
      <c r="K1539" s="13">
        <v>0</v>
      </c>
      <c r="L1539" s="13">
        <v>1</v>
      </c>
      <c r="M1539" s="13">
        <v>0</v>
      </c>
      <c r="N1539" s="13">
        <v>0</v>
      </c>
      <c r="O1539" s="13">
        <v>0</v>
      </c>
      <c r="P1539" s="13">
        <v>0</v>
      </c>
      <c r="Q1539" s="13">
        <v>0</v>
      </c>
      <c r="R1539" s="13">
        <v>0</v>
      </c>
      <c r="S1539" s="13">
        <v>1</v>
      </c>
      <c r="T1539" s="13">
        <v>0</v>
      </c>
      <c r="U1539" s="13">
        <v>56</v>
      </c>
      <c r="V1539" s="13" t="str" cm="1">
        <f t="array" ref="V1539">_xlfn.IFS(U1539&lt;=250,"0-R$250",U1539&lt;=500,"251-R$500",U1539&lt;=750,"501-R$750",U1539&lt;=1000,"751-R$1000",U1539&lt;=1250,"1001-R$1250",U1539&lt;=1500,"1251-R$1500")</f>
        <v>0-R$250</v>
      </c>
      <c r="W1539" s="13">
        <v>0</v>
      </c>
      <c r="X1539" s="13" t="str" cm="1">
        <f t="array" ref="X1539">_xlfn.IFS(W1539 = 0, "0", W1539&lt;=20, "até R$20",W1539&lt;=40, "21 - R$40",W1539&lt;=60, "41- R$60",W1539&lt;=80, "61 - R$80", W1539&lt;=100, "81 - R$100",W1539&lt;=120, "101 - R$120",W1539&lt;=140, "121 - R$140", W1539&lt;=160, "141- R$160", W1539&lt;=180, "161 - R$180", W1539&lt;=200, "181-R$194")</f>
        <v>0</v>
      </c>
      <c r="Y1539" s="13">
        <v>14</v>
      </c>
      <c r="Z1539" s="13">
        <v>0</v>
      </c>
      <c r="AA1539" s="13">
        <v>0</v>
      </c>
      <c r="AB1539" s="13">
        <v>2</v>
      </c>
      <c r="AC1539" s="13">
        <v>3</v>
      </c>
      <c r="AD1539" s="13">
        <v>3</v>
      </c>
      <c r="AE1539" s="13">
        <v>0</v>
      </c>
      <c r="AF1539" s="13">
        <v>3</v>
      </c>
      <c r="AG1539" s="13">
        <v>7</v>
      </c>
      <c r="AH1539" s="13">
        <v>0</v>
      </c>
      <c r="AI1539" s="13">
        <v>0</v>
      </c>
      <c r="AJ1539" s="13">
        <v>0</v>
      </c>
      <c r="AK1539" s="13">
        <v>0</v>
      </c>
      <c r="AL1539" s="13">
        <v>0</v>
      </c>
      <c r="AM1539" s="13">
        <v>0</v>
      </c>
      <c r="AN1539" s="13">
        <v>0</v>
      </c>
      <c r="AO1539" s="14">
        <v>0</v>
      </c>
      <c r="AP1539" s="13">
        <v>3</v>
      </c>
      <c r="AQ1539" s="13">
        <v>11</v>
      </c>
      <c r="AR1539" s="15">
        <v>68</v>
      </c>
      <c r="AS1539" s="15">
        <v>70</v>
      </c>
    </row>
    <row r="1540" spans="1:45" x14ac:dyDescent="0.25">
      <c r="A1540">
        <v>1325</v>
      </c>
      <c r="B1540" s="11">
        <f t="shared" si="24"/>
        <v>33249</v>
      </c>
      <c r="C1540" s="16">
        <v>332490</v>
      </c>
      <c r="D1540" s="17">
        <v>1</v>
      </c>
      <c r="E1540" s="17">
        <v>0</v>
      </c>
      <c r="F1540" s="17">
        <v>11</v>
      </c>
      <c r="G1540" s="17">
        <v>45</v>
      </c>
      <c r="H1540" s="13" t="str" cm="1">
        <f t="array" ref="H1540">_xlfn.IFS(G1540&lt;=20,"0-20",G1540&lt;=30,"20-30",G1540&lt;=40,"30-40",G1540&lt;=50,"50-60",G1540&lt;=60,"60-70",G1540&lt;=70,"70-80",G1540&lt;=80,"80-90")</f>
        <v>50-60</v>
      </c>
      <c r="I1540" s="17">
        <v>2653</v>
      </c>
      <c r="J1540" s="13" t="str" cm="1">
        <f t="array" ref="J1540">_xlfn.IFS(K1540=1,"Divorciado",L1540=1,"Casado",M1540=1,"Solteiro",N1540=1,"Juntos",O1540=1,"Viuvo")</f>
        <v>Solteiro</v>
      </c>
      <c r="K1540" s="17">
        <v>0</v>
      </c>
      <c r="L1540" s="17">
        <v>0</v>
      </c>
      <c r="M1540" s="17">
        <v>1</v>
      </c>
      <c r="N1540" s="17">
        <v>0</v>
      </c>
      <c r="O1540" s="17">
        <v>0</v>
      </c>
      <c r="P1540" s="17">
        <v>0</v>
      </c>
      <c r="Q1540" s="17">
        <v>0</v>
      </c>
      <c r="R1540" s="17">
        <v>1</v>
      </c>
      <c r="S1540" s="17">
        <v>0</v>
      </c>
      <c r="T1540" s="17">
        <v>0</v>
      </c>
      <c r="U1540" s="17">
        <v>6</v>
      </c>
      <c r="V1540" s="13" t="str" cm="1">
        <f t="array" ref="V1540">_xlfn.IFS(U1540&lt;=250,"0-R$250",U1540&lt;=500,"251-R$500",U1540&lt;=750,"501-R$750",U1540&lt;=1000,"751-R$1000",U1540&lt;=1250,"1001-R$1250",U1540&lt;=1500,"1251-R$1500")</f>
        <v>0-R$250</v>
      </c>
      <c r="W1540" s="17">
        <v>10</v>
      </c>
      <c r="X1540" s="13" t="str" cm="1">
        <f t="array" ref="X1540">_xlfn.IFS(W1540 = 0, "0", W1540&lt;=20, "até R$20",W1540&lt;=40, "21 - R$40",W1540&lt;=60, "41- R$60",W1540&lt;=80, "61 - R$80", W1540&lt;=100, "81 - R$100",W1540&lt;=120, "101 - R$120",W1540&lt;=140, "121 - R$140", W1540&lt;=160, "141- R$160", W1540&lt;=180, "161 - R$180", W1540&lt;=200, "181-R$194")</f>
        <v>até R$20</v>
      </c>
      <c r="Y1540" s="17">
        <v>21</v>
      </c>
      <c r="Z1540" s="17">
        <v>19</v>
      </c>
      <c r="AA1540" s="17">
        <v>14</v>
      </c>
      <c r="AB1540" s="17">
        <v>42</v>
      </c>
      <c r="AC1540" s="17">
        <v>2</v>
      </c>
      <c r="AD1540" s="17">
        <v>2</v>
      </c>
      <c r="AE1540" s="17">
        <v>1</v>
      </c>
      <c r="AF1540" s="17">
        <v>3</v>
      </c>
      <c r="AG1540" s="17">
        <v>6</v>
      </c>
      <c r="AH1540" s="17">
        <v>0</v>
      </c>
      <c r="AI1540" s="17">
        <v>0</v>
      </c>
      <c r="AJ1540" s="17">
        <v>0</v>
      </c>
      <c r="AK1540" s="17">
        <v>0</v>
      </c>
      <c r="AL1540" s="17">
        <v>0</v>
      </c>
      <c r="AM1540" s="17">
        <v>0</v>
      </c>
      <c r="AN1540" s="17">
        <v>0</v>
      </c>
      <c r="AO1540" s="18">
        <v>0</v>
      </c>
      <c r="AP1540" s="17">
        <v>3</v>
      </c>
      <c r="AQ1540" s="17">
        <v>11</v>
      </c>
      <c r="AR1540" s="19">
        <v>28</v>
      </c>
      <c r="AS1540" s="19">
        <v>70</v>
      </c>
    </row>
    <row r="1541" spans="1:45" x14ac:dyDescent="0.25">
      <c r="A1541">
        <v>1336</v>
      </c>
      <c r="B1541" s="11">
        <f t="shared" si="24"/>
        <v>38136</v>
      </c>
      <c r="C1541" s="12">
        <v>381360</v>
      </c>
      <c r="D1541" s="13">
        <v>1</v>
      </c>
      <c r="E1541" s="13">
        <v>0</v>
      </c>
      <c r="F1541" s="13">
        <v>69</v>
      </c>
      <c r="G1541" s="13">
        <v>42</v>
      </c>
      <c r="H1541" s="13" t="str" cm="1">
        <f t="array" ref="H1541">_xlfn.IFS(G1541&lt;=20,"0-20",G1541&lt;=30,"20-30",G1541&lt;=40,"30-40",G1541&lt;=50,"50-60",G1541&lt;=60,"60-70",G1541&lt;=70,"70-80",G1541&lt;=80,"80-90")</f>
        <v>50-60</v>
      </c>
      <c r="I1541" s="13">
        <v>2592</v>
      </c>
      <c r="J1541" s="13" t="str" cm="1">
        <f t="array" ref="J1541">_xlfn.IFS(K1541=1,"Divorciado",L1541=1,"Casado",M1541=1,"Solteiro",N1541=1,"Juntos",O1541=1,"Viuvo")</f>
        <v>Casado</v>
      </c>
      <c r="K1541" s="13">
        <v>0</v>
      </c>
      <c r="L1541" s="13">
        <v>1</v>
      </c>
      <c r="M1541" s="13">
        <v>0</v>
      </c>
      <c r="N1541" s="13">
        <v>0</v>
      </c>
      <c r="O1541" s="13">
        <v>0</v>
      </c>
      <c r="P1541" s="13">
        <v>0</v>
      </c>
      <c r="Q1541" s="13">
        <v>0</v>
      </c>
      <c r="R1541" s="13">
        <v>1</v>
      </c>
      <c r="S1541" s="13">
        <v>0</v>
      </c>
      <c r="T1541" s="13">
        <v>0</v>
      </c>
      <c r="U1541" s="13">
        <v>8</v>
      </c>
      <c r="V1541" s="13" t="str" cm="1">
        <f t="array" ref="V1541">_xlfn.IFS(U1541&lt;=250,"0-R$250",U1541&lt;=500,"251-R$500",U1541&lt;=750,"501-R$750",U1541&lt;=1000,"751-R$1000",U1541&lt;=1250,"1001-R$1250",U1541&lt;=1500,"1251-R$1500")</f>
        <v>0-R$250</v>
      </c>
      <c r="W1541" s="13">
        <v>15</v>
      </c>
      <c r="X1541" s="13" t="str" cm="1">
        <f t="array" ref="X1541">_xlfn.IFS(W1541 = 0, "0", W1541&lt;=20, "até R$20",W1541&lt;=40, "21 - R$40",W1541&lt;=60, "41- R$60",W1541&lt;=80, "61 - R$80", W1541&lt;=100, "81 - R$100",W1541&lt;=120, "101 - R$120",W1541&lt;=140, "121 - R$140", W1541&lt;=160, "141- R$160", W1541&lt;=180, "161 - R$180", W1541&lt;=200, "181-R$194")</f>
        <v>até R$20</v>
      </c>
      <c r="Y1541" s="13">
        <v>27</v>
      </c>
      <c r="Z1541" s="13">
        <v>0</v>
      </c>
      <c r="AA1541" s="13">
        <v>20</v>
      </c>
      <c r="AB1541" s="13">
        <v>33</v>
      </c>
      <c r="AC1541" s="13">
        <v>2</v>
      </c>
      <c r="AD1541" s="13">
        <v>3</v>
      </c>
      <c r="AE1541" s="13">
        <v>1</v>
      </c>
      <c r="AF1541" s="13">
        <v>2</v>
      </c>
      <c r="AG1541" s="13">
        <v>8</v>
      </c>
      <c r="AH1541" s="13">
        <v>0</v>
      </c>
      <c r="AI1541" s="13">
        <v>1</v>
      </c>
      <c r="AJ1541" s="13">
        <v>0</v>
      </c>
      <c r="AK1541" s="13">
        <v>0</v>
      </c>
      <c r="AL1541" s="13">
        <v>0</v>
      </c>
      <c r="AM1541" s="13">
        <v>0</v>
      </c>
      <c r="AN1541" s="13">
        <v>0</v>
      </c>
      <c r="AO1541" s="14">
        <v>1</v>
      </c>
      <c r="AP1541" s="13">
        <v>3</v>
      </c>
      <c r="AQ1541" s="13">
        <v>11</v>
      </c>
      <c r="AR1541" s="15">
        <v>37</v>
      </c>
      <c r="AS1541" s="15">
        <v>70</v>
      </c>
    </row>
    <row r="1542" spans="1:45" x14ac:dyDescent="0.25">
      <c r="A1542">
        <v>1676</v>
      </c>
      <c r="B1542" s="11">
        <f t="shared" si="24"/>
        <v>38452</v>
      </c>
      <c r="C1542" s="12">
        <v>384520</v>
      </c>
      <c r="D1542" s="13">
        <v>1</v>
      </c>
      <c r="E1542" s="13">
        <v>1</v>
      </c>
      <c r="F1542" s="13">
        <v>62</v>
      </c>
      <c r="G1542" s="13">
        <v>65</v>
      </c>
      <c r="H1542" s="13" t="str" cm="1">
        <f t="array" ref="H1542">_xlfn.IFS(G1542&lt;=20,"0-20",G1542&lt;=30,"20-30",G1542&lt;=40,"30-40",G1542&lt;=50,"50-60",G1542&lt;=60,"60-70",G1542&lt;=70,"70-80",G1542&lt;=80,"80-90")</f>
        <v>70-80</v>
      </c>
      <c r="I1542" s="13">
        <v>2250</v>
      </c>
      <c r="J1542" s="13" t="str" cm="1">
        <f t="array" ref="J1542">_xlfn.IFS(K1542=1,"Divorciado",L1542=1,"Casado",M1542=1,"Solteiro",N1542=1,"Juntos",O1542=1,"Viuvo")</f>
        <v>Casado</v>
      </c>
      <c r="K1542" s="13">
        <v>0</v>
      </c>
      <c r="L1542" s="13">
        <v>1</v>
      </c>
      <c r="M1542" s="13">
        <v>0</v>
      </c>
      <c r="N1542" s="13">
        <v>0</v>
      </c>
      <c r="O1542" s="13">
        <v>0</v>
      </c>
      <c r="P1542" s="13">
        <v>0</v>
      </c>
      <c r="Q1542" s="13">
        <v>0</v>
      </c>
      <c r="R1542" s="13">
        <v>0</v>
      </c>
      <c r="S1542" s="13">
        <v>1</v>
      </c>
      <c r="T1542" s="13">
        <v>0</v>
      </c>
      <c r="U1542" s="13">
        <v>56</v>
      </c>
      <c r="V1542" s="13" t="str" cm="1">
        <f t="array" ref="V1542">_xlfn.IFS(U1542&lt;=250,"0-R$250",U1542&lt;=500,"251-R$500",U1542&lt;=750,"501-R$750",U1542&lt;=1000,"751-R$1000",U1542&lt;=1250,"1001-R$1250",U1542&lt;=1500,"1251-R$1500")</f>
        <v>0-R$250</v>
      </c>
      <c r="W1542" s="13">
        <v>0</v>
      </c>
      <c r="X1542" s="13" t="str" cm="1">
        <f t="array" ref="X1542">_xlfn.IFS(W1542 = 0, "0", W1542&lt;=20, "até R$20",W1542&lt;=40, "21 - R$40",W1542&lt;=60, "41- R$60",W1542&lt;=80, "61 - R$80", W1542&lt;=100, "81 - R$100",W1542&lt;=120, "101 - R$120",W1542&lt;=140, "121 - R$140", W1542&lt;=160, "141- R$160", W1542&lt;=180, "161 - R$180", W1542&lt;=200, "181-R$194")</f>
        <v>0</v>
      </c>
      <c r="Y1542" s="13">
        <v>14</v>
      </c>
      <c r="Z1542" s="13">
        <v>0</v>
      </c>
      <c r="AA1542" s="13">
        <v>0</v>
      </c>
      <c r="AB1542" s="13">
        <v>2</v>
      </c>
      <c r="AC1542" s="13">
        <v>3</v>
      </c>
      <c r="AD1542" s="13">
        <v>3</v>
      </c>
      <c r="AE1542" s="13">
        <v>0</v>
      </c>
      <c r="AF1542" s="13">
        <v>3</v>
      </c>
      <c r="AG1542" s="13">
        <v>7</v>
      </c>
      <c r="AH1542" s="13">
        <v>0</v>
      </c>
      <c r="AI1542" s="13">
        <v>0</v>
      </c>
      <c r="AJ1542" s="13">
        <v>0</v>
      </c>
      <c r="AK1542" s="13">
        <v>0</v>
      </c>
      <c r="AL1542" s="13">
        <v>0</v>
      </c>
      <c r="AM1542" s="13">
        <v>0</v>
      </c>
      <c r="AN1542" s="13">
        <v>0</v>
      </c>
      <c r="AO1542" s="14">
        <v>0</v>
      </c>
      <c r="AP1542" s="13">
        <v>3</v>
      </c>
      <c r="AQ1542" s="13">
        <v>11</v>
      </c>
      <c r="AR1542" s="15">
        <v>68</v>
      </c>
      <c r="AS1542" s="15">
        <v>70</v>
      </c>
    </row>
    <row r="1543" spans="1:45" x14ac:dyDescent="0.25">
      <c r="A1543">
        <v>2041</v>
      </c>
      <c r="B1543" s="11">
        <f t="shared" si="24"/>
        <v>31761</v>
      </c>
      <c r="C1543" s="16">
        <v>317610</v>
      </c>
      <c r="D1543" s="17">
        <v>1</v>
      </c>
      <c r="E1543" s="17">
        <v>0</v>
      </c>
      <c r="F1543" s="17">
        <v>96</v>
      </c>
      <c r="G1543" s="17">
        <v>36</v>
      </c>
      <c r="H1543" s="13" t="str" cm="1">
        <f t="array" ref="H1543">_xlfn.IFS(G1543&lt;=20,"0-20",G1543&lt;=30,"20-30",G1543&lt;=40,"30-40",G1543&lt;=50,"50-60",G1543&lt;=60,"60-70",G1543&lt;=70,"70-80",G1543&lt;=80,"80-90")</f>
        <v>30-40</v>
      </c>
      <c r="I1543" s="17">
        <v>2244</v>
      </c>
      <c r="J1543" s="13" t="str" cm="1">
        <f t="array" ref="J1543">_xlfn.IFS(K1543=1,"Divorciado",L1543=1,"Casado",M1543=1,"Solteiro",N1543=1,"Juntos",O1543=1,"Viuvo")</f>
        <v>Casado</v>
      </c>
      <c r="K1543" s="17">
        <v>0</v>
      </c>
      <c r="L1543" s="17">
        <v>1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1</v>
      </c>
      <c r="S1543" s="17">
        <v>0</v>
      </c>
      <c r="T1543" s="17">
        <v>0</v>
      </c>
      <c r="U1543" s="17">
        <v>19</v>
      </c>
      <c r="V1543" s="13" t="str" cm="1">
        <f t="array" ref="V1543">_xlfn.IFS(U1543&lt;=250,"0-R$250",U1543&lt;=500,"251-R$500",U1543&lt;=750,"501-R$750",U1543&lt;=1000,"751-R$1000",U1543&lt;=1250,"1001-R$1250",U1543&lt;=1500,"1251-R$1500")</f>
        <v>0-R$250</v>
      </c>
      <c r="W1543" s="17">
        <v>1</v>
      </c>
      <c r="X1543" s="13" t="str" cm="1">
        <f t="array" ref="X1543">_xlfn.IFS(W1543 = 0, "0", W1543&lt;=20, "até R$20",W1543&lt;=40, "21 - R$40",W1543&lt;=60, "41- R$60",W1543&lt;=80, "61 - R$80", W1543&lt;=100, "81 - R$100",W1543&lt;=120, "101 - R$120",W1543&lt;=140, "121 - R$140", W1543&lt;=160, "141- R$160", W1543&lt;=180, "161 - R$180", W1543&lt;=200, "181-R$194")</f>
        <v>até R$20</v>
      </c>
      <c r="Y1543" s="17">
        <v>20</v>
      </c>
      <c r="Z1543" s="17">
        <v>16</v>
      </c>
      <c r="AA1543" s="17">
        <v>14</v>
      </c>
      <c r="AB1543" s="17">
        <v>28</v>
      </c>
      <c r="AC1543" s="17">
        <v>2</v>
      </c>
      <c r="AD1543" s="17">
        <v>3</v>
      </c>
      <c r="AE1543" s="17">
        <v>0</v>
      </c>
      <c r="AF1543" s="17">
        <v>4</v>
      </c>
      <c r="AG1543" s="17">
        <v>5</v>
      </c>
      <c r="AH1543" s="17">
        <v>0</v>
      </c>
      <c r="AI1543" s="17">
        <v>0</v>
      </c>
      <c r="AJ1543" s="17">
        <v>0</v>
      </c>
      <c r="AK1543" s="17">
        <v>0</v>
      </c>
      <c r="AL1543" s="17">
        <v>0</v>
      </c>
      <c r="AM1543" s="17">
        <v>0</v>
      </c>
      <c r="AN1543" s="17">
        <v>0</v>
      </c>
      <c r="AO1543" s="18">
        <v>0</v>
      </c>
      <c r="AP1543" s="17">
        <v>3</v>
      </c>
      <c r="AQ1543" s="17">
        <v>11</v>
      </c>
      <c r="AR1543" s="19">
        <v>42</v>
      </c>
      <c r="AS1543" s="19">
        <v>70</v>
      </c>
    </row>
    <row r="1544" spans="1:45" x14ac:dyDescent="0.25">
      <c r="A1544">
        <v>49</v>
      </c>
      <c r="B1544" s="11">
        <f t="shared" si="24"/>
        <v>35790</v>
      </c>
      <c r="C1544" s="16">
        <v>357900</v>
      </c>
      <c r="D1544" s="17">
        <v>1</v>
      </c>
      <c r="E1544" s="17">
        <v>0</v>
      </c>
      <c r="F1544" s="17">
        <v>54</v>
      </c>
      <c r="G1544" s="17">
        <v>43</v>
      </c>
      <c r="H1544" s="13" t="str" cm="1">
        <f t="array" ref="H1544">_xlfn.IFS(G1544&lt;=20,"0-20",G1544&lt;=30,"20-30",G1544&lt;=40,"30-40",G1544&lt;=50,"50-60",G1544&lt;=60,"60-70",G1544&lt;=70,"70-80",G1544&lt;=80,"80-90")</f>
        <v>50-60</v>
      </c>
      <c r="I1544" s="17">
        <v>2702</v>
      </c>
      <c r="J1544" s="13" t="str" cm="1">
        <f t="array" ref="J1544">_xlfn.IFS(K1544=1,"Divorciado",L1544=1,"Casado",M1544=1,"Solteiro",N1544=1,"Juntos",O1544=1,"Viuvo")</f>
        <v>Solteiro</v>
      </c>
      <c r="K1544" s="17">
        <v>0</v>
      </c>
      <c r="L1544" s="17">
        <v>0</v>
      </c>
      <c r="M1544" s="17">
        <v>1</v>
      </c>
      <c r="N1544" s="17">
        <v>0</v>
      </c>
      <c r="O1544" s="17">
        <v>0</v>
      </c>
      <c r="P1544" s="17">
        <v>0</v>
      </c>
      <c r="Q1544" s="17">
        <v>0</v>
      </c>
      <c r="R1544" s="17">
        <v>1</v>
      </c>
      <c r="S1544" s="17">
        <v>0</v>
      </c>
      <c r="T1544" s="17">
        <v>0</v>
      </c>
      <c r="U1544" s="17">
        <v>12</v>
      </c>
      <c r="V1544" s="13" t="str" cm="1">
        <f t="array" ref="V1544">_xlfn.IFS(U1544&lt;=250,"0-R$250",U1544&lt;=500,"251-R$500",U1544&lt;=750,"501-R$750",U1544&lt;=1000,"751-R$1000",U1544&lt;=1250,"1001-R$1250",U1544&lt;=1500,"1251-R$1500")</f>
        <v>0-R$250</v>
      </c>
      <c r="W1544" s="17">
        <v>6</v>
      </c>
      <c r="X1544" s="13" t="str" cm="1">
        <f t="array" ref="X1544">_xlfn.IFS(W1544 = 0, "0", W1544&lt;=20, "até R$20",W1544&lt;=40, "21 - R$40",W1544&lt;=60, "41- R$60",W1544&lt;=80, "61 - R$80", W1544&lt;=100, "81 - R$100",W1544&lt;=120, "101 - R$120",W1544&lt;=140, "121 - R$140", W1544&lt;=160, "141- R$160", W1544&lt;=180, "161 - R$180", W1544&lt;=200, "181-R$194")</f>
        <v>até R$20</v>
      </c>
      <c r="Y1544" s="17">
        <v>20</v>
      </c>
      <c r="Z1544" s="17">
        <v>30</v>
      </c>
      <c r="AA1544" s="17">
        <v>1</v>
      </c>
      <c r="AB1544" s="17">
        <v>3</v>
      </c>
      <c r="AC1544" s="17">
        <v>2</v>
      </c>
      <c r="AD1544" s="17">
        <v>2</v>
      </c>
      <c r="AE1544" s="17">
        <v>0</v>
      </c>
      <c r="AF1544" s="17">
        <v>3</v>
      </c>
      <c r="AG1544" s="17">
        <v>7</v>
      </c>
      <c r="AH1544" s="17">
        <v>0</v>
      </c>
      <c r="AI1544" s="17">
        <v>0</v>
      </c>
      <c r="AJ1544" s="17">
        <v>0</v>
      </c>
      <c r="AK1544" s="17">
        <v>0</v>
      </c>
      <c r="AL1544" s="17">
        <v>0</v>
      </c>
      <c r="AM1544" s="17">
        <v>0</v>
      </c>
      <c r="AN1544" s="17">
        <v>0</v>
      </c>
      <c r="AO1544" s="18">
        <v>0</v>
      </c>
      <c r="AP1544" s="17">
        <v>3</v>
      </c>
      <c r="AQ1544" s="17">
        <v>11</v>
      </c>
      <c r="AR1544" s="19">
        <v>66</v>
      </c>
      <c r="AS1544" s="19">
        <v>69</v>
      </c>
    </row>
    <row r="1545" spans="1:45" x14ac:dyDescent="0.25">
      <c r="A1545">
        <v>143</v>
      </c>
      <c r="B1545" s="11">
        <f t="shared" si="24"/>
        <v>34176</v>
      </c>
      <c r="C1545" s="16">
        <v>341760</v>
      </c>
      <c r="D1545" s="17">
        <v>1</v>
      </c>
      <c r="E1545" s="17">
        <v>0</v>
      </c>
      <c r="F1545" s="17">
        <v>12</v>
      </c>
      <c r="G1545" s="17">
        <v>32</v>
      </c>
      <c r="H1545" s="13" t="str" cm="1">
        <f t="array" ref="H1545">_xlfn.IFS(G1545&lt;=20,"0-20",G1545&lt;=30,"20-30",G1545&lt;=40,"30-40",G1545&lt;=50,"50-60",G1545&lt;=60,"60-70",G1545&lt;=70,"70-80",G1545&lt;=80,"80-90")</f>
        <v>30-40</v>
      </c>
      <c r="I1545" s="17">
        <v>2207</v>
      </c>
      <c r="J1545" s="13" t="str" cm="1">
        <f t="array" ref="J1545">_xlfn.IFS(K1545=1,"Divorciado",L1545=1,"Casado",M1545=1,"Solteiro",N1545=1,"Juntos",O1545=1,"Viuvo")</f>
        <v>Solteiro</v>
      </c>
      <c r="K1545" s="17">
        <v>0</v>
      </c>
      <c r="L1545" s="17">
        <v>0</v>
      </c>
      <c r="M1545" s="17">
        <v>1</v>
      </c>
      <c r="N1545" s="17">
        <v>0</v>
      </c>
      <c r="O1545" s="17">
        <v>0</v>
      </c>
      <c r="P1545" s="17">
        <v>0</v>
      </c>
      <c r="Q1545" s="17">
        <v>0</v>
      </c>
      <c r="R1545" s="17">
        <v>1</v>
      </c>
      <c r="S1545" s="17">
        <v>0</v>
      </c>
      <c r="T1545" s="17">
        <v>0</v>
      </c>
      <c r="U1545" s="17">
        <v>5</v>
      </c>
      <c r="V1545" s="13" t="str" cm="1">
        <f t="array" ref="V1545">_xlfn.IFS(U1545&lt;=250,"0-R$250",U1545&lt;=500,"251-R$500",U1545&lt;=750,"501-R$750",U1545&lt;=1000,"751-R$1000",U1545&lt;=1250,"1001-R$1250",U1545&lt;=1500,"1251-R$1500")</f>
        <v>0-R$250</v>
      </c>
      <c r="W1545" s="17">
        <v>7</v>
      </c>
      <c r="X1545" s="13" t="str" cm="1">
        <f t="array" ref="X1545">_xlfn.IFS(W1545 = 0, "0", W1545&lt;=20, "até R$20",W1545&lt;=40, "21 - R$40",W1545&lt;=60, "41- R$60",W1545&lt;=80, "61 - R$80", W1545&lt;=100, "81 - R$100",W1545&lt;=120, "101 - R$120",W1545&lt;=140, "121 - R$140", W1545&lt;=160, "141- R$160", W1545&lt;=180, "161 - R$180", W1545&lt;=200, "181-R$194")</f>
        <v>até R$20</v>
      </c>
      <c r="Y1545" s="17">
        <v>24</v>
      </c>
      <c r="Z1545" s="17">
        <v>19</v>
      </c>
      <c r="AA1545" s="17">
        <v>14</v>
      </c>
      <c r="AB1545" s="17">
        <v>20</v>
      </c>
      <c r="AC1545" s="17">
        <v>4</v>
      </c>
      <c r="AD1545" s="17">
        <v>3</v>
      </c>
      <c r="AE1545" s="17">
        <v>0</v>
      </c>
      <c r="AF1545" s="17">
        <v>4</v>
      </c>
      <c r="AG1545" s="17">
        <v>6</v>
      </c>
      <c r="AH1545" s="17">
        <v>0</v>
      </c>
      <c r="AI1545" s="17">
        <v>0</v>
      </c>
      <c r="AJ1545" s="17">
        <v>0</v>
      </c>
      <c r="AK1545" s="17">
        <v>0</v>
      </c>
      <c r="AL1545" s="17">
        <v>0</v>
      </c>
      <c r="AM1545" s="17">
        <v>0</v>
      </c>
      <c r="AN1545" s="17">
        <v>0</v>
      </c>
      <c r="AO1545" s="18">
        <v>0</v>
      </c>
      <c r="AP1545" s="17">
        <v>3</v>
      </c>
      <c r="AQ1545" s="17">
        <v>11</v>
      </c>
      <c r="AR1545" s="19">
        <v>49</v>
      </c>
      <c r="AS1545" s="19">
        <v>69</v>
      </c>
    </row>
    <row r="1546" spans="1:45" x14ac:dyDescent="0.25">
      <c r="A1546">
        <v>158</v>
      </c>
      <c r="B1546" s="11">
        <f t="shared" si="24"/>
        <v>26091</v>
      </c>
      <c r="C1546" s="12">
        <v>260910</v>
      </c>
      <c r="D1546" s="13">
        <v>1</v>
      </c>
      <c r="E1546" s="13">
        <v>1</v>
      </c>
      <c r="F1546" s="13">
        <v>84</v>
      </c>
      <c r="G1546" s="13">
        <v>63</v>
      </c>
      <c r="H1546" s="13" t="str" cm="1">
        <f t="array" ref="H1546">_xlfn.IFS(G1546&lt;=20,"0-20",G1546&lt;=30,"20-30",G1546&lt;=40,"30-40",G1546&lt;=50,"50-60",G1546&lt;=60,"60-70",G1546&lt;=70,"70-80",G1546&lt;=80,"80-90")</f>
        <v>70-80</v>
      </c>
      <c r="I1546" s="13">
        <v>2283</v>
      </c>
      <c r="J1546" s="13" t="str" cm="1">
        <f t="array" ref="J1546">_xlfn.IFS(K1546=1,"Divorciado",L1546=1,"Casado",M1546=1,"Solteiro",N1546=1,"Juntos",O1546=1,"Viuvo")</f>
        <v>Juntos</v>
      </c>
      <c r="K1546" s="13">
        <v>0</v>
      </c>
      <c r="L1546" s="13">
        <v>0</v>
      </c>
      <c r="M1546" s="13">
        <v>0</v>
      </c>
      <c r="N1546" s="13">
        <v>1</v>
      </c>
      <c r="O1546" s="13">
        <v>0</v>
      </c>
      <c r="P1546" s="13">
        <v>0</v>
      </c>
      <c r="Q1546" s="13">
        <v>0</v>
      </c>
      <c r="R1546" s="13">
        <v>1</v>
      </c>
      <c r="S1546" s="13">
        <v>0</v>
      </c>
      <c r="T1546" s="13">
        <v>0</v>
      </c>
      <c r="U1546" s="13">
        <v>15</v>
      </c>
      <c r="V1546" s="13" t="str" cm="1">
        <f t="array" ref="V1546">_xlfn.IFS(U1546&lt;=250,"0-R$250",U1546&lt;=500,"251-R$500",U1546&lt;=750,"501-R$750",U1546&lt;=1000,"751-R$1000",U1546&lt;=1250,"1001-R$1250",U1546&lt;=1500,"1251-R$1500")</f>
        <v>0-R$250</v>
      </c>
      <c r="W1546" s="13">
        <v>10</v>
      </c>
      <c r="X1546" s="13" t="str" cm="1">
        <f t="array" ref="X1546">_xlfn.IFS(W1546 = 0, "0", W1546&lt;=20, "até R$20",W1546&lt;=40, "21 - R$40",W1546&lt;=60, "41- R$60",W1546&lt;=80, "61 - R$80", W1546&lt;=100, "81 - R$100",W1546&lt;=120, "101 - R$120",W1546&lt;=140, "121 - R$140", W1546&lt;=160, "141- R$160", W1546&lt;=180, "161 - R$180", W1546&lt;=200, "181-R$194")</f>
        <v>até R$20</v>
      </c>
      <c r="Y1546" s="13">
        <v>19</v>
      </c>
      <c r="Z1546" s="13">
        <v>8</v>
      </c>
      <c r="AA1546" s="13">
        <v>17</v>
      </c>
      <c r="AB1546" s="13">
        <v>20</v>
      </c>
      <c r="AC1546" s="13">
        <v>3</v>
      </c>
      <c r="AD1546" s="13">
        <v>2</v>
      </c>
      <c r="AE1546" s="13">
        <v>1</v>
      </c>
      <c r="AF1546" s="13">
        <v>3</v>
      </c>
      <c r="AG1546" s="13">
        <v>5</v>
      </c>
      <c r="AH1546" s="13">
        <v>0</v>
      </c>
      <c r="AI1546" s="13">
        <v>0</v>
      </c>
      <c r="AJ1546" s="13">
        <v>0</v>
      </c>
      <c r="AK1546" s="13">
        <v>0</v>
      </c>
      <c r="AL1546" s="13">
        <v>0</v>
      </c>
      <c r="AM1546" s="13">
        <v>0</v>
      </c>
      <c r="AN1546" s="13">
        <v>0</v>
      </c>
      <c r="AO1546" s="14">
        <v>0</v>
      </c>
      <c r="AP1546" s="13">
        <v>3</v>
      </c>
      <c r="AQ1546" s="13">
        <v>11</v>
      </c>
      <c r="AR1546" s="15">
        <v>49</v>
      </c>
      <c r="AS1546" s="15">
        <v>69</v>
      </c>
    </row>
    <row r="1547" spans="1:45" x14ac:dyDescent="0.25">
      <c r="A1547">
        <v>181</v>
      </c>
      <c r="B1547" s="11">
        <f t="shared" si="24"/>
        <v>38872</v>
      </c>
      <c r="C1547" s="16">
        <v>388720</v>
      </c>
      <c r="D1547" s="17">
        <v>1</v>
      </c>
      <c r="E1547" s="17">
        <v>0</v>
      </c>
      <c r="F1547" s="17">
        <v>93</v>
      </c>
      <c r="G1547" s="17">
        <v>32</v>
      </c>
      <c r="H1547" s="13" t="str" cm="1">
        <f t="array" ref="H1547">_xlfn.IFS(G1547&lt;=20,"0-20",G1547&lt;=30,"20-30",G1547&lt;=40,"30-40",G1547&lt;=50,"50-60",G1547&lt;=60,"60-70",G1547&lt;=70,"70-80",G1547&lt;=80,"80-90")</f>
        <v>30-40</v>
      </c>
      <c r="I1547" s="17">
        <v>2554</v>
      </c>
      <c r="J1547" s="13" t="str" cm="1">
        <f t="array" ref="J1547">_xlfn.IFS(K1547=1,"Divorciado",L1547=1,"Casado",M1547=1,"Solteiro",N1547=1,"Juntos",O1547=1,"Viuvo")</f>
        <v>Casado</v>
      </c>
      <c r="K1547" s="17">
        <v>0</v>
      </c>
      <c r="L1547" s="17">
        <v>1</v>
      </c>
      <c r="M1547" s="17">
        <v>0</v>
      </c>
      <c r="N1547" s="17">
        <v>0</v>
      </c>
      <c r="O1547" s="17">
        <v>0</v>
      </c>
      <c r="P1547" s="17">
        <v>0</v>
      </c>
      <c r="Q1547" s="17">
        <v>0</v>
      </c>
      <c r="R1547" s="17">
        <v>1</v>
      </c>
      <c r="S1547" s="17">
        <v>0</v>
      </c>
      <c r="T1547" s="17">
        <v>0</v>
      </c>
      <c r="U1547" s="17">
        <v>23</v>
      </c>
      <c r="V1547" s="13" t="str" cm="1">
        <f t="array" ref="V1547">_xlfn.IFS(U1547&lt;=250,"0-R$250",U1547&lt;=500,"251-R$500",U1547&lt;=750,"501-R$750",U1547&lt;=1000,"751-R$1000",U1547&lt;=1250,"1001-R$1250",U1547&lt;=1500,"1251-R$1500")</f>
        <v>0-R$250</v>
      </c>
      <c r="W1547" s="17">
        <v>3</v>
      </c>
      <c r="X1547" s="13" t="str" cm="1">
        <f t="array" ref="X1547">_xlfn.IFS(W1547 = 0, "0", W1547&lt;=20, "até R$20",W1547&lt;=40, "21 - R$40",W1547&lt;=60, "41- R$60",W1547&lt;=80, "61 - R$80", W1547&lt;=100, "81 - R$100",W1547&lt;=120, "101 - R$120",W1547&lt;=140, "121 - R$140", W1547&lt;=160, "141- R$160", W1547&lt;=180, "161 - R$180", W1547&lt;=200, "181-R$194")</f>
        <v>até R$20</v>
      </c>
      <c r="Y1547" s="17">
        <v>21</v>
      </c>
      <c r="Z1547" s="17">
        <v>3</v>
      </c>
      <c r="AA1547" s="17">
        <v>19</v>
      </c>
      <c r="AB1547" s="17">
        <v>22</v>
      </c>
      <c r="AC1547" s="17">
        <v>2</v>
      </c>
      <c r="AD1547" s="17">
        <v>3</v>
      </c>
      <c r="AE1547" s="17">
        <v>0</v>
      </c>
      <c r="AF1547" s="17">
        <v>3</v>
      </c>
      <c r="AG1547" s="17">
        <v>8</v>
      </c>
      <c r="AH1547" s="17">
        <v>0</v>
      </c>
      <c r="AI1547" s="17">
        <v>0</v>
      </c>
      <c r="AJ1547" s="17">
        <v>0</v>
      </c>
      <c r="AK1547" s="17">
        <v>0</v>
      </c>
      <c r="AL1547" s="17">
        <v>0</v>
      </c>
      <c r="AM1547" s="17">
        <v>0</v>
      </c>
      <c r="AN1547" s="17">
        <v>0</v>
      </c>
      <c r="AO1547" s="18">
        <v>0</v>
      </c>
      <c r="AP1547" s="17">
        <v>3</v>
      </c>
      <c r="AQ1547" s="17">
        <v>11</v>
      </c>
      <c r="AR1547" s="19">
        <v>47</v>
      </c>
      <c r="AS1547" s="19">
        <v>69</v>
      </c>
    </row>
    <row r="1548" spans="1:45" x14ac:dyDescent="0.25">
      <c r="A1548">
        <v>724</v>
      </c>
      <c r="B1548" s="11">
        <f t="shared" si="24"/>
        <v>38702</v>
      </c>
      <c r="C1548" s="12">
        <v>387020</v>
      </c>
      <c r="D1548" s="13">
        <v>1</v>
      </c>
      <c r="E1548" s="13">
        <v>0</v>
      </c>
      <c r="F1548" s="13">
        <v>71</v>
      </c>
      <c r="G1548" s="13">
        <v>42</v>
      </c>
      <c r="H1548" s="13" t="str" cm="1">
        <f t="array" ref="H1548">_xlfn.IFS(G1548&lt;=20,"0-20",G1548&lt;=30,"20-30",G1548&lt;=40,"30-40",G1548&lt;=50,"50-60",G1548&lt;=60,"60-70",G1548&lt;=70,"70-80",G1548&lt;=80,"80-90")</f>
        <v>50-60</v>
      </c>
      <c r="I1548" s="13">
        <v>2491</v>
      </c>
      <c r="J1548" s="13" t="str" cm="1">
        <f t="array" ref="J1548">_xlfn.IFS(K1548=1,"Divorciado",L1548=1,"Casado",M1548=1,"Solteiro",N1548=1,"Juntos",O1548=1,"Viuvo")</f>
        <v>Juntos</v>
      </c>
      <c r="K1548" s="13">
        <v>0</v>
      </c>
      <c r="L1548" s="13">
        <v>0</v>
      </c>
      <c r="M1548" s="13">
        <v>0</v>
      </c>
      <c r="N1548" s="13">
        <v>1</v>
      </c>
      <c r="O1548" s="13">
        <v>0</v>
      </c>
      <c r="P1548" s="13">
        <v>1</v>
      </c>
      <c r="Q1548" s="13">
        <v>0</v>
      </c>
      <c r="R1548" s="13">
        <v>0</v>
      </c>
      <c r="S1548" s="13">
        <v>0</v>
      </c>
      <c r="T1548" s="13">
        <v>0</v>
      </c>
      <c r="U1548" s="13">
        <v>13</v>
      </c>
      <c r="V1548" s="13" t="str" cm="1">
        <f t="array" ref="V1548">_xlfn.IFS(U1548&lt;=250,"0-R$250",U1548&lt;=500,"251-R$500",U1548&lt;=750,"501-R$750",U1548&lt;=1000,"751-R$1000",U1548&lt;=1250,"1001-R$1250",U1548&lt;=1500,"1251-R$1500")</f>
        <v>0-R$250</v>
      </c>
      <c r="W1548" s="13">
        <v>11</v>
      </c>
      <c r="X1548" s="13" t="str" cm="1">
        <f t="array" ref="X1548">_xlfn.IFS(W1548 = 0, "0", W1548&lt;=20, "até R$20",W1548&lt;=40, "21 - R$40",W1548&lt;=60, "41- R$60",W1548&lt;=80, "61 - R$80", W1548&lt;=100, "81 - R$100",W1548&lt;=120, "101 - R$120",W1548&lt;=140, "121 - R$140", W1548&lt;=160, "141- R$160", W1548&lt;=180, "161 - R$180", W1548&lt;=200, "181-R$194")</f>
        <v>até R$20</v>
      </c>
      <c r="Y1548" s="13">
        <v>24</v>
      </c>
      <c r="Z1548" s="13">
        <v>13</v>
      </c>
      <c r="AA1548" s="13">
        <v>8</v>
      </c>
      <c r="AB1548" s="13">
        <v>40</v>
      </c>
      <c r="AC1548" s="13">
        <v>2</v>
      </c>
      <c r="AD1548" s="13">
        <v>3</v>
      </c>
      <c r="AE1548" s="13">
        <v>0</v>
      </c>
      <c r="AF1548" s="13">
        <v>4</v>
      </c>
      <c r="AG1548" s="13">
        <v>6</v>
      </c>
      <c r="AH1548" s="13">
        <v>0</v>
      </c>
      <c r="AI1548" s="13">
        <v>0</v>
      </c>
      <c r="AJ1548" s="13">
        <v>0</v>
      </c>
      <c r="AK1548" s="13">
        <v>0</v>
      </c>
      <c r="AL1548" s="13">
        <v>0</v>
      </c>
      <c r="AM1548" s="13">
        <v>0</v>
      </c>
      <c r="AN1548" s="13">
        <v>0</v>
      </c>
      <c r="AO1548" s="14">
        <v>0</v>
      </c>
      <c r="AP1548" s="13">
        <v>3</v>
      </c>
      <c r="AQ1548" s="13">
        <v>11</v>
      </c>
      <c r="AR1548" s="15">
        <v>29</v>
      </c>
      <c r="AS1548" s="15">
        <v>69</v>
      </c>
    </row>
    <row r="1549" spans="1:45" x14ac:dyDescent="0.25">
      <c r="A1549">
        <v>739</v>
      </c>
      <c r="B1549" s="11">
        <f t="shared" si="24"/>
        <v>40662</v>
      </c>
      <c r="C1549" s="16">
        <v>406620</v>
      </c>
      <c r="D1549" s="17">
        <v>1</v>
      </c>
      <c r="E1549" s="17">
        <v>0</v>
      </c>
      <c r="F1549" s="17">
        <v>0</v>
      </c>
      <c r="G1549" s="17">
        <v>41</v>
      </c>
      <c r="H1549" s="13" t="str" cm="1">
        <f t="array" ref="H1549">_xlfn.IFS(G1549&lt;=20,"0-20",G1549&lt;=30,"20-30",G1549&lt;=40,"30-40",G1549&lt;=50,"50-60",G1549&lt;=60,"60-70",G1549&lt;=70,"70-80",G1549&lt;=80,"80-90")</f>
        <v>50-60</v>
      </c>
      <c r="I1549" s="17">
        <v>2630</v>
      </c>
      <c r="J1549" s="13" t="str" cm="1">
        <f t="array" ref="J1549">_xlfn.IFS(K1549=1,"Divorciado",L1549=1,"Casado",M1549=1,"Solteiro",N1549=1,"Juntos",O1549=1,"Viuvo")</f>
        <v>Casado</v>
      </c>
      <c r="K1549" s="17">
        <v>0</v>
      </c>
      <c r="L1549" s="17">
        <v>1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1</v>
      </c>
      <c r="T1549" s="17">
        <v>0</v>
      </c>
      <c r="U1549" s="17">
        <v>40</v>
      </c>
      <c r="V1549" s="13" t="str" cm="1">
        <f t="array" ref="V1549">_xlfn.IFS(U1549&lt;=250,"0-R$250",U1549&lt;=500,"251-R$500",U1549&lt;=750,"501-R$750",U1549&lt;=1000,"751-R$1000",U1549&lt;=1250,"1001-R$1250",U1549&lt;=1500,"1251-R$1500")</f>
        <v>0-R$250</v>
      </c>
      <c r="W1549" s="17">
        <v>2</v>
      </c>
      <c r="X1549" s="13" t="str" cm="1">
        <f t="array" ref="X1549">_xlfn.IFS(W1549 = 0, "0", W1549&lt;=20, "até R$20",W1549&lt;=40, "21 - R$40",W1549&lt;=60, "41- R$60",W1549&lt;=80, "61 - R$80", W1549&lt;=100, "81 - R$100",W1549&lt;=120, "101 - R$120",W1549&lt;=140, "121 - R$140", W1549&lt;=160, "141- R$160", W1549&lt;=180, "161 - R$180", W1549&lt;=200, "181-R$194")</f>
        <v>até R$20</v>
      </c>
      <c r="Y1549" s="17">
        <v>23</v>
      </c>
      <c r="Z1549" s="17">
        <v>0</v>
      </c>
      <c r="AA1549" s="17">
        <v>4</v>
      </c>
      <c r="AB1549" s="17">
        <v>23</v>
      </c>
      <c r="AC1549" s="17">
        <v>2</v>
      </c>
      <c r="AD1549" s="17">
        <v>2</v>
      </c>
      <c r="AE1549" s="17">
        <v>1</v>
      </c>
      <c r="AF1549" s="17">
        <v>3</v>
      </c>
      <c r="AG1549" s="17">
        <v>4</v>
      </c>
      <c r="AH1549" s="17">
        <v>0</v>
      </c>
      <c r="AI1549" s="17">
        <v>0</v>
      </c>
      <c r="AJ1549" s="17">
        <v>0</v>
      </c>
      <c r="AK1549" s="17">
        <v>0</v>
      </c>
      <c r="AL1549" s="17">
        <v>0</v>
      </c>
      <c r="AM1549" s="17">
        <v>0</v>
      </c>
      <c r="AN1549" s="17">
        <v>0</v>
      </c>
      <c r="AO1549" s="18">
        <v>0</v>
      </c>
      <c r="AP1549" s="17">
        <v>3</v>
      </c>
      <c r="AQ1549" s="17">
        <v>11</v>
      </c>
      <c r="AR1549" s="19">
        <v>46</v>
      </c>
      <c r="AS1549" s="19">
        <v>69</v>
      </c>
    </row>
    <row r="1550" spans="1:45" x14ac:dyDescent="0.25">
      <c r="A1550">
        <v>754</v>
      </c>
      <c r="B1550" s="11">
        <f t="shared" si="24"/>
        <v>33622</v>
      </c>
      <c r="C1550" s="12">
        <v>336220</v>
      </c>
      <c r="D1550" s="13">
        <v>1</v>
      </c>
      <c r="E1550" s="13">
        <v>1</v>
      </c>
      <c r="F1550" s="13">
        <v>22</v>
      </c>
      <c r="G1550" s="13">
        <v>48</v>
      </c>
      <c r="H1550" s="13" t="str" cm="1">
        <f t="array" ref="H1550">_xlfn.IFS(G1550&lt;=20,"0-20",G1550&lt;=30,"20-30",G1550&lt;=40,"30-40",G1550&lt;=50,"50-60",G1550&lt;=60,"60-70",G1550&lt;=70,"70-80",G1550&lt;=80,"80-90")</f>
        <v>50-60</v>
      </c>
      <c r="I1550" s="13">
        <v>2601</v>
      </c>
      <c r="J1550" s="13" t="str" cm="1">
        <f t="array" ref="J1550">_xlfn.IFS(K1550=1,"Divorciado",L1550=1,"Casado",M1550=1,"Solteiro",N1550=1,"Juntos",O1550=1,"Viuvo")</f>
        <v>Casado</v>
      </c>
      <c r="K1550" s="13">
        <v>0</v>
      </c>
      <c r="L1550" s="13">
        <v>1</v>
      </c>
      <c r="M1550" s="13">
        <v>0</v>
      </c>
      <c r="N1550" s="13">
        <v>0</v>
      </c>
      <c r="O1550" s="13">
        <v>0</v>
      </c>
      <c r="P1550" s="13">
        <v>0</v>
      </c>
      <c r="Q1550" s="13">
        <v>0</v>
      </c>
      <c r="R1550" s="13">
        <v>1</v>
      </c>
      <c r="S1550" s="13">
        <v>0</v>
      </c>
      <c r="T1550" s="13">
        <v>0</v>
      </c>
      <c r="U1550" s="13">
        <v>39</v>
      </c>
      <c r="V1550" s="13" t="str" cm="1">
        <f t="array" ref="V1550">_xlfn.IFS(U1550&lt;=250,"0-R$250",U1550&lt;=500,"251-R$500",U1550&lt;=750,"501-R$750",U1550&lt;=1000,"751-R$1000",U1550&lt;=1250,"1001-R$1250",U1550&lt;=1500,"1251-R$1500")</f>
        <v>0-R$250</v>
      </c>
      <c r="W1550" s="13">
        <v>1</v>
      </c>
      <c r="X1550" s="13" t="str" cm="1">
        <f t="array" ref="X1550">_xlfn.IFS(W1550 = 0, "0", W1550&lt;=20, "até R$20",W1550&lt;=40, "21 - R$40",W1550&lt;=60, "41- R$60",W1550&lt;=80, "61 - R$80", W1550&lt;=100, "81 - R$100",W1550&lt;=120, "101 - R$120",W1550&lt;=140, "121 - R$140", W1550&lt;=160, "141- R$160", W1550&lt;=180, "161 - R$180", W1550&lt;=200, "181-R$194")</f>
        <v>até R$20</v>
      </c>
      <c r="Y1550" s="13">
        <v>22</v>
      </c>
      <c r="Z1550" s="13">
        <v>3</v>
      </c>
      <c r="AA1550" s="13">
        <v>4</v>
      </c>
      <c r="AB1550" s="13">
        <v>12</v>
      </c>
      <c r="AC1550" s="13">
        <v>3</v>
      </c>
      <c r="AD1550" s="13">
        <v>2</v>
      </c>
      <c r="AE1550" s="13">
        <v>0</v>
      </c>
      <c r="AF1550" s="13">
        <v>4</v>
      </c>
      <c r="AG1550" s="13">
        <v>7</v>
      </c>
      <c r="AH1550" s="13">
        <v>0</v>
      </c>
      <c r="AI1550" s="13">
        <v>0</v>
      </c>
      <c r="AJ1550" s="13">
        <v>0</v>
      </c>
      <c r="AK1550" s="13">
        <v>0</v>
      </c>
      <c r="AL1550" s="13">
        <v>0</v>
      </c>
      <c r="AM1550" s="13">
        <v>0</v>
      </c>
      <c r="AN1550" s="13">
        <v>0</v>
      </c>
      <c r="AO1550" s="14">
        <v>0</v>
      </c>
      <c r="AP1550" s="13">
        <v>3</v>
      </c>
      <c r="AQ1550" s="13">
        <v>11</v>
      </c>
      <c r="AR1550" s="15">
        <v>57</v>
      </c>
      <c r="AS1550" s="15">
        <v>69</v>
      </c>
    </row>
    <row r="1551" spans="1:45" x14ac:dyDescent="0.25">
      <c r="A1551">
        <v>823</v>
      </c>
      <c r="B1551" s="11">
        <f t="shared" si="24"/>
        <v>34176</v>
      </c>
      <c r="C1551" s="16">
        <v>341760</v>
      </c>
      <c r="D1551" s="17">
        <v>1</v>
      </c>
      <c r="E1551" s="17">
        <v>0</v>
      </c>
      <c r="F1551" s="17">
        <v>12</v>
      </c>
      <c r="G1551" s="17">
        <v>32</v>
      </c>
      <c r="H1551" s="13" t="str" cm="1">
        <f t="array" ref="H1551">_xlfn.IFS(G1551&lt;=20,"0-20",G1551&lt;=30,"20-30",G1551&lt;=40,"30-40",G1551&lt;=50,"50-60",G1551&lt;=60,"60-70",G1551&lt;=70,"70-80",G1551&lt;=80,"80-90")</f>
        <v>30-40</v>
      </c>
      <c r="I1551" s="17">
        <v>2207</v>
      </c>
      <c r="J1551" s="13" t="str" cm="1">
        <f t="array" ref="J1551">_xlfn.IFS(K1551=1,"Divorciado",L1551=1,"Casado",M1551=1,"Solteiro",N1551=1,"Juntos",O1551=1,"Viuvo")</f>
        <v>Solteiro</v>
      </c>
      <c r="K1551" s="17">
        <v>0</v>
      </c>
      <c r="L1551" s="17">
        <v>0</v>
      </c>
      <c r="M1551" s="17">
        <v>1</v>
      </c>
      <c r="N1551" s="17">
        <v>0</v>
      </c>
      <c r="O1551" s="17">
        <v>0</v>
      </c>
      <c r="P1551" s="17">
        <v>0</v>
      </c>
      <c r="Q1551" s="17">
        <v>0</v>
      </c>
      <c r="R1551" s="17">
        <v>1</v>
      </c>
      <c r="S1551" s="17">
        <v>0</v>
      </c>
      <c r="T1551" s="17">
        <v>0</v>
      </c>
      <c r="U1551" s="17">
        <v>5</v>
      </c>
      <c r="V1551" s="13" t="str" cm="1">
        <f t="array" ref="V1551">_xlfn.IFS(U1551&lt;=250,"0-R$250",U1551&lt;=500,"251-R$500",U1551&lt;=750,"501-R$750",U1551&lt;=1000,"751-R$1000",U1551&lt;=1250,"1001-R$1250",U1551&lt;=1500,"1251-R$1500")</f>
        <v>0-R$250</v>
      </c>
      <c r="W1551" s="17">
        <v>7</v>
      </c>
      <c r="X1551" s="13" t="str" cm="1">
        <f t="array" ref="X1551">_xlfn.IFS(W1551 = 0, "0", W1551&lt;=20, "até R$20",W1551&lt;=40, "21 - R$40",W1551&lt;=60, "41- R$60",W1551&lt;=80, "61 - R$80", W1551&lt;=100, "81 - R$100",W1551&lt;=120, "101 - R$120",W1551&lt;=140, "121 - R$140", W1551&lt;=160, "141- R$160", W1551&lt;=180, "161 - R$180", W1551&lt;=200, "181-R$194")</f>
        <v>até R$20</v>
      </c>
      <c r="Y1551" s="17">
        <v>24</v>
      </c>
      <c r="Z1551" s="17">
        <v>19</v>
      </c>
      <c r="AA1551" s="17">
        <v>14</v>
      </c>
      <c r="AB1551" s="17">
        <v>20</v>
      </c>
      <c r="AC1551" s="17">
        <v>4</v>
      </c>
      <c r="AD1551" s="17">
        <v>3</v>
      </c>
      <c r="AE1551" s="17">
        <v>0</v>
      </c>
      <c r="AF1551" s="17">
        <v>4</v>
      </c>
      <c r="AG1551" s="17">
        <v>6</v>
      </c>
      <c r="AH1551" s="17">
        <v>0</v>
      </c>
      <c r="AI1551" s="17">
        <v>0</v>
      </c>
      <c r="AJ1551" s="17">
        <v>0</v>
      </c>
      <c r="AK1551" s="17">
        <v>0</v>
      </c>
      <c r="AL1551" s="17">
        <v>0</v>
      </c>
      <c r="AM1551" s="17">
        <v>0</v>
      </c>
      <c r="AN1551" s="17">
        <v>0</v>
      </c>
      <c r="AO1551" s="18">
        <v>0</v>
      </c>
      <c r="AP1551" s="17">
        <v>3</v>
      </c>
      <c r="AQ1551" s="17">
        <v>11</v>
      </c>
      <c r="AR1551" s="19">
        <v>49</v>
      </c>
      <c r="AS1551" s="19">
        <v>69</v>
      </c>
    </row>
    <row r="1552" spans="1:45" x14ac:dyDescent="0.25">
      <c r="A1552">
        <v>903</v>
      </c>
      <c r="B1552" s="11">
        <f t="shared" si="24"/>
        <v>39858</v>
      </c>
      <c r="C1552" s="16">
        <v>398580</v>
      </c>
      <c r="D1552" s="17">
        <v>1</v>
      </c>
      <c r="E1552" s="17">
        <v>0</v>
      </c>
      <c r="F1552" s="17">
        <v>67</v>
      </c>
      <c r="G1552" s="17">
        <v>51</v>
      </c>
      <c r="H1552" s="13" t="str" cm="1">
        <f t="array" ref="H1552">_xlfn.IFS(G1552&lt;=20,"0-20",G1552&lt;=30,"20-30",G1552&lt;=40,"30-40",G1552&lt;=50,"50-60",G1552&lt;=60,"60-70",G1552&lt;=70,"70-80",G1552&lt;=80,"80-90")</f>
        <v>60-70</v>
      </c>
      <c r="I1552" s="17">
        <v>2680</v>
      </c>
      <c r="J1552" s="13" t="str" cm="1">
        <f t="array" ref="J1552">_xlfn.IFS(K1552=1,"Divorciado",L1552=1,"Casado",M1552=1,"Solteiro",N1552=1,"Juntos",O1552=1,"Viuvo")</f>
        <v>Solteiro</v>
      </c>
      <c r="K1552" s="17">
        <v>0</v>
      </c>
      <c r="L1552" s="17">
        <v>0</v>
      </c>
      <c r="M1552" s="17">
        <v>1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1</v>
      </c>
      <c r="T1552" s="17">
        <v>0</v>
      </c>
      <c r="U1552" s="17">
        <v>15</v>
      </c>
      <c r="V1552" s="13" t="str" cm="1">
        <f t="array" ref="V1552">_xlfn.IFS(U1552&lt;=250,"0-R$250",U1552&lt;=500,"251-R$500",U1552&lt;=750,"501-R$750",U1552&lt;=1000,"751-R$1000",U1552&lt;=1250,"1001-R$1250",U1552&lt;=1500,"1251-R$1500")</f>
        <v>0-R$250</v>
      </c>
      <c r="W1552" s="17">
        <v>20</v>
      </c>
      <c r="X1552" s="13" t="str" cm="1">
        <f t="array" ref="X1552">_xlfn.IFS(W1552 = 0, "0", W1552&lt;=20, "até R$20",W1552&lt;=40, "21 - R$40",W1552&lt;=60, "41- R$60",W1552&lt;=80, "61 - R$80", W1552&lt;=100, "81 - R$100",W1552&lt;=120, "101 - R$120",W1552&lt;=140, "121 - R$140", W1552&lt;=160, "141- R$160", W1552&lt;=180, "161 - R$180", W1552&lt;=200, "181-R$194")</f>
        <v>até R$20</v>
      </c>
      <c r="Y1552" s="17">
        <v>25</v>
      </c>
      <c r="Z1552" s="17">
        <v>2</v>
      </c>
      <c r="AA1552" s="17">
        <v>7</v>
      </c>
      <c r="AB1552" s="17">
        <v>26</v>
      </c>
      <c r="AC1552" s="17">
        <v>1</v>
      </c>
      <c r="AD1552" s="17">
        <v>2</v>
      </c>
      <c r="AE1552" s="17">
        <v>0</v>
      </c>
      <c r="AF1552" s="17">
        <v>4</v>
      </c>
      <c r="AG1552" s="17">
        <v>6</v>
      </c>
      <c r="AH1552" s="17">
        <v>0</v>
      </c>
      <c r="AI1552" s="17">
        <v>0</v>
      </c>
      <c r="AJ1552" s="17">
        <v>0</v>
      </c>
      <c r="AK1552" s="17">
        <v>0</v>
      </c>
      <c r="AL1552" s="17">
        <v>0</v>
      </c>
      <c r="AM1552" s="17">
        <v>0</v>
      </c>
      <c r="AN1552" s="17">
        <v>1</v>
      </c>
      <c r="AO1552" s="18">
        <v>0</v>
      </c>
      <c r="AP1552" s="17">
        <v>3</v>
      </c>
      <c r="AQ1552" s="17">
        <v>11</v>
      </c>
      <c r="AR1552" s="19">
        <v>43</v>
      </c>
      <c r="AS1552" s="19">
        <v>69</v>
      </c>
    </row>
    <row r="1553" spans="1:45" x14ac:dyDescent="0.25">
      <c r="A1553">
        <v>978</v>
      </c>
      <c r="B1553" s="11">
        <f t="shared" si="24"/>
        <v>26091</v>
      </c>
      <c r="C1553" s="12">
        <v>260910</v>
      </c>
      <c r="D1553" s="13">
        <v>1</v>
      </c>
      <c r="E1553" s="13">
        <v>1</v>
      </c>
      <c r="F1553" s="13">
        <v>84</v>
      </c>
      <c r="G1553" s="13">
        <v>63</v>
      </c>
      <c r="H1553" s="13" t="str" cm="1">
        <f t="array" ref="H1553">_xlfn.IFS(G1553&lt;=20,"0-20",G1553&lt;=30,"20-30",G1553&lt;=40,"30-40",G1553&lt;=50,"50-60",G1553&lt;=60,"60-70",G1553&lt;=70,"70-80",G1553&lt;=80,"80-90")</f>
        <v>70-80</v>
      </c>
      <c r="I1553" s="13">
        <v>2283</v>
      </c>
      <c r="J1553" s="13" t="str" cm="1">
        <f t="array" ref="J1553">_xlfn.IFS(K1553=1,"Divorciado",L1553=1,"Casado",M1553=1,"Solteiro",N1553=1,"Juntos",O1553=1,"Viuvo")</f>
        <v>Juntos</v>
      </c>
      <c r="K1553" s="13">
        <v>0</v>
      </c>
      <c r="L1553" s="13">
        <v>0</v>
      </c>
      <c r="M1553" s="13">
        <v>0</v>
      </c>
      <c r="N1553" s="13">
        <v>1</v>
      </c>
      <c r="O1553" s="13">
        <v>0</v>
      </c>
      <c r="P1553" s="13">
        <v>0</v>
      </c>
      <c r="Q1553" s="13">
        <v>0</v>
      </c>
      <c r="R1553" s="13">
        <v>1</v>
      </c>
      <c r="S1553" s="13">
        <v>0</v>
      </c>
      <c r="T1553" s="13">
        <v>0</v>
      </c>
      <c r="U1553" s="13">
        <v>15</v>
      </c>
      <c r="V1553" s="13" t="str" cm="1">
        <f t="array" ref="V1553">_xlfn.IFS(U1553&lt;=250,"0-R$250",U1553&lt;=500,"251-R$500",U1553&lt;=750,"501-R$750",U1553&lt;=1000,"751-R$1000",U1553&lt;=1250,"1001-R$1250",U1553&lt;=1500,"1251-R$1500")</f>
        <v>0-R$250</v>
      </c>
      <c r="W1553" s="13">
        <v>10</v>
      </c>
      <c r="X1553" s="13" t="str" cm="1">
        <f t="array" ref="X1553">_xlfn.IFS(W1553 = 0, "0", W1553&lt;=20, "até R$20",W1553&lt;=40, "21 - R$40",W1553&lt;=60, "41- R$60",W1553&lt;=80, "61 - R$80", W1553&lt;=100, "81 - R$100",W1553&lt;=120, "101 - R$120",W1553&lt;=140, "121 - R$140", W1553&lt;=160, "141- R$160", W1553&lt;=180, "161 - R$180", W1553&lt;=200, "181-R$194")</f>
        <v>até R$20</v>
      </c>
      <c r="Y1553" s="13">
        <v>19</v>
      </c>
      <c r="Z1553" s="13">
        <v>8</v>
      </c>
      <c r="AA1553" s="13">
        <v>17</v>
      </c>
      <c r="AB1553" s="13">
        <v>20</v>
      </c>
      <c r="AC1553" s="13">
        <v>3</v>
      </c>
      <c r="AD1553" s="13">
        <v>2</v>
      </c>
      <c r="AE1553" s="13">
        <v>1</v>
      </c>
      <c r="AF1553" s="13">
        <v>3</v>
      </c>
      <c r="AG1553" s="13">
        <v>5</v>
      </c>
      <c r="AH1553" s="13">
        <v>0</v>
      </c>
      <c r="AI1553" s="13">
        <v>0</v>
      </c>
      <c r="AJ1553" s="13">
        <v>0</v>
      </c>
      <c r="AK1553" s="13">
        <v>0</v>
      </c>
      <c r="AL1553" s="13">
        <v>0</v>
      </c>
      <c r="AM1553" s="13">
        <v>0</v>
      </c>
      <c r="AN1553" s="13">
        <v>0</v>
      </c>
      <c r="AO1553" s="14">
        <v>0</v>
      </c>
      <c r="AP1553" s="13">
        <v>3</v>
      </c>
      <c r="AQ1553" s="13">
        <v>11</v>
      </c>
      <c r="AR1553" s="15">
        <v>49</v>
      </c>
      <c r="AS1553" s="15">
        <v>69</v>
      </c>
    </row>
    <row r="1554" spans="1:45" x14ac:dyDescent="0.25">
      <c r="A1554">
        <v>2082</v>
      </c>
      <c r="B1554" s="11">
        <f t="shared" si="24"/>
        <v>43018</v>
      </c>
      <c r="C1554" s="12">
        <v>430180</v>
      </c>
      <c r="D1554" s="13">
        <v>0</v>
      </c>
      <c r="E1554" s="13">
        <v>1</v>
      </c>
      <c r="F1554" s="13">
        <v>46</v>
      </c>
      <c r="G1554" s="13">
        <v>46</v>
      </c>
      <c r="H1554" s="13" t="str" cm="1">
        <f t="array" ref="H1554">_xlfn.IFS(G1554&lt;=20,"0-20",G1554&lt;=30,"20-30",G1554&lt;=40,"30-40",G1554&lt;=50,"50-60",G1554&lt;=60,"60-70",G1554&lt;=70,"70-80",G1554&lt;=80,"80-90")</f>
        <v>50-60</v>
      </c>
      <c r="I1554" s="13">
        <v>2399</v>
      </c>
      <c r="J1554" s="13" t="str" cm="1">
        <f t="array" ref="J1554">_xlfn.IFS(K1554=1,"Divorciado",L1554=1,"Casado",M1554=1,"Solteiro",N1554=1,"Juntos",O1554=1,"Viuvo")</f>
        <v>Juntos</v>
      </c>
      <c r="K1554" s="13">
        <v>0</v>
      </c>
      <c r="L1554" s="13">
        <v>0</v>
      </c>
      <c r="M1554" s="13">
        <v>0</v>
      </c>
      <c r="N1554" s="13">
        <v>1</v>
      </c>
      <c r="O1554" s="13">
        <v>0</v>
      </c>
      <c r="P1554" s="13">
        <v>0</v>
      </c>
      <c r="Q1554" s="13">
        <v>0</v>
      </c>
      <c r="R1554" s="13">
        <v>0</v>
      </c>
      <c r="S1554" s="13">
        <v>1</v>
      </c>
      <c r="T1554" s="13">
        <v>0</v>
      </c>
      <c r="U1554" s="13">
        <v>35</v>
      </c>
      <c r="V1554" s="13" t="str" cm="1">
        <f t="array" ref="V1554">_xlfn.IFS(U1554&lt;=250,"0-R$250",U1554&lt;=500,"251-R$500",U1554&lt;=750,"501-R$750",U1554&lt;=1000,"751-R$1000",U1554&lt;=1250,"1001-R$1250",U1554&lt;=1500,"1251-R$1500")</f>
        <v>0-R$250</v>
      </c>
      <c r="W1554" s="13">
        <v>4</v>
      </c>
      <c r="X1554" s="13" t="str" cm="1">
        <f t="array" ref="X1554">_xlfn.IFS(W1554 = 0, "0", W1554&lt;=20, "até R$20",W1554&lt;=40, "21 - R$40",W1554&lt;=60, "41- R$60",W1554&lt;=80, "61 - R$80", W1554&lt;=100, "81 - R$100",W1554&lt;=120, "101 - R$120",W1554&lt;=140, "121 - R$140", W1554&lt;=160, "141- R$160", W1554&lt;=180, "161 - R$180", W1554&lt;=200, "181-R$194")</f>
        <v>até R$20</v>
      </c>
      <c r="Y1554" s="13">
        <v>17</v>
      </c>
      <c r="Z1554" s="13">
        <v>7</v>
      </c>
      <c r="AA1554" s="13">
        <v>6</v>
      </c>
      <c r="AB1554" s="13">
        <v>64</v>
      </c>
      <c r="AC1554" s="13">
        <v>1</v>
      </c>
      <c r="AD1554" s="13">
        <v>2</v>
      </c>
      <c r="AE1554" s="13">
        <v>2</v>
      </c>
      <c r="AF1554" s="13">
        <v>2</v>
      </c>
      <c r="AG1554" s="13">
        <v>5</v>
      </c>
      <c r="AH1554" s="13">
        <v>0</v>
      </c>
      <c r="AI1554" s="13">
        <v>0</v>
      </c>
      <c r="AJ1554" s="13">
        <v>0</v>
      </c>
      <c r="AK1554" s="13">
        <v>0</v>
      </c>
      <c r="AL1554" s="13">
        <v>0</v>
      </c>
      <c r="AM1554" s="13">
        <v>0</v>
      </c>
      <c r="AN1554" s="13">
        <v>0</v>
      </c>
      <c r="AO1554" s="14">
        <v>0</v>
      </c>
      <c r="AP1554" s="13">
        <v>3</v>
      </c>
      <c r="AQ1554" s="13">
        <v>11</v>
      </c>
      <c r="AR1554" s="15">
        <v>5</v>
      </c>
      <c r="AS1554" s="15">
        <v>69</v>
      </c>
    </row>
    <row r="1555" spans="1:45" x14ac:dyDescent="0.25">
      <c r="A1555">
        <v>1007</v>
      </c>
      <c r="B1555" s="11">
        <f t="shared" si="24"/>
        <v>28647</v>
      </c>
      <c r="C1555" s="16">
        <v>286470</v>
      </c>
      <c r="D1555" s="17">
        <v>1</v>
      </c>
      <c r="E1555" s="17">
        <v>0</v>
      </c>
      <c r="F1555" s="17">
        <v>54</v>
      </c>
      <c r="G1555" s="17">
        <v>42</v>
      </c>
      <c r="H1555" s="13" t="str" cm="1">
        <f t="array" ref="H1555">_xlfn.IFS(G1555&lt;=20,"0-20",G1555&lt;=30,"20-30",G1555&lt;=40,"30-40",G1555&lt;=50,"50-60",G1555&lt;=60,"60-70",G1555&lt;=70,"70-80",G1555&lt;=80,"80-90")</f>
        <v>50-60</v>
      </c>
      <c r="I1555" s="17">
        <v>2471</v>
      </c>
      <c r="J1555" s="13" t="str" cm="1">
        <f t="array" ref="J1555">_xlfn.IFS(K1555=1,"Divorciado",L1555=1,"Casado",M1555=1,"Solteiro",N1555=1,"Juntos",O1555=1,"Viuvo")</f>
        <v>Solteiro</v>
      </c>
      <c r="K1555" s="17">
        <v>0</v>
      </c>
      <c r="L1555" s="17">
        <v>0</v>
      </c>
      <c r="M1555" s="17">
        <v>1</v>
      </c>
      <c r="N1555" s="17">
        <v>0</v>
      </c>
      <c r="O1555" s="17">
        <v>0</v>
      </c>
      <c r="P1555" s="17">
        <v>0</v>
      </c>
      <c r="Q1555" s="17">
        <v>0</v>
      </c>
      <c r="R1555" s="17">
        <v>1</v>
      </c>
      <c r="S1555" s="17">
        <v>0</v>
      </c>
      <c r="T1555" s="17">
        <v>0</v>
      </c>
      <c r="U1555" s="17">
        <v>19</v>
      </c>
      <c r="V1555" s="13" t="str" cm="1">
        <f t="array" ref="V1555">_xlfn.IFS(U1555&lt;=250,"0-R$250",U1555&lt;=500,"251-R$500",U1555&lt;=750,"501-R$750",U1555&lt;=1000,"751-R$1000",U1555&lt;=1250,"1001-R$1250",U1555&lt;=1500,"1251-R$1500")</f>
        <v>0-R$250</v>
      </c>
      <c r="W1555" s="17">
        <v>8</v>
      </c>
      <c r="X1555" s="13" t="str" cm="1">
        <f t="array" ref="X1555">_xlfn.IFS(W1555 = 0, "0", W1555&lt;=20, "até R$20",W1555&lt;=40, "21 - R$40",W1555&lt;=60, "41- R$60",W1555&lt;=80, "61 - R$80", W1555&lt;=100, "81 - R$100",W1555&lt;=120, "101 - R$120",W1555&lt;=140, "121 - R$140", W1555&lt;=160, "141- R$160", W1555&lt;=180, "161 - R$180", W1555&lt;=200, "181-R$194")</f>
        <v>até R$20</v>
      </c>
      <c r="Y1555" s="17">
        <v>29</v>
      </c>
      <c r="Z1555" s="17">
        <v>0</v>
      </c>
      <c r="AA1555" s="17">
        <v>12</v>
      </c>
      <c r="AB1555" s="17">
        <v>26</v>
      </c>
      <c r="AC1555" s="17">
        <v>1</v>
      </c>
      <c r="AD1555" s="17">
        <v>2</v>
      </c>
      <c r="AE1555" s="17">
        <v>2</v>
      </c>
      <c r="AF1555" s="17">
        <v>2</v>
      </c>
      <c r="AG1555" s="17">
        <v>7</v>
      </c>
      <c r="AH1555" s="17">
        <v>0</v>
      </c>
      <c r="AI1555" s="17">
        <v>1</v>
      </c>
      <c r="AJ1555" s="17">
        <v>0</v>
      </c>
      <c r="AK1555" s="17">
        <v>0</v>
      </c>
      <c r="AL1555" s="17">
        <v>0</v>
      </c>
      <c r="AM1555" s="17">
        <v>0</v>
      </c>
      <c r="AN1555" s="17">
        <v>1</v>
      </c>
      <c r="AO1555" s="18">
        <v>1</v>
      </c>
      <c r="AP1555" s="17">
        <v>3</v>
      </c>
      <c r="AQ1555" s="17">
        <v>11</v>
      </c>
      <c r="AR1555" s="19">
        <v>42</v>
      </c>
      <c r="AS1555" s="19">
        <v>68</v>
      </c>
    </row>
    <row r="1556" spans="1:45" x14ac:dyDescent="0.25">
      <c r="A1556">
        <v>1124</v>
      </c>
      <c r="B1556" s="11">
        <f t="shared" si="24"/>
        <v>33419</v>
      </c>
      <c r="C1556" s="12">
        <v>334190</v>
      </c>
      <c r="D1556" s="13">
        <v>0</v>
      </c>
      <c r="E1556" s="13">
        <v>1</v>
      </c>
      <c r="F1556" s="13">
        <v>76</v>
      </c>
      <c r="G1556" s="13">
        <v>58</v>
      </c>
      <c r="H1556" s="13" t="str" cm="1">
        <f t="array" ref="H1556">_xlfn.IFS(G1556&lt;=20,"0-20",G1556&lt;=30,"20-30",G1556&lt;=40,"30-40",G1556&lt;=50,"50-60",G1556&lt;=60,"60-70",G1556&lt;=70,"70-80",G1556&lt;=80,"80-90")</f>
        <v>60-70</v>
      </c>
      <c r="I1556" s="13">
        <v>2475</v>
      </c>
      <c r="J1556" s="13" t="str" cm="1">
        <f t="array" ref="J1556">_xlfn.IFS(K1556=1,"Divorciado",L1556=1,"Casado",M1556=1,"Solteiro",N1556=1,"Juntos",O1556=1,"Viuvo")</f>
        <v>Solteiro</v>
      </c>
      <c r="K1556" s="13">
        <v>0</v>
      </c>
      <c r="L1556" s="13">
        <v>0</v>
      </c>
      <c r="M1556" s="13">
        <v>1</v>
      </c>
      <c r="N1556" s="13">
        <v>0</v>
      </c>
      <c r="O1556" s="13">
        <v>0</v>
      </c>
      <c r="P1556" s="13">
        <v>0</v>
      </c>
      <c r="Q1556" s="13">
        <v>0</v>
      </c>
      <c r="R1556" s="13">
        <v>0</v>
      </c>
      <c r="S1556" s="13">
        <v>0</v>
      </c>
      <c r="T1556" s="13">
        <v>1</v>
      </c>
      <c r="U1556" s="13">
        <v>56</v>
      </c>
      <c r="V1556" s="13" t="str" cm="1">
        <f t="array" ref="V1556">_xlfn.IFS(U1556&lt;=250,"0-R$250",U1556&lt;=500,"251-R$500",U1556&lt;=750,"501-R$750",U1556&lt;=1000,"751-R$1000",U1556&lt;=1250,"1001-R$1250",U1556&lt;=1500,"1251-R$1500")</f>
        <v>0-R$250</v>
      </c>
      <c r="W1556" s="13">
        <v>0</v>
      </c>
      <c r="X1556" s="13" t="str" cm="1">
        <f t="array" ref="X1556">_xlfn.IFS(W1556 = 0, "0", W1556&lt;=20, "até R$20",W1556&lt;=40, "21 - R$40",W1556&lt;=60, "41- R$60",W1556&lt;=80, "61 - R$80", W1556&lt;=100, "81 - R$100",W1556&lt;=120, "101 - R$120",W1556&lt;=140, "121 - R$140", W1556&lt;=160, "141- R$160", W1556&lt;=180, "161 - R$180", W1556&lt;=200, "181-R$194")</f>
        <v>0</v>
      </c>
      <c r="Y1556" s="13">
        <v>12</v>
      </c>
      <c r="Z1556" s="13">
        <v>0</v>
      </c>
      <c r="AA1556" s="13">
        <v>0</v>
      </c>
      <c r="AB1556" s="13">
        <v>18</v>
      </c>
      <c r="AC1556" s="13">
        <v>2</v>
      </c>
      <c r="AD1556" s="13">
        <v>2</v>
      </c>
      <c r="AE1556" s="13">
        <v>0</v>
      </c>
      <c r="AF1556" s="13">
        <v>4</v>
      </c>
      <c r="AG1556" s="13">
        <v>7</v>
      </c>
      <c r="AH1556" s="13">
        <v>0</v>
      </c>
      <c r="AI1556" s="13">
        <v>0</v>
      </c>
      <c r="AJ1556" s="13">
        <v>0</v>
      </c>
      <c r="AK1556" s="13">
        <v>0</v>
      </c>
      <c r="AL1556" s="13">
        <v>0</v>
      </c>
      <c r="AM1556" s="13">
        <v>0</v>
      </c>
      <c r="AN1556" s="13">
        <v>0</v>
      </c>
      <c r="AO1556" s="14">
        <v>0</v>
      </c>
      <c r="AP1556" s="13">
        <v>3</v>
      </c>
      <c r="AQ1556" s="13">
        <v>11</v>
      </c>
      <c r="AR1556" s="15">
        <v>50</v>
      </c>
      <c r="AS1556" s="15">
        <v>68</v>
      </c>
    </row>
    <row r="1557" spans="1:45" x14ac:dyDescent="0.25">
      <c r="A1557">
        <v>1255</v>
      </c>
      <c r="B1557" s="11">
        <f t="shared" si="24"/>
        <v>23748</v>
      </c>
      <c r="C1557" s="16">
        <v>237480</v>
      </c>
      <c r="D1557" s="17">
        <v>1</v>
      </c>
      <c r="E1557" s="17">
        <v>0</v>
      </c>
      <c r="F1557" s="17">
        <v>97</v>
      </c>
      <c r="G1557" s="17">
        <v>52</v>
      </c>
      <c r="H1557" s="13" t="str" cm="1">
        <f t="array" ref="H1557">_xlfn.IFS(G1557&lt;=20,"0-20",G1557&lt;=30,"20-30",G1557&lt;=40,"30-40",G1557&lt;=50,"50-60",G1557&lt;=60,"60-70",G1557&lt;=70,"70-80",G1557&lt;=80,"80-90")</f>
        <v>60-70</v>
      </c>
      <c r="I1557" s="17">
        <v>2744</v>
      </c>
      <c r="J1557" s="13" t="str" cm="1">
        <f t="array" ref="J1557">_xlfn.IFS(K1557=1,"Divorciado",L1557=1,"Casado",M1557=1,"Solteiro",N1557=1,"Juntos",O1557=1,"Viuvo")</f>
        <v>Divorciado</v>
      </c>
      <c r="K1557" s="17">
        <v>1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1</v>
      </c>
      <c r="T1557" s="17">
        <v>0</v>
      </c>
      <c r="U1557" s="17">
        <v>6</v>
      </c>
      <c r="V1557" s="13" t="str" cm="1">
        <f t="array" ref="V1557">_xlfn.IFS(U1557&lt;=250,"0-R$250",U1557&lt;=500,"251-R$500",U1557&lt;=750,"501-R$750",U1557&lt;=1000,"751-R$1000",U1557&lt;=1250,"1001-R$1250",U1557&lt;=1500,"1251-R$1500")</f>
        <v>0-R$250</v>
      </c>
      <c r="W1557" s="17">
        <v>6</v>
      </c>
      <c r="X1557" s="13" t="str" cm="1">
        <f t="array" ref="X1557">_xlfn.IFS(W1557 = 0, "0", W1557&lt;=20, "até R$20",W1557&lt;=40, "21 - R$40",W1557&lt;=60, "41- R$60",W1557&lt;=80, "61 - R$80", W1557&lt;=100, "81 - R$100",W1557&lt;=120, "101 - R$120",W1557&lt;=140, "121 - R$140", W1557&lt;=160, "141- R$160", W1557&lt;=180, "161 - R$180", W1557&lt;=200, "181-R$194")</f>
        <v>até R$20</v>
      </c>
      <c r="Y1557" s="17">
        <v>29</v>
      </c>
      <c r="Z1557" s="17">
        <v>12</v>
      </c>
      <c r="AA1557" s="17">
        <v>15</v>
      </c>
      <c r="AB1557" s="17">
        <v>8</v>
      </c>
      <c r="AC1557" s="17">
        <v>3</v>
      </c>
      <c r="AD1557" s="17">
        <v>2</v>
      </c>
      <c r="AE1557" s="17">
        <v>1</v>
      </c>
      <c r="AF1557" s="17">
        <v>3</v>
      </c>
      <c r="AG1557" s="17">
        <v>8</v>
      </c>
      <c r="AH1557" s="17">
        <v>0</v>
      </c>
      <c r="AI1557" s="17">
        <v>0</v>
      </c>
      <c r="AJ1557" s="17">
        <v>0</v>
      </c>
      <c r="AK1557" s="17">
        <v>0</v>
      </c>
      <c r="AL1557" s="17">
        <v>0</v>
      </c>
      <c r="AM1557" s="17">
        <v>0</v>
      </c>
      <c r="AN1557" s="17">
        <v>0</v>
      </c>
      <c r="AO1557" s="18">
        <v>0</v>
      </c>
      <c r="AP1557" s="17">
        <v>3</v>
      </c>
      <c r="AQ1557" s="17">
        <v>11</v>
      </c>
      <c r="AR1557" s="19">
        <v>60</v>
      </c>
      <c r="AS1557" s="19">
        <v>68</v>
      </c>
    </row>
    <row r="1558" spans="1:45" x14ac:dyDescent="0.25">
      <c r="A1558">
        <v>1273</v>
      </c>
      <c r="B1558" s="11">
        <f t="shared" si="24"/>
        <v>43050</v>
      </c>
      <c r="C1558" s="16">
        <v>430500</v>
      </c>
      <c r="D1558" s="17">
        <v>1</v>
      </c>
      <c r="E1558" s="17">
        <v>0</v>
      </c>
      <c r="F1558" s="17">
        <v>10</v>
      </c>
      <c r="G1558" s="17">
        <v>47</v>
      </c>
      <c r="H1558" s="13" t="str" cm="1">
        <f t="array" ref="H1558">_xlfn.IFS(G1558&lt;=20,"0-20",G1558&lt;=30,"20-30",G1558&lt;=40,"30-40",G1558&lt;=50,"50-60",G1558&lt;=60,"60-70",G1558&lt;=70,"70-80",G1558&lt;=80,"80-90")</f>
        <v>50-60</v>
      </c>
      <c r="I1558" s="17">
        <v>2262</v>
      </c>
      <c r="J1558" s="13" t="str" cm="1">
        <f t="array" ref="J1558">_xlfn.IFS(K1558=1,"Divorciado",L1558=1,"Casado",M1558=1,"Solteiro",N1558=1,"Juntos",O1558=1,"Viuvo")</f>
        <v>Casado</v>
      </c>
      <c r="K1558" s="17">
        <v>0</v>
      </c>
      <c r="L1558" s="17">
        <v>1</v>
      </c>
      <c r="M1558" s="17">
        <v>0</v>
      </c>
      <c r="N1558" s="17">
        <v>0</v>
      </c>
      <c r="O1558" s="17">
        <v>0</v>
      </c>
      <c r="P1558" s="17">
        <v>1</v>
      </c>
      <c r="Q1558" s="17">
        <v>0</v>
      </c>
      <c r="R1558" s="17">
        <v>0</v>
      </c>
      <c r="S1558" s="17">
        <v>0</v>
      </c>
      <c r="T1558" s="17">
        <v>0</v>
      </c>
      <c r="U1558" s="17">
        <v>30</v>
      </c>
      <c r="V1558" s="13" t="str" cm="1">
        <f t="array" ref="V1558">_xlfn.IFS(U1558&lt;=250,"0-R$250",U1558&lt;=500,"251-R$500",U1558&lt;=750,"501-R$750",U1558&lt;=1000,"751-R$1000",U1558&lt;=1250,"1001-R$1250",U1558&lt;=1500,"1251-R$1500")</f>
        <v>0-R$250</v>
      </c>
      <c r="W1558" s="17">
        <v>5</v>
      </c>
      <c r="X1558" s="13" t="str" cm="1">
        <f t="array" ref="X1558">_xlfn.IFS(W1558 = 0, "0", W1558&lt;=20, "até R$20",W1558&lt;=40, "21 - R$40",W1558&lt;=60, "41- R$60",W1558&lt;=80, "61 - R$80", W1558&lt;=100, "81 - R$100",W1558&lt;=120, "101 - R$120",W1558&lt;=140, "121 - R$140", W1558&lt;=160, "141- R$160", W1558&lt;=180, "161 - R$180", W1558&lt;=200, "181-R$194")</f>
        <v>até R$20</v>
      </c>
      <c r="Y1558" s="17">
        <v>24</v>
      </c>
      <c r="Z1558" s="17">
        <v>6</v>
      </c>
      <c r="AA1558" s="17">
        <v>3</v>
      </c>
      <c r="AB1558" s="17">
        <v>8</v>
      </c>
      <c r="AC1558" s="17">
        <v>2</v>
      </c>
      <c r="AD1558" s="17">
        <v>2</v>
      </c>
      <c r="AE1558" s="17">
        <v>0</v>
      </c>
      <c r="AF1558" s="17">
        <v>4</v>
      </c>
      <c r="AG1558" s="17">
        <v>5</v>
      </c>
      <c r="AH1558" s="17">
        <v>0</v>
      </c>
      <c r="AI1558" s="17">
        <v>0</v>
      </c>
      <c r="AJ1558" s="17">
        <v>0</v>
      </c>
      <c r="AK1558" s="17">
        <v>0</v>
      </c>
      <c r="AL1558" s="17">
        <v>0</v>
      </c>
      <c r="AM1558" s="17">
        <v>0</v>
      </c>
      <c r="AN1558" s="17">
        <v>0</v>
      </c>
      <c r="AO1558" s="18">
        <v>0</v>
      </c>
      <c r="AP1558" s="17">
        <v>3</v>
      </c>
      <c r="AQ1558" s="17">
        <v>11</v>
      </c>
      <c r="AR1558" s="19">
        <v>60</v>
      </c>
      <c r="AS1558" s="19">
        <v>68</v>
      </c>
    </row>
    <row r="1559" spans="1:45" x14ac:dyDescent="0.25">
      <c r="A1559">
        <v>390</v>
      </c>
      <c r="B1559" s="11">
        <f t="shared" si="24"/>
        <v>27213</v>
      </c>
      <c r="C1559" s="12">
        <v>272130</v>
      </c>
      <c r="D1559" s="13">
        <v>1</v>
      </c>
      <c r="E1559" s="13">
        <v>0</v>
      </c>
      <c r="F1559" s="13">
        <v>19</v>
      </c>
      <c r="G1559" s="13">
        <v>48</v>
      </c>
      <c r="H1559" s="13" t="str" cm="1">
        <f t="array" ref="H1559">_xlfn.IFS(G1559&lt;=20,"0-20",G1559&lt;=30,"20-30",G1559&lt;=40,"30-40",G1559&lt;=50,"50-60",G1559&lt;=60,"60-70",G1559&lt;=70,"70-80",G1559&lt;=80,"80-90")</f>
        <v>50-60</v>
      </c>
      <c r="I1559" s="13">
        <v>2827</v>
      </c>
      <c r="J1559" s="13" t="str" cm="1">
        <f t="array" ref="J1559">_xlfn.IFS(K1559=1,"Divorciado",L1559=1,"Casado",M1559=1,"Solteiro",N1559=1,"Juntos",O1559=1,"Viuvo")</f>
        <v>Solteiro</v>
      </c>
      <c r="K1559" s="13">
        <v>0</v>
      </c>
      <c r="L1559" s="13">
        <v>0</v>
      </c>
      <c r="M1559" s="13">
        <v>1</v>
      </c>
      <c r="N1559" s="13">
        <v>0</v>
      </c>
      <c r="O1559" s="13">
        <v>0</v>
      </c>
      <c r="P1559" s="13">
        <v>0</v>
      </c>
      <c r="Q1559" s="13">
        <v>0</v>
      </c>
      <c r="R1559" s="13">
        <v>0</v>
      </c>
      <c r="S1559" s="13">
        <v>0</v>
      </c>
      <c r="T1559" s="13">
        <v>1</v>
      </c>
      <c r="U1559" s="13">
        <v>19</v>
      </c>
      <c r="V1559" s="13" t="str" cm="1">
        <f t="array" ref="V1559">_xlfn.IFS(U1559&lt;=250,"0-R$250",U1559&lt;=500,"251-R$500",U1559&lt;=750,"501-R$750",U1559&lt;=1000,"751-R$1000",U1559&lt;=1250,"1001-R$1250",U1559&lt;=1500,"1251-R$1500")</f>
        <v>0-R$250</v>
      </c>
      <c r="W1559" s="13">
        <v>3</v>
      </c>
      <c r="X1559" s="13" t="str" cm="1">
        <f t="array" ref="X1559">_xlfn.IFS(W1559 = 0, "0", W1559&lt;=20, "até R$20",W1559&lt;=40, "21 - R$40",W1559&lt;=60, "41- R$60",W1559&lt;=80, "61 - R$80", W1559&lt;=100, "81 - R$100",W1559&lt;=120, "101 - R$120",W1559&lt;=140, "121 - R$140", W1559&lt;=160, "141- R$160", W1559&lt;=180, "161 - R$180", W1559&lt;=200, "181-R$194")</f>
        <v>até R$20</v>
      </c>
      <c r="Y1559" s="13">
        <v>26</v>
      </c>
      <c r="Z1559" s="13">
        <v>10</v>
      </c>
      <c r="AA1559" s="13">
        <v>9</v>
      </c>
      <c r="AB1559" s="13">
        <v>3</v>
      </c>
      <c r="AC1559" s="13">
        <v>3</v>
      </c>
      <c r="AD1559" s="13">
        <v>2</v>
      </c>
      <c r="AE1559" s="13">
        <v>0</v>
      </c>
      <c r="AF1559" s="13">
        <v>4</v>
      </c>
      <c r="AG1559" s="13">
        <v>8</v>
      </c>
      <c r="AH1559" s="13">
        <v>0</v>
      </c>
      <c r="AI1559" s="13">
        <v>0</v>
      </c>
      <c r="AJ1559" s="13">
        <v>0</v>
      </c>
      <c r="AK1559" s="13">
        <v>0</v>
      </c>
      <c r="AL1559" s="13">
        <v>0</v>
      </c>
      <c r="AM1559" s="13">
        <v>0</v>
      </c>
      <c r="AN1559" s="13">
        <v>1</v>
      </c>
      <c r="AO1559" s="14">
        <v>0</v>
      </c>
      <c r="AP1559" s="13">
        <v>3</v>
      </c>
      <c r="AQ1559" s="13">
        <v>11</v>
      </c>
      <c r="AR1559" s="15">
        <v>64</v>
      </c>
      <c r="AS1559" s="15">
        <v>67</v>
      </c>
    </row>
    <row r="1560" spans="1:45" x14ac:dyDescent="0.25">
      <c r="A1560">
        <v>562</v>
      </c>
      <c r="B1560" s="11">
        <f t="shared" si="24"/>
        <v>47472</v>
      </c>
      <c r="C1560" s="12">
        <v>474720</v>
      </c>
      <c r="D1560" s="13">
        <v>1</v>
      </c>
      <c r="E1560" s="13">
        <v>1</v>
      </c>
      <c r="F1560" s="13">
        <v>39</v>
      </c>
      <c r="G1560" s="13">
        <v>54</v>
      </c>
      <c r="H1560" s="13" t="str" cm="1">
        <f t="array" ref="H1560">_xlfn.IFS(G1560&lt;=20,"0-20",G1560&lt;=30,"20-30",G1560&lt;=40,"30-40",G1560&lt;=50,"50-60",G1560&lt;=60,"60-70",G1560&lt;=70,"70-80",G1560&lt;=80,"80-90")</f>
        <v>60-70</v>
      </c>
      <c r="I1560" s="13">
        <v>2445</v>
      </c>
      <c r="J1560" s="13" t="str" cm="1">
        <f t="array" ref="J1560">_xlfn.IFS(K1560=1,"Divorciado",L1560=1,"Casado",M1560=1,"Solteiro",N1560=1,"Juntos",O1560=1,"Viuvo")</f>
        <v>Juntos</v>
      </c>
      <c r="K1560" s="13">
        <v>0</v>
      </c>
      <c r="L1560" s="13">
        <v>0</v>
      </c>
      <c r="M1560" s="13">
        <v>0</v>
      </c>
      <c r="N1560" s="13">
        <v>1</v>
      </c>
      <c r="O1560" s="13">
        <v>0</v>
      </c>
      <c r="P1560" s="13">
        <v>0</v>
      </c>
      <c r="Q1560" s="13">
        <v>0</v>
      </c>
      <c r="R1560" s="13">
        <v>0</v>
      </c>
      <c r="S1560" s="13">
        <v>0</v>
      </c>
      <c r="T1560" s="13">
        <v>1</v>
      </c>
      <c r="U1560" s="13">
        <v>56</v>
      </c>
      <c r="V1560" s="13" t="str" cm="1">
        <f t="array" ref="V1560">_xlfn.IFS(U1560&lt;=250,"0-R$250",U1560&lt;=500,"251-R$500",U1560&lt;=750,"501-R$750",U1560&lt;=1000,"751-R$1000",U1560&lt;=1250,"1001-R$1250",U1560&lt;=1500,"1251-R$1500")</f>
        <v>0-R$250</v>
      </c>
      <c r="W1560" s="13">
        <v>0</v>
      </c>
      <c r="X1560" s="13" t="str" cm="1">
        <f t="array" ref="X1560">_xlfn.IFS(W1560 = 0, "0", W1560&lt;=20, "até R$20",W1560&lt;=40, "21 - R$40",W1560&lt;=60, "41- R$60",W1560&lt;=80, "61 - R$80", W1560&lt;=100, "81 - R$100",W1560&lt;=120, "101 - R$120",W1560&lt;=140, "121 - R$140", W1560&lt;=160, "141- R$160", W1560&lt;=180, "161 - R$180", W1560&lt;=200, "181-R$194")</f>
        <v>0</v>
      </c>
      <c r="Y1560" s="13">
        <v>11</v>
      </c>
      <c r="Z1560" s="13">
        <v>0</v>
      </c>
      <c r="AA1560" s="13">
        <v>0</v>
      </c>
      <c r="AB1560" s="13">
        <v>8</v>
      </c>
      <c r="AC1560" s="13">
        <v>2</v>
      </c>
      <c r="AD1560" s="13">
        <v>2</v>
      </c>
      <c r="AE1560" s="13">
        <v>0</v>
      </c>
      <c r="AF1560" s="13">
        <v>4</v>
      </c>
      <c r="AG1560" s="13">
        <v>5</v>
      </c>
      <c r="AH1560" s="13">
        <v>0</v>
      </c>
      <c r="AI1560" s="13">
        <v>0</v>
      </c>
      <c r="AJ1560" s="13">
        <v>0</v>
      </c>
      <c r="AK1560" s="13">
        <v>0</v>
      </c>
      <c r="AL1560" s="13">
        <v>0</v>
      </c>
      <c r="AM1560" s="13">
        <v>0</v>
      </c>
      <c r="AN1560" s="13">
        <v>0</v>
      </c>
      <c r="AO1560" s="14">
        <v>0</v>
      </c>
      <c r="AP1560" s="13">
        <v>3</v>
      </c>
      <c r="AQ1560" s="13">
        <v>11</v>
      </c>
      <c r="AR1560" s="15">
        <v>59</v>
      </c>
      <c r="AS1560" s="15">
        <v>67</v>
      </c>
    </row>
    <row r="1561" spans="1:45" x14ac:dyDescent="0.25">
      <c r="A1561">
        <v>1147</v>
      </c>
      <c r="B1561" s="11">
        <f t="shared" si="24"/>
        <v>48985</v>
      </c>
      <c r="C1561" s="16">
        <v>489850</v>
      </c>
      <c r="D1561" s="17">
        <v>0</v>
      </c>
      <c r="E1561" s="17">
        <v>1</v>
      </c>
      <c r="F1561" s="17">
        <v>13</v>
      </c>
      <c r="G1561" s="17">
        <v>52</v>
      </c>
      <c r="H1561" s="13" t="str" cm="1">
        <f t="array" ref="H1561">_xlfn.IFS(G1561&lt;=20,"0-20",G1561&lt;=30,"20-30",G1561&lt;=40,"30-40",G1561&lt;=50,"50-60",G1561&lt;=60,"60-70",G1561&lt;=70,"70-80",G1561&lt;=80,"80-90")</f>
        <v>60-70</v>
      </c>
      <c r="I1561" s="17">
        <v>2518</v>
      </c>
      <c r="J1561" s="13" t="str" cm="1">
        <f t="array" ref="J1561">_xlfn.IFS(K1561=1,"Divorciado",L1561=1,"Casado",M1561=1,"Solteiro",N1561=1,"Juntos",O1561=1,"Viuvo")</f>
        <v>Casado</v>
      </c>
      <c r="K1561" s="17">
        <v>0</v>
      </c>
      <c r="L1561" s="17">
        <v>1</v>
      </c>
      <c r="M1561" s="17">
        <v>0</v>
      </c>
      <c r="N1561" s="17">
        <v>0</v>
      </c>
      <c r="O1561" s="17">
        <v>0</v>
      </c>
      <c r="P1561" s="17">
        <v>1</v>
      </c>
      <c r="Q1561" s="17">
        <v>0</v>
      </c>
      <c r="R1561" s="17">
        <v>0</v>
      </c>
      <c r="S1561" s="17">
        <v>0</v>
      </c>
      <c r="T1561" s="17">
        <v>0</v>
      </c>
      <c r="U1561" s="17">
        <v>19</v>
      </c>
      <c r="V1561" s="13" t="str" cm="1">
        <f t="array" ref="V1561">_xlfn.IFS(U1561&lt;=250,"0-R$250",U1561&lt;=500,"251-R$500",U1561&lt;=750,"501-R$750",U1561&lt;=1000,"751-R$1000",U1561&lt;=1250,"1001-R$1250",U1561&lt;=1500,"1251-R$1500")</f>
        <v>0-R$250</v>
      </c>
      <c r="W1561" s="17">
        <v>13</v>
      </c>
      <c r="X1561" s="13" t="str" cm="1">
        <f t="array" ref="X1561">_xlfn.IFS(W1561 = 0, "0", W1561&lt;=20, "até R$20",W1561&lt;=40, "21 - R$40",W1561&lt;=60, "41- R$60",W1561&lt;=80, "61 - R$80", W1561&lt;=100, "81 - R$100",W1561&lt;=120, "101 - R$120",W1561&lt;=140, "121 - R$140", W1561&lt;=160, "141- R$160", W1561&lt;=180, "161 - R$180", W1561&lt;=200, "181-R$194")</f>
        <v>até R$20</v>
      </c>
      <c r="Y1561" s="17">
        <v>18</v>
      </c>
      <c r="Z1561" s="17">
        <v>10</v>
      </c>
      <c r="AA1561" s="17">
        <v>7</v>
      </c>
      <c r="AB1561" s="17">
        <v>8</v>
      </c>
      <c r="AC1561" s="17">
        <v>1</v>
      </c>
      <c r="AD1561" s="17">
        <v>1</v>
      </c>
      <c r="AE1561" s="17">
        <v>1</v>
      </c>
      <c r="AF1561" s="17">
        <v>3</v>
      </c>
      <c r="AG1561" s="17">
        <v>3</v>
      </c>
      <c r="AH1561" s="17">
        <v>0</v>
      </c>
      <c r="AI1561" s="17">
        <v>0</v>
      </c>
      <c r="AJ1561" s="17">
        <v>0</v>
      </c>
      <c r="AK1561" s="17">
        <v>0</v>
      </c>
      <c r="AL1561" s="17">
        <v>0</v>
      </c>
      <c r="AM1561" s="17">
        <v>0</v>
      </c>
      <c r="AN1561" s="17">
        <v>0</v>
      </c>
      <c r="AO1561" s="18">
        <v>0</v>
      </c>
      <c r="AP1561" s="17">
        <v>3</v>
      </c>
      <c r="AQ1561" s="17">
        <v>11</v>
      </c>
      <c r="AR1561" s="19">
        <v>59</v>
      </c>
      <c r="AS1561" s="19">
        <v>67</v>
      </c>
    </row>
    <row r="1562" spans="1:45" x14ac:dyDescent="0.25">
      <c r="A1562">
        <v>1173</v>
      </c>
      <c r="B1562" s="11">
        <f t="shared" si="24"/>
        <v>58401</v>
      </c>
      <c r="C1562" s="16">
        <v>584010</v>
      </c>
      <c r="D1562" s="17">
        <v>0</v>
      </c>
      <c r="E1562" s="17">
        <v>1</v>
      </c>
      <c r="F1562" s="17">
        <v>55</v>
      </c>
      <c r="G1562" s="17">
        <v>60</v>
      </c>
      <c r="H1562" s="13" t="str" cm="1">
        <f t="array" ref="H1562">_xlfn.IFS(G1562&lt;=20,"0-20",G1562&lt;=30,"20-30",G1562&lt;=40,"30-40",G1562&lt;=50,"50-60",G1562&lt;=60,"60-70",G1562&lt;=70,"70-80",G1562&lt;=80,"80-90")</f>
        <v>60-70</v>
      </c>
      <c r="I1562" s="17">
        <v>2229</v>
      </c>
      <c r="J1562" s="13" t="str" cm="1">
        <f t="array" ref="J1562">_xlfn.IFS(K1562=1,"Divorciado",L1562=1,"Casado",M1562=1,"Solteiro",N1562=1,"Juntos",O1562=1,"Viuvo")</f>
        <v>Divorciado</v>
      </c>
      <c r="K1562" s="17">
        <v>1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1</v>
      </c>
      <c r="S1562" s="17">
        <v>0</v>
      </c>
      <c r="T1562" s="17">
        <v>0</v>
      </c>
      <c r="U1562" s="17">
        <v>10</v>
      </c>
      <c r="V1562" s="13" t="str" cm="1">
        <f t="array" ref="V1562">_xlfn.IFS(U1562&lt;=250,"0-R$250",U1562&lt;=500,"251-R$500",U1562&lt;=750,"501-R$750",U1562&lt;=1000,"751-R$1000",U1562&lt;=1250,"1001-R$1250",U1562&lt;=1500,"1251-R$1500")</f>
        <v>0-R$250</v>
      </c>
      <c r="W1562" s="17">
        <v>0</v>
      </c>
      <c r="X1562" s="13" t="str" cm="1">
        <f t="array" ref="X1562">_xlfn.IFS(W1562 = 0, "0", W1562&lt;=20, "até R$20",W1562&lt;=40, "21 - R$40",W1562&lt;=60, "41- R$60",W1562&lt;=80, "61 - R$80", W1562&lt;=100, "81 - R$100",W1562&lt;=120, "101 - R$120",W1562&lt;=140, "121 - R$140", W1562&lt;=160, "141- R$160", W1562&lt;=180, "161 - R$180", W1562&lt;=200, "181-R$194")</f>
        <v>0</v>
      </c>
      <c r="Y1562" s="17">
        <v>11</v>
      </c>
      <c r="Z1562" s="17">
        <v>17</v>
      </c>
      <c r="AA1562" s="17">
        <v>29</v>
      </c>
      <c r="AB1562" s="17">
        <v>29</v>
      </c>
      <c r="AC1562" s="17">
        <v>1</v>
      </c>
      <c r="AD1562" s="17">
        <v>1</v>
      </c>
      <c r="AE1562" s="17">
        <v>2</v>
      </c>
      <c r="AF1562" s="17">
        <v>2</v>
      </c>
      <c r="AG1562" s="17">
        <v>4</v>
      </c>
      <c r="AH1562" s="17">
        <v>0</v>
      </c>
      <c r="AI1562" s="17">
        <v>0</v>
      </c>
      <c r="AJ1562" s="17">
        <v>0</v>
      </c>
      <c r="AK1562" s="17">
        <v>0</v>
      </c>
      <c r="AL1562" s="17">
        <v>0</v>
      </c>
      <c r="AM1562" s="17">
        <v>0</v>
      </c>
      <c r="AN1562" s="17">
        <v>0</v>
      </c>
      <c r="AO1562" s="18">
        <v>0</v>
      </c>
      <c r="AP1562" s="17">
        <v>3</v>
      </c>
      <c r="AQ1562" s="17">
        <v>11</v>
      </c>
      <c r="AR1562" s="19">
        <v>38</v>
      </c>
      <c r="AS1562" s="19">
        <v>67</v>
      </c>
    </row>
    <row r="1563" spans="1:45" x14ac:dyDescent="0.25">
      <c r="A1563">
        <v>1323</v>
      </c>
      <c r="B1563" s="11">
        <f t="shared" si="24"/>
        <v>18929</v>
      </c>
      <c r="C1563" s="16">
        <v>189290</v>
      </c>
      <c r="D1563" s="17">
        <v>0</v>
      </c>
      <c r="E1563" s="17">
        <v>0</v>
      </c>
      <c r="F1563" s="17">
        <v>15</v>
      </c>
      <c r="G1563" s="17">
        <v>30</v>
      </c>
      <c r="H1563" s="13" t="str" cm="1">
        <f t="array" ref="H1563">_xlfn.IFS(G1563&lt;=20,"0-20",G1563&lt;=30,"20-30",G1563&lt;=40,"30-40",G1563&lt;=50,"50-60",G1563&lt;=60,"60-70",G1563&lt;=70,"70-80",G1563&lt;=80,"80-90")</f>
        <v>20-30</v>
      </c>
      <c r="I1563" s="17">
        <v>2657</v>
      </c>
      <c r="J1563" s="13" t="str" cm="1">
        <f t="array" ref="J1563">_xlfn.IFS(K1563=1,"Divorciado",L1563=1,"Casado",M1563=1,"Solteiro",N1563=1,"Juntos",O1563=1,"Viuvo")</f>
        <v>Casado</v>
      </c>
      <c r="K1563" s="17">
        <v>0</v>
      </c>
      <c r="L1563" s="17">
        <v>1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1</v>
      </c>
      <c r="S1563" s="17">
        <v>0</v>
      </c>
      <c r="T1563" s="17">
        <v>0</v>
      </c>
      <c r="U1563" s="17">
        <v>32</v>
      </c>
      <c r="V1563" s="13" t="str" cm="1">
        <f t="array" ref="V1563">_xlfn.IFS(U1563&lt;=250,"0-R$250",U1563&lt;=500,"251-R$500",U1563&lt;=750,"501-R$750",U1563&lt;=1000,"751-R$1000",U1563&lt;=1250,"1001-R$1250",U1563&lt;=1500,"1251-R$1500")</f>
        <v>0-R$250</v>
      </c>
      <c r="W1563" s="17">
        <v>0</v>
      </c>
      <c r="X1563" s="13" t="str" cm="1">
        <f t="array" ref="X1563">_xlfn.IFS(W1563 = 0, "0", W1563&lt;=20, "até R$20",W1563&lt;=40, "21 - R$40",W1563&lt;=60, "41- R$60",W1563&lt;=80, "61 - R$80", W1563&lt;=100, "81 - R$100",W1563&lt;=120, "101 - R$120",W1563&lt;=140, "121 - R$140", W1563&lt;=160, "141- R$160", W1563&lt;=180, "161 - R$180", W1563&lt;=200, "181-R$194")</f>
        <v>0</v>
      </c>
      <c r="Y1563" s="17">
        <v>8</v>
      </c>
      <c r="Z1563" s="17">
        <v>23</v>
      </c>
      <c r="AA1563" s="17">
        <v>4</v>
      </c>
      <c r="AB1563" s="17">
        <v>18</v>
      </c>
      <c r="AC1563" s="17">
        <v>1</v>
      </c>
      <c r="AD1563" s="17">
        <v>1</v>
      </c>
      <c r="AE1563" s="17">
        <v>0</v>
      </c>
      <c r="AF1563" s="17">
        <v>4</v>
      </c>
      <c r="AG1563" s="17">
        <v>6</v>
      </c>
      <c r="AH1563" s="17">
        <v>0</v>
      </c>
      <c r="AI1563" s="17">
        <v>0</v>
      </c>
      <c r="AJ1563" s="17">
        <v>0</v>
      </c>
      <c r="AK1563" s="17">
        <v>0</v>
      </c>
      <c r="AL1563" s="17">
        <v>0</v>
      </c>
      <c r="AM1563" s="17">
        <v>0</v>
      </c>
      <c r="AN1563" s="17">
        <v>0</v>
      </c>
      <c r="AO1563" s="18">
        <v>0</v>
      </c>
      <c r="AP1563" s="17">
        <v>3</v>
      </c>
      <c r="AQ1563" s="17">
        <v>11</v>
      </c>
      <c r="AR1563" s="19">
        <v>49</v>
      </c>
      <c r="AS1563" s="19">
        <v>67</v>
      </c>
    </row>
    <row r="1564" spans="1:45" x14ac:dyDescent="0.25">
      <c r="A1564">
        <v>1495</v>
      </c>
      <c r="B1564" s="11">
        <f t="shared" si="24"/>
        <v>27242</v>
      </c>
      <c r="C1564" s="16">
        <v>272420</v>
      </c>
      <c r="D1564" s="17">
        <v>1</v>
      </c>
      <c r="E1564" s="17">
        <v>0</v>
      </c>
      <c r="F1564" s="17">
        <v>2</v>
      </c>
      <c r="G1564" s="17">
        <v>50</v>
      </c>
      <c r="H1564" s="13" t="str" cm="1">
        <f t="array" ref="H1564">_xlfn.IFS(G1564&lt;=20,"0-20",G1564&lt;=30,"20-30",G1564&lt;=40,"30-40",G1564&lt;=50,"50-60",G1564&lt;=60,"60-70",G1564&lt;=70,"70-80",G1564&lt;=80,"80-90")</f>
        <v>50-60</v>
      </c>
      <c r="I1564" s="17">
        <v>2754</v>
      </c>
      <c r="J1564" s="13" t="str" cm="1">
        <f t="array" ref="J1564">_xlfn.IFS(K1564=1,"Divorciado",L1564=1,"Casado",M1564=1,"Solteiro",N1564=1,"Juntos",O1564=1,"Viuvo")</f>
        <v>Solteiro</v>
      </c>
      <c r="K1564" s="17">
        <v>0</v>
      </c>
      <c r="L1564" s="17">
        <v>0</v>
      </c>
      <c r="M1564" s="17">
        <v>1</v>
      </c>
      <c r="N1564" s="17">
        <v>0</v>
      </c>
      <c r="O1564" s="17">
        <v>0</v>
      </c>
      <c r="P1564" s="17">
        <v>0</v>
      </c>
      <c r="Q1564" s="17">
        <v>0</v>
      </c>
      <c r="R1564" s="17">
        <v>1</v>
      </c>
      <c r="S1564" s="17">
        <v>0</v>
      </c>
      <c r="T1564" s="17">
        <v>0</v>
      </c>
      <c r="U1564" s="17">
        <v>3</v>
      </c>
      <c r="V1564" s="13" t="str" cm="1">
        <f t="array" ref="V1564">_xlfn.IFS(U1564&lt;=250,"0-R$250",U1564&lt;=500,"251-R$500",U1564&lt;=750,"501-R$750",U1564&lt;=1000,"751-R$1000",U1564&lt;=1250,"1001-R$1250",U1564&lt;=1500,"1251-R$1500")</f>
        <v>0-R$250</v>
      </c>
      <c r="W1564" s="17">
        <v>17</v>
      </c>
      <c r="X1564" s="13" t="str" cm="1">
        <f t="array" ref="X1564">_xlfn.IFS(W1564 = 0, "0", W1564&lt;=20, "até R$20",W1564&lt;=40, "21 - R$40",W1564&lt;=60, "41- R$60",W1564&lt;=80, "61 - R$80", W1564&lt;=100, "81 - R$100",W1564&lt;=120, "101 - R$120",W1564&lt;=140, "121 - R$140", W1564&lt;=160, "141- R$160", W1564&lt;=180, "161 - R$180", W1564&lt;=200, "181-R$194")</f>
        <v>até R$20</v>
      </c>
      <c r="Y1564" s="17">
        <v>26</v>
      </c>
      <c r="Z1564" s="17">
        <v>20</v>
      </c>
      <c r="AA1564" s="17">
        <v>1</v>
      </c>
      <c r="AB1564" s="17">
        <v>39</v>
      </c>
      <c r="AC1564" s="17">
        <v>2</v>
      </c>
      <c r="AD1564" s="17">
        <v>2</v>
      </c>
      <c r="AE1564" s="17">
        <v>0</v>
      </c>
      <c r="AF1564" s="17">
        <v>3</v>
      </c>
      <c r="AG1564" s="17">
        <v>9</v>
      </c>
      <c r="AH1564" s="17">
        <v>0</v>
      </c>
      <c r="AI1564" s="17">
        <v>0</v>
      </c>
      <c r="AJ1564" s="17">
        <v>0</v>
      </c>
      <c r="AK1564" s="17">
        <v>0</v>
      </c>
      <c r="AL1564" s="17">
        <v>0</v>
      </c>
      <c r="AM1564" s="17">
        <v>0</v>
      </c>
      <c r="AN1564" s="17">
        <v>1</v>
      </c>
      <c r="AO1564" s="18">
        <v>0</v>
      </c>
      <c r="AP1564" s="17">
        <v>3</v>
      </c>
      <c r="AQ1564" s="17">
        <v>11</v>
      </c>
      <c r="AR1564" s="19">
        <v>28</v>
      </c>
      <c r="AS1564" s="19">
        <v>67</v>
      </c>
    </row>
    <row r="1565" spans="1:45" x14ac:dyDescent="0.25">
      <c r="A1565">
        <v>1516</v>
      </c>
      <c r="B1565" s="11">
        <f t="shared" si="24"/>
        <v>31928</v>
      </c>
      <c r="C1565" s="12">
        <v>319280</v>
      </c>
      <c r="D1565" s="13">
        <v>1</v>
      </c>
      <c r="E1565" s="13">
        <v>0</v>
      </c>
      <c r="F1565" s="13">
        <v>5</v>
      </c>
      <c r="G1565" s="13">
        <v>31</v>
      </c>
      <c r="H1565" s="13" t="str" cm="1">
        <f t="array" ref="H1565">_xlfn.IFS(G1565&lt;=20,"0-20",G1565&lt;=30,"20-30",G1565&lt;=40,"30-40",G1565&lt;=50,"50-60",G1565&lt;=60,"60-70",G1565&lt;=70,"70-80",G1565&lt;=80,"80-90")</f>
        <v>30-40</v>
      </c>
      <c r="I1565" s="13">
        <v>2252</v>
      </c>
      <c r="J1565" s="13" t="str" cm="1">
        <f t="array" ref="J1565">_xlfn.IFS(K1565=1,"Divorciado",L1565=1,"Casado",M1565=1,"Solteiro",N1565=1,"Juntos",O1565=1,"Viuvo")</f>
        <v>Juntos</v>
      </c>
      <c r="K1565" s="13">
        <v>0</v>
      </c>
      <c r="L1565" s="13">
        <v>0</v>
      </c>
      <c r="M1565" s="13">
        <v>0</v>
      </c>
      <c r="N1565" s="13">
        <v>1</v>
      </c>
      <c r="O1565" s="13">
        <v>0</v>
      </c>
      <c r="P1565" s="13">
        <v>0</v>
      </c>
      <c r="Q1565" s="13">
        <v>0</v>
      </c>
      <c r="R1565" s="13">
        <v>1</v>
      </c>
      <c r="S1565" s="13">
        <v>0</v>
      </c>
      <c r="T1565" s="13">
        <v>0</v>
      </c>
      <c r="U1565" s="13">
        <v>33</v>
      </c>
      <c r="V1565" s="13" t="str" cm="1">
        <f t="array" ref="V1565">_xlfn.IFS(U1565&lt;=250,"0-R$250",U1565&lt;=500,"251-R$500",U1565&lt;=750,"501-R$750",U1565&lt;=1000,"751-R$1000",U1565&lt;=1250,"1001-R$1250",U1565&lt;=1500,"1251-R$1500")</f>
        <v>0-R$250</v>
      </c>
      <c r="W1565" s="13">
        <v>4</v>
      </c>
      <c r="X1565" s="13" t="str" cm="1">
        <f t="array" ref="X1565">_xlfn.IFS(W1565 = 0, "0", W1565&lt;=20, "até R$20",W1565&lt;=40, "21 - R$40",W1565&lt;=60, "41- R$60",W1565&lt;=80, "61 - R$80", W1565&lt;=100, "81 - R$100",W1565&lt;=120, "101 - R$120",W1565&lt;=140, "121 - R$140", W1565&lt;=160, "141- R$160", W1565&lt;=180, "161 - R$180", W1565&lt;=200, "181-R$194")</f>
        <v>até R$20</v>
      </c>
      <c r="Y1565" s="13">
        <v>24</v>
      </c>
      <c r="Z1565" s="13">
        <v>4</v>
      </c>
      <c r="AA1565" s="13">
        <v>2</v>
      </c>
      <c r="AB1565" s="13">
        <v>5</v>
      </c>
      <c r="AC1565" s="13">
        <v>2</v>
      </c>
      <c r="AD1565" s="13">
        <v>3</v>
      </c>
      <c r="AE1565" s="13">
        <v>0</v>
      </c>
      <c r="AF1565" s="13">
        <v>4</v>
      </c>
      <c r="AG1565" s="13">
        <v>7</v>
      </c>
      <c r="AH1565" s="13">
        <v>0</v>
      </c>
      <c r="AI1565" s="13">
        <v>0</v>
      </c>
      <c r="AJ1565" s="13">
        <v>0</v>
      </c>
      <c r="AK1565" s="13">
        <v>0</v>
      </c>
      <c r="AL1565" s="13">
        <v>0</v>
      </c>
      <c r="AM1565" s="13">
        <v>0</v>
      </c>
      <c r="AN1565" s="13">
        <v>0</v>
      </c>
      <c r="AO1565" s="14">
        <v>0</v>
      </c>
      <c r="AP1565" s="13">
        <v>3</v>
      </c>
      <c r="AQ1565" s="13">
        <v>11</v>
      </c>
      <c r="AR1565" s="15">
        <v>62</v>
      </c>
      <c r="AS1565" s="15">
        <v>67</v>
      </c>
    </row>
    <row r="1566" spans="1:45" x14ac:dyDescent="0.25">
      <c r="A1566">
        <v>1640</v>
      </c>
      <c r="B1566" s="11">
        <f t="shared" si="24"/>
        <v>41473</v>
      </c>
      <c r="C1566" s="12">
        <v>414730</v>
      </c>
      <c r="D1566" s="13">
        <v>1</v>
      </c>
      <c r="E1566" s="13">
        <v>0</v>
      </c>
      <c r="F1566" s="13">
        <v>80</v>
      </c>
      <c r="G1566" s="13">
        <v>35</v>
      </c>
      <c r="H1566" s="13" t="str" cm="1">
        <f t="array" ref="H1566">_xlfn.IFS(G1566&lt;=20,"0-20",G1566&lt;=30,"20-30",G1566&lt;=40,"30-40",G1566&lt;=50,"50-60",G1566&lt;=60,"60-70",G1566&lt;=70,"70-80",G1566&lt;=80,"80-90")</f>
        <v>30-40</v>
      </c>
      <c r="I1566" s="13">
        <v>2534</v>
      </c>
      <c r="J1566" s="13" t="str" cm="1">
        <f t="array" ref="J1566">_xlfn.IFS(K1566=1,"Divorciado",L1566=1,"Casado",M1566=1,"Solteiro",N1566=1,"Juntos",O1566=1,"Viuvo")</f>
        <v>Solteiro</v>
      </c>
      <c r="K1566" s="13">
        <v>0</v>
      </c>
      <c r="L1566" s="13">
        <v>0</v>
      </c>
      <c r="M1566" s="13">
        <v>1</v>
      </c>
      <c r="N1566" s="13">
        <v>0</v>
      </c>
      <c r="O1566" s="13">
        <v>0</v>
      </c>
      <c r="P1566" s="13">
        <v>1</v>
      </c>
      <c r="Q1566" s="13">
        <v>0</v>
      </c>
      <c r="R1566" s="13">
        <v>0</v>
      </c>
      <c r="S1566" s="13">
        <v>0</v>
      </c>
      <c r="T1566" s="13">
        <v>0</v>
      </c>
      <c r="U1566" s="13">
        <v>21</v>
      </c>
      <c r="V1566" s="13" t="str" cm="1">
        <f t="array" ref="V1566">_xlfn.IFS(U1566&lt;=250,"0-R$250",U1566&lt;=500,"251-R$500",U1566&lt;=750,"501-R$750",U1566&lt;=1000,"751-R$1000",U1566&lt;=1250,"1001-R$1250",U1566&lt;=1500,"1251-R$1500")</f>
        <v>0-R$250</v>
      </c>
      <c r="W1566" s="13">
        <v>8</v>
      </c>
      <c r="X1566" s="13" t="str" cm="1">
        <f t="array" ref="X1566">_xlfn.IFS(W1566 = 0, "0", W1566&lt;=20, "até R$20",W1566&lt;=40, "21 - R$40",W1566&lt;=60, "41- R$60",W1566&lt;=80, "61 - R$80", W1566&lt;=100, "81 - R$100",W1566&lt;=120, "101 - R$120",W1566&lt;=140, "121 - R$140", W1566&lt;=160, "141- R$160", W1566&lt;=180, "161 - R$180", W1566&lt;=200, "181-R$194")</f>
        <v>até R$20</v>
      </c>
      <c r="Y1566" s="13">
        <v>20</v>
      </c>
      <c r="Z1566" s="13">
        <v>15</v>
      </c>
      <c r="AA1566" s="13">
        <v>3</v>
      </c>
      <c r="AB1566" s="13">
        <v>9</v>
      </c>
      <c r="AC1566" s="13">
        <v>1</v>
      </c>
      <c r="AD1566" s="13">
        <v>2</v>
      </c>
      <c r="AE1566" s="13">
        <v>0</v>
      </c>
      <c r="AF1566" s="13">
        <v>3</v>
      </c>
      <c r="AG1566" s="13">
        <v>7</v>
      </c>
      <c r="AH1566" s="13">
        <v>0</v>
      </c>
      <c r="AI1566" s="13">
        <v>0</v>
      </c>
      <c r="AJ1566" s="13">
        <v>0</v>
      </c>
      <c r="AK1566" s="13">
        <v>0</v>
      </c>
      <c r="AL1566" s="13">
        <v>0</v>
      </c>
      <c r="AM1566" s="13">
        <v>0</v>
      </c>
      <c r="AN1566" s="13">
        <v>0</v>
      </c>
      <c r="AO1566" s="14">
        <v>0</v>
      </c>
      <c r="AP1566" s="13">
        <v>3</v>
      </c>
      <c r="AQ1566" s="13">
        <v>11</v>
      </c>
      <c r="AR1566" s="15">
        <v>58</v>
      </c>
      <c r="AS1566" s="15">
        <v>67</v>
      </c>
    </row>
    <row r="1567" spans="1:45" x14ac:dyDescent="0.25">
      <c r="A1567">
        <v>1772</v>
      </c>
      <c r="B1567" s="11">
        <f t="shared" si="24"/>
        <v>36273</v>
      </c>
      <c r="C1567" s="12">
        <v>362730</v>
      </c>
      <c r="D1567" s="13">
        <v>1</v>
      </c>
      <c r="E1567" s="13">
        <v>0</v>
      </c>
      <c r="F1567" s="13">
        <v>80</v>
      </c>
      <c r="G1567" s="13">
        <v>43</v>
      </c>
      <c r="H1567" s="13" t="str" cm="1">
        <f t="array" ref="H1567">_xlfn.IFS(G1567&lt;=20,"0-20",G1567&lt;=30,"20-30",G1567&lt;=40,"30-40",G1567&lt;=50,"50-60",G1567&lt;=60,"60-70",G1567&lt;=70,"70-80",G1567&lt;=80,"80-90")</f>
        <v>50-60</v>
      </c>
      <c r="I1567" s="13">
        <v>2233</v>
      </c>
      <c r="J1567" s="13" t="str" cm="1">
        <f t="array" ref="J1567">_xlfn.IFS(K1567=1,"Divorciado",L1567=1,"Casado",M1567=1,"Solteiro",N1567=1,"Juntos",O1567=1,"Viuvo")</f>
        <v>Solteiro</v>
      </c>
      <c r="K1567" s="13">
        <v>0</v>
      </c>
      <c r="L1567" s="13">
        <v>0</v>
      </c>
      <c r="M1567" s="13">
        <v>1</v>
      </c>
      <c r="N1567" s="13">
        <v>0</v>
      </c>
      <c r="O1567" s="13">
        <v>0</v>
      </c>
      <c r="P1567" s="13">
        <v>0</v>
      </c>
      <c r="Q1567" s="13">
        <v>0</v>
      </c>
      <c r="R1567" s="13">
        <v>0</v>
      </c>
      <c r="S1567" s="13">
        <v>1</v>
      </c>
      <c r="T1567" s="13">
        <v>0</v>
      </c>
      <c r="U1567" s="13">
        <v>29</v>
      </c>
      <c r="V1567" s="13" t="str" cm="1">
        <f t="array" ref="V1567">_xlfn.IFS(U1567&lt;=250,"0-R$250",U1567&lt;=500,"251-R$500",U1567&lt;=750,"501-R$750",U1567&lt;=1000,"751-R$1000",U1567&lt;=1250,"1001-R$1250",U1567&lt;=1500,"1251-R$1500")</f>
        <v>0-R$250</v>
      </c>
      <c r="W1567" s="13">
        <v>3</v>
      </c>
      <c r="X1567" s="13" t="str" cm="1">
        <f t="array" ref="X1567">_xlfn.IFS(W1567 = 0, "0", W1567&lt;=20, "até R$20",W1567&lt;=40, "21 - R$40",W1567&lt;=60, "41- R$60",W1567&lt;=80, "61 - R$80", W1567&lt;=100, "81 - R$100",W1567&lt;=120, "101 - R$120",W1567&lt;=140, "121 - R$140", W1567&lt;=160, "141- R$160", W1567&lt;=180, "161 - R$180", W1567&lt;=200, "181-R$194")</f>
        <v>até R$20</v>
      </c>
      <c r="Y1567" s="13">
        <v>30</v>
      </c>
      <c r="Z1567" s="13">
        <v>3</v>
      </c>
      <c r="AA1567" s="13">
        <v>2</v>
      </c>
      <c r="AB1567" s="13">
        <v>9</v>
      </c>
      <c r="AC1567" s="13">
        <v>2</v>
      </c>
      <c r="AD1567" s="13">
        <v>3</v>
      </c>
      <c r="AE1567" s="13">
        <v>0</v>
      </c>
      <c r="AF1567" s="13">
        <v>3</v>
      </c>
      <c r="AG1567" s="13">
        <v>6</v>
      </c>
      <c r="AH1567" s="13">
        <v>0</v>
      </c>
      <c r="AI1567" s="13">
        <v>0</v>
      </c>
      <c r="AJ1567" s="13">
        <v>0</v>
      </c>
      <c r="AK1567" s="13">
        <v>0</v>
      </c>
      <c r="AL1567" s="13">
        <v>0</v>
      </c>
      <c r="AM1567" s="13">
        <v>0</v>
      </c>
      <c r="AN1567" s="13">
        <v>0</v>
      </c>
      <c r="AO1567" s="14">
        <v>0</v>
      </c>
      <c r="AP1567" s="13">
        <v>3</v>
      </c>
      <c r="AQ1567" s="13">
        <v>11</v>
      </c>
      <c r="AR1567" s="15">
        <v>58</v>
      </c>
      <c r="AS1567" s="15">
        <v>67</v>
      </c>
    </row>
    <row r="1568" spans="1:45" x14ac:dyDescent="0.25">
      <c r="A1568">
        <v>1867</v>
      </c>
      <c r="B1568" s="11">
        <f t="shared" si="24"/>
        <v>31158</v>
      </c>
      <c r="C1568" s="16">
        <v>311580</v>
      </c>
      <c r="D1568" s="17">
        <v>1</v>
      </c>
      <c r="E1568" s="17">
        <v>0</v>
      </c>
      <c r="F1568" s="17">
        <v>62</v>
      </c>
      <c r="G1568" s="17">
        <v>35</v>
      </c>
      <c r="H1568" s="13" t="str" cm="1">
        <f t="array" ref="H1568">_xlfn.IFS(G1568&lt;=20,"0-20",G1568&lt;=30,"20-30",G1568&lt;=40,"30-40",G1568&lt;=50,"50-60",G1568&lt;=60,"60-70",G1568&lt;=70,"70-80",G1568&lt;=80,"80-90")</f>
        <v>30-40</v>
      </c>
      <c r="I1568" s="17">
        <v>2677</v>
      </c>
      <c r="J1568" s="13" t="str" cm="1">
        <f t="array" ref="J1568">_xlfn.IFS(K1568=1,"Divorciado",L1568=1,"Casado",M1568=1,"Solteiro",N1568=1,"Juntos",O1568=1,"Viuvo")</f>
        <v>Casado</v>
      </c>
      <c r="K1568" s="17">
        <v>0</v>
      </c>
      <c r="L1568" s="17">
        <v>1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1</v>
      </c>
      <c r="S1568" s="17">
        <v>0</v>
      </c>
      <c r="T1568" s="17">
        <v>0</v>
      </c>
      <c r="U1568" s="17">
        <v>25</v>
      </c>
      <c r="V1568" s="13" t="str" cm="1">
        <f t="array" ref="V1568">_xlfn.IFS(U1568&lt;=250,"0-R$250",U1568&lt;=500,"251-R$500",U1568&lt;=750,"501-R$750",U1568&lt;=1000,"751-R$1000",U1568&lt;=1250,"1001-R$1250",U1568&lt;=1500,"1251-R$1500")</f>
        <v>0-R$250</v>
      </c>
      <c r="W1568" s="17">
        <v>6</v>
      </c>
      <c r="X1568" s="13" t="str" cm="1">
        <f t="array" ref="X1568">_xlfn.IFS(W1568 = 0, "0", W1568&lt;=20, "até R$20",W1568&lt;=40, "21 - R$40",W1568&lt;=60, "41- R$60",W1568&lt;=80, "61 - R$80", W1568&lt;=100, "81 - R$100",W1568&lt;=120, "101 - R$120",W1568&lt;=140, "121 - R$140", W1568&lt;=160, "141- R$160", W1568&lt;=180, "161 - R$180", W1568&lt;=200, "181-R$194")</f>
        <v>até R$20</v>
      </c>
      <c r="Y1568" s="17">
        <v>16</v>
      </c>
      <c r="Z1568" s="17">
        <v>20</v>
      </c>
      <c r="AA1568" s="17">
        <v>0</v>
      </c>
      <c r="AB1568" s="17">
        <v>5</v>
      </c>
      <c r="AC1568" s="17">
        <v>2</v>
      </c>
      <c r="AD1568" s="17">
        <v>2</v>
      </c>
      <c r="AE1568" s="17">
        <v>0</v>
      </c>
      <c r="AF1568" s="17">
        <v>3</v>
      </c>
      <c r="AG1568" s="17">
        <v>8</v>
      </c>
      <c r="AH1568" s="17">
        <v>0</v>
      </c>
      <c r="AI1568" s="17">
        <v>0</v>
      </c>
      <c r="AJ1568" s="17">
        <v>0</v>
      </c>
      <c r="AK1568" s="17">
        <v>0</v>
      </c>
      <c r="AL1568" s="17">
        <v>0</v>
      </c>
      <c r="AM1568" s="17">
        <v>0</v>
      </c>
      <c r="AN1568" s="17">
        <v>0</v>
      </c>
      <c r="AO1568" s="18">
        <v>0</v>
      </c>
      <c r="AP1568" s="17">
        <v>3</v>
      </c>
      <c r="AQ1568" s="17">
        <v>11</v>
      </c>
      <c r="AR1568" s="19">
        <v>62</v>
      </c>
      <c r="AS1568" s="19">
        <v>67</v>
      </c>
    </row>
    <row r="1569" spans="1:45" x14ac:dyDescent="0.25">
      <c r="A1569">
        <v>1891</v>
      </c>
      <c r="B1569" s="11">
        <f t="shared" si="24"/>
        <v>18929</v>
      </c>
      <c r="C1569" s="16">
        <v>189290</v>
      </c>
      <c r="D1569" s="17">
        <v>0</v>
      </c>
      <c r="E1569" s="17">
        <v>0</v>
      </c>
      <c r="F1569" s="17">
        <v>15</v>
      </c>
      <c r="G1569" s="17">
        <v>30</v>
      </c>
      <c r="H1569" s="13" t="str" cm="1">
        <f t="array" ref="H1569">_xlfn.IFS(G1569&lt;=20,"0-20",G1569&lt;=30,"20-30",G1569&lt;=40,"30-40",G1569&lt;=50,"50-60",G1569&lt;=60,"60-70",G1569&lt;=70,"70-80",G1569&lt;=80,"80-90")</f>
        <v>20-30</v>
      </c>
      <c r="I1569" s="17">
        <v>2657</v>
      </c>
      <c r="J1569" s="13" t="str" cm="1">
        <f t="array" ref="J1569">_xlfn.IFS(K1569=1,"Divorciado",L1569=1,"Casado",M1569=1,"Solteiro",N1569=1,"Juntos",O1569=1,"Viuvo")</f>
        <v>Casado</v>
      </c>
      <c r="K1569" s="17">
        <v>0</v>
      </c>
      <c r="L1569" s="17">
        <v>1</v>
      </c>
      <c r="M1569" s="17">
        <v>0</v>
      </c>
      <c r="N1569" s="17">
        <v>0</v>
      </c>
      <c r="O1569" s="17">
        <v>0</v>
      </c>
      <c r="P1569" s="17">
        <v>0</v>
      </c>
      <c r="Q1569" s="17">
        <v>0</v>
      </c>
      <c r="R1569" s="17">
        <v>1</v>
      </c>
      <c r="S1569" s="17">
        <v>0</v>
      </c>
      <c r="T1569" s="17">
        <v>0</v>
      </c>
      <c r="U1569" s="17">
        <v>32</v>
      </c>
      <c r="V1569" s="13" t="str" cm="1">
        <f t="array" ref="V1569">_xlfn.IFS(U1569&lt;=250,"0-R$250",U1569&lt;=500,"251-R$500",U1569&lt;=750,"501-R$750",U1569&lt;=1000,"751-R$1000",U1569&lt;=1250,"1001-R$1250",U1569&lt;=1500,"1251-R$1500")</f>
        <v>0-R$250</v>
      </c>
      <c r="W1569" s="17">
        <v>0</v>
      </c>
      <c r="X1569" s="13" t="str" cm="1">
        <f t="array" ref="X1569">_xlfn.IFS(W1569 = 0, "0", W1569&lt;=20, "até R$20",W1569&lt;=40, "21 - R$40",W1569&lt;=60, "41- R$60",W1569&lt;=80, "61 - R$80", W1569&lt;=100, "81 - R$100",W1569&lt;=120, "101 - R$120",W1569&lt;=140, "121 - R$140", W1569&lt;=160, "141- R$160", W1569&lt;=180, "161 - R$180", W1569&lt;=200, "181-R$194")</f>
        <v>0</v>
      </c>
      <c r="Y1569" s="17">
        <v>8</v>
      </c>
      <c r="Z1569" s="17">
        <v>23</v>
      </c>
      <c r="AA1569" s="17">
        <v>4</v>
      </c>
      <c r="AB1569" s="17">
        <v>18</v>
      </c>
      <c r="AC1569" s="17">
        <v>1</v>
      </c>
      <c r="AD1569" s="17">
        <v>1</v>
      </c>
      <c r="AE1569" s="17">
        <v>0</v>
      </c>
      <c r="AF1569" s="17">
        <v>4</v>
      </c>
      <c r="AG1569" s="17">
        <v>6</v>
      </c>
      <c r="AH1569" s="17">
        <v>0</v>
      </c>
      <c r="AI1569" s="17">
        <v>0</v>
      </c>
      <c r="AJ1569" s="17">
        <v>0</v>
      </c>
      <c r="AK1569" s="17">
        <v>0</v>
      </c>
      <c r="AL1569" s="17">
        <v>0</v>
      </c>
      <c r="AM1569" s="17">
        <v>0</v>
      </c>
      <c r="AN1569" s="17">
        <v>0</v>
      </c>
      <c r="AO1569" s="18">
        <v>0</v>
      </c>
      <c r="AP1569" s="17">
        <v>3</v>
      </c>
      <c r="AQ1569" s="17">
        <v>11</v>
      </c>
      <c r="AR1569" s="19">
        <v>49</v>
      </c>
      <c r="AS1569" s="19">
        <v>67</v>
      </c>
    </row>
    <row r="1570" spans="1:45" x14ac:dyDescent="0.25">
      <c r="A1570">
        <v>2013</v>
      </c>
      <c r="B1570" s="11">
        <f t="shared" si="24"/>
        <v>38680</v>
      </c>
      <c r="C1570" s="16">
        <v>386800</v>
      </c>
      <c r="D1570" s="17">
        <v>1</v>
      </c>
      <c r="E1570" s="17">
        <v>0</v>
      </c>
      <c r="F1570" s="17">
        <v>97</v>
      </c>
      <c r="G1570" s="17">
        <v>36</v>
      </c>
      <c r="H1570" s="13" t="str" cm="1">
        <f t="array" ref="H1570">_xlfn.IFS(G1570&lt;=20,"0-20",G1570&lt;=30,"20-30",G1570&lt;=40,"30-40",G1570&lt;=50,"50-60",G1570&lt;=60,"60-70",G1570&lt;=70,"70-80",G1570&lt;=80,"80-90")</f>
        <v>30-40</v>
      </c>
      <c r="I1570" s="17">
        <v>2617</v>
      </c>
      <c r="J1570" s="13" t="str" cm="1">
        <f t="array" ref="J1570">_xlfn.IFS(K1570=1,"Divorciado",L1570=1,"Casado",M1570=1,"Solteiro",N1570=1,"Juntos",O1570=1,"Viuvo")</f>
        <v>Casado</v>
      </c>
      <c r="K1570" s="17">
        <v>0</v>
      </c>
      <c r="L1570" s="17">
        <v>1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1</v>
      </c>
      <c r="S1570" s="17">
        <v>0</v>
      </c>
      <c r="T1570" s="17">
        <v>0</v>
      </c>
      <c r="U1570" s="17">
        <v>11</v>
      </c>
      <c r="V1570" s="13" t="str" cm="1">
        <f t="array" ref="V1570">_xlfn.IFS(U1570&lt;=250,"0-R$250",U1570&lt;=500,"251-R$500",U1570&lt;=750,"501-R$750",U1570&lt;=1000,"751-R$1000",U1570&lt;=1250,"1001-R$1250",U1570&lt;=1500,"1251-R$1500")</f>
        <v>0-R$250</v>
      </c>
      <c r="W1570" s="17">
        <v>0</v>
      </c>
      <c r="X1570" s="13" t="str" cm="1">
        <f t="array" ref="X1570">_xlfn.IFS(W1570 = 0, "0", W1570&lt;=20, "até R$20",W1570&lt;=40, "21 - R$40",W1570&lt;=60, "41- R$60",W1570&lt;=80, "61 - R$80", W1570&lt;=100, "81 - R$100",W1570&lt;=120, "101 - R$120",W1570&lt;=140, "121 - R$140", W1570&lt;=160, "141- R$160", W1570&lt;=180, "161 - R$180", W1570&lt;=200, "181-R$194")</f>
        <v>0</v>
      </c>
      <c r="Y1570" s="17">
        <v>36</v>
      </c>
      <c r="Z1570" s="17">
        <v>15</v>
      </c>
      <c r="AA1570" s="17">
        <v>5</v>
      </c>
      <c r="AB1570" s="17">
        <v>12</v>
      </c>
      <c r="AC1570" s="17">
        <v>1</v>
      </c>
      <c r="AD1570" s="17">
        <v>2</v>
      </c>
      <c r="AE1570" s="17">
        <v>0</v>
      </c>
      <c r="AF1570" s="17">
        <v>3</v>
      </c>
      <c r="AG1570" s="17">
        <v>7</v>
      </c>
      <c r="AH1570" s="17">
        <v>0</v>
      </c>
      <c r="AI1570" s="17">
        <v>0</v>
      </c>
      <c r="AJ1570" s="17">
        <v>0</v>
      </c>
      <c r="AK1570" s="17">
        <v>0</v>
      </c>
      <c r="AL1570" s="17">
        <v>0</v>
      </c>
      <c r="AM1570" s="17">
        <v>0</v>
      </c>
      <c r="AN1570" s="17">
        <v>0</v>
      </c>
      <c r="AO1570" s="18">
        <v>0</v>
      </c>
      <c r="AP1570" s="17">
        <v>3</v>
      </c>
      <c r="AQ1570" s="17">
        <v>11</v>
      </c>
      <c r="AR1570" s="19">
        <v>55</v>
      </c>
      <c r="AS1570" s="19">
        <v>67</v>
      </c>
    </row>
    <row r="1571" spans="1:45" x14ac:dyDescent="0.25">
      <c r="A1571">
        <v>2028</v>
      </c>
      <c r="B1571" s="11">
        <f t="shared" si="24"/>
        <v>36927</v>
      </c>
      <c r="C1571" s="12">
        <v>369270</v>
      </c>
      <c r="D1571" s="13">
        <v>1</v>
      </c>
      <c r="E1571" s="13">
        <v>1</v>
      </c>
      <c r="F1571" s="13">
        <v>46</v>
      </c>
      <c r="G1571" s="13">
        <v>65</v>
      </c>
      <c r="H1571" s="13" t="str" cm="1">
        <f t="array" ref="H1571">_xlfn.IFS(G1571&lt;=20,"0-20",G1571&lt;=30,"20-30",G1571&lt;=40,"30-40",G1571&lt;=50,"50-60",G1571&lt;=60,"60-70",G1571&lt;=70,"70-80",G1571&lt;=80,"80-90")</f>
        <v>70-80</v>
      </c>
      <c r="I1571" s="13">
        <v>2186</v>
      </c>
      <c r="J1571" s="13" t="str" cm="1">
        <f t="array" ref="J1571">_xlfn.IFS(K1571=1,"Divorciado",L1571=1,"Casado",M1571=1,"Solteiro",N1571=1,"Juntos",O1571=1,"Viuvo")</f>
        <v>Solteiro</v>
      </c>
      <c r="K1571" s="13">
        <v>0</v>
      </c>
      <c r="L1571" s="13">
        <v>0</v>
      </c>
      <c r="M1571" s="13">
        <v>1</v>
      </c>
      <c r="N1571" s="13">
        <v>0</v>
      </c>
      <c r="O1571" s="13">
        <v>0</v>
      </c>
      <c r="P1571" s="13">
        <v>0</v>
      </c>
      <c r="Q1571" s="13">
        <v>0</v>
      </c>
      <c r="R1571" s="13">
        <v>0</v>
      </c>
      <c r="S1571" s="13">
        <v>1</v>
      </c>
      <c r="T1571" s="13">
        <v>0</v>
      </c>
      <c r="U1571" s="13">
        <v>51</v>
      </c>
      <c r="V1571" s="13" t="str" cm="1">
        <f t="array" ref="V1571">_xlfn.IFS(U1571&lt;=250,"0-R$250",U1571&lt;=500,"251-R$500",U1571&lt;=750,"501-R$750",U1571&lt;=1000,"751-R$1000",U1571&lt;=1250,"1001-R$1250",U1571&lt;=1500,"1251-R$1500")</f>
        <v>0-R$250</v>
      </c>
      <c r="W1571" s="13">
        <v>0</v>
      </c>
      <c r="X1571" s="13" t="str" cm="1">
        <f t="array" ref="X1571">_xlfn.IFS(W1571 = 0, "0", W1571&lt;=20, "até R$20",W1571&lt;=40, "21 - R$40",W1571&lt;=60, "41- R$60",W1571&lt;=80, "61 - R$80", W1571&lt;=100, "81 - R$100",W1571&lt;=120, "101 - R$120",W1571&lt;=140, "121 - R$140", W1571&lt;=160, "141- R$160", W1571&lt;=180, "161 - R$180", W1571&lt;=200, "181-R$194")</f>
        <v>0</v>
      </c>
      <c r="Y1571" s="13">
        <v>16</v>
      </c>
      <c r="Z1571" s="13">
        <v>0</v>
      </c>
      <c r="AA1571" s="13">
        <v>0</v>
      </c>
      <c r="AB1571" s="13">
        <v>4</v>
      </c>
      <c r="AC1571" s="13">
        <v>2</v>
      </c>
      <c r="AD1571" s="13">
        <v>3</v>
      </c>
      <c r="AE1571" s="13">
        <v>0</v>
      </c>
      <c r="AF1571" s="13">
        <v>3</v>
      </c>
      <c r="AG1571" s="13">
        <v>8</v>
      </c>
      <c r="AH1571" s="13">
        <v>0</v>
      </c>
      <c r="AI1571" s="13">
        <v>0</v>
      </c>
      <c r="AJ1571" s="13">
        <v>0</v>
      </c>
      <c r="AK1571" s="13">
        <v>0</v>
      </c>
      <c r="AL1571" s="13">
        <v>0</v>
      </c>
      <c r="AM1571" s="13">
        <v>0</v>
      </c>
      <c r="AN1571" s="13">
        <v>0</v>
      </c>
      <c r="AO1571" s="14">
        <v>0</v>
      </c>
      <c r="AP1571" s="13">
        <v>3</v>
      </c>
      <c r="AQ1571" s="13">
        <v>11</v>
      </c>
      <c r="AR1571" s="15">
        <v>63</v>
      </c>
      <c r="AS1571" s="15">
        <v>67</v>
      </c>
    </row>
    <row r="1572" spans="1:45" x14ac:dyDescent="0.25">
      <c r="A1572">
        <v>2110</v>
      </c>
      <c r="B1572" s="11">
        <f t="shared" si="24"/>
        <v>36997</v>
      </c>
      <c r="C1572" s="12">
        <v>369970</v>
      </c>
      <c r="D1572" s="13">
        <v>1</v>
      </c>
      <c r="E1572" s="13">
        <v>1</v>
      </c>
      <c r="F1572" s="13">
        <v>72</v>
      </c>
      <c r="G1572" s="13">
        <v>52</v>
      </c>
      <c r="H1572" s="13" t="str" cm="1">
        <f t="array" ref="H1572">_xlfn.IFS(G1572&lt;=20,"0-20",G1572&lt;=30,"20-30",G1572&lt;=40,"30-40",G1572&lt;=50,"50-60",G1572&lt;=60,"60-70",G1572&lt;=70,"70-80",G1572&lt;=80,"80-90")</f>
        <v>60-70</v>
      </c>
      <c r="I1572" s="13">
        <v>2672</v>
      </c>
      <c r="J1572" s="13" t="str" cm="1">
        <f t="array" ref="J1572">_xlfn.IFS(K1572=1,"Divorciado",L1572=1,"Casado",M1572=1,"Solteiro",N1572=1,"Juntos",O1572=1,"Viuvo")</f>
        <v>Divorciado</v>
      </c>
      <c r="K1572" s="13">
        <v>1</v>
      </c>
      <c r="L1572" s="13">
        <v>0</v>
      </c>
      <c r="M1572" s="13">
        <v>0</v>
      </c>
      <c r="N1572" s="13">
        <v>0</v>
      </c>
      <c r="O1572" s="13">
        <v>0</v>
      </c>
      <c r="P1572" s="13">
        <v>0</v>
      </c>
      <c r="Q1572" s="13">
        <v>0</v>
      </c>
      <c r="R1572" s="13">
        <v>1</v>
      </c>
      <c r="S1572" s="13">
        <v>0</v>
      </c>
      <c r="T1572" s="13">
        <v>0</v>
      </c>
      <c r="U1572" s="13">
        <v>43</v>
      </c>
      <c r="V1572" s="13" t="str" cm="1">
        <f t="array" ref="V1572">_xlfn.IFS(U1572&lt;=250,"0-R$250",U1572&lt;=500,"251-R$500",U1572&lt;=750,"501-R$750",U1572&lt;=1000,"751-R$1000",U1572&lt;=1250,"1001-R$1250",U1572&lt;=1500,"1251-R$1500")</f>
        <v>0-R$250</v>
      </c>
      <c r="W1572" s="13">
        <v>4</v>
      </c>
      <c r="X1572" s="13" t="str" cm="1">
        <f t="array" ref="X1572">_xlfn.IFS(W1572 = 0, "0", W1572&lt;=20, "até R$20",W1572&lt;=40, "21 - R$40",W1572&lt;=60, "41- R$60",W1572&lt;=80, "61 - R$80", W1572&lt;=100, "81 - R$100",W1572&lt;=120, "101 - R$120",W1572&lt;=140, "121 - R$140", W1572&lt;=160, "141- R$160", W1572&lt;=180, "161 - R$180", W1572&lt;=200, "181-R$194")</f>
        <v>até R$20</v>
      </c>
      <c r="Y1572" s="13">
        <v>12</v>
      </c>
      <c r="Z1572" s="13">
        <v>8</v>
      </c>
      <c r="AA1572" s="13">
        <v>0</v>
      </c>
      <c r="AB1572" s="13">
        <v>27</v>
      </c>
      <c r="AC1572" s="13">
        <v>5</v>
      </c>
      <c r="AD1572" s="13">
        <v>2</v>
      </c>
      <c r="AE1572" s="13">
        <v>1</v>
      </c>
      <c r="AF1572" s="13">
        <v>4</v>
      </c>
      <c r="AG1572" s="13">
        <v>5</v>
      </c>
      <c r="AH1572" s="13">
        <v>0</v>
      </c>
      <c r="AI1572" s="13">
        <v>0</v>
      </c>
      <c r="AJ1572" s="13">
        <v>0</v>
      </c>
      <c r="AK1572" s="13">
        <v>0</v>
      </c>
      <c r="AL1572" s="13">
        <v>0</v>
      </c>
      <c r="AM1572" s="13">
        <v>0</v>
      </c>
      <c r="AN1572" s="13">
        <v>0</v>
      </c>
      <c r="AO1572" s="14">
        <v>0</v>
      </c>
      <c r="AP1572" s="13">
        <v>3</v>
      </c>
      <c r="AQ1572" s="13">
        <v>11</v>
      </c>
      <c r="AR1572" s="15">
        <v>40</v>
      </c>
      <c r="AS1572" s="15">
        <v>67</v>
      </c>
    </row>
    <row r="1573" spans="1:45" x14ac:dyDescent="0.25">
      <c r="A1573">
        <v>2172</v>
      </c>
      <c r="B1573" s="11">
        <f t="shared" si="24"/>
        <v>18929</v>
      </c>
      <c r="C1573" s="12">
        <v>189290</v>
      </c>
      <c r="D1573" s="13">
        <v>0</v>
      </c>
      <c r="E1573" s="13">
        <v>0</v>
      </c>
      <c r="F1573" s="13">
        <v>15</v>
      </c>
      <c r="G1573" s="13">
        <v>30</v>
      </c>
      <c r="H1573" s="13" t="str" cm="1">
        <f t="array" ref="H1573">_xlfn.IFS(G1573&lt;=20,"0-20",G1573&lt;=30,"20-30",G1573&lt;=40,"30-40",G1573&lt;=50,"50-60",G1573&lt;=60,"60-70",G1573&lt;=70,"70-80",G1573&lt;=80,"80-90")</f>
        <v>20-30</v>
      </c>
      <c r="I1573" s="13">
        <v>2657</v>
      </c>
      <c r="J1573" s="13" t="str" cm="1">
        <f t="array" ref="J1573">_xlfn.IFS(K1573=1,"Divorciado",L1573=1,"Casado",M1573=1,"Solteiro",N1573=1,"Juntos",O1573=1,"Viuvo")</f>
        <v>Casado</v>
      </c>
      <c r="K1573" s="13">
        <v>0</v>
      </c>
      <c r="L1573" s="13">
        <v>1</v>
      </c>
      <c r="M1573" s="13">
        <v>0</v>
      </c>
      <c r="N1573" s="13">
        <v>0</v>
      </c>
      <c r="O1573" s="13">
        <v>0</v>
      </c>
      <c r="P1573" s="13">
        <v>0</v>
      </c>
      <c r="Q1573" s="13">
        <v>0</v>
      </c>
      <c r="R1573" s="13">
        <v>1</v>
      </c>
      <c r="S1573" s="13">
        <v>0</v>
      </c>
      <c r="T1573" s="13">
        <v>0</v>
      </c>
      <c r="U1573" s="13">
        <v>32</v>
      </c>
      <c r="V1573" s="13" t="str" cm="1">
        <f t="array" ref="V1573">_xlfn.IFS(U1573&lt;=250,"0-R$250",U1573&lt;=500,"251-R$500",U1573&lt;=750,"501-R$750",U1573&lt;=1000,"751-R$1000",U1573&lt;=1250,"1001-R$1250",U1573&lt;=1500,"1251-R$1500")</f>
        <v>0-R$250</v>
      </c>
      <c r="W1573" s="13">
        <v>0</v>
      </c>
      <c r="X1573" s="13" t="str" cm="1">
        <f t="array" ref="X1573">_xlfn.IFS(W1573 = 0, "0", W1573&lt;=20, "até R$20",W1573&lt;=40, "21 - R$40",W1573&lt;=60, "41- R$60",W1573&lt;=80, "61 - R$80", W1573&lt;=100, "81 - R$100",W1573&lt;=120, "101 - R$120",W1573&lt;=140, "121 - R$140", W1573&lt;=160, "141- R$160", W1573&lt;=180, "161 - R$180", W1573&lt;=200, "181-R$194")</f>
        <v>0</v>
      </c>
      <c r="Y1573" s="13">
        <v>8</v>
      </c>
      <c r="Z1573" s="13">
        <v>23</v>
      </c>
      <c r="AA1573" s="13">
        <v>4</v>
      </c>
      <c r="AB1573" s="13">
        <v>18</v>
      </c>
      <c r="AC1573" s="13">
        <v>1</v>
      </c>
      <c r="AD1573" s="13">
        <v>1</v>
      </c>
      <c r="AE1573" s="13">
        <v>0</v>
      </c>
      <c r="AF1573" s="13">
        <v>4</v>
      </c>
      <c r="AG1573" s="13">
        <v>6</v>
      </c>
      <c r="AH1573" s="13">
        <v>0</v>
      </c>
      <c r="AI1573" s="13">
        <v>0</v>
      </c>
      <c r="AJ1573" s="13">
        <v>0</v>
      </c>
      <c r="AK1573" s="13">
        <v>0</v>
      </c>
      <c r="AL1573" s="13">
        <v>0</v>
      </c>
      <c r="AM1573" s="13">
        <v>0</v>
      </c>
      <c r="AN1573" s="13">
        <v>0</v>
      </c>
      <c r="AO1573" s="14">
        <v>0</v>
      </c>
      <c r="AP1573" s="13">
        <v>3</v>
      </c>
      <c r="AQ1573" s="13">
        <v>11</v>
      </c>
      <c r="AR1573" s="15">
        <v>49</v>
      </c>
      <c r="AS1573" s="15">
        <v>67</v>
      </c>
    </row>
    <row r="1574" spans="1:45" x14ac:dyDescent="0.25">
      <c r="A1574">
        <v>544</v>
      </c>
      <c r="B1574" s="11">
        <f t="shared" si="24"/>
        <v>33039</v>
      </c>
      <c r="C1574" s="12">
        <v>330390</v>
      </c>
      <c r="D1574" s="13">
        <v>1</v>
      </c>
      <c r="E1574" s="13">
        <v>0</v>
      </c>
      <c r="F1574" s="13">
        <v>4</v>
      </c>
      <c r="G1574" s="13">
        <v>42</v>
      </c>
      <c r="H1574" s="13" t="str" cm="1">
        <f t="array" ref="H1574">_xlfn.IFS(G1574&lt;=20,"0-20",G1574&lt;=30,"20-30",G1574&lt;=40,"30-40",G1574&lt;=50,"50-60",G1574&lt;=60,"60-70",G1574&lt;=70,"70-80",G1574&lt;=80,"80-90")</f>
        <v>50-60</v>
      </c>
      <c r="I1574" s="13">
        <v>2452</v>
      </c>
      <c r="J1574" s="13" t="str" cm="1">
        <f t="array" ref="J1574">_xlfn.IFS(K1574=1,"Divorciado",L1574=1,"Casado",M1574=1,"Solteiro",N1574=1,"Juntos",O1574=1,"Viuvo")</f>
        <v>Casado</v>
      </c>
      <c r="K1574" s="13">
        <v>0</v>
      </c>
      <c r="L1574" s="13">
        <v>1</v>
      </c>
      <c r="M1574" s="13">
        <v>0</v>
      </c>
      <c r="N1574" s="13">
        <v>0</v>
      </c>
      <c r="O1574" s="13">
        <v>0</v>
      </c>
      <c r="P1574" s="13">
        <v>0</v>
      </c>
      <c r="Q1574" s="13">
        <v>0</v>
      </c>
      <c r="R1574" s="13">
        <v>1</v>
      </c>
      <c r="S1574" s="13">
        <v>0</v>
      </c>
      <c r="T1574" s="13">
        <v>0</v>
      </c>
      <c r="U1574" s="13">
        <v>30</v>
      </c>
      <c r="V1574" s="13" t="str" cm="1">
        <f t="array" ref="V1574">_xlfn.IFS(U1574&lt;=250,"0-R$250",U1574&lt;=500,"251-R$500",U1574&lt;=750,"501-R$750",U1574&lt;=1000,"751-R$1000",U1574&lt;=1250,"1001-R$1250",U1574&lt;=1500,"1251-R$1500")</f>
        <v>0-R$250</v>
      </c>
      <c r="W1574" s="13">
        <v>8</v>
      </c>
      <c r="X1574" s="13" t="str" cm="1">
        <f t="array" ref="X1574">_xlfn.IFS(W1574 = 0, "0", W1574&lt;=20, "até R$20",W1574&lt;=40, "21 - R$40",W1574&lt;=60, "41- R$60",W1574&lt;=80, "61 - R$80", W1574&lt;=100, "81 - R$100",W1574&lt;=120, "101 - R$120",W1574&lt;=140, "121 - R$140", W1574&lt;=160, "141- R$160", W1574&lt;=180, "161 - R$180", W1574&lt;=200, "181-R$194")</f>
        <v>até R$20</v>
      </c>
      <c r="Y1574" s="13">
        <v>12</v>
      </c>
      <c r="Z1574" s="13">
        <v>8</v>
      </c>
      <c r="AA1574" s="13">
        <v>8</v>
      </c>
      <c r="AB1574" s="13">
        <v>12</v>
      </c>
      <c r="AC1574" s="13">
        <v>1</v>
      </c>
      <c r="AD1574" s="13">
        <v>2</v>
      </c>
      <c r="AE1574" s="13">
        <v>0</v>
      </c>
      <c r="AF1574" s="13">
        <v>4</v>
      </c>
      <c r="AG1574" s="13">
        <v>5</v>
      </c>
      <c r="AH1574" s="13">
        <v>0</v>
      </c>
      <c r="AI1574" s="13">
        <v>0</v>
      </c>
      <c r="AJ1574" s="13">
        <v>0</v>
      </c>
      <c r="AK1574" s="13">
        <v>0</v>
      </c>
      <c r="AL1574" s="13">
        <v>0</v>
      </c>
      <c r="AM1574" s="13">
        <v>0</v>
      </c>
      <c r="AN1574" s="13">
        <v>0</v>
      </c>
      <c r="AO1574" s="14">
        <v>0</v>
      </c>
      <c r="AP1574" s="13">
        <v>3</v>
      </c>
      <c r="AQ1574" s="13">
        <v>11</v>
      </c>
      <c r="AR1574" s="15">
        <v>54</v>
      </c>
      <c r="AS1574" s="15">
        <v>66</v>
      </c>
    </row>
    <row r="1575" spans="1:45" x14ac:dyDescent="0.25">
      <c r="A1575">
        <v>953</v>
      </c>
      <c r="B1575" s="11">
        <f t="shared" si="24"/>
        <v>15716</v>
      </c>
      <c r="C1575" s="16">
        <v>157160</v>
      </c>
      <c r="D1575" s="17">
        <v>1</v>
      </c>
      <c r="E1575" s="17">
        <v>0</v>
      </c>
      <c r="F1575" s="17">
        <v>8</v>
      </c>
      <c r="G1575" s="17">
        <v>32</v>
      </c>
      <c r="H1575" s="13" t="str" cm="1">
        <f t="array" ref="H1575">_xlfn.IFS(G1575&lt;=20,"0-20",G1575&lt;=30,"20-30",G1575&lt;=40,"30-40",G1575&lt;=50,"50-60",G1575&lt;=60,"60-70",G1575&lt;=70,"70-80",G1575&lt;=80,"80-90")</f>
        <v>30-40</v>
      </c>
      <c r="I1575" s="17">
        <v>2753</v>
      </c>
      <c r="J1575" s="13" t="str" cm="1">
        <f t="array" ref="J1575">_xlfn.IFS(K1575=1,"Divorciado",L1575=1,"Casado",M1575=1,"Solteiro",N1575=1,"Juntos",O1575=1,"Viuvo")</f>
        <v>Casado</v>
      </c>
      <c r="K1575" s="17">
        <v>0</v>
      </c>
      <c r="L1575" s="17">
        <v>1</v>
      </c>
      <c r="M1575" s="17">
        <v>0</v>
      </c>
      <c r="N1575" s="17">
        <v>0</v>
      </c>
      <c r="O1575" s="17">
        <v>0</v>
      </c>
      <c r="P1575" s="17">
        <v>1</v>
      </c>
      <c r="Q1575" s="17">
        <v>0</v>
      </c>
      <c r="R1575" s="17">
        <v>0</v>
      </c>
      <c r="S1575" s="17">
        <v>0</v>
      </c>
      <c r="T1575" s="17">
        <v>0</v>
      </c>
      <c r="U1575" s="17">
        <v>16</v>
      </c>
      <c r="V1575" s="13" t="str" cm="1">
        <f t="array" ref="V1575">_xlfn.IFS(U1575&lt;=250,"0-R$250",U1575&lt;=500,"251-R$500",U1575&lt;=750,"501-R$750",U1575&lt;=1000,"751-R$1000",U1575&lt;=1250,"1001-R$1250",U1575&lt;=1500,"1251-R$1500")</f>
        <v>0-R$250</v>
      </c>
      <c r="W1575" s="17">
        <v>5</v>
      </c>
      <c r="X1575" s="13" t="str" cm="1">
        <f t="array" ref="X1575">_xlfn.IFS(W1575 = 0, "0", W1575&lt;=20, "até R$20",W1575&lt;=40, "21 - R$40",W1575&lt;=60, "41- R$60",W1575&lt;=80, "61 - R$80", W1575&lt;=100, "81 - R$100",W1575&lt;=120, "101 - R$120",W1575&lt;=140, "121 - R$140", W1575&lt;=160, "141- R$160", W1575&lt;=180, "161 - R$180", W1575&lt;=200, "181-R$194")</f>
        <v>até R$20</v>
      </c>
      <c r="Y1575" s="17">
        <v>30</v>
      </c>
      <c r="Z1575" s="17">
        <v>8</v>
      </c>
      <c r="AA1575" s="17">
        <v>7</v>
      </c>
      <c r="AB1575" s="17">
        <v>26</v>
      </c>
      <c r="AC1575" s="17">
        <v>3</v>
      </c>
      <c r="AD1575" s="17">
        <v>3</v>
      </c>
      <c r="AE1575" s="17">
        <v>0</v>
      </c>
      <c r="AF1575" s="17">
        <v>4</v>
      </c>
      <c r="AG1575" s="17">
        <v>8</v>
      </c>
      <c r="AH1575" s="17">
        <v>1</v>
      </c>
      <c r="AI1575" s="17">
        <v>0</v>
      </c>
      <c r="AJ1575" s="17">
        <v>0</v>
      </c>
      <c r="AK1575" s="17">
        <v>0</v>
      </c>
      <c r="AL1575" s="17">
        <v>0</v>
      </c>
      <c r="AM1575" s="17">
        <v>0</v>
      </c>
      <c r="AN1575" s="17">
        <v>0</v>
      </c>
      <c r="AO1575" s="18">
        <v>0</v>
      </c>
      <c r="AP1575" s="17">
        <v>3</v>
      </c>
      <c r="AQ1575" s="17">
        <v>11</v>
      </c>
      <c r="AR1575" s="19">
        <v>40</v>
      </c>
      <c r="AS1575" s="19">
        <v>66</v>
      </c>
    </row>
    <row r="1576" spans="1:45" x14ac:dyDescent="0.25">
      <c r="A1576">
        <v>1401</v>
      </c>
      <c r="B1576" s="11">
        <f t="shared" si="24"/>
        <v>28164</v>
      </c>
      <c r="C1576" s="16">
        <v>281640</v>
      </c>
      <c r="D1576" s="17">
        <v>1</v>
      </c>
      <c r="E1576" s="17">
        <v>0</v>
      </c>
      <c r="F1576" s="17">
        <v>23</v>
      </c>
      <c r="G1576" s="17">
        <v>50</v>
      </c>
      <c r="H1576" s="13" t="str" cm="1">
        <f t="array" ref="H1576">_xlfn.IFS(G1576&lt;=20,"0-20",G1576&lt;=30,"20-30",G1576&lt;=40,"30-40",G1576&lt;=50,"50-60",G1576&lt;=60,"60-70",G1576&lt;=70,"70-80",G1576&lt;=80,"80-90")</f>
        <v>50-60</v>
      </c>
      <c r="I1576" s="17">
        <v>2580</v>
      </c>
      <c r="J1576" s="13" t="str" cm="1">
        <f t="array" ref="J1576">_xlfn.IFS(K1576=1,"Divorciado",L1576=1,"Casado",M1576=1,"Solteiro",N1576=1,"Juntos",O1576=1,"Viuvo")</f>
        <v>Casado</v>
      </c>
      <c r="K1576" s="17">
        <v>0</v>
      </c>
      <c r="L1576" s="17">
        <v>1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1</v>
      </c>
      <c r="S1576" s="17">
        <v>0</v>
      </c>
      <c r="T1576" s="17">
        <v>0</v>
      </c>
      <c r="U1576" s="17">
        <v>3</v>
      </c>
      <c r="V1576" s="13" t="str" cm="1">
        <f t="array" ref="V1576">_xlfn.IFS(U1576&lt;=250,"0-R$250",U1576&lt;=500,"251-R$500",U1576&lt;=750,"501-R$750",U1576&lt;=1000,"751-R$1000",U1576&lt;=1250,"1001-R$1250",U1576&lt;=1500,"1251-R$1500")</f>
        <v>0-R$250</v>
      </c>
      <c r="W1576" s="17">
        <v>18</v>
      </c>
      <c r="X1576" s="13" t="str" cm="1">
        <f t="array" ref="X1576">_xlfn.IFS(W1576 = 0, "0", W1576&lt;=20, "até R$20",W1576&lt;=40, "21 - R$40",W1576&lt;=60, "41- R$60",W1576&lt;=80, "61 - R$80", W1576&lt;=100, "81 - R$100",W1576&lt;=120, "101 - R$120",W1576&lt;=140, "121 - R$140", W1576&lt;=160, "141- R$160", W1576&lt;=180, "161 - R$180", W1576&lt;=200, "181-R$194")</f>
        <v>até R$20</v>
      </c>
      <c r="Y1576" s="17">
        <v>26</v>
      </c>
      <c r="Z1576" s="17">
        <v>11</v>
      </c>
      <c r="AA1576" s="17">
        <v>8</v>
      </c>
      <c r="AB1576" s="17">
        <v>12</v>
      </c>
      <c r="AC1576" s="17">
        <v>3</v>
      </c>
      <c r="AD1576" s="17">
        <v>2</v>
      </c>
      <c r="AE1576" s="17">
        <v>0</v>
      </c>
      <c r="AF1576" s="17">
        <v>4</v>
      </c>
      <c r="AG1576" s="17">
        <v>7</v>
      </c>
      <c r="AH1576" s="17">
        <v>0</v>
      </c>
      <c r="AI1576" s="17">
        <v>0</v>
      </c>
      <c r="AJ1576" s="17">
        <v>0</v>
      </c>
      <c r="AK1576" s="17">
        <v>0</v>
      </c>
      <c r="AL1576" s="17">
        <v>0</v>
      </c>
      <c r="AM1576" s="17">
        <v>0</v>
      </c>
      <c r="AN1576" s="17">
        <v>0</v>
      </c>
      <c r="AO1576" s="18">
        <v>0</v>
      </c>
      <c r="AP1576" s="17">
        <v>3</v>
      </c>
      <c r="AQ1576" s="17">
        <v>11</v>
      </c>
      <c r="AR1576" s="19">
        <v>54</v>
      </c>
      <c r="AS1576" s="19">
        <v>66</v>
      </c>
    </row>
    <row r="1577" spans="1:45" x14ac:dyDescent="0.25">
      <c r="A1577">
        <v>1493</v>
      </c>
      <c r="B1577" s="11">
        <f t="shared" si="24"/>
        <v>33039</v>
      </c>
      <c r="C1577" s="16">
        <v>330390</v>
      </c>
      <c r="D1577" s="17">
        <v>1</v>
      </c>
      <c r="E1577" s="17">
        <v>0</v>
      </c>
      <c r="F1577" s="17">
        <v>4</v>
      </c>
      <c r="G1577" s="17">
        <v>42</v>
      </c>
      <c r="H1577" s="13" t="str" cm="1">
        <f t="array" ref="H1577">_xlfn.IFS(G1577&lt;=20,"0-20",G1577&lt;=30,"20-30",G1577&lt;=40,"30-40",G1577&lt;=50,"50-60",G1577&lt;=60,"60-70",G1577&lt;=70,"70-80",G1577&lt;=80,"80-90")</f>
        <v>50-60</v>
      </c>
      <c r="I1577" s="17">
        <v>2452</v>
      </c>
      <c r="J1577" s="13" t="str" cm="1">
        <f t="array" ref="J1577">_xlfn.IFS(K1577=1,"Divorciado",L1577=1,"Casado",M1577=1,"Solteiro",N1577=1,"Juntos",O1577=1,"Viuvo")</f>
        <v>Casado</v>
      </c>
      <c r="K1577" s="17">
        <v>0</v>
      </c>
      <c r="L1577" s="17">
        <v>1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1</v>
      </c>
      <c r="S1577" s="17">
        <v>0</v>
      </c>
      <c r="T1577" s="17">
        <v>0</v>
      </c>
      <c r="U1577" s="17">
        <v>30</v>
      </c>
      <c r="V1577" s="13" t="str" cm="1">
        <f t="array" ref="V1577">_xlfn.IFS(U1577&lt;=250,"0-R$250",U1577&lt;=500,"251-R$500",U1577&lt;=750,"501-R$750",U1577&lt;=1000,"751-R$1000",U1577&lt;=1250,"1001-R$1250",U1577&lt;=1500,"1251-R$1500")</f>
        <v>0-R$250</v>
      </c>
      <c r="W1577" s="17">
        <v>8</v>
      </c>
      <c r="X1577" s="13" t="str" cm="1">
        <f t="array" ref="X1577">_xlfn.IFS(W1577 = 0, "0", W1577&lt;=20, "até R$20",W1577&lt;=40, "21 - R$40",W1577&lt;=60, "41- R$60",W1577&lt;=80, "61 - R$80", W1577&lt;=100, "81 - R$100",W1577&lt;=120, "101 - R$120",W1577&lt;=140, "121 - R$140", W1577&lt;=160, "141- R$160", W1577&lt;=180, "161 - R$180", W1577&lt;=200, "181-R$194")</f>
        <v>até R$20</v>
      </c>
      <c r="Y1577" s="17">
        <v>12</v>
      </c>
      <c r="Z1577" s="17">
        <v>8</v>
      </c>
      <c r="AA1577" s="17">
        <v>8</v>
      </c>
      <c r="AB1577" s="17">
        <v>12</v>
      </c>
      <c r="AC1577" s="17">
        <v>1</v>
      </c>
      <c r="AD1577" s="17">
        <v>2</v>
      </c>
      <c r="AE1577" s="17">
        <v>0</v>
      </c>
      <c r="AF1577" s="17">
        <v>4</v>
      </c>
      <c r="AG1577" s="17">
        <v>5</v>
      </c>
      <c r="AH1577" s="17">
        <v>0</v>
      </c>
      <c r="AI1577" s="17">
        <v>0</v>
      </c>
      <c r="AJ1577" s="17">
        <v>0</v>
      </c>
      <c r="AK1577" s="17">
        <v>0</v>
      </c>
      <c r="AL1577" s="17">
        <v>0</v>
      </c>
      <c r="AM1577" s="17">
        <v>0</v>
      </c>
      <c r="AN1577" s="17">
        <v>0</v>
      </c>
      <c r="AO1577" s="18">
        <v>0</v>
      </c>
      <c r="AP1577" s="17">
        <v>3</v>
      </c>
      <c r="AQ1577" s="17">
        <v>11</v>
      </c>
      <c r="AR1577" s="19">
        <v>54</v>
      </c>
      <c r="AS1577" s="19">
        <v>66</v>
      </c>
    </row>
    <row r="1578" spans="1:45" x14ac:dyDescent="0.25">
      <c r="A1578">
        <v>1605</v>
      </c>
      <c r="B1578" s="11">
        <f t="shared" si="24"/>
        <v>36301</v>
      </c>
      <c r="C1578" s="16">
        <v>363010</v>
      </c>
      <c r="D1578" s="17">
        <v>1</v>
      </c>
      <c r="E1578" s="17">
        <v>0</v>
      </c>
      <c r="F1578" s="17">
        <v>53</v>
      </c>
      <c r="G1578" s="17">
        <v>44</v>
      </c>
      <c r="H1578" s="13" t="str" cm="1">
        <f t="array" ref="H1578">_xlfn.IFS(G1578&lt;=20,"0-20",G1578&lt;=30,"20-30",G1578&lt;=40,"30-40",G1578&lt;=50,"50-60",G1578&lt;=60,"60-70",G1578&lt;=70,"70-80",G1578&lt;=80,"80-90")</f>
        <v>50-60</v>
      </c>
      <c r="I1578" s="17">
        <v>2406</v>
      </c>
      <c r="J1578" s="13" t="str" cm="1">
        <f t="array" ref="J1578">_xlfn.IFS(K1578=1,"Divorciado",L1578=1,"Casado",M1578=1,"Solteiro",N1578=1,"Juntos",O1578=1,"Viuvo")</f>
        <v>Juntos</v>
      </c>
      <c r="K1578" s="17">
        <v>0</v>
      </c>
      <c r="L1578" s="17">
        <v>0</v>
      </c>
      <c r="M1578" s="17">
        <v>0</v>
      </c>
      <c r="N1578" s="17">
        <v>1</v>
      </c>
      <c r="O1578" s="17">
        <v>0</v>
      </c>
      <c r="P1578" s="17">
        <v>1</v>
      </c>
      <c r="Q1578" s="17">
        <v>0</v>
      </c>
      <c r="R1578" s="17">
        <v>0</v>
      </c>
      <c r="S1578" s="17">
        <v>0</v>
      </c>
      <c r="T1578" s="17">
        <v>0</v>
      </c>
      <c r="U1578" s="17">
        <v>11</v>
      </c>
      <c r="V1578" s="13" t="str" cm="1">
        <f t="array" ref="V1578">_xlfn.IFS(U1578&lt;=250,"0-R$250",U1578&lt;=500,"251-R$500",U1578&lt;=750,"501-R$750",U1578&lt;=1000,"751-R$1000",U1578&lt;=1250,"1001-R$1250",U1578&lt;=1500,"1251-R$1500")</f>
        <v>0-R$250</v>
      </c>
      <c r="W1578" s="17">
        <v>12</v>
      </c>
      <c r="X1578" s="13" t="str" cm="1">
        <f t="array" ref="X1578">_xlfn.IFS(W1578 = 0, "0", W1578&lt;=20, "até R$20",W1578&lt;=40, "21 - R$40",W1578&lt;=60, "41- R$60",W1578&lt;=80, "61 - R$80", W1578&lt;=100, "81 - R$100",W1578&lt;=120, "101 - R$120",W1578&lt;=140, "121 - R$140", W1578&lt;=160, "141- R$160", W1578&lt;=180, "161 - R$180", W1578&lt;=200, "181-R$194")</f>
        <v>até R$20</v>
      </c>
      <c r="Y1578" s="17">
        <v>35</v>
      </c>
      <c r="Z1578" s="17">
        <v>3</v>
      </c>
      <c r="AA1578" s="17">
        <v>5</v>
      </c>
      <c r="AB1578" s="17">
        <v>12</v>
      </c>
      <c r="AC1578" s="17">
        <v>1</v>
      </c>
      <c r="AD1578" s="17">
        <v>3</v>
      </c>
      <c r="AE1578" s="17">
        <v>0</v>
      </c>
      <c r="AF1578" s="17">
        <v>3</v>
      </c>
      <c r="AG1578" s="17">
        <v>7</v>
      </c>
      <c r="AH1578" s="17">
        <v>0</v>
      </c>
      <c r="AI1578" s="17">
        <v>0</v>
      </c>
      <c r="AJ1578" s="17">
        <v>0</v>
      </c>
      <c r="AK1578" s="17">
        <v>0</v>
      </c>
      <c r="AL1578" s="17">
        <v>0</v>
      </c>
      <c r="AM1578" s="17">
        <v>0</v>
      </c>
      <c r="AN1578" s="17">
        <v>0</v>
      </c>
      <c r="AO1578" s="18">
        <v>0</v>
      </c>
      <c r="AP1578" s="17">
        <v>3</v>
      </c>
      <c r="AQ1578" s="17">
        <v>11</v>
      </c>
      <c r="AR1578" s="19">
        <v>54</v>
      </c>
      <c r="AS1578" s="19">
        <v>66</v>
      </c>
    </row>
    <row r="1579" spans="1:45" x14ac:dyDescent="0.25">
      <c r="A1579">
        <v>1654</v>
      </c>
      <c r="B1579" s="11">
        <f t="shared" si="24"/>
        <v>33228</v>
      </c>
      <c r="C1579" s="12">
        <v>332280</v>
      </c>
      <c r="D1579" s="13">
        <v>1</v>
      </c>
      <c r="E1579" s="13">
        <v>0</v>
      </c>
      <c r="F1579" s="13">
        <v>28</v>
      </c>
      <c r="G1579" s="13">
        <v>40</v>
      </c>
      <c r="H1579" s="13" t="str" cm="1">
        <f t="array" ref="H1579">_xlfn.IFS(G1579&lt;=20,"0-20",G1579&lt;=30,"20-30",G1579&lt;=40,"30-40",G1579&lt;=50,"50-60",G1579&lt;=60,"60-70",G1579&lt;=70,"70-80",G1579&lt;=80,"80-90")</f>
        <v>30-40</v>
      </c>
      <c r="I1579" s="13">
        <v>2316</v>
      </c>
      <c r="J1579" s="13" t="str" cm="1">
        <f t="array" ref="J1579">_xlfn.IFS(K1579=1,"Divorciado",L1579=1,"Casado",M1579=1,"Solteiro",N1579=1,"Juntos",O1579=1,"Viuvo")</f>
        <v>Casado</v>
      </c>
      <c r="K1579" s="13">
        <v>0</v>
      </c>
      <c r="L1579" s="13">
        <v>1</v>
      </c>
      <c r="M1579" s="13">
        <v>0</v>
      </c>
      <c r="N1579" s="13">
        <v>0</v>
      </c>
      <c r="O1579" s="13">
        <v>0</v>
      </c>
      <c r="P1579" s="13">
        <v>0</v>
      </c>
      <c r="Q1579" s="13">
        <v>0</v>
      </c>
      <c r="R1579" s="13">
        <v>1</v>
      </c>
      <c r="S1579" s="13">
        <v>0</v>
      </c>
      <c r="T1579" s="13">
        <v>0</v>
      </c>
      <c r="U1579" s="13">
        <v>22</v>
      </c>
      <c r="V1579" s="13" t="str" cm="1">
        <f t="array" ref="V1579">_xlfn.IFS(U1579&lt;=250,"0-R$250",U1579&lt;=500,"251-R$500",U1579&lt;=750,"501-R$750",U1579&lt;=1000,"751-R$1000",U1579&lt;=1250,"1001-R$1250",U1579&lt;=1500,"1251-R$1500")</f>
        <v>0-R$250</v>
      </c>
      <c r="W1579" s="13">
        <v>2</v>
      </c>
      <c r="X1579" s="13" t="str" cm="1">
        <f t="array" ref="X1579">_xlfn.IFS(W1579 = 0, "0", W1579&lt;=20, "até R$20",W1579&lt;=40, "21 - R$40",W1579&lt;=60, "41- R$60",W1579&lt;=80, "61 - R$80", W1579&lt;=100, "81 - R$100",W1579&lt;=120, "101 - R$120",W1579&lt;=140, "121 - R$140", W1579&lt;=160, "141- R$160", W1579&lt;=180, "161 - R$180", W1579&lt;=200, "181-R$194")</f>
        <v>até R$20</v>
      </c>
      <c r="Y1579" s="13">
        <v>31</v>
      </c>
      <c r="Z1579" s="13">
        <v>7</v>
      </c>
      <c r="AA1579" s="13">
        <v>4</v>
      </c>
      <c r="AB1579" s="13">
        <v>5</v>
      </c>
      <c r="AC1579" s="13">
        <v>1</v>
      </c>
      <c r="AD1579" s="13">
        <v>2</v>
      </c>
      <c r="AE1579" s="13">
        <v>0</v>
      </c>
      <c r="AF1579" s="13">
        <v>3</v>
      </c>
      <c r="AG1579" s="13">
        <v>7</v>
      </c>
      <c r="AH1579" s="13">
        <v>0</v>
      </c>
      <c r="AI1579" s="13">
        <v>0</v>
      </c>
      <c r="AJ1579" s="13">
        <v>0</v>
      </c>
      <c r="AK1579" s="13">
        <v>0</v>
      </c>
      <c r="AL1579" s="13">
        <v>0</v>
      </c>
      <c r="AM1579" s="13">
        <v>0</v>
      </c>
      <c r="AN1579" s="13">
        <v>0</v>
      </c>
      <c r="AO1579" s="14">
        <v>0</v>
      </c>
      <c r="AP1579" s="13">
        <v>3</v>
      </c>
      <c r="AQ1579" s="13">
        <v>11</v>
      </c>
      <c r="AR1579" s="15">
        <v>61</v>
      </c>
      <c r="AS1579" s="15">
        <v>66</v>
      </c>
    </row>
    <row r="1580" spans="1:45" x14ac:dyDescent="0.25">
      <c r="A1580">
        <v>1832</v>
      </c>
      <c r="B1580" s="11">
        <f t="shared" si="24"/>
        <v>21024</v>
      </c>
      <c r="C1580" s="12">
        <v>210240</v>
      </c>
      <c r="D1580" s="13">
        <v>0</v>
      </c>
      <c r="E1580" s="13">
        <v>0</v>
      </c>
      <c r="F1580" s="13">
        <v>89</v>
      </c>
      <c r="G1580" s="13">
        <v>44</v>
      </c>
      <c r="H1580" s="13" t="str" cm="1">
        <f t="array" ref="H1580">_xlfn.IFS(G1580&lt;=20,"0-20",G1580&lt;=30,"20-30",G1580&lt;=40,"30-40",G1580&lt;=50,"50-60",G1580&lt;=60,"60-70",G1580&lt;=70,"70-80",G1580&lt;=80,"80-90")</f>
        <v>50-60</v>
      </c>
      <c r="I1580" s="13">
        <v>2519</v>
      </c>
      <c r="J1580" s="13" t="str" cm="1">
        <f t="array" ref="J1580">_xlfn.IFS(K1580=1,"Divorciado",L1580=1,"Casado",M1580=1,"Solteiro",N1580=1,"Juntos",O1580=1,"Viuvo")</f>
        <v>Juntos</v>
      </c>
      <c r="K1580" s="13">
        <v>0</v>
      </c>
      <c r="L1580" s="13">
        <v>0</v>
      </c>
      <c r="M1580" s="13">
        <v>0</v>
      </c>
      <c r="N1580" s="13">
        <v>1</v>
      </c>
      <c r="O1580" s="13">
        <v>0</v>
      </c>
      <c r="P1580" s="13">
        <v>0</v>
      </c>
      <c r="Q1580" s="13">
        <v>0</v>
      </c>
      <c r="R1580" s="13">
        <v>0</v>
      </c>
      <c r="S1580" s="13">
        <v>1</v>
      </c>
      <c r="T1580" s="13">
        <v>0</v>
      </c>
      <c r="U1580" s="13">
        <v>36</v>
      </c>
      <c r="V1580" s="13" t="str" cm="1">
        <f t="array" ref="V1580">_xlfn.IFS(U1580&lt;=250,"0-R$250",U1580&lt;=500,"251-R$500",U1580&lt;=750,"501-R$750",U1580&lt;=1000,"751-R$1000",U1580&lt;=1250,"1001-R$1250",U1580&lt;=1500,"1251-R$1500")</f>
        <v>0-R$250</v>
      </c>
      <c r="W1580" s="13">
        <v>4</v>
      </c>
      <c r="X1580" s="13" t="str" cm="1">
        <f t="array" ref="X1580">_xlfn.IFS(W1580 = 0, "0", W1580&lt;=20, "até R$20",W1580&lt;=40, "21 - R$40",W1580&lt;=60, "41- R$60",W1580&lt;=80, "61 - R$80", W1580&lt;=100, "81 - R$100",W1580&lt;=120, "101 - R$120",W1580&lt;=140, "121 - R$140", W1580&lt;=160, "141- R$160", W1580&lt;=180, "161 - R$180", W1580&lt;=200, "181-R$194")</f>
        <v>até R$20</v>
      </c>
      <c r="Y1580" s="13">
        <v>18</v>
      </c>
      <c r="Z1580" s="13">
        <v>6</v>
      </c>
      <c r="AA1580" s="13">
        <v>2</v>
      </c>
      <c r="AB1580" s="13">
        <v>18</v>
      </c>
      <c r="AC1580" s="13">
        <v>1</v>
      </c>
      <c r="AD1580" s="13">
        <v>2</v>
      </c>
      <c r="AE1580" s="13">
        <v>0</v>
      </c>
      <c r="AF1580" s="13">
        <v>4</v>
      </c>
      <c r="AG1580" s="13">
        <v>7</v>
      </c>
      <c r="AH1580" s="13">
        <v>0</v>
      </c>
      <c r="AI1580" s="13">
        <v>0</v>
      </c>
      <c r="AJ1580" s="13">
        <v>0</v>
      </c>
      <c r="AK1580" s="13">
        <v>0</v>
      </c>
      <c r="AL1580" s="13">
        <v>0</v>
      </c>
      <c r="AM1580" s="13">
        <v>0</v>
      </c>
      <c r="AN1580" s="13">
        <v>0</v>
      </c>
      <c r="AO1580" s="14">
        <v>0</v>
      </c>
      <c r="AP1580" s="13">
        <v>3</v>
      </c>
      <c r="AQ1580" s="13">
        <v>11</v>
      </c>
      <c r="AR1580" s="15">
        <v>48</v>
      </c>
      <c r="AS1580" s="15">
        <v>66</v>
      </c>
    </row>
    <row r="1581" spans="1:45" x14ac:dyDescent="0.25">
      <c r="A1581">
        <v>2004</v>
      </c>
      <c r="B1581" s="11">
        <f t="shared" si="24"/>
        <v>7500</v>
      </c>
      <c r="C1581" s="12">
        <v>75000</v>
      </c>
      <c r="D1581" s="13">
        <v>1</v>
      </c>
      <c r="E1581" s="13">
        <v>0</v>
      </c>
      <c r="F1581" s="13">
        <v>98</v>
      </c>
      <c r="G1581" s="13">
        <v>35</v>
      </c>
      <c r="H1581" s="13" t="str" cm="1">
        <f t="array" ref="H1581">_xlfn.IFS(G1581&lt;=20,"0-20",G1581&lt;=30,"20-30",G1581&lt;=40,"30-40",G1581&lt;=50,"50-60",G1581&lt;=60,"60-70",G1581&lt;=70,"70-80",G1581&lt;=80,"80-90")</f>
        <v>30-40</v>
      </c>
      <c r="I1581" s="13">
        <v>2856</v>
      </c>
      <c r="J1581" s="13" t="str" cm="1">
        <f t="array" ref="J1581">_xlfn.IFS(K1581=1,"Divorciado",L1581=1,"Casado",M1581=1,"Solteiro",N1581=1,"Juntos",O1581=1,"Viuvo")</f>
        <v>Juntos</v>
      </c>
      <c r="K1581" s="13">
        <v>0</v>
      </c>
      <c r="L1581" s="13">
        <v>0</v>
      </c>
      <c r="M1581" s="13">
        <v>0</v>
      </c>
      <c r="N1581" s="13">
        <v>1</v>
      </c>
      <c r="O1581" s="13">
        <v>0</v>
      </c>
      <c r="P1581" s="13">
        <v>1</v>
      </c>
      <c r="Q1581" s="13">
        <v>0</v>
      </c>
      <c r="R1581" s="13">
        <v>0</v>
      </c>
      <c r="S1581" s="13">
        <v>0</v>
      </c>
      <c r="T1581" s="13">
        <v>0</v>
      </c>
      <c r="U1581" s="13">
        <v>5</v>
      </c>
      <c r="V1581" s="13" t="str" cm="1">
        <f t="array" ref="V1581">_xlfn.IFS(U1581&lt;=250,"0-R$250",U1581&lt;=500,"251-R$500",U1581&lt;=750,"501-R$750",U1581&lt;=1000,"751-R$1000",U1581&lt;=1250,"1001-R$1250",U1581&lt;=1500,"1251-R$1500")</f>
        <v>0-R$250</v>
      </c>
      <c r="W1581" s="13">
        <v>17</v>
      </c>
      <c r="X1581" s="13" t="str" cm="1">
        <f t="array" ref="X1581">_xlfn.IFS(W1581 = 0, "0", W1581&lt;=20, "até R$20",W1581&lt;=40, "21 - R$40",W1581&lt;=60, "41- R$60",W1581&lt;=80, "61 - R$80", W1581&lt;=100, "81 - R$100",W1581&lt;=120, "101 - R$120",W1581&lt;=140, "121 - R$140", W1581&lt;=160, "141- R$160", W1581&lt;=180, "161 - R$180", W1581&lt;=200, "181-R$194")</f>
        <v>até R$20</v>
      </c>
      <c r="Y1581" s="13">
        <v>17</v>
      </c>
      <c r="Z1581" s="13">
        <v>13</v>
      </c>
      <c r="AA1581" s="13">
        <v>14</v>
      </c>
      <c r="AB1581" s="13">
        <v>34</v>
      </c>
      <c r="AC1581" s="13">
        <v>4</v>
      </c>
      <c r="AD1581" s="13">
        <v>2</v>
      </c>
      <c r="AE1581" s="13">
        <v>1</v>
      </c>
      <c r="AF1581" s="13">
        <v>3</v>
      </c>
      <c r="AG1581" s="13">
        <v>9</v>
      </c>
      <c r="AH1581" s="13">
        <v>0</v>
      </c>
      <c r="AI1581" s="13">
        <v>0</v>
      </c>
      <c r="AJ1581" s="13">
        <v>0</v>
      </c>
      <c r="AK1581" s="13">
        <v>0</v>
      </c>
      <c r="AL1581" s="13">
        <v>0</v>
      </c>
      <c r="AM1581" s="13">
        <v>0</v>
      </c>
      <c r="AN1581" s="13">
        <v>0</v>
      </c>
      <c r="AO1581" s="14">
        <v>0</v>
      </c>
      <c r="AP1581" s="13">
        <v>3</v>
      </c>
      <c r="AQ1581" s="13">
        <v>11</v>
      </c>
      <c r="AR1581" s="15">
        <v>32</v>
      </c>
      <c r="AS1581" s="15">
        <v>66</v>
      </c>
    </row>
    <row r="1582" spans="1:45" x14ac:dyDescent="0.25">
      <c r="A1582">
        <v>316</v>
      </c>
      <c r="B1582" s="11">
        <f t="shared" si="24"/>
        <v>33996</v>
      </c>
      <c r="C1582" s="12">
        <v>339960</v>
      </c>
      <c r="D1582" s="13">
        <v>0</v>
      </c>
      <c r="E1582" s="13">
        <v>0</v>
      </c>
      <c r="F1582" s="13">
        <v>46</v>
      </c>
      <c r="G1582" s="13">
        <v>31</v>
      </c>
      <c r="H1582" s="13" t="str" cm="1">
        <f t="array" ref="H1582">_xlfn.IFS(G1582&lt;=20,"0-20",G1582&lt;=30,"20-30",G1582&lt;=40,"30-40",G1582&lt;=50,"50-60",G1582&lt;=60,"60-70",G1582&lt;=70,"70-80",G1582&lt;=80,"80-90")</f>
        <v>30-40</v>
      </c>
      <c r="I1582" s="13">
        <v>2450</v>
      </c>
      <c r="J1582" s="13" t="str" cm="1">
        <f t="array" ref="J1582">_xlfn.IFS(K1582=1,"Divorciado",L1582=1,"Casado",M1582=1,"Solteiro",N1582=1,"Juntos",O1582=1,"Viuvo")</f>
        <v>Solteiro</v>
      </c>
      <c r="K1582" s="13">
        <v>0</v>
      </c>
      <c r="L1582" s="13">
        <v>0</v>
      </c>
      <c r="M1582" s="13">
        <v>1</v>
      </c>
      <c r="N1582" s="13">
        <v>0</v>
      </c>
      <c r="O1582" s="13">
        <v>0</v>
      </c>
      <c r="P1582" s="13">
        <v>0</v>
      </c>
      <c r="Q1582" s="13">
        <v>0</v>
      </c>
      <c r="R1582" s="13">
        <v>0</v>
      </c>
      <c r="S1582" s="13">
        <v>0</v>
      </c>
      <c r="T1582" s="13">
        <v>1</v>
      </c>
      <c r="U1582" s="13">
        <v>40</v>
      </c>
      <c r="V1582" s="13" t="str" cm="1">
        <f t="array" ref="V1582">_xlfn.IFS(U1582&lt;=250,"0-R$250",U1582&lt;=500,"251-R$500",U1582&lt;=750,"501-R$750",U1582&lt;=1000,"751-R$1000",U1582&lt;=1250,"1001-R$1250",U1582&lt;=1500,"1251-R$1500")</f>
        <v>0-R$250</v>
      </c>
      <c r="W1582" s="13">
        <v>2</v>
      </c>
      <c r="X1582" s="13" t="str" cm="1">
        <f t="array" ref="X1582">_xlfn.IFS(W1582 = 0, "0", W1582&lt;=20, "até R$20",W1582&lt;=40, "21 - R$40",W1582&lt;=60, "41- R$60",W1582&lt;=80, "61 - R$80", W1582&lt;=100, "81 - R$100",W1582&lt;=120, "101 - R$120",W1582&lt;=140, "121 - R$140", W1582&lt;=160, "141- R$160", W1582&lt;=180, "161 - R$180", W1582&lt;=200, "181-R$194")</f>
        <v>até R$20</v>
      </c>
      <c r="Y1582" s="13">
        <v>15</v>
      </c>
      <c r="Z1582" s="13">
        <v>8</v>
      </c>
      <c r="AA1582" s="13">
        <v>0</v>
      </c>
      <c r="AB1582" s="13">
        <v>6</v>
      </c>
      <c r="AC1582" s="13">
        <v>1</v>
      </c>
      <c r="AD1582" s="13">
        <v>1</v>
      </c>
      <c r="AE1582" s="13">
        <v>1</v>
      </c>
      <c r="AF1582" s="13">
        <v>3</v>
      </c>
      <c r="AG1582" s="13">
        <v>4</v>
      </c>
      <c r="AH1582" s="13">
        <v>0</v>
      </c>
      <c r="AI1582" s="13">
        <v>0</v>
      </c>
      <c r="AJ1582" s="13">
        <v>0</v>
      </c>
      <c r="AK1582" s="13">
        <v>0</v>
      </c>
      <c r="AL1582" s="13">
        <v>0</v>
      </c>
      <c r="AM1582" s="13">
        <v>0</v>
      </c>
      <c r="AN1582" s="13">
        <v>0</v>
      </c>
      <c r="AO1582" s="14">
        <v>0</v>
      </c>
      <c r="AP1582" s="13">
        <v>3</v>
      </c>
      <c r="AQ1582" s="13">
        <v>11</v>
      </c>
      <c r="AR1582" s="15">
        <v>59</v>
      </c>
      <c r="AS1582" s="15">
        <v>65</v>
      </c>
    </row>
    <row r="1583" spans="1:45" x14ac:dyDescent="0.25">
      <c r="A1583">
        <v>1019</v>
      </c>
      <c r="B1583" s="11">
        <f t="shared" si="24"/>
        <v>37126</v>
      </c>
      <c r="C1583" s="16">
        <v>371260</v>
      </c>
      <c r="D1583" s="17">
        <v>1</v>
      </c>
      <c r="E1583" s="17">
        <v>0</v>
      </c>
      <c r="F1583" s="17">
        <v>9</v>
      </c>
      <c r="G1583" s="17">
        <v>49</v>
      </c>
      <c r="H1583" s="13" t="str" cm="1">
        <f t="array" ref="H1583">_xlfn.IFS(G1583&lt;=20,"0-20",G1583&lt;=30,"20-30",G1583&lt;=40,"30-40",G1583&lt;=50,"50-60",G1583&lt;=60,"60-70",G1583&lt;=70,"70-80",G1583&lt;=80,"80-90")</f>
        <v>50-60</v>
      </c>
      <c r="I1583" s="17">
        <v>2250</v>
      </c>
      <c r="J1583" s="13" t="str" cm="1">
        <f t="array" ref="J1583">_xlfn.IFS(K1583=1,"Divorciado",L1583=1,"Casado",M1583=1,"Solteiro",N1583=1,"Juntos",O1583=1,"Viuvo")</f>
        <v>Casado</v>
      </c>
      <c r="K1583" s="17">
        <v>0</v>
      </c>
      <c r="L1583" s="17">
        <v>1</v>
      </c>
      <c r="M1583" s="17">
        <v>0</v>
      </c>
      <c r="N1583" s="17">
        <v>0</v>
      </c>
      <c r="O1583" s="17">
        <v>0</v>
      </c>
      <c r="P1583" s="17">
        <v>0</v>
      </c>
      <c r="Q1583" s="17">
        <v>0</v>
      </c>
      <c r="R1583" s="17">
        <v>0</v>
      </c>
      <c r="S1583" s="17">
        <v>0</v>
      </c>
      <c r="T1583" s="17">
        <v>1</v>
      </c>
      <c r="U1583" s="17">
        <v>45</v>
      </c>
      <c r="V1583" s="13" t="str" cm="1">
        <f t="array" ref="V1583">_xlfn.IFS(U1583&lt;=250,"0-R$250",U1583&lt;=500,"251-R$500",U1583&lt;=750,"501-R$750",U1583&lt;=1000,"751-R$1000",U1583&lt;=1250,"1001-R$1250",U1583&lt;=1500,"1251-R$1500")</f>
        <v>0-R$250</v>
      </c>
      <c r="W1583" s="17">
        <v>3</v>
      </c>
      <c r="X1583" s="13" t="str" cm="1">
        <f t="array" ref="X1583">_xlfn.IFS(W1583 = 0, "0", W1583&lt;=20, "até R$20",W1583&lt;=40, "21 - R$40",W1583&lt;=60, "41- R$60",W1583&lt;=80, "61 - R$80", W1583&lt;=100, "81 - R$100",W1583&lt;=120, "101 - R$120",W1583&lt;=140, "121 - R$140", W1583&lt;=160, "141- R$160", W1583&lt;=180, "161 - R$180", W1583&lt;=200, "181-R$194")</f>
        <v>até R$20</v>
      </c>
      <c r="Y1583" s="17">
        <v>9</v>
      </c>
      <c r="Z1583" s="17">
        <v>4</v>
      </c>
      <c r="AA1583" s="17">
        <v>4</v>
      </c>
      <c r="AB1583" s="17">
        <v>7</v>
      </c>
      <c r="AC1583" s="17">
        <v>1</v>
      </c>
      <c r="AD1583" s="17">
        <v>1</v>
      </c>
      <c r="AE1583" s="17">
        <v>2</v>
      </c>
      <c r="AF1583" s="17">
        <v>2</v>
      </c>
      <c r="AG1583" s="17">
        <v>6</v>
      </c>
      <c r="AH1583" s="17">
        <v>0</v>
      </c>
      <c r="AI1583" s="17">
        <v>1</v>
      </c>
      <c r="AJ1583" s="17">
        <v>0</v>
      </c>
      <c r="AK1583" s="17">
        <v>0</v>
      </c>
      <c r="AL1583" s="17">
        <v>0</v>
      </c>
      <c r="AM1583" s="17">
        <v>0</v>
      </c>
      <c r="AN1583" s="17">
        <v>1</v>
      </c>
      <c r="AO1583" s="18">
        <v>1</v>
      </c>
      <c r="AP1583" s="17">
        <v>3</v>
      </c>
      <c r="AQ1583" s="17">
        <v>11</v>
      </c>
      <c r="AR1583" s="19">
        <v>58</v>
      </c>
      <c r="AS1583" s="19">
        <v>65</v>
      </c>
    </row>
    <row r="1584" spans="1:45" x14ac:dyDescent="0.25">
      <c r="A1584">
        <v>1639</v>
      </c>
      <c r="B1584" s="11">
        <f t="shared" si="24"/>
        <v>33996</v>
      </c>
      <c r="C1584" s="16">
        <v>339960</v>
      </c>
      <c r="D1584" s="17">
        <v>0</v>
      </c>
      <c r="E1584" s="17">
        <v>0</v>
      </c>
      <c r="F1584" s="17">
        <v>46</v>
      </c>
      <c r="G1584" s="17">
        <v>31</v>
      </c>
      <c r="H1584" s="13" t="str" cm="1">
        <f t="array" ref="H1584">_xlfn.IFS(G1584&lt;=20,"0-20",G1584&lt;=30,"20-30",G1584&lt;=40,"30-40",G1584&lt;=50,"50-60",G1584&lt;=60,"60-70",G1584&lt;=70,"70-80",G1584&lt;=80,"80-90")</f>
        <v>30-40</v>
      </c>
      <c r="I1584" s="17">
        <v>2450</v>
      </c>
      <c r="J1584" s="13" t="str" cm="1">
        <f t="array" ref="J1584">_xlfn.IFS(K1584=1,"Divorciado",L1584=1,"Casado",M1584=1,"Solteiro",N1584=1,"Juntos",O1584=1,"Viuvo")</f>
        <v>Solteiro</v>
      </c>
      <c r="K1584" s="17">
        <v>0</v>
      </c>
      <c r="L1584" s="17">
        <v>0</v>
      </c>
      <c r="M1584" s="17">
        <v>1</v>
      </c>
      <c r="N1584" s="17">
        <v>0</v>
      </c>
      <c r="O1584" s="17">
        <v>0</v>
      </c>
      <c r="P1584" s="17">
        <v>0</v>
      </c>
      <c r="Q1584" s="17">
        <v>0</v>
      </c>
      <c r="R1584" s="17">
        <v>0</v>
      </c>
      <c r="S1584" s="17">
        <v>0</v>
      </c>
      <c r="T1584" s="17">
        <v>1</v>
      </c>
      <c r="U1584" s="17">
        <v>40</v>
      </c>
      <c r="V1584" s="13" t="str" cm="1">
        <f t="array" ref="V1584">_xlfn.IFS(U1584&lt;=250,"0-R$250",U1584&lt;=500,"251-R$500",U1584&lt;=750,"501-R$750",U1584&lt;=1000,"751-R$1000",U1584&lt;=1250,"1001-R$1250",U1584&lt;=1500,"1251-R$1500")</f>
        <v>0-R$250</v>
      </c>
      <c r="W1584" s="17">
        <v>2</v>
      </c>
      <c r="X1584" s="13" t="str" cm="1">
        <f t="array" ref="X1584">_xlfn.IFS(W1584 = 0, "0", W1584&lt;=20, "até R$20",W1584&lt;=40, "21 - R$40",W1584&lt;=60, "41- R$60",W1584&lt;=80, "61 - R$80", W1584&lt;=100, "81 - R$100",W1584&lt;=120, "101 - R$120",W1584&lt;=140, "121 - R$140", W1584&lt;=160, "141- R$160", W1584&lt;=180, "161 - R$180", W1584&lt;=200, "181-R$194")</f>
        <v>até R$20</v>
      </c>
      <c r="Y1584" s="17">
        <v>15</v>
      </c>
      <c r="Z1584" s="17">
        <v>8</v>
      </c>
      <c r="AA1584" s="17">
        <v>0</v>
      </c>
      <c r="AB1584" s="17">
        <v>6</v>
      </c>
      <c r="AC1584" s="17">
        <v>1</v>
      </c>
      <c r="AD1584" s="17">
        <v>1</v>
      </c>
      <c r="AE1584" s="17">
        <v>1</v>
      </c>
      <c r="AF1584" s="17">
        <v>3</v>
      </c>
      <c r="AG1584" s="17">
        <v>4</v>
      </c>
      <c r="AH1584" s="17">
        <v>0</v>
      </c>
      <c r="AI1584" s="17">
        <v>0</v>
      </c>
      <c r="AJ1584" s="17">
        <v>0</v>
      </c>
      <c r="AK1584" s="17">
        <v>0</v>
      </c>
      <c r="AL1584" s="17">
        <v>0</v>
      </c>
      <c r="AM1584" s="17">
        <v>0</v>
      </c>
      <c r="AN1584" s="17">
        <v>0</v>
      </c>
      <c r="AO1584" s="18">
        <v>0</v>
      </c>
      <c r="AP1584" s="17">
        <v>3</v>
      </c>
      <c r="AQ1584" s="17">
        <v>11</v>
      </c>
      <c r="AR1584" s="19">
        <v>59</v>
      </c>
      <c r="AS1584" s="19">
        <v>65</v>
      </c>
    </row>
    <row r="1585" spans="1:45" x14ac:dyDescent="0.25">
      <c r="A1585">
        <v>1796</v>
      </c>
      <c r="B1585" s="11">
        <f t="shared" si="24"/>
        <v>44635</v>
      </c>
      <c r="C1585" s="12">
        <v>446350</v>
      </c>
      <c r="D1585" s="13">
        <v>1</v>
      </c>
      <c r="E1585" s="13">
        <v>1</v>
      </c>
      <c r="F1585" s="13">
        <v>25</v>
      </c>
      <c r="G1585" s="13">
        <v>49</v>
      </c>
      <c r="H1585" s="13" t="str" cm="1">
        <f t="array" ref="H1585">_xlfn.IFS(G1585&lt;=20,"0-20",G1585&lt;=30,"20-30",G1585&lt;=40,"30-40",G1585&lt;=50,"50-60",G1585&lt;=60,"60-70",G1585&lt;=70,"70-80",G1585&lt;=80,"80-90")</f>
        <v>50-60</v>
      </c>
      <c r="I1585" s="13">
        <v>2420</v>
      </c>
      <c r="J1585" s="13" t="str" cm="1">
        <f t="array" ref="J1585">_xlfn.IFS(K1585=1,"Divorciado",L1585=1,"Casado",M1585=1,"Solteiro",N1585=1,"Juntos",O1585=1,"Viuvo")</f>
        <v>Divorciado</v>
      </c>
      <c r="K1585" s="13">
        <v>1</v>
      </c>
      <c r="L1585" s="13">
        <v>0</v>
      </c>
      <c r="M1585" s="13">
        <v>0</v>
      </c>
      <c r="N1585" s="13">
        <v>0</v>
      </c>
      <c r="O1585" s="13">
        <v>0</v>
      </c>
      <c r="P1585" s="13">
        <v>0</v>
      </c>
      <c r="Q1585" s="13">
        <v>0</v>
      </c>
      <c r="R1585" s="13">
        <v>0</v>
      </c>
      <c r="S1585" s="13">
        <v>1</v>
      </c>
      <c r="T1585" s="13">
        <v>0</v>
      </c>
      <c r="U1585" s="13">
        <v>56</v>
      </c>
      <c r="V1585" s="13" t="str" cm="1">
        <f t="array" ref="V1585">_xlfn.IFS(U1585&lt;=250,"0-R$250",U1585&lt;=500,"251-R$500",U1585&lt;=750,"501-R$750",U1585&lt;=1000,"751-R$1000",U1585&lt;=1250,"1001-R$1250",U1585&lt;=1500,"1251-R$1500")</f>
        <v>0-R$250</v>
      </c>
      <c r="W1585" s="13">
        <v>0</v>
      </c>
      <c r="X1585" s="13" t="str" cm="1">
        <f t="array" ref="X1585">_xlfn.IFS(W1585 = 0, "0", W1585&lt;=20, "até R$20",W1585&lt;=40, "21 - R$40",W1585&lt;=60, "41- R$60",W1585&lt;=80, "61 - R$80", W1585&lt;=100, "81 - R$100",W1585&lt;=120, "101 - R$120",W1585&lt;=140, "121 - R$140", W1585&lt;=160, "141- R$160", W1585&lt;=180, "161 - R$180", W1585&lt;=200, "181-R$194")</f>
        <v>0</v>
      </c>
      <c r="Y1585" s="13">
        <v>9</v>
      </c>
      <c r="Z1585" s="13">
        <v>0</v>
      </c>
      <c r="AA1585" s="13">
        <v>0</v>
      </c>
      <c r="AB1585" s="13">
        <v>3</v>
      </c>
      <c r="AC1585" s="13">
        <v>2</v>
      </c>
      <c r="AD1585" s="13">
        <v>2</v>
      </c>
      <c r="AE1585" s="13">
        <v>0</v>
      </c>
      <c r="AF1585" s="13">
        <v>3</v>
      </c>
      <c r="AG1585" s="13">
        <v>7</v>
      </c>
      <c r="AH1585" s="13">
        <v>0</v>
      </c>
      <c r="AI1585" s="13">
        <v>0</v>
      </c>
      <c r="AJ1585" s="13">
        <v>0</v>
      </c>
      <c r="AK1585" s="13">
        <v>0</v>
      </c>
      <c r="AL1585" s="13">
        <v>0</v>
      </c>
      <c r="AM1585" s="13">
        <v>0</v>
      </c>
      <c r="AN1585" s="13">
        <v>0</v>
      </c>
      <c r="AO1585" s="14">
        <v>0</v>
      </c>
      <c r="AP1585" s="13">
        <v>3</v>
      </c>
      <c r="AQ1585" s="13">
        <v>11</v>
      </c>
      <c r="AR1585" s="15">
        <v>62</v>
      </c>
      <c r="AS1585" s="15">
        <v>65</v>
      </c>
    </row>
    <row r="1586" spans="1:45" x14ac:dyDescent="0.25">
      <c r="A1586">
        <v>1995</v>
      </c>
      <c r="B1586" s="11">
        <f t="shared" si="24"/>
        <v>28587</v>
      </c>
      <c r="C1586" s="16">
        <v>285870</v>
      </c>
      <c r="D1586" s="17">
        <v>1</v>
      </c>
      <c r="E1586" s="17">
        <v>0</v>
      </c>
      <c r="F1586" s="17">
        <v>42</v>
      </c>
      <c r="G1586" s="17">
        <v>42</v>
      </c>
      <c r="H1586" s="13" t="str" cm="1">
        <f t="array" ref="H1586">_xlfn.IFS(G1586&lt;=20,"0-20",G1586&lt;=30,"20-30",G1586&lt;=40,"30-40",G1586&lt;=50,"50-60",G1586&lt;=60,"60-70",G1586&lt;=70,"70-80",G1586&lt;=80,"80-90")</f>
        <v>50-60</v>
      </c>
      <c r="I1586" s="17">
        <v>2296</v>
      </c>
      <c r="J1586" s="13" t="str" cm="1">
        <f t="array" ref="J1586">_xlfn.IFS(K1586=1,"Divorciado",L1586=1,"Casado",M1586=1,"Solteiro",N1586=1,"Juntos",O1586=1,"Viuvo")</f>
        <v>Juntos</v>
      </c>
      <c r="K1586" s="17">
        <v>0</v>
      </c>
      <c r="L1586" s="17">
        <v>0</v>
      </c>
      <c r="M1586" s="17">
        <v>0</v>
      </c>
      <c r="N1586" s="17">
        <v>1</v>
      </c>
      <c r="O1586" s="17">
        <v>0</v>
      </c>
      <c r="P1586" s="17">
        <v>0</v>
      </c>
      <c r="Q1586" s="17">
        <v>0</v>
      </c>
      <c r="R1586" s="17">
        <v>1</v>
      </c>
      <c r="S1586" s="17">
        <v>0</v>
      </c>
      <c r="T1586" s="17">
        <v>0</v>
      </c>
      <c r="U1586" s="17">
        <v>22</v>
      </c>
      <c r="V1586" s="13" t="str" cm="1">
        <f t="array" ref="V1586">_xlfn.IFS(U1586&lt;=250,"0-R$250",U1586&lt;=500,"251-R$500",U1586&lt;=750,"501-R$750",U1586&lt;=1000,"751-R$1000",U1586&lt;=1250,"1001-R$1250",U1586&lt;=1500,"1251-R$1500")</f>
        <v>0-R$250</v>
      </c>
      <c r="W1586" s="17">
        <v>4</v>
      </c>
      <c r="X1586" s="13" t="str" cm="1">
        <f t="array" ref="X1586">_xlfn.IFS(W1586 = 0, "0", W1586&lt;=20, "até R$20",W1586&lt;=40, "21 - R$40",W1586&lt;=60, "41- R$60",W1586&lt;=80, "61 - R$80", W1586&lt;=100, "81 - R$100",W1586&lt;=120, "101 - R$120",W1586&lt;=140, "121 - R$140", W1586&lt;=160, "141- R$160", W1586&lt;=180, "161 - R$180", W1586&lt;=200, "181-R$194")</f>
        <v>até R$20</v>
      </c>
      <c r="Y1586" s="17">
        <v>17</v>
      </c>
      <c r="Z1586" s="17">
        <v>12</v>
      </c>
      <c r="AA1586" s="17">
        <v>10</v>
      </c>
      <c r="AB1586" s="17">
        <v>13</v>
      </c>
      <c r="AC1586" s="17">
        <v>3</v>
      </c>
      <c r="AD1586" s="17">
        <v>2</v>
      </c>
      <c r="AE1586" s="17">
        <v>0</v>
      </c>
      <c r="AF1586" s="17">
        <v>4</v>
      </c>
      <c r="AG1586" s="17">
        <v>6</v>
      </c>
      <c r="AH1586" s="17">
        <v>0</v>
      </c>
      <c r="AI1586" s="17">
        <v>0</v>
      </c>
      <c r="AJ1586" s="17">
        <v>0</v>
      </c>
      <c r="AK1586" s="17">
        <v>0</v>
      </c>
      <c r="AL1586" s="17">
        <v>0</v>
      </c>
      <c r="AM1586" s="17">
        <v>0</v>
      </c>
      <c r="AN1586" s="17">
        <v>0</v>
      </c>
      <c r="AO1586" s="18">
        <v>0</v>
      </c>
      <c r="AP1586" s="17">
        <v>3</v>
      </c>
      <c r="AQ1586" s="17">
        <v>11</v>
      </c>
      <c r="AR1586" s="19">
        <v>52</v>
      </c>
      <c r="AS1586" s="19">
        <v>65</v>
      </c>
    </row>
    <row r="1587" spans="1:45" x14ac:dyDescent="0.25">
      <c r="A1587">
        <v>178</v>
      </c>
      <c r="B1587" s="11">
        <f t="shared" si="24"/>
        <v>45759</v>
      </c>
      <c r="C1587" s="12">
        <v>457590</v>
      </c>
      <c r="D1587" s="13">
        <v>1</v>
      </c>
      <c r="E1587" s="13">
        <v>1</v>
      </c>
      <c r="F1587" s="13">
        <v>13</v>
      </c>
      <c r="G1587" s="13">
        <v>56</v>
      </c>
      <c r="H1587" s="13" t="str" cm="1">
        <f t="array" ref="H1587">_xlfn.IFS(G1587&lt;=20,"0-20",G1587&lt;=30,"20-30",G1587&lt;=40,"30-40",G1587&lt;=50,"50-60",G1587&lt;=60,"60-70",G1587&lt;=70,"70-80",G1587&lt;=80,"80-90")</f>
        <v>60-70</v>
      </c>
      <c r="I1587" s="13">
        <v>2650</v>
      </c>
      <c r="J1587" s="13" t="str" cm="1">
        <f t="array" ref="J1587">_xlfn.IFS(K1587=1,"Divorciado",L1587=1,"Casado",M1587=1,"Solteiro",N1587=1,"Juntos",O1587=1,"Viuvo")</f>
        <v>Casado</v>
      </c>
      <c r="K1587" s="13">
        <v>0</v>
      </c>
      <c r="L1587" s="13">
        <v>1</v>
      </c>
      <c r="M1587" s="13">
        <v>0</v>
      </c>
      <c r="N1587" s="13">
        <v>0</v>
      </c>
      <c r="O1587" s="13">
        <v>0</v>
      </c>
      <c r="P1587" s="13">
        <v>0</v>
      </c>
      <c r="Q1587" s="13">
        <v>0</v>
      </c>
      <c r="R1587" s="13">
        <v>0</v>
      </c>
      <c r="S1587" s="13">
        <v>0</v>
      </c>
      <c r="T1587" s="13">
        <v>1</v>
      </c>
      <c r="U1587" s="13">
        <v>42</v>
      </c>
      <c r="V1587" s="13" t="str" cm="1">
        <f t="array" ref="V1587">_xlfn.IFS(U1587&lt;=250,"0-R$250",U1587&lt;=500,"251-R$500",U1587&lt;=750,"501-R$750",U1587&lt;=1000,"751-R$1000",U1587&lt;=1250,"1001-R$1250",U1587&lt;=1500,"1251-R$1500")</f>
        <v>0-R$250</v>
      </c>
      <c r="W1587" s="13">
        <v>1</v>
      </c>
      <c r="X1587" s="13" t="str" cm="1">
        <f t="array" ref="X1587">_xlfn.IFS(W1587 = 0, "0", W1587&lt;=20, "até R$20",W1587&lt;=40, "21 - R$40",W1587&lt;=60, "41- R$60",W1587&lt;=80, "61 - R$80", W1587&lt;=100, "81 - R$100",W1587&lt;=120, "101 - R$120",W1587&lt;=140, "121 - R$140", W1587&lt;=160, "141- R$160", W1587&lt;=180, "161 - R$180", W1587&lt;=200, "181-R$194")</f>
        <v>até R$20</v>
      </c>
      <c r="Y1587" s="13">
        <v>18</v>
      </c>
      <c r="Z1587" s="13">
        <v>3</v>
      </c>
      <c r="AA1587" s="13">
        <v>0</v>
      </c>
      <c r="AB1587" s="13">
        <v>4</v>
      </c>
      <c r="AC1587" s="13">
        <v>2</v>
      </c>
      <c r="AD1587" s="13">
        <v>2</v>
      </c>
      <c r="AE1587" s="13">
        <v>0</v>
      </c>
      <c r="AF1587" s="13">
        <v>3</v>
      </c>
      <c r="AG1587" s="13">
        <v>7</v>
      </c>
      <c r="AH1587" s="13">
        <v>0</v>
      </c>
      <c r="AI1587" s="13">
        <v>0</v>
      </c>
      <c r="AJ1587" s="13">
        <v>0</v>
      </c>
      <c r="AK1587" s="13">
        <v>0</v>
      </c>
      <c r="AL1587" s="13">
        <v>0</v>
      </c>
      <c r="AM1587" s="13">
        <v>0</v>
      </c>
      <c r="AN1587" s="13">
        <v>0</v>
      </c>
      <c r="AO1587" s="14">
        <v>0</v>
      </c>
      <c r="AP1587" s="13">
        <v>3</v>
      </c>
      <c r="AQ1587" s="13">
        <v>11</v>
      </c>
      <c r="AR1587" s="15">
        <v>60</v>
      </c>
      <c r="AS1587" s="15">
        <v>64</v>
      </c>
    </row>
    <row r="1588" spans="1:45" x14ac:dyDescent="0.25">
      <c r="A1588">
        <v>574</v>
      </c>
      <c r="B1588" s="11">
        <f t="shared" si="24"/>
        <v>39684</v>
      </c>
      <c r="C1588" s="12">
        <v>396840</v>
      </c>
      <c r="D1588" s="13">
        <v>1</v>
      </c>
      <c r="E1588" s="13">
        <v>0</v>
      </c>
      <c r="F1588" s="13">
        <v>41</v>
      </c>
      <c r="G1588" s="13">
        <v>36</v>
      </c>
      <c r="H1588" s="13" t="str" cm="1">
        <f t="array" ref="H1588">_xlfn.IFS(G1588&lt;=20,"0-20",G1588&lt;=30,"20-30",G1588&lt;=40,"30-40",G1588&lt;=50,"50-60",G1588&lt;=60,"60-70",G1588&lt;=70,"70-80",G1588&lt;=80,"80-90")</f>
        <v>30-40</v>
      </c>
      <c r="I1588" s="13">
        <v>2784</v>
      </c>
      <c r="J1588" s="13" t="str" cm="1">
        <f t="array" ref="J1588">_xlfn.IFS(K1588=1,"Divorciado",L1588=1,"Casado",M1588=1,"Solteiro",N1588=1,"Juntos",O1588=1,"Viuvo")</f>
        <v>Solteiro</v>
      </c>
      <c r="K1588" s="13">
        <v>0</v>
      </c>
      <c r="L1588" s="13">
        <v>0</v>
      </c>
      <c r="M1588" s="13">
        <v>1</v>
      </c>
      <c r="N1588" s="13">
        <v>0</v>
      </c>
      <c r="O1588" s="13">
        <v>0</v>
      </c>
      <c r="P1588" s="13">
        <v>0</v>
      </c>
      <c r="Q1588" s="13">
        <v>0</v>
      </c>
      <c r="R1588" s="13">
        <v>0</v>
      </c>
      <c r="S1588" s="13">
        <v>0</v>
      </c>
      <c r="T1588" s="13">
        <v>1</v>
      </c>
      <c r="U1588" s="13">
        <v>19</v>
      </c>
      <c r="V1588" s="13" t="str" cm="1">
        <f t="array" ref="V1588">_xlfn.IFS(U1588&lt;=250,"0-R$250",U1588&lt;=500,"251-R$500",U1588&lt;=750,"501-R$750",U1588&lt;=1000,"751-R$1000",U1588&lt;=1250,"1001-R$1250",U1588&lt;=1500,"1251-R$1500")</f>
        <v>0-R$250</v>
      </c>
      <c r="W1588" s="13">
        <v>0</v>
      </c>
      <c r="X1588" s="13" t="str" cm="1">
        <f t="array" ref="X1588">_xlfn.IFS(W1588 = 0, "0", W1588&lt;=20, "até R$20",W1588&lt;=40, "21 - R$40",W1588&lt;=60, "41- R$60",W1588&lt;=80, "61 - R$80", W1588&lt;=100, "81 - R$100",W1588&lt;=120, "101 - R$120",W1588&lt;=140, "121 - R$140", W1588&lt;=160, "141- R$160", W1588&lt;=180, "161 - R$180", W1588&lt;=200, "181-R$194")</f>
        <v>0</v>
      </c>
      <c r="Y1588" s="13">
        <v>35</v>
      </c>
      <c r="Z1588" s="13">
        <v>6</v>
      </c>
      <c r="AA1588" s="13">
        <v>4</v>
      </c>
      <c r="AB1588" s="13">
        <v>17</v>
      </c>
      <c r="AC1588" s="13">
        <v>2</v>
      </c>
      <c r="AD1588" s="13">
        <v>2</v>
      </c>
      <c r="AE1588" s="13">
        <v>1</v>
      </c>
      <c r="AF1588" s="13">
        <v>2</v>
      </c>
      <c r="AG1588" s="13">
        <v>7</v>
      </c>
      <c r="AH1588" s="13">
        <v>1</v>
      </c>
      <c r="AI1588" s="13">
        <v>0</v>
      </c>
      <c r="AJ1588" s="13">
        <v>0</v>
      </c>
      <c r="AK1588" s="13">
        <v>0</v>
      </c>
      <c r="AL1588" s="13">
        <v>0</v>
      </c>
      <c r="AM1588" s="13">
        <v>0</v>
      </c>
      <c r="AN1588" s="13">
        <v>1</v>
      </c>
      <c r="AO1588" s="14">
        <v>0</v>
      </c>
      <c r="AP1588" s="13">
        <v>3</v>
      </c>
      <c r="AQ1588" s="13">
        <v>11</v>
      </c>
      <c r="AR1588" s="15">
        <v>47</v>
      </c>
      <c r="AS1588" s="15">
        <v>64</v>
      </c>
    </row>
    <row r="1589" spans="1:45" x14ac:dyDescent="0.25">
      <c r="A1589">
        <v>959</v>
      </c>
      <c r="B1589" s="11">
        <f t="shared" si="24"/>
        <v>35704</v>
      </c>
      <c r="C1589" s="16">
        <v>357040</v>
      </c>
      <c r="D1589" s="17">
        <v>1</v>
      </c>
      <c r="E1589" s="17">
        <v>1</v>
      </c>
      <c r="F1589" s="17">
        <v>54</v>
      </c>
      <c r="G1589" s="17">
        <v>68</v>
      </c>
      <c r="H1589" s="13" t="str" cm="1">
        <f t="array" ref="H1589">_xlfn.IFS(G1589&lt;=20,"0-20",G1589&lt;=30,"20-30",G1589&lt;=40,"30-40",G1589&lt;=50,"50-60",G1589&lt;=60,"60-70",G1589&lt;=70,"70-80",G1589&lt;=80,"80-90")</f>
        <v>70-80</v>
      </c>
      <c r="I1589" s="17">
        <v>2336</v>
      </c>
      <c r="J1589" s="13" t="str" cm="1">
        <f t="array" ref="J1589">_xlfn.IFS(K1589=1,"Divorciado",L1589=1,"Casado",M1589=1,"Solteiro",N1589=1,"Juntos",O1589=1,"Viuvo")</f>
        <v>Casado</v>
      </c>
      <c r="K1589" s="17">
        <v>0</v>
      </c>
      <c r="L1589" s="17">
        <v>1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1</v>
      </c>
      <c r="S1589" s="17">
        <v>0</v>
      </c>
      <c r="T1589" s="17">
        <v>0</v>
      </c>
      <c r="U1589" s="17">
        <v>30</v>
      </c>
      <c r="V1589" s="13" t="str" cm="1">
        <f t="array" ref="V1589">_xlfn.IFS(U1589&lt;=250,"0-R$250",U1589&lt;=500,"251-R$500",U1589&lt;=750,"501-R$750",U1589&lt;=1000,"751-R$1000",U1589&lt;=1250,"1001-R$1250",U1589&lt;=1500,"1251-R$1500")</f>
        <v>0-R$250</v>
      </c>
      <c r="W1589" s="17">
        <v>9</v>
      </c>
      <c r="X1589" s="13" t="str" cm="1">
        <f t="array" ref="X1589">_xlfn.IFS(W1589 = 0, "0", W1589&lt;=20, "até R$20",W1589&lt;=40, "21 - R$40",W1589&lt;=60, "41- R$60",W1589&lt;=80, "61 - R$80", W1589&lt;=100, "81 - R$100",W1589&lt;=120, "101 - R$120",W1589&lt;=140, "121 - R$140", W1589&lt;=160, "141- R$160", W1589&lt;=180, "161 - R$180", W1589&lt;=200, "181-R$194")</f>
        <v>até R$20</v>
      </c>
      <c r="Y1589" s="17">
        <v>12</v>
      </c>
      <c r="Z1589" s="17">
        <v>2</v>
      </c>
      <c r="AA1589" s="17">
        <v>11</v>
      </c>
      <c r="AB1589" s="17">
        <v>30</v>
      </c>
      <c r="AC1589" s="17">
        <v>3</v>
      </c>
      <c r="AD1589" s="17">
        <v>2</v>
      </c>
      <c r="AE1589" s="17">
        <v>0</v>
      </c>
      <c r="AF1589" s="17">
        <v>4</v>
      </c>
      <c r="AG1589" s="17">
        <v>4</v>
      </c>
      <c r="AH1589" s="17">
        <v>0</v>
      </c>
      <c r="AI1589" s="17">
        <v>0</v>
      </c>
      <c r="AJ1589" s="17">
        <v>0</v>
      </c>
      <c r="AK1589" s="17">
        <v>0</v>
      </c>
      <c r="AL1589" s="17">
        <v>0</v>
      </c>
      <c r="AM1589" s="17">
        <v>0</v>
      </c>
      <c r="AN1589" s="17">
        <v>0</v>
      </c>
      <c r="AO1589" s="18">
        <v>0</v>
      </c>
      <c r="AP1589" s="17">
        <v>3</v>
      </c>
      <c r="AQ1589" s="17">
        <v>11</v>
      </c>
      <c r="AR1589" s="19">
        <v>34</v>
      </c>
      <c r="AS1589" s="19">
        <v>64</v>
      </c>
    </row>
    <row r="1590" spans="1:45" x14ac:dyDescent="0.25">
      <c r="A1590">
        <v>1004</v>
      </c>
      <c r="B1590" s="11">
        <f t="shared" si="24"/>
        <v>33564</v>
      </c>
      <c r="C1590" s="12">
        <v>335640</v>
      </c>
      <c r="D1590" s="13">
        <v>0</v>
      </c>
      <c r="E1590" s="13">
        <v>1</v>
      </c>
      <c r="F1590" s="13">
        <v>51</v>
      </c>
      <c r="G1590" s="13">
        <v>54</v>
      </c>
      <c r="H1590" s="13" t="str" cm="1">
        <f t="array" ref="H1590">_xlfn.IFS(G1590&lt;=20,"0-20",G1590&lt;=30,"20-30",G1590&lt;=40,"30-40",G1590&lt;=50,"50-60",G1590&lt;=60,"60-70",G1590&lt;=70,"70-80",G1590&lt;=80,"80-90")</f>
        <v>60-70</v>
      </c>
      <c r="I1590" s="13">
        <v>2164</v>
      </c>
      <c r="J1590" s="13" t="str" cm="1">
        <f t="array" ref="J1590">_xlfn.IFS(K1590=1,"Divorciado",L1590=1,"Casado",M1590=1,"Solteiro",N1590=1,"Juntos",O1590=1,"Viuvo")</f>
        <v>Juntos</v>
      </c>
      <c r="K1590" s="13">
        <v>0</v>
      </c>
      <c r="L1590" s="13">
        <v>0</v>
      </c>
      <c r="M1590" s="13">
        <v>0</v>
      </c>
      <c r="N1590" s="13">
        <v>1</v>
      </c>
      <c r="O1590" s="13">
        <v>0</v>
      </c>
      <c r="P1590" s="13">
        <v>0</v>
      </c>
      <c r="Q1590" s="13">
        <v>0</v>
      </c>
      <c r="R1590" s="13">
        <v>0</v>
      </c>
      <c r="S1590" s="13">
        <v>1</v>
      </c>
      <c r="T1590" s="13">
        <v>0</v>
      </c>
      <c r="U1590" s="13">
        <v>61</v>
      </c>
      <c r="V1590" s="13" t="str" cm="1">
        <f t="array" ref="V1590">_xlfn.IFS(U1590&lt;=250,"0-R$250",U1590&lt;=500,"251-R$500",U1590&lt;=750,"501-R$750",U1590&lt;=1000,"751-R$1000",U1590&lt;=1250,"1001-R$1250",U1590&lt;=1500,"1251-R$1500")</f>
        <v>0-R$250</v>
      </c>
      <c r="W1590" s="13">
        <v>0</v>
      </c>
      <c r="X1590" s="13" t="str" cm="1">
        <f t="array" ref="X1590">_xlfn.IFS(W1590 = 0, "0", W1590&lt;=20, "até R$20",W1590&lt;=40, "21 - R$40",W1590&lt;=60, "41- R$60",W1590&lt;=80, "61 - R$80", W1590&lt;=100, "81 - R$100",W1590&lt;=120, "101 - R$120",W1590&lt;=140, "121 - R$140", W1590&lt;=160, "141- R$160", W1590&lt;=180, "161 - R$180", W1590&lt;=200, "181-R$194")</f>
        <v>0</v>
      </c>
      <c r="Y1590" s="13">
        <v>3</v>
      </c>
      <c r="Z1590" s="13">
        <v>0</v>
      </c>
      <c r="AA1590" s="13">
        <v>0</v>
      </c>
      <c r="AB1590" s="13">
        <v>7</v>
      </c>
      <c r="AC1590" s="13">
        <v>1</v>
      </c>
      <c r="AD1590" s="13">
        <v>1</v>
      </c>
      <c r="AE1590" s="13">
        <v>1</v>
      </c>
      <c r="AF1590" s="13">
        <v>3</v>
      </c>
      <c r="AG1590" s="13">
        <v>5</v>
      </c>
      <c r="AH1590" s="13">
        <v>0</v>
      </c>
      <c r="AI1590" s="13">
        <v>0</v>
      </c>
      <c r="AJ1590" s="13">
        <v>0</v>
      </c>
      <c r="AK1590" s="13">
        <v>0</v>
      </c>
      <c r="AL1590" s="13">
        <v>0</v>
      </c>
      <c r="AM1590" s="13">
        <v>0</v>
      </c>
      <c r="AN1590" s="13">
        <v>0</v>
      </c>
      <c r="AO1590" s="14">
        <v>0</v>
      </c>
      <c r="AP1590" s="13">
        <v>3</v>
      </c>
      <c r="AQ1590" s="13">
        <v>11</v>
      </c>
      <c r="AR1590" s="15">
        <v>57</v>
      </c>
      <c r="AS1590" s="15">
        <v>64</v>
      </c>
    </row>
    <row r="1591" spans="1:45" x14ac:dyDescent="0.25">
      <c r="A1591">
        <v>1875</v>
      </c>
      <c r="B1591" s="11">
        <f t="shared" si="24"/>
        <v>45759</v>
      </c>
      <c r="C1591" s="16">
        <v>457590</v>
      </c>
      <c r="D1591" s="17">
        <v>1</v>
      </c>
      <c r="E1591" s="17">
        <v>1</v>
      </c>
      <c r="F1591" s="17">
        <v>13</v>
      </c>
      <c r="G1591" s="17">
        <v>56</v>
      </c>
      <c r="H1591" s="13" t="str" cm="1">
        <f t="array" ref="H1591">_xlfn.IFS(G1591&lt;=20,"0-20",G1591&lt;=30,"20-30",G1591&lt;=40,"30-40",G1591&lt;=50,"50-60",G1591&lt;=60,"60-70",G1591&lt;=70,"70-80",G1591&lt;=80,"80-90")</f>
        <v>60-70</v>
      </c>
      <c r="I1591" s="17">
        <v>2650</v>
      </c>
      <c r="J1591" s="13" t="str" cm="1">
        <f t="array" ref="J1591">_xlfn.IFS(K1591=1,"Divorciado",L1591=1,"Casado",M1591=1,"Solteiro",N1591=1,"Juntos",O1591=1,"Viuvo")</f>
        <v>Casado</v>
      </c>
      <c r="K1591" s="17">
        <v>0</v>
      </c>
      <c r="L1591" s="17">
        <v>1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1</v>
      </c>
      <c r="U1591" s="17">
        <v>42</v>
      </c>
      <c r="V1591" s="13" t="str" cm="1">
        <f t="array" ref="V1591">_xlfn.IFS(U1591&lt;=250,"0-R$250",U1591&lt;=500,"251-R$500",U1591&lt;=750,"501-R$750",U1591&lt;=1000,"751-R$1000",U1591&lt;=1250,"1001-R$1250",U1591&lt;=1500,"1251-R$1500")</f>
        <v>0-R$250</v>
      </c>
      <c r="W1591" s="17">
        <v>1</v>
      </c>
      <c r="X1591" s="13" t="str" cm="1">
        <f t="array" ref="X1591">_xlfn.IFS(W1591 = 0, "0", W1591&lt;=20, "até R$20",W1591&lt;=40, "21 - R$40",W1591&lt;=60, "41- R$60",W1591&lt;=80, "61 - R$80", W1591&lt;=100, "81 - R$100",W1591&lt;=120, "101 - R$120",W1591&lt;=140, "121 - R$140", W1591&lt;=160, "141- R$160", W1591&lt;=180, "161 - R$180", W1591&lt;=200, "181-R$194")</f>
        <v>até R$20</v>
      </c>
      <c r="Y1591" s="17">
        <v>18</v>
      </c>
      <c r="Z1591" s="17">
        <v>3</v>
      </c>
      <c r="AA1591" s="17">
        <v>0</v>
      </c>
      <c r="AB1591" s="17">
        <v>4</v>
      </c>
      <c r="AC1591" s="17">
        <v>2</v>
      </c>
      <c r="AD1591" s="17">
        <v>2</v>
      </c>
      <c r="AE1591" s="17">
        <v>0</v>
      </c>
      <c r="AF1591" s="17">
        <v>3</v>
      </c>
      <c r="AG1591" s="17">
        <v>7</v>
      </c>
      <c r="AH1591" s="17">
        <v>0</v>
      </c>
      <c r="AI1591" s="17">
        <v>0</v>
      </c>
      <c r="AJ1591" s="17">
        <v>0</v>
      </c>
      <c r="AK1591" s="17">
        <v>0</v>
      </c>
      <c r="AL1591" s="17">
        <v>0</v>
      </c>
      <c r="AM1591" s="17">
        <v>0</v>
      </c>
      <c r="AN1591" s="17">
        <v>0</v>
      </c>
      <c r="AO1591" s="18">
        <v>0</v>
      </c>
      <c r="AP1591" s="17">
        <v>3</v>
      </c>
      <c r="AQ1591" s="17">
        <v>11</v>
      </c>
      <c r="AR1591" s="19">
        <v>60</v>
      </c>
      <c r="AS1591" s="19">
        <v>64</v>
      </c>
    </row>
    <row r="1592" spans="1:45" x14ac:dyDescent="0.25">
      <c r="A1592">
        <v>1882</v>
      </c>
      <c r="B1592" s="11">
        <f t="shared" si="24"/>
        <v>33235</v>
      </c>
      <c r="C1592" s="12">
        <v>332350</v>
      </c>
      <c r="D1592" s="13">
        <v>1</v>
      </c>
      <c r="E1592" s="13">
        <v>0</v>
      </c>
      <c r="F1592" s="13">
        <v>71</v>
      </c>
      <c r="G1592" s="13">
        <v>34</v>
      </c>
      <c r="H1592" s="13" t="str" cm="1">
        <f t="array" ref="H1592">_xlfn.IFS(G1592&lt;=20,"0-20",G1592&lt;=30,"20-30",G1592&lt;=40,"30-40",G1592&lt;=50,"50-60",G1592&lt;=60,"60-70",G1592&lt;=70,"70-80",G1592&lt;=80,"80-90")</f>
        <v>30-40</v>
      </c>
      <c r="I1592" s="13">
        <v>2303</v>
      </c>
      <c r="J1592" s="13" t="str" cm="1">
        <f t="array" ref="J1592">_xlfn.IFS(K1592=1,"Divorciado",L1592=1,"Casado",M1592=1,"Solteiro",N1592=1,"Juntos",O1592=1,"Viuvo")</f>
        <v>Juntos</v>
      </c>
      <c r="K1592" s="13">
        <v>0</v>
      </c>
      <c r="L1592" s="13">
        <v>0</v>
      </c>
      <c r="M1592" s="13">
        <v>0</v>
      </c>
      <c r="N1592" s="13">
        <v>1</v>
      </c>
      <c r="O1592" s="13">
        <v>0</v>
      </c>
      <c r="P1592" s="13">
        <v>0</v>
      </c>
      <c r="Q1592" s="13">
        <v>0</v>
      </c>
      <c r="R1592" s="13">
        <v>1</v>
      </c>
      <c r="S1592" s="13">
        <v>0</v>
      </c>
      <c r="T1592" s="13">
        <v>0</v>
      </c>
      <c r="U1592" s="13">
        <v>45</v>
      </c>
      <c r="V1592" s="13" t="str" cm="1">
        <f t="array" ref="V1592">_xlfn.IFS(U1592&lt;=250,"0-R$250",U1592&lt;=500,"251-R$500",U1592&lt;=750,"501-R$750",U1592&lt;=1000,"751-R$1000",U1592&lt;=1250,"1001-R$1250",U1592&lt;=1500,"1251-R$1500")</f>
        <v>0-R$250</v>
      </c>
      <c r="W1592" s="13">
        <v>0</v>
      </c>
      <c r="X1592" s="13" t="str" cm="1">
        <f t="array" ref="X1592">_xlfn.IFS(W1592 = 0, "0", W1592&lt;=20, "até R$20",W1592&lt;=40, "21 - R$40",W1592&lt;=60, "41- R$60",W1592&lt;=80, "61 - R$80", W1592&lt;=100, "81 - R$100",W1592&lt;=120, "101 - R$120",W1592&lt;=140, "121 - R$140", W1592&lt;=160, "141- R$160", W1592&lt;=180, "161 - R$180", W1592&lt;=200, "181-R$194")</f>
        <v>0</v>
      </c>
      <c r="Y1592" s="13">
        <v>16</v>
      </c>
      <c r="Z1592" s="13">
        <v>2</v>
      </c>
      <c r="AA1592" s="13">
        <v>1</v>
      </c>
      <c r="AB1592" s="13">
        <v>6</v>
      </c>
      <c r="AC1592" s="13">
        <v>1</v>
      </c>
      <c r="AD1592" s="13">
        <v>3</v>
      </c>
      <c r="AE1592" s="13">
        <v>0</v>
      </c>
      <c r="AF1592" s="13">
        <v>3</v>
      </c>
      <c r="AG1592" s="13">
        <v>7</v>
      </c>
      <c r="AH1592" s="13">
        <v>0</v>
      </c>
      <c r="AI1592" s="13">
        <v>0</v>
      </c>
      <c r="AJ1592" s="13">
        <v>0</v>
      </c>
      <c r="AK1592" s="13">
        <v>0</v>
      </c>
      <c r="AL1592" s="13">
        <v>0</v>
      </c>
      <c r="AM1592" s="13">
        <v>0</v>
      </c>
      <c r="AN1592" s="13">
        <v>0</v>
      </c>
      <c r="AO1592" s="14">
        <v>0</v>
      </c>
      <c r="AP1592" s="13">
        <v>3</v>
      </c>
      <c r="AQ1592" s="13">
        <v>11</v>
      </c>
      <c r="AR1592" s="15">
        <v>58</v>
      </c>
      <c r="AS1592" s="15">
        <v>64</v>
      </c>
    </row>
    <row r="1593" spans="1:45" x14ac:dyDescent="0.25">
      <c r="A1593">
        <v>1996</v>
      </c>
      <c r="B1593" s="11">
        <f t="shared" si="24"/>
        <v>43815</v>
      </c>
      <c r="C1593" s="12">
        <v>438150</v>
      </c>
      <c r="D1593" s="13">
        <v>1</v>
      </c>
      <c r="E1593" s="13">
        <v>0</v>
      </c>
      <c r="F1593" s="13">
        <v>53</v>
      </c>
      <c r="G1593" s="13">
        <v>38</v>
      </c>
      <c r="H1593" s="13" t="str" cm="1">
        <f t="array" ref="H1593">_xlfn.IFS(G1593&lt;=20,"0-20",G1593&lt;=30,"20-30",G1593&lt;=40,"30-40",G1593&lt;=50,"50-60",G1593&lt;=60,"60-70",G1593&lt;=70,"70-80",G1593&lt;=80,"80-90")</f>
        <v>30-40</v>
      </c>
      <c r="I1593" s="13">
        <v>2609</v>
      </c>
      <c r="J1593" s="13" t="str" cm="1">
        <f t="array" ref="J1593">_xlfn.IFS(K1593=1,"Divorciado",L1593=1,"Casado",M1593=1,"Solteiro",N1593=1,"Juntos",O1593=1,"Viuvo")</f>
        <v>Casado</v>
      </c>
      <c r="K1593" s="13">
        <v>0</v>
      </c>
      <c r="L1593" s="13">
        <v>1</v>
      </c>
      <c r="M1593" s="13">
        <v>0</v>
      </c>
      <c r="N1593" s="13">
        <v>0</v>
      </c>
      <c r="O1593" s="13">
        <v>0</v>
      </c>
      <c r="P1593" s="13">
        <v>0</v>
      </c>
      <c r="Q1593" s="13">
        <v>0</v>
      </c>
      <c r="R1593" s="13">
        <v>0</v>
      </c>
      <c r="S1593" s="13">
        <v>1</v>
      </c>
      <c r="T1593" s="13">
        <v>0</v>
      </c>
      <c r="U1593" s="13">
        <v>14</v>
      </c>
      <c r="V1593" s="13" t="str" cm="1">
        <f t="array" ref="V1593">_xlfn.IFS(U1593&lt;=250,"0-R$250",U1593&lt;=500,"251-R$500",U1593&lt;=750,"501-R$750",U1593&lt;=1000,"751-R$1000",U1593&lt;=1250,"1001-R$1250",U1593&lt;=1500,"1251-R$1500")</f>
        <v>0-R$250</v>
      </c>
      <c r="W1593" s="13">
        <v>10</v>
      </c>
      <c r="X1593" s="13" t="str" cm="1">
        <f t="array" ref="X1593">_xlfn.IFS(W1593 = 0, "0", W1593&lt;=20, "até R$20",W1593&lt;=40, "21 - R$40",W1593&lt;=60, "41- R$60",W1593&lt;=80, "61 - R$80", W1593&lt;=100, "81 - R$100",W1593&lt;=120, "101 - R$120",W1593&lt;=140, "121 - R$140", W1593&lt;=160, "141- R$160", W1593&lt;=180, "161 - R$180", W1593&lt;=200, "181-R$194")</f>
        <v>até R$20</v>
      </c>
      <c r="Y1593" s="13">
        <v>29</v>
      </c>
      <c r="Z1593" s="13">
        <v>4</v>
      </c>
      <c r="AA1593" s="13">
        <v>7</v>
      </c>
      <c r="AB1593" s="13">
        <v>15</v>
      </c>
      <c r="AC1593" s="13">
        <v>1</v>
      </c>
      <c r="AD1593" s="13">
        <v>2</v>
      </c>
      <c r="AE1593" s="13">
        <v>0</v>
      </c>
      <c r="AF1593" s="13">
        <v>3</v>
      </c>
      <c r="AG1593" s="13">
        <v>6</v>
      </c>
      <c r="AH1593" s="13">
        <v>0</v>
      </c>
      <c r="AI1593" s="13">
        <v>0</v>
      </c>
      <c r="AJ1593" s="13">
        <v>0</v>
      </c>
      <c r="AK1593" s="13">
        <v>0</v>
      </c>
      <c r="AL1593" s="13">
        <v>0</v>
      </c>
      <c r="AM1593" s="13">
        <v>0</v>
      </c>
      <c r="AN1593" s="13">
        <v>0</v>
      </c>
      <c r="AO1593" s="14">
        <v>0</v>
      </c>
      <c r="AP1593" s="13">
        <v>3</v>
      </c>
      <c r="AQ1593" s="13">
        <v>11</v>
      </c>
      <c r="AR1593" s="15">
        <v>49</v>
      </c>
      <c r="AS1593" s="15">
        <v>64</v>
      </c>
    </row>
    <row r="1594" spans="1:45" x14ac:dyDescent="0.25">
      <c r="A1594">
        <v>2093</v>
      </c>
      <c r="B1594" s="11">
        <f t="shared" si="24"/>
        <v>50116</v>
      </c>
      <c r="C1594" s="16">
        <v>501160</v>
      </c>
      <c r="D1594" s="17">
        <v>1</v>
      </c>
      <c r="E1594" s="17">
        <v>1</v>
      </c>
      <c r="F1594" s="17">
        <v>68</v>
      </c>
      <c r="G1594" s="17">
        <v>63</v>
      </c>
      <c r="H1594" s="13" t="str" cm="1">
        <f t="array" ref="H1594">_xlfn.IFS(G1594&lt;=20,"0-20",G1594&lt;=30,"20-30",G1594&lt;=40,"30-40",G1594&lt;=50,"50-60",G1594&lt;=60,"60-70",G1594&lt;=70,"70-80",G1594&lt;=80,"80-90")</f>
        <v>70-80</v>
      </c>
      <c r="I1594" s="17">
        <v>2168</v>
      </c>
      <c r="J1594" s="13" t="str" cm="1">
        <f t="array" ref="J1594">_xlfn.IFS(K1594=1,"Divorciado",L1594=1,"Casado",M1594=1,"Solteiro",N1594=1,"Juntos",O1594=1,"Viuvo")</f>
        <v>Juntos</v>
      </c>
      <c r="K1594" s="17">
        <v>0</v>
      </c>
      <c r="L1594" s="17">
        <v>0</v>
      </c>
      <c r="M1594" s="17">
        <v>0</v>
      </c>
      <c r="N1594" s="17">
        <v>1</v>
      </c>
      <c r="O1594" s="17">
        <v>0</v>
      </c>
      <c r="P1594" s="17">
        <v>0</v>
      </c>
      <c r="Q1594" s="17">
        <v>0</v>
      </c>
      <c r="R1594" s="17">
        <v>1</v>
      </c>
      <c r="S1594" s="17">
        <v>0</v>
      </c>
      <c r="T1594" s="17">
        <v>0</v>
      </c>
      <c r="U1594" s="17">
        <v>54</v>
      </c>
      <c r="V1594" s="13" t="str" cm="1">
        <f t="array" ref="V1594">_xlfn.IFS(U1594&lt;=250,"0-R$250",U1594&lt;=500,"251-R$500",U1594&lt;=750,"501-R$750",U1594&lt;=1000,"751-R$1000",U1594&lt;=1250,"1001-R$1250",U1594&lt;=1500,"1251-R$1500")</f>
        <v>0-R$250</v>
      </c>
      <c r="W1594" s="17">
        <v>0</v>
      </c>
      <c r="X1594" s="13" t="str" cm="1">
        <f t="array" ref="X1594">_xlfn.IFS(W1594 = 0, "0", W1594&lt;=20, "até R$20",W1594&lt;=40, "21 - R$40",W1594&lt;=60, "41- R$60",W1594&lt;=80, "61 - R$80", W1594&lt;=100, "81 - R$100",W1594&lt;=120, "101 - R$120",W1594&lt;=140, "121 - R$140", W1594&lt;=160, "141- R$160", W1594&lt;=180, "161 - R$180", W1594&lt;=200, "181-R$194")</f>
        <v>0</v>
      </c>
      <c r="Y1594" s="17">
        <v>10</v>
      </c>
      <c r="Z1594" s="17">
        <v>0</v>
      </c>
      <c r="AA1594" s="17">
        <v>0</v>
      </c>
      <c r="AB1594" s="17">
        <v>2</v>
      </c>
      <c r="AC1594" s="17">
        <v>2</v>
      </c>
      <c r="AD1594" s="17">
        <v>1</v>
      </c>
      <c r="AE1594" s="17">
        <v>0</v>
      </c>
      <c r="AF1594" s="17">
        <v>4</v>
      </c>
      <c r="AG1594" s="17">
        <v>5</v>
      </c>
      <c r="AH1594" s="17">
        <v>0</v>
      </c>
      <c r="AI1594" s="17">
        <v>0</v>
      </c>
      <c r="AJ1594" s="17">
        <v>1</v>
      </c>
      <c r="AK1594" s="17">
        <v>0</v>
      </c>
      <c r="AL1594" s="17">
        <v>0</v>
      </c>
      <c r="AM1594" s="17">
        <v>0</v>
      </c>
      <c r="AN1594" s="17">
        <v>0</v>
      </c>
      <c r="AO1594" s="18">
        <v>1</v>
      </c>
      <c r="AP1594" s="17">
        <v>3</v>
      </c>
      <c r="AQ1594" s="17">
        <v>11</v>
      </c>
      <c r="AR1594" s="19">
        <v>62</v>
      </c>
      <c r="AS1594" s="19">
        <v>64</v>
      </c>
    </row>
    <row r="1595" spans="1:45" x14ac:dyDescent="0.25">
      <c r="A1595">
        <v>37</v>
      </c>
      <c r="B1595" s="11">
        <f t="shared" si="24"/>
        <v>42429</v>
      </c>
      <c r="C1595" s="16">
        <v>424290</v>
      </c>
      <c r="D1595" s="17">
        <v>0</v>
      </c>
      <c r="E1595" s="17">
        <v>1</v>
      </c>
      <c r="F1595" s="17">
        <v>99</v>
      </c>
      <c r="G1595" s="17">
        <v>47</v>
      </c>
      <c r="H1595" s="13" t="str" cm="1">
        <f t="array" ref="H1595">_xlfn.IFS(G1595&lt;=20,"0-20",G1595&lt;=30,"20-30",G1595&lt;=40,"30-40",G1595&lt;=50,"50-60",G1595&lt;=60,"60-70",G1595&lt;=70,"70-80",G1595&lt;=80,"80-90")</f>
        <v>50-60</v>
      </c>
      <c r="I1595" s="17">
        <v>2297</v>
      </c>
      <c r="J1595" s="13" t="str" cm="1">
        <f t="array" ref="J1595">_xlfn.IFS(K1595=1,"Divorciado",L1595=1,"Casado",M1595=1,"Solteiro",N1595=1,"Juntos",O1595=1,"Viuvo")</f>
        <v>Viuvo</v>
      </c>
      <c r="K1595" s="17">
        <v>0</v>
      </c>
      <c r="L1595" s="17">
        <v>0</v>
      </c>
      <c r="M1595" s="17">
        <v>0</v>
      </c>
      <c r="N1595" s="17">
        <v>0</v>
      </c>
      <c r="O1595" s="17">
        <v>1</v>
      </c>
      <c r="P1595" s="17">
        <v>0</v>
      </c>
      <c r="Q1595" s="17">
        <v>0</v>
      </c>
      <c r="R1595" s="17">
        <v>1</v>
      </c>
      <c r="S1595" s="17">
        <v>0</v>
      </c>
      <c r="T1595" s="17">
        <v>0</v>
      </c>
      <c r="U1595" s="17">
        <v>55</v>
      </c>
      <c r="V1595" s="13" t="str" cm="1">
        <f t="array" ref="V1595">_xlfn.IFS(U1595&lt;=250,"0-R$250",U1595&lt;=500,"251-R$500",U1595&lt;=750,"501-R$750",U1595&lt;=1000,"751-R$1000",U1595&lt;=1250,"1001-R$1250",U1595&lt;=1500,"1251-R$1500")</f>
        <v>0-R$250</v>
      </c>
      <c r="W1595" s="17">
        <v>0</v>
      </c>
      <c r="X1595" s="13" t="str" cm="1">
        <f t="array" ref="X1595">_xlfn.IFS(W1595 = 0, "0", W1595&lt;=20, "até R$20",W1595&lt;=40, "21 - R$40",W1595&lt;=60, "41- R$60",W1595&lt;=80, "61 - R$80", W1595&lt;=100, "81 - R$100",W1595&lt;=120, "101 - R$120",W1595&lt;=140, "121 - R$140", W1595&lt;=160, "141- R$160", W1595&lt;=180, "161 - R$180", W1595&lt;=200, "181-R$194")</f>
        <v>0</v>
      </c>
      <c r="Y1595" s="17">
        <v>6</v>
      </c>
      <c r="Z1595" s="17">
        <v>2</v>
      </c>
      <c r="AA1595" s="17">
        <v>0</v>
      </c>
      <c r="AB1595" s="17">
        <v>4</v>
      </c>
      <c r="AC1595" s="17">
        <v>2</v>
      </c>
      <c r="AD1595" s="17">
        <v>1</v>
      </c>
      <c r="AE1595" s="17">
        <v>1</v>
      </c>
      <c r="AF1595" s="17">
        <v>3</v>
      </c>
      <c r="AG1595" s="17">
        <v>5</v>
      </c>
      <c r="AH1595" s="17">
        <v>0</v>
      </c>
      <c r="AI1595" s="17">
        <v>0</v>
      </c>
      <c r="AJ1595" s="17">
        <v>0</v>
      </c>
      <c r="AK1595" s="17">
        <v>0</v>
      </c>
      <c r="AL1595" s="17">
        <v>0</v>
      </c>
      <c r="AM1595" s="17">
        <v>0</v>
      </c>
      <c r="AN1595" s="17">
        <v>0</v>
      </c>
      <c r="AO1595" s="18">
        <v>0</v>
      </c>
      <c r="AP1595" s="17">
        <v>3</v>
      </c>
      <c r="AQ1595" s="17">
        <v>11</v>
      </c>
      <c r="AR1595" s="19">
        <v>59</v>
      </c>
      <c r="AS1595" s="19">
        <v>63</v>
      </c>
    </row>
    <row r="1596" spans="1:45" x14ac:dyDescent="0.25">
      <c r="A1596">
        <v>590</v>
      </c>
      <c r="B1596" s="11">
        <f t="shared" si="24"/>
        <v>42429</v>
      </c>
      <c r="C1596" s="12">
        <v>424290</v>
      </c>
      <c r="D1596" s="13">
        <v>0</v>
      </c>
      <c r="E1596" s="13">
        <v>1</v>
      </c>
      <c r="F1596" s="13">
        <v>99</v>
      </c>
      <c r="G1596" s="13">
        <v>47</v>
      </c>
      <c r="H1596" s="13" t="str" cm="1">
        <f t="array" ref="H1596">_xlfn.IFS(G1596&lt;=20,"0-20",G1596&lt;=30,"20-30",G1596&lt;=40,"30-40",G1596&lt;=50,"50-60",G1596&lt;=60,"60-70",G1596&lt;=70,"70-80",G1596&lt;=80,"80-90")</f>
        <v>50-60</v>
      </c>
      <c r="I1596" s="13">
        <v>2297</v>
      </c>
      <c r="J1596" s="13" t="str" cm="1">
        <f t="array" ref="J1596">_xlfn.IFS(K1596=1,"Divorciado",L1596=1,"Casado",M1596=1,"Solteiro",N1596=1,"Juntos",O1596=1,"Viuvo")</f>
        <v>Viuvo</v>
      </c>
      <c r="K1596" s="13">
        <v>0</v>
      </c>
      <c r="L1596" s="13">
        <v>0</v>
      </c>
      <c r="M1596" s="13">
        <v>0</v>
      </c>
      <c r="N1596" s="13">
        <v>0</v>
      </c>
      <c r="O1596" s="13">
        <v>1</v>
      </c>
      <c r="P1596" s="13">
        <v>0</v>
      </c>
      <c r="Q1596" s="13">
        <v>0</v>
      </c>
      <c r="R1596" s="13">
        <v>1</v>
      </c>
      <c r="S1596" s="13">
        <v>0</v>
      </c>
      <c r="T1596" s="13">
        <v>0</v>
      </c>
      <c r="U1596" s="13">
        <v>55</v>
      </c>
      <c r="V1596" s="13" t="str" cm="1">
        <f t="array" ref="V1596">_xlfn.IFS(U1596&lt;=250,"0-R$250",U1596&lt;=500,"251-R$500",U1596&lt;=750,"501-R$750",U1596&lt;=1000,"751-R$1000",U1596&lt;=1250,"1001-R$1250",U1596&lt;=1500,"1251-R$1500")</f>
        <v>0-R$250</v>
      </c>
      <c r="W1596" s="13">
        <v>0</v>
      </c>
      <c r="X1596" s="13" t="str" cm="1">
        <f t="array" ref="X1596">_xlfn.IFS(W1596 = 0, "0", W1596&lt;=20, "até R$20",W1596&lt;=40, "21 - R$40",W1596&lt;=60, "41- R$60",W1596&lt;=80, "61 - R$80", W1596&lt;=100, "81 - R$100",W1596&lt;=120, "101 - R$120",W1596&lt;=140, "121 - R$140", W1596&lt;=160, "141- R$160", W1596&lt;=180, "161 - R$180", W1596&lt;=200, "181-R$194")</f>
        <v>0</v>
      </c>
      <c r="Y1596" s="13">
        <v>6</v>
      </c>
      <c r="Z1596" s="13">
        <v>2</v>
      </c>
      <c r="AA1596" s="13">
        <v>0</v>
      </c>
      <c r="AB1596" s="13">
        <v>4</v>
      </c>
      <c r="AC1596" s="13">
        <v>2</v>
      </c>
      <c r="AD1596" s="13">
        <v>1</v>
      </c>
      <c r="AE1596" s="13">
        <v>1</v>
      </c>
      <c r="AF1596" s="13">
        <v>3</v>
      </c>
      <c r="AG1596" s="13">
        <v>5</v>
      </c>
      <c r="AH1596" s="13">
        <v>0</v>
      </c>
      <c r="AI1596" s="13">
        <v>0</v>
      </c>
      <c r="AJ1596" s="13">
        <v>0</v>
      </c>
      <c r="AK1596" s="13">
        <v>0</v>
      </c>
      <c r="AL1596" s="13">
        <v>0</v>
      </c>
      <c r="AM1596" s="13">
        <v>0</v>
      </c>
      <c r="AN1596" s="13">
        <v>0</v>
      </c>
      <c r="AO1596" s="14">
        <v>0</v>
      </c>
      <c r="AP1596" s="13">
        <v>3</v>
      </c>
      <c r="AQ1596" s="13">
        <v>11</v>
      </c>
      <c r="AR1596" s="15">
        <v>59</v>
      </c>
      <c r="AS1596" s="15">
        <v>63</v>
      </c>
    </row>
    <row r="1597" spans="1:45" x14ac:dyDescent="0.25">
      <c r="A1597">
        <v>604</v>
      </c>
      <c r="B1597" s="11">
        <f t="shared" si="24"/>
        <v>31632</v>
      </c>
      <c r="C1597" s="12">
        <v>316320</v>
      </c>
      <c r="D1597" s="13">
        <v>0</v>
      </c>
      <c r="E1597" s="13">
        <v>0</v>
      </c>
      <c r="F1597" s="13">
        <v>92</v>
      </c>
      <c r="G1597" s="13">
        <v>49</v>
      </c>
      <c r="H1597" s="13" t="str" cm="1">
        <f t="array" ref="H1597">_xlfn.IFS(G1597&lt;=20,"0-20",G1597&lt;=30,"20-30",G1597&lt;=40,"30-40",G1597&lt;=50,"50-60",G1597&lt;=60,"60-70",G1597&lt;=70,"70-80",G1597&lt;=80,"80-90")</f>
        <v>50-60</v>
      </c>
      <c r="I1597" s="13">
        <v>2509</v>
      </c>
      <c r="J1597" s="13" t="str" cm="1">
        <f t="array" ref="J1597">_xlfn.IFS(K1597=1,"Divorciado",L1597=1,"Casado",M1597=1,"Solteiro",N1597=1,"Juntos",O1597=1,"Viuvo")</f>
        <v>Solteiro</v>
      </c>
      <c r="K1597" s="13">
        <v>0</v>
      </c>
      <c r="L1597" s="13">
        <v>0</v>
      </c>
      <c r="M1597" s="13">
        <v>1</v>
      </c>
      <c r="N1597" s="13">
        <v>0</v>
      </c>
      <c r="O1597" s="13">
        <v>0</v>
      </c>
      <c r="P1597" s="13">
        <v>0</v>
      </c>
      <c r="Q1597" s="13">
        <v>0</v>
      </c>
      <c r="R1597" s="13">
        <v>1</v>
      </c>
      <c r="S1597" s="13">
        <v>0</v>
      </c>
      <c r="T1597" s="13">
        <v>0</v>
      </c>
      <c r="U1597" s="13">
        <v>17</v>
      </c>
      <c r="V1597" s="13" t="str" cm="1">
        <f t="array" ref="V1597">_xlfn.IFS(U1597&lt;=250,"0-R$250",U1597&lt;=500,"251-R$500",U1597&lt;=750,"501-R$750",U1597&lt;=1000,"751-R$1000",U1597&lt;=1250,"1001-R$1250",U1597&lt;=1500,"1251-R$1500")</f>
        <v>0-R$250</v>
      </c>
      <c r="W1597" s="13">
        <v>8</v>
      </c>
      <c r="X1597" s="13" t="str" cm="1">
        <f t="array" ref="X1597">_xlfn.IFS(W1597 = 0, "0", W1597&lt;=20, "até R$20",W1597&lt;=40, "21 - R$40",W1597&lt;=60, "41- R$60",W1597&lt;=80, "61 - R$80", W1597&lt;=100, "81 - R$100",W1597&lt;=120, "101 - R$120",W1597&lt;=140, "121 - R$140", W1597&lt;=160, "141- R$160", W1597&lt;=180, "161 - R$180", W1597&lt;=200, "181-R$194")</f>
        <v>até R$20</v>
      </c>
      <c r="Y1597" s="13">
        <v>12</v>
      </c>
      <c r="Z1597" s="13">
        <v>11</v>
      </c>
      <c r="AA1597" s="13">
        <v>15</v>
      </c>
      <c r="AB1597" s="13">
        <v>32</v>
      </c>
      <c r="AC1597" s="13">
        <v>1</v>
      </c>
      <c r="AD1597" s="13">
        <v>2</v>
      </c>
      <c r="AE1597" s="13">
        <v>1</v>
      </c>
      <c r="AF1597" s="13">
        <v>2</v>
      </c>
      <c r="AG1597" s="13">
        <v>7</v>
      </c>
      <c r="AH1597" s="13">
        <v>0</v>
      </c>
      <c r="AI1597" s="13">
        <v>0</v>
      </c>
      <c r="AJ1597" s="13">
        <v>0</v>
      </c>
      <c r="AK1597" s="13">
        <v>0</v>
      </c>
      <c r="AL1597" s="13">
        <v>0</v>
      </c>
      <c r="AM1597" s="13">
        <v>0</v>
      </c>
      <c r="AN1597" s="13">
        <v>0</v>
      </c>
      <c r="AO1597" s="14">
        <v>0</v>
      </c>
      <c r="AP1597" s="13">
        <v>3</v>
      </c>
      <c r="AQ1597" s="13">
        <v>11</v>
      </c>
      <c r="AR1597" s="15">
        <v>31</v>
      </c>
      <c r="AS1597" s="15">
        <v>63</v>
      </c>
    </row>
    <row r="1598" spans="1:45" x14ac:dyDescent="0.25">
      <c r="A1598">
        <v>616</v>
      </c>
      <c r="B1598" s="11">
        <f t="shared" si="24"/>
        <v>32218</v>
      </c>
      <c r="C1598" s="12">
        <v>322180</v>
      </c>
      <c r="D1598" s="13">
        <v>0</v>
      </c>
      <c r="E1598" s="13">
        <v>0</v>
      </c>
      <c r="F1598" s="13">
        <v>27</v>
      </c>
      <c r="G1598" s="13">
        <v>60</v>
      </c>
      <c r="H1598" s="13" t="str" cm="1">
        <f t="array" ref="H1598">_xlfn.IFS(G1598&lt;=20,"0-20",G1598&lt;=30,"20-30",G1598&lt;=40,"30-40",G1598&lt;=50,"50-60",G1598&lt;=60,"60-70",G1598&lt;=70,"70-80",G1598&lt;=80,"80-90")</f>
        <v>60-70</v>
      </c>
      <c r="I1598" s="13">
        <v>2293</v>
      </c>
      <c r="J1598" s="13" t="str" cm="1">
        <f t="array" ref="J1598">_xlfn.IFS(K1598=1,"Divorciado",L1598=1,"Casado",M1598=1,"Solteiro",N1598=1,"Juntos",O1598=1,"Viuvo")</f>
        <v>Solteiro</v>
      </c>
      <c r="K1598" s="13">
        <v>0</v>
      </c>
      <c r="L1598" s="13">
        <v>0</v>
      </c>
      <c r="M1598" s="13">
        <v>1</v>
      </c>
      <c r="N1598" s="13">
        <v>0</v>
      </c>
      <c r="O1598" s="13">
        <v>0</v>
      </c>
      <c r="P1598" s="13">
        <v>1</v>
      </c>
      <c r="Q1598" s="13">
        <v>0</v>
      </c>
      <c r="R1598" s="13">
        <v>0</v>
      </c>
      <c r="S1598" s="13">
        <v>0</v>
      </c>
      <c r="T1598" s="13">
        <v>0</v>
      </c>
      <c r="U1598" s="13">
        <v>10</v>
      </c>
      <c r="V1598" s="13" t="str" cm="1">
        <f t="array" ref="V1598">_xlfn.IFS(U1598&lt;=250,"0-R$250",U1598&lt;=500,"251-R$500",U1598&lt;=750,"501-R$750",U1598&lt;=1000,"751-R$1000",U1598&lt;=1250,"1001-R$1250",U1598&lt;=1500,"1251-R$1500")</f>
        <v>0-R$250</v>
      </c>
      <c r="W1598" s="13">
        <v>24</v>
      </c>
      <c r="X1598" s="13" t="str" cm="1">
        <f t="array" ref="X1598">_xlfn.IFS(W1598 = 0, "0", W1598&lt;=20, "até R$20",W1598&lt;=40, "21 - R$40",W1598&lt;=60, "41- R$60",W1598&lt;=80, "61 - R$80", W1598&lt;=100, "81 - R$100",W1598&lt;=120, "101 - R$120",W1598&lt;=140, "121 - R$140", W1598&lt;=160, "141- R$160", W1598&lt;=180, "161 - R$180", W1598&lt;=200, "181-R$194")</f>
        <v>21 - R$40</v>
      </c>
      <c r="Y1598" s="13">
        <v>15</v>
      </c>
      <c r="Z1598" s="13">
        <v>13</v>
      </c>
      <c r="AA1598" s="13">
        <v>1</v>
      </c>
      <c r="AB1598" s="13">
        <v>30</v>
      </c>
      <c r="AC1598" s="13">
        <v>1</v>
      </c>
      <c r="AD1598" s="13">
        <v>2</v>
      </c>
      <c r="AE1598" s="13">
        <v>1</v>
      </c>
      <c r="AF1598" s="13">
        <v>3</v>
      </c>
      <c r="AG1598" s="13">
        <v>7</v>
      </c>
      <c r="AH1598" s="13">
        <v>0</v>
      </c>
      <c r="AI1598" s="13">
        <v>1</v>
      </c>
      <c r="AJ1598" s="13">
        <v>0</v>
      </c>
      <c r="AK1598" s="13">
        <v>0</v>
      </c>
      <c r="AL1598" s="13">
        <v>0</v>
      </c>
      <c r="AM1598" s="13">
        <v>0</v>
      </c>
      <c r="AN1598" s="13">
        <v>1</v>
      </c>
      <c r="AO1598" s="14">
        <v>1</v>
      </c>
      <c r="AP1598" s="13">
        <v>3</v>
      </c>
      <c r="AQ1598" s="13">
        <v>11</v>
      </c>
      <c r="AR1598" s="15">
        <v>33</v>
      </c>
      <c r="AS1598" s="15">
        <v>63</v>
      </c>
    </row>
    <row r="1599" spans="1:45" x14ac:dyDescent="0.25">
      <c r="A1599">
        <v>645</v>
      </c>
      <c r="B1599" s="11">
        <f t="shared" si="24"/>
        <v>25965</v>
      </c>
      <c r="C1599" s="16">
        <v>259650</v>
      </c>
      <c r="D1599" s="17">
        <v>0</v>
      </c>
      <c r="E1599" s="17">
        <v>0</v>
      </c>
      <c r="F1599" s="17">
        <v>29</v>
      </c>
      <c r="G1599" s="17">
        <v>40</v>
      </c>
      <c r="H1599" s="13" t="str" cm="1">
        <f t="array" ref="H1599">_xlfn.IFS(G1599&lt;=20,"0-20",G1599&lt;=30,"20-30",G1599&lt;=40,"30-40",G1599&lt;=50,"50-60",G1599&lt;=60,"60-70",G1599&lt;=70,"70-80",G1599&lt;=80,"80-90")</f>
        <v>30-40</v>
      </c>
      <c r="I1599" s="17">
        <v>2819</v>
      </c>
      <c r="J1599" s="13" t="str" cm="1">
        <f t="array" ref="J1599">_xlfn.IFS(K1599=1,"Divorciado",L1599=1,"Casado",M1599=1,"Solteiro",N1599=1,"Juntos",O1599=1,"Viuvo")</f>
        <v>Casado</v>
      </c>
      <c r="K1599" s="17">
        <v>0</v>
      </c>
      <c r="L1599" s="17">
        <v>1</v>
      </c>
      <c r="M1599" s="17">
        <v>0</v>
      </c>
      <c r="N1599" s="17">
        <v>0</v>
      </c>
      <c r="O1599" s="17">
        <v>0</v>
      </c>
      <c r="P1599" s="17">
        <v>0</v>
      </c>
      <c r="Q1599" s="17">
        <v>1</v>
      </c>
      <c r="R1599" s="17">
        <v>0</v>
      </c>
      <c r="S1599" s="17">
        <v>0</v>
      </c>
      <c r="T1599" s="17">
        <v>0</v>
      </c>
      <c r="U1599" s="17">
        <v>2</v>
      </c>
      <c r="V1599" s="13" t="str" cm="1">
        <f t="array" ref="V1599">_xlfn.IFS(U1599&lt;=250,"0-R$250",U1599&lt;=500,"251-R$500",U1599&lt;=750,"501-R$750",U1599&lt;=1000,"751-R$1000",U1599&lt;=1250,"1001-R$1250",U1599&lt;=1500,"1251-R$1500")</f>
        <v>0-R$250</v>
      </c>
      <c r="W1599" s="17">
        <v>2</v>
      </c>
      <c r="X1599" s="13" t="str" cm="1">
        <f t="array" ref="X1599">_xlfn.IFS(W1599 = 0, "0", W1599&lt;=20, "até R$20",W1599&lt;=40, "21 - R$40",W1599&lt;=60, "41- R$60",W1599&lt;=80, "61 - R$80", W1599&lt;=100, "81 - R$100",W1599&lt;=120, "101 - R$120",W1599&lt;=140, "121 - R$140", W1599&lt;=160, "141- R$160", W1599&lt;=180, "161 - R$180", W1599&lt;=200, "181-R$194")</f>
        <v>até R$20</v>
      </c>
      <c r="Y1599" s="17">
        <v>11</v>
      </c>
      <c r="Z1599" s="17">
        <v>41</v>
      </c>
      <c r="AA1599" s="17">
        <v>7</v>
      </c>
      <c r="AB1599" s="17">
        <v>11</v>
      </c>
      <c r="AC1599" s="17">
        <v>1</v>
      </c>
      <c r="AD1599" s="17">
        <v>2</v>
      </c>
      <c r="AE1599" s="17">
        <v>0</v>
      </c>
      <c r="AF1599" s="17">
        <v>3</v>
      </c>
      <c r="AG1599" s="17">
        <v>8</v>
      </c>
      <c r="AH1599" s="17">
        <v>0</v>
      </c>
      <c r="AI1599" s="17">
        <v>0</v>
      </c>
      <c r="AJ1599" s="17">
        <v>0</v>
      </c>
      <c r="AK1599" s="17">
        <v>0</v>
      </c>
      <c r="AL1599" s="17">
        <v>0</v>
      </c>
      <c r="AM1599" s="17">
        <v>0</v>
      </c>
      <c r="AN1599" s="17">
        <v>0</v>
      </c>
      <c r="AO1599" s="18">
        <v>0</v>
      </c>
      <c r="AP1599" s="17">
        <v>3</v>
      </c>
      <c r="AQ1599" s="17">
        <v>11</v>
      </c>
      <c r="AR1599" s="19">
        <v>52</v>
      </c>
      <c r="AS1599" s="19">
        <v>63</v>
      </c>
    </row>
    <row r="1600" spans="1:45" x14ac:dyDescent="0.25">
      <c r="A1600">
        <v>787</v>
      </c>
      <c r="B1600" s="11">
        <f t="shared" si="24"/>
        <v>56850</v>
      </c>
      <c r="C1600" s="16">
        <v>568500</v>
      </c>
      <c r="D1600" s="17">
        <v>0</v>
      </c>
      <c r="E1600" s="17">
        <v>1</v>
      </c>
      <c r="F1600" s="17">
        <v>83</v>
      </c>
      <c r="G1600" s="17">
        <v>49</v>
      </c>
      <c r="H1600" s="13" t="str" cm="1">
        <f t="array" ref="H1600">_xlfn.IFS(G1600&lt;=20,"0-20",G1600&lt;=30,"20-30",G1600&lt;=40,"30-40",G1600&lt;=50,"50-60",G1600&lt;=60,"60-70",G1600&lt;=70,"70-80",G1600&lt;=80,"80-90")</f>
        <v>50-60</v>
      </c>
      <c r="I1600" s="17">
        <v>2257</v>
      </c>
      <c r="J1600" s="13" t="str" cm="1">
        <f t="array" ref="J1600">_xlfn.IFS(K1600=1,"Divorciado",L1600=1,"Casado",M1600=1,"Solteiro",N1600=1,"Juntos",O1600=1,"Viuvo")</f>
        <v>Casado</v>
      </c>
      <c r="K1600" s="17">
        <v>0</v>
      </c>
      <c r="L1600" s="17">
        <v>1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1</v>
      </c>
      <c r="T1600" s="17">
        <v>0</v>
      </c>
      <c r="U1600" s="17">
        <v>34</v>
      </c>
      <c r="V1600" s="13" t="str" cm="1">
        <f t="array" ref="V1600">_xlfn.IFS(U1600&lt;=250,"0-R$250",U1600&lt;=500,"251-R$500",U1600&lt;=750,"501-R$750",U1600&lt;=1000,"751-R$1000",U1600&lt;=1250,"1001-R$1250",U1600&lt;=1500,"1251-R$1500")</f>
        <v>0-R$250</v>
      </c>
      <c r="W1600" s="17">
        <v>1</v>
      </c>
      <c r="X1600" s="13" t="str" cm="1">
        <f t="array" ref="X1600">_xlfn.IFS(W1600 = 0, "0", W1600&lt;=20, "até R$20",W1600&lt;=40, "21 - R$40",W1600&lt;=60, "41- R$60",W1600&lt;=80, "61 - R$80", W1600&lt;=100, "81 - R$100",W1600&lt;=120, "101 - R$120",W1600&lt;=140, "121 - R$140", W1600&lt;=160, "141- R$160", W1600&lt;=180, "161 - R$180", W1600&lt;=200, "181-R$194")</f>
        <v>até R$20</v>
      </c>
      <c r="Y1600" s="17">
        <v>19</v>
      </c>
      <c r="Z1600" s="17">
        <v>2</v>
      </c>
      <c r="AA1600" s="17">
        <v>7</v>
      </c>
      <c r="AB1600" s="17">
        <v>0</v>
      </c>
      <c r="AC1600" s="17">
        <v>1</v>
      </c>
      <c r="AD1600" s="17">
        <v>1</v>
      </c>
      <c r="AE1600" s="17">
        <v>1</v>
      </c>
      <c r="AF1600" s="17">
        <v>3</v>
      </c>
      <c r="AG1600" s="17">
        <v>2</v>
      </c>
      <c r="AH1600" s="17">
        <v>0</v>
      </c>
      <c r="AI1600" s="17">
        <v>0</v>
      </c>
      <c r="AJ1600" s="17">
        <v>0</v>
      </c>
      <c r="AK1600" s="17">
        <v>0</v>
      </c>
      <c r="AL1600" s="17">
        <v>0</v>
      </c>
      <c r="AM1600" s="17">
        <v>0</v>
      </c>
      <c r="AN1600" s="17">
        <v>0</v>
      </c>
      <c r="AO1600" s="18">
        <v>0</v>
      </c>
      <c r="AP1600" s="17">
        <v>3</v>
      </c>
      <c r="AQ1600" s="17">
        <v>11</v>
      </c>
      <c r="AR1600" s="19">
        <v>63</v>
      </c>
      <c r="AS1600" s="19">
        <v>63</v>
      </c>
    </row>
    <row r="1601" spans="1:45" x14ac:dyDescent="0.25">
      <c r="A1601">
        <v>824</v>
      </c>
      <c r="B1601" s="11">
        <f t="shared" si="24"/>
        <v>19419</v>
      </c>
      <c r="C1601" s="12">
        <v>194190</v>
      </c>
      <c r="D1601" s="13">
        <v>1</v>
      </c>
      <c r="E1601" s="13">
        <v>0</v>
      </c>
      <c r="F1601" s="13">
        <v>76</v>
      </c>
      <c r="G1601" s="13">
        <v>39</v>
      </c>
      <c r="H1601" s="13" t="str" cm="1">
        <f t="array" ref="H1601">_xlfn.IFS(G1601&lt;=20,"0-20",G1601&lt;=30,"20-30",G1601&lt;=40,"30-40",G1601&lt;=50,"50-60",G1601&lt;=60,"60-70",G1601&lt;=70,"70-80",G1601&lt;=80,"80-90")</f>
        <v>30-40</v>
      </c>
      <c r="I1601" s="13">
        <v>2755</v>
      </c>
      <c r="J1601" s="13" t="str" cm="1">
        <f t="array" ref="J1601">_xlfn.IFS(K1601=1,"Divorciado",L1601=1,"Casado",M1601=1,"Solteiro",N1601=1,"Juntos",O1601=1,"Viuvo")</f>
        <v>Casado</v>
      </c>
      <c r="K1601" s="13">
        <v>0</v>
      </c>
      <c r="L1601" s="13">
        <v>1</v>
      </c>
      <c r="M1601" s="13">
        <v>0</v>
      </c>
      <c r="N1601" s="13">
        <v>0</v>
      </c>
      <c r="O1601" s="13">
        <v>0</v>
      </c>
      <c r="P1601" s="13">
        <v>0</v>
      </c>
      <c r="Q1601" s="13">
        <v>0</v>
      </c>
      <c r="R1601" s="13">
        <v>1</v>
      </c>
      <c r="S1601" s="13">
        <v>0</v>
      </c>
      <c r="T1601" s="13">
        <v>0</v>
      </c>
      <c r="U1601" s="13">
        <v>2</v>
      </c>
      <c r="V1601" s="13" t="str" cm="1">
        <f t="array" ref="V1601">_xlfn.IFS(U1601&lt;=250,"0-R$250",U1601&lt;=500,"251-R$500",U1601&lt;=750,"501-R$750",U1601&lt;=1000,"751-R$1000",U1601&lt;=1250,"1001-R$1250",U1601&lt;=1500,"1251-R$1500")</f>
        <v>0-R$250</v>
      </c>
      <c r="W1601" s="13">
        <v>14</v>
      </c>
      <c r="X1601" s="13" t="str" cm="1">
        <f t="array" ref="X1601">_xlfn.IFS(W1601 = 0, "0", W1601&lt;=20, "até R$20",W1601&lt;=40, "21 - R$40",W1601&lt;=60, "41- R$60",W1601&lt;=80, "61 - R$80", W1601&lt;=100, "81 - R$100",W1601&lt;=120, "101 - R$120",W1601&lt;=140, "121 - R$140", W1601&lt;=160, "141- R$160", W1601&lt;=180, "161 - R$180", W1601&lt;=200, "181-R$194")</f>
        <v>até R$20</v>
      </c>
      <c r="Y1601" s="13">
        <v>28</v>
      </c>
      <c r="Z1601" s="13">
        <v>16</v>
      </c>
      <c r="AA1601" s="13">
        <v>3</v>
      </c>
      <c r="AB1601" s="13">
        <v>7</v>
      </c>
      <c r="AC1601" s="13">
        <v>4</v>
      </c>
      <c r="AD1601" s="13">
        <v>4</v>
      </c>
      <c r="AE1601" s="13">
        <v>0</v>
      </c>
      <c r="AF1601" s="13">
        <v>3</v>
      </c>
      <c r="AG1601" s="13">
        <v>9</v>
      </c>
      <c r="AH1601" s="13">
        <v>0</v>
      </c>
      <c r="AI1601" s="13">
        <v>0</v>
      </c>
      <c r="AJ1601" s="13">
        <v>0</v>
      </c>
      <c r="AK1601" s="13">
        <v>0</v>
      </c>
      <c r="AL1601" s="13">
        <v>0</v>
      </c>
      <c r="AM1601" s="13">
        <v>0</v>
      </c>
      <c r="AN1601" s="13">
        <v>0</v>
      </c>
      <c r="AO1601" s="14">
        <v>0</v>
      </c>
      <c r="AP1601" s="13">
        <v>3</v>
      </c>
      <c r="AQ1601" s="13">
        <v>11</v>
      </c>
      <c r="AR1601" s="15">
        <v>56</v>
      </c>
      <c r="AS1601" s="15">
        <v>63</v>
      </c>
    </row>
    <row r="1602" spans="1:45" x14ac:dyDescent="0.25">
      <c r="A1602">
        <v>871</v>
      </c>
      <c r="B1602" s="11">
        <f t="shared" ref="B1602:B1665" si="25">C1602/10</f>
        <v>31814</v>
      </c>
      <c r="C1602" s="16">
        <v>318140</v>
      </c>
      <c r="D1602" s="17">
        <v>1</v>
      </c>
      <c r="E1602" s="17">
        <v>0</v>
      </c>
      <c r="F1602" s="17">
        <v>73</v>
      </c>
      <c r="G1602" s="17">
        <v>47</v>
      </c>
      <c r="H1602" s="13" t="str" cm="1">
        <f t="array" ref="H1602">_xlfn.IFS(G1602&lt;=20,"0-20",G1602&lt;=30,"20-30",G1602&lt;=40,"30-40",G1602&lt;=50,"50-60",G1602&lt;=60,"60-70",G1602&lt;=70,"70-80",G1602&lt;=80,"80-90")</f>
        <v>50-60</v>
      </c>
      <c r="I1602" s="17">
        <v>2664</v>
      </c>
      <c r="J1602" s="13" t="str" cm="1">
        <f t="array" ref="J1602">_xlfn.IFS(K1602=1,"Divorciado",L1602=1,"Casado",M1602=1,"Solteiro",N1602=1,"Juntos",O1602=1,"Viuvo")</f>
        <v>Casado</v>
      </c>
      <c r="K1602" s="17">
        <v>0</v>
      </c>
      <c r="L1602" s="17">
        <v>1</v>
      </c>
      <c r="M1602" s="17">
        <v>0</v>
      </c>
      <c r="N1602" s="17">
        <v>0</v>
      </c>
      <c r="O1602" s="17">
        <v>0</v>
      </c>
      <c r="P1602" s="17">
        <v>0</v>
      </c>
      <c r="Q1602" s="17">
        <v>0</v>
      </c>
      <c r="R1602" s="17">
        <v>1</v>
      </c>
      <c r="S1602" s="17">
        <v>0</v>
      </c>
      <c r="T1602" s="17">
        <v>0</v>
      </c>
      <c r="U1602" s="17">
        <v>35</v>
      </c>
      <c r="V1602" s="13" t="str" cm="1">
        <f t="array" ref="V1602">_xlfn.IFS(U1602&lt;=250,"0-R$250",U1602&lt;=500,"251-R$500",U1602&lt;=750,"501-R$750",U1602&lt;=1000,"751-R$1000",U1602&lt;=1250,"1001-R$1250",U1602&lt;=1500,"1251-R$1500")</f>
        <v>0-R$250</v>
      </c>
      <c r="W1602" s="17">
        <v>3</v>
      </c>
      <c r="X1602" s="13" t="str" cm="1">
        <f t="array" ref="X1602">_xlfn.IFS(W1602 = 0, "0", W1602&lt;=20, "até R$20",W1602&lt;=40, "21 - R$40",W1602&lt;=60, "41- R$60",W1602&lt;=80, "61 - R$80", W1602&lt;=100, "81 - R$100",W1602&lt;=120, "101 - R$120",W1602&lt;=140, "121 - R$140", W1602&lt;=160, "141- R$160", W1602&lt;=180, "161 - R$180", W1602&lt;=200, "181-R$194")</f>
        <v>até R$20</v>
      </c>
      <c r="Y1602" s="17">
        <v>20</v>
      </c>
      <c r="Z1602" s="17">
        <v>4</v>
      </c>
      <c r="AA1602" s="17">
        <v>1</v>
      </c>
      <c r="AB1602" s="17">
        <v>20</v>
      </c>
      <c r="AC1602" s="17">
        <v>2</v>
      </c>
      <c r="AD1602" s="17">
        <v>2</v>
      </c>
      <c r="AE1602" s="17">
        <v>0</v>
      </c>
      <c r="AF1602" s="17">
        <v>3</v>
      </c>
      <c r="AG1602" s="17">
        <v>9</v>
      </c>
      <c r="AH1602" s="17">
        <v>0</v>
      </c>
      <c r="AI1602" s="17">
        <v>1</v>
      </c>
      <c r="AJ1602" s="17">
        <v>0</v>
      </c>
      <c r="AK1602" s="17">
        <v>0</v>
      </c>
      <c r="AL1602" s="17">
        <v>0</v>
      </c>
      <c r="AM1602" s="17">
        <v>0</v>
      </c>
      <c r="AN1602" s="17">
        <v>0</v>
      </c>
      <c r="AO1602" s="18">
        <v>1</v>
      </c>
      <c r="AP1602" s="17">
        <v>3</v>
      </c>
      <c r="AQ1602" s="17">
        <v>11</v>
      </c>
      <c r="AR1602" s="19">
        <v>43</v>
      </c>
      <c r="AS1602" s="19">
        <v>63</v>
      </c>
    </row>
    <row r="1603" spans="1:45" x14ac:dyDescent="0.25">
      <c r="A1603">
        <v>889</v>
      </c>
      <c r="B1603" s="11">
        <f t="shared" si="25"/>
        <v>47889</v>
      </c>
      <c r="C1603" s="16">
        <v>478890</v>
      </c>
      <c r="D1603" s="17">
        <v>1</v>
      </c>
      <c r="E1603" s="17">
        <v>0</v>
      </c>
      <c r="F1603" s="17">
        <v>94</v>
      </c>
      <c r="G1603" s="17">
        <v>46</v>
      </c>
      <c r="H1603" s="13" t="str" cm="1">
        <f t="array" ref="H1603">_xlfn.IFS(G1603&lt;=20,"0-20",G1603&lt;=30,"20-30",G1603&lt;=40,"30-40",G1603&lt;=50,"50-60",G1603&lt;=60,"60-70",G1603&lt;=70,"70-80",G1603&lt;=80,"80-90")</f>
        <v>50-60</v>
      </c>
      <c r="I1603" s="17">
        <v>2335</v>
      </c>
      <c r="J1603" s="13" t="str" cm="1">
        <f t="array" ref="J1603">_xlfn.IFS(K1603=1,"Divorciado",L1603=1,"Casado",M1603=1,"Solteiro",N1603=1,"Juntos",O1603=1,"Viuvo")</f>
        <v>Juntos</v>
      </c>
      <c r="K1603" s="17">
        <v>0</v>
      </c>
      <c r="L1603" s="17">
        <v>0</v>
      </c>
      <c r="M1603" s="17">
        <v>0</v>
      </c>
      <c r="N1603" s="17">
        <v>1</v>
      </c>
      <c r="O1603" s="17">
        <v>0</v>
      </c>
      <c r="P1603" s="17">
        <v>0</v>
      </c>
      <c r="Q1603" s="17">
        <v>0</v>
      </c>
      <c r="R1603" s="17">
        <v>1</v>
      </c>
      <c r="S1603" s="17">
        <v>0</v>
      </c>
      <c r="T1603" s="17">
        <v>0</v>
      </c>
      <c r="U1603" s="17">
        <v>29</v>
      </c>
      <c r="V1603" s="13" t="str" cm="1">
        <f t="array" ref="V1603">_xlfn.IFS(U1603&lt;=250,"0-R$250",U1603&lt;=500,"251-R$500",U1603&lt;=750,"501-R$750",U1603&lt;=1000,"751-R$1000",U1603&lt;=1250,"1001-R$1250",U1603&lt;=1500,"1251-R$1500")</f>
        <v>0-R$250</v>
      </c>
      <c r="W1603" s="17">
        <v>0</v>
      </c>
      <c r="X1603" s="13" t="str" cm="1">
        <f t="array" ref="X1603">_xlfn.IFS(W1603 = 0, "0", W1603&lt;=20, "até R$20",W1603&lt;=40, "21 - R$40",W1603&lt;=60, "41- R$60",W1603&lt;=80, "61 - R$80", W1603&lt;=100, "81 - R$100",W1603&lt;=120, "101 - R$120",W1603&lt;=140, "121 - R$140", W1603&lt;=160, "141- R$160", W1603&lt;=180, "161 - R$180", W1603&lt;=200, "181-R$194")</f>
        <v>0</v>
      </c>
      <c r="Y1603" s="17">
        <v>29</v>
      </c>
      <c r="Z1603" s="17">
        <v>0</v>
      </c>
      <c r="AA1603" s="17">
        <v>5</v>
      </c>
      <c r="AB1603" s="17">
        <v>4</v>
      </c>
      <c r="AC1603" s="17">
        <v>1</v>
      </c>
      <c r="AD1603" s="17">
        <v>2</v>
      </c>
      <c r="AE1603" s="17">
        <v>0</v>
      </c>
      <c r="AF1603" s="17">
        <v>3</v>
      </c>
      <c r="AG1603" s="17">
        <v>5</v>
      </c>
      <c r="AH1603" s="17">
        <v>0</v>
      </c>
      <c r="AI1603" s="17">
        <v>0</v>
      </c>
      <c r="AJ1603" s="17">
        <v>0</v>
      </c>
      <c r="AK1603" s="17">
        <v>0</v>
      </c>
      <c r="AL1603" s="17">
        <v>0</v>
      </c>
      <c r="AM1603" s="17">
        <v>0</v>
      </c>
      <c r="AN1603" s="17">
        <v>0</v>
      </c>
      <c r="AO1603" s="18">
        <v>0</v>
      </c>
      <c r="AP1603" s="17">
        <v>3</v>
      </c>
      <c r="AQ1603" s="17">
        <v>11</v>
      </c>
      <c r="AR1603" s="19">
        <v>59</v>
      </c>
      <c r="AS1603" s="19">
        <v>63</v>
      </c>
    </row>
    <row r="1604" spans="1:45" x14ac:dyDescent="0.25">
      <c r="A1604">
        <v>1002</v>
      </c>
      <c r="B1604" s="11">
        <f t="shared" si="25"/>
        <v>28440</v>
      </c>
      <c r="C1604" s="12">
        <v>284400</v>
      </c>
      <c r="D1604" s="13">
        <v>1</v>
      </c>
      <c r="E1604" s="13">
        <v>0</v>
      </c>
      <c r="F1604" s="13">
        <v>87</v>
      </c>
      <c r="G1604" s="13">
        <v>46</v>
      </c>
      <c r="H1604" s="13" t="str" cm="1">
        <f t="array" ref="H1604">_xlfn.IFS(G1604&lt;=20,"0-20",G1604&lt;=30,"20-30",G1604&lt;=40,"30-40",G1604&lt;=50,"50-60",G1604&lt;=60,"60-70",G1604&lt;=70,"70-80",G1604&lt;=80,"80-90")</f>
        <v>50-60</v>
      </c>
      <c r="I1604" s="13">
        <v>2516</v>
      </c>
      <c r="J1604" s="13" t="str" cm="1">
        <f t="array" ref="J1604">_xlfn.IFS(K1604=1,"Divorciado",L1604=1,"Casado",M1604=1,"Solteiro",N1604=1,"Juntos",O1604=1,"Viuvo")</f>
        <v>Juntos</v>
      </c>
      <c r="K1604" s="13">
        <v>0</v>
      </c>
      <c r="L1604" s="13">
        <v>0</v>
      </c>
      <c r="M1604" s="13">
        <v>0</v>
      </c>
      <c r="N1604" s="13">
        <v>1</v>
      </c>
      <c r="O1604" s="13">
        <v>0</v>
      </c>
      <c r="P1604" s="13">
        <v>0</v>
      </c>
      <c r="Q1604" s="13">
        <v>0</v>
      </c>
      <c r="R1604" s="13">
        <v>0</v>
      </c>
      <c r="S1604" s="13">
        <v>0</v>
      </c>
      <c r="T1604" s="13">
        <v>1</v>
      </c>
      <c r="U1604" s="13">
        <v>38</v>
      </c>
      <c r="V1604" s="13" t="str" cm="1">
        <f t="array" ref="V1604">_xlfn.IFS(U1604&lt;=250,"0-R$250",U1604&lt;=500,"251-R$500",U1604&lt;=750,"501-R$750",U1604&lt;=1000,"751-R$1000",U1604&lt;=1250,"1001-R$1250",U1604&lt;=1500,"1251-R$1500")</f>
        <v>0-R$250</v>
      </c>
      <c r="W1604" s="13">
        <v>1</v>
      </c>
      <c r="X1604" s="13" t="str" cm="1">
        <f t="array" ref="X1604">_xlfn.IFS(W1604 = 0, "0", W1604&lt;=20, "até R$20",W1604&lt;=40, "21 - R$40",W1604&lt;=60, "41- R$60",W1604&lt;=80, "61 - R$80", W1604&lt;=100, "81 - R$100",W1604&lt;=120, "101 - R$120",W1604&lt;=140, "121 - R$140", W1604&lt;=160, "141- R$160", W1604&lt;=180, "161 - R$180", W1604&lt;=200, "181-R$194")</f>
        <v>até R$20</v>
      </c>
      <c r="Y1604" s="13">
        <v>24</v>
      </c>
      <c r="Z1604" s="13">
        <v>0</v>
      </c>
      <c r="AA1604" s="13">
        <v>0</v>
      </c>
      <c r="AB1604" s="13">
        <v>0</v>
      </c>
      <c r="AC1604" s="13">
        <v>1</v>
      </c>
      <c r="AD1604" s="13">
        <v>2</v>
      </c>
      <c r="AE1604" s="13">
        <v>0</v>
      </c>
      <c r="AF1604" s="13">
        <v>3</v>
      </c>
      <c r="AG1604" s="13">
        <v>8</v>
      </c>
      <c r="AH1604" s="13">
        <v>0</v>
      </c>
      <c r="AI1604" s="13">
        <v>0</v>
      </c>
      <c r="AJ1604" s="13">
        <v>0</v>
      </c>
      <c r="AK1604" s="13">
        <v>0</v>
      </c>
      <c r="AL1604" s="13">
        <v>0</v>
      </c>
      <c r="AM1604" s="13">
        <v>0</v>
      </c>
      <c r="AN1604" s="13">
        <v>0</v>
      </c>
      <c r="AO1604" s="14">
        <v>0</v>
      </c>
      <c r="AP1604" s="13">
        <v>3</v>
      </c>
      <c r="AQ1604" s="13">
        <v>11</v>
      </c>
      <c r="AR1604" s="15">
        <v>63</v>
      </c>
      <c r="AS1604" s="15">
        <v>63</v>
      </c>
    </row>
    <row r="1605" spans="1:45" x14ac:dyDescent="0.25">
      <c r="A1605">
        <v>1559</v>
      </c>
      <c r="B1605" s="11">
        <f t="shared" si="25"/>
        <v>45903</v>
      </c>
      <c r="C1605" s="16">
        <v>459030</v>
      </c>
      <c r="D1605" s="17">
        <v>0</v>
      </c>
      <c r="E1605" s="17">
        <v>1</v>
      </c>
      <c r="F1605" s="17">
        <v>80</v>
      </c>
      <c r="G1605" s="17">
        <v>54</v>
      </c>
      <c r="H1605" s="13" t="str" cm="1">
        <f t="array" ref="H1605">_xlfn.IFS(G1605&lt;=20,"0-20",G1605&lt;=30,"20-30",G1605&lt;=40,"30-40",G1605&lt;=50,"50-60",G1605&lt;=60,"60-70",G1605&lt;=70,"70-80",G1605&lt;=80,"80-90")</f>
        <v>60-70</v>
      </c>
      <c r="I1605" s="17">
        <v>2226</v>
      </c>
      <c r="J1605" s="13" t="str" cm="1">
        <f t="array" ref="J1605">_xlfn.IFS(K1605=1,"Divorciado",L1605=1,"Casado",M1605=1,"Solteiro",N1605=1,"Juntos",O1605=1,"Viuvo")</f>
        <v>Juntos</v>
      </c>
      <c r="K1605" s="17">
        <v>0</v>
      </c>
      <c r="L1605" s="17">
        <v>0</v>
      </c>
      <c r="M1605" s="17">
        <v>0</v>
      </c>
      <c r="N1605" s="17">
        <v>1</v>
      </c>
      <c r="O1605" s="17">
        <v>0</v>
      </c>
      <c r="P1605" s="17">
        <v>0</v>
      </c>
      <c r="Q1605" s="17">
        <v>0</v>
      </c>
      <c r="R1605" s="17">
        <v>0</v>
      </c>
      <c r="S1605" s="17">
        <v>1</v>
      </c>
      <c r="T1605" s="17">
        <v>0</v>
      </c>
      <c r="U1605" s="17">
        <v>33</v>
      </c>
      <c r="V1605" s="13" t="str" cm="1">
        <f t="array" ref="V1605">_xlfn.IFS(U1605&lt;=250,"0-R$250",U1605&lt;=500,"251-R$500",U1605&lt;=750,"501-R$750",U1605&lt;=1000,"751-R$1000",U1605&lt;=1250,"1001-R$1250",U1605&lt;=1500,"1251-R$1500")</f>
        <v>0-R$250</v>
      </c>
      <c r="W1605" s="17">
        <v>8</v>
      </c>
      <c r="X1605" s="13" t="str" cm="1">
        <f t="array" ref="X1605">_xlfn.IFS(W1605 = 0, "0", W1605&lt;=20, "até R$20",W1605&lt;=40, "21 - R$40",W1605&lt;=60, "41- R$60",W1605&lt;=80, "61 - R$80", W1605&lt;=100, "81 - R$100",W1605&lt;=120, "101 - R$120",W1605&lt;=140, "121 - R$140", W1605&lt;=160, "141- R$160", W1605&lt;=180, "161 - R$180", W1605&lt;=200, "181-R$194")</f>
        <v>até R$20</v>
      </c>
      <c r="Y1605" s="17">
        <v>10</v>
      </c>
      <c r="Z1605" s="17">
        <v>2</v>
      </c>
      <c r="AA1605" s="17">
        <v>10</v>
      </c>
      <c r="AB1605" s="17">
        <v>3</v>
      </c>
      <c r="AC1605" s="17">
        <v>2</v>
      </c>
      <c r="AD1605" s="17">
        <v>2</v>
      </c>
      <c r="AE1605" s="17">
        <v>1</v>
      </c>
      <c r="AF1605" s="17">
        <v>3</v>
      </c>
      <c r="AG1605" s="17">
        <v>4</v>
      </c>
      <c r="AH1605" s="17">
        <v>0</v>
      </c>
      <c r="AI1605" s="17">
        <v>0</v>
      </c>
      <c r="AJ1605" s="17">
        <v>0</v>
      </c>
      <c r="AK1605" s="17">
        <v>0</v>
      </c>
      <c r="AL1605" s="17">
        <v>0</v>
      </c>
      <c r="AM1605" s="17">
        <v>0</v>
      </c>
      <c r="AN1605" s="17">
        <v>0</v>
      </c>
      <c r="AO1605" s="18">
        <v>0</v>
      </c>
      <c r="AP1605" s="17">
        <v>3</v>
      </c>
      <c r="AQ1605" s="17">
        <v>11</v>
      </c>
      <c r="AR1605" s="19">
        <v>60</v>
      </c>
      <c r="AS1605" s="19">
        <v>63</v>
      </c>
    </row>
    <row r="1606" spans="1:45" x14ac:dyDescent="0.25">
      <c r="A1606">
        <v>1630</v>
      </c>
      <c r="B1606" s="11">
        <f t="shared" si="25"/>
        <v>35544</v>
      </c>
      <c r="C1606" s="12">
        <v>355440</v>
      </c>
      <c r="D1606" s="13">
        <v>1</v>
      </c>
      <c r="E1606" s="13">
        <v>0</v>
      </c>
      <c r="F1606" s="13">
        <v>77</v>
      </c>
      <c r="G1606" s="13">
        <v>42</v>
      </c>
      <c r="H1606" s="13" t="str" cm="1">
        <f t="array" ref="H1606">_xlfn.IFS(G1606&lt;=20,"0-20",G1606&lt;=30,"20-30",G1606&lt;=40,"30-40",G1606&lt;=50,"50-60",G1606&lt;=60,"60-70",G1606&lt;=70,"70-80",G1606&lt;=80,"80-90")</f>
        <v>50-60</v>
      </c>
      <c r="I1606" s="13">
        <v>2272</v>
      </c>
      <c r="J1606" s="13" t="str" cm="1">
        <f t="array" ref="J1606">_xlfn.IFS(K1606=1,"Divorciado",L1606=1,"Casado",M1606=1,"Solteiro",N1606=1,"Juntos",O1606=1,"Viuvo")</f>
        <v>Solteiro</v>
      </c>
      <c r="K1606" s="13">
        <v>0</v>
      </c>
      <c r="L1606" s="13">
        <v>0</v>
      </c>
      <c r="M1606" s="13">
        <v>1</v>
      </c>
      <c r="N1606" s="13">
        <v>0</v>
      </c>
      <c r="O1606" s="13">
        <v>0</v>
      </c>
      <c r="P1606" s="13">
        <v>0</v>
      </c>
      <c r="Q1606" s="13">
        <v>0</v>
      </c>
      <c r="R1606" s="13">
        <v>0</v>
      </c>
      <c r="S1606" s="13">
        <v>1</v>
      </c>
      <c r="T1606" s="13">
        <v>0</v>
      </c>
      <c r="U1606" s="13">
        <v>30</v>
      </c>
      <c r="V1606" s="13" t="str" cm="1">
        <f t="array" ref="V1606">_xlfn.IFS(U1606&lt;=250,"0-R$250",U1606&lt;=500,"251-R$500",U1606&lt;=750,"501-R$750",U1606&lt;=1000,"751-R$1000",U1606&lt;=1250,"1001-R$1250",U1606&lt;=1500,"1251-R$1500")</f>
        <v>0-R$250</v>
      </c>
      <c r="W1606" s="13">
        <v>5</v>
      </c>
      <c r="X1606" s="13" t="str" cm="1">
        <f t="array" ref="X1606">_xlfn.IFS(W1606 = 0, "0", W1606&lt;=20, "até R$20",W1606&lt;=40, "21 - R$40",W1606&lt;=60, "41- R$60",W1606&lt;=80, "61 - R$80", W1606&lt;=100, "81 - R$100",W1606&lt;=120, "101 - R$120",W1606&lt;=140, "121 - R$140", W1606&lt;=160, "141- R$160", W1606&lt;=180, "161 - R$180", W1606&lt;=200, "181-R$194")</f>
        <v>até R$20</v>
      </c>
      <c r="Y1606" s="13">
        <v>23</v>
      </c>
      <c r="Z1606" s="13">
        <v>4</v>
      </c>
      <c r="AA1606" s="13">
        <v>1</v>
      </c>
      <c r="AB1606" s="13">
        <v>4</v>
      </c>
      <c r="AC1606" s="13">
        <v>1</v>
      </c>
      <c r="AD1606" s="13">
        <v>2</v>
      </c>
      <c r="AE1606" s="13">
        <v>0</v>
      </c>
      <c r="AF1606" s="13">
        <v>3</v>
      </c>
      <c r="AG1606" s="13">
        <v>7</v>
      </c>
      <c r="AH1606" s="13">
        <v>0</v>
      </c>
      <c r="AI1606" s="13">
        <v>0</v>
      </c>
      <c r="AJ1606" s="13">
        <v>0</v>
      </c>
      <c r="AK1606" s="13">
        <v>0</v>
      </c>
      <c r="AL1606" s="13">
        <v>0</v>
      </c>
      <c r="AM1606" s="13">
        <v>0</v>
      </c>
      <c r="AN1606" s="13">
        <v>0</v>
      </c>
      <c r="AO1606" s="14">
        <v>0</v>
      </c>
      <c r="AP1606" s="13">
        <v>3</v>
      </c>
      <c r="AQ1606" s="13">
        <v>11</v>
      </c>
      <c r="AR1606" s="15">
        <v>59</v>
      </c>
      <c r="AS1606" s="15">
        <v>63</v>
      </c>
    </row>
    <row r="1607" spans="1:45" x14ac:dyDescent="0.25">
      <c r="A1607">
        <v>2123</v>
      </c>
      <c r="B1607" s="11">
        <f t="shared" si="25"/>
        <v>32146</v>
      </c>
      <c r="C1607" s="16">
        <v>321460</v>
      </c>
      <c r="D1607" s="17">
        <v>1</v>
      </c>
      <c r="E1607" s="17">
        <v>0</v>
      </c>
      <c r="F1607" s="17">
        <v>16</v>
      </c>
      <c r="G1607" s="17">
        <v>37</v>
      </c>
      <c r="H1607" s="13" t="str" cm="1">
        <f t="array" ref="H1607">_xlfn.IFS(G1607&lt;=20,"0-20",G1607&lt;=30,"20-30",G1607&lt;=40,"30-40",G1607&lt;=50,"50-60",G1607&lt;=60,"60-70",G1607&lt;=70,"70-80",G1607&lt;=80,"80-90")</f>
        <v>30-40</v>
      </c>
      <c r="I1607" s="17">
        <v>2207</v>
      </c>
      <c r="J1607" s="13" t="str" cm="1">
        <f t="array" ref="J1607">_xlfn.IFS(K1607=1,"Divorciado",L1607=1,"Casado",M1607=1,"Solteiro",N1607=1,"Juntos",O1607=1,"Viuvo")</f>
        <v>Casado</v>
      </c>
      <c r="K1607" s="17">
        <v>0</v>
      </c>
      <c r="L1607" s="17">
        <v>1</v>
      </c>
      <c r="M1607" s="17">
        <v>0</v>
      </c>
      <c r="N1607" s="17">
        <v>0</v>
      </c>
      <c r="O1607" s="17">
        <v>0</v>
      </c>
      <c r="P1607" s="17">
        <v>1</v>
      </c>
      <c r="Q1607" s="17">
        <v>0</v>
      </c>
      <c r="R1607" s="17">
        <v>0</v>
      </c>
      <c r="S1607" s="17">
        <v>0</v>
      </c>
      <c r="T1607" s="17">
        <v>0</v>
      </c>
      <c r="U1607" s="17">
        <v>26</v>
      </c>
      <c r="V1607" s="13" t="str" cm="1">
        <f t="array" ref="V1607">_xlfn.IFS(U1607&lt;=250,"0-R$250",U1607&lt;=500,"251-R$500",U1607&lt;=750,"501-R$750",U1607&lt;=1000,"751-R$1000",U1607&lt;=1250,"1001-R$1250",U1607&lt;=1500,"1251-R$1500")</f>
        <v>0-R$250</v>
      </c>
      <c r="W1607" s="17">
        <v>3</v>
      </c>
      <c r="X1607" s="13" t="str" cm="1">
        <f t="array" ref="X1607">_xlfn.IFS(W1607 = 0, "0", W1607&lt;=20, "até R$20",W1607&lt;=40, "21 - R$40",W1607&lt;=60, "41- R$60",W1607&lt;=80, "61 - R$80", W1607&lt;=100, "81 - R$100",W1607&lt;=120, "101 - R$120",W1607&lt;=140, "121 - R$140", W1607&lt;=160, "141- R$160", W1607&lt;=180, "161 - R$180", W1607&lt;=200, "181-R$194")</f>
        <v>até R$20</v>
      </c>
      <c r="Y1607" s="17">
        <v>23</v>
      </c>
      <c r="Z1607" s="17">
        <v>4</v>
      </c>
      <c r="AA1607" s="17">
        <v>7</v>
      </c>
      <c r="AB1607" s="17">
        <v>3</v>
      </c>
      <c r="AC1607" s="17">
        <v>2</v>
      </c>
      <c r="AD1607" s="17">
        <v>2</v>
      </c>
      <c r="AE1607" s="17">
        <v>0</v>
      </c>
      <c r="AF1607" s="17">
        <v>4</v>
      </c>
      <c r="AG1607" s="17">
        <v>6</v>
      </c>
      <c r="AH1607" s="17">
        <v>0</v>
      </c>
      <c r="AI1607" s="17">
        <v>0</v>
      </c>
      <c r="AJ1607" s="17">
        <v>0</v>
      </c>
      <c r="AK1607" s="17">
        <v>0</v>
      </c>
      <c r="AL1607" s="17">
        <v>0</v>
      </c>
      <c r="AM1607" s="17">
        <v>0</v>
      </c>
      <c r="AN1607" s="17">
        <v>0</v>
      </c>
      <c r="AO1607" s="18">
        <v>0</v>
      </c>
      <c r="AP1607" s="17">
        <v>3</v>
      </c>
      <c r="AQ1607" s="17">
        <v>11</v>
      </c>
      <c r="AR1607" s="19">
        <v>60</v>
      </c>
      <c r="AS1607" s="19">
        <v>63</v>
      </c>
    </row>
    <row r="1608" spans="1:45" x14ac:dyDescent="0.25">
      <c r="A1608">
        <v>25</v>
      </c>
      <c r="B1608" s="11">
        <f t="shared" si="25"/>
        <v>18589</v>
      </c>
      <c r="C1608" s="16">
        <v>185890</v>
      </c>
      <c r="D1608" s="17">
        <v>0</v>
      </c>
      <c r="E1608" s="17">
        <v>0</v>
      </c>
      <c r="F1608" s="17">
        <v>89</v>
      </c>
      <c r="G1608" s="17">
        <v>51</v>
      </c>
      <c r="H1608" s="13" t="str" cm="1">
        <f t="array" ref="H1608">_xlfn.IFS(G1608&lt;=20,"0-20",G1608&lt;=30,"20-30",G1608&lt;=40,"30-40",G1608&lt;=50,"50-60",G1608&lt;=60,"60-70",G1608&lt;=70,"70-80",G1608&lt;=80,"80-90")</f>
        <v>60-70</v>
      </c>
      <c r="I1608" s="17">
        <v>2702</v>
      </c>
      <c r="J1608" s="13" t="str" cm="1">
        <f t="array" ref="J1608">_xlfn.IFS(K1608=1,"Divorciado",L1608=1,"Casado",M1608=1,"Solteiro",N1608=1,"Juntos",O1608=1,"Viuvo")</f>
        <v>Solteiro</v>
      </c>
      <c r="K1608" s="17">
        <v>0</v>
      </c>
      <c r="L1608" s="17">
        <v>0</v>
      </c>
      <c r="M1608" s="17">
        <v>1</v>
      </c>
      <c r="N1608" s="17">
        <v>0</v>
      </c>
      <c r="O1608" s="17">
        <v>0</v>
      </c>
      <c r="P1608" s="17">
        <v>0</v>
      </c>
      <c r="Q1608" s="17">
        <v>0</v>
      </c>
      <c r="R1608" s="17">
        <v>1</v>
      </c>
      <c r="S1608" s="17">
        <v>0</v>
      </c>
      <c r="T1608" s="17">
        <v>0</v>
      </c>
      <c r="U1608" s="17">
        <v>6</v>
      </c>
      <c r="V1608" s="13" t="str" cm="1">
        <f t="array" ref="V1608">_xlfn.IFS(U1608&lt;=250,"0-R$250",U1608&lt;=500,"251-R$500",U1608&lt;=750,"501-R$750",U1608&lt;=1000,"751-R$1000",U1608&lt;=1250,"1001-R$1250",U1608&lt;=1500,"1251-R$1500")</f>
        <v>0-R$250</v>
      </c>
      <c r="W1608" s="17">
        <v>4</v>
      </c>
      <c r="X1608" s="13" t="str" cm="1">
        <f t="array" ref="X1608">_xlfn.IFS(W1608 = 0, "0", W1608&lt;=20, "até R$20",W1608&lt;=40, "21 - R$40",W1608&lt;=60, "41- R$60",W1608&lt;=80, "61 - R$80", W1608&lt;=100, "81 - R$100",W1608&lt;=120, "101 - R$120",W1608&lt;=140, "121 - R$140", W1608&lt;=160, "141- R$160", W1608&lt;=180, "161 - R$180", W1608&lt;=200, "181-R$194")</f>
        <v>até R$20</v>
      </c>
      <c r="Y1608" s="17">
        <v>25</v>
      </c>
      <c r="Z1608" s="17">
        <v>15</v>
      </c>
      <c r="AA1608" s="17">
        <v>12</v>
      </c>
      <c r="AB1608" s="17">
        <v>13</v>
      </c>
      <c r="AC1608" s="17">
        <v>2</v>
      </c>
      <c r="AD1608" s="17">
        <v>2</v>
      </c>
      <c r="AE1608" s="17">
        <v>1</v>
      </c>
      <c r="AF1608" s="17">
        <v>3</v>
      </c>
      <c r="AG1608" s="17">
        <v>7</v>
      </c>
      <c r="AH1608" s="17">
        <v>0</v>
      </c>
      <c r="AI1608" s="17">
        <v>0</v>
      </c>
      <c r="AJ1608" s="17">
        <v>0</v>
      </c>
      <c r="AK1608" s="17">
        <v>0</v>
      </c>
      <c r="AL1608" s="17">
        <v>0</v>
      </c>
      <c r="AM1608" s="17">
        <v>0</v>
      </c>
      <c r="AN1608" s="17">
        <v>0</v>
      </c>
      <c r="AO1608" s="18">
        <v>0</v>
      </c>
      <c r="AP1608" s="17">
        <v>3</v>
      </c>
      <c r="AQ1608" s="17">
        <v>11</v>
      </c>
      <c r="AR1608" s="19">
        <v>49</v>
      </c>
      <c r="AS1608" s="19">
        <v>62</v>
      </c>
    </row>
    <row r="1609" spans="1:45" x14ac:dyDescent="0.25">
      <c r="A1609">
        <v>34</v>
      </c>
      <c r="B1609" s="11">
        <f t="shared" si="25"/>
        <v>49389</v>
      </c>
      <c r="C1609" s="12">
        <v>493890</v>
      </c>
      <c r="D1609" s="13">
        <v>1</v>
      </c>
      <c r="E1609" s="13">
        <v>1</v>
      </c>
      <c r="F1609" s="13">
        <v>55</v>
      </c>
      <c r="G1609" s="13">
        <v>69</v>
      </c>
      <c r="H1609" s="13" t="str" cm="1">
        <f t="array" ref="H1609">_xlfn.IFS(G1609&lt;=20,"0-20",G1609&lt;=30,"20-30",G1609&lt;=40,"30-40",G1609&lt;=50,"50-60",G1609&lt;=60,"60-70",G1609&lt;=70,"70-80",G1609&lt;=80,"80-90")</f>
        <v>70-80</v>
      </c>
      <c r="I1609" s="13">
        <v>2463</v>
      </c>
      <c r="J1609" s="13" t="str" cm="1">
        <f t="array" ref="J1609">_xlfn.IFS(K1609=1,"Divorciado",L1609=1,"Casado",M1609=1,"Solteiro",N1609=1,"Juntos",O1609=1,"Viuvo")</f>
        <v>Solteiro</v>
      </c>
      <c r="K1609" s="13">
        <v>0</v>
      </c>
      <c r="L1609" s="13">
        <v>0</v>
      </c>
      <c r="M1609" s="13">
        <v>1</v>
      </c>
      <c r="N1609" s="13">
        <v>0</v>
      </c>
      <c r="O1609" s="13">
        <v>0</v>
      </c>
      <c r="P1609" s="13">
        <v>0</v>
      </c>
      <c r="Q1609" s="13">
        <v>0</v>
      </c>
      <c r="R1609" s="13">
        <v>0</v>
      </c>
      <c r="S1609" s="13">
        <v>1</v>
      </c>
      <c r="T1609" s="13">
        <v>0</v>
      </c>
      <c r="U1609" s="13">
        <v>40</v>
      </c>
      <c r="V1609" s="13" t="str" cm="1">
        <f t="array" ref="V1609">_xlfn.IFS(U1609&lt;=250,"0-R$250",U1609&lt;=500,"251-R$500",U1609&lt;=750,"501-R$750",U1609&lt;=1000,"751-R$1000",U1609&lt;=1250,"1001-R$1250",U1609&lt;=1500,"1251-R$1500")</f>
        <v>0-R$250</v>
      </c>
      <c r="W1609" s="13">
        <v>0</v>
      </c>
      <c r="X1609" s="13" t="str" cm="1">
        <f t="array" ref="X1609">_xlfn.IFS(W1609 = 0, "0", W1609&lt;=20, "até R$20",W1609&lt;=40, "21 - R$40",W1609&lt;=60, "41- R$60",W1609&lt;=80, "61 - R$80", W1609&lt;=100, "81 - R$100",W1609&lt;=120, "101 - R$120",W1609&lt;=140, "121 - R$140", W1609&lt;=160, "141- R$160", W1609&lt;=180, "161 - R$180", W1609&lt;=200, "181-R$194")</f>
        <v>0</v>
      </c>
      <c r="Y1609" s="13">
        <v>19</v>
      </c>
      <c r="Z1609" s="13">
        <v>2</v>
      </c>
      <c r="AA1609" s="13">
        <v>1</v>
      </c>
      <c r="AB1609" s="13">
        <v>3</v>
      </c>
      <c r="AC1609" s="13">
        <v>1</v>
      </c>
      <c r="AD1609" s="13">
        <v>2</v>
      </c>
      <c r="AE1609" s="13">
        <v>0</v>
      </c>
      <c r="AF1609" s="13">
        <v>3</v>
      </c>
      <c r="AG1609" s="13">
        <v>7</v>
      </c>
      <c r="AH1609" s="13">
        <v>0</v>
      </c>
      <c r="AI1609" s="13">
        <v>0</v>
      </c>
      <c r="AJ1609" s="13">
        <v>0</v>
      </c>
      <c r="AK1609" s="13">
        <v>0</v>
      </c>
      <c r="AL1609" s="13">
        <v>0</v>
      </c>
      <c r="AM1609" s="13">
        <v>0</v>
      </c>
      <c r="AN1609" s="13">
        <v>0</v>
      </c>
      <c r="AO1609" s="14">
        <v>0</v>
      </c>
      <c r="AP1609" s="13">
        <v>3</v>
      </c>
      <c r="AQ1609" s="13">
        <v>11</v>
      </c>
      <c r="AR1609" s="15">
        <v>59</v>
      </c>
      <c r="AS1609" s="15">
        <v>62</v>
      </c>
    </row>
    <row r="1610" spans="1:45" x14ac:dyDescent="0.25">
      <c r="A1610">
        <v>92</v>
      </c>
      <c r="B1610" s="11">
        <f t="shared" si="25"/>
        <v>47823</v>
      </c>
      <c r="C1610" s="12">
        <v>478230</v>
      </c>
      <c r="D1610" s="13">
        <v>0</v>
      </c>
      <c r="E1610" s="13">
        <v>1</v>
      </c>
      <c r="F1610" s="13">
        <v>0</v>
      </c>
      <c r="G1610" s="13">
        <v>60</v>
      </c>
      <c r="H1610" s="13" t="str" cm="1">
        <f t="array" ref="H1610">_xlfn.IFS(G1610&lt;=20,"0-20",G1610&lt;=30,"20-30",G1610&lt;=40,"30-40",G1610&lt;=50,"50-60",G1610&lt;=60,"60-70",G1610&lt;=70,"70-80",G1610&lt;=80,"80-90")</f>
        <v>60-70</v>
      </c>
      <c r="I1610" s="13">
        <v>2500</v>
      </c>
      <c r="J1610" s="13" t="str" cm="1">
        <f t="array" ref="J1610">_xlfn.IFS(K1610=1,"Divorciado",L1610=1,"Casado",M1610=1,"Solteiro",N1610=1,"Juntos",O1610=1,"Viuvo")</f>
        <v>Solteiro</v>
      </c>
      <c r="K1610" s="13">
        <v>0</v>
      </c>
      <c r="L1610" s="13">
        <v>0</v>
      </c>
      <c r="M1610" s="13">
        <v>1</v>
      </c>
      <c r="N1610" s="13">
        <v>0</v>
      </c>
      <c r="O1610" s="13">
        <v>0</v>
      </c>
      <c r="P1610" s="13">
        <v>1</v>
      </c>
      <c r="Q1610" s="13">
        <v>0</v>
      </c>
      <c r="R1610" s="13">
        <v>0</v>
      </c>
      <c r="S1610" s="13">
        <v>0</v>
      </c>
      <c r="T1610" s="13">
        <v>0</v>
      </c>
      <c r="U1610" s="13">
        <v>53</v>
      </c>
      <c r="V1610" s="13" t="str" cm="1">
        <f t="array" ref="V1610">_xlfn.IFS(U1610&lt;=250,"0-R$250",U1610&lt;=500,"251-R$500",U1610&lt;=750,"501-R$750",U1610&lt;=1000,"751-R$1000",U1610&lt;=1250,"1001-R$1250",U1610&lt;=1500,"1251-R$1500")</f>
        <v>0-R$250</v>
      </c>
      <c r="W1610" s="13">
        <v>1</v>
      </c>
      <c r="X1610" s="13" t="str" cm="1">
        <f t="array" ref="X1610">_xlfn.IFS(W1610 = 0, "0", W1610&lt;=20, "até R$20",W1610&lt;=40, "21 - R$40",W1610&lt;=60, "41- R$60",W1610&lt;=80, "61 - R$80", W1610&lt;=100, "81 - R$100",W1610&lt;=120, "101 - R$120",W1610&lt;=140, "121 - R$140", W1610&lt;=160, "141- R$160", W1610&lt;=180, "161 - R$180", W1610&lt;=200, "181-R$194")</f>
        <v>até R$20</v>
      </c>
      <c r="Y1610" s="13">
        <v>5</v>
      </c>
      <c r="Z1610" s="13">
        <v>2</v>
      </c>
      <c r="AA1610" s="13">
        <v>1</v>
      </c>
      <c r="AB1610" s="13">
        <v>10</v>
      </c>
      <c r="AC1610" s="13">
        <v>2</v>
      </c>
      <c r="AD1610" s="13">
        <v>2</v>
      </c>
      <c r="AE1610" s="13">
        <v>0</v>
      </c>
      <c r="AF1610" s="13">
        <v>3</v>
      </c>
      <c r="AG1610" s="13">
        <v>8</v>
      </c>
      <c r="AH1610" s="13">
        <v>0</v>
      </c>
      <c r="AI1610" s="13">
        <v>0</v>
      </c>
      <c r="AJ1610" s="13">
        <v>0</v>
      </c>
      <c r="AK1610" s="13">
        <v>0</v>
      </c>
      <c r="AL1610" s="13">
        <v>0</v>
      </c>
      <c r="AM1610" s="13">
        <v>0</v>
      </c>
      <c r="AN1610" s="13">
        <v>0</v>
      </c>
      <c r="AO1610" s="14">
        <v>0</v>
      </c>
      <c r="AP1610" s="13">
        <v>3</v>
      </c>
      <c r="AQ1610" s="13">
        <v>11</v>
      </c>
      <c r="AR1610" s="15">
        <v>52</v>
      </c>
      <c r="AS1610" s="15">
        <v>62</v>
      </c>
    </row>
    <row r="1611" spans="1:45" x14ac:dyDescent="0.25">
      <c r="A1611">
        <v>558</v>
      </c>
      <c r="B1611" s="11">
        <f t="shared" si="25"/>
        <v>36959</v>
      </c>
      <c r="C1611" s="12">
        <v>369590</v>
      </c>
      <c r="D1611" s="13">
        <v>1</v>
      </c>
      <c r="E1611" s="13">
        <v>0</v>
      </c>
      <c r="F1611" s="13">
        <v>56</v>
      </c>
      <c r="G1611" s="13">
        <v>39</v>
      </c>
      <c r="H1611" s="13" t="str" cm="1">
        <f t="array" ref="H1611">_xlfn.IFS(G1611&lt;=20,"0-20",G1611&lt;=30,"20-30",G1611&lt;=40,"30-40",G1611&lt;=50,"50-60",G1611&lt;=60,"60-70",G1611&lt;=70,"70-80",G1611&lt;=80,"80-90")</f>
        <v>30-40</v>
      </c>
      <c r="I1611" s="13">
        <v>2429</v>
      </c>
      <c r="J1611" s="13" t="str" cm="1">
        <f t="array" ref="J1611">_xlfn.IFS(K1611=1,"Divorciado",L1611=1,"Casado",M1611=1,"Solteiro",N1611=1,"Juntos",O1611=1,"Viuvo")</f>
        <v>Casado</v>
      </c>
      <c r="K1611" s="13">
        <v>0</v>
      </c>
      <c r="L1611" s="13">
        <v>1</v>
      </c>
      <c r="M1611" s="13">
        <v>0</v>
      </c>
      <c r="N1611" s="13">
        <v>0</v>
      </c>
      <c r="O1611" s="13">
        <v>0</v>
      </c>
      <c r="P1611" s="13">
        <v>0</v>
      </c>
      <c r="Q1611" s="13">
        <v>0</v>
      </c>
      <c r="R1611" s="13">
        <v>0</v>
      </c>
      <c r="S1611" s="13">
        <v>1</v>
      </c>
      <c r="T1611" s="13">
        <v>0</v>
      </c>
      <c r="U1611" s="13">
        <v>25</v>
      </c>
      <c r="V1611" s="13" t="str" cm="1">
        <f t="array" ref="V1611">_xlfn.IFS(U1611&lt;=250,"0-R$250",U1611&lt;=500,"251-R$500",U1611&lt;=750,"501-R$750",U1611&lt;=1000,"751-R$1000",U1611&lt;=1250,"1001-R$1250",U1611&lt;=1500,"1251-R$1500")</f>
        <v>0-R$250</v>
      </c>
      <c r="W1611" s="13">
        <v>6</v>
      </c>
      <c r="X1611" s="13" t="str" cm="1">
        <f t="array" ref="X1611">_xlfn.IFS(W1611 = 0, "0", W1611&lt;=20, "até R$20",W1611&lt;=40, "21 - R$40",W1611&lt;=60, "41- R$60",W1611&lt;=80, "61 - R$80", W1611&lt;=100, "81 - R$100",W1611&lt;=120, "101 - R$120",W1611&lt;=140, "121 - R$140", W1611&lt;=160, "141- R$160", W1611&lt;=180, "161 - R$180", W1611&lt;=200, "181-R$194")</f>
        <v>até R$20</v>
      </c>
      <c r="Y1611" s="13">
        <v>25</v>
      </c>
      <c r="Z1611" s="13">
        <v>6</v>
      </c>
      <c r="AA1611" s="13">
        <v>0</v>
      </c>
      <c r="AB1611" s="13">
        <v>0</v>
      </c>
      <c r="AC1611" s="13">
        <v>2</v>
      </c>
      <c r="AD1611" s="13">
        <v>2</v>
      </c>
      <c r="AE1611" s="13">
        <v>0</v>
      </c>
      <c r="AF1611" s="13">
        <v>3</v>
      </c>
      <c r="AG1611" s="13">
        <v>8</v>
      </c>
      <c r="AH1611" s="13">
        <v>0</v>
      </c>
      <c r="AI1611" s="13">
        <v>0</v>
      </c>
      <c r="AJ1611" s="13">
        <v>0</v>
      </c>
      <c r="AK1611" s="13">
        <v>0</v>
      </c>
      <c r="AL1611" s="13">
        <v>0</v>
      </c>
      <c r="AM1611" s="13">
        <v>0</v>
      </c>
      <c r="AN1611" s="13">
        <v>0</v>
      </c>
      <c r="AO1611" s="14">
        <v>0</v>
      </c>
      <c r="AP1611" s="13">
        <v>3</v>
      </c>
      <c r="AQ1611" s="13">
        <v>11</v>
      </c>
      <c r="AR1611" s="15">
        <v>62</v>
      </c>
      <c r="AS1611" s="15">
        <v>62</v>
      </c>
    </row>
    <row r="1612" spans="1:45" x14ac:dyDescent="0.25">
      <c r="A1612">
        <v>1108</v>
      </c>
      <c r="B1612" s="11">
        <f t="shared" si="25"/>
        <v>46931</v>
      </c>
      <c r="C1612" s="12">
        <v>469310</v>
      </c>
      <c r="D1612" s="13">
        <v>2</v>
      </c>
      <c r="E1612" s="13">
        <v>1</v>
      </c>
      <c r="F1612" s="13">
        <v>94</v>
      </c>
      <c r="G1612" s="13">
        <v>43</v>
      </c>
      <c r="H1612" s="13" t="str" cm="1">
        <f t="array" ref="H1612">_xlfn.IFS(G1612&lt;=20,"0-20",G1612&lt;=30,"20-30",G1612&lt;=40,"30-40",G1612&lt;=50,"50-60",G1612&lt;=60,"60-70",G1612&lt;=70,"70-80",G1612&lt;=80,"80-90")</f>
        <v>50-60</v>
      </c>
      <c r="I1612" s="13">
        <v>2225</v>
      </c>
      <c r="J1612" s="13" t="str" cm="1">
        <f t="array" ref="J1612">_xlfn.IFS(K1612=1,"Divorciado",L1612=1,"Casado",M1612=1,"Solteiro",N1612=1,"Juntos",O1612=1,"Viuvo")</f>
        <v>Juntos</v>
      </c>
      <c r="K1612" s="13">
        <v>0</v>
      </c>
      <c r="L1612" s="13">
        <v>0</v>
      </c>
      <c r="M1612" s="13">
        <v>0</v>
      </c>
      <c r="N1612" s="13">
        <v>1</v>
      </c>
      <c r="O1612" s="13">
        <v>0</v>
      </c>
      <c r="P1612" s="13">
        <v>0</v>
      </c>
      <c r="Q1612" s="13">
        <v>0</v>
      </c>
      <c r="R1612" s="13">
        <v>1</v>
      </c>
      <c r="S1612" s="13">
        <v>0</v>
      </c>
      <c r="T1612" s="13">
        <v>0</v>
      </c>
      <c r="U1612" s="13">
        <v>41</v>
      </c>
      <c r="V1612" s="13" t="str" cm="1">
        <f t="array" ref="V1612">_xlfn.IFS(U1612&lt;=250,"0-R$250",U1612&lt;=500,"251-R$500",U1612&lt;=750,"501-R$750",U1612&lt;=1000,"751-R$1000",U1612&lt;=1250,"1001-R$1250",U1612&lt;=1500,"1251-R$1500")</f>
        <v>0-R$250</v>
      </c>
      <c r="W1612" s="13">
        <v>0</v>
      </c>
      <c r="X1612" s="13" t="str" cm="1">
        <f t="array" ref="X1612">_xlfn.IFS(W1612 = 0, "0", W1612&lt;=20, "até R$20",W1612&lt;=40, "21 - R$40",W1612&lt;=60, "41- R$60",W1612&lt;=80, "61 - R$80", W1612&lt;=100, "81 - R$100",W1612&lt;=120, "101 - R$120",W1612&lt;=140, "121 - R$140", W1612&lt;=160, "141- R$160", W1612&lt;=180, "161 - R$180", W1612&lt;=200, "181-R$194")</f>
        <v>0</v>
      </c>
      <c r="Y1612" s="13">
        <v>17</v>
      </c>
      <c r="Z1612" s="13">
        <v>3</v>
      </c>
      <c r="AA1612" s="13">
        <v>1</v>
      </c>
      <c r="AB1612" s="13">
        <v>16</v>
      </c>
      <c r="AC1612" s="13">
        <v>2</v>
      </c>
      <c r="AD1612" s="13">
        <v>1</v>
      </c>
      <c r="AE1612" s="13">
        <v>1</v>
      </c>
      <c r="AF1612" s="13">
        <v>3</v>
      </c>
      <c r="AG1612" s="13">
        <v>3</v>
      </c>
      <c r="AH1612" s="13">
        <v>0</v>
      </c>
      <c r="AI1612" s="13">
        <v>0</v>
      </c>
      <c r="AJ1612" s="13">
        <v>0</v>
      </c>
      <c r="AK1612" s="13">
        <v>0</v>
      </c>
      <c r="AL1612" s="13">
        <v>0</v>
      </c>
      <c r="AM1612" s="13">
        <v>0</v>
      </c>
      <c r="AN1612" s="13">
        <v>0</v>
      </c>
      <c r="AO1612" s="14">
        <v>0</v>
      </c>
      <c r="AP1612" s="13">
        <v>3</v>
      </c>
      <c r="AQ1612" s="13">
        <v>11</v>
      </c>
      <c r="AR1612" s="15">
        <v>46</v>
      </c>
      <c r="AS1612" s="15">
        <v>62</v>
      </c>
    </row>
    <row r="1613" spans="1:45" x14ac:dyDescent="0.25">
      <c r="A1613">
        <v>1204</v>
      </c>
      <c r="B1613" s="11">
        <f t="shared" si="25"/>
        <v>40211</v>
      </c>
      <c r="C1613" s="12">
        <v>402110</v>
      </c>
      <c r="D1613" s="13">
        <v>1</v>
      </c>
      <c r="E1613" s="13">
        <v>1</v>
      </c>
      <c r="F1613" s="13">
        <v>30</v>
      </c>
      <c r="G1613" s="13">
        <v>39</v>
      </c>
      <c r="H1613" s="13" t="str" cm="1">
        <f t="array" ref="H1613">_xlfn.IFS(G1613&lt;=20,"0-20",G1613&lt;=30,"20-30",G1613&lt;=40,"30-40",G1613&lt;=50,"50-60",G1613&lt;=60,"60-70",G1613&lt;=70,"70-80",G1613&lt;=80,"80-90")</f>
        <v>30-40</v>
      </c>
      <c r="I1613" s="13">
        <v>2493</v>
      </c>
      <c r="J1613" s="13" t="str" cm="1">
        <f t="array" ref="J1613">_xlfn.IFS(K1613=1,"Divorciado",L1613=1,"Casado",M1613=1,"Solteiro",N1613=1,"Juntos",O1613=1,"Viuvo")</f>
        <v>Casado</v>
      </c>
      <c r="K1613" s="13">
        <v>0</v>
      </c>
      <c r="L1613" s="13">
        <v>1</v>
      </c>
      <c r="M1613" s="13">
        <v>0</v>
      </c>
      <c r="N1613" s="13">
        <v>0</v>
      </c>
      <c r="O1613" s="13">
        <v>0</v>
      </c>
      <c r="P1613" s="13">
        <v>0</v>
      </c>
      <c r="Q1613" s="13">
        <v>0</v>
      </c>
      <c r="R1613" s="13">
        <v>1</v>
      </c>
      <c r="S1613" s="13">
        <v>0</v>
      </c>
      <c r="T1613" s="13">
        <v>0</v>
      </c>
      <c r="U1613" s="13">
        <v>51</v>
      </c>
      <c r="V1613" s="13" t="str" cm="1">
        <f t="array" ref="V1613">_xlfn.IFS(U1613&lt;=250,"0-R$250",U1613&lt;=500,"251-R$500",U1613&lt;=750,"501-R$750",U1613&lt;=1000,"751-R$1000",U1613&lt;=1250,"1001-R$1250",U1613&lt;=1500,"1251-R$1500")</f>
        <v>0-R$250</v>
      </c>
      <c r="W1613" s="13">
        <v>1</v>
      </c>
      <c r="X1613" s="13" t="str" cm="1">
        <f t="array" ref="X1613">_xlfn.IFS(W1613 = 0, "0", W1613&lt;=20, "até R$20",W1613&lt;=40, "21 - R$40",W1613&lt;=60, "41- R$60",W1613&lt;=80, "61 - R$80", W1613&lt;=100, "81 - R$100",W1613&lt;=120, "101 - R$120",W1613&lt;=140, "121 - R$140", W1613&lt;=160, "141- R$160", W1613&lt;=180, "161 - R$180", W1613&lt;=200, "181-R$194")</f>
        <v>até R$20</v>
      </c>
      <c r="Y1613" s="13">
        <v>7</v>
      </c>
      <c r="Z1613" s="13">
        <v>2</v>
      </c>
      <c r="AA1613" s="13">
        <v>1</v>
      </c>
      <c r="AB1613" s="13">
        <v>25</v>
      </c>
      <c r="AC1613" s="13">
        <v>2</v>
      </c>
      <c r="AD1613" s="13">
        <v>2</v>
      </c>
      <c r="AE1613" s="13">
        <v>1</v>
      </c>
      <c r="AF1613" s="13">
        <v>2</v>
      </c>
      <c r="AG1613" s="13">
        <v>8</v>
      </c>
      <c r="AH1613" s="13">
        <v>0</v>
      </c>
      <c r="AI1613" s="13">
        <v>1</v>
      </c>
      <c r="AJ1613" s="13">
        <v>0</v>
      </c>
      <c r="AK1613" s="13">
        <v>0</v>
      </c>
      <c r="AL1613" s="13">
        <v>0</v>
      </c>
      <c r="AM1613" s="13">
        <v>0</v>
      </c>
      <c r="AN1613" s="13">
        <v>0</v>
      </c>
      <c r="AO1613" s="14">
        <v>1</v>
      </c>
      <c r="AP1613" s="13">
        <v>3</v>
      </c>
      <c r="AQ1613" s="13">
        <v>11</v>
      </c>
      <c r="AR1613" s="15">
        <v>37</v>
      </c>
      <c r="AS1613" s="15">
        <v>62</v>
      </c>
    </row>
    <row r="1614" spans="1:45" x14ac:dyDescent="0.25">
      <c r="A1614">
        <v>1222</v>
      </c>
      <c r="B1614" s="11">
        <f t="shared" si="25"/>
        <v>59062</v>
      </c>
      <c r="C1614" s="12">
        <v>590620</v>
      </c>
      <c r="D1614" s="13">
        <v>2</v>
      </c>
      <c r="E1614" s="13">
        <v>1</v>
      </c>
      <c r="F1614" s="13">
        <v>74</v>
      </c>
      <c r="G1614" s="13">
        <v>53</v>
      </c>
      <c r="H1614" s="13" t="str" cm="1">
        <f t="array" ref="H1614">_xlfn.IFS(G1614&lt;=20,"0-20",G1614&lt;=30,"20-30",G1614&lt;=40,"30-40",G1614&lt;=50,"50-60",G1614&lt;=60,"60-70",G1614&lt;=70,"70-80",G1614&lt;=80,"80-90")</f>
        <v>60-70</v>
      </c>
      <c r="I1614" s="13">
        <v>2428</v>
      </c>
      <c r="J1614" s="13" t="str" cm="1">
        <f t="array" ref="J1614">_xlfn.IFS(K1614=1,"Divorciado",L1614=1,"Casado",M1614=1,"Solteiro",N1614=1,"Juntos",O1614=1,"Viuvo")</f>
        <v>Casado</v>
      </c>
      <c r="K1614" s="13">
        <v>0</v>
      </c>
      <c r="L1614" s="13">
        <v>1</v>
      </c>
      <c r="M1614" s="13">
        <v>0</v>
      </c>
      <c r="N1614" s="13">
        <v>0</v>
      </c>
      <c r="O1614" s="13">
        <v>0</v>
      </c>
      <c r="P1614" s="13">
        <v>0</v>
      </c>
      <c r="Q1614" s="13">
        <v>0</v>
      </c>
      <c r="R1614" s="13">
        <v>0</v>
      </c>
      <c r="S1614" s="13">
        <v>0</v>
      </c>
      <c r="T1614" s="13">
        <v>1</v>
      </c>
      <c r="U1614" s="13">
        <v>46</v>
      </c>
      <c r="V1614" s="13" t="str" cm="1">
        <f t="array" ref="V1614">_xlfn.IFS(U1614&lt;=250,"0-R$250",U1614&lt;=500,"251-R$500",U1614&lt;=750,"501-R$750",U1614&lt;=1000,"751-R$1000",U1614&lt;=1250,"1001-R$1250",U1614&lt;=1500,"1251-R$1500")</f>
        <v>0-R$250</v>
      </c>
      <c r="W1614" s="13">
        <v>1</v>
      </c>
      <c r="X1614" s="13" t="str" cm="1">
        <f t="array" ref="X1614">_xlfn.IFS(W1614 = 0, "0", W1614&lt;=20, "até R$20",W1614&lt;=40, "21 - R$40",W1614&lt;=60, "41- R$60",W1614&lt;=80, "61 - R$80", W1614&lt;=100, "81 - R$100",W1614&lt;=120, "101 - R$120",W1614&lt;=140, "121 - R$140", W1614&lt;=160, "141- R$160", W1614&lt;=180, "161 - R$180", W1614&lt;=200, "181-R$194")</f>
        <v>até R$20</v>
      </c>
      <c r="Y1614" s="13">
        <v>12</v>
      </c>
      <c r="Z1614" s="13">
        <v>3</v>
      </c>
      <c r="AA1614" s="13">
        <v>0</v>
      </c>
      <c r="AB1614" s="13">
        <v>9</v>
      </c>
      <c r="AC1614" s="13">
        <v>2</v>
      </c>
      <c r="AD1614" s="13">
        <v>2</v>
      </c>
      <c r="AE1614" s="13">
        <v>0</v>
      </c>
      <c r="AF1614" s="13">
        <v>3</v>
      </c>
      <c r="AG1614" s="13">
        <v>4</v>
      </c>
      <c r="AH1614" s="13">
        <v>0</v>
      </c>
      <c r="AI1614" s="13">
        <v>0</v>
      </c>
      <c r="AJ1614" s="13">
        <v>0</v>
      </c>
      <c r="AK1614" s="13">
        <v>0</v>
      </c>
      <c r="AL1614" s="13">
        <v>0</v>
      </c>
      <c r="AM1614" s="13">
        <v>0</v>
      </c>
      <c r="AN1614" s="13">
        <v>0</v>
      </c>
      <c r="AO1614" s="14">
        <v>0</v>
      </c>
      <c r="AP1614" s="13">
        <v>3</v>
      </c>
      <c r="AQ1614" s="13">
        <v>11</v>
      </c>
      <c r="AR1614" s="15">
        <v>53</v>
      </c>
      <c r="AS1614" s="15">
        <v>62</v>
      </c>
    </row>
    <row r="1615" spans="1:45" x14ac:dyDescent="0.25">
      <c r="A1615">
        <v>1416</v>
      </c>
      <c r="B1615" s="11">
        <f t="shared" si="25"/>
        <v>33402</v>
      </c>
      <c r="C1615" s="12">
        <v>334020</v>
      </c>
      <c r="D1615" s="13">
        <v>1</v>
      </c>
      <c r="E1615" s="13">
        <v>1</v>
      </c>
      <c r="F1615" s="13">
        <v>60</v>
      </c>
      <c r="G1615" s="13">
        <v>68</v>
      </c>
      <c r="H1615" s="13" t="str" cm="1">
        <f t="array" ref="H1615">_xlfn.IFS(G1615&lt;=20,"0-20",G1615&lt;=30,"20-30",G1615&lt;=40,"30-40",G1615&lt;=50,"50-60",G1615&lt;=60,"60-70",G1615&lt;=70,"70-80",G1615&lt;=80,"80-90")</f>
        <v>70-80</v>
      </c>
      <c r="I1615" s="13">
        <v>2505</v>
      </c>
      <c r="J1615" s="13" t="str" cm="1">
        <f t="array" ref="J1615">_xlfn.IFS(K1615=1,"Divorciado",L1615=1,"Casado",M1615=1,"Solteiro",N1615=1,"Juntos",O1615=1,"Viuvo")</f>
        <v>Juntos</v>
      </c>
      <c r="K1615" s="13">
        <v>0</v>
      </c>
      <c r="L1615" s="13">
        <v>0</v>
      </c>
      <c r="M1615" s="13">
        <v>0</v>
      </c>
      <c r="N1615" s="13">
        <v>1</v>
      </c>
      <c r="O1615" s="13">
        <v>0</v>
      </c>
      <c r="P1615" s="13">
        <v>0</v>
      </c>
      <c r="Q1615" s="13">
        <v>0</v>
      </c>
      <c r="R1615" s="13">
        <v>1</v>
      </c>
      <c r="S1615" s="13">
        <v>0</v>
      </c>
      <c r="T1615" s="13">
        <v>0</v>
      </c>
      <c r="U1615" s="13">
        <v>26</v>
      </c>
      <c r="V1615" s="13" t="str" cm="1">
        <f t="array" ref="V1615">_xlfn.IFS(U1615&lt;=250,"0-R$250",U1615&lt;=500,"251-R$500",U1615&lt;=750,"501-R$750",U1615&lt;=1000,"751-R$1000",U1615&lt;=1250,"1001-R$1250",U1615&lt;=1500,"1251-R$1500")</f>
        <v>0-R$250</v>
      </c>
      <c r="W1615" s="13">
        <v>2</v>
      </c>
      <c r="X1615" s="13" t="str" cm="1">
        <f t="array" ref="X1615">_xlfn.IFS(W1615 = 0, "0", W1615&lt;=20, "até R$20",W1615&lt;=40, "21 - R$40",W1615&lt;=60, "41- R$60",W1615&lt;=80, "61 - R$80", W1615&lt;=100, "81 - R$100",W1615&lt;=120, "101 - R$120",W1615&lt;=140, "121 - R$140", W1615&lt;=160, "141- R$160", W1615&lt;=180, "161 - R$180", W1615&lt;=200, "181-R$194")</f>
        <v>até R$20</v>
      </c>
      <c r="Y1615" s="13">
        <v>19</v>
      </c>
      <c r="Z1615" s="13">
        <v>10</v>
      </c>
      <c r="AA1615" s="13">
        <v>5</v>
      </c>
      <c r="AB1615" s="13">
        <v>8</v>
      </c>
      <c r="AC1615" s="13">
        <v>3</v>
      </c>
      <c r="AD1615" s="13">
        <v>2</v>
      </c>
      <c r="AE1615" s="13">
        <v>1</v>
      </c>
      <c r="AF1615" s="13">
        <v>3</v>
      </c>
      <c r="AG1615" s="13">
        <v>8</v>
      </c>
      <c r="AH1615" s="13">
        <v>0</v>
      </c>
      <c r="AI1615" s="13">
        <v>0</v>
      </c>
      <c r="AJ1615" s="13">
        <v>0</v>
      </c>
      <c r="AK1615" s="13">
        <v>0</v>
      </c>
      <c r="AL1615" s="13">
        <v>0</v>
      </c>
      <c r="AM1615" s="13">
        <v>0</v>
      </c>
      <c r="AN1615" s="13">
        <v>0</v>
      </c>
      <c r="AO1615" s="14">
        <v>0</v>
      </c>
      <c r="AP1615" s="13">
        <v>3</v>
      </c>
      <c r="AQ1615" s="13">
        <v>11</v>
      </c>
      <c r="AR1615" s="15">
        <v>54</v>
      </c>
      <c r="AS1615" s="15">
        <v>62</v>
      </c>
    </row>
    <row r="1616" spans="1:45" x14ac:dyDescent="0.25">
      <c r="A1616">
        <v>1687</v>
      </c>
      <c r="B1616" s="11">
        <f t="shared" si="25"/>
        <v>41154</v>
      </c>
      <c r="C1616" s="16">
        <v>411540</v>
      </c>
      <c r="D1616" s="17">
        <v>0</v>
      </c>
      <c r="E1616" s="17">
        <v>1</v>
      </c>
      <c r="F1616" s="17">
        <v>98</v>
      </c>
      <c r="G1616" s="17">
        <v>42</v>
      </c>
      <c r="H1616" s="13" t="str" cm="1">
        <f t="array" ref="H1616">_xlfn.IFS(G1616&lt;=20,"0-20",G1616&lt;=30,"20-30",G1616&lt;=40,"30-40",G1616&lt;=50,"50-60",G1616&lt;=60,"60-70",G1616&lt;=70,"70-80",G1616&lt;=80,"80-90")</f>
        <v>50-60</v>
      </c>
      <c r="I1616" s="17">
        <v>2605</v>
      </c>
      <c r="J1616" s="13" t="str" cm="1">
        <f t="array" ref="J1616">_xlfn.IFS(K1616=1,"Divorciado",L1616=1,"Casado",M1616=1,"Solteiro",N1616=1,"Juntos",O1616=1,"Viuvo")</f>
        <v>Juntos</v>
      </c>
      <c r="K1616" s="17">
        <v>0</v>
      </c>
      <c r="L1616" s="17">
        <v>0</v>
      </c>
      <c r="M1616" s="17">
        <v>0</v>
      </c>
      <c r="N1616" s="17">
        <v>1</v>
      </c>
      <c r="O1616" s="17">
        <v>0</v>
      </c>
      <c r="P1616" s="17">
        <v>0</v>
      </c>
      <c r="Q1616" s="17">
        <v>0</v>
      </c>
      <c r="R1616" s="17">
        <v>1</v>
      </c>
      <c r="S1616" s="17">
        <v>0</v>
      </c>
      <c r="T1616" s="17">
        <v>0</v>
      </c>
      <c r="U1616" s="17">
        <v>44</v>
      </c>
      <c r="V1616" s="13" t="str" cm="1">
        <f t="array" ref="V1616">_xlfn.IFS(U1616&lt;=250,"0-R$250",U1616&lt;=500,"251-R$500",U1616&lt;=750,"501-R$750",U1616&lt;=1000,"751-R$1000",U1616&lt;=1250,"1001-R$1250",U1616&lt;=1500,"1251-R$1500")</f>
        <v>0-R$250</v>
      </c>
      <c r="W1616" s="17">
        <v>2</v>
      </c>
      <c r="X1616" s="13" t="str" cm="1">
        <f t="array" ref="X1616">_xlfn.IFS(W1616 = 0, "0", W1616&lt;=20, "até R$20",W1616&lt;=40, "21 - R$40",W1616&lt;=60, "41- R$60",W1616&lt;=80, "61 - R$80", W1616&lt;=100, "81 - R$100",W1616&lt;=120, "101 - R$120",W1616&lt;=140, "121 - R$140", W1616&lt;=160, "141- R$160", W1616&lt;=180, "161 - R$180", W1616&lt;=200, "181-R$194")</f>
        <v>até R$20</v>
      </c>
      <c r="Y1616" s="17">
        <v>11</v>
      </c>
      <c r="Z1616" s="17">
        <v>2</v>
      </c>
      <c r="AA1616" s="17">
        <v>3</v>
      </c>
      <c r="AB1616" s="17">
        <v>7</v>
      </c>
      <c r="AC1616" s="17">
        <v>1</v>
      </c>
      <c r="AD1616" s="17">
        <v>1</v>
      </c>
      <c r="AE1616" s="17">
        <v>0</v>
      </c>
      <c r="AF1616" s="17">
        <v>4</v>
      </c>
      <c r="AG1616" s="17">
        <v>5</v>
      </c>
      <c r="AH1616" s="17">
        <v>0</v>
      </c>
      <c r="AI1616" s="17">
        <v>0</v>
      </c>
      <c r="AJ1616" s="17">
        <v>0</v>
      </c>
      <c r="AK1616" s="17">
        <v>0</v>
      </c>
      <c r="AL1616" s="17">
        <v>0</v>
      </c>
      <c r="AM1616" s="17">
        <v>0</v>
      </c>
      <c r="AN1616" s="17">
        <v>0</v>
      </c>
      <c r="AO1616" s="18">
        <v>0</v>
      </c>
      <c r="AP1616" s="17">
        <v>3</v>
      </c>
      <c r="AQ1616" s="17">
        <v>11</v>
      </c>
      <c r="AR1616" s="19">
        <v>55</v>
      </c>
      <c r="AS1616" s="19">
        <v>62</v>
      </c>
    </row>
    <row r="1617" spans="1:45" x14ac:dyDescent="0.25">
      <c r="A1617">
        <v>1700</v>
      </c>
      <c r="B1617" s="11">
        <f t="shared" si="25"/>
        <v>16653</v>
      </c>
      <c r="C1617" s="12">
        <v>166530</v>
      </c>
      <c r="D1617" s="13">
        <v>1</v>
      </c>
      <c r="E1617" s="13">
        <v>0</v>
      </c>
      <c r="F1617" s="13">
        <v>10</v>
      </c>
      <c r="G1617" s="13">
        <v>41</v>
      </c>
      <c r="H1617" s="13" t="str" cm="1">
        <f t="array" ref="H1617">_xlfn.IFS(G1617&lt;=20,"0-20",G1617&lt;=30,"20-30",G1617&lt;=40,"30-40",G1617&lt;=50,"50-60",G1617&lt;=60,"60-70",G1617&lt;=70,"70-80",G1617&lt;=80,"80-90")</f>
        <v>50-60</v>
      </c>
      <c r="I1617" s="13">
        <v>2231</v>
      </c>
      <c r="J1617" s="13" t="str" cm="1">
        <f t="array" ref="J1617">_xlfn.IFS(K1617=1,"Divorciado",L1617=1,"Casado",M1617=1,"Solteiro",N1617=1,"Juntos",O1617=1,"Viuvo")</f>
        <v>Solteiro</v>
      </c>
      <c r="K1617" s="13">
        <v>0</v>
      </c>
      <c r="L1617" s="13">
        <v>0</v>
      </c>
      <c r="M1617" s="13">
        <v>1</v>
      </c>
      <c r="N1617" s="13">
        <v>0</v>
      </c>
      <c r="O1617" s="13">
        <v>0</v>
      </c>
      <c r="P1617" s="13">
        <v>0</v>
      </c>
      <c r="Q1617" s="13">
        <v>0</v>
      </c>
      <c r="R1617" s="13">
        <v>0</v>
      </c>
      <c r="S1617" s="13">
        <v>1</v>
      </c>
      <c r="T1617" s="13">
        <v>0</v>
      </c>
      <c r="U1617" s="13">
        <v>5</v>
      </c>
      <c r="V1617" s="13" t="str" cm="1">
        <f t="array" ref="V1617">_xlfn.IFS(U1617&lt;=250,"0-R$250",U1617&lt;=500,"251-R$500",U1617&lt;=750,"501-R$750",U1617&lt;=1000,"751-R$1000",U1617&lt;=1250,"1001-R$1250",U1617&lt;=1500,"1251-R$1500")</f>
        <v>0-R$250</v>
      </c>
      <c r="W1617" s="13">
        <v>7</v>
      </c>
      <c r="X1617" s="13" t="str" cm="1">
        <f t="array" ref="X1617">_xlfn.IFS(W1617 = 0, "0", W1617&lt;=20, "até R$20",W1617&lt;=40, "21 - R$40",W1617&lt;=60, "41- R$60",W1617&lt;=80, "61 - R$80", W1617&lt;=100, "81 - R$100",W1617&lt;=120, "101 - R$120",W1617&lt;=140, "121 - R$140", W1617&lt;=160, "141- R$160", W1617&lt;=180, "161 - R$180", W1617&lt;=200, "181-R$194")</f>
        <v>até R$20</v>
      </c>
      <c r="Y1617" s="13">
        <v>31</v>
      </c>
      <c r="Z1617" s="13">
        <v>15</v>
      </c>
      <c r="AA1617" s="13">
        <v>4</v>
      </c>
      <c r="AB1617" s="13">
        <v>7</v>
      </c>
      <c r="AC1617" s="13">
        <v>3</v>
      </c>
      <c r="AD1617" s="13">
        <v>2</v>
      </c>
      <c r="AE1617" s="13">
        <v>1</v>
      </c>
      <c r="AF1617" s="13">
        <v>3</v>
      </c>
      <c r="AG1617" s="13">
        <v>6</v>
      </c>
      <c r="AH1617" s="13">
        <v>0</v>
      </c>
      <c r="AI1617" s="13">
        <v>0</v>
      </c>
      <c r="AJ1617" s="13">
        <v>0</v>
      </c>
      <c r="AK1617" s="13">
        <v>0</v>
      </c>
      <c r="AL1617" s="13">
        <v>0</v>
      </c>
      <c r="AM1617" s="13">
        <v>0</v>
      </c>
      <c r="AN1617" s="13">
        <v>1</v>
      </c>
      <c r="AO1617" s="14">
        <v>0</v>
      </c>
      <c r="AP1617" s="13">
        <v>3</v>
      </c>
      <c r="AQ1617" s="13">
        <v>11</v>
      </c>
      <c r="AR1617" s="15">
        <v>55</v>
      </c>
      <c r="AS1617" s="15">
        <v>62</v>
      </c>
    </row>
    <row r="1618" spans="1:45" x14ac:dyDescent="0.25">
      <c r="A1618">
        <v>1705</v>
      </c>
      <c r="B1618" s="11">
        <f t="shared" si="25"/>
        <v>46910</v>
      </c>
      <c r="C1618" s="16">
        <v>469100</v>
      </c>
      <c r="D1618" s="17">
        <v>1</v>
      </c>
      <c r="E1618" s="17">
        <v>1</v>
      </c>
      <c r="F1618" s="17">
        <v>36</v>
      </c>
      <c r="G1618" s="17">
        <v>56</v>
      </c>
      <c r="H1618" s="13" t="str" cm="1">
        <f t="array" ref="H1618">_xlfn.IFS(G1618&lt;=20,"0-20",G1618&lt;=30,"20-30",G1618&lt;=40,"30-40",G1618&lt;=50,"50-60",G1618&lt;=60,"60-70",G1618&lt;=70,"70-80",G1618&lt;=80,"80-90")</f>
        <v>60-70</v>
      </c>
      <c r="I1618" s="17">
        <v>2257</v>
      </c>
      <c r="J1618" s="13" t="str" cm="1">
        <f t="array" ref="J1618">_xlfn.IFS(K1618=1,"Divorciado",L1618=1,"Casado",M1618=1,"Solteiro",N1618=1,"Juntos",O1618=1,"Viuvo")</f>
        <v>Juntos</v>
      </c>
      <c r="K1618" s="17">
        <v>0</v>
      </c>
      <c r="L1618" s="17">
        <v>0</v>
      </c>
      <c r="M1618" s="17">
        <v>0</v>
      </c>
      <c r="N1618" s="17">
        <v>1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1</v>
      </c>
      <c r="U1618" s="17">
        <v>48</v>
      </c>
      <c r="V1618" s="13" t="str" cm="1">
        <f t="array" ref="V1618">_xlfn.IFS(U1618&lt;=250,"0-R$250",U1618&lt;=500,"251-R$500",U1618&lt;=750,"501-R$750",U1618&lt;=1000,"751-R$1000",U1618&lt;=1250,"1001-R$1250",U1618&lt;=1500,"1251-R$1500")</f>
        <v>0-R$250</v>
      </c>
      <c r="W1618" s="17">
        <v>0</v>
      </c>
      <c r="X1618" s="13" t="str" cm="1">
        <f t="array" ref="X1618">_xlfn.IFS(W1618 = 0, "0", W1618&lt;=20, "até R$20",W1618&lt;=40, "21 - R$40",W1618&lt;=60, "41- R$60",W1618&lt;=80, "61 - R$80", W1618&lt;=100, "81 - R$100",W1618&lt;=120, "101 - R$120",W1618&lt;=140, "121 - R$140", W1618&lt;=160, "141- R$160", W1618&lt;=180, "161 - R$180", W1618&lt;=200, "181-R$194")</f>
        <v>0</v>
      </c>
      <c r="Y1618" s="17">
        <v>14</v>
      </c>
      <c r="Z1618" s="17">
        <v>0</v>
      </c>
      <c r="AA1618" s="17">
        <v>0</v>
      </c>
      <c r="AB1618" s="17">
        <v>6</v>
      </c>
      <c r="AC1618" s="17">
        <v>2</v>
      </c>
      <c r="AD1618" s="17">
        <v>2</v>
      </c>
      <c r="AE1618" s="17">
        <v>0</v>
      </c>
      <c r="AF1618" s="17">
        <v>3</v>
      </c>
      <c r="AG1618" s="17">
        <v>6</v>
      </c>
      <c r="AH1618" s="17">
        <v>0</v>
      </c>
      <c r="AI1618" s="17">
        <v>0</v>
      </c>
      <c r="AJ1618" s="17">
        <v>0</v>
      </c>
      <c r="AK1618" s="17">
        <v>0</v>
      </c>
      <c r="AL1618" s="17">
        <v>0</v>
      </c>
      <c r="AM1618" s="17">
        <v>0</v>
      </c>
      <c r="AN1618" s="17">
        <v>0</v>
      </c>
      <c r="AO1618" s="18">
        <v>0</v>
      </c>
      <c r="AP1618" s="17">
        <v>3</v>
      </c>
      <c r="AQ1618" s="17">
        <v>11</v>
      </c>
      <c r="AR1618" s="19">
        <v>56</v>
      </c>
      <c r="AS1618" s="19">
        <v>62</v>
      </c>
    </row>
    <row r="1619" spans="1:45" x14ac:dyDescent="0.25">
      <c r="A1619">
        <v>89</v>
      </c>
      <c r="B1619" s="11">
        <f t="shared" si="25"/>
        <v>51813</v>
      </c>
      <c r="C1619" s="16">
        <v>518130</v>
      </c>
      <c r="D1619" s="17">
        <v>1</v>
      </c>
      <c r="E1619" s="17">
        <v>1</v>
      </c>
      <c r="F1619" s="17">
        <v>37</v>
      </c>
      <c r="G1619" s="17">
        <v>48</v>
      </c>
      <c r="H1619" s="13" t="str" cm="1">
        <f t="array" ref="H1619">_xlfn.IFS(G1619&lt;=20,"0-20",G1619&lt;=30,"20-30",G1619&lt;=40,"30-40",G1619&lt;=50,"50-60",G1619&lt;=60,"60-70",G1619&lt;=70,"70-80",G1619&lt;=80,"80-90")</f>
        <v>50-60</v>
      </c>
      <c r="I1619" s="17">
        <v>2603</v>
      </c>
      <c r="J1619" s="13" t="str" cm="1">
        <f t="array" ref="J1619">_xlfn.IFS(K1619=1,"Divorciado",L1619=1,"Casado",M1619=1,"Solteiro",N1619=1,"Juntos",O1619=1,"Viuvo")</f>
        <v>Divorciado</v>
      </c>
      <c r="K1619" s="17">
        <v>1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1</v>
      </c>
      <c r="S1619" s="17">
        <v>0</v>
      </c>
      <c r="T1619" s="17">
        <v>0</v>
      </c>
      <c r="U1619" s="17">
        <v>51</v>
      </c>
      <c r="V1619" s="13" t="str" cm="1">
        <f t="array" ref="V1619">_xlfn.IFS(U1619&lt;=250,"0-R$250",U1619&lt;=500,"251-R$500",U1619&lt;=750,"501-R$750",U1619&lt;=1000,"751-R$1000",U1619&lt;=1250,"1001-R$1250",U1619&lt;=1500,"1251-R$1500")</f>
        <v>0-R$250</v>
      </c>
      <c r="W1619" s="17">
        <v>2</v>
      </c>
      <c r="X1619" s="13" t="str" cm="1">
        <f t="array" ref="X1619">_xlfn.IFS(W1619 = 0, "0", W1619&lt;=20, "até R$20",W1619&lt;=40, "21 - R$40",W1619&lt;=60, "41- R$60",W1619&lt;=80, "61 - R$80", W1619&lt;=100, "81 - R$100",W1619&lt;=120, "101 - R$120",W1619&lt;=140, "121 - R$140", W1619&lt;=160, "141- R$160", W1619&lt;=180, "161 - R$180", W1619&lt;=200, "181-R$194")</f>
        <v>até R$20</v>
      </c>
      <c r="Y1619" s="17">
        <v>7</v>
      </c>
      <c r="Z1619" s="17">
        <v>0</v>
      </c>
      <c r="AA1619" s="17">
        <v>1</v>
      </c>
      <c r="AB1619" s="17">
        <v>2</v>
      </c>
      <c r="AC1619" s="17">
        <v>2</v>
      </c>
      <c r="AD1619" s="17">
        <v>2</v>
      </c>
      <c r="AE1619" s="17">
        <v>0</v>
      </c>
      <c r="AF1619" s="17">
        <v>3</v>
      </c>
      <c r="AG1619" s="17">
        <v>7</v>
      </c>
      <c r="AH1619" s="17">
        <v>0</v>
      </c>
      <c r="AI1619" s="17">
        <v>0</v>
      </c>
      <c r="AJ1619" s="17">
        <v>0</v>
      </c>
      <c r="AK1619" s="17">
        <v>0</v>
      </c>
      <c r="AL1619" s="17">
        <v>0</v>
      </c>
      <c r="AM1619" s="17">
        <v>0</v>
      </c>
      <c r="AN1619" s="17">
        <v>0</v>
      </c>
      <c r="AO1619" s="18">
        <v>0</v>
      </c>
      <c r="AP1619" s="17">
        <v>3</v>
      </c>
      <c r="AQ1619" s="17">
        <v>11</v>
      </c>
      <c r="AR1619" s="19">
        <v>59</v>
      </c>
      <c r="AS1619" s="19">
        <v>61</v>
      </c>
    </row>
    <row r="1620" spans="1:45" x14ac:dyDescent="0.25">
      <c r="A1620">
        <v>196</v>
      </c>
      <c r="B1620" s="11">
        <f t="shared" si="25"/>
        <v>44794</v>
      </c>
      <c r="C1620" s="12">
        <v>447940</v>
      </c>
      <c r="D1620" s="13">
        <v>0</v>
      </c>
      <c r="E1620" s="13">
        <v>1</v>
      </c>
      <c r="F1620" s="13">
        <v>99</v>
      </c>
      <c r="G1620" s="13">
        <v>54</v>
      </c>
      <c r="H1620" s="13" t="str" cm="1">
        <f t="array" ref="H1620">_xlfn.IFS(G1620&lt;=20,"0-20",G1620&lt;=30,"20-30",G1620&lt;=40,"30-40",G1620&lt;=50,"50-60",G1620&lt;=60,"60-70",G1620&lt;=70,"70-80",G1620&lt;=80,"80-90")</f>
        <v>60-70</v>
      </c>
      <c r="I1620" s="13">
        <v>2180</v>
      </c>
      <c r="J1620" s="13" t="str" cm="1">
        <f t="array" ref="J1620">_xlfn.IFS(K1620=1,"Divorciado",L1620=1,"Casado",M1620=1,"Solteiro",N1620=1,"Juntos",O1620=1,"Viuvo")</f>
        <v>Casado</v>
      </c>
      <c r="K1620" s="13">
        <v>0</v>
      </c>
      <c r="L1620" s="13">
        <v>1</v>
      </c>
      <c r="M1620" s="13">
        <v>0</v>
      </c>
      <c r="N1620" s="13">
        <v>0</v>
      </c>
      <c r="O1620" s="13">
        <v>0</v>
      </c>
      <c r="P1620" s="13">
        <v>0</v>
      </c>
      <c r="Q1620" s="13">
        <v>0</v>
      </c>
      <c r="R1620" s="13">
        <v>1</v>
      </c>
      <c r="S1620" s="13">
        <v>0</v>
      </c>
      <c r="T1620" s="13">
        <v>0</v>
      </c>
      <c r="U1620" s="13">
        <v>54</v>
      </c>
      <c r="V1620" s="13" t="str" cm="1">
        <f t="array" ref="V1620">_xlfn.IFS(U1620&lt;=250,"0-R$250",U1620&lt;=500,"251-R$500",U1620&lt;=750,"501-R$750",U1620&lt;=1000,"751-R$1000",U1620&lt;=1250,"1001-R$1250",U1620&lt;=1500,"1251-R$1500")</f>
        <v>0-R$250</v>
      </c>
      <c r="W1620" s="13">
        <v>0</v>
      </c>
      <c r="X1620" s="13" t="str" cm="1">
        <f t="array" ref="X1620">_xlfn.IFS(W1620 = 0, "0", W1620&lt;=20, "até R$20",W1620&lt;=40, "21 - R$40",W1620&lt;=60, "41- R$60",W1620&lt;=80, "61 - R$80", W1620&lt;=100, "81 - R$100",W1620&lt;=120, "101 - R$120",W1620&lt;=140, "121 - R$140", W1620&lt;=160, "141- R$160", W1620&lt;=180, "161 - R$180", W1620&lt;=200, "181-R$194")</f>
        <v>0</v>
      </c>
      <c r="Y1620" s="13">
        <v>7</v>
      </c>
      <c r="Z1620" s="13">
        <v>0</v>
      </c>
      <c r="AA1620" s="13">
        <v>0</v>
      </c>
      <c r="AB1620" s="13">
        <v>4</v>
      </c>
      <c r="AC1620" s="13">
        <v>1</v>
      </c>
      <c r="AD1620" s="13">
        <v>2</v>
      </c>
      <c r="AE1620" s="13">
        <v>0</v>
      </c>
      <c r="AF1620" s="13">
        <v>3</v>
      </c>
      <c r="AG1620" s="13">
        <v>6</v>
      </c>
      <c r="AH1620" s="13">
        <v>0</v>
      </c>
      <c r="AI1620" s="13">
        <v>0</v>
      </c>
      <c r="AJ1620" s="13">
        <v>0</v>
      </c>
      <c r="AK1620" s="13">
        <v>0</v>
      </c>
      <c r="AL1620" s="13">
        <v>0</v>
      </c>
      <c r="AM1620" s="13">
        <v>0</v>
      </c>
      <c r="AN1620" s="13">
        <v>0</v>
      </c>
      <c r="AO1620" s="14">
        <v>0</v>
      </c>
      <c r="AP1620" s="13">
        <v>3</v>
      </c>
      <c r="AQ1620" s="13">
        <v>11</v>
      </c>
      <c r="AR1620" s="15">
        <v>57</v>
      </c>
      <c r="AS1620" s="15">
        <v>61</v>
      </c>
    </row>
    <row r="1621" spans="1:45" x14ac:dyDescent="0.25">
      <c r="A1621">
        <v>383</v>
      </c>
      <c r="B1621" s="11">
        <f t="shared" si="25"/>
        <v>14515</v>
      </c>
      <c r="C1621" s="16">
        <v>145150</v>
      </c>
      <c r="D1621" s="17">
        <v>1</v>
      </c>
      <c r="E1621" s="17">
        <v>0</v>
      </c>
      <c r="F1621" s="17">
        <v>71</v>
      </c>
      <c r="G1621" s="17">
        <v>40</v>
      </c>
      <c r="H1621" s="13" t="str" cm="1">
        <f t="array" ref="H1621">_xlfn.IFS(G1621&lt;=20,"0-20",G1621&lt;=30,"20-30",G1621&lt;=40,"30-40",G1621&lt;=50,"50-60",G1621&lt;=60,"60-70",G1621&lt;=70,"70-80",G1621&lt;=80,"80-90")</f>
        <v>30-40</v>
      </c>
      <c r="I1621" s="17">
        <v>2756</v>
      </c>
      <c r="J1621" s="13" t="str" cm="1">
        <f t="array" ref="J1621">_xlfn.IFS(K1621=1,"Divorciado",L1621=1,"Casado",M1621=1,"Solteiro",N1621=1,"Juntos",O1621=1,"Viuvo")</f>
        <v>Juntos</v>
      </c>
      <c r="K1621" s="17">
        <v>0</v>
      </c>
      <c r="L1621" s="17">
        <v>0</v>
      </c>
      <c r="M1621" s="17">
        <v>0</v>
      </c>
      <c r="N1621" s="17">
        <v>1</v>
      </c>
      <c r="O1621" s="17">
        <v>0</v>
      </c>
      <c r="P1621" s="17">
        <v>1</v>
      </c>
      <c r="Q1621" s="17">
        <v>0</v>
      </c>
      <c r="R1621" s="17">
        <v>0</v>
      </c>
      <c r="S1621" s="17">
        <v>0</v>
      </c>
      <c r="T1621" s="17">
        <v>0</v>
      </c>
      <c r="U1621" s="17">
        <v>6</v>
      </c>
      <c r="V1621" s="13" t="str" cm="1">
        <f t="array" ref="V1621">_xlfn.IFS(U1621&lt;=250,"0-R$250",U1621&lt;=500,"251-R$500",U1621&lt;=750,"501-R$750",U1621&lt;=1000,"751-R$1000",U1621&lt;=1250,"1001-R$1250",U1621&lt;=1500,"1251-R$1500")</f>
        <v>0-R$250</v>
      </c>
      <c r="W1621" s="17">
        <v>4</v>
      </c>
      <c r="X1621" s="13" t="str" cm="1">
        <f t="array" ref="X1621">_xlfn.IFS(W1621 = 0, "0", W1621&lt;=20, "até R$20",W1621&lt;=40, "21 - R$40",W1621&lt;=60, "41- R$60",W1621&lt;=80, "61 - R$80", W1621&lt;=100, "81 - R$100",W1621&lt;=120, "101 - R$120",W1621&lt;=140, "121 - R$140", W1621&lt;=160, "141- R$160", W1621&lt;=180, "161 - R$180", W1621&lt;=200, "181-R$194")</f>
        <v>até R$20</v>
      </c>
      <c r="Y1621" s="17">
        <v>9</v>
      </c>
      <c r="Z1621" s="17">
        <v>6</v>
      </c>
      <c r="AA1621" s="17">
        <v>36</v>
      </c>
      <c r="AB1621" s="17">
        <v>35</v>
      </c>
      <c r="AC1621" s="17">
        <v>4</v>
      </c>
      <c r="AD1621" s="17">
        <v>2</v>
      </c>
      <c r="AE1621" s="17">
        <v>2</v>
      </c>
      <c r="AF1621" s="17">
        <v>3</v>
      </c>
      <c r="AG1621" s="17">
        <v>7</v>
      </c>
      <c r="AH1621" s="17">
        <v>0</v>
      </c>
      <c r="AI1621" s="17">
        <v>0</v>
      </c>
      <c r="AJ1621" s="17">
        <v>0</v>
      </c>
      <c r="AK1621" s="17">
        <v>0</v>
      </c>
      <c r="AL1621" s="17">
        <v>0</v>
      </c>
      <c r="AM1621" s="17">
        <v>0</v>
      </c>
      <c r="AN1621" s="17">
        <v>1</v>
      </c>
      <c r="AO1621" s="18">
        <v>0</v>
      </c>
      <c r="AP1621" s="17">
        <v>3</v>
      </c>
      <c r="AQ1621" s="17">
        <v>11</v>
      </c>
      <c r="AR1621" s="19">
        <v>26</v>
      </c>
      <c r="AS1621" s="19">
        <v>61</v>
      </c>
    </row>
    <row r="1622" spans="1:45" x14ac:dyDescent="0.25">
      <c r="A1622">
        <v>706</v>
      </c>
      <c r="B1622" s="11">
        <f t="shared" si="25"/>
        <v>44794</v>
      </c>
      <c r="C1622" s="12">
        <v>447940</v>
      </c>
      <c r="D1622" s="13">
        <v>0</v>
      </c>
      <c r="E1622" s="13">
        <v>1</v>
      </c>
      <c r="F1622" s="13">
        <v>99</v>
      </c>
      <c r="G1622" s="13">
        <v>54</v>
      </c>
      <c r="H1622" s="13" t="str" cm="1">
        <f t="array" ref="H1622">_xlfn.IFS(G1622&lt;=20,"0-20",G1622&lt;=30,"20-30",G1622&lt;=40,"30-40",G1622&lt;=50,"50-60",G1622&lt;=60,"60-70",G1622&lt;=70,"70-80",G1622&lt;=80,"80-90")</f>
        <v>60-70</v>
      </c>
      <c r="I1622" s="13">
        <v>2180</v>
      </c>
      <c r="J1622" s="13" t="str" cm="1">
        <f t="array" ref="J1622">_xlfn.IFS(K1622=1,"Divorciado",L1622=1,"Casado",M1622=1,"Solteiro",N1622=1,"Juntos",O1622=1,"Viuvo")</f>
        <v>Casado</v>
      </c>
      <c r="K1622" s="13">
        <v>0</v>
      </c>
      <c r="L1622" s="13">
        <v>1</v>
      </c>
      <c r="M1622" s="13">
        <v>0</v>
      </c>
      <c r="N1622" s="13">
        <v>0</v>
      </c>
      <c r="O1622" s="13">
        <v>0</v>
      </c>
      <c r="P1622" s="13">
        <v>0</v>
      </c>
      <c r="Q1622" s="13">
        <v>0</v>
      </c>
      <c r="R1622" s="13">
        <v>1</v>
      </c>
      <c r="S1622" s="13">
        <v>0</v>
      </c>
      <c r="T1622" s="13">
        <v>0</v>
      </c>
      <c r="U1622" s="13">
        <v>54</v>
      </c>
      <c r="V1622" s="13" t="str" cm="1">
        <f t="array" ref="V1622">_xlfn.IFS(U1622&lt;=250,"0-R$250",U1622&lt;=500,"251-R$500",U1622&lt;=750,"501-R$750",U1622&lt;=1000,"751-R$1000",U1622&lt;=1250,"1001-R$1250",U1622&lt;=1500,"1251-R$1500")</f>
        <v>0-R$250</v>
      </c>
      <c r="W1622" s="13">
        <v>0</v>
      </c>
      <c r="X1622" s="13" t="str" cm="1">
        <f t="array" ref="X1622">_xlfn.IFS(W1622 = 0, "0", W1622&lt;=20, "até R$20",W1622&lt;=40, "21 - R$40",W1622&lt;=60, "41- R$60",W1622&lt;=80, "61 - R$80", W1622&lt;=100, "81 - R$100",W1622&lt;=120, "101 - R$120",W1622&lt;=140, "121 - R$140", W1622&lt;=160, "141- R$160", W1622&lt;=180, "161 - R$180", W1622&lt;=200, "181-R$194")</f>
        <v>0</v>
      </c>
      <c r="Y1622" s="13">
        <v>7</v>
      </c>
      <c r="Z1622" s="13">
        <v>0</v>
      </c>
      <c r="AA1622" s="13">
        <v>0</v>
      </c>
      <c r="AB1622" s="13">
        <v>4</v>
      </c>
      <c r="AC1622" s="13">
        <v>1</v>
      </c>
      <c r="AD1622" s="13">
        <v>2</v>
      </c>
      <c r="AE1622" s="13">
        <v>0</v>
      </c>
      <c r="AF1622" s="13">
        <v>3</v>
      </c>
      <c r="AG1622" s="13">
        <v>6</v>
      </c>
      <c r="AH1622" s="13">
        <v>0</v>
      </c>
      <c r="AI1622" s="13">
        <v>0</v>
      </c>
      <c r="AJ1622" s="13">
        <v>0</v>
      </c>
      <c r="AK1622" s="13">
        <v>0</v>
      </c>
      <c r="AL1622" s="13">
        <v>0</v>
      </c>
      <c r="AM1622" s="13">
        <v>0</v>
      </c>
      <c r="AN1622" s="13">
        <v>0</v>
      </c>
      <c r="AO1622" s="14">
        <v>0</v>
      </c>
      <c r="AP1622" s="13">
        <v>3</v>
      </c>
      <c r="AQ1622" s="13">
        <v>11</v>
      </c>
      <c r="AR1622" s="15">
        <v>57</v>
      </c>
      <c r="AS1622" s="15">
        <v>61</v>
      </c>
    </row>
    <row r="1623" spans="1:45" x14ac:dyDescent="0.25">
      <c r="A1623">
        <v>1087</v>
      </c>
      <c r="B1623" s="11">
        <f t="shared" si="25"/>
        <v>50870</v>
      </c>
      <c r="C1623" s="16">
        <v>508700</v>
      </c>
      <c r="D1623" s="17">
        <v>0</v>
      </c>
      <c r="E1623" s="17">
        <v>1</v>
      </c>
      <c r="F1623" s="17">
        <v>13</v>
      </c>
      <c r="G1623" s="17">
        <v>68</v>
      </c>
      <c r="H1623" s="13" t="str" cm="1">
        <f t="array" ref="H1623">_xlfn.IFS(G1623&lt;=20,"0-20",G1623&lt;=30,"20-30",G1623&lt;=40,"30-40",G1623&lt;=50,"50-60",G1623&lt;=60,"60-70",G1623&lt;=70,"70-80",G1623&lt;=80,"80-90")</f>
        <v>70-80</v>
      </c>
      <c r="I1623" s="17">
        <v>2169</v>
      </c>
      <c r="J1623" s="13" t="str" cm="1">
        <f t="array" ref="J1623">_xlfn.IFS(K1623=1,"Divorciado",L1623=1,"Casado",M1623=1,"Solteiro",N1623=1,"Juntos",O1623=1,"Viuvo")</f>
        <v>Casado</v>
      </c>
      <c r="K1623" s="17">
        <v>0</v>
      </c>
      <c r="L1623" s="17">
        <v>1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1</v>
      </c>
      <c r="U1623" s="17">
        <v>53</v>
      </c>
      <c r="V1623" s="13" t="str" cm="1">
        <f t="array" ref="V1623">_xlfn.IFS(U1623&lt;=250,"0-R$250",U1623&lt;=500,"251-R$500",U1623&lt;=750,"501-R$750",U1623&lt;=1000,"751-R$1000",U1623&lt;=1250,"1001-R$1250",U1623&lt;=1500,"1251-R$1500")</f>
        <v>0-R$250</v>
      </c>
      <c r="W1623" s="17">
        <v>0</v>
      </c>
      <c r="X1623" s="13" t="str" cm="1">
        <f t="array" ref="X1623">_xlfn.IFS(W1623 = 0, "0", W1623&lt;=20, "até R$20",W1623&lt;=40, "21 - R$40",W1623&lt;=60, "41- R$60",W1623&lt;=80, "61 - R$80", W1623&lt;=100, "81 - R$100",W1623&lt;=120, "101 - R$120",W1623&lt;=140, "121 - R$140", W1623&lt;=160, "141- R$160", W1623&lt;=180, "161 - R$180", W1623&lt;=200, "181-R$194")</f>
        <v>0</v>
      </c>
      <c r="Y1623" s="17">
        <v>8</v>
      </c>
      <c r="Z1623" s="17">
        <v>0</v>
      </c>
      <c r="AA1623" s="17">
        <v>0</v>
      </c>
      <c r="AB1623" s="17">
        <v>2</v>
      </c>
      <c r="AC1623" s="17">
        <v>1</v>
      </c>
      <c r="AD1623" s="17">
        <v>2</v>
      </c>
      <c r="AE1623" s="17">
        <v>0</v>
      </c>
      <c r="AF1623" s="17">
        <v>3</v>
      </c>
      <c r="AG1623" s="17">
        <v>5</v>
      </c>
      <c r="AH1623" s="17">
        <v>0</v>
      </c>
      <c r="AI1623" s="17">
        <v>0</v>
      </c>
      <c r="AJ1623" s="17">
        <v>0</v>
      </c>
      <c r="AK1623" s="17">
        <v>0</v>
      </c>
      <c r="AL1623" s="17">
        <v>0</v>
      </c>
      <c r="AM1623" s="17">
        <v>0</v>
      </c>
      <c r="AN1623" s="17">
        <v>0</v>
      </c>
      <c r="AO1623" s="18">
        <v>0</v>
      </c>
      <c r="AP1623" s="17">
        <v>3</v>
      </c>
      <c r="AQ1623" s="17">
        <v>11</v>
      </c>
      <c r="AR1623" s="19">
        <v>59</v>
      </c>
      <c r="AS1623" s="19">
        <v>61</v>
      </c>
    </row>
    <row r="1624" spans="1:45" x14ac:dyDescent="0.25">
      <c r="A1624">
        <v>1155</v>
      </c>
      <c r="B1624" s="11">
        <f t="shared" si="25"/>
        <v>23724</v>
      </c>
      <c r="C1624" s="16">
        <v>237240</v>
      </c>
      <c r="D1624" s="17">
        <v>1</v>
      </c>
      <c r="E1624" s="17">
        <v>0</v>
      </c>
      <c r="F1624" s="17">
        <v>65</v>
      </c>
      <c r="G1624" s="17">
        <v>41</v>
      </c>
      <c r="H1624" s="13" t="str" cm="1">
        <f t="array" ref="H1624">_xlfn.IFS(G1624&lt;=20,"0-20",G1624&lt;=30,"20-30",G1624&lt;=40,"30-40",G1624&lt;=50,"50-60",G1624&lt;=60,"60-70",G1624&lt;=70,"70-80",G1624&lt;=80,"80-90")</f>
        <v>50-60</v>
      </c>
      <c r="I1624" s="17">
        <v>2696</v>
      </c>
      <c r="J1624" s="13" t="str" cm="1">
        <f t="array" ref="J1624">_xlfn.IFS(K1624=1,"Divorciado",L1624=1,"Casado",M1624=1,"Solteiro",N1624=1,"Juntos",O1624=1,"Viuvo")</f>
        <v>Juntos</v>
      </c>
      <c r="K1624" s="17">
        <v>0</v>
      </c>
      <c r="L1624" s="17">
        <v>0</v>
      </c>
      <c r="M1624" s="17">
        <v>0</v>
      </c>
      <c r="N1624" s="17">
        <v>1</v>
      </c>
      <c r="O1624" s="17">
        <v>0</v>
      </c>
      <c r="P1624" s="17">
        <v>0</v>
      </c>
      <c r="Q1624" s="17">
        <v>1</v>
      </c>
      <c r="R1624" s="17">
        <v>0</v>
      </c>
      <c r="S1624" s="17">
        <v>0</v>
      </c>
      <c r="T1624" s="17">
        <v>0</v>
      </c>
      <c r="U1624" s="17">
        <v>5</v>
      </c>
      <c r="V1624" s="13" t="str" cm="1">
        <f t="array" ref="V1624">_xlfn.IFS(U1624&lt;=250,"0-R$250",U1624&lt;=500,"251-R$500",U1624&lt;=750,"501-R$750",U1624&lt;=1000,"751-R$1000",U1624&lt;=1250,"1001-R$1250",U1624&lt;=1500,"1251-R$1500")</f>
        <v>0-R$250</v>
      </c>
      <c r="W1624" s="17">
        <v>23</v>
      </c>
      <c r="X1624" s="13" t="str" cm="1">
        <f t="array" ref="X1624">_xlfn.IFS(W1624 = 0, "0", W1624&lt;=20, "até R$20",W1624&lt;=40, "21 - R$40",W1624&lt;=60, "41- R$60",W1624&lt;=80, "61 - R$80", W1624&lt;=100, "81 - R$100",W1624&lt;=120, "101 - R$120",W1624&lt;=140, "121 - R$140", W1624&lt;=160, "141- R$160", W1624&lt;=180, "161 - R$180", W1624&lt;=200, "181-R$194")</f>
        <v>21 - R$40</v>
      </c>
      <c r="Y1624" s="17">
        <v>15</v>
      </c>
      <c r="Z1624" s="17">
        <v>0</v>
      </c>
      <c r="AA1624" s="17">
        <v>18</v>
      </c>
      <c r="AB1624" s="17">
        <v>14</v>
      </c>
      <c r="AC1624" s="17">
        <v>2</v>
      </c>
      <c r="AD1624" s="17">
        <v>2</v>
      </c>
      <c r="AE1624" s="17">
        <v>0</v>
      </c>
      <c r="AF1624" s="17">
        <v>3</v>
      </c>
      <c r="AG1624" s="17">
        <v>8</v>
      </c>
      <c r="AH1624" s="17">
        <v>0</v>
      </c>
      <c r="AI1624" s="17">
        <v>0</v>
      </c>
      <c r="AJ1624" s="17">
        <v>0</v>
      </c>
      <c r="AK1624" s="17">
        <v>0</v>
      </c>
      <c r="AL1624" s="17">
        <v>0</v>
      </c>
      <c r="AM1624" s="17">
        <v>0</v>
      </c>
      <c r="AN1624" s="17">
        <v>0</v>
      </c>
      <c r="AO1624" s="18">
        <v>0</v>
      </c>
      <c r="AP1624" s="17">
        <v>3</v>
      </c>
      <c r="AQ1624" s="17">
        <v>11</v>
      </c>
      <c r="AR1624" s="19">
        <v>47</v>
      </c>
      <c r="AS1624" s="19">
        <v>61</v>
      </c>
    </row>
    <row r="1625" spans="1:45" x14ac:dyDescent="0.25">
      <c r="A1625">
        <v>1275</v>
      </c>
      <c r="B1625" s="11">
        <f t="shared" si="25"/>
        <v>48918</v>
      </c>
      <c r="C1625" s="16">
        <v>489180</v>
      </c>
      <c r="D1625" s="17">
        <v>1</v>
      </c>
      <c r="E1625" s="17">
        <v>1</v>
      </c>
      <c r="F1625" s="17">
        <v>21</v>
      </c>
      <c r="G1625" s="17">
        <v>57</v>
      </c>
      <c r="H1625" s="13" t="str" cm="1">
        <f t="array" ref="H1625">_xlfn.IFS(G1625&lt;=20,"0-20",G1625&lt;=30,"20-30",G1625&lt;=40,"30-40",G1625&lt;=50,"50-60",G1625&lt;=60,"60-70",G1625&lt;=70,"70-80",G1625&lt;=80,"80-90")</f>
        <v>60-70</v>
      </c>
      <c r="I1625" s="17">
        <v>2237</v>
      </c>
      <c r="J1625" s="13" t="str" cm="1">
        <f t="array" ref="J1625">_xlfn.IFS(K1625=1,"Divorciado",L1625=1,"Casado",M1625=1,"Solteiro",N1625=1,"Juntos",O1625=1,"Viuvo")</f>
        <v>Solteiro</v>
      </c>
      <c r="K1625" s="17">
        <v>0</v>
      </c>
      <c r="L1625" s="17">
        <v>0</v>
      </c>
      <c r="M1625" s="17">
        <v>1</v>
      </c>
      <c r="N1625" s="17">
        <v>0</v>
      </c>
      <c r="O1625" s="17">
        <v>0</v>
      </c>
      <c r="P1625" s="17">
        <v>0</v>
      </c>
      <c r="Q1625" s="17">
        <v>0</v>
      </c>
      <c r="R1625" s="17">
        <v>0</v>
      </c>
      <c r="S1625" s="17">
        <v>0</v>
      </c>
      <c r="T1625" s="17">
        <v>1</v>
      </c>
      <c r="U1625" s="17">
        <v>52</v>
      </c>
      <c r="V1625" s="13" t="str" cm="1">
        <f t="array" ref="V1625">_xlfn.IFS(U1625&lt;=250,"0-R$250",U1625&lt;=500,"251-R$500",U1625&lt;=750,"501-R$750",U1625&lt;=1000,"751-R$1000",U1625&lt;=1250,"1001-R$1250",U1625&lt;=1500,"1251-R$1500")</f>
        <v>0-R$250</v>
      </c>
      <c r="W1625" s="17">
        <v>0</v>
      </c>
      <c r="X1625" s="13" t="str" cm="1">
        <f t="array" ref="X1625">_xlfn.IFS(W1625 = 0, "0", W1625&lt;=20, "até R$20",W1625&lt;=40, "21 - R$40",W1625&lt;=60, "41- R$60",W1625&lt;=80, "61 - R$80", W1625&lt;=100, "81 - R$100",W1625&lt;=120, "101 - R$120",W1625&lt;=140, "121 - R$140", W1625&lt;=160, "141- R$160", W1625&lt;=180, "161 - R$180", W1625&lt;=200, "181-R$194")</f>
        <v>0</v>
      </c>
      <c r="Y1625" s="17">
        <v>9</v>
      </c>
      <c r="Z1625" s="17">
        <v>0</v>
      </c>
      <c r="AA1625" s="17">
        <v>0</v>
      </c>
      <c r="AB1625" s="17">
        <v>1</v>
      </c>
      <c r="AC1625" s="17">
        <v>2</v>
      </c>
      <c r="AD1625" s="17">
        <v>1</v>
      </c>
      <c r="AE1625" s="17">
        <v>0</v>
      </c>
      <c r="AF1625" s="17">
        <v>4</v>
      </c>
      <c r="AG1625" s="17">
        <v>4</v>
      </c>
      <c r="AH1625" s="17">
        <v>0</v>
      </c>
      <c r="AI1625" s="17">
        <v>0</v>
      </c>
      <c r="AJ1625" s="17">
        <v>0</v>
      </c>
      <c r="AK1625" s="17">
        <v>0</v>
      </c>
      <c r="AL1625" s="17">
        <v>0</v>
      </c>
      <c r="AM1625" s="17">
        <v>0</v>
      </c>
      <c r="AN1625" s="17">
        <v>0</v>
      </c>
      <c r="AO1625" s="18">
        <v>0</v>
      </c>
      <c r="AP1625" s="17">
        <v>3</v>
      </c>
      <c r="AQ1625" s="17">
        <v>11</v>
      </c>
      <c r="AR1625" s="19">
        <v>60</v>
      </c>
      <c r="AS1625" s="19">
        <v>61</v>
      </c>
    </row>
    <row r="1626" spans="1:45" x14ac:dyDescent="0.25">
      <c r="A1626">
        <v>1679</v>
      </c>
      <c r="B1626" s="11">
        <f t="shared" si="25"/>
        <v>9722</v>
      </c>
      <c r="C1626" s="16">
        <v>97220</v>
      </c>
      <c r="D1626" s="17">
        <v>1</v>
      </c>
      <c r="E1626" s="17">
        <v>0</v>
      </c>
      <c r="F1626" s="17">
        <v>7</v>
      </c>
      <c r="G1626" s="17">
        <v>47</v>
      </c>
      <c r="H1626" s="13" t="str" cm="1">
        <f t="array" ref="H1626">_xlfn.IFS(G1626&lt;=20,"0-20",G1626&lt;=30,"20-30",G1626&lt;=40,"30-40",G1626&lt;=50,"50-60",G1626&lt;=60,"60-70",G1626&lt;=70,"70-80",G1626&lt;=80,"80-90")</f>
        <v>50-60</v>
      </c>
      <c r="I1626" s="17">
        <v>2794</v>
      </c>
      <c r="J1626" s="13" t="str" cm="1">
        <f t="array" ref="J1626">_xlfn.IFS(K1626=1,"Divorciado",L1626=1,"Casado",M1626=1,"Solteiro",N1626=1,"Juntos",O1626=1,"Viuvo")</f>
        <v>Juntos</v>
      </c>
      <c r="K1626" s="17">
        <v>0</v>
      </c>
      <c r="L1626" s="17">
        <v>0</v>
      </c>
      <c r="M1626" s="17">
        <v>0</v>
      </c>
      <c r="N1626" s="17">
        <v>1</v>
      </c>
      <c r="O1626" s="17">
        <v>0</v>
      </c>
      <c r="P1626" s="17">
        <v>0</v>
      </c>
      <c r="Q1626" s="17">
        <v>1</v>
      </c>
      <c r="R1626" s="17">
        <v>0</v>
      </c>
      <c r="S1626" s="17">
        <v>0</v>
      </c>
      <c r="T1626" s="17">
        <v>0</v>
      </c>
      <c r="U1626" s="17">
        <v>6</v>
      </c>
      <c r="V1626" s="13" t="str" cm="1">
        <f t="array" ref="V1626">_xlfn.IFS(U1626&lt;=250,"0-R$250",U1626&lt;=500,"251-R$500",U1626&lt;=750,"501-R$750",U1626&lt;=1000,"751-R$1000",U1626&lt;=1250,"1001-R$1250",U1626&lt;=1500,"1251-R$1500")</f>
        <v>0-R$250</v>
      </c>
      <c r="W1626" s="17">
        <v>17</v>
      </c>
      <c r="X1626" s="13" t="str" cm="1">
        <f t="array" ref="X1626">_xlfn.IFS(W1626 = 0, "0", W1626&lt;=20, "até R$20",W1626&lt;=40, "21 - R$40",W1626&lt;=60, "41- R$60",W1626&lt;=80, "61 - R$80", W1626&lt;=100, "81 - R$100",W1626&lt;=120, "101 - R$120",W1626&lt;=140, "121 - R$140", W1626&lt;=160, "141- R$160", W1626&lt;=180, "161 - R$180", W1626&lt;=200, "181-R$194")</f>
        <v>até R$20</v>
      </c>
      <c r="Y1626" s="17">
        <v>16</v>
      </c>
      <c r="Z1626" s="17">
        <v>6</v>
      </c>
      <c r="AA1626" s="17">
        <v>16</v>
      </c>
      <c r="AB1626" s="17">
        <v>42</v>
      </c>
      <c r="AC1626" s="17">
        <v>4</v>
      </c>
      <c r="AD1626" s="17">
        <v>3</v>
      </c>
      <c r="AE1626" s="17">
        <v>1</v>
      </c>
      <c r="AF1626" s="17">
        <v>3</v>
      </c>
      <c r="AG1626" s="17">
        <v>8</v>
      </c>
      <c r="AH1626" s="17">
        <v>0</v>
      </c>
      <c r="AI1626" s="17">
        <v>0</v>
      </c>
      <c r="AJ1626" s="17">
        <v>0</v>
      </c>
      <c r="AK1626" s="17">
        <v>0</v>
      </c>
      <c r="AL1626" s="17">
        <v>0</v>
      </c>
      <c r="AM1626" s="17">
        <v>0</v>
      </c>
      <c r="AN1626" s="17">
        <v>1</v>
      </c>
      <c r="AO1626" s="18">
        <v>0</v>
      </c>
      <c r="AP1626" s="17">
        <v>3</v>
      </c>
      <c r="AQ1626" s="17">
        <v>11</v>
      </c>
      <c r="AR1626" s="19">
        <v>19</v>
      </c>
      <c r="AS1626" s="19">
        <v>61</v>
      </c>
    </row>
    <row r="1627" spans="1:45" x14ac:dyDescent="0.25">
      <c r="A1627">
        <v>1766</v>
      </c>
      <c r="B1627" s="11">
        <f t="shared" si="25"/>
        <v>48918</v>
      </c>
      <c r="C1627" s="12">
        <v>489180</v>
      </c>
      <c r="D1627" s="13">
        <v>1</v>
      </c>
      <c r="E1627" s="13">
        <v>1</v>
      </c>
      <c r="F1627" s="13">
        <v>21</v>
      </c>
      <c r="G1627" s="13">
        <v>57</v>
      </c>
      <c r="H1627" s="13" t="str" cm="1">
        <f t="array" ref="H1627">_xlfn.IFS(G1627&lt;=20,"0-20",G1627&lt;=30,"20-30",G1627&lt;=40,"30-40",G1627&lt;=50,"50-60",G1627&lt;=60,"60-70",G1627&lt;=70,"70-80",G1627&lt;=80,"80-90")</f>
        <v>60-70</v>
      </c>
      <c r="I1627" s="13">
        <v>2237</v>
      </c>
      <c r="J1627" s="13" t="str" cm="1">
        <f t="array" ref="J1627">_xlfn.IFS(K1627=1,"Divorciado",L1627=1,"Casado",M1627=1,"Solteiro",N1627=1,"Juntos",O1627=1,"Viuvo")</f>
        <v>Solteiro</v>
      </c>
      <c r="K1627" s="13">
        <v>0</v>
      </c>
      <c r="L1627" s="13">
        <v>0</v>
      </c>
      <c r="M1627" s="13">
        <v>1</v>
      </c>
      <c r="N1627" s="13">
        <v>0</v>
      </c>
      <c r="O1627" s="13">
        <v>0</v>
      </c>
      <c r="P1627" s="13">
        <v>0</v>
      </c>
      <c r="Q1627" s="13">
        <v>0</v>
      </c>
      <c r="R1627" s="13">
        <v>0</v>
      </c>
      <c r="S1627" s="13">
        <v>0</v>
      </c>
      <c r="T1627" s="13">
        <v>1</v>
      </c>
      <c r="U1627" s="13">
        <v>52</v>
      </c>
      <c r="V1627" s="13" t="str" cm="1">
        <f t="array" ref="V1627">_xlfn.IFS(U1627&lt;=250,"0-R$250",U1627&lt;=500,"251-R$500",U1627&lt;=750,"501-R$750",U1627&lt;=1000,"751-R$1000",U1627&lt;=1250,"1001-R$1250",U1627&lt;=1500,"1251-R$1500")</f>
        <v>0-R$250</v>
      </c>
      <c r="W1627" s="13">
        <v>0</v>
      </c>
      <c r="X1627" s="13" t="str" cm="1">
        <f t="array" ref="X1627">_xlfn.IFS(W1627 = 0, "0", W1627&lt;=20, "até R$20",W1627&lt;=40, "21 - R$40",W1627&lt;=60, "41- R$60",W1627&lt;=80, "61 - R$80", W1627&lt;=100, "81 - R$100",W1627&lt;=120, "101 - R$120",W1627&lt;=140, "121 - R$140", W1627&lt;=160, "141- R$160", W1627&lt;=180, "161 - R$180", W1627&lt;=200, "181-R$194")</f>
        <v>0</v>
      </c>
      <c r="Y1627" s="13">
        <v>9</v>
      </c>
      <c r="Z1627" s="13">
        <v>0</v>
      </c>
      <c r="AA1627" s="13">
        <v>0</v>
      </c>
      <c r="AB1627" s="13">
        <v>1</v>
      </c>
      <c r="AC1627" s="13">
        <v>2</v>
      </c>
      <c r="AD1627" s="13">
        <v>1</v>
      </c>
      <c r="AE1627" s="13">
        <v>0</v>
      </c>
      <c r="AF1627" s="13">
        <v>4</v>
      </c>
      <c r="AG1627" s="13">
        <v>4</v>
      </c>
      <c r="AH1627" s="13">
        <v>0</v>
      </c>
      <c r="AI1627" s="13">
        <v>0</v>
      </c>
      <c r="AJ1627" s="13">
        <v>0</v>
      </c>
      <c r="AK1627" s="13">
        <v>0</v>
      </c>
      <c r="AL1627" s="13">
        <v>0</v>
      </c>
      <c r="AM1627" s="13">
        <v>0</v>
      </c>
      <c r="AN1627" s="13">
        <v>0</v>
      </c>
      <c r="AO1627" s="14">
        <v>0</v>
      </c>
      <c r="AP1627" s="13">
        <v>3</v>
      </c>
      <c r="AQ1627" s="13">
        <v>11</v>
      </c>
      <c r="AR1627" s="15">
        <v>60</v>
      </c>
      <c r="AS1627" s="15">
        <v>61</v>
      </c>
    </row>
    <row r="1628" spans="1:45" x14ac:dyDescent="0.25">
      <c r="A1628">
        <v>2168</v>
      </c>
      <c r="B1628" s="11">
        <f t="shared" si="25"/>
        <v>16185</v>
      </c>
      <c r="C1628" s="12">
        <v>161850</v>
      </c>
      <c r="D1628" s="13">
        <v>1</v>
      </c>
      <c r="E1628" s="13">
        <v>0</v>
      </c>
      <c r="F1628" s="13">
        <v>71</v>
      </c>
      <c r="G1628" s="13">
        <v>30</v>
      </c>
      <c r="H1628" s="13" t="str" cm="1">
        <f t="array" ref="H1628">_xlfn.IFS(G1628&lt;=20,"0-20",G1628&lt;=30,"20-30",G1628&lt;=40,"30-40",G1628&lt;=50,"50-60",G1628&lt;=60,"60-70",G1628&lt;=70,"70-80",G1628&lt;=80,"80-90")</f>
        <v>20-30</v>
      </c>
      <c r="I1628" s="13">
        <v>2487</v>
      </c>
      <c r="J1628" s="13" t="str" cm="1">
        <f t="array" ref="J1628">_xlfn.IFS(K1628=1,"Divorciado",L1628=1,"Casado",M1628=1,"Solteiro",N1628=1,"Juntos",O1628=1,"Viuvo")</f>
        <v>Solteiro</v>
      </c>
      <c r="K1628" s="13">
        <v>0</v>
      </c>
      <c r="L1628" s="13">
        <v>0</v>
      </c>
      <c r="M1628" s="13">
        <v>1</v>
      </c>
      <c r="N1628" s="13">
        <v>0</v>
      </c>
      <c r="O1628" s="13">
        <v>0</v>
      </c>
      <c r="P1628" s="13">
        <v>0</v>
      </c>
      <c r="Q1628" s="13">
        <v>1</v>
      </c>
      <c r="R1628" s="13">
        <v>0</v>
      </c>
      <c r="S1628" s="13">
        <v>0</v>
      </c>
      <c r="T1628" s="13">
        <v>0</v>
      </c>
      <c r="U1628" s="13">
        <v>5</v>
      </c>
      <c r="V1628" s="13" t="str" cm="1">
        <f t="array" ref="V1628">_xlfn.IFS(U1628&lt;=250,"0-R$250",U1628&lt;=500,"251-R$500",U1628&lt;=750,"501-R$750",U1628&lt;=1000,"751-R$1000",U1628&lt;=1250,"1001-R$1250",U1628&lt;=1500,"1251-R$1500")</f>
        <v>0-R$250</v>
      </c>
      <c r="W1628" s="13">
        <v>11</v>
      </c>
      <c r="X1628" s="13" t="str" cm="1">
        <f t="array" ref="X1628">_xlfn.IFS(W1628 = 0, "0", W1628&lt;=20, "até R$20",W1628&lt;=40, "21 - R$40",W1628&lt;=60, "41- R$60",W1628&lt;=80, "61 - R$80", W1628&lt;=100, "81 - R$100",W1628&lt;=120, "101 - R$120",W1628&lt;=140, "121 - R$140", W1628&lt;=160, "141- R$160", W1628&lt;=180, "161 - R$180", W1628&lt;=200, "181-R$194")</f>
        <v>até R$20</v>
      </c>
      <c r="Y1628" s="13">
        <v>16</v>
      </c>
      <c r="Z1628" s="13">
        <v>21</v>
      </c>
      <c r="AA1628" s="13">
        <v>8</v>
      </c>
      <c r="AB1628" s="13">
        <v>45</v>
      </c>
      <c r="AC1628" s="13">
        <v>2</v>
      </c>
      <c r="AD1628" s="13">
        <v>2</v>
      </c>
      <c r="AE1628" s="13">
        <v>2</v>
      </c>
      <c r="AF1628" s="13">
        <v>2</v>
      </c>
      <c r="AG1628" s="13">
        <v>8</v>
      </c>
      <c r="AH1628" s="13">
        <v>0</v>
      </c>
      <c r="AI1628" s="13">
        <v>0</v>
      </c>
      <c r="AJ1628" s="13">
        <v>0</v>
      </c>
      <c r="AK1628" s="13">
        <v>0</v>
      </c>
      <c r="AL1628" s="13">
        <v>0</v>
      </c>
      <c r="AM1628" s="13">
        <v>0</v>
      </c>
      <c r="AN1628" s="13">
        <v>0</v>
      </c>
      <c r="AO1628" s="14">
        <v>0</v>
      </c>
      <c r="AP1628" s="13">
        <v>3</v>
      </c>
      <c r="AQ1628" s="13">
        <v>11</v>
      </c>
      <c r="AR1628" s="15">
        <v>16</v>
      </c>
      <c r="AS1628" s="15">
        <v>61</v>
      </c>
    </row>
    <row r="1629" spans="1:45" x14ac:dyDescent="0.25">
      <c r="A1629">
        <v>2197</v>
      </c>
      <c r="B1629" s="11">
        <f t="shared" si="25"/>
        <v>11012</v>
      </c>
      <c r="C1629" s="16">
        <v>110120</v>
      </c>
      <c r="D1629" s="17">
        <v>1</v>
      </c>
      <c r="E1629" s="17">
        <v>0</v>
      </c>
      <c r="F1629" s="17">
        <v>82</v>
      </c>
      <c r="G1629" s="17">
        <v>36</v>
      </c>
      <c r="H1629" s="13" t="str" cm="1">
        <f t="array" ref="H1629">_xlfn.IFS(G1629&lt;=20,"0-20",G1629&lt;=30,"20-30",G1629&lt;=40,"30-40",G1629&lt;=50,"50-60",G1629&lt;=60,"60-70",G1629&lt;=70,"70-80",G1629&lt;=80,"80-90")</f>
        <v>30-40</v>
      </c>
      <c r="I1629" s="17">
        <v>2629</v>
      </c>
      <c r="J1629" s="13" t="str" cm="1">
        <f t="array" ref="J1629">_xlfn.IFS(K1629=1,"Divorciado",L1629=1,"Casado",M1629=1,"Solteiro",N1629=1,"Juntos",O1629=1,"Viuvo")</f>
        <v>Solteiro</v>
      </c>
      <c r="K1629" s="17">
        <v>0</v>
      </c>
      <c r="L1629" s="17">
        <v>0</v>
      </c>
      <c r="M1629" s="17">
        <v>1</v>
      </c>
      <c r="N1629" s="17">
        <v>0</v>
      </c>
      <c r="O1629" s="17">
        <v>0</v>
      </c>
      <c r="P1629" s="17">
        <v>0</v>
      </c>
      <c r="Q1629" s="17">
        <v>0</v>
      </c>
      <c r="R1629" s="17">
        <v>1</v>
      </c>
      <c r="S1629" s="17">
        <v>0</v>
      </c>
      <c r="T1629" s="17">
        <v>0</v>
      </c>
      <c r="U1629" s="17">
        <v>24</v>
      </c>
      <c r="V1629" s="13" t="str" cm="1">
        <f t="array" ref="V1629">_xlfn.IFS(U1629&lt;=250,"0-R$250",U1629&lt;=500,"251-R$500",U1629&lt;=750,"501-R$750",U1629&lt;=1000,"751-R$1000",U1629&lt;=1250,"1001-R$1250",U1629&lt;=1500,"1251-R$1500")</f>
        <v>0-R$250</v>
      </c>
      <c r="W1629" s="17">
        <v>3</v>
      </c>
      <c r="X1629" s="13" t="str" cm="1">
        <f t="array" ref="X1629">_xlfn.IFS(W1629 = 0, "0", W1629&lt;=20, "até R$20",W1629&lt;=40, "21 - R$40",W1629&lt;=60, "41- R$60",W1629&lt;=80, "61 - R$80", W1629&lt;=100, "81 - R$100",W1629&lt;=120, "101 - R$120",W1629&lt;=140, "121 - R$140", W1629&lt;=160, "141- R$160", W1629&lt;=180, "161 - R$180", W1629&lt;=200, "181-R$194")</f>
        <v>até R$20</v>
      </c>
      <c r="Y1629" s="17">
        <v>26</v>
      </c>
      <c r="Z1629" s="17">
        <v>7</v>
      </c>
      <c r="AA1629" s="17">
        <v>1</v>
      </c>
      <c r="AB1629" s="17">
        <v>23</v>
      </c>
      <c r="AC1629" s="17">
        <v>3</v>
      </c>
      <c r="AD1629" s="17">
        <v>3</v>
      </c>
      <c r="AE1629" s="17">
        <v>1</v>
      </c>
      <c r="AF1629" s="17">
        <v>2</v>
      </c>
      <c r="AG1629" s="17">
        <v>9</v>
      </c>
      <c r="AH1629" s="17">
        <v>0</v>
      </c>
      <c r="AI1629" s="17">
        <v>1</v>
      </c>
      <c r="AJ1629" s="17">
        <v>0</v>
      </c>
      <c r="AK1629" s="17">
        <v>0</v>
      </c>
      <c r="AL1629" s="17">
        <v>0</v>
      </c>
      <c r="AM1629" s="17">
        <v>0</v>
      </c>
      <c r="AN1629" s="17">
        <v>0</v>
      </c>
      <c r="AO1629" s="18">
        <v>1</v>
      </c>
      <c r="AP1629" s="17">
        <v>3</v>
      </c>
      <c r="AQ1629" s="17">
        <v>11</v>
      </c>
      <c r="AR1629" s="19">
        <v>38</v>
      </c>
      <c r="AS1629" s="19">
        <v>61</v>
      </c>
    </row>
    <row r="1630" spans="1:45" x14ac:dyDescent="0.25">
      <c r="A1630">
        <v>154</v>
      </c>
      <c r="B1630" s="11">
        <f t="shared" si="25"/>
        <v>43482</v>
      </c>
      <c r="C1630" s="12">
        <v>434820</v>
      </c>
      <c r="D1630" s="13">
        <v>2</v>
      </c>
      <c r="E1630" s="13">
        <v>1</v>
      </c>
      <c r="F1630" s="13">
        <v>83</v>
      </c>
      <c r="G1630" s="13">
        <v>54</v>
      </c>
      <c r="H1630" s="13" t="str" cm="1">
        <f t="array" ref="H1630">_xlfn.IFS(G1630&lt;=20,"0-20",G1630&lt;=30,"20-30",G1630&lt;=40,"30-40",G1630&lt;=50,"50-60",G1630&lt;=60,"60-70",G1630&lt;=70,"70-80",G1630&lt;=80,"80-90")</f>
        <v>60-70</v>
      </c>
      <c r="I1630" s="13">
        <v>2387</v>
      </c>
      <c r="J1630" s="13" t="str" cm="1">
        <f t="array" ref="J1630">_xlfn.IFS(K1630=1,"Divorciado",L1630=1,"Casado",M1630=1,"Solteiro",N1630=1,"Juntos",O1630=1,"Viuvo")</f>
        <v>Juntos</v>
      </c>
      <c r="K1630" s="13">
        <v>0</v>
      </c>
      <c r="L1630" s="13">
        <v>0</v>
      </c>
      <c r="M1630" s="13">
        <v>0</v>
      </c>
      <c r="N1630" s="13">
        <v>1</v>
      </c>
      <c r="O1630" s="13">
        <v>0</v>
      </c>
      <c r="P1630" s="13">
        <v>0</v>
      </c>
      <c r="Q1630" s="13">
        <v>0</v>
      </c>
      <c r="R1630" s="13">
        <v>1</v>
      </c>
      <c r="S1630" s="13">
        <v>0</v>
      </c>
      <c r="T1630" s="13">
        <v>0</v>
      </c>
      <c r="U1630" s="13">
        <v>18</v>
      </c>
      <c r="V1630" s="13" t="str" cm="1">
        <f t="array" ref="V1630">_xlfn.IFS(U1630&lt;=250,"0-R$250",U1630&lt;=500,"251-R$500",U1630&lt;=750,"501-R$750",U1630&lt;=1000,"751-R$1000",U1630&lt;=1250,"1001-R$1250",U1630&lt;=1500,"1251-R$1500")</f>
        <v>0-R$250</v>
      </c>
      <c r="W1630" s="13">
        <v>1</v>
      </c>
      <c r="X1630" s="13" t="str" cm="1">
        <f t="array" ref="X1630">_xlfn.IFS(W1630 = 0, "0", W1630&lt;=20, "até R$20",W1630&lt;=40, "21 - R$40",W1630&lt;=60, "41- R$60",W1630&lt;=80, "61 - R$80", W1630&lt;=100, "81 - R$100",W1630&lt;=120, "101 - R$120",W1630&lt;=140, "121 - R$140", W1630&lt;=160, "141- R$160", W1630&lt;=180, "161 - R$180", W1630&lt;=200, "181-R$194")</f>
        <v>até R$20</v>
      </c>
      <c r="Y1630" s="13">
        <v>32</v>
      </c>
      <c r="Z1630" s="13">
        <v>6</v>
      </c>
      <c r="AA1630" s="13">
        <v>3</v>
      </c>
      <c r="AB1630" s="13">
        <v>28</v>
      </c>
      <c r="AC1630" s="13">
        <v>3</v>
      </c>
      <c r="AD1630" s="13">
        <v>2</v>
      </c>
      <c r="AE1630" s="13">
        <v>0</v>
      </c>
      <c r="AF1630" s="13">
        <v>4</v>
      </c>
      <c r="AG1630" s="13">
        <v>6</v>
      </c>
      <c r="AH1630" s="13">
        <v>0</v>
      </c>
      <c r="AI1630" s="13">
        <v>0</v>
      </c>
      <c r="AJ1630" s="13">
        <v>0</v>
      </c>
      <c r="AK1630" s="13">
        <v>0</v>
      </c>
      <c r="AL1630" s="13">
        <v>0</v>
      </c>
      <c r="AM1630" s="13">
        <v>0</v>
      </c>
      <c r="AN1630" s="13">
        <v>0</v>
      </c>
      <c r="AO1630" s="14">
        <v>0</v>
      </c>
      <c r="AP1630" s="13">
        <v>3</v>
      </c>
      <c r="AQ1630" s="13">
        <v>11</v>
      </c>
      <c r="AR1630" s="15">
        <v>32</v>
      </c>
      <c r="AS1630" s="15">
        <v>60</v>
      </c>
    </row>
    <row r="1631" spans="1:45" x14ac:dyDescent="0.25">
      <c r="A1631">
        <v>1245</v>
      </c>
      <c r="B1631" s="11">
        <f t="shared" si="25"/>
        <v>47139</v>
      </c>
      <c r="C1631" s="16">
        <v>471390</v>
      </c>
      <c r="D1631" s="17">
        <v>1</v>
      </c>
      <c r="E1631" s="17">
        <v>1</v>
      </c>
      <c r="F1631" s="17">
        <v>2</v>
      </c>
      <c r="G1631" s="17">
        <v>68</v>
      </c>
      <c r="H1631" s="13" t="str" cm="1">
        <f t="array" ref="H1631">_xlfn.IFS(G1631&lt;=20,"0-20",G1631&lt;=30,"20-30",G1631&lt;=40,"30-40",G1631&lt;=50,"50-60",G1631&lt;=60,"60-70",G1631&lt;=70,"70-80",G1631&lt;=80,"80-90")</f>
        <v>70-80</v>
      </c>
      <c r="I1631" s="17">
        <v>2274</v>
      </c>
      <c r="J1631" s="13" t="str" cm="1">
        <f t="array" ref="J1631">_xlfn.IFS(K1631=1,"Divorciado",L1631=1,"Casado",M1631=1,"Solteiro",N1631=1,"Juntos",O1631=1,"Viuvo")</f>
        <v>Solteiro</v>
      </c>
      <c r="K1631" s="17">
        <v>0</v>
      </c>
      <c r="L1631" s="17">
        <v>0</v>
      </c>
      <c r="M1631" s="17">
        <v>1</v>
      </c>
      <c r="N1631" s="17">
        <v>0</v>
      </c>
      <c r="O1631" s="17">
        <v>0</v>
      </c>
      <c r="P1631" s="17">
        <v>0</v>
      </c>
      <c r="Q1631" s="17">
        <v>0</v>
      </c>
      <c r="R1631" s="17">
        <v>1</v>
      </c>
      <c r="S1631" s="17">
        <v>0</v>
      </c>
      <c r="T1631" s="17">
        <v>0</v>
      </c>
      <c r="U1631" s="17">
        <v>46</v>
      </c>
      <c r="V1631" s="13" t="str" cm="1">
        <f t="array" ref="V1631">_xlfn.IFS(U1631&lt;=250,"0-R$250",U1631&lt;=500,"251-R$500",U1631&lt;=750,"501-R$750",U1631&lt;=1000,"751-R$1000",U1631&lt;=1250,"1001-R$1250",U1631&lt;=1500,"1251-R$1500")</f>
        <v>0-R$250</v>
      </c>
      <c r="W1631" s="17">
        <v>0</v>
      </c>
      <c r="X1631" s="13" t="str" cm="1">
        <f t="array" ref="X1631">_xlfn.IFS(W1631 = 0, "0", W1631&lt;=20, "até R$20",W1631&lt;=40, "21 - R$40",W1631&lt;=60, "41- R$60",W1631&lt;=80, "61 - R$80", W1631&lt;=100, "81 - R$100",W1631&lt;=120, "101 - R$120",W1631&lt;=140, "121 - R$140", W1631&lt;=160, "141- R$160", W1631&lt;=180, "161 - R$180", W1631&lt;=200, "181-R$194")</f>
        <v>0</v>
      </c>
      <c r="Y1631" s="17">
        <v>12</v>
      </c>
      <c r="Z1631" s="17">
        <v>0</v>
      </c>
      <c r="AA1631" s="17">
        <v>2</v>
      </c>
      <c r="AB1631" s="17">
        <v>23</v>
      </c>
      <c r="AC1631" s="17">
        <v>2</v>
      </c>
      <c r="AD1631" s="17">
        <v>2</v>
      </c>
      <c r="AE1631" s="17">
        <v>1</v>
      </c>
      <c r="AF1631" s="17">
        <v>2</v>
      </c>
      <c r="AG1631" s="17">
        <v>7</v>
      </c>
      <c r="AH1631" s="17">
        <v>0</v>
      </c>
      <c r="AI1631" s="17">
        <v>0</v>
      </c>
      <c r="AJ1631" s="17">
        <v>0</v>
      </c>
      <c r="AK1631" s="17">
        <v>0</v>
      </c>
      <c r="AL1631" s="17">
        <v>0</v>
      </c>
      <c r="AM1631" s="17">
        <v>0</v>
      </c>
      <c r="AN1631" s="17">
        <v>1</v>
      </c>
      <c r="AO1631" s="18">
        <v>0</v>
      </c>
      <c r="AP1631" s="17">
        <v>3</v>
      </c>
      <c r="AQ1631" s="17">
        <v>11</v>
      </c>
      <c r="AR1631" s="19">
        <v>37</v>
      </c>
      <c r="AS1631" s="19">
        <v>60</v>
      </c>
    </row>
    <row r="1632" spans="1:45" x14ac:dyDescent="0.25">
      <c r="A1632">
        <v>1470</v>
      </c>
      <c r="B1632" s="11">
        <f t="shared" si="25"/>
        <v>35765</v>
      </c>
      <c r="C1632" s="12">
        <v>357650</v>
      </c>
      <c r="D1632" s="13">
        <v>1</v>
      </c>
      <c r="E1632" s="13">
        <v>0</v>
      </c>
      <c r="F1632" s="13">
        <v>86</v>
      </c>
      <c r="G1632" s="13">
        <v>30</v>
      </c>
      <c r="H1632" s="13" t="str" cm="1">
        <f t="array" ref="H1632">_xlfn.IFS(G1632&lt;=20,"0-20",G1632&lt;=30,"20-30",G1632&lt;=40,"30-40",G1632&lt;=50,"50-60",G1632&lt;=60,"60-70",G1632&lt;=70,"70-80",G1632&lt;=80,"80-90")</f>
        <v>20-30</v>
      </c>
      <c r="I1632" s="13">
        <v>2359</v>
      </c>
      <c r="J1632" s="13" t="str" cm="1">
        <f t="array" ref="J1632">_xlfn.IFS(K1632=1,"Divorciado",L1632=1,"Casado",M1632=1,"Solteiro",N1632=1,"Juntos",O1632=1,"Viuvo")</f>
        <v>Casado</v>
      </c>
      <c r="K1632" s="13">
        <v>0</v>
      </c>
      <c r="L1632" s="13">
        <v>1</v>
      </c>
      <c r="M1632" s="13">
        <v>0</v>
      </c>
      <c r="N1632" s="13">
        <v>0</v>
      </c>
      <c r="O1632" s="13">
        <v>0</v>
      </c>
      <c r="P1632" s="13">
        <v>0</v>
      </c>
      <c r="Q1632" s="13">
        <v>0</v>
      </c>
      <c r="R1632" s="13">
        <v>1</v>
      </c>
      <c r="S1632" s="13">
        <v>0</v>
      </c>
      <c r="T1632" s="13">
        <v>0</v>
      </c>
      <c r="U1632" s="13">
        <v>22</v>
      </c>
      <c r="V1632" s="13" t="str" cm="1">
        <f t="array" ref="V1632">_xlfn.IFS(U1632&lt;=250,"0-R$250",U1632&lt;=500,"251-R$500",U1632&lt;=750,"501-R$750",U1632&lt;=1000,"751-R$1000",U1632&lt;=1250,"1001-R$1250",U1632&lt;=1500,"1251-R$1500")</f>
        <v>0-R$250</v>
      </c>
      <c r="W1632" s="13">
        <v>3</v>
      </c>
      <c r="X1632" s="13" t="str" cm="1">
        <f t="array" ref="X1632">_xlfn.IFS(W1632 = 0, "0", W1632&lt;=20, "até R$20",W1632&lt;=40, "21 - R$40",W1632&lt;=60, "41- R$60",W1632&lt;=80, "61 - R$80", W1632&lt;=100, "81 - R$100",W1632&lt;=120, "101 - R$120",W1632&lt;=140, "121 - R$140", W1632&lt;=160, "141- R$160", W1632&lt;=180, "161 - R$180", W1632&lt;=200, "181-R$194")</f>
        <v>até R$20</v>
      </c>
      <c r="Y1632" s="13">
        <v>30</v>
      </c>
      <c r="Z1632" s="13">
        <v>0</v>
      </c>
      <c r="AA1632" s="13">
        <v>5</v>
      </c>
      <c r="AB1632" s="13">
        <v>15</v>
      </c>
      <c r="AC1632" s="13">
        <v>2</v>
      </c>
      <c r="AD1632" s="13">
        <v>2</v>
      </c>
      <c r="AE1632" s="13">
        <v>0</v>
      </c>
      <c r="AF1632" s="13">
        <v>4</v>
      </c>
      <c r="AG1632" s="13">
        <v>6</v>
      </c>
      <c r="AH1632" s="13">
        <v>0</v>
      </c>
      <c r="AI1632" s="13">
        <v>0</v>
      </c>
      <c r="AJ1632" s="13">
        <v>0</v>
      </c>
      <c r="AK1632" s="13">
        <v>0</v>
      </c>
      <c r="AL1632" s="13">
        <v>0</v>
      </c>
      <c r="AM1632" s="13">
        <v>0</v>
      </c>
      <c r="AN1632" s="13">
        <v>0</v>
      </c>
      <c r="AO1632" s="14">
        <v>0</v>
      </c>
      <c r="AP1632" s="13">
        <v>3</v>
      </c>
      <c r="AQ1632" s="13">
        <v>11</v>
      </c>
      <c r="AR1632" s="15">
        <v>45</v>
      </c>
      <c r="AS1632" s="15">
        <v>60</v>
      </c>
    </row>
    <row r="1633" spans="1:45" x14ac:dyDescent="0.25">
      <c r="A1633">
        <v>1522</v>
      </c>
      <c r="B1633" s="11">
        <f t="shared" si="25"/>
        <v>30390</v>
      </c>
      <c r="C1633" s="12">
        <v>303900</v>
      </c>
      <c r="D1633" s="13">
        <v>0</v>
      </c>
      <c r="E1633" s="13">
        <v>0</v>
      </c>
      <c r="F1633" s="13">
        <v>5</v>
      </c>
      <c r="G1633" s="13">
        <v>33</v>
      </c>
      <c r="H1633" s="13" t="str" cm="1">
        <f t="array" ref="H1633">_xlfn.IFS(G1633&lt;=20,"0-20",G1633&lt;=30,"20-30",G1633&lt;=40,"30-40",G1633&lt;=50,"50-60",G1633&lt;=60,"60-70",G1633&lt;=70,"70-80",G1633&lt;=80,"80-90")</f>
        <v>30-40</v>
      </c>
      <c r="I1633" s="13">
        <v>2459</v>
      </c>
      <c r="J1633" s="13" t="str" cm="1">
        <f t="array" ref="J1633">_xlfn.IFS(K1633=1,"Divorciado",L1633=1,"Casado",M1633=1,"Solteiro",N1633=1,"Juntos",O1633=1,"Viuvo")</f>
        <v>Casado</v>
      </c>
      <c r="K1633" s="13">
        <v>0</v>
      </c>
      <c r="L1633" s="13">
        <v>1</v>
      </c>
      <c r="M1633" s="13">
        <v>0</v>
      </c>
      <c r="N1633" s="13">
        <v>0</v>
      </c>
      <c r="O1633" s="13">
        <v>0</v>
      </c>
      <c r="P1633" s="13">
        <v>1</v>
      </c>
      <c r="Q1633" s="13">
        <v>0</v>
      </c>
      <c r="R1633" s="13">
        <v>0</v>
      </c>
      <c r="S1633" s="13">
        <v>0</v>
      </c>
      <c r="T1633" s="13">
        <v>0</v>
      </c>
      <c r="U1633" s="13">
        <v>10</v>
      </c>
      <c r="V1633" s="13" t="str" cm="1">
        <f t="array" ref="V1633">_xlfn.IFS(U1633&lt;=250,"0-R$250",U1633&lt;=500,"251-R$500",U1633&lt;=750,"501-R$750",U1633&lt;=1000,"751-R$1000",U1633&lt;=1250,"1001-R$1250",U1633&lt;=1500,"1251-R$1500")</f>
        <v>0-R$250</v>
      </c>
      <c r="W1633" s="13">
        <v>12</v>
      </c>
      <c r="X1633" s="13" t="str" cm="1">
        <f t="array" ref="X1633">_xlfn.IFS(W1633 = 0, "0", W1633&lt;=20, "até R$20",W1633&lt;=40, "21 - R$40",W1633&lt;=60, "41- R$60",W1633&lt;=80, "61 - R$80", W1633&lt;=100, "81 - R$100",W1633&lt;=120, "101 - R$120",W1633&lt;=140, "121 - R$140", W1633&lt;=160, "141- R$160", W1633&lt;=180, "161 - R$180", W1633&lt;=200, "181-R$194")</f>
        <v>até R$20</v>
      </c>
      <c r="Y1633" s="13">
        <v>12</v>
      </c>
      <c r="Z1633" s="13">
        <v>25</v>
      </c>
      <c r="AA1633" s="13">
        <v>1</v>
      </c>
      <c r="AB1633" s="13">
        <v>20</v>
      </c>
      <c r="AC1633" s="13">
        <v>1</v>
      </c>
      <c r="AD1633" s="13">
        <v>2</v>
      </c>
      <c r="AE1633" s="13">
        <v>0</v>
      </c>
      <c r="AF1633" s="13">
        <v>3</v>
      </c>
      <c r="AG1633" s="13">
        <v>6</v>
      </c>
      <c r="AH1633" s="13">
        <v>0</v>
      </c>
      <c r="AI1633" s="13">
        <v>0</v>
      </c>
      <c r="AJ1633" s="13">
        <v>0</v>
      </c>
      <c r="AK1633" s="13">
        <v>0</v>
      </c>
      <c r="AL1633" s="13">
        <v>0</v>
      </c>
      <c r="AM1633" s="13">
        <v>0</v>
      </c>
      <c r="AN1633" s="13">
        <v>0</v>
      </c>
      <c r="AO1633" s="14">
        <v>0</v>
      </c>
      <c r="AP1633" s="13">
        <v>3</v>
      </c>
      <c r="AQ1633" s="13">
        <v>11</v>
      </c>
      <c r="AR1633" s="15">
        <v>40</v>
      </c>
      <c r="AS1633" s="15">
        <v>60</v>
      </c>
    </row>
    <row r="1634" spans="1:45" x14ac:dyDescent="0.25">
      <c r="A1634">
        <v>821</v>
      </c>
      <c r="B1634" s="11">
        <f t="shared" si="25"/>
        <v>34026</v>
      </c>
      <c r="C1634" s="16">
        <v>340260</v>
      </c>
      <c r="D1634" s="17">
        <v>1</v>
      </c>
      <c r="E1634" s="17">
        <v>1</v>
      </c>
      <c r="F1634" s="17">
        <v>11</v>
      </c>
      <c r="G1634" s="17">
        <v>70</v>
      </c>
      <c r="H1634" s="13" t="str" cm="1">
        <f t="array" ref="H1634">_xlfn.IFS(G1634&lt;=20,"0-20",G1634&lt;=30,"20-30",G1634&lt;=40,"30-40",G1634&lt;=50,"50-60",G1634&lt;=60,"60-70",G1634&lt;=70,"70-80",G1634&lt;=80,"80-90")</f>
        <v>70-80</v>
      </c>
      <c r="I1634" s="17">
        <v>2487</v>
      </c>
      <c r="J1634" s="13" t="str" cm="1">
        <f t="array" ref="J1634">_xlfn.IFS(K1634=1,"Divorciado",L1634=1,"Casado",M1634=1,"Solteiro",N1634=1,"Juntos",O1634=1,"Viuvo")</f>
        <v>Juntos</v>
      </c>
      <c r="K1634" s="17">
        <v>0</v>
      </c>
      <c r="L1634" s="17">
        <v>0</v>
      </c>
      <c r="M1634" s="17">
        <v>0</v>
      </c>
      <c r="N1634" s="17">
        <v>1</v>
      </c>
      <c r="O1634" s="17">
        <v>0</v>
      </c>
      <c r="P1634" s="17">
        <v>0</v>
      </c>
      <c r="Q1634" s="17">
        <v>0</v>
      </c>
      <c r="R1634" s="17">
        <v>1</v>
      </c>
      <c r="S1634" s="17">
        <v>0</v>
      </c>
      <c r="T1634" s="17">
        <v>0</v>
      </c>
      <c r="U1634" s="17">
        <v>18</v>
      </c>
      <c r="V1634" s="13" t="str" cm="1">
        <f t="array" ref="V1634">_xlfn.IFS(U1634&lt;=250,"0-R$250",U1634&lt;=500,"251-R$500",U1634&lt;=750,"501-R$750",U1634&lt;=1000,"751-R$1000",U1634&lt;=1250,"1001-R$1250",U1634&lt;=1500,"1251-R$1500")</f>
        <v>0-R$250</v>
      </c>
      <c r="W1634" s="17">
        <v>6</v>
      </c>
      <c r="X1634" s="13" t="str" cm="1">
        <f t="array" ref="X1634">_xlfn.IFS(W1634 = 0, "0", W1634&lt;=20, "até R$20",W1634&lt;=40, "21 - R$40",W1634&lt;=60, "41- R$60",W1634&lt;=80, "61 - R$80", W1634&lt;=100, "81 - R$100",W1634&lt;=120, "101 - R$120",W1634&lt;=140, "121 - R$140", W1634&lt;=160, "141- R$160", W1634&lt;=180, "161 - R$180", W1634&lt;=200, "181-R$194")</f>
        <v>até R$20</v>
      </c>
      <c r="Y1634" s="17">
        <v>15</v>
      </c>
      <c r="Z1634" s="17">
        <v>12</v>
      </c>
      <c r="AA1634" s="17">
        <v>8</v>
      </c>
      <c r="AB1634" s="17">
        <v>17</v>
      </c>
      <c r="AC1634" s="17">
        <v>3</v>
      </c>
      <c r="AD1634" s="17">
        <v>2</v>
      </c>
      <c r="AE1634" s="17">
        <v>1</v>
      </c>
      <c r="AF1634" s="17">
        <v>3</v>
      </c>
      <c r="AG1634" s="17">
        <v>5</v>
      </c>
      <c r="AH1634" s="17">
        <v>0</v>
      </c>
      <c r="AI1634" s="17">
        <v>0</v>
      </c>
      <c r="AJ1634" s="17">
        <v>0</v>
      </c>
      <c r="AK1634" s="17">
        <v>0</v>
      </c>
      <c r="AL1634" s="17">
        <v>0</v>
      </c>
      <c r="AM1634" s="17">
        <v>0</v>
      </c>
      <c r="AN1634" s="17">
        <v>0</v>
      </c>
      <c r="AO1634" s="18">
        <v>0</v>
      </c>
      <c r="AP1634" s="17">
        <v>3</v>
      </c>
      <c r="AQ1634" s="17">
        <v>11</v>
      </c>
      <c r="AR1634" s="19">
        <v>42</v>
      </c>
      <c r="AS1634" s="19">
        <v>59</v>
      </c>
    </row>
    <row r="1635" spans="1:45" x14ac:dyDescent="0.25">
      <c r="A1635">
        <v>932</v>
      </c>
      <c r="B1635" s="11">
        <f t="shared" si="25"/>
        <v>52190</v>
      </c>
      <c r="C1635" s="12">
        <v>521900</v>
      </c>
      <c r="D1635" s="13">
        <v>1</v>
      </c>
      <c r="E1635" s="13">
        <v>1</v>
      </c>
      <c r="F1635" s="13">
        <v>39</v>
      </c>
      <c r="G1635" s="13">
        <v>44</v>
      </c>
      <c r="H1635" s="13" t="str" cm="1">
        <f t="array" ref="H1635">_xlfn.IFS(G1635&lt;=20,"0-20",G1635&lt;=30,"20-30",G1635&lt;=40,"30-40",G1635&lt;=50,"50-60",G1635&lt;=60,"60-70",G1635&lt;=70,"70-80",G1635&lt;=80,"80-90")</f>
        <v>50-60</v>
      </c>
      <c r="I1635" s="13">
        <v>2211</v>
      </c>
      <c r="J1635" s="13" t="str" cm="1">
        <f t="array" ref="J1635">_xlfn.IFS(K1635=1,"Divorciado",L1635=1,"Casado",M1635=1,"Solteiro",N1635=1,"Juntos",O1635=1,"Viuvo")</f>
        <v>Juntos</v>
      </c>
      <c r="K1635" s="13">
        <v>0</v>
      </c>
      <c r="L1635" s="13">
        <v>0</v>
      </c>
      <c r="M1635" s="13">
        <v>0</v>
      </c>
      <c r="N1635" s="13">
        <v>1</v>
      </c>
      <c r="O1635" s="13">
        <v>0</v>
      </c>
      <c r="P1635" s="13">
        <v>0</v>
      </c>
      <c r="Q1635" s="13">
        <v>0</v>
      </c>
      <c r="R1635" s="13">
        <v>0</v>
      </c>
      <c r="S1635" s="13">
        <v>0</v>
      </c>
      <c r="T1635" s="13">
        <v>1</v>
      </c>
      <c r="U1635" s="13">
        <v>42</v>
      </c>
      <c r="V1635" s="13" t="str" cm="1">
        <f t="array" ref="V1635">_xlfn.IFS(U1635&lt;=250,"0-R$250",U1635&lt;=500,"251-R$500",U1635&lt;=750,"501-R$750",U1635&lt;=1000,"751-R$1000",U1635&lt;=1250,"1001-R$1250",U1635&lt;=1500,"1251-R$1500")</f>
        <v>0-R$250</v>
      </c>
      <c r="W1635" s="13">
        <v>0</v>
      </c>
      <c r="X1635" s="13" t="str" cm="1">
        <f t="array" ref="X1635">_xlfn.IFS(W1635 = 0, "0", W1635&lt;=20, "até R$20",W1635&lt;=40, "21 - R$40",W1635&lt;=60, "41- R$60",W1635&lt;=80, "61 - R$80", W1635&lt;=100, "81 - R$100",W1635&lt;=120, "101 - R$120",W1635&lt;=140, "121 - R$140", W1635&lt;=160, "141- R$160", W1635&lt;=180, "161 - R$180", W1635&lt;=200, "181-R$194")</f>
        <v>0</v>
      </c>
      <c r="Y1635" s="13">
        <v>17</v>
      </c>
      <c r="Z1635" s="13">
        <v>0</v>
      </c>
      <c r="AA1635" s="13">
        <v>0</v>
      </c>
      <c r="AB1635" s="13">
        <v>18</v>
      </c>
      <c r="AC1635" s="13">
        <v>3</v>
      </c>
      <c r="AD1635" s="13">
        <v>2</v>
      </c>
      <c r="AE1635" s="13">
        <v>1</v>
      </c>
      <c r="AF1635" s="13">
        <v>3</v>
      </c>
      <c r="AG1635" s="13">
        <v>5</v>
      </c>
      <c r="AH1635" s="13">
        <v>0</v>
      </c>
      <c r="AI1635" s="13">
        <v>1</v>
      </c>
      <c r="AJ1635" s="13">
        <v>0</v>
      </c>
      <c r="AK1635" s="13">
        <v>0</v>
      </c>
      <c r="AL1635" s="13">
        <v>0</v>
      </c>
      <c r="AM1635" s="13">
        <v>0</v>
      </c>
      <c r="AN1635" s="13">
        <v>0</v>
      </c>
      <c r="AO1635" s="14">
        <v>1</v>
      </c>
      <c r="AP1635" s="13">
        <v>3</v>
      </c>
      <c r="AQ1635" s="13">
        <v>11</v>
      </c>
      <c r="AR1635" s="15">
        <v>41</v>
      </c>
      <c r="AS1635" s="15">
        <v>59</v>
      </c>
    </row>
    <row r="1636" spans="1:45" x14ac:dyDescent="0.25">
      <c r="A1636">
        <v>1201</v>
      </c>
      <c r="B1636" s="11">
        <f t="shared" si="25"/>
        <v>8940</v>
      </c>
      <c r="C1636" s="16">
        <v>89400</v>
      </c>
      <c r="D1636" s="17">
        <v>1</v>
      </c>
      <c r="E1636" s="17">
        <v>0</v>
      </c>
      <c r="F1636" s="17">
        <v>25</v>
      </c>
      <c r="G1636" s="17">
        <v>34</v>
      </c>
      <c r="H1636" s="13" t="str" cm="1">
        <f t="array" ref="H1636">_xlfn.IFS(G1636&lt;=20,"0-20",G1636&lt;=30,"20-30",G1636&lt;=40,"30-40",G1636&lt;=50,"50-60",G1636&lt;=60,"60-70",G1636&lt;=70,"70-80",G1636&lt;=80,"80-90")</f>
        <v>30-40</v>
      </c>
      <c r="I1636" s="17">
        <v>2835</v>
      </c>
      <c r="J1636" s="13" t="str" cm="1">
        <f t="array" ref="J1636">_xlfn.IFS(K1636=1,"Divorciado",L1636=1,"Casado",M1636=1,"Solteiro",N1636=1,"Juntos",O1636=1,"Viuvo")</f>
        <v>Solteiro</v>
      </c>
      <c r="K1636" s="17">
        <v>0</v>
      </c>
      <c r="L1636" s="17">
        <v>0</v>
      </c>
      <c r="M1636" s="17">
        <v>1</v>
      </c>
      <c r="N1636" s="17">
        <v>0</v>
      </c>
      <c r="O1636" s="17">
        <v>0</v>
      </c>
      <c r="P1636" s="17">
        <v>0</v>
      </c>
      <c r="Q1636" s="17">
        <v>1</v>
      </c>
      <c r="R1636" s="17">
        <v>0</v>
      </c>
      <c r="S1636" s="17">
        <v>0</v>
      </c>
      <c r="T1636" s="17">
        <v>0</v>
      </c>
      <c r="U1636" s="17">
        <v>1</v>
      </c>
      <c r="V1636" s="13" t="str" cm="1">
        <f t="array" ref="V1636">_xlfn.IFS(U1636&lt;=250,"0-R$250",U1636&lt;=500,"251-R$500",U1636&lt;=750,"501-R$750",U1636&lt;=1000,"751-R$1000",U1636&lt;=1250,"1001-R$1250",U1636&lt;=1500,"1251-R$1500")</f>
        <v>0-R$250</v>
      </c>
      <c r="W1636" s="17">
        <v>45</v>
      </c>
      <c r="X1636" s="13" t="str" cm="1">
        <f t="array" ref="X1636">_xlfn.IFS(W1636 = 0, "0", W1636&lt;=20, "até R$20",W1636&lt;=40, "21 - R$40",W1636&lt;=60, "41- R$60",W1636&lt;=80, "61 - R$80", W1636&lt;=100, "81 - R$100",W1636&lt;=120, "101 - R$120",W1636&lt;=140, "121 - R$140", W1636&lt;=160, "141- R$160", W1636&lt;=180, "161 - R$180", W1636&lt;=200, "181-R$194")</f>
        <v>41- R$60</v>
      </c>
      <c r="Y1636" s="17">
        <v>3</v>
      </c>
      <c r="Z1636" s="17">
        <v>4</v>
      </c>
      <c r="AA1636" s="17">
        <v>6</v>
      </c>
      <c r="AB1636" s="17">
        <v>42</v>
      </c>
      <c r="AC1636" s="17">
        <v>3</v>
      </c>
      <c r="AD1636" s="17">
        <v>3</v>
      </c>
      <c r="AE1636" s="17">
        <v>1</v>
      </c>
      <c r="AF1636" s="17">
        <v>3</v>
      </c>
      <c r="AG1636" s="17">
        <v>8</v>
      </c>
      <c r="AH1636" s="17">
        <v>0</v>
      </c>
      <c r="AI1636" s="17">
        <v>0</v>
      </c>
      <c r="AJ1636" s="17">
        <v>0</v>
      </c>
      <c r="AK1636" s="17">
        <v>0</v>
      </c>
      <c r="AL1636" s="17">
        <v>0</v>
      </c>
      <c r="AM1636" s="17">
        <v>0</v>
      </c>
      <c r="AN1636" s="17">
        <v>0</v>
      </c>
      <c r="AO1636" s="18">
        <v>0</v>
      </c>
      <c r="AP1636" s="17">
        <v>3</v>
      </c>
      <c r="AQ1636" s="17">
        <v>11</v>
      </c>
      <c r="AR1636" s="19">
        <v>17</v>
      </c>
      <c r="AS1636" s="19">
        <v>59</v>
      </c>
    </row>
    <row r="1637" spans="1:45" x14ac:dyDescent="0.25">
      <c r="A1637">
        <v>1367</v>
      </c>
      <c r="B1637" s="11">
        <f t="shared" si="25"/>
        <v>22682</v>
      </c>
      <c r="C1637" s="16">
        <v>226820</v>
      </c>
      <c r="D1637" s="17">
        <v>1</v>
      </c>
      <c r="E1637" s="17">
        <v>0</v>
      </c>
      <c r="F1637" s="17">
        <v>51</v>
      </c>
      <c r="G1637" s="17">
        <v>47</v>
      </c>
      <c r="H1637" s="13" t="str" cm="1">
        <f t="array" ref="H1637">_xlfn.IFS(G1637&lt;=20,"0-20",G1637&lt;=30,"20-30",G1637&lt;=40,"30-40",G1637&lt;=50,"50-60",G1637&lt;=60,"60-70",G1637&lt;=70,"70-80",G1637&lt;=80,"80-90")</f>
        <v>50-60</v>
      </c>
      <c r="I1637" s="17">
        <v>2428</v>
      </c>
      <c r="J1637" s="13" t="str" cm="1">
        <f t="array" ref="J1637">_xlfn.IFS(K1637=1,"Divorciado",L1637=1,"Casado",M1637=1,"Solteiro",N1637=1,"Juntos",O1637=1,"Viuvo")</f>
        <v>Juntos</v>
      </c>
      <c r="K1637" s="17">
        <v>0</v>
      </c>
      <c r="L1637" s="17">
        <v>0</v>
      </c>
      <c r="M1637" s="17">
        <v>0</v>
      </c>
      <c r="N1637" s="17">
        <v>1</v>
      </c>
      <c r="O1637" s="17">
        <v>0</v>
      </c>
      <c r="P1637" s="17">
        <v>0</v>
      </c>
      <c r="Q1637" s="17">
        <v>0</v>
      </c>
      <c r="R1637" s="17">
        <v>1</v>
      </c>
      <c r="S1637" s="17">
        <v>0</v>
      </c>
      <c r="T1637" s="17">
        <v>0</v>
      </c>
      <c r="U1637" s="17">
        <v>10</v>
      </c>
      <c r="V1637" s="13" t="str" cm="1">
        <f t="array" ref="V1637">_xlfn.IFS(U1637&lt;=250,"0-R$250",U1637&lt;=500,"251-R$500",U1637&lt;=750,"501-R$750",U1637&lt;=1000,"751-R$1000",U1637&lt;=1250,"1001-R$1250",U1637&lt;=1500,"1251-R$1500")</f>
        <v>0-R$250</v>
      </c>
      <c r="W1637" s="17">
        <v>14</v>
      </c>
      <c r="X1637" s="13" t="str" cm="1">
        <f t="array" ref="X1637">_xlfn.IFS(W1637 = 0, "0", W1637&lt;=20, "até R$20",W1637&lt;=40, "21 - R$40",W1637&lt;=60, "41- R$60",W1637&lt;=80, "61 - R$80", W1637&lt;=100, "81 - R$100",W1637&lt;=120, "101 - R$120",W1637&lt;=140, "121 - R$140", W1637&lt;=160, "141- R$160", W1637&lt;=180, "161 - R$180", W1637&lt;=200, "181-R$194")</f>
        <v>até R$20</v>
      </c>
      <c r="Y1637" s="17">
        <v>29</v>
      </c>
      <c r="Z1637" s="17">
        <v>4</v>
      </c>
      <c r="AA1637" s="17">
        <v>2</v>
      </c>
      <c r="AB1637" s="17">
        <v>36</v>
      </c>
      <c r="AC1637" s="17">
        <v>3</v>
      </c>
      <c r="AD1637" s="17">
        <v>2</v>
      </c>
      <c r="AE1637" s="17">
        <v>1</v>
      </c>
      <c r="AF1637" s="17">
        <v>4</v>
      </c>
      <c r="AG1637" s="17">
        <v>4</v>
      </c>
      <c r="AH1637" s="17">
        <v>0</v>
      </c>
      <c r="AI1637" s="17">
        <v>0</v>
      </c>
      <c r="AJ1637" s="17">
        <v>0</v>
      </c>
      <c r="AK1637" s="17">
        <v>0</v>
      </c>
      <c r="AL1637" s="17">
        <v>0</v>
      </c>
      <c r="AM1637" s="17">
        <v>0</v>
      </c>
      <c r="AN1637" s="17">
        <v>0</v>
      </c>
      <c r="AO1637" s="18">
        <v>0</v>
      </c>
      <c r="AP1637" s="17">
        <v>3</v>
      </c>
      <c r="AQ1637" s="17">
        <v>11</v>
      </c>
      <c r="AR1637" s="19">
        <v>23</v>
      </c>
      <c r="AS1637" s="19">
        <v>59</v>
      </c>
    </row>
    <row r="1638" spans="1:45" x14ac:dyDescent="0.25">
      <c r="A1638">
        <v>1765</v>
      </c>
      <c r="B1638" s="11">
        <f t="shared" si="25"/>
        <v>34026</v>
      </c>
      <c r="C1638" s="16">
        <v>340260</v>
      </c>
      <c r="D1638" s="17">
        <v>1</v>
      </c>
      <c r="E1638" s="17">
        <v>1</v>
      </c>
      <c r="F1638" s="17">
        <v>11</v>
      </c>
      <c r="G1638" s="17">
        <v>70</v>
      </c>
      <c r="H1638" s="13" t="str" cm="1">
        <f t="array" ref="H1638">_xlfn.IFS(G1638&lt;=20,"0-20",G1638&lt;=30,"20-30",G1638&lt;=40,"30-40",G1638&lt;=50,"50-60",G1638&lt;=60,"60-70",G1638&lt;=70,"70-80",G1638&lt;=80,"80-90")</f>
        <v>70-80</v>
      </c>
      <c r="I1638" s="17">
        <v>2487</v>
      </c>
      <c r="J1638" s="13" t="str" cm="1">
        <f t="array" ref="J1638">_xlfn.IFS(K1638=1,"Divorciado",L1638=1,"Casado",M1638=1,"Solteiro",N1638=1,"Juntos",O1638=1,"Viuvo")</f>
        <v>Juntos</v>
      </c>
      <c r="K1638" s="17">
        <v>0</v>
      </c>
      <c r="L1638" s="17">
        <v>0</v>
      </c>
      <c r="M1638" s="17">
        <v>0</v>
      </c>
      <c r="N1638" s="17">
        <v>1</v>
      </c>
      <c r="O1638" s="17">
        <v>0</v>
      </c>
      <c r="P1638" s="17">
        <v>0</v>
      </c>
      <c r="Q1638" s="17">
        <v>0</v>
      </c>
      <c r="R1638" s="17">
        <v>1</v>
      </c>
      <c r="S1638" s="17">
        <v>0</v>
      </c>
      <c r="T1638" s="17">
        <v>0</v>
      </c>
      <c r="U1638" s="17">
        <v>18</v>
      </c>
      <c r="V1638" s="13" t="str" cm="1">
        <f t="array" ref="V1638">_xlfn.IFS(U1638&lt;=250,"0-R$250",U1638&lt;=500,"251-R$500",U1638&lt;=750,"501-R$750",U1638&lt;=1000,"751-R$1000",U1638&lt;=1250,"1001-R$1250",U1638&lt;=1500,"1251-R$1500")</f>
        <v>0-R$250</v>
      </c>
      <c r="W1638" s="17">
        <v>6</v>
      </c>
      <c r="X1638" s="13" t="str" cm="1">
        <f t="array" ref="X1638">_xlfn.IFS(W1638 = 0, "0", W1638&lt;=20, "até R$20",W1638&lt;=40, "21 - R$40",W1638&lt;=60, "41- R$60",W1638&lt;=80, "61 - R$80", W1638&lt;=100, "81 - R$100",W1638&lt;=120, "101 - R$120",W1638&lt;=140, "121 - R$140", W1638&lt;=160, "141- R$160", W1638&lt;=180, "161 - R$180", W1638&lt;=200, "181-R$194")</f>
        <v>até R$20</v>
      </c>
      <c r="Y1638" s="17">
        <v>15</v>
      </c>
      <c r="Z1638" s="17">
        <v>12</v>
      </c>
      <c r="AA1638" s="17">
        <v>8</v>
      </c>
      <c r="AB1638" s="17">
        <v>17</v>
      </c>
      <c r="AC1638" s="17">
        <v>3</v>
      </c>
      <c r="AD1638" s="17">
        <v>2</v>
      </c>
      <c r="AE1638" s="17">
        <v>1</v>
      </c>
      <c r="AF1638" s="17">
        <v>3</v>
      </c>
      <c r="AG1638" s="17">
        <v>5</v>
      </c>
      <c r="AH1638" s="17">
        <v>0</v>
      </c>
      <c r="AI1638" s="17">
        <v>0</v>
      </c>
      <c r="AJ1638" s="17">
        <v>0</v>
      </c>
      <c r="AK1638" s="17">
        <v>0</v>
      </c>
      <c r="AL1638" s="17">
        <v>0</v>
      </c>
      <c r="AM1638" s="17">
        <v>0</v>
      </c>
      <c r="AN1638" s="17">
        <v>0</v>
      </c>
      <c r="AO1638" s="18">
        <v>0</v>
      </c>
      <c r="AP1638" s="17">
        <v>3</v>
      </c>
      <c r="AQ1638" s="17">
        <v>11</v>
      </c>
      <c r="AR1638" s="19">
        <v>42</v>
      </c>
      <c r="AS1638" s="19">
        <v>59</v>
      </c>
    </row>
    <row r="1639" spans="1:45" x14ac:dyDescent="0.25">
      <c r="A1639">
        <v>636</v>
      </c>
      <c r="B1639" s="11">
        <f t="shared" si="25"/>
        <v>50616</v>
      </c>
      <c r="C1639" s="12">
        <v>506160</v>
      </c>
      <c r="D1639" s="13">
        <v>0</v>
      </c>
      <c r="E1639" s="13">
        <v>1</v>
      </c>
      <c r="F1639" s="13">
        <v>71</v>
      </c>
      <c r="G1639" s="13">
        <v>70</v>
      </c>
      <c r="H1639" s="13" t="str" cm="1">
        <f t="array" ref="H1639">_xlfn.IFS(G1639&lt;=20,"0-20",G1639&lt;=30,"20-30",G1639&lt;=40,"30-40",G1639&lt;=50,"50-60",G1639&lt;=60,"60-70",G1639&lt;=70,"70-80",G1639&lt;=80,"80-90")</f>
        <v>70-80</v>
      </c>
      <c r="I1639" s="13">
        <v>2236</v>
      </c>
      <c r="J1639" s="13" t="str" cm="1">
        <f t="array" ref="J1639">_xlfn.IFS(K1639=1,"Divorciado",L1639=1,"Casado",M1639=1,"Solteiro",N1639=1,"Juntos",O1639=1,"Viuvo")</f>
        <v>Juntos</v>
      </c>
      <c r="K1639" s="13">
        <v>0</v>
      </c>
      <c r="L1639" s="13">
        <v>0</v>
      </c>
      <c r="M1639" s="13">
        <v>0</v>
      </c>
      <c r="N1639" s="13">
        <v>1</v>
      </c>
      <c r="O1639" s="13">
        <v>0</v>
      </c>
      <c r="P1639" s="13">
        <v>0</v>
      </c>
      <c r="Q1639" s="13">
        <v>0</v>
      </c>
      <c r="R1639" s="13">
        <v>0</v>
      </c>
      <c r="S1639" s="13">
        <v>0</v>
      </c>
      <c r="T1639" s="13">
        <v>1</v>
      </c>
      <c r="U1639" s="13">
        <v>30</v>
      </c>
      <c r="V1639" s="13" t="str" cm="1">
        <f t="array" ref="V1639">_xlfn.IFS(U1639&lt;=250,"0-R$250",U1639&lt;=500,"251-R$500",U1639&lt;=750,"501-R$750",U1639&lt;=1000,"751-R$1000",U1639&lt;=1250,"1001-R$1250",U1639&lt;=1500,"1251-R$1500")</f>
        <v>0-R$250</v>
      </c>
      <c r="W1639" s="13">
        <v>2</v>
      </c>
      <c r="X1639" s="13" t="str" cm="1">
        <f t="array" ref="X1639">_xlfn.IFS(W1639 = 0, "0", W1639&lt;=20, "até R$20",W1639&lt;=40, "21 - R$40",W1639&lt;=60, "41- R$60",W1639&lt;=80, "61 - R$80", W1639&lt;=100, "81 - R$100",W1639&lt;=120, "101 - R$120",W1639&lt;=140, "121 - R$140", W1639&lt;=160, "141- R$160", W1639&lt;=180, "161 - R$180", W1639&lt;=200, "181-R$194")</f>
        <v>até R$20</v>
      </c>
      <c r="Y1639" s="13">
        <v>25</v>
      </c>
      <c r="Z1639" s="13">
        <v>0</v>
      </c>
      <c r="AA1639" s="13">
        <v>1</v>
      </c>
      <c r="AB1639" s="13">
        <v>9</v>
      </c>
      <c r="AC1639" s="13">
        <v>1</v>
      </c>
      <c r="AD1639" s="13">
        <v>1</v>
      </c>
      <c r="AE1639" s="13">
        <v>1</v>
      </c>
      <c r="AF1639" s="13">
        <v>4</v>
      </c>
      <c r="AG1639" s="13">
        <v>2</v>
      </c>
      <c r="AH1639" s="13">
        <v>0</v>
      </c>
      <c r="AI1639" s="13">
        <v>0</v>
      </c>
      <c r="AJ1639" s="13">
        <v>0</v>
      </c>
      <c r="AK1639" s="13">
        <v>0</v>
      </c>
      <c r="AL1639" s="13">
        <v>0</v>
      </c>
      <c r="AM1639" s="13">
        <v>0</v>
      </c>
      <c r="AN1639" s="13">
        <v>0</v>
      </c>
      <c r="AO1639" s="14">
        <v>0</v>
      </c>
      <c r="AP1639" s="13">
        <v>3</v>
      </c>
      <c r="AQ1639" s="13">
        <v>11</v>
      </c>
      <c r="AR1639" s="15">
        <v>49</v>
      </c>
      <c r="AS1639" s="15">
        <v>58</v>
      </c>
    </row>
    <row r="1640" spans="1:45" x14ac:dyDescent="0.25">
      <c r="A1640">
        <v>880</v>
      </c>
      <c r="B1640" s="11">
        <f t="shared" si="25"/>
        <v>21846</v>
      </c>
      <c r="C1640" s="12">
        <v>218460</v>
      </c>
      <c r="D1640" s="13">
        <v>1</v>
      </c>
      <c r="E1640" s="13">
        <v>0</v>
      </c>
      <c r="F1640" s="13">
        <v>38</v>
      </c>
      <c r="G1640" s="13">
        <v>34</v>
      </c>
      <c r="H1640" s="13" t="str" cm="1">
        <f t="array" ref="H1640">_xlfn.IFS(G1640&lt;=20,"0-20",G1640&lt;=30,"20-30",G1640&lt;=40,"30-40",G1640&lt;=50,"50-60",G1640&lt;=60,"60-70",G1640&lt;=70,"70-80",G1640&lt;=80,"80-90")</f>
        <v>30-40</v>
      </c>
      <c r="I1640" s="13">
        <v>2409</v>
      </c>
      <c r="J1640" s="13" t="str" cm="1">
        <f t="array" ref="J1640">_xlfn.IFS(K1640=1,"Divorciado",L1640=1,"Casado",M1640=1,"Solteiro",N1640=1,"Juntos",O1640=1,"Viuvo")</f>
        <v>Divorciado</v>
      </c>
      <c r="K1640" s="13">
        <v>1</v>
      </c>
      <c r="L1640" s="13">
        <v>0</v>
      </c>
      <c r="M1640" s="13">
        <v>0</v>
      </c>
      <c r="N1640" s="13">
        <v>0</v>
      </c>
      <c r="O1640" s="13">
        <v>0</v>
      </c>
      <c r="P1640" s="13">
        <v>0</v>
      </c>
      <c r="Q1640" s="13">
        <v>0</v>
      </c>
      <c r="R1640" s="13">
        <v>1</v>
      </c>
      <c r="S1640" s="13">
        <v>0</v>
      </c>
      <c r="T1640" s="13">
        <v>0</v>
      </c>
      <c r="U1640" s="13">
        <v>7</v>
      </c>
      <c r="V1640" s="13" t="str" cm="1">
        <f t="array" ref="V1640">_xlfn.IFS(U1640&lt;=250,"0-R$250",U1640&lt;=500,"251-R$500",U1640&lt;=750,"501-R$750",U1640&lt;=1000,"751-R$1000",U1640&lt;=1250,"1001-R$1250",U1640&lt;=1500,"1251-R$1500")</f>
        <v>0-R$250</v>
      </c>
      <c r="W1640" s="13">
        <v>17</v>
      </c>
      <c r="X1640" s="13" t="str" cm="1">
        <f t="array" ref="X1640">_xlfn.IFS(W1640 = 0, "0", W1640&lt;=20, "até R$20",W1640&lt;=40, "21 - R$40",W1640&lt;=60, "41- R$60",W1640&lt;=80, "61 - R$80", W1640&lt;=100, "81 - R$100",W1640&lt;=120, "101 - R$120",W1640&lt;=140, "121 - R$140", W1640&lt;=160, "141- R$160", W1640&lt;=180, "161 - R$180", W1640&lt;=200, "181-R$194")</f>
        <v>até R$20</v>
      </c>
      <c r="Y1640" s="13">
        <v>18</v>
      </c>
      <c r="Z1640" s="13">
        <v>6</v>
      </c>
      <c r="AA1640" s="13">
        <v>10</v>
      </c>
      <c r="AB1640" s="13">
        <v>26</v>
      </c>
      <c r="AC1640" s="13">
        <v>4</v>
      </c>
      <c r="AD1640" s="13">
        <v>4</v>
      </c>
      <c r="AE1640" s="13">
        <v>0</v>
      </c>
      <c r="AF1640" s="13">
        <v>3</v>
      </c>
      <c r="AG1640" s="13">
        <v>8</v>
      </c>
      <c r="AH1640" s="13">
        <v>0</v>
      </c>
      <c r="AI1640" s="13">
        <v>0</v>
      </c>
      <c r="AJ1640" s="13">
        <v>0</v>
      </c>
      <c r="AK1640" s="13">
        <v>0</v>
      </c>
      <c r="AL1640" s="13">
        <v>0</v>
      </c>
      <c r="AM1640" s="13">
        <v>0</v>
      </c>
      <c r="AN1640" s="13">
        <v>0</v>
      </c>
      <c r="AO1640" s="14">
        <v>0</v>
      </c>
      <c r="AP1640" s="13">
        <v>3</v>
      </c>
      <c r="AQ1640" s="13">
        <v>11</v>
      </c>
      <c r="AR1640" s="15">
        <v>32</v>
      </c>
      <c r="AS1640" s="15">
        <v>58</v>
      </c>
    </row>
    <row r="1641" spans="1:45" x14ac:dyDescent="0.25">
      <c r="A1641">
        <v>1126</v>
      </c>
      <c r="B1641" s="11">
        <f t="shared" si="25"/>
        <v>21255</v>
      </c>
      <c r="C1641" s="12">
        <v>212550</v>
      </c>
      <c r="D1641" s="13">
        <v>1</v>
      </c>
      <c r="E1641" s="13">
        <v>0</v>
      </c>
      <c r="F1641" s="13">
        <v>56</v>
      </c>
      <c r="G1641" s="13">
        <v>46</v>
      </c>
      <c r="H1641" s="13" t="str" cm="1">
        <f t="array" ref="H1641">_xlfn.IFS(G1641&lt;=20,"0-20",G1641&lt;=30,"20-30",G1641&lt;=40,"30-40",G1641&lt;=50,"50-60",G1641&lt;=60,"60-70",G1641&lt;=70,"70-80",G1641&lt;=80,"80-90")</f>
        <v>50-60</v>
      </c>
      <c r="I1641" s="13">
        <v>2318</v>
      </c>
      <c r="J1641" s="13" t="str" cm="1">
        <f t="array" ref="J1641">_xlfn.IFS(K1641=1,"Divorciado",L1641=1,"Casado",M1641=1,"Solteiro",N1641=1,"Juntos",O1641=1,"Viuvo")</f>
        <v>Juntos</v>
      </c>
      <c r="K1641" s="13">
        <v>0</v>
      </c>
      <c r="L1641" s="13">
        <v>0</v>
      </c>
      <c r="M1641" s="13">
        <v>0</v>
      </c>
      <c r="N1641" s="13">
        <v>1</v>
      </c>
      <c r="O1641" s="13">
        <v>0</v>
      </c>
      <c r="P1641" s="13">
        <v>0</v>
      </c>
      <c r="Q1641" s="13">
        <v>0</v>
      </c>
      <c r="R1641" s="13">
        <v>0</v>
      </c>
      <c r="S1641" s="13">
        <v>1</v>
      </c>
      <c r="T1641" s="13">
        <v>0</v>
      </c>
      <c r="U1641" s="13">
        <v>29</v>
      </c>
      <c r="V1641" s="13" t="str" cm="1">
        <f t="array" ref="V1641">_xlfn.IFS(U1641&lt;=250,"0-R$250",U1641&lt;=500,"251-R$500",U1641&lt;=750,"501-R$750",U1641&lt;=1000,"751-R$1000",U1641&lt;=1250,"1001-R$1250",U1641&lt;=1500,"1251-R$1500")</f>
        <v>0-R$250</v>
      </c>
      <c r="W1641" s="13">
        <v>0</v>
      </c>
      <c r="X1641" s="13" t="str" cm="1">
        <f t="array" ref="X1641">_xlfn.IFS(W1641 = 0, "0", W1641&lt;=20, "até R$20",W1641&lt;=40, "21 - R$40",W1641&lt;=60, "41- R$60",W1641&lt;=80, "61 - R$80", W1641&lt;=100, "81 - R$100",W1641&lt;=120, "101 - R$120",W1641&lt;=140, "121 - R$140", W1641&lt;=160, "141- R$160", W1641&lt;=180, "161 - R$180", W1641&lt;=200, "181-R$194")</f>
        <v>0</v>
      </c>
      <c r="Y1641" s="13">
        <v>25</v>
      </c>
      <c r="Z1641" s="13">
        <v>2</v>
      </c>
      <c r="AA1641" s="13">
        <v>2</v>
      </c>
      <c r="AB1641" s="13">
        <v>3</v>
      </c>
      <c r="AC1641" s="13">
        <v>4</v>
      </c>
      <c r="AD1641" s="13">
        <v>2</v>
      </c>
      <c r="AE1641" s="13">
        <v>1</v>
      </c>
      <c r="AF1641" s="13">
        <v>4</v>
      </c>
      <c r="AG1641" s="13">
        <v>4</v>
      </c>
      <c r="AH1641" s="13">
        <v>0</v>
      </c>
      <c r="AI1641" s="13">
        <v>0</v>
      </c>
      <c r="AJ1641" s="13">
        <v>0</v>
      </c>
      <c r="AK1641" s="13">
        <v>0</v>
      </c>
      <c r="AL1641" s="13">
        <v>0</v>
      </c>
      <c r="AM1641" s="13">
        <v>0</v>
      </c>
      <c r="AN1641" s="13">
        <v>0</v>
      </c>
      <c r="AO1641" s="14">
        <v>0</v>
      </c>
      <c r="AP1641" s="13">
        <v>3</v>
      </c>
      <c r="AQ1641" s="13">
        <v>11</v>
      </c>
      <c r="AR1641" s="15">
        <v>55</v>
      </c>
      <c r="AS1641" s="15">
        <v>58</v>
      </c>
    </row>
    <row r="1642" spans="1:45" x14ac:dyDescent="0.25">
      <c r="A1642">
        <v>1510</v>
      </c>
      <c r="B1642" s="11">
        <f t="shared" si="25"/>
        <v>23331</v>
      </c>
      <c r="C1642" s="12">
        <v>233310</v>
      </c>
      <c r="D1642" s="13">
        <v>1</v>
      </c>
      <c r="E1642" s="13">
        <v>0</v>
      </c>
      <c r="F1642" s="13">
        <v>92</v>
      </c>
      <c r="G1642" s="13">
        <v>32</v>
      </c>
      <c r="H1642" s="13" t="str" cm="1">
        <f t="array" ref="H1642">_xlfn.IFS(G1642&lt;=20,"0-20",G1642&lt;=30,"20-30",G1642&lt;=40,"30-40",G1642&lt;=50,"50-60",G1642&lt;=60,"60-70",G1642&lt;=70,"70-80",G1642&lt;=80,"80-90")</f>
        <v>30-40</v>
      </c>
      <c r="I1642" s="13">
        <v>2822</v>
      </c>
      <c r="J1642" s="13" t="str" cm="1">
        <f t="array" ref="J1642">_xlfn.IFS(K1642=1,"Divorciado",L1642=1,"Casado",M1642=1,"Solteiro",N1642=1,"Juntos",O1642=1,"Viuvo")</f>
        <v>Casado</v>
      </c>
      <c r="K1642" s="13">
        <v>0</v>
      </c>
      <c r="L1642" s="13">
        <v>1</v>
      </c>
      <c r="M1642" s="13">
        <v>0</v>
      </c>
      <c r="N1642" s="13">
        <v>0</v>
      </c>
      <c r="O1642" s="13">
        <v>0</v>
      </c>
      <c r="P1642" s="13">
        <v>1</v>
      </c>
      <c r="Q1642" s="13">
        <v>0</v>
      </c>
      <c r="R1642" s="13">
        <v>0</v>
      </c>
      <c r="S1642" s="13">
        <v>0</v>
      </c>
      <c r="T1642" s="13">
        <v>0</v>
      </c>
      <c r="U1642" s="13">
        <v>5</v>
      </c>
      <c r="V1642" s="13" t="str" cm="1">
        <f t="array" ref="V1642">_xlfn.IFS(U1642&lt;=250,"0-R$250",U1642&lt;=500,"251-R$500",U1642&lt;=750,"501-R$750",U1642&lt;=1000,"751-R$1000",U1642&lt;=1250,"1001-R$1250",U1642&lt;=1500,"1251-R$1500")</f>
        <v>0-R$250</v>
      </c>
      <c r="W1642" s="13">
        <v>36</v>
      </c>
      <c r="X1642" s="13" t="str" cm="1">
        <f t="array" ref="X1642">_xlfn.IFS(W1642 = 0, "0", W1642&lt;=20, "até R$20",W1642&lt;=40, "21 - R$40",W1642&lt;=60, "41- R$60",W1642&lt;=80, "61 - R$80", W1642&lt;=100, "81 - R$100",W1642&lt;=120, "101 - R$120",W1642&lt;=140, "121 - R$140", W1642&lt;=160, "141- R$160", W1642&lt;=180, "161 - R$180", W1642&lt;=200, "181-R$194")</f>
        <v>21 - R$40</v>
      </c>
      <c r="Y1642" s="13">
        <v>7</v>
      </c>
      <c r="Z1642" s="13">
        <v>0</v>
      </c>
      <c r="AA1642" s="13">
        <v>10</v>
      </c>
      <c r="AB1642" s="13">
        <v>45</v>
      </c>
      <c r="AC1642" s="13">
        <v>2</v>
      </c>
      <c r="AD1642" s="13">
        <v>3</v>
      </c>
      <c r="AE1642" s="13">
        <v>0</v>
      </c>
      <c r="AF1642" s="13">
        <v>3</v>
      </c>
      <c r="AG1642" s="13">
        <v>8</v>
      </c>
      <c r="AH1642" s="13">
        <v>0</v>
      </c>
      <c r="AI1642" s="13">
        <v>0</v>
      </c>
      <c r="AJ1642" s="13">
        <v>0</v>
      </c>
      <c r="AK1642" s="13">
        <v>0</v>
      </c>
      <c r="AL1642" s="13">
        <v>0</v>
      </c>
      <c r="AM1642" s="13">
        <v>0</v>
      </c>
      <c r="AN1642" s="13">
        <v>0</v>
      </c>
      <c r="AO1642" s="14">
        <v>0</v>
      </c>
      <c r="AP1642" s="13">
        <v>3</v>
      </c>
      <c r="AQ1642" s="13">
        <v>11</v>
      </c>
      <c r="AR1642" s="15">
        <v>13</v>
      </c>
      <c r="AS1642" s="15">
        <v>58</v>
      </c>
    </row>
    <row r="1643" spans="1:45" x14ac:dyDescent="0.25">
      <c r="A1643">
        <v>2167</v>
      </c>
      <c r="B1643" s="11">
        <f t="shared" si="25"/>
        <v>37085</v>
      </c>
      <c r="C1643" s="16">
        <v>370850</v>
      </c>
      <c r="D1643" s="17">
        <v>1</v>
      </c>
      <c r="E1643" s="17">
        <v>1</v>
      </c>
      <c r="F1643" s="17">
        <v>65</v>
      </c>
      <c r="G1643" s="17">
        <v>45</v>
      </c>
      <c r="H1643" s="13" t="str" cm="1">
        <f t="array" ref="H1643">_xlfn.IFS(G1643&lt;=20,"0-20",G1643&lt;=30,"20-30",G1643&lt;=40,"30-40",G1643&lt;=50,"50-60",G1643&lt;=60,"60-70",G1643&lt;=70,"70-80",G1643&lt;=80,"80-90")</f>
        <v>50-60</v>
      </c>
      <c r="I1643" s="17">
        <v>2162</v>
      </c>
      <c r="J1643" s="13" t="str" cm="1">
        <f t="array" ref="J1643">_xlfn.IFS(K1643=1,"Divorciado",L1643=1,"Casado",M1643=1,"Solteiro",N1643=1,"Juntos",O1643=1,"Viuvo")</f>
        <v>Casado</v>
      </c>
      <c r="K1643" s="17">
        <v>0</v>
      </c>
      <c r="L1643" s="17">
        <v>1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1</v>
      </c>
      <c r="S1643" s="17">
        <v>0</v>
      </c>
      <c r="T1643" s="17">
        <v>0</v>
      </c>
      <c r="U1643" s="17">
        <v>39</v>
      </c>
      <c r="V1643" s="13" t="str" cm="1">
        <f t="array" ref="V1643">_xlfn.IFS(U1643&lt;=250,"0-R$250",U1643&lt;=500,"251-R$500",U1643&lt;=750,"501-R$750",U1643&lt;=1000,"751-R$1000",U1643&lt;=1250,"1001-R$1250",U1643&lt;=1500,"1251-R$1500")</f>
        <v>0-R$250</v>
      </c>
      <c r="W1643" s="17">
        <v>1</v>
      </c>
      <c r="X1643" s="13" t="str" cm="1">
        <f t="array" ref="X1643">_xlfn.IFS(W1643 = 0, "0", W1643&lt;=20, "até R$20",W1643&lt;=40, "21 - R$40",W1643&lt;=60, "41- R$60",W1643&lt;=80, "61 - R$80", W1643&lt;=100, "81 - R$100",W1643&lt;=120, "101 - R$120",W1643&lt;=140, "121 - R$140", W1643&lt;=160, "141- R$160", W1643&lt;=180, "161 - R$180", W1643&lt;=200, "181-R$194")</f>
        <v>até R$20</v>
      </c>
      <c r="Y1643" s="17">
        <v>16</v>
      </c>
      <c r="Z1643" s="17">
        <v>2</v>
      </c>
      <c r="AA1643" s="17">
        <v>0</v>
      </c>
      <c r="AB1643" s="17">
        <v>3</v>
      </c>
      <c r="AC1643" s="17">
        <v>4</v>
      </c>
      <c r="AD1643" s="17">
        <v>3</v>
      </c>
      <c r="AE1643" s="17">
        <v>0</v>
      </c>
      <c r="AF1643" s="17">
        <v>3</v>
      </c>
      <c r="AG1643" s="17">
        <v>8</v>
      </c>
      <c r="AH1643" s="17">
        <v>0</v>
      </c>
      <c r="AI1643" s="17">
        <v>0</v>
      </c>
      <c r="AJ1643" s="17">
        <v>0</v>
      </c>
      <c r="AK1643" s="17">
        <v>0</v>
      </c>
      <c r="AL1643" s="17">
        <v>0</v>
      </c>
      <c r="AM1643" s="17">
        <v>0</v>
      </c>
      <c r="AN1643" s="17">
        <v>0</v>
      </c>
      <c r="AO1643" s="18">
        <v>0</v>
      </c>
      <c r="AP1643" s="17">
        <v>3</v>
      </c>
      <c r="AQ1643" s="17">
        <v>11</v>
      </c>
      <c r="AR1643" s="19">
        <v>55</v>
      </c>
      <c r="AS1643" s="19">
        <v>58</v>
      </c>
    </row>
    <row r="1644" spans="1:45" x14ac:dyDescent="0.25">
      <c r="A1644">
        <v>384</v>
      </c>
      <c r="B1644" s="11">
        <f t="shared" si="25"/>
        <v>31395</v>
      </c>
      <c r="C1644" s="12">
        <v>313950</v>
      </c>
      <c r="D1644" s="13">
        <v>1</v>
      </c>
      <c r="E1644" s="13">
        <v>1</v>
      </c>
      <c r="F1644" s="13">
        <v>80</v>
      </c>
      <c r="G1644" s="13">
        <v>64</v>
      </c>
      <c r="H1644" s="13" t="str" cm="1">
        <f t="array" ref="H1644">_xlfn.IFS(G1644&lt;=20,"0-20",G1644&lt;=30,"20-30",G1644&lt;=40,"30-40",G1644&lt;=50,"50-60",G1644&lt;=60,"60-70",G1644&lt;=70,"70-80",G1644&lt;=80,"80-90")</f>
        <v>70-80</v>
      </c>
      <c r="I1644" s="13">
        <v>2622</v>
      </c>
      <c r="J1644" s="13" t="str" cm="1">
        <f t="array" ref="J1644">_xlfn.IFS(K1644=1,"Divorciado",L1644=1,"Casado",M1644=1,"Solteiro",N1644=1,"Juntos",O1644=1,"Viuvo")</f>
        <v>Divorciado</v>
      </c>
      <c r="K1644" s="13">
        <v>1</v>
      </c>
      <c r="L1644" s="13">
        <v>0</v>
      </c>
      <c r="M1644" s="13">
        <v>0</v>
      </c>
      <c r="N1644" s="13">
        <v>0</v>
      </c>
      <c r="O1644" s="13">
        <v>0</v>
      </c>
      <c r="P1644" s="13">
        <v>1</v>
      </c>
      <c r="Q1644" s="13">
        <v>0</v>
      </c>
      <c r="R1644" s="13">
        <v>0</v>
      </c>
      <c r="S1644" s="13">
        <v>0</v>
      </c>
      <c r="T1644" s="13">
        <v>0</v>
      </c>
      <c r="U1644" s="13">
        <v>23</v>
      </c>
      <c r="V1644" s="13" t="str" cm="1">
        <f t="array" ref="V1644">_xlfn.IFS(U1644&lt;=250,"0-R$250",U1644&lt;=500,"251-R$500",U1644&lt;=750,"501-R$750",U1644&lt;=1000,"751-R$1000",U1644&lt;=1250,"1001-R$1250",U1644&lt;=1500,"1251-R$1500")</f>
        <v>0-R$250</v>
      </c>
      <c r="W1644" s="13">
        <v>1</v>
      </c>
      <c r="X1644" s="13" t="str" cm="1">
        <f t="array" ref="X1644">_xlfn.IFS(W1644 = 0, "0", W1644&lt;=20, "até R$20",W1644&lt;=40, "21 - R$40",W1644&lt;=60, "41- R$60",W1644&lt;=80, "61 - R$80", W1644&lt;=100, "81 - R$100",W1644&lt;=120, "101 - R$120",W1644&lt;=140, "121 - R$140", W1644&lt;=160, "141- R$160", W1644&lt;=180, "161 - R$180", W1644&lt;=200, "181-R$194")</f>
        <v>até R$20</v>
      </c>
      <c r="Y1644" s="13">
        <v>25</v>
      </c>
      <c r="Z1644" s="13">
        <v>0</v>
      </c>
      <c r="AA1644" s="13">
        <v>8</v>
      </c>
      <c r="AB1644" s="13">
        <v>7</v>
      </c>
      <c r="AC1644" s="13">
        <v>4</v>
      </c>
      <c r="AD1644" s="13">
        <v>2</v>
      </c>
      <c r="AE1644" s="13">
        <v>1</v>
      </c>
      <c r="AF1644" s="13">
        <v>3</v>
      </c>
      <c r="AG1644" s="13">
        <v>6</v>
      </c>
      <c r="AH1644" s="13">
        <v>0</v>
      </c>
      <c r="AI1644" s="13">
        <v>0</v>
      </c>
      <c r="AJ1644" s="13">
        <v>0</v>
      </c>
      <c r="AK1644" s="13">
        <v>0</v>
      </c>
      <c r="AL1644" s="13">
        <v>0</v>
      </c>
      <c r="AM1644" s="13">
        <v>0</v>
      </c>
      <c r="AN1644" s="13">
        <v>0</v>
      </c>
      <c r="AO1644" s="14">
        <v>0</v>
      </c>
      <c r="AP1644" s="13">
        <v>3</v>
      </c>
      <c r="AQ1644" s="13">
        <v>11</v>
      </c>
      <c r="AR1644" s="15">
        <v>50</v>
      </c>
      <c r="AS1644" s="15">
        <v>57</v>
      </c>
    </row>
    <row r="1645" spans="1:45" x14ac:dyDescent="0.25">
      <c r="A1645">
        <v>535</v>
      </c>
      <c r="B1645" s="11">
        <f t="shared" si="25"/>
        <v>21474</v>
      </c>
      <c r="C1645" s="16">
        <v>214740</v>
      </c>
      <c r="D1645" s="17">
        <v>1</v>
      </c>
      <c r="E1645" s="17">
        <v>0</v>
      </c>
      <c r="F1645" s="17">
        <v>0</v>
      </c>
      <c r="G1645" s="17">
        <v>31</v>
      </c>
      <c r="H1645" s="13" t="str" cm="1">
        <f t="array" ref="H1645">_xlfn.IFS(G1645&lt;=20,"0-20",G1645&lt;=30,"20-30",G1645&lt;=40,"30-40",G1645&lt;=50,"50-60",G1645&lt;=60,"60-70",G1645&lt;=70,"70-80",G1645&lt;=80,"80-90")</f>
        <v>30-40</v>
      </c>
      <c r="I1645" s="17">
        <v>2241</v>
      </c>
      <c r="J1645" s="13" t="str" cm="1">
        <f t="array" ref="J1645">_xlfn.IFS(K1645=1,"Divorciado",L1645=1,"Casado",M1645=1,"Solteiro",N1645=1,"Juntos",O1645=1,"Viuvo")</f>
        <v>Solteiro</v>
      </c>
      <c r="K1645" s="17">
        <v>0</v>
      </c>
      <c r="L1645" s="17">
        <v>0</v>
      </c>
      <c r="M1645" s="17">
        <v>1</v>
      </c>
      <c r="N1645" s="17">
        <v>0</v>
      </c>
      <c r="O1645" s="17">
        <v>0</v>
      </c>
      <c r="P1645" s="17">
        <v>0</v>
      </c>
      <c r="Q1645" s="17">
        <v>0</v>
      </c>
      <c r="R1645" s="17">
        <v>1</v>
      </c>
      <c r="S1645" s="17">
        <v>0</v>
      </c>
      <c r="T1645" s="17">
        <v>0</v>
      </c>
      <c r="U1645" s="17">
        <v>6</v>
      </c>
      <c r="V1645" s="13" t="str" cm="1">
        <f t="array" ref="V1645">_xlfn.IFS(U1645&lt;=250,"0-R$250",U1645&lt;=500,"251-R$500",U1645&lt;=750,"501-R$750",U1645&lt;=1000,"751-R$1000",U1645&lt;=1250,"1001-R$1250",U1645&lt;=1500,"1251-R$1500")</f>
        <v>0-R$250</v>
      </c>
      <c r="W1645" s="17">
        <v>16</v>
      </c>
      <c r="X1645" s="13" t="str" cm="1">
        <f t="array" ref="X1645">_xlfn.IFS(W1645 = 0, "0", W1645&lt;=20, "até R$20",W1645&lt;=40, "21 - R$40",W1645&lt;=60, "41- R$60",W1645&lt;=80, "61 - R$80", W1645&lt;=100, "81 - R$100",W1645&lt;=120, "101 - R$120",W1645&lt;=140, "121 - R$140", W1645&lt;=160, "141- R$160", W1645&lt;=180, "161 - R$180", W1645&lt;=200, "181-R$194")</f>
        <v>até R$20</v>
      </c>
      <c r="Y1645" s="17">
        <v>24</v>
      </c>
      <c r="Z1645" s="17">
        <v>11</v>
      </c>
      <c r="AA1645" s="17">
        <v>0</v>
      </c>
      <c r="AB1645" s="17">
        <v>34</v>
      </c>
      <c r="AC1645" s="17">
        <v>2</v>
      </c>
      <c r="AD1645" s="17">
        <v>3</v>
      </c>
      <c r="AE1645" s="17">
        <v>1</v>
      </c>
      <c r="AF1645" s="17">
        <v>2</v>
      </c>
      <c r="AG1645" s="17">
        <v>7</v>
      </c>
      <c r="AH1645" s="17">
        <v>0</v>
      </c>
      <c r="AI1645" s="17">
        <v>1</v>
      </c>
      <c r="AJ1645" s="17">
        <v>0</v>
      </c>
      <c r="AK1645" s="17">
        <v>0</v>
      </c>
      <c r="AL1645" s="17">
        <v>0</v>
      </c>
      <c r="AM1645" s="17">
        <v>0</v>
      </c>
      <c r="AN1645" s="17">
        <v>1</v>
      </c>
      <c r="AO1645" s="18">
        <v>1</v>
      </c>
      <c r="AP1645" s="17">
        <v>3</v>
      </c>
      <c r="AQ1645" s="17">
        <v>11</v>
      </c>
      <c r="AR1645" s="19">
        <v>23</v>
      </c>
      <c r="AS1645" s="19">
        <v>57</v>
      </c>
    </row>
    <row r="1646" spans="1:45" x14ac:dyDescent="0.25">
      <c r="A1646">
        <v>850</v>
      </c>
      <c r="B1646" s="11">
        <f t="shared" si="25"/>
        <v>30545</v>
      </c>
      <c r="C1646" s="12">
        <v>305450</v>
      </c>
      <c r="D1646" s="13">
        <v>1</v>
      </c>
      <c r="E1646" s="13">
        <v>0</v>
      </c>
      <c r="F1646" s="13">
        <v>71</v>
      </c>
      <c r="G1646" s="13">
        <v>41</v>
      </c>
      <c r="H1646" s="13" t="str" cm="1">
        <f t="array" ref="H1646">_xlfn.IFS(G1646&lt;=20,"0-20",G1646&lt;=30,"20-30",G1646&lt;=40,"30-40",G1646&lt;=50,"50-60",G1646&lt;=60,"60-70",G1646&lt;=70,"70-80",G1646&lt;=80,"80-90")</f>
        <v>50-60</v>
      </c>
      <c r="I1646" s="13">
        <v>2779</v>
      </c>
      <c r="J1646" s="13" t="str" cm="1">
        <f t="array" ref="J1646">_xlfn.IFS(K1646=1,"Divorciado",L1646=1,"Casado",M1646=1,"Solteiro",N1646=1,"Juntos",O1646=1,"Viuvo")</f>
        <v>Juntos</v>
      </c>
      <c r="K1646" s="13">
        <v>0</v>
      </c>
      <c r="L1646" s="13">
        <v>0</v>
      </c>
      <c r="M1646" s="13">
        <v>0</v>
      </c>
      <c r="N1646" s="13">
        <v>1</v>
      </c>
      <c r="O1646" s="13">
        <v>0</v>
      </c>
      <c r="P1646" s="13">
        <v>0</v>
      </c>
      <c r="Q1646" s="13">
        <v>0</v>
      </c>
      <c r="R1646" s="13">
        <v>1</v>
      </c>
      <c r="S1646" s="13">
        <v>0</v>
      </c>
      <c r="T1646" s="13">
        <v>0</v>
      </c>
      <c r="U1646" s="13">
        <v>4</v>
      </c>
      <c r="V1646" s="13" t="str" cm="1">
        <f t="array" ref="V1646">_xlfn.IFS(U1646&lt;=250,"0-R$250",U1646&lt;=500,"251-R$500",U1646&lt;=750,"501-R$750",U1646&lt;=1000,"751-R$1000",U1646&lt;=1250,"1001-R$1250",U1646&lt;=1500,"1251-R$1500")</f>
        <v>0-R$250</v>
      </c>
      <c r="W1646" s="13">
        <v>12</v>
      </c>
      <c r="X1646" s="13" t="str" cm="1">
        <f t="array" ref="X1646">_xlfn.IFS(W1646 = 0, "0", W1646&lt;=20, "até R$20",W1646&lt;=40, "21 - R$40",W1646&lt;=60, "41- R$60",W1646&lt;=80, "61 - R$80", W1646&lt;=100, "81 - R$100",W1646&lt;=120, "101 - R$120",W1646&lt;=140, "121 - R$140", W1646&lt;=160, "141- R$160", W1646&lt;=180, "161 - R$180", W1646&lt;=200, "181-R$194")</f>
        <v>até R$20</v>
      </c>
      <c r="Y1646" s="13">
        <v>15</v>
      </c>
      <c r="Z1646" s="13">
        <v>19</v>
      </c>
      <c r="AA1646" s="13">
        <v>7</v>
      </c>
      <c r="AB1646" s="13">
        <v>12</v>
      </c>
      <c r="AC1646" s="13">
        <v>2</v>
      </c>
      <c r="AD1646" s="13">
        <v>2</v>
      </c>
      <c r="AE1646" s="13">
        <v>0</v>
      </c>
      <c r="AF1646" s="13">
        <v>3</v>
      </c>
      <c r="AG1646" s="13">
        <v>7</v>
      </c>
      <c r="AH1646" s="13">
        <v>0</v>
      </c>
      <c r="AI1646" s="13">
        <v>0</v>
      </c>
      <c r="AJ1646" s="13">
        <v>0</v>
      </c>
      <c r="AK1646" s="13">
        <v>0</v>
      </c>
      <c r="AL1646" s="13">
        <v>0</v>
      </c>
      <c r="AM1646" s="13">
        <v>0</v>
      </c>
      <c r="AN1646" s="13">
        <v>0</v>
      </c>
      <c r="AO1646" s="14">
        <v>0</v>
      </c>
      <c r="AP1646" s="13">
        <v>3</v>
      </c>
      <c r="AQ1646" s="13">
        <v>11</v>
      </c>
      <c r="AR1646" s="15">
        <v>45</v>
      </c>
      <c r="AS1646" s="15">
        <v>57</v>
      </c>
    </row>
    <row r="1647" spans="1:45" x14ac:dyDescent="0.25">
      <c r="A1647">
        <v>1373</v>
      </c>
      <c r="B1647" s="11">
        <f t="shared" si="25"/>
        <v>26759</v>
      </c>
      <c r="C1647" s="16">
        <v>267590</v>
      </c>
      <c r="D1647" s="17">
        <v>1</v>
      </c>
      <c r="E1647" s="17">
        <v>0</v>
      </c>
      <c r="F1647" s="17">
        <v>65</v>
      </c>
      <c r="G1647" s="17">
        <v>48</v>
      </c>
      <c r="H1647" s="13" t="str" cm="1">
        <f t="array" ref="H1647">_xlfn.IFS(G1647&lt;=20,"0-20",G1647&lt;=30,"20-30",G1647&lt;=40,"30-40",G1647&lt;=50,"50-60",G1647&lt;=60,"60-70",G1647&lt;=70,"70-80",G1647&lt;=80,"80-90")</f>
        <v>50-60</v>
      </c>
      <c r="I1647" s="17">
        <v>2301</v>
      </c>
      <c r="J1647" s="13" t="str" cm="1">
        <f t="array" ref="J1647">_xlfn.IFS(K1647=1,"Divorciado",L1647=1,"Casado",M1647=1,"Solteiro",N1647=1,"Juntos",O1647=1,"Viuvo")</f>
        <v>Divorciado</v>
      </c>
      <c r="K1647" s="17">
        <v>1</v>
      </c>
      <c r="L1647" s="17">
        <v>0</v>
      </c>
      <c r="M1647" s="17">
        <v>0</v>
      </c>
      <c r="N1647" s="17">
        <v>0</v>
      </c>
      <c r="O1647" s="17">
        <v>0</v>
      </c>
      <c r="P1647" s="17">
        <v>0</v>
      </c>
      <c r="Q1647" s="17">
        <v>0</v>
      </c>
      <c r="R1647" s="17">
        <v>1</v>
      </c>
      <c r="S1647" s="17">
        <v>0</v>
      </c>
      <c r="T1647" s="17">
        <v>0</v>
      </c>
      <c r="U1647" s="17">
        <v>25</v>
      </c>
      <c r="V1647" s="13" t="str" cm="1">
        <f t="array" ref="V1647">_xlfn.IFS(U1647&lt;=250,"0-R$250",U1647&lt;=500,"251-R$500",U1647&lt;=750,"501-R$750",U1647&lt;=1000,"751-R$1000",U1647&lt;=1250,"1001-R$1250",U1647&lt;=1500,"1251-R$1500")</f>
        <v>0-R$250</v>
      </c>
      <c r="W1647" s="17">
        <v>3</v>
      </c>
      <c r="X1647" s="13" t="str" cm="1">
        <f t="array" ref="X1647">_xlfn.IFS(W1647 = 0, "0", W1647&lt;=20, "até R$20",W1647&lt;=40, "21 - R$40",W1647&lt;=60, "41- R$60",W1647&lt;=80, "61 - R$80", W1647&lt;=100, "81 - R$100",W1647&lt;=120, "101 - R$120",W1647&lt;=140, "121 - R$140", W1647&lt;=160, "141- R$160", W1647&lt;=180, "161 - R$180", W1647&lt;=200, "181-R$194")</f>
        <v>até R$20</v>
      </c>
      <c r="Y1647" s="17">
        <v>16</v>
      </c>
      <c r="Z1647" s="17">
        <v>8</v>
      </c>
      <c r="AA1647" s="17">
        <v>5</v>
      </c>
      <c r="AB1647" s="17">
        <v>2</v>
      </c>
      <c r="AC1647" s="17">
        <v>2</v>
      </c>
      <c r="AD1647" s="17">
        <v>2</v>
      </c>
      <c r="AE1647" s="17">
        <v>1</v>
      </c>
      <c r="AF1647" s="17">
        <v>3</v>
      </c>
      <c r="AG1647" s="17">
        <v>6</v>
      </c>
      <c r="AH1647" s="17">
        <v>0</v>
      </c>
      <c r="AI1647" s="17">
        <v>0</v>
      </c>
      <c r="AJ1647" s="17">
        <v>0</v>
      </c>
      <c r="AK1647" s="17">
        <v>0</v>
      </c>
      <c r="AL1647" s="17">
        <v>0</v>
      </c>
      <c r="AM1647" s="17">
        <v>0</v>
      </c>
      <c r="AN1647" s="17">
        <v>0</v>
      </c>
      <c r="AO1647" s="18">
        <v>0</v>
      </c>
      <c r="AP1647" s="17">
        <v>3</v>
      </c>
      <c r="AQ1647" s="17">
        <v>11</v>
      </c>
      <c r="AR1647" s="19">
        <v>55</v>
      </c>
      <c r="AS1647" s="19">
        <v>57</v>
      </c>
    </row>
    <row r="1648" spans="1:45" x14ac:dyDescent="0.25">
      <c r="A1648">
        <v>1597</v>
      </c>
      <c r="B1648" s="11">
        <f t="shared" si="25"/>
        <v>18793</v>
      </c>
      <c r="C1648" s="16">
        <v>187930</v>
      </c>
      <c r="D1648" s="17">
        <v>1</v>
      </c>
      <c r="E1648" s="17">
        <v>0</v>
      </c>
      <c r="F1648" s="17">
        <v>14</v>
      </c>
      <c r="G1648" s="17">
        <v>49</v>
      </c>
      <c r="H1648" s="13" t="str" cm="1">
        <f t="array" ref="H1648">_xlfn.IFS(G1648&lt;=20,"0-20",G1648&lt;=30,"20-30",G1648&lt;=40,"30-40",G1648&lt;=50,"50-60",G1648&lt;=60,"60-70",G1648&lt;=70,"70-80",G1648&lt;=80,"80-90")</f>
        <v>50-60</v>
      </c>
      <c r="I1648" s="17">
        <v>2692</v>
      </c>
      <c r="J1648" s="13" t="str" cm="1">
        <f t="array" ref="J1648">_xlfn.IFS(K1648=1,"Divorciado",L1648=1,"Casado",M1648=1,"Solteiro",N1648=1,"Juntos",O1648=1,"Viuvo")</f>
        <v>Casado</v>
      </c>
      <c r="K1648" s="17">
        <v>0</v>
      </c>
      <c r="L1648" s="17">
        <v>1</v>
      </c>
      <c r="M1648" s="17">
        <v>0</v>
      </c>
      <c r="N1648" s="17">
        <v>0</v>
      </c>
      <c r="O1648" s="17">
        <v>0</v>
      </c>
      <c r="P1648" s="17">
        <v>0</v>
      </c>
      <c r="Q1648" s="17">
        <v>0</v>
      </c>
      <c r="R1648" s="17">
        <v>1</v>
      </c>
      <c r="S1648" s="17">
        <v>0</v>
      </c>
      <c r="T1648" s="17">
        <v>0</v>
      </c>
      <c r="U1648" s="17">
        <v>4</v>
      </c>
      <c r="V1648" s="13" t="str" cm="1">
        <f t="array" ref="V1648">_xlfn.IFS(U1648&lt;=250,"0-R$250",U1648&lt;=500,"251-R$500",U1648&lt;=750,"501-R$750",U1648&lt;=1000,"751-R$1000",U1648&lt;=1250,"1001-R$1250",U1648&lt;=1500,"1251-R$1500")</f>
        <v>0-R$250</v>
      </c>
      <c r="W1648" s="17">
        <v>16</v>
      </c>
      <c r="X1648" s="13" t="str" cm="1">
        <f t="array" ref="X1648">_xlfn.IFS(W1648 = 0, "0", W1648&lt;=20, "até R$20",W1648&lt;=40, "21 - R$40",W1648&lt;=60, "41- R$60",W1648&lt;=80, "61 - R$80", W1648&lt;=100, "81 - R$100",W1648&lt;=120, "101 - R$120",W1648&lt;=140, "121 - R$140", W1648&lt;=160, "141- R$160", W1648&lt;=180, "161 - R$180", W1648&lt;=200, "181-R$194")</f>
        <v>até R$20</v>
      </c>
      <c r="Y1648" s="17">
        <v>20</v>
      </c>
      <c r="Z1648" s="17">
        <v>0</v>
      </c>
      <c r="AA1648" s="17">
        <v>17</v>
      </c>
      <c r="AB1648" s="17">
        <v>20</v>
      </c>
      <c r="AC1648" s="17">
        <v>3</v>
      </c>
      <c r="AD1648" s="17">
        <v>2</v>
      </c>
      <c r="AE1648" s="17">
        <v>0</v>
      </c>
      <c r="AF1648" s="17">
        <v>4</v>
      </c>
      <c r="AG1648" s="17">
        <v>8</v>
      </c>
      <c r="AH1648" s="17">
        <v>0</v>
      </c>
      <c r="AI1648" s="17">
        <v>0</v>
      </c>
      <c r="AJ1648" s="17">
        <v>0</v>
      </c>
      <c r="AK1648" s="17">
        <v>0</v>
      </c>
      <c r="AL1648" s="17">
        <v>0</v>
      </c>
      <c r="AM1648" s="17">
        <v>0</v>
      </c>
      <c r="AN1648" s="17">
        <v>0</v>
      </c>
      <c r="AO1648" s="18">
        <v>0</v>
      </c>
      <c r="AP1648" s="17">
        <v>3</v>
      </c>
      <c r="AQ1648" s="17">
        <v>11</v>
      </c>
      <c r="AR1648" s="19">
        <v>37</v>
      </c>
      <c r="AS1648" s="19">
        <v>57</v>
      </c>
    </row>
    <row r="1649" spans="1:45" x14ac:dyDescent="0.25">
      <c r="A1649">
        <v>1731</v>
      </c>
      <c r="B1649" s="11">
        <f t="shared" si="25"/>
        <v>41120</v>
      </c>
      <c r="C1649" s="16">
        <v>411200</v>
      </c>
      <c r="D1649" s="17">
        <v>1</v>
      </c>
      <c r="E1649" s="17">
        <v>1</v>
      </c>
      <c r="F1649" s="17">
        <v>80</v>
      </c>
      <c r="G1649" s="17">
        <v>52</v>
      </c>
      <c r="H1649" s="13" t="str" cm="1">
        <f t="array" ref="H1649">_xlfn.IFS(G1649&lt;=20,"0-20",G1649&lt;=30,"20-30",G1649&lt;=40,"30-40",G1649&lt;=50,"50-60",G1649&lt;=60,"60-70",G1649&lt;=70,"70-80",G1649&lt;=80,"80-90")</f>
        <v>60-70</v>
      </c>
      <c r="I1649" s="17">
        <v>2394</v>
      </c>
      <c r="J1649" s="13" t="str" cm="1">
        <f t="array" ref="J1649">_xlfn.IFS(K1649=1,"Divorciado",L1649=1,"Casado",M1649=1,"Solteiro",N1649=1,"Juntos",O1649=1,"Viuvo")</f>
        <v>Casado</v>
      </c>
      <c r="K1649" s="17">
        <v>0</v>
      </c>
      <c r="L1649" s="17">
        <v>1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1</v>
      </c>
      <c r="S1649" s="17">
        <v>0</v>
      </c>
      <c r="T1649" s="17">
        <v>0</v>
      </c>
      <c r="U1649" s="17">
        <v>24</v>
      </c>
      <c r="V1649" s="13" t="str" cm="1">
        <f t="array" ref="V1649">_xlfn.IFS(U1649&lt;=250,"0-R$250",U1649&lt;=500,"251-R$500",U1649&lt;=750,"501-R$750",U1649&lt;=1000,"751-R$1000",U1649&lt;=1250,"1001-R$1250",U1649&lt;=1500,"1251-R$1500")</f>
        <v>0-R$250</v>
      </c>
      <c r="W1649" s="17">
        <v>2</v>
      </c>
      <c r="X1649" s="13" t="str" cm="1">
        <f t="array" ref="X1649">_xlfn.IFS(W1649 = 0, "0", W1649&lt;=20, "até R$20",W1649&lt;=40, "21 - R$40",W1649&lt;=60, "41- R$60",W1649&lt;=80, "61 - R$80", W1649&lt;=100, "81 - R$100",W1649&lt;=120, "101 - R$120",W1649&lt;=140, "121 - R$140", W1649&lt;=160, "141- R$160", W1649&lt;=180, "161 - R$180", W1649&lt;=200, "181-R$194")</f>
        <v>até R$20</v>
      </c>
      <c r="Y1649" s="17">
        <v>23</v>
      </c>
      <c r="Z1649" s="17">
        <v>0</v>
      </c>
      <c r="AA1649" s="17">
        <v>8</v>
      </c>
      <c r="AB1649" s="17">
        <v>24</v>
      </c>
      <c r="AC1649" s="17">
        <v>3</v>
      </c>
      <c r="AD1649" s="17">
        <v>2</v>
      </c>
      <c r="AE1649" s="17">
        <v>1</v>
      </c>
      <c r="AF1649" s="17">
        <v>3</v>
      </c>
      <c r="AG1649" s="17">
        <v>6</v>
      </c>
      <c r="AH1649" s="17">
        <v>0</v>
      </c>
      <c r="AI1649" s="17">
        <v>0</v>
      </c>
      <c r="AJ1649" s="17">
        <v>0</v>
      </c>
      <c r="AK1649" s="17">
        <v>0</v>
      </c>
      <c r="AL1649" s="17">
        <v>0</v>
      </c>
      <c r="AM1649" s="17">
        <v>0</v>
      </c>
      <c r="AN1649" s="17">
        <v>0</v>
      </c>
      <c r="AO1649" s="18">
        <v>0</v>
      </c>
      <c r="AP1649" s="17">
        <v>3</v>
      </c>
      <c r="AQ1649" s="17">
        <v>11</v>
      </c>
      <c r="AR1649" s="19">
        <v>33</v>
      </c>
      <c r="AS1649" s="19">
        <v>57</v>
      </c>
    </row>
    <row r="1650" spans="1:45" x14ac:dyDescent="0.25">
      <c r="A1650">
        <v>69</v>
      </c>
      <c r="B1650" s="11">
        <f t="shared" si="25"/>
        <v>28332</v>
      </c>
      <c r="C1650" s="16">
        <v>283320</v>
      </c>
      <c r="D1650" s="17">
        <v>0</v>
      </c>
      <c r="E1650" s="17">
        <v>0</v>
      </c>
      <c r="F1650" s="17">
        <v>58</v>
      </c>
      <c r="G1650" s="17">
        <v>68</v>
      </c>
      <c r="H1650" s="13" t="str" cm="1">
        <f t="array" ref="H1650">_xlfn.IFS(G1650&lt;=20,"0-20",G1650&lt;=30,"20-30",G1650&lt;=40,"30-40",G1650&lt;=50,"50-60",G1650&lt;=60,"60-70",G1650&lt;=70,"70-80",G1650&lt;=80,"80-90")</f>
        <v>70-80</v>
      </c>
      <c r="I1650" s="17">
        <v>2219</v>
      </c>
      <c r="J1650" s="13" t="str" cm="1">
        <f t="array" ref="J1650">_xlfn.IFS(K1650=1,"Divorciado",L1650=1,"Casado",M1650=1,"Solteiro",N1650=1,"Juntos",O1650=1,"Viuvo")</f>
        <v>Casado</v>
      </c>
      <c r="K1650" s="17">
        <v>0</v>
      </c>
      <c r="L1650" s="17">
        <v>1</v>
      </c>
      <c r="M1650" s="17">
        <v>0</v>
      </c>
      <c r="N1650" s="17">
        <v>0</v>
      </c>
      <c r="O1650" s="17">
        <v>0</v>
      </c>
      <c r="P1650" s="17">
        <v>0</v>
      </c>
      <c r="Q1650" s="17">
        <v>0</v>
      </c>
      <c r="R1650" s="17">
        <v>1</v>
      </c>
      <c r="S1650" s="17">
        <v>0</v>
      </c>
      <c r="T1650" s="17">
        <v>0</v>
      </c>
      <c r="U1650" s="17">
        <v>14</v>
      </c>
      <c r="V1650" s="13" t="str" cm="1">
        <f t="array" ref="V1650">_xlfn.IFS(U1650&lt;=250,"0-R$250",U1650&lt;=500,"251-R$500",U1650&lt;=750,"501-R$750",U1650&lt;=1000,"751-R$1000",U1650&lt;=1250,"1001-R$1250",U1650&lt;=1500,"1251-R$1500")</f>
        <v>0-R$250</v>
      </c>
      <c r="W1650" s="17">
        <v>10</v>
      </c>
      <c r="X1650" s="13" t="str" cm="1">
        <f t="array" ref="X1650">_xlfn.IFS(W1650 = 0, "0", W1650&lt;=20, "até R$20",W1650&lt;=40, "21 - R$40",W1650&lt;=60, "41- R$60",W1650&lt;=80, "61 - R$80", W1650&lt;=100, "81 - R$100",W1650&lt;=120, "101 - R$120",W1650&lt;=140, "121 - R$140", W1650&lt;=160, "141- R$160", W1650&lt;=180, "161 - R$180", W1650&lt;=200, "181-R$194")</f>
        <v>até R$20</v>
      </c>
      <c r="Y1650" s="17">
        <v>13</v>
      </c>
      <c r="Z1650" s="17">
        <v>4</v>
      </c>
      <c r="AA1650" s="17">
        <v>15</v>
      </c>
      <c r="AB1650" s="17">
        <v>9</v>
      </c>
      <c r="AC1650" s="17">
        <v>1</v>
      </c>
      <c r="AD1650" s="17">
        <v>2</v>
      </c>
      <c r="AE1650" s="17">
        <v>1</v>
      </c>
      <c r="AF1650" s="17">
        <v>4</v>
      </c>
      <c r="AG1650" s="17">
        <v>2</v>
      </c>
      <c r="AH1650" s="17">
        <v>0</v>
      </c>
      <c r="AI1650" s="17">
        <v>0</v>
      </c>
      <c r="AJ1650" s="17">
        <v>0</v>
      </c>
      <c r="AK1650" s="17">
        <v>0</v>
      </c>
      <c r="AL1650" s="17">
        <v>0</v>
      </c>
      <c r="AM1650" s="17">
        <v>0</v>
      </c>
      <c r="AN1650" s="17">
        <v>0</v>
      </c>
      <c r="AO1650" s="18">
        <v>0</v>
      </c>
      <c r="AP1650" s="17">
        <v>3</v>
      </c>
      <c r="AQ1650" s="17">
        <v>11</v>
      </c>
      <c r="AR1650" s="19">
        <v>47</v>
      </c>
      <c r="AS1650" s="19">
        <v>56</v>
      </c>
    </row>
    <row r="1651" spans="1:45" x14ac:dyDescent="0.25">
      <c r="A1651">
        <v>77</v>
      </c>
      <c r="B1651" s="11">
        <f t="shared" si="25"/>
        <v>23559</v>
      </c>
      <c r="C1651" s="16">
        <v>235590</v>
      </c>
      <c r="D1651" s="17">
        <v>1</v>
      </c>
      <c r="E1651" s="17">
        <v>0</v>
      </c>
      <c r="F1651" s="17">
        <v>87</v>
      </c>
      <c r="G1651" s="17">
        <v>47</v>
      </c>
      <c r="H1651" s="13" t="str" cm="1">
        <f t="array" ref="H1651">_xlfn.IFS(G1651&lt;=20,"0-20",G1651&lt;=30,"20-30",G1651&lt;=40,"30-40",G1651&lt;=50,"50-60",G1651&lt;=60,"60-70",G1651&lt;=70,"70-80",G1651&lt;=80,"80-90")</f>
        <v>50-60</v>
      </c>
      <c r="I1651" s="17">
        <v>2520</v>
      </c>
      <c r="J1651" s="13" t="str" cm="1">
        <f t="array" ref="J1651">_xlfn.IFS(K1651=1,"Divorciado",L1651=1,"Casado",M1651=1,"Solteiro",N1651=1,"Juntos",O1651=1,"Viuvo")</f>
        <v>Casado</v>
      </c>
      <c r="K1651" s="17">
        <v>0</v>
      </c>
      <c r="L1651" s="17">
        <v>1</v>
      </c>
      <c r="M1651" s="17">
        <v>0</v>
      </c>
      <c r="N1651" s="17">
        <v>0</v>
      </c>
      <c r="O1651" s="17">
        <v>0</v>
      </c>
      <c r="P1651" s="17">
        <v>1</v>
      </c>
      <c r="Q1651" s="17">
        <v>0</v>
      </c>
      <c r="R1651" s="17">
        <v>0</v>
      </c>
      <c r="S1651" s="17">
        <v>0</v>
      </c>
      <c r="T1651" s="17">
        <v>0</v>
      </c>
      <c r="U1651" s="17">
        <v>25</v>
      </c>
      <c r="V1651" s="13" t="str" cm="1">
        <f t="array" ref="V1651">_xlfn.IFS(U1651&lt;=250,"0-R$250",U1651&lt;=500,"251-R$500",U1651&lt;=750,"501-R$750",U1651&lt;=1000,"751-R$1000",U1651&lt;=1250,"1001-R$1250",U1651&lt;=1500,"1251-R$1500")</f>
        <v>0-R$250</v>
      </c>
      <c r="W1651" s="17">
        <v>5</v>
      </c>
      <c r="X1651" s="13" t="str" cm="1">
        <f t="array" ref="X1651">_xlfn.IFS(W1651 = 0, "0", W1651&lt;=20, "até R$20",W1651&lt;=40, "21 - R$40",W1651&lt;=60, "41- R$60",W1651&lt;=80, "61 - R$80", W1651&lt;=100, "81 - R$100",W1651&lt;=120, "101 - R$120",W1651&lt;=140, "121 - R$140", W1651&lt;=160, "141- R$160", W1651&lt;=180, "161 - R$180", W1651&lt;=200, "181-R$194")</f>
        <v>até R$20</v>
      </c>
      <c r="Y1651" s="17">
        <v>19</v>
      </c>
      <c r="Z1651" s="17">
        <v>7</v>
      </c>
      <c r="AA1651" s="17">
        <v>0</v>
      </c>
      <c r="AB1651" s="17">
        <v>23</v>
      </c>
      <c r="AC1651" s="17">
        <v>3</v>
      </c>
      <c r="AD1651" s="17">
        <v>3</v>
      </c>
      <c r="AE1651" s="17">
        <v>0</v>
      </c>
      <c r="AF1651" s="17">
        <v>3</v>
      </c>
      <c r="AG1651" s="17">
        <v>7</v>
      </c>
      <c r="AH1651" s="17">
        <v>0</v>
      </c>
      <c r="AI1651" s="17">
        <v>0</v>
      </c>
      <c r="AJ1651" s="17">
        <v>0</v>
      </c>
      <c r="AK1651" s="17">
        <v>0</v>
      </c>
      <c r="AL1651" s="17">
        <v>0</v>
      </c>
      <c r="AM1651" s="17">
        <v>0</v>
      </c>
      <c r="AN1651" s="17">
        <v>0</v>
      </c>
      <c r="AO1651" s="18">
        <v>0</v>
      </c>
      <c r="AP1651" s="17">
        <v>3</v>
      </c>
      <c r="AQ1651" s="17">
        <v>11</v>
      </c>
      <c r="AR1651" s="19">
        <v>33</v>
      </c>
      <c r="AS1651" s="19">
        <v>56</v>
      </c>
    </row>
    <row r="1652" spans="1:45" x14ac:dyDescent="0.25">
      <c r="A1652">
        <v>311</v>
      </c>
      <c r="B1652" s="11">
        <f t="shared" si="25"/>
        <v>14849</v>
      </c>
      <c r="C1652" s="16">
        <v>148490</v>
      </c>
      <c r="D1652" s="17">
        <v>1</v>
      </c>
      <c r="E1652" s="17">
        <v>0</v>
      </c>
      <c r="F1652" s="17">
        <v>39</v>
      </c>
      <c r="G1652" s="17">
        <v>44</v>
      </c>
      <c r="H1652" s="13" t="str" cm="1">
        <f t="array" ref="H1652">_xlfn.IFS(G1652&lt;=20,"0-20",G1652&lt;=30,"20-30",G1652&lt;=40,"30-40",G1652&lt;=50,"50-60",G1652&lt;=60,"60-70",G1652&lt;=70,"70-80",G1652&lt;=80,"80-90")</f>
        <v>50-60</v>
      </c>
      <c r="I1652" s="17">
        <v>2521</v>
      </c>
      <c r="J1652" s="13" t="str" cm="1">
        <f t="array" ref="J1652">_xlfn.IFS(K1652=1,"Divorciado",L1652=1,"Casado",M1652=1,"Solteiro",N1652=1,"Juntos",O1652=1,"Viuvo")</f>
        <v>Divorciado</v>
      </c>
      <c r="K1652" s="17">
        <v>1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1</v>
      </c>
      <c r="U1652" s="17">
        <v>21</v>
      </c>
      <c r="V1652" s="13" t="str" cm="1">
        <f t="array" ref="V1652">_xlfn.IFS(U1652&lt;=250,"0-R$250",U1652&lt;=500,"251-R$500",U1652&lt;=750,"501-R$750",U1652&lt;=1000,"751-R$1000",U1652&lt;=1250,"1001-R$1250",U1652&lt;=1500,"1251-R$1500")</f>
        <v>0-R$250</v>
      </c>
      <c r="W1652" s="17">
        <v>2</v>
      </c>
      <c r="X1652" s="13" t="str" cm="1">
        <f t="array" ref="X1652">_xlfn.IFS(W1652 = 0, "0", W1652&lt;=20, "até R$20",W1652&lt;=40, "21 - R$40",W1652&lt;=60, "41- R$60",W1652&lt;=80, "61 - R$80", W1652&lt;=100, "81 - R$100",W1652&lt;=120, "101 - R$120",W1652&lt;=140, "121 - R$140", W1652&lt;=160, "141- R$160", W1652&lt;=180, "161 - R$180", W1652&lt;=200, "181-R$194")</f>
        <v>até R$20</v>
      </c>
      <c r="Y1652" s="17">
        <v>28</v>
      </c>
      <c r="Z1652" s="17">
        <v>3</v>
      </c>
      <c r="AA1652" s="17">
        <v>2</v>
      </c>
      <c r="AB1652" s="17">
        <v>9</v>
      </c>
      <c r="AC1652" s="17">
        <v>3</v>
      </c>
      <c r="AD1652" s="17">
        <v>2</v>
      </c>
      <c r="AE1652" s="17">
        <v>0</v>
      </c>
      <c r="AF1652" s="17">
        <v>4</v>
      </c>
      <c r="AG1652" s="17">
        <v>8</v>
      </c>
      <c r="AH1652" s="17">
        <v>0</v>
      </c>
      <c r="AI1652" s="17">
        <v>0</v>
      </c>
      <c r="AJ1652" s="17">
        <v>0</v>
      </c>
      <c r="AK1652" s="17">
        <v>0</v>
      </c>
      <c r="AL1652" s="17">
        <v>0</v>
      </c>
      <c r="AM1652" s="17">
        <v>0</v>
      </c>
      <c r="AN1652" s="17">
        <v>0</v>
      </c>
      <c r="AO1652" s="18">
        <v>0</v>
      </c>
      <c r="AP1652" s="17">
        <v>3</v>
      </c>
      <c r="AQ1652" s="17">
        <v>11</v>
      </c>
      <c r="AR1652" s="19">
        <v>47</v>
      </c>
      <c r="AS1652" s="19">
        <v>56</v>
      </c>
    </row>
    <row r="1653" spans="1:45" x14ac:dyDescent="0.25">
      <c r="A1653">
        <v>436</v>
      </c>
      <c r="B1653" s="11">
        <f t="shared" si="25"/>
        <v>36230</v>
      </c>
      <c r="C1653" s="12">
        <v>362300</v>
      </c>
      <c r="D1653" s="13">
        <v>1</v>
      </c>
      <c r="E1653" s="13">
        <v>0</v>
      </c>
      <c r="F1653" s="13">
        <v>17</v>
      </c>
      <c r="G1653" s="13">
        <v>49</v>
      </c>
      <c r="H1653" s="13" t="str" cm="1">
        <f t="array" ref="H1653">_xlfn.IFS(G1653&lt;=20,"0-20",G1653&lt;=30,"20-30",G1653&lt;=40,"30-40",G1653&lt;=50,"50-60",G1653&lt;=60,"60-70",G1653&lt;=70,"70-80",G1653&lt;=80,"80-90")</f>
        <v>50-60</v>
      </c>
      <c r="I1653" s="13">
        <v>2414</v>
      </c>
      <c r="J1653" s="13" t="str" cm="1">
        <f t="array" ref="J1653">_xlfn.IFS(K1653=1,"Divorciado",L1653=1,"Casado",M1653=1,"Solteiro",N1653=1,"Juntos",O1653=1,"Viuvo")</f>
        <v>Solteiro</v>
      </c>
      <c r="K1653" s="13">
        <v>0</v>
      </c>
      <c r="L1653" s="13">
        <v>0</v>
      </c>
      <c r="M1653" s="13">
        <v>1</v>
      </c>
      <c r="N1653" s="13">
        <v>0</v>
      </c>
      <c r="O1653" s="13">
        <v>0</v>
      </c>
      <c r="P1653" s="13">
        <v>0</v>
      </c>
      <c r="Q1653" s="13">
        <v>0</v>
      </c>
      <c r="R1653" s="13">
        <v>0</v>
      </c>
      <c r="S1653" s="13">
        <v>1</v>
      </c>
      <c r="T1653" s="13">
        <v>0</v>
      </c>
      <c r="U1653" s="13">
        <v>14</v>
      </c>
      <c r="V1653" s="13" t="str" cm="1">
        <f t="array" ref="V1653">_xlfn.IFS(U1653&lt;=250,"0-R$250",U1653&lt;=500,"251-R$500",U1653&lt;=750,"501-R$750",U1653&lt;=1000,"751-R$1000",U1653&lt;=1250,"1001-R$1250",U1653&lt;=1500,"1251-R$1500")</f>
        <v>0-R$250</v>
      </c>
      <c r="W1653" s="13">
        <v>2</v>
      </c>
      <c r="X1653" s="13" t="str" cm="1">
        <f t="array" ref="X1653">_xlfn.IFS(W1653 = 0, "0", W1653&lt;=20, "até R$20",W1653&lt;=40, "21 - R$40",W1653&lt;=60, "41- R$60",W1653&lt;=80, "61 - R$80", W1653&lt;=100, "81 - R$100",W1653&lt;=120, "101 - R$120",W1653&lt;=140, "121 - R$140", W1653&lt;=160, "141- R$160", W1653&lt;=180, "161 - R$180", W1653&lt;=200, "181-R$194")</f>
        <v>até R$20</v>
      </c>
      <c r="Y1653" s="13">
        <v>30</v>
      </c>
      <c r="Z1653" s="13">
        <v>8</v>
      </c>
      <c r="AA1653" s="13">
        <v>2</v>
      </c>
      <c r="AB1653" s="13">
        <v>3</v>
      </c>
      <c r="AC1653" s="13">
        <v>1</v>
      </c>
      <c r="AD1653" s="13">
        <v>2</v>
      </c>
      <c r="AE1653" s="13">
        <v>0</v>
      </c>
      <c r="AF1653" s="13">
        <v>4</v>
      </c>
      <c r="AG1653" s="13">
        <v>5</v>
      </c>
      <c r="AH1653" s="13">
        <v>0</v>
      </c>
      <c r="AI1653" s="13">
        <v>0</v>
      </c>
      <c r="AJ1653" s="13">
        <v>0</v>
      </c>
      <c r="AK1653" s="13">
        <v>0</v>
      </c>
      <c r="AL1653" s="13">
        <v>0</v>
      </c>
      <c r="AM1653" s="13">
        <v>0</v>
      </c>
      <c r="AN1653" s="13">
        <v>0</v>
      </c>
      <c r="AO1653" s="14">
        <v>0</v>
      </c>
      <c r="AP1653" s="13">
        <v>3</v>
      </c>
      <c r="AQ1653" s="13">
        <v>11</v>
      </c>
      <c r="AR1653" s="15">
        <v>53</v>
      </c>
      <c r="AS1653" s="15">
        <v>56</v>
      </c>
    </row>
    <row r="1654" spans="1:45" x14ac:dyDescent="0.25">
      <c r="A1654">
        <v>1991</v>
      </c>
      <c r="B1654" s="11">
        <f t="shared" si="25"/>
        <v>36790</v>
      </c>
      <c r="C1654" s="16">
        <v>367900</v>
      </c>
      <c r="D1654" s="17">
        <v>0</v>
      </c>
      <c r="E1654" s="17">
        <v>0</v>
      </c>
      <c r="F1654" s="17">
        <v>14</v>
      </c>
      <c r="G1654" s="17">
        <v>37</v>
      </c>
      <c r="H1654" s="13" t="str" cm="1">
        <f t="array" ref="H1654">_xlfn.IFS(G1654&lt;=20,"0-20",G1654&lt;=30,"20-30",G1654&lt;=40,"30-40",G1654&lt;=50,"50-60",G1654&lt;=60,"60-70",G1654&lt;=70,"70-80",G1654&lt;=80,"80-90")</f>
        <v>30-40</v>
      </c>
      <c r="I1654" s="17">
        <v>2644</v>
      </c>
      <c r="J1654" s="13" t="str" cm="1">
        <f t="array" ref="J1654">_xlfn.IFS(K1654=1,"Divorciado",L1654=1,"Casado",M1654=1,"Solteiro",N1654=1,"Juntos",O1654=1,"Viuvo")</f>
        <v>Casado</v>
      </c>
      <c r="K1654" s="17">
        <v>0</v>
      </c>
      <c r="L1654" s="17">
        <v>1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1</v>
      </c>
      <c r="S1654" s="17">
        <v>0</v>
      </c>
      <c r="T1654" s="17">
        <v>0</v>
      </c>
      <c r="U1654" s="17">
        <v>3</v>
      </c>
      <c r="V1654" s="13" t="str" cm="1">
        <f t="array" ref="V1654">_xlfn.IFS(U1654&lt;=250,"0-R$250",U1654&lt;=500,"251-R$500",U1654&lt;=750,"501-R$750",U1654&lt;=1000,"751-R$1000",U1654&lt;=1250,"1001-R$1250",U1654&lt;=1500,"1251-R$1500")</f>
        <v>0-R$250</v>
      </c>
      <c r="W1654" s="17">
        <v>3</v>
      </c>
      <c r="X1654" s="13" t="str" cm="1">
        <f t="array" ref="X1654">_xlfn.IFS(W1654 = 0, "0", W1654&lt;=20, "até R$20",W1654&lt;=40, "21 - R$40",W1654&lt;=60, "41- R$60",W1654&lt;=80, "61 - R$80", W1654&lt;=100, "81 - R$100",W1654&lt;=120, "101 - R$120",W1654&lt;=140, "121 - R$140", W1654&lt;=160, "141- R$160", W1654&lt;=180, "161 - R$180", W1654&lt;=200, "181-R$194")</f>
        <v>até R$20</v>
      </c>
      <c r="Y1654" s="17">
        <v>14</v>
      </c>
      <c r="Z1654" s="17">
        <v>15</v>
      </c>
      <c r="AA1654" s="17">
        <v>21</v>
      </c>
      <c r="AB1654" s="17">
        <v>10</v>
      </c>
      <c r="AC1654" s="17">
        <v>1</v>
      </c>
      <c r="AD1654" s="17">
        <v>2</v>
      </c>
      <c r="AE1654" s="17">
        <v>1</v>
      </c>
      <c r="AF1654" s="17">
        <v>2</v>
      </c>
      <c r="AG1654" s="17">
        <v>9</v>
      </c>
      <c r="AH1654" s="17">
        <v>0</v>
      </c>
      <c r="AI1654" s="17">
        <v>0</v>
      </c>
      <c r="AJ1654" s="17">
        <v>0</v>
      </c>
      <c r="AK1654" s="17">
        <v>0</v>
      </c>
      <c r="AL1654" s="17">
        <v>0</v>
      </c>
      <c r="AM1654" s="17">
        <v>0</v>
      </c>
      <c r="AN1654" s="17">
        <v>1</v>
      </c>
      <c r="AO1654" s="18">
        <v>0</v>
      </c>
      <c r="AP1654" s="17">
        <v>3</v>
      </c>
      <c r="AQ1654" s="17">
        <v>11</v>
      </c>
      <c r="AR1654" s="19">
        <v>46</v>
      </c>
      <c r="AS1654" s="19">
        <v>56</v>
      </c>
    </row>
    <row r="1655" spans="1:45" x14ac:dyDescent="0.25">
      <c r="A1655">
        <v>2101</v>
      </c>
      <c r="B1655" s="11">
        <f t="shared" si="25"/>
        <v>16005</v>
      </c>
      <c r="C1655" s="16">
        <v>160050</v>
      </c>
      <c r="D1655" s="17">
        <v>1</v>
      </c>
      <c r="E1655" s="17">
        <v>0</v>
      </c>
      <c r="F1655" s="17">
        <v>69</v>
      </c>
      <c r="G1655" s="17">
        <v>40</v>
      </c>
      <c r="H1655" s="13" t="str" cm="1">
        <f t="array" ref="H1655">_xlfn.IFS(G1655&lt;=20,"0-20",G1655&lt;=30,"20-30",G1655&lt;=40,"30-40",G1655&lt;=50,"50-60",G1655&lt;=60,"60-70",G1655&lt;=70,"70-80",G1655&lt;=80,"80-90")</f>
        <v>30-40</v>
      </c>
      <c r="I1655" s="17">
        <v>2843</v>
      </c>
      <c r="J1655" s="13" t="str" cm="1">
        <f t="array" ref="J1655">_xlfn.IFS(K1655=1,"Divorciado",L1655=1,"Casado",M1655=1,"Solteiro",N1655=1,"Juntos",O1655=1,"Viuvo")</f>
        <v>Casado</v>
      </c>
      <c r="K1655" s="17">
        <v>0</v>
      </c>
      <c r="L1655" s="17">
        <v>1</v>
      </c>
      <c r="M1655" s="17">
        <v>0</v>
      </c>
      <c r="N1655" s="17">
        <v>0</v>
      </c>
      <c r="O1655" s="17">
        <v>0</v>
      </c>
      <c r="P1655" s="17">
        <v>0</v>
      </c>
      <c r="Q1655" s="17">
        <v>1</v>
      </c>
      <c r="R1655" s="17">
        <v>0</v>
      </c>
      <c r="S1655" s="17">
        <v>0</v>
      </c>
      <c r="T1655" s="17">
        <v>0</v>
      </c>
      <c r="U1655" s="17">
        <v>1</v>
      </c>
      <c r="V1655" s="13" t="str" cm="1">
        <f t="array" ref="V1655">_xlfn.IFS(U1655&lt;=250,"0-R$250",U1655&lt;=500,"251-R$500",U1655&lt;=750,"501-R$750",U1655&lt;=1000,"751-R$1000",U1655&lt;=1250,"1001-R$1250",U1655&lt;=1500,"1251-R$1500")</f>
        <v>0-R$250</v>
      </c>
      <c r="W1655" s="17">
        <v>3</v>
      </c>
      <c r="X1655" s="13" t="str" cm="1">
        <f t="array" ref="X1655">_xlfn.IFS(W1655 = 0, "0", W1655&lt;=20, "até R$20",W1655&lt;=40, "21 - R$40",W1655&lt;=60, "41- R$60",W1655&lt;=80, "61 - R$80", W1655&lt;=100, "81 - R$100",W1655&lt;=120, "101 - R$120",W1655&lt;=140, "121 - R$140", W1655&lt;=160, "141- R$160", W1655&lt;=180, "161 - R$180", W1655&lt;=200, "181-R$194")</f>
        <v>até R$20</v>
      </c>
      <c r="Y1655" s="17">
        <v>2</v>
      </c>
      <c r="Z1655" s="17">
        <v>20</v>
      </c>
      <c r="AA1655" s="17">
        <v>30</v>
      </c>
      <c r="AB1655" s="17">
        <v>47</v>
      </c>
      <c r="AC1655" s="17">
        <v>3</v>
      </c>
      <c r="AD1655" s="17">
        <v>2</v>
      </c>
      <c r="AE1655" s="17">
        <v>1</v>
      </c>
      <c r="AF1655" s="17">
        <v>2</v>
      </c>
      <c r="AG1655" s="17">
        <v>8</v>
      </c>
      <c r="AH1655" s="17">
        <v>0</v>
      </c>
      <c r="AI1655" s="17">
        <v>0</v>
      </c>
      <c r="AJ1655" s="17">
        <v>0</v>
      </c>
      <c r="AK1655" s="17">
        <v>0</v>
      </c>
      <c r="AL1655" s="17">
        <v>0</v>
      </c>
      <c r="AM1655" s="17">
        <v>0</v>
      </c>
      <c r="AN1655" s="17">
        <v>0</v>
      </c>
      <c r="AO1655" s="18">
        <v>0</v>
      </c>
      <c r="AP1655" s="17">
        <v>3</v>
      </c>
      <c r="AQ1655" s="17">
        <v>11</v>
      </c>
      <c r="AR1655" s="19">
        <v>9</v>
      </c>
      <c r="AS1655" s="19">
        <v>56</v>
      </c>
    </row>
    <row r="1656" spans="1:45" x14ac:dyDescent="0.25">
      <c r="A1656">
        <v>2111</v>
      </c>
      <c r="B1656" s="11">
        <f t="shared" si="25"/>
        <v>23539</v>
      </c>
      <c r="C1656" s="16">
        <v>235390</v>
      </c>
      <c r="D1656" s="17">
        <v>0</v>
      </c>
      <c r="E1656" s="17">
        <v>0</v>
      </c>
      <c r="F1656" s="17">
        <v>13</v>
      </c>
      <c r="G1656" s="17">
        <v>63</v>
      </c>
      <c r="H1656" s="13" t="str" cm="1">
        <f t="array" ref="H1656">_xlfn.IFS(G1656&lt;=20,"0-20",G1656&lt;=30,"20-30",G1656&lt;=40,"30-40",G1656&lt;=50,"50-60",G1656&lt;=60,"60-70",G1656&lt;=70,"70-80",G1656&lt;=80,"80-90")</f>
        <v>70-80</v>
      </c>
      <c r="I1656" s="17">
        <v>2280</v>
      </c>
      <c r="J1656" s="13" t="str" cm="1">
        <f t="array" ref="J1656">_xlfn.IFS(K1656=1,"Divorciado",L1656=1,"Casado",M1656=1,"Solteiro",N1656=1,"Juntos",O1656=1,"Viuvo")</f>
        <v>Casado</v>
      </c>
      <c r="K1656" s="17">
        <v>0</v>
      </c>
      <c r="L1656" s="17">
        <v>1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1</v>
      </c>
      <c r="S1656" s="17">
        <v>0</v>
      </c>
      <c r="T1656" s="17">
        <v>0</v>
      </c>
      <c r="U1656" s="17">
        <v>4</v>
      </c>
      <c r="V1656" s="13" t="str" cm="1">
        <f t="array" ref="V1656">_xlfn.IFS(U1656&lt;=250,"0-R$250",U1656&lt;=500,"251-R$500",U1656&lt;=750,"501-R$750",U1656&lt;=1000,"751-R$1000",U1656&lt;=1250,"1001-R$1250",U1656&lt;=1500,"1251-R$1500")</f>
        <v>0-R$250</v>
      </c>
      <c r="W1656" s="17">
        <v>24</v>
      </c>
      <c r="X1656" s="13" t="str" cm="1">
        <f t="array" ref="X1656">_xlfn.IFS(W1656 = 0, "0", W1656&lt;=20, "até R$20",W1656&lt;=40, "21 - R$40",W1656&lt;=60, "41- R$60",W1656&lt;=80, "61 - R$80", W1656&lt;=100, "81 - R$100",W1656&lt;=120, "101 - R$120",W1656&lt;=140, "121 - R$140", W1656&lt;=160, "141- R$160", W1656&lt;=180, "161 - R$180", W1656&lt;=200, "181-R$194")</f>
        <v>21 - R$40</v>
      </c>
      <c r="Y1656" s="17">
        <v>11</v>
      </c>
      <c r="Z1656" s="17">
        <v>16</v>
      </c>
      <c r="AA1656" s="17">
        <v>1</v>
      </c>
      <c r="AB1656" s="17">
        <v>25</v>
      </c>
      <c r="AC1656" s="17">
        <v>1</v>
      </c>
      <c r="AD1656" s="17">
        <v>2</v>
      </c>
      <c r="AE1656" s="17">
        <v>0</v>
      </c>
      <c r="AF1656" s="17">
        <v>4</v>
      </c>
      <c r="AG1656" s="17">
        <v>6</v>
      </c>
      <c r="AH1656" s="17">
        <v>0</v>
      </c>
      <c r="AI1656" s="17">
        <v>0</v>
      </c>
      <c r="AJ1656" s="17">
        <v>0</v>
      </c>
      <c r="AK1656" s="17">
        <v>0</v>
      </c>
      <c r="AL1656" s="17">
        <v>0</v>
      </c>
      <c r="AM1656" s="17">
        <v>0</v>
      </c>
      <c r="AN1656" s="17">
        <v>0</v>
      </c>
      <c r="AO1656" s="18">
        <v>0</v>
      </c>
      <c r="AP1656" s="17">
        <v>3</v>
      </c>
      <c r="AQ1656" s="17">
        <v>11</v>
      </c>
      <c r="AR1656" s="19">
        <v>31</v>
      </c>
      <c r="AS1656" s="19">
        <v>56</v>
      </c>
    </row>
    <row r="1657" spans="1:45" x14ac:dyDescent="0.25">
      <c r="A1657">
        <v>280</v>
      </c>
      <c r="B1657" s="11">
        <f t="shared" si="25"/>
        <v>16626</v>
      </c>
      <c r="C1657" s="12">
        <v>166260</v>
      </c>
      <c r="D1657" s="13">
        <v>2</v>
      </c>
      <c r="E1657" s="13">
        <v>0</v>
      </c>
      <c r="F1657" s="13">
        <v>76</v>
      </c>
      <c r="G1657" s="13">
        <v>49</v>
      </c>
      <c r="H1657" s="13" t="str" cm="1">
        <f t="array" ref="H1657">_xlfn.IFS(G1657&lt;=20,"0-20",G1657&lt;=30,"20-30",G1657&lt;=40,"30-40",G1657&lt;=50,"50-60",G1657&lt;=60,"60-70",G1657&lt;=70,"70-80",G1657&lt;=80,"80-90")</f>
        <v>50-60</v>
      </c>
      <c r="I1657" s="13">
        <v>2324</v>
      </c>
      <c r="J1657" s="13" t="str" cm="1">
        <f t="array" ref="J1657">_xlfn.IFS(K1657=1,"Divorciado",L1657=1,"Casado",M1657=1,"Solteiro",N1657=1,"Juntos",O1657=1,"Viuvo")</f>
        <v>Juntos</v>
      </c>
      <c r="K1657" s="13">
        <v>0</v>
      </c>
      <c r="L1657" s="13">
        <v>0</v>
      </c>
      <c r="M1657" s="13">
        <v>0</v>
      </c>
      <c r="N1657" s="13">
        <v>1</v>
      </c>
      <c r="O1657" s="13">
        <v>0</v>
      </c>
      <c r="P1657" s="13">
        <v>0</v>
      </c>
      <c r="Q1657" s="13">
        <v>0</v>
      </c>
      <c r="R1657" s="13">
        <v>1</v>
      </c>
      <c r="S1657" s="13">
        <v>0</v>
      </c>
      <c r="T1657" s="13">
        <v>0</v>
      </c>
      <c r="U1657" s="13">
        <v>8</v>
      </c>
      <c r="V1657" s="13" t="str" cm="1">
        <f t="array" ref="V1657">_xlfn.IFS(U1657&lt;=250,"0-R$250",U1657&lt;=500,"251-R$500",U1657&lt;=750,"501-R$750",U1657&lt;=1000,"751-R$1000",U1657&lt;=1250,"1001-R$1250",U1657&lt;=1500,"1251-R$1500")</f>
        <v>0-R$250</v>
      </c>
      <c r="W1657" s="13">
        <v>3</v>
      </c>
      <c r="X1657" s="13" t="str" cm="1">
        <f t="array" ref="X1657">_xlfn.IFS(W1657 = 0, "0", W1657&lt;=20, "até R$20",W1657&lt;=40, "21 - R$40",W1657&lt;=60, "41- R$60",W1657&lt;=80, "61 - R$80", W1657&lt;=100, "81 - R$100",W1657&lt;=120, "101 - R$120",W1657&lt;=140, "121 - R$140", W1657&lt;=160, "141- R$160", W1657&lt;=180, "161 - R$180", W1657&lt;=200, "181-R$194")</f>
        <v>até R$20</v>
      </c>
      <c r="Y1657" s="13">
        <v>22</v>
      </c>
      <c r="Z1657" s="13">
        <v>21</v>
      </c>
      <c r="AA1657" s="13">
        <v>1</v>
      </c>
      <c r="AB1657" s="13">
        <v>13</v>
      </c>
      <c r="AC1657" s="13">
        <v>3</v>
      </c>
      <c r="AD1657" s="13">
        <v>3</v>
      </c>
      <c r="AE1657" s="13">
        <v>0</v>
      </c>
      <c r="AF1657" s="13">
        <v>3</v>
      </c>
      <c r="AG1657" s="13">
        <v>9</v>
      </c>
      <c r="AH1657" s="13">
        <v>0</v>
      </c>
      <c r="AI1657" s="13">
        <v>0</v>
      </c>
      <c r="AJ1657" s="13">
        <v>0</v>
      </c>
      <c r="AK1657" s="13">
        <v>0</v>
      </c>
      <c r="AL1657" s="13">
        <v>0</v>
      </c>
      <c r="AM1657" s="13">
        <v>0</v>
      </c>
      <c r="AN1657" s="13">
        <v>0</v>
      </c>
      <c r="AO1657" s="14">
        <v>0</v>
      </c>
      <c r="AP1657" s="13">
        <v>3</v>
      </c>
      <c r="AQ1657" s="13">
        <v>11</v>
      </c>
      <c r="AR1657" s="15">
        <v>42</v>
      </c>
      <c r="AS1657" s="15">
        <v>55</v>
      </c>
    </row>
    <row r="1658" spans="1:45" x14ac:dyDescent="0.25">
      <c r="A1658">
        <v>678</v>
      </c>
      <c r="B1658" s="11">
        <f t="shared" si="25"/>
        <v>26518</v>
      </c>
      <c r="C1658" s="12">
        <v>265180</v>
      </c>
      <c r="D1658" s="13">
        <v>1</v>
      </c>
      <c r="E1658" s="13">
        <v>1</v>
      </c>
      <c r="F1658" s="13">
        <v>33</v>
      </c>
      <c r="G1658" s="13">
        <v>71</v>
      </c>
      <c r="H1658" s="13" t="str" cm="1">
        <f t="array" ref="H1658">_xlfn.IFS(G1658&lt;=20,"0-20",G1658&lt;=30,"20-30",G1658&lt;=40,"30-40",G1658&lt;=50,"50-60",G1658&lt;=60,"60-70",G1658&lt;=70,"70-80",G1658&lt;=80,"80-90")</f>
        <v>80-90</v>
      </c>
      <c r="I1658" s="13">
        <v>2606</v>
      </c>
      <c r="J1658" s="13" t="str" cm="1">
        <f t="array" ref="J1658">_xlfn.IFS(K1658=1,"Divorciado",L1658=1,"Casado",M1658=1,"Solteiro",N1658=1,"Juntos",O1658=1,"Viuvo")</f>
        <v>Solteiro</v>
      </c>
      <c r="K1658" s="13">
        <v>0</v>
      </c>
      <c r="L1658" s="13">
        <v>0</v>
      </c>
      <c r="M1658" s="13">
        <v>1</v>
      </c>
      <c r="N1658" s="13">
        <v>0</v>
      </c>
      <c r="O1658" s="13">
        <v>0</v>
      </c>
      <c r="P1658" s="13">
        <v>0</v>
      </c>
      <c r="Q1658" s="13">
        <v>0</v>
      </c>
      <c r="R1658" s="13">
        <v>0</v>
      </c>
      <c r="S1658" s="13">
        <v>0</v>
      </c>
      <c r="T1658" s="13">
        <v>1</v>
      </c>
      <c r="U1658" s="13">
        <v>20</v>
      </c>
      <c r="V1658" s="13" t="str" cm="1">
        <f t="array" ref="V1658">_xlfn.IFS(U1658&lt;=250,"0-R$250",U1658&lt;=500,"251-R$500",U1658&lt;=750,"501-R$750",U1658&lt;=1000,"751-R$1000",U1658&lt;=1250,"1001-R$1250",U1658&lt;=1500,"1251-R$1500")</f>
        <v>0-R$250</v>
      </c>
      <c r="W1658" s="13">
        <v>1</v>
      </c>
      <c r="X1658" s="13" t="str" cm="1">
        <f t="array" ref="X1658">_xlfn.IFS(W1658 = 0, "0", W1658&lt;=20, "até R$20",W1658&lt;=40, "21 - R$40",W1658&lt;=60, "41- R$60",W1658&lt;=80, "61 - R$80", W1658&lt;=100, "81 - R$100",W1658&lt;=120, "101 - R$120",W1658&lt;=140, "121 - R$140", W1658&lt;=160, "141- R$160", W1658&lt;=180, "161 - R$180", W1658&lt;=200, "181-R$194")</f>
        <v>até R$20</v>
      </c>
      <c r="Y1658" s="13">
        <v>28</v>
      </c>
      <c r="Z1658" s="13">
        <v>3</v>
      </c>
      <c r="AA1658" s="13">
        <v>3</v>
      </c>
      <c r="AB1658" s="13">
        <v>2</v>
      </c>
      <c r="AC1658" s="13">
        <v>3</v>
      </c>
      <c r="AD1658" s="13">
        <v>2</v>
      </c>
      <c r="AE1658" s="13">
        <v>0</v>
      </c>
      <c r="AF1658" s="13">
        <v>3</v>
      </c>
      <c r="AG1658" s="13">
        <v>8</v>
      </c>
      <c r="AH1658" s="13">
        <v>0</v>
      </c>
      <c r="AI1658" s="13">
        <v>0</v>
      </c>
      <c r="AJ1658" s="13">
        <v>0</v>
      </c>
      <c r="AK1658" s="13">
        <v>0</v>
      </c>
      <c r="AL1658" s="13">
        <v>0</v>
      </c>
      <c r="AM1658" s="13">
        <v>0</v>
      </c>
      <c r="AN1658" s="13">
        <v>1</v>
      </c>
      <c r="AO1658" s="14">
        <v>0</v>
      </c>
      <c r="AP1658" s="13">
        <v>3</v>
      </c>
      <c r="AQ1658" s="13">
        <v>11</v>
      </c>
      <c r="AR1658" s="15">
        <v>53</v>
      </c>
      <c r="AS1658" s="15">
        <v>55</v>
      </c>
    </row>
    <row r="1659" spans="1:45" x14ac:dyDescent="0.25">
      <c r="A1659">
        <v>741</v>
      </c>
      <c r="B1659" s="11">
        <f t="shared" si="25"/>
        <v>35523</v>
      </c>
      <c r="C1659" s="16">
        <v>355230</v>
      </c>
      <c r="D1659" s="17">
        <v>1</v>
      </c>
      <c r="E1659" s="17">
        <v>0</v>
      </c>
      <c r="F1659" s="17">
        <v>8</v>
      </c>
      <c r="G1659" s="17">
        <v>39</v>
      </c>
      <c r="H1659" s="13" t="str" cm="1">
        <f t="array" ref="H1659">_xlfn.IFS(G1659&lt;=20,"0-20",G1659&lt;=30,"20-30",G1659&lt;=40,"30-40",G1659&lt;=50,"50-60",G1659&lt;=60,"60-70",G1659&lt;=70,"70-80",G1659&lt;=80,"80-90")</f>
        <v>30-40</v>
      </c>
      <c r="I1659" s="17">
        <v>2428</v>
      </c>
      <c r="J1659" s="13" t="str" cm="1">
        <f t="array" ref="J1659">_xlfn.IFS(K1659=1,"Divorciado",L1659=1,"Casado",M1659=1,"Solteiro",N1659=1,"Juntos",O1659=1,"Viuvo")</f>
        <v>Casado</v>
      </c>
      <c r="K1659" s="17">
        <v>0</v>
      </c>
      <c r="L1659" s="17">
        <v>1</v>
      </c>
      <c r="M1659" s="17">
        <v>0</v>
      </c>
      <c r="N1659" s="17">
        <v>0</v>
      </c>
      <c r="O1659" s="17">
        <v>0</v>
      </c>
      <c r="P1659" s="17">
        <v>1</v>
      </c>
      <c r="Q1659" s="17">
        <v>0</v>
      </c>
      <c r="R1659" s="17">
        <v>0</v>
      </c>
      <c r="S1659" s="17">
        <v>0</v>
      </c>
      <c r="T1659" s="17">
        <v>0</v>
      </c>
      <c r="U1659" s="17">
        <v>11</v>
      </c>
      <c r="V1659" s="13" t="str" cm="1">
        <f t="array" ref="V1659">_xlfn.IFS(U1659&lt;=250,"0-R$250",U1659&lt;=500,"251-R$500",U1659&lt;=750,"501-R$750",U1659&lt;=1000,"751-R$1000",U1659&lt;=1250,"1001-R$1250",U1659&lt;=1500,"1251-R$1500")</f>
        <v>0-R$250</v>
      </c>
      <c r="W1659" s="17">
        <v>5</v>
      </c>
      <c r="X1659" s="13" t="str" cm="1">
        <f t="array" ref="X1659">_xlfn.IFS(W1659 = 0, "0", W1659&lt;=20, "até R$20",W1659&lt;=40, "21 - R$40",W1659&lt;=60, "41- R$60",W1659&lt;=80, "61 - R$80", W1659&lt;=100, "81 - R$100",W1659&lt;=120, "101 - R$120",W1659&lt;=140, "121 - R$140", W1659&lt;=160, "141- R$160", W1659&lt;=180, "161 - R$180", W1659&lt;=200, "181-R$194")</f>
        <v>até R$20</v>
      </c>
      <c r="Y1659" s="17">
        <v>22</v>
      </c>
      <c r="Z1659" s="17">
        <v>12</v>
      </c>
      <c r="AA1659" s="17">
        <v>5</v>
      </c>
      <c r="AB1659" s="17">
        <v>11</v>
      </c>
      <c r="AC1659" s="17">
        <v>2</v>
      </c>
      <c r="AD1659" s="17">
        <v>3</v>
      </c>
      <c r="AE1659" s="17">
        <v>0</v>
      </c>
      <c r="AF1659" s="17">
        <v>3</v>
      </c>
      <c r="AG1659" s="17">
        <v>7</v>
      </c>
      <c r="AH1659" s="17">
        <v>0</v>
      </c>
      <c r="AI1659" s="17">
        <v>0</v>
      </c>
      <c r="AJ1659" s="17">
        <v>0</v>
      </c>
      <c r="AK1659" s="17">
        <v>0</v>
      </c>
      <c r="AL1659" s="17">
        <v>0</v>
      </c>
      <c r="AM1659" s="17">
        <v>0</v>
      </c>
      <c r="AN1659" s="17">
        <v>0</v>
      </c>
      <c r="AO1659" s="18">
        <v>0</v>
      </c>
      <c r="AP1659" s="17">
        <v>3</v>
      </c>
      <c r="AQ1659" s="17">
        <v>11</v>
      </c>
      <c r="AR1659" s="19">
        <v>44</v>
      </c>
      <c r="AS1659" s="19">
        <v>55</v>
      </c>
    </row>
    <row r="1660" spans="1:45" x14ac:dyDescent="0.25">
      <c r="A1660">
        <v>780</v>
      </c>
      <c r="B1660" s="11">
        <f t="shared" si="25"/>
        <v>19329</v>
      </c>
      <c r="C1660" s="12">
        <v>193290</v>
      </c>
      <c r="D1660" s="13">
        <v>1</v>
      </c>
      <c r="E1660" s="13">
        <v>0</v>
      </c>
      <c r="F1660" s="13">
        <v>39</v>
      </c>
      <c r="G1660" s="13">
        <v>52</v>
      </c>
      <c r="H1660" s="13" t="str" cm="1">
        <f t="array" ref="H1660">_xlfn.IFS(G1660&lt;=20,"0-20",G1660&lt;=30,"20-30",G1660&lt;=40,"30-40",G1660&lt;=50,"50-60",G1660&lt;=60,"60-70",G1660&lt;=70,"70-80",G1660&lt;=80,"80-90")</f>
        <v>60-70</v>
      </c>
      <c r="I1660" s="13">
        <v>2356</v>
      </c>
      <c r="J1660" s="13" t="str" cm="1">
        <f t="array" ref="J1660">_xlfn.IFS(K1660=1,"Divorciado",L1660=1,"Casado",M1660=1,"Solteiro",N1660=1,"Juntos",O1660=1,"Viuvo")</f>
        <v>Casado</v>
      </c>
      <c r="K1660" s="13">
        <v>0</v>
      </c>
      <c r="L1660" s="13">
        <v>1</v>
      </c>
      <c r="M1660" s="13">
        <v>0</v>
      </c>
      <c r="N1660" s="13">
        <v>0</v>
      </c>
      <c r="O1660" s="13">
        <v>0</v>
      </c>
      <c r="P1660" s="13">
        <v>0</v>
      </c>
      <c r="Q1660" s="13">
        <v>0</v>
      </c>
      <c r="R1660" s="13">
        <v>1</v>
      </c>
      <c r="S1660" s="13">
        <v>0</v>
      </c>
      <c r="T1660" s="13">
        <v>0</v>
      </c>
      <c r="U1660" s="13">
        <v>24</v>
      </c>
      <c r="V1660" s="13" t="str" cm="1">
        <f t="array" ref="V1660">_xlfn.IFS(U1660&lt;=250,"0-R$250",U1660&lt;=500,"251-R$500",U1660&lt;=750,"501-R$750",U1660&lt;=1000,"751-R$1000",U1660&lt;=1250,"1001-R$1250",U1660&lt;=1500,"1251-R$1500")</f>
        <v>0-R$250</v>
      </c>
      <c r="W1660" s="13">
        <v>1</v>
      </c>
      <c r="X1660" s="13" t="str" cm="1">
        <f t="array" ref="X1660">_xlfn.IFS(W1660 = 0, "0", W1660&lt;=20, "até R$20",W1660&lt;=40, "21 - R$40",W1660&lt;=60, "41- R$60",W1660&lt;=80, "61 - R$80", W1660&lt;=100, "81 - R$100",W1660&lt;=120, "101 - R$120",W1660&lt;=140, "121 - R$140", W1660&lt;=160, "141- R$160", W1660&lt;=180, "161 - R$180", W1660&lt;=200, "181-R$194")</f>
        <v>até R$20</v>
      </c>
      <c r="Y1660" s="13">
        <v>16</v>
      </c>
      <c r="Z1660" s="13">
        <v>12</v>
      </c>
      <c r="AA1660" s="13">
        <v>2</v>
      </c>
      <c r="AB1660" s="13">
        <v>5</v>
      </c>
      <c r="AC1660" s="13">
        <v>3</v>
      </c>
      <c r="AD1660" s="13">
        <v>4</v>
      </c>
      <c r="AE1660" s="13">
        <v>0</v>
      </c>
      <c r="AF1660" s="13">
        <v>3</v>
      </c>
      <c r="AG1660" s="13">
        <v>8</v>
      </c>
      <c r="AH1660" s="13">
        <v>0</v>
      </c>
      <c r="AI1660" s="13">
        <v>0</v>
      </c>
      <c r="AJ1660" s="13">
        <v>0</v>
      </c>
      <c r="AK1660" s="13">
        <v>0</v>
      </c>
      <c r="AL1660" s="13">
        <v>0</v>
      </c>
      <c r="AM1660" s="13">
        <v>0</v>
      </c>
      <c r="AN1660" s="13">
        <v>0</v>
      </c>
      <c r="AO1660" s="14">
        <v>0</v>
      </c>
      <c r="AP1660" s="13">
        <v>3</v>
      </c>
      <c r="AQ1660" s="13">
        <v>11</v>
      </c>
      <c r="AR1660" s="15">
        <v>50</v>
      </c>
      <c r="AS1660" s="15">
        <v>55</v>
      </c>
    </row>
    <row r="1661" spans="1:45" x14ac:dyDescent="0.25">
      <c r="A1661">
        <v>811</v>
      </c>
      <c r="B1661" s="11">
        <f t="shared" si="25"/>
        <v>55412</v>
      </c>
      <c r="C1661" s="16">
        <v>554120</v>
      </c>
      <c r="D1661" s="17">
        <v>1</v>
      </c>
      <c r="E1661" s="17">
        <v>1</v>
      </c>
      <c r="F1661" s="17">
        <v>65</v>
      </c>
      <c r="G1661" s="17">
        <v>44</v>
      </c>
      <c r="H1661" s="13" t="str" cm="1">
        <f t="array" ref="H1661">_xlfn.IFS(G1661&lt;=20,"0-20",G1661&lt;=30,"20-30",G1661&lt;=40,"30-40",G1661&lt;=50,"50-60",G1661&lt;=60,"60-70",G1661&lt;=70,"70-80",G1661&lt;=80,"80-90")</f>
        <v>50-60</v>
      </c>
      <c r="I1661" s="17">
        <v>2378</v>
      </c>
      <c r="J1661" s="13" t="str" cm="1">
        <f t="array" ref="J1661">_xlfn.IFS(K1661=1,"Divorciado",L1661=1,"Casado",M1661=1,"Solteiro",N1661=1,"Juntos",O1661=1,"Viuvo")</f>
        <v>Divorciado</v>
      </c>
      <c r="K1661" s="17">
        <v>1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1</v>
      </c>
      <c r="U1661" s="17">
        <v>10</v>
      </c>
      <c r="V1661" s="13" t="str" cm="1">
        <f t="array" ref="V1661">_xlfn.IFS(U1661&lt;=250,"0-R$250",U1661&lt;=500,"251-R$500",U1661&lt;=750,"501-R$750",U1661&lt;=1000,"751-R$1000",U1661&lt;=1250,"1001-R$1250",U1661&lt;=1500,"1251-R$1500")</f>
        <v>0-R$250</v>
      </c>
      <c r="W1661" s="17">
        <v>5</v>
      </c>
      <c r="X1661" s="13" t="str" cm="1">
        <f t="array" ref="X1661">_xlfn.IFS(W1661 = 0, "0", W1661&lt;=20, "até R$20",W1661&lt;=40, "21 - R$40",W1661&lt;=60, "41- R$60",W1661&lt;=80, "61 - R$80", W1661&lt;=100, "81 - R$100",W1661&lt;=120, "101 - R$120",W1661&lt;=140, "121 - R$140", W1661&lt;=160, "141- R$160", W1661&lt;=180, "161 - R$180", W1661&lt;=200, "181-R$194")</f>
        <v>até R$20</v>
      </c>
      <c r="Y1661" s="17">
        <v>28</v>
      </c>
      <c r="Z1661" s="17">
        <v>11</v>
      </c>
      <c r="AA1661" s="17">
        <v>1</v>
      </c>
      <c r="AB1661" s="17">
        <v>8</v>
      </c>
      <c r="AC1661" s="17">
        <v>1</v>
      </c>
      <c r="AD1661" s="17">
        <v>2</v>
      </c>
      <c r="AE1661" s="17">
        <v>0</v>
      </c>
      <c r="AF1661" s="17">
        <v>3</v>
      </c>
      <c r="AG1661" s="17">
        <v>5</v>
      </c>
      <c r="AH1661" s="17">
        <v>0</v>
      </c>
      <c r="AI1661" s="17">
        <v>0</v>
      </c>
      <c r="AJ1661" s="17">
        <v>0</v>
      </c>
      <c r="AK1661" s="17">
        <v>0</v>
      </c>
      <c r="AL1661" s="17">
        <v>0</v>
      </c>
      <c r="AM1661" s="17">
        <v>0</v>
      </c>
      <c r="AN1661" s="17">
        <v>0</v>
      </c>
      <c r="AO1661" s="18">
        <v>0</v>
      </c>
      <c r="AP1661" s="17">
        <v>3</v>
      </c>
      <c r="AQ1661" s="17">
        <v>11</v>
      </c>
      <c r="AR1661" s="19">
        <v>47</v>
      </c>
      <c r="AS1661" s="19">
        <v>55</v>
      </c>
    </row>
    <row r="1662" spans="1:45" x14ac:dyDescent="0.25">
      <c r="A1662">
        <v>1310</v>
      </c>
      <c r="B1662" s="11">
        <f t="shared" si="25"/>
        <v>27244</v>
      </c>
      <c r="C1662" s="12">
        <v>272440</v>
      </c>
      <c r="D1662" s="13">
        <v>1</v>
      </c>
      <c r="E1662" s="13">
        <v>0</v>
      </c>
      <c r="F1662" s="13">
        <v>84</v>
      </c>
      <c r="G1662" s="13">
        <v>41</v>
      </c>
      <c r="H1662" s="13" t="str" cm="1">
        <f t="array" ref="H1662">_xlfn.IFS(G1662&lt;=20,"0-20",G1662&lt;=30,"20-30",G1662&lt;=40,"30-40",G1662&lt;=50,"50-60",G1662&lt;=60,"60-70",G1662&lt;=70,"70-80",G1662&lt;=80,"80-90")</f>
        <v>50-60</v>
      </c>
      <c r="I1662" s="13">
        <v>2273</v>
      </c>
      <c r="J1662" s="13" t="str" cm="1">
        <f t="array" ref="J1662">_xlfn.IFS(K1662=1,"Divorciado",L1662=1,"Casado",M1662=1,"Solteiro",N1662=1,"Juntos",O1662=1,"Viuvo")</f>
        <v>Casado</v>
      </c>
      <c r="K1662" s="13">
        <v>0</v>
      </c>
      <c r="L1662" s="13">
        <v>1</v>
      </c>
      <c r="M1662" s="13">
        <v>0</v>
      </c>
      <c r="N1662" s="13">
        <v>0</v>
      </c>
      <c r="O1662" s="13">
        <v>0</v>
      </c>
      <c r="P1662" s="13">
        <v>0</v>
      </c>
      <c r="Q1662" s="13">
        <v>0</v>
      </c>
      <c r="R1662" s="13">
        <v>1</v>
      </c>
      <c r="S1662" s="13">
        <v>0</v>
      </c>
      <c r="T1662" s="13">
        <v>0</v>
      </c>
      <c r="U1662" s="13">
        <v>6</v>
      </c>
      <c r="V1662" s="13" t="str" cm="1">
        <f t="array" ref="V1662">_xlfn.IFS(U1662&lt;=250,"0-R$250",U1662&lt;=500,"251-R$500",U1662&lt;=750,"501-R$750",U1662&lt;=1000,"751-R$1000",U1662&lt;=1250,"1001-R$1250",U1662&lt;=1500,"1251-R$1500")</f>
        <v>0-R$250</v>
      </c>
      <c r="W1662" s="13">
        <v>5</v>
      </c>
      <c r="X1662" s="13" t="str" cm="1">
        <f t="array" ref="X1662">_xlfn.IFS(W1662 = 0, "0", W1662&lt;=20, "até R$20",W1662&lt;=40, "21 - R$40",W1662&lt;=60, "41- R$60",W1662&lt;=80, "61 - R$80", W1662&lt;=100, "81 - R$100",W1662&lt;=120, "101 - R$120",W1662&lt;=140, "121 - R$140", W1662&lt;=160, "141- R$160", W1662&lt;=180, "161 - R$180", W1662&lt;=200, "181-R$194")</f>
        <v>até R$20</v>
      </c>
      <c r="Y1662" s="13">
        <v>17</v>
      </c>
      <c r="Z1662" s="13">
        <v>3</v>
      </c>
      <c r="AA1662" s="13">
        <v>24</v>
      </c>
      <c r="AB1662" s="13">
        <v>46</v>
      </c>
      <c r="AC1662" s="13">
        <v>2</v>
      </c>
      <c r="AD1662" s="13">
        <v>2</v>
      </c>
      <c r="AE1662" s="13">
        <v>2</v>
      </c>
      <c r="AF1662" s="13">
        <v>2</v>
      </c>
      <c r="AG1662" s="13">
        <v>7</v>
      </c>
      <c r="AH1662" s="13">
        <v>0</v>
      </c>
      <c r="AI1662" s="13">
        <v>0</v>
      </c>
      <c r="AJ1662" s="13">
        <v>0</v>
      </c>
      <c r="AK1662" s="13">
        <v>0</v>
      </c>
      <c r="AL1662" s="13">
        <v>0</v>
      </c>
      <c r="AM1662" s="13">
        <v>0</v>
      </c>
      <c r="AN1662" s="13">
        <v>0</v>
      </c>
      <c r="AO1662" s="14">
        <v>0</v>
      </c>
      <c r="AP1662" s="13">
        <v>3</v>
      </c>
      <c r="AQ1662" s="13">
        <v>11</v>
      </c>
      <c r="AR1662" s="15">
        <v>9</v>
      </c>
      <c r="AS1662" s="15">
        <v>55</v>
      </c>
    </row>
    <row r="1663" spans="1:45" x14ac:dyDescent="0.25">
      <c r="A1663">
        <v>1433</v>
      </c>
      <c r="B1663" s="11">
        <f t="shared" si="25"/>
        <v>26290</v>
      </c>
      <c r="C1663" s="16">
        <v>262900</v>
      </c>
      <c r="D1663" s="17">
        <v>1</v>
      </c>
      <c r="E1663" s="17">
        <v>1</v>
      </c>
      <c r="F1663" s="17">
        <v>49</v>
      </c>
      <c r="G1663" s="17">
        <v>48</v>
      </c>
      <c r="H1663" s="13" t="str" cm="1">
        <f t="array" ref="H1663">_xlfn.IFS(G1663&lt;=20,"0-20",G1663&lt;=30,"20-30",G1663&lt;=40,"30-40",G1663&lt;=50,"50-60",G1663&lt;=60,"60-70",G1663&lt;=70,"70-80",G1663&lt;=80,"80-90")</f>
        <v>50-60</v>
      </c>
      <c r="I1663" s="17">
        <v>2692</v>
      </c>
      <c r="J1663" s="13" t="str" cm="1">
        <f t="array" ref="J1663">_xlfn.IFS(K1663=1,"Divorciado",L1663=1,"Casado",M1663=1,"Solteiro",N1663=1,"Juntos",O1663=1,"Viuvo")</f>
        <v>Juntos</v>
      </c>
      <c r="K1663" s="17">
        <v>0</v>
      </c>
      <c r="L1663" s="17">
        <v>0</v>
      </c>
      <c r="M1663" s="17">
        <v>0</v>
      </c>
      <c r="N1663" s="17">
        <v>1</v>
      </c>
      <c r="O1663" s="17">
        <v>0</v>
      </c>
      <c r="P1663" s="17">
        <v>0</v>
      </c>
      <c r="Q1663" s="17">
        <v>0</v>
      </c>
      <c r="R1663" s="17">
        <v>1</v>
      </c>
      <c r="S1663" s="17">
        <v>0</v>
      </c>
      <c r="T1663" s="17">
        <v>0</v>
      </c>
      <c r="U1663" s="17">
        <v>15</v>
      </c>
      <c r="V1663" s="13" t="str" cm="1">
        <f t="array" ref="V1663">_xlfn.IFS(U1663&lt;=250,"0-R$250",U1663&lt;=500,"251-R$500",U1663&lt;=750,"501-R$750",U1663&lt;=1000,"751-R$1000",U1663&lt;=1250,"1001-R$1250",U1663&lt;=1500,"1251-R$1500")</f>
        <v>0-R$250</v>
      </c>
      <c r="W1663" s="17">
        <v>8</v>
      </c>
      <c r="X1663" s="13" t="str" cm="1">
        <f t="array" ref="X1663">_xlfn.IFS(W1663 = 0, "0", W1663&lt;=20, "até R$20",W1663&lt;=40, "21 - R$40",W1663&lt;=60, "41- R$60",W1663&lt;=80, "61 - R$80", W1663&lt;=100, "81 - R$100",W1663&lt;=120, "101 - R$120",W1663&lt;=140, "121 - R$140", W1663&lt;=160, "141- R$160", W1663&lt;=180, "161 - R$180", W1663&lt;=200, "181-R$194")</f>
        <v>até R$20</v>
      </c>
      <c r="Y1663" s="17">
        <v>16</v>
      </c>
      <c r="Z1663" s="17">
        <v>11</v>
      </c>
      <c r="AA1663" s="17">
        <v>5</v>
      </c>
      <c r="AB1663" s="17">
        <v>22</v>
      </c>
      <c r="AC1663" s="17">
        <v>4</v>
      </c>
      <c r="AD1663" s="17">
        <v>2</v>
      </c>
      <c r="AE1663" s="17">
        <v>0</v>
      </c>
      <c r="AF1663" s="17">
        <v>4</v>
      </c>
      <c r="AG1663" s="17">
        <v>6</v>
      </c>
      <c r="AH1663" s="17">
        <v>0</v>
      </c>
      <c r="AI1663" s="17">
        <v>0</v>
      </c>
      <c r="AJ1663" s="17">
        <v>0</v>
      </c>
      <c r="AK1663" s="17">
        <v>0</v>
      </c>
      <c r="AL1663" s="17">
        <v>0</v>
      </c>
      <c r="AM1663" s="17">
        <v>0</v>
      </c>
      <c r="AN1663" s="17">
        <v>0</v>
      </c>
      <c r="AO1663" s="18">
        <v>0</v>
      </c>
      <c r="AP1663" s="17">
        <v>3</v>
      </c>
      <c r="AQ1663" s="17">
        <v>11</v>
      </c>
      <c r="AR1663" s="19">
        <v>33</v>
      </c>
      <c r="AS1663" s="19">
        <v>55</v>
      </c>
    </row>
    <row r="1664" spans="1:45" x14ac:dyDescent="0.25">
      <c r="A1664">
        <v>172</v>
      </c>
      <c r="B1664" s="11">
        <f t="shared" si="25"/>
        <v>30477</v>
      </c>
      <c r="C1664" s="12">
        <v>304770</v>
      </c>
      <c r="D1664" s="13">
        <v>1</v>
      </c>
      <c r="E1664" s="13">
        <v>0</v>
      </c>
      <c r="F1664" s="13">
        <v>16</v>
      </c>
      <c r="G1664" s="13">
        <v>36</v>
      </c>
      <c r="H1664" s="13" t="str" cm="1">
        <f t="array" ref="H1664">_xlfn.IFS(G1664&lt;=20,"0-20",G1664&lt;=30,"20-30",G1664&lt;=40,"30-40",G1664&lt;=50,"50-60",G1664&lt;=60,"60-70",G1664&lt;=70,"70-80",G1664&lt;=80,"80-90")</f>
        <v>30-40</v>
      </c>
      <c r="I1664" s="13">
        <v>2317</v>
      </c>
      <c r="J1664" s="13" t="str" cm="1">
        <f t="array" ref="J1664">_xlfn.IFS(K1664=1,"Divorciado",L1664=1,"Casado",M1664=1,"Solteiro",N1664=1,"Juntos",O1664=1,"Viuvo")</f>
        <v>Casado</v>
      </c>
      <c r="K1664" s="13">
        <v>0</v>
      </c>
      <c r="L1664" s="13">
        <v>1</v>
      </c>
      <c r="M1664" s="13">
        <v>0</v>
      </c>
      <c r="N1664" s="13">
        <v>0</v>
      </c>
      <c r="O1664" s="13">
        <v>0</v>
      </c>
      <c r="P1664" s="13">
        <v>0</v>
      </c>
      <c r="Q1664" s="13">
        <v>0</v>
      </c>
      <c r="R1664" s="13">
        <v>0</v>
      </c>
      <c r="S1664" s="13">
        <v>1</v>
      </c>
      <c r="T1664" s="13">
        <v>0</v>
      </c>
      <c r="U1664" s="13">
        <v>47</v>
      </c>
      <c r="V1664" s="13" t="str" cm="1">
        <f t="array" ref="V1664">_xlfn.IFS(U1664&lt;=250,"0-R$250",U1664&lt;=500,"251-R$500",U1664&lt;=750,"501-R$750",U1664&lt;=1000,"751-R$1000",U1664&lt;=1250,"1001-R$1250",U1664&lt;=1500,"1251-R$1500")</f>
        <v>0-R$250</v>
      </c>
      <c r="W1664" s="13">
        <v>1</v>
      </c>
      <c r="X1664" s="13" t="str" cm="1">
        <f t="array" ref="X1664">_xlfn.IFS(W1664 = 0, "0", W1664&lt;=20, "até R$20",W1664&lt;=40, "21 - R$40",W1664&lt;=60, "41- R$60",W1664&lt;=80, "61 - R$80", W1664&lt;=100, "81 - R$100",W1664&lt;=120, "101 - R$120",W1664&lt;=140, "121 - R$140", W1664&lt;=160, "141- R$160", W1664&lt;=180, "161 - R$180", W1664&lt;=200, "181-R$194")</f>
        <v>até R$20</v>
      </c>
      <c r="Y1664" s="13">
        <v>6</v>
      </c>
      <c r="Z1664" s="13">
        <v>0</v>
      </c>
      <c r="AA1664" s="13">
        <v>0</v>
      </c>
      <c r="AB1664" s="13">
        <v>12</v>
      </c>
      <c r="AC1664" s="13">
        <v>1</v>
      </c>
      <c r="AD1664" s="13">
        <v>1</v>
      </c>
      <c r="AE1664" s="13">
        <v>1</v>
      </c>
      <c r="AF1664" s="13">
        <v>3</v>
      </c>
      <c r="AG1664" s="13">
        <v>6</v>
      </c>
      <c r="AH1664" s="13">
        <v>0</v>
      </c>
      <c r="AI1664" s="13">
        <v>0</v>
      </c>
      <c r="AJ1664" s="13">
        <v>0</v>
      </c>
      <c r="AK1664" s="13">
        <v>0</v>
      </c>
      <c r="AL1664" s="13">
        <v>0</v>
      </c>
      <c r="AM1664" s="13">
        <v>0</v>
      </c>
      <c r="AN1664" s="13">
        <v>0</v>
      </c>
      <c r="AO1664" s="14">
        <v>0</v>
      </c>
      <c r="AP1664" s="13">
        <v>3</v>
      </c>
      <c r="AQ1664" s="13">
        <v>11</v>
      </c>
      <c r="AR1664" s="15">
        <v>42</v>
      </c>
      <c r="AS1664" s="15">
        <v>54</v>
      </c>
    </row>
    <row r="1665" spans="1:45" x14ac:dyDescent="0.25">
      <c r="A1665">
        <v>258</v>
      </c>
      <c r="B1665" s="11">
        <f t="shared" si="25"/>
        <v>31788</v>
      </c>
      <c r="C1665" s="12">
        <v>317880</v>
      </c>
      <c r="D1665" s="13">
        <v>1</v>
      </c>
      <c r="E1665" s="13">
        <v>0</v>
      </c>
      <c r="F1665" s="13">
        <v>15</v>
      </c>
      <c r="G1665" s="13">
        <v>37</v>
      </c>
      <c r="H1665" s="13" t="str" cm="1">
        <f t="array" ref="H1665">_xlfn.IFS(G1665&lt;=20,"0-20",G1665&lt;=30,"20-30",G1665&lt;=40,"30-40",G1665&lt;=50,"50-60",G1665&lt;=60,"60-70",G1665&lt;=70,"70-80",G1665&lt;=80,"80-90")</f>
        <v>30-40</v>
      </c>
      <c r="I1665" s="13">
        <v>2260</v>
      </c>
      <c r="J1665" s="13" t="str" cm="1">
        <f t="array" ref="J1665">_xlfn.IFS(K1665=1,"Divorciado",L1665=1,"Casado",M1665=1,"Solteiro",N1665=1,"Juntos",O1665=1,"Viuvo")</f>
        <v>Solteiro</v>
      </c>
      <c r="K1665" s="13">
        <v>0</v>
      </c>
      <c r="L1665" s="13">
        <v>0</v>
      </c>
      <c r="M1665" s="13">
        <v>1</v>
      </c>
      <c r="N1665" s="13">
        <v>0</v>
      </c>
      <c r="O1665" s="13">
        <v>0</v>
      </c>
      <c r="P1665" s="13">
        <v>0</v>
      </c>
      <c r="Q1665" s="13">
        <v>0</v>
      </c>
      <c r="R1665" s="13">
        <v>0</v>
      </c>
      <c r="S1665" s="13">
        <v>1</v>
      </c>
      <c r="T1665" s="13">
        <v>0</v>
      </c>
      <c r="U1665" s="13">
        <v>16</v>
      </c>
      <c r="V1665" s="13" t="str" cm="1">
        <f t="array" ref="V1665">_xlfn.IFS(U1665&lt;=250,"0-R$250",U1665&lt;=500,"251-R$500",U1665&lt;=750,"501-R$750",U1665&lt;=1000,"751-R$1000",U1665&lt;=1250,"1001-R$1250",U1665&lt;=1500,"1251-R$1500")</f>
        <v>0-R$250</v>
      </c>
      <c r="W1665" s="13">
        <v>7</v>
      </c>
      <c r="X1665" s="13" t="str" cm="1">
        <f t="array" ref="X1665">_xlfn.IFS(W1665 = 0, "0", W1665&lt;=20, "até R$20",W1665&lt;=40, "21 - R$40",W1665&lt;=60, "41- R$60",W1665&lt;=80, "61 - R$80", W1665&lt;=100, "81 - R$100",W1665&lt;=120, "101 - R$120",W1665&lt;=140, "121 - R$140", W1665&lt;=160, "141- R$160", W1665&lt;=180, "161 - R$180", W1665&lt;=200, "181-R$194")</f>
        <v>até R$20</v>
      </c>
      <c r="Y1665" s="13">
        <v>23</v>
      </c>
      <c r="Z1665" s="13">
        <v>0</v>
      </c>
      <c r="AA1665" s="13">
        <v>8</v>
      </c>
      <c r="AB1665" s="13">
        <v>6</v>
      </c>
      <c r="AC1665" s="13">
        <v>3</v>
      </c>
      <c r="AD1665" s="13">
        <v>3</v>
      </c>
      <c r="AE1665" s="13">
        <v>0</v>
      </c>
      <c r="AF1665" s="13">
        <v>4</v>
      </c>
      <c r="AG1665" s="13">
        <v>5</v>
      </c>
      <c r="AH1665" s="13">
        <v>1</v>
      </c>
      <c r="AI1665" s="13">
        <v>0</v>
      </c>
      <c r="AJ1665" s="13">
        <v>0</v>
      </c>
      <c r="AK1665" s="13">
        <v>0</v>
      </c>
      <c r="AL1665" s="13">
        <v>0</v>
      </c>
      <c r="AM1665" s="13">
        <v>0</v>
      </c>
      <c r="AN1665" s="13">
        <v>0</v>
      </c>
      <c r="AO1665" s="14">
        <v>0</v>
      </c>
      <c r="AP1665" s="13">
        <v>3</v>
      </c>
      <c r="AQ1665" s="13">
        <v>11</v>
      </c>
      <c r="AR1665" s="15">
        <v>48</v>
      </c>
      <c r="AS1665" s="15">
        <v>54</v>
      </c>
    </row>
    <row r="1666" spans="1:45" x14ac:dyDescent="0.25">
      <c r="A1666">
        <v>465</v>
      </c>
      <c r="B1666" s="11">
        <f t="shared" ref="B1666:B1729" si="26">C1666/10</f>
        <v>37760</v>
      </c>
      <c r="C1666" s="16">
        <v>377600</v>
      </c>
      <c r="D1666" s="17">
        <v>1</v>
      </c>
      <c r="E1666" s="17">
        <v>0</v>
      </c>
      <c r="F1666" s="17">
        <v>54</v>
      </c>
      <c r="G1666" s="17">
        <v>48</v>
      </c>
      <c r="H1666" s="13" t="str" cm="1">
        <f t="array" ref="H1666">_xlfn.IFS(G1666&lt;=20,"0-20",G1666&lt;=30,"20-30",G1666&lt;=40,"30-40",G1666&lt;=50,"50-60",G1666&lt;=60,"60-70",G1666&lt;=70,"70-80",G1666&lt;=80,"80-90")</f>
        <v>50-60</v>
      </c>
      <c r="I1666" s="17">
        <v>2481</v>
      </c>
      <c r="J1666" s="13" t="str" cm="1">
        <f t="array" ref="J1666">_xlfn.IFS(K1666=1,"Divorciado",L1666=1,"Casado",M1666=1,"Solteiro",N1666=1,"Juntos",O1666=1,"Viuvo")</f>
        <v>Divorciado</v>
      </c>
      <c r="K1666" s="17">
        <v>1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1</v>
      </c>
      <c r="T1666" s="17">
        <v>0</v>
      </c>
      <c r="U1666" s="17">
        <v>26</v>
      </c>
      <c r="V1666" s="13" t="str" cm="1">
        <f t="array" ref="V1666">_xlfn.IFS(U1666&lt;=250,"0-R$250",U1666&lt;=500,"251-R$500",U1666&lt;=750,"501-R$750",U1666&lt;=1000,"751-R$1000",U1666&lt;=1250,"1001-R$1250",U1666&lt;=1500,"1251-R$1500")</f>
        <v>0-R$250</v>
      </c>
      <c r="W1666" s="17">
        <v>3</v>
      </c>
      <c r="X1666" s="13" t="str" cm="1">
        <f t="array" ref="X1666">_xlfn.IFS(W1666 = 0, "0", W1666&lt;=20, "até R$20",W1666&lt;=40, "21 - R$40",W1666&lt;=60, "41- R$60",W1666&lt;=80, "61 - R$80", W1666&lt;=100, "81 - R$100",W1666&lt;=120, "101 - R$120",W1666&lt;=140, "121 - R$140", W1666&lt;=160, "141- R$160", W1666&lt;=180, "161 - R$180", W1666&lt;=200, "181-R$194")</f>
        <v>até R$20</v>
      </c>
      <c r="Y1666" s="17">
        <v>13</v>
      </c>
      <c r="Z1666" s="17">
        <v>2</v>
      </c>
      <c r="AA1666" s="17">
        <v>10</v>
      </c>
      <c r="AB1666" s="17">
        <v>0</v>
      </c>
      <c r="AC1666" s="17">
        <v>1</v>
      </c>
      <c r="AD1666" s="17">
        <v>2</v>
      </c>
      <c r="AE1666" s="17">
        <v>0</v>
      </c>
      <c r="AF1666" s="17">
        <v>3</v>
      </c>
      <c r="AG1666" s="17">
        <v>6</v>
      </c>
      <c r="AH1666" s="17">
        <v>0</v>
      </c>
      <c r="AI1666" s="17">
        <v>0</v>
      </c>
      <c r="AJ1666" s="17">
        <v>0</v>
      </c>
      <c r="AK1666" s="17">
        <v>0</v>
      </c>
      <c r="AL1666" s="17">
        <v>0</v>
      </c>
      <c r="AM1666" s="17">
        <v>0</v>
      </c>
      <c r="AN1666" s="17">
        <v>0</v>
      </c>
      <c r="AO1666" s="18">
        <v>0</v>
      </c>
      <c r="AP1666" s="17">
        <v>3</v>
      </c>
      <c r="AQ1666" s="17">
        <v>11</v>
      </c>
      <c r="AR1666" s="19">
        <v>54</v>
      </c>
      <c r="AS1666" s="19">
        <v>54</v>
      </c>
    </row>
    <row r="1667" spans="1:45" x14ac:dyDescent="0.25">
      <c r="A1667">
        <v>569</v>
      </c>
      <c r="B1667" s="11">
        <f t="shared" si="26"/>
        <v>26850</v>
      </c>
      <c r="C1667" s="16">
        <v>268500</v>
      </c>
      <c r="D1667" s="17">
        <v>1</v>
      </c>
      <c r="E1667" s="17">
        <v>1</v>
      </c>
      <c r="F1667" s="17">
        <v>10</v>
      </c>
      <c r="G1667" s="17">
        <v>49</v>
      </c>
      <c r="H1667" s="13" t="str" cm="1">
        <f t="array" ref="H1667">_xlfn.IFS(G1667&lt;=20,"0-20",G1667&lt;=30,"20-30",G1667&lt;=40,"30-40",G1667&lt;=50,"50-60",G1667&lt;=60,"60-70",G1667&lt;=70,"70-80",G1667&lt;=80,"80-90")</f>
        <v>50-60</v>
      </c>
      <c r="I1667" s="17">
        <v>2231</v>
      </c>
      <c r="J1667" s="13" t="str" cm="1">
        <f t="array" ref="J1667">_xlfn.IFS(K1667=1,"Divorciado",L1667=1,"Casado",M1667=1,"Solteiro",N1667=1,"Juntos",O1667=1,"Viuvo")</f>
        <v>Juntos</v>
      </c>
      <c r="K1667" s="17">
        <v>0</v>
      </c>
      <c r="L1667" s="17">
        <v>0</v>
      </c>
      <c r="M1667" s="17">
        <v>0</v>
      </c>
      <c r="N1667" s="17">
        <v>1</v>
      </c>
      <c r="O1667" s="17">
        <v>0</v>
      </c>
      <c r="P1667" s="17">
        <v>1</v>
      </c>
      <c r="Q1667" s="17">
        <v>0</v>
      </c>
      <c r="R1667" s="17">
        <v>0</v>
      </c>
      <c r="S1667" s="17">
        <v>0</v>
      </c>
      <c r="T1667" s="17">
        <v>0</v>
      </c>
      <c r="U1667" s="17">
        <v>31</v>
      </c>
      <c r="V1667" s="13" t="str" cm="1">
        <f t="array" ref="V1667">_xlfn.IFS(U1667&lt;=250,"0-R$250",U1667&lt;=500,"251-R$500",U1667&lt;=750,"501-R$750",U1667&lt;=1000,"751-R$1000",U1667&lt;=1250,"1001-R$1250",U1667&lt;=1500,"1251-R$1500")</f>
        <v>0-R$250</v>
      </c>
      <c r="W1667" s="17">
        <v>1</v>
      </c>
      <c r="X1667" s="13" t="str" cm="1">
        <f t="array" ref="X1667">_xlfn.IFS(W1667 = 0, "0", W1667&lt;=20, "até R$20",W1667&lt;=40, "21 - R$40",W1667&lt;=60, "41- R$60",W1667&lt;=80, "61 - R$80", W1667&lt;=100, "81 - R$100",W1667&lt;=120, "101 - R$120",W1667&lt;=140, "121 - R$140", W1667&lt;=160, "141- R$160", W1667&lt;=180, "161 - R$180", W1667&lt;=200, "181-R$194")</f>
        <v>até R$20</v>
      </c>
      <c r="Y1667" s="17">
        <v>13</v>
      </c>
      <c r="Z1667" s="17">
        <v>7</v>
      </c>
      <c r="AA1667" s="17">
        <v>2</v>
      </c>
      <c r="AB1667" s="17">
        <v>9</v>
      </c>
      <c r="AC1667" s="17">
        <v>4</v>
      </c>
      <c r="AD1667" s="17">
        <v>2</v>
      </c>
      <c r="AE1667" s="17">
        <v>1</v>
      </c>
      <c r="AF1667" s="17">
        <v>4</v>
      </c>
      <c r="AG1667" s="17">
        <v>4</v>
      </c>
      <c r="AH1667" s="17">
        <v>0</v>
      </c>
      <c r="AI1667" s="17">
        <v>0</v>
      </c>
      <c r="AJ1667" s="17">
        <v>0</v>
      </c>
      <c r="AK1667" s="17">
        <v>0</v>
      </c>
      <c r="AL1667" s="17">
        <v>0</v>
      </c>
      <c r="AM1667" s="17">
        <v>0</v>
      </c>
      <c r="AN1667" s="17">
        <v>0</v>
      </c>
      <c r="AO1667" s="18">
        <v>0</v>
      </c>
      <c r="AP1667" s="17">
        <v>3</v>
      </c>
      <c r="AQ1667" s="17">
        <v>11</v>
      </c>
      <c r="AR1667" s="19">
        <v>45</v>
      </c>
      <c r="AS1667" s="19">
        <v>54</v>
      </c>
    </row>
    <row r="1668" spans="1:45" x14ac:dyDescent="0.25">
      <c r="A1668">
        <v>580</v>
      </c>
      <c r="B1668" s="11">
        <f t="shared" si="26"/>
        <v>23910</v>
      </c>
      <c r="C1668" s="12">
        <v>239100</v>
      </c>
      <c r="D1668" s="13">
        <v>1</v>
      </c>
      <c r="E1668" s="13">
        <v>0</v>
      </c>
      <c r="F1668" s="13">
        <v>80</v>
      </c>
      <c r="G1668" s="13">
        <v>51</v>
      </c>
      <c r="H1668" s="13" t="str" cm="1">
        <f t="array" ref="H1668">_xlfn.IFS(G1668&lt;=20,"0-20",G1668&lt;=30,"20-30",G1668&lt;=40,"30-40",G1668&lt;=50,"50-60",G1668&lt;=60,"60-70",G1668&lt;=70,"70-80",G1668&lt;=80,"80-90")</f>
        <v>60-70</v>
      </c>
      <c r="I1668" s="13">
        <v>2770</v>
      </c>
      <c r="J1668" s="13" t="str" cm="1">
        <f t="array" ref="J1668">_xlfn.IFS(K1668=1,"Divorciado",L1668=1,"Casado",M1668=1,"Solteiro",N1668=1,"Juntos",O1668=1,"Viuvo")</f>
        <v>Divorciado</v>
      </c>
      <c r="K1668" s="13">
        <v>1</v>
      </c>
      <c r="L1668" s="13">
        <v>0</v>
      </c>
      <c r="M1668" s="13">
        <v>0</v>
      </c>
      <c r="N1668" s="13">
        <v>0</v>
      </c>
      <c r="O1668" s="13">
        <v>0</v>
      </c>
      <c r="P1668" s="13">
        <v>0</v>
      </c>
      <c r="Q1668" s="13">
        <v>0</v>
      </c>
      <c r="R1668" s="13">
        <v>1</v>
      </c>
      <c r="S1668" s="13">
        <v>0</v>
      </c>
      <c r="T1668" s="13">
        <v>0</v>
      </c>
      <c r="U1668" s="13">
        <v>16</v>
      </c>
      <c r="V1668" s="13" t="str" cm="1">
        <f t="array" ref="V1668">_xlfn.IFS(U1668&lt;=250,"0-R$250",U1668&lt;=500,"251-R$500",U1668&lt;=750,"501-R$750",U1668&lt;=1000,"751-R$1000",U1668&lt;=1250,"1001-R$1250",U1668&lt;=1500,"1251-R$1500")</f>
        <v>0-R$250</v>
      </c>
      <c r="W1668" s="13">
        <v>12</v>
      </c>
      <c r="X1668" s="13" t="str" cm="1">
        <f t="array" ref="X1668">_xlfn.IFS(W1668 = 0, "0", W1668&lt;=20, "até R$20",W1668&lt;=40, "21 - R$40",W1668&lt;=60, "41- R$60",W1668&lt;=80, "61 - R$80", W1668&lt;=100, "81 - R$100",W1668&lt;=120, "101 - R$120",W1668&lt;=140, "121 - R$140", W1668&lt;=160, "141- R$160", W1668&lt;=180, "161 - R$180", W1668&lt;=200, "181-R$194")</f>
        <v>até R$20</v>
      </c>
      <c r="Y1668" s="13">
        <v>18</v>
      </c>
      <c r="Z1668" s="13">
        <v>7</v>
      </c>
      <c r="AA1668" s="13">
        <v>1</v>
      </c>
      <c r="AB1668" s="13">
        <v>13</v>
      </c>
      <c r="AC1668" s="13">
        <v>1</v>
      </c>
      <c r="AD1668" s="13">
        <v>2</v>
      </c>
      <c r="AE1668" s="13">
        <v>0</v>
      </c>
      <c r="AF1668" s="13">
        <v>3</v>
      </c>
      <c r="AG1668" s="13">
        <v>7</v>
      </c>
      <c r="AH1668" s="13">
        <v>0</v>
      </c>
      <c r="AI1668" s="13">
        <v>0</v>
      </c>
      <c r="AJ1668" s="13">
        <v>0</v>
      </c>
      <c r="AK1668" s="13">
        <v>0</v>
      </c>
      <c r="AL1668" s="13">
        <v>0</v>
      </c>
      <c r="AM1668" s="13">
        <v>0</v>
      </c>
      <c r="AN1668" s="13">
        <v>0</v>
      </c>
      <c r="AO1668" s="14">
        <v>0</v>
      </c>
      <c r="AP1668" s="13">
        <v>3</v>
      </c>
      <c r="AQ1668" s="13">
        <v>11</v>
      </c>
      <c r="AR1668" s="15">
        <v>41</v>
      </c>
      <c r="AS1668" s="15">
        <v>54</v>
      </c>
    </row>
    <row r="1669" spans="1:45" x14ac:dyDescent="0.25">
      <c r="A1669">
        <v>1008</v>
      </c>
      <c r="B1669" s="11">
        <f t="shared" si="26"/>
        <v>15038</v>
      </c>
      <c r="C1669" s="12">
        <v>150380</v>
      </c>
      <c r="D1669" s="13">
        <v>1</v>
      </c>
      <c r="E1669" s="13">
        <v>0</v>
      </c>
      <c r="F1669" s="13">
        <v>93</v>
      </c>
      <c r="G1669" s="13">
        <v>33</v>
      </c>
      <c r="H1669" s="13" t="str" cm="1">
        <f t="array" ref="H1669">_xlfn.IFS(G1669&lt;=20,"0-20",G1669&lt;=30,"20-30",G1669&lt;=40,"30-40",G1669&lt;=50,"50-60",G1669&lt;=60,"60-70",G1669&lt;=70,"70-80",G1669&lt;=80,"80-90")</f>
        <v>30-40</v>
      </c>
      <c r="I1669" s="13">
        <v>2675</v>
      </c>
      <c r="J1669" s="13" t="str" cm="1">
        <f t="array" ref="J1669">_xlfn.IFS(K1669=1,"Divorciado",L1669=1,"Casado",M1669=1,"Solteiro",N1669=1,"Juntos",O1669=1,"Viuvo")</f>
        <v>Solteiro</v>
      </c>
      <c r="K1669" s="13">
        <v>0</v>
      </c>
      <c r="L1669" s="13">
        <v>0</v>
      </c>
      <c r="M1669" s="13">
        <v>1</v>
      </c>
      <c r="N1669" s="13">
        <v>0</v>
      </c>
      <c r="O1669" s="13">
        <v>0</v>
      </c>
      <c r="P1669" s="13">
        <v>0</v>
      </c>
      <c r="Q1669" s="13">
        <v>1</v>
      </c>
      <c r="R1669" s="13">
        <v>0</v>
      </c>
      <c r="S1669" s="13">
        <v>0</v>
      </c>
      <c r="T1669" s="13">
        <v>0</v>
      </c>
      <c r="U1669" s="13">
        <v>4</v>
      </c>
      <c r="V1669" s="13" t="str" cm="1">
        <f t="array" ref="V1669">_xlfn.IFS(U1669&lt;=250,"0-R$250",U1669&lt;=500,"251-R$500",U1669&lt;=750,"501-R$750",U1669&lt;=1000,"751-R$1000",U1669&lt;=1250,"1001-R$1250",U1669&lt;=1500,"1251-R$1500")</f>
        <v>0-R$250</v>
      </c>
      <c r="W1669" s="13">
        <v>8</v>
      </c>
      <c r="X1669" s="13" t="str" cm="1">
        <f t="array" ref="X1669">_xlfn.IFS(W1669 = 0, "0", W1669&lt;=20, "até R$20",W1669&lt;=40, "21 - R$40",W1669&lt;=60, "41- R$60",W1669&lt;=80, "61 - R$80", W1669&lt;=100, "81 - R$100",W1669&lt;=120, "101 - R$120",W1669&lt;=140, "121 - R$140", W1669&lt;=160, "141- R$160", W1669&lt;=180, "161 - R$180", W1669&lt;=200, "181-R$194")</f>
        <v>até R$20</v>
      </c>
      <c r="Y1669" s="13">
        <v>11</v>
      </c>
      <c r="Z1669" s="13">
        <v>19</v>
      </c>
      <c r="AA1669" s="13">
        <v>12</v>
      </c>
      <c r="AB1669" s="13">
        <v>26</v>
      </c>
      <c r="AC1669" s="13">
        <v>2</v>
      </c>
      <c r="AD1669" s="13">
        <v>2</v>
      </c>
      <c r="AE1669" s="13">
        <v>1</v>
      </c>
      <c r="AF1669" s="13">
        <v>2</v>
      </c>
      <c r="AG1669" s="13">
        <v>9</v>
      </c>
      <c r="AH1669" s="13">
        <v>0</v>
      </c>
      <c r="AI1669" s="13">
        <v>0</v>
      </c>
      <c r="AJ1669" s="13">
        <v>0</v>
      </c>
      <c r="AK1669" s="13">
        <v>0</v>
      </c>
      <c r="AL1669" s="13">
        <v>0</v>
      </c>
      <c r="AM1669" s="13">
        <v>0</v>
      </c>
      <c r="AN1669" s="13">
        <v>0</v>
      </c>
      <c r="AO1669" s="14">
        <v>0</v>
      </c>
      <c r="AP1669" s="13">
        <v>3</v>
      </c>
      <c r="AQ1669" s="13">
        <v>11</v>
      </c>
      <c r="AR1669" s="15">
        <v>28</v>
      </c>
      <c r="AS1669" s="15">
        <v>54</v>
      </c>
    </row>
    <row r="1670" spans="1:45" x14ac:dyDescent="0.25">
      <c r="A1670">
        <v>1295</v>
      </c>
      <c r="B1670" s="11">
        <f t="shared" si="26"/>
        <v>27238</v>
      </c>
      <c r="C1670" s="16">
        <v>272380</v>
      </c>
      <c r="D1670" s="17">
        <v>1</v>
      </c>
      <c r="E1670" s="17">
        <v>1</v>
      </c>
      <c r="F1670" s="17">
        <v>39</v>
      </c>
      <c r="G1670" s="17">
        <v>58</v>
      </c>
      <c r="H1670" s="13" t="str" cm="1">
        <f t="array" ref="H1670">_xlfn.IFS(G1670&lt;=20,"0-20",G1670&lt;=30,"20-30",G1670&lt;=40,"30-40",G1670&lt;=50,"50-60",G1670&lt;=60,"60-70",G1670&lt;=70,"70-80",G1670&lt;=80,"80-90")</f>
        <v>60-70</v>
      </c>
      <c r="I1670" s="17">
        <v>2594</v>
      </c>
      <c r="J1670" s="13" t="str" cm="1">
        <f t="array" ref="J1670">_xlfn.IFS(K1670=1,"Divorciado",L1670=1,"Casado",M1670=1,"Solteiro",N1670=1,"Juntos",O1670=1,"Viuvo")</f>
        <v>Solteiro</v>
      </c>
      <c r="K1670" s="17">
        <v>0</v>
      </c>
      <c r="L1670" s="17">
        <v>0</v>
      </c>
      <c r="M1670" s="17">
        <v>1</v>
      </c>
      <c r="N1670" s="17">
        <v>0</v>
      </c>
      <c r="O1670" s="17">
        <v>0</v>
      </c>
      <c r="P1670" s="17">
        <v>0</v>
      </c>
      <c r="Q1670" s="17">
        <v>0</v>
      </c>
      <c r="R1670" s="17">
        <v>0</v>
      </c>
      <c r="S1670" s="17">
        <v>0</v>
      </c>
      <c r="T1670" s="17">
        <v>1</v>
      </c>
      <c r="U1670" s="17">
        <v>37</v>
      </c>
      <c r="V1670" s="13" t="str" cm="1">
        <f t="array" ref="V1670">_xlfn.IFS(U1670&lt;=250,"0-R$250",U1670&lt;=500,"251-R$500",U1670&lt;=750,"501-R$750",U1670&lt;=1000,"751-R$1000",U1670&lt;=1250,"1001-R$1250",U1670&lt;=1500,"1251-R$1500")</f>
        <v>0-R$250</v>
      </c>
      <c r="W1670" s="17">
        <v>0</v>
      </c>
      <c r="X1670" s="13" t="str" cm="1">
        <f t="array" ref="X1670">_xlfn.IFS(W1670 = 0, "0", W1670&lt;=20, "até R$20",W1670&lt;=40, "21 - R$40",W1670&lt;=60, "41- R$60",W1670&lt;=80, "61 - R$80", W1670&lt;=100, "81 - R$100",W1670&lt;=120, "101 - R$120",W1670&lt;=140, "121 - R$140", W1670&lt;=160, "141- R$160", W1670&lt;=180, "161 - R$180", W1670&lt;=200, "181-R$194")</f>
        <v>0</v>
      </c>
      <c r="Y1670" s="17">
        <v>17</v>
      </c>
      <c r="Z1670" s="17">
        <v>0</v>
      </c>
      <c r="AA1670" s="17">
        <v>0</v>
      </c>
      <c r="AB1670" s="17">
        <v>3</v>
      </c>
      <c r="AC1670" s="17">
        <v>3</v>
      </c>
      <c r="AD1670" s="17">
        <v>3</v>
      </c>
      <c r="AE1670" s="17">
        <v>0</v>
      </c>
      <c r="AF1670" s="17">
        <v>3</v>
      </c>
      <c r="AG1670" s="17">
        <v>9</v>
      </c>
      <c r="AH1670" s="17">
        <v>0</v>
      </c>
      <c r="AI1670" s="17">
        <v>0</v>
      </c>
      <c r="AJ1670" s="17">
        <v>0</v>
      </c>
      <c r="AK1670" s="17">
        <v>0</v>
      </c>
      <c r="AL1670" s="17">
        <v>0</v>
      </c>
      <c r="AM1670" s="17">
        <v>0</v>
      </c>
      <c r="AN1670" s="17">
        <v>0</v>
      </c>
      <c r="AO1670" s="18">
        <v>0</v>
      </c>
      <c r="AP1670" s="17">
        <v>3</v>
      </c>
      <c r="AQ1670" s="17">
        <v>11</v>
      </c>
      <c r="AR1670" s="19">
        <v>51</v>
      </c>
      <c r="AS1670" s="19">
        <v>54</v>
      </c>
    </row>
    <row r="1671" spans="1:45" x14ac:dyDescent="0.25">
      <c r="A1671">
        <v>1429</v>
      </c>
      <c r="B1671" s="11">
        <f t="shared" si="26"/>
        <v>40304</v>
      </c>
      <c r="C1671" s="16">
        <v>403040</v>
      </c>
      <c r="D1671" s="17">
        <v>1</v>
      </c>
      <c r="E1671" s="17">
        <v>0</v>
      </c>
      <c r="F1671" s="17">
        <v>82</v>
      </c>
      <c r="G1671" s="17">
        <v>53</v>
      </c>
      <c r="H1671" s="13" t="str" cm="1">
        <f t="array" ref="H1671">_xlfn.IFS(G1671&lt;=20,"0-20",G1671&lt;=30,"20-30",G1671&lt;=40,"30-40",G1671&lt;=50,"50-60",G1671&lt;=60,"60-70",G1671&lt;=70,"70-80",G1671&lt;=80,"80-90")</f>
        <v>60-70</v>
      </c>
      <c r="I1671" s="17">
        <v>2431</v>
      </c>
      <c r="J1671" s="13" t="str" cm="1">
        <f t="array" ref="J1671">_xlfn.IFS(K1671=1,"Divorciado",L1671=1,"Casado",M1671=1,"Solteiro",N1671=1,"Juntos",O1671=1,"Viuvo")</f>
        <v>Solteiro</v>
      </c>
      <c r="K1671" s="17">
        <v>0</v>
      </c>
      <c r="L1671" s="17">
        <v>0</v>
      </c>
      <c r="M1671" s="17">
        <v>1</v>
      </c>
      <c r="N1671" s="17">
        <v>0</v>
      </c>
      <c r="O1671" s="17">
        <v>0</v>
      </c>
      <c r="P1671" s="17">
        <v>0</v>
      </c>
      <c r="Q1671" s="17">
        <v>0</v>
      </c>
      <c r="R1671" s="17">
        <v>0</v>
      </c>
      <c r="S1671" s="17">
        <v>0</v>
      </c>
      <c r="T1671" s="17">
        <v>1</v>
      </c>
      <c r="U1671" s="17">
        <v>37</v>
      </c>
      <c r="V1671" s="13" t="str" cm="1">
        <f t="array" ref="V1671">_xlfn.IFS(U1671&lt;=250,"0-R$250",U1671&lt;=500,"251-R$500",U1671&lt;=750,"501-R$750",U1671&lt;=1000,"751-R$1000",U1671&lt;=1250,"1001-R$1250",U1671&lt;=1500,"1251-R$1500")</f>
        <v>0-R$250</v>
      </c>
      <c r="W1671" s="17">
        <v>0</v>
      </c>
      <c r="X1671" s="13" t="str" cm="1">
        <f t="array" ref="X1671">_xlfn.IFS(W1671 = 0, "0", W1671&lt;=20, "até R$20",W1671&lt;=40, "21 - R$40",W1671&lt;=60, "41- R$60",W1671&lt;=80, "61 - R$80", W1671&lt;=100, "81 - R$100",W1671&lt;=120, "101 - R$120",W1671&lt;=140, "121 - R$140", W1671&lt;=160, "141- R$160", W1671&lt;=180, "161 - R$180", W1671&lt;=200, "181-R$194")</f>
        <v>0</v>
      </c>
      <c r="Y1671" s="17">
        <v>17</v>
      </c>
      <c r="Z1671" s="17">
        <v>0</v>
      </c>
      <c r="AA1671" s="17">
        <v>0</v>
      </c>
      <c r="AB1671" s="17">
        <v>3</v>
      </c>
      <c r="AC1671" s="17">
        <v>1</v>
      </c>
      <c r="AD1671" s="17">
        <v>2</v>
      </c>
      <c r="AE1671" s="17">
        <v>0</v>
      </c>
      <c r="AF1671" s="17">
        <v>3</v>
      </c>
      <c r="AG1671" s="17">
        <v>7</v>
      </c>
      <c r="AH1671" s="17">
        <v>0</v>
      </c>
      <c r="AI1671" s="17">
        <v>0</v>
      </c>
      <c r="AJ1671" s="17">
        <v>0</v>
      </c>
      <c r="AK1671" s="17">
        <v>0</v>
      </c>
      <c r="AL1671" s="17">
        <v>0</v>
      </c>
      <c r="AM1671" s="17">
        <v>0</v>
      </c>
      <c r="AN1671" s="17">
        <v>0</v>
      </c>
      <c r="AO1671" s="18">
        <v>0</v>
      </c>
      <c r="AP1671" s="17">
        <v>3</v>
      </c>
      <c r="AQ1671" s="17">
        <v>11</v>
      </c>
      <c r="AR1671" s="19">
        <v>51</v>
      </c>
      <c r="AS1671" s="19">
        <v>54</v>
      </c>
    </row>
    <row r="1672" spans="1:45" x14ac:dyDescent="0.25">
      <c r="A1672">
        <v>1472</v>
      </c>
      <c r="B1672" s="11">
        <f t="shared" si="26"/>
        <v>32952</v>
      </c>
      <c r="C1672" s="12">
        <v>329520</v>
      </c>
      <c r="D1672" s="13">
        <v>1</v>
      </c>
      <c r="E1672" s="13">
        <v>0</v>
      </c>
      <c r="F1672" s="13">
        <v>36</v>
      </c>
      <c r="G1672" s="13">
        <v>43</v>
      </c>
      <c r="H1672" s="13" t="str" cm="1">
        <f t="array" ref="H1672">_xlfn.IFS(G1672&lt;=20,"0-20",G1672&lt;=30,"20-30",G1672&lt;=40,"30-40",G1672&lt;=50,"50-60",G1672&lt;=60,"60-70",G1672&lt;=70,"70-80",G1672&lt;=80,"80-90")</f>
        <v>50-60</v>
      </c>
      <c r="I1672" s="13">
        <v>2369</v>
      </c>
      <c r="J1672" s="13" t="str" cm="1">
        <f t="array" ref="J1672">_xlfn.IFS(K1672=1,"Divorciado",L1672=1,"Casado",M1672=1,"Solteiro",N1672=1,"Juntos",O1672=1,"Viuvo")</f>
        <v>Divorciado</v>
      </c>
      <c r="K1672" s="13">
        <v>1</v>
      </c>
      <c r="L1672" s="13">
        <v>0</v>
      </c>
      <c r="M1672" s="13">
        <v>0</v>
      </c>
      <c r="N1672" s="13">
        <v>0</v>
      </c>
      <c r="O1672" s="13">
        <v>0</v>
      </c>
      <c r="P1672" s="13">
        <v>0</v>
      </c>
      <c r="Q1672" s="13">
        <v>0</v>
      </c>
      <c r="R1672" s="13">
        <v>1</v>
      </c>
      <c r="S1672" s="13">
        <v>0</v>
      </c>
      <c r="T1672" s="13">
        <v>0</v>
      </c>
      <c r="U1672" s="13">
        <v>38</v>
      </c>
      <c r="V1672" s="13" t="str" cm="1">
        <f t="array" ref="V1672">_xlfn.IFS(U1672&lt;=250,"0-R$250",U1672&lt;=500,"251-R$500",U1672&lt;=750,"501-R$750",U1672&lt;=1000,"751-R$1000",U1672&lt;=1250,"1001-R$1250",U1672&lt;=1500,"1251-R$1500")</f>
        <v>0-R$250</v>
      </c>
      <c r="W1672" s="13">
        <v>0</v>
      </c>
      <c r="X1672" s="13" t="str" cm="1">
        <f t="array" ref="X1672">_xlfn.IFS(W1672 = 0, "0", W1672&lt;=20, "até R$20",W1672&lt;=40, "21 - R$40",W1672&lt;=60, "41- R$60",W1672&lt;=80, "61 - R$80", W1672&lt;=100, "81 - R$100",W1672&lt;=120, "101 - R$120",W1672&lt;=140, "121 - R$140", W1672&lt;=160, "141- R$160", W1672&lt;=180, "161 - R$180", W1672&lt;=200, "181-R$194")</f>
        <v>0</v>
      </c>
      <c r="Y1672" s="13">
        <v>12</v>
      </c>
      <c r="Z1672" s="13">
        <v>3</v>
      </c>
      <c r="AA1672" s="13">
        <v>1</v>
      </c>
      <c r="AB1672" s="13">
        <v>1</v>
      </c>
      <c r="AC1672" s="13">
        <v>1</v>
      </c>
      <c r="AD1672" s="13">
        <v>2</v>
      </c>
      <c r="AE1672" s="13">
        <v>0</v>
      </c>
      <c r="AF1672" s="13">
        <v>3</v>
      </c>
      <c r="AG1672" s="13">
        <v>7</v>
      </c>
      <c r="AH1672" s="13">
        <v>0</v>
      </c>
      <c r="AI1672" s="13">
        <v>0</v>
      </c>
      <c r="AJ1672" s="13">
        <v>0</v>
      </c>
      <c r="AK1672" s="13">
        <v>0</v>
      </c>
      <c r="AL1672" s="13">
        <v>0</v>
      </c>
      <c r="AM1672" s="13">
        <v>0</v>
      </c>
      <c r="AN1672" s="13">
        <v>0</v>
      </c>
      <c r="AO1672" s="14">
        <v>0</v>
      </c>
      <c r="AP1672" s="13">
        <v>3</v>
      </c>
      <c r="AQ1672" s="13">
        <v>11</v>
      </c>
      <c r="AR1672" s="15">
        <v>53</v>
      </c>
      <c r="AS1672" s="15">
        <v>54</v>
      </c>
    </row>
    <row r="1673" spans="1:45" x14ac:dyDescent="0.25">
      <c r="A1673">
        <v>80</v>
      </c>
      <c r="B1673" s="11">
        <f t="shared" si="26"/>
        <v>29440</v>
      </c>
      <c r="C1673" s="12">
        <v>294400</v>
      </c>
      <c r="D1673" s="13">
        <v>1</v>
      </c>
      <c r="E1673" s="13">
        <v>1</v>
      </c>
      <c r="F1673" s="13">
        <v>95</v>
      </c>
      <c r="G1673" s="13">
        <v>60</v>
      </c>
      <c r="H1673" s="13" t="str" cm="1">
        <f t="array" ref="H1673">_xlfn.IFS(G1673&lt;=20,"0-20",G1673&lt;=30,"20-30",G1673&lt;=40,"30-40",G1673&lt;=50,"50-60",G1673&lt;=60,"60-70",G1673&lt;=70,"70-80",G1673&lt;=80,"80-90")</f>
        <v>60-70</v>
      </c>
      <c r="I1673" s="13">
        <v>2481</v>
      </c>
      <c r="J1673" s="13" t="str" cm="1">
        <f t="array" ref="J1673">_xlfn.IFS(K1673=1,"Divorciado",L1673=1,"Casado",M1673=1,"Solteiro",N1673=1,"Juntos",O1673=1,"Viuvo")</f>
        <v>Casado</v>
      </c>
      <c r="K1673" s="13">
        <v>0</v>
      </c>
      <c r="L1673" s="13">
        <v>1</v>
      </c>
      <c r="M1673" s="13">
        <v>0</v>
      </c>
      <c r="N1673" s="13">
        <v>0</v>
      </c>
      <c r="O1673" s="13">
        <v>0</v>
      </c>
      <c r="P1673" s="13">
        <v>0</v>
      </c>
      <c r="Q1673" s="13">
        <v>0</v>
      </c>
      <c r="R1673" s="13">
        <v>1</v>
      </c>
      <c r="S1673" s="13">
        <v>0</v>
      </c>
      <c r="T1673" s="13">
        <v>0</v>
      </c>
      <c r="U1673" s="13">
        <v>17</v>
      </c>
      <c r="V1673" s="13" t="str" cm="1">
        <f t="array" ref="V1673">_xlfn.IFS(U1673&lt;=250,"0-R$250",U1673&lt;=500,"251-R$500",U1673&lt;=750,"501-R$750",U1673&lt;=1000,"751-R$1000",U1673&lt;=1250,"1001-R$1250",U1673&lt;=1500,"1251-R$1500")</f>
        <v>0-R$250</v>
      </c>
      <c r="W1673" s="13">
        <v>8</v>
      </c>
      <c r="X1673" s="13" t="str" cm="1">
        <f t="array" ref="X1673">_xlfn.IFS(W1673 = 0, "0", W1673&lt;=20, "até R$20",W1673&lt;=40, "21 - R$40",W1673&lt;=60, "41- R$60",W1673&lt;=80, "61 - R$80", W1673&lt;=100, "81 - R$100",W1673&lt;=120, "101 - R$120",W1673&lt;=140, "121 - R$140", W1673&lt;=160, "141- R$160", W1673&lt;=180, "161 - R$180", W1673&lt;=200, "181-R$194")</f>
        <v>até R$20</v>
      </c>
      <c r="Y1673" s="13">
        <v>14</v>
      </c>
      <c r="Z1673" s="13">
        <v>10</v>
      </c>
      <c r="AA1673" s="13">
        <v>4</v>
      </c>
      <c r="AB1673" s="13">
        <v>3</v>
      </c>
      <c r="AC1673" s="13">
        <v>2</v>
      </c>
      <c r="AD1673" s="13">
        <v>1</v>
      </c>
      <c r="AE1673" s="13">
        <v>0</v>
      </c>
      <c r="AF1673" s="13">
        <v>4</v>
      </c>
      <c r="AG1673" s="13">
        <v>7</v>
      </c>
      <c r="AH1673" s="13">
        <v>0</v>
      </c>
      <c r="AI1673" s="13">
        <v>0</v>
      </c>
      <c r="AJ1673" s="13">
        <v>0</v>
      </c>
      <c r="AK1673" s="13">
        <v>0</v>
      </c>
      <c r="AL1673" s="13">
        <v>0</v>
      </c>
      <c r="AM1673" s="13">
        <v>0</v>
      </c>
      <c r="AN1673" s="13">
        <v>0</v>
      </c>
      <c r="AO1673" s="14">
        <v>0</v>
      </c>
      <c r="AP1673" s="13">
        <v>3</v>
      </c>
      <c r="AQ1673" s="13">
        <v>11</v>
      </c>
      <c r="AR1673" s="15">
        <v>50</v>
      </c>
      <c r="AS1673" s="15">
        <v>53</v>
      </c>
    </row>
    <row r="1674" spans="1:45" x14ac:dyDescent="0.25">
      <c r="A1674">
        <v>568</v>
      </c>
      <c r="B1674" s="11">
        <f t="shared" si="26"/>
        <v>39453</v>
      </c>
      <c r="C1674" s="12">
        <v>394530</v>
      </c>
      <c r="D1674" s="13">
        <v>1</v>
      </c>
      <c r="E1674" s="13">
        <v>0</v>
      </c>
      <c r="F1674" s="13">
        <v>64</v>
      </c>
      <c r="G1674" s="13">
        <v>37</v>
      </c>
      <c r="H1674" s="13" t="str" cm="1">
        <f t="array" ref="H1674">_xlfn.IFS(G1674&lt;=20,"0-20",G1674&lt;=30,"20-30",G1674&lt;=40,"30-40",G1674&lt;=50,"50-60",G1674&lt;=60,"60-70",G1674&lt;=70,"70-80",G1674&lt;=80,"80-90")</f>
        <v>30-40</v>
      </c>
      <c r="I1674" s="13">
        <v>2246</v>
      </c>
      <c r="J1674" s="13" t="str" cm="1">
        <f t="array" ref="J1674">_xlfn.IFS(K1674=1,"Divorciado",L1674=1,"Casado",M1674=1,"Solteiro",N1674=1,"Juntos",O1674=1,"Viuvo")</f>
        <v>Juntos</v>
      </c>
      <c r="K1674" s="13">
        <v>0</v>
      </c>
      <c r="L1674" s="13">
        <v>0</v>
      </c>
      <c r="M1674" s="13">
        <v>0</v>
      </c>
      <c r="N1674" s="13">
        <v>1</v>
      </c>
      <c r="O1674" s="13">
        <v>0</v>
      </c>
      <c r="P1674" s="13">
        <v>0</v>
      </c>
      <c r="Q1674" s="13">
        <v>0</v>
      </c>
      <c r="R1674" s="13">
        <v>1</v>
      </c>
      <c r="S1674" s="13">
        <v>0</v>
      </c>
      <c r="T1674" s="13">
        <v>0</v>
      </c>
      <c r="U1674" s="13">
        <v>46</v>
      </c>
      <c r="V1674" s="13" t="str" cm="1">
        <f t="array" ref="V1674">_xlfn.IFS(U1674&lt;=250,"0-R$250",U1674&lt;=500,"251-R$500",U1674&lt;=750,"501-R$750",U1674&lt;=1000,"751-R$1000",U1674&lt;=1250,"1001-R$1250",U1674&lt;=1500,"1251-R$1500")</f>
        <v>0-R$250</v>
      </c>
      <c r="W1674" s="13">
        <v>0</v>
      </c>
      <c r="X1674" s="13" t="str" cm="1">
        <f t="array" ref="X1674">_xlfn.IFS(W1674 = 0, "0", W1674&lt;=20, "até R$20",W1674&lt;=40, "21 - R$40",W1674&lt;=60, "41- R$60",W1674&lt;=80, "61 - R$80", W1674&lt;=100, "81 - R$100",W1674&lt;=120, "101 - R$120",W1674&lt;=140, "121 - R$140", W1674&lt;=160, "141- R$160", W1674&lt;=180, "161 - R$180", W1674&lt;=200, "181-R$194")</f>
        <v>0</v>
      </c>
      <c r="Y1674" s="13">
        <v>7</v>
      </c>
      <c r="Z1674" s="13">
        <v>0</v>
      </c>
      <c r="AA1674" s="13">
        <v>0</v>
      </c>
      <c r="AB1674" s="13">
        <v>2</v>
      </c>
      <c r="AC1674" s="13">
        <v>2</v>
      </c>
      <c r="AD1674" s="13">
        <v>2</v>
      </c>
      <c r="AE1674" s="13">
        <v>0</v>
      </c>
      <c r="AF1674" s="13">
        <v>3</v>
      </c>
      <c r="AG1674" s="13">
        <v>6</v>
      </c>
      <c r="AH1674" s="13">
        <v>0</v>
      </c>
      <c r="AI1674" s="13">
        <v>0</v>
      </c>
      <c r="AJ1674" s="13">
        <v>0</v>
      </c>
      <c r="AK1674" s="13">
        <v>0</v>
      </c>
      <c r="AL1674" s="13">
        <v>0</v>
      </c>
      <c r="AM1674" s="13">
        <v>0</v>
      </c>
      <c r="AN1674" s="13">
        <v>0</v>
      </c>
      <c r="AO1674" s="14">
        <v>0</v>
      </c>
      <c r="AP1674" s="13">
        <v>3</v>
      </c>
      <c r="AQ1674" s="13">
        <v>11</v>
      </c>
      <c r="AR1674" s="15">
        <v>51</v>
      </c>
      <c r="AS1674" s="15">
        <v>53</v>
      </c>
    </row>
    <row r="1675" spans="1:45" x14ac:dyDescent="0.25">
      <c r="A1675">
        <v>723</v>
      </c>
      <c r="B1675" s="11">
        <f t="shared" si="26"/>
        <v>48767</v>
      </c>
      <c r="C1675" s="16">
        <v>487670</v>
      </c>
      <c r="D1675" s="17">
        <v>1</v>
      </c>
      <c r="E1675" s="17">
        <v>2</v>
      </c>
      <c r="F1675" s="17">
        <v>79</v>
      </c>
      <c r="G1675" s="17">
        <v>70</v>
      </c>
      <c r="H1675" s="13" t="str" cm="1">
        <f t="array" ref="H1675">_xlfn.IFS(G1675&lt;=20,"0-20",G1675&lt;=30,"20-30",G1675&lt;=40,"30-40",G1675&lt;=50,"50-60",G1675&lt;=60,"60-70",G1675&lt;=70,"70-80",G1675&lt;=80,"80-90")</f>
        <v>70-80</v>
      </c>
      <c r="I1675" s="17">
        <v>2338</v>
      </c>
      <c r="J1675" s="13" t="str" cm="1">
        <f t="array" ref="J1675">_xlfn.IFS(K1675=1,"Divorciado",L1675=1,"Casado",M1675=1,"Solteiro",N1675=1,"Juntos",O1675=1,"Viuvo")</f>
        <v>Solteiro</v>
      </c>
      <c r="K1675" s="17">
        <v>0</v>
      </c>
      <c r="L1675" s="17">
        <v>0</v>
      </c>
      <c r="M1675" s="17">
        <v>1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1</v>
      </c>
      <c r="U1675" s="17">
        <v>28</v>
      </c>
      <c r="V1675" s="13" t="str" cm="1">
        <f t="array" ref="V1675">_xlfn.IFS(U1675&lt;=250,"0-R$250",U1675&lt;=500,"251-R$500",U1675&lt;=750,"501-R$750",U1675&lt;=1000,"751-R$1000",U1675&lt;=1250,"1001-R$1250",U1675&lt;=1500,"1251-R$1500")</f>
        <v>0-R$250</v>
      </c>
      <c r="W1675" s="17">
        <v>1</v>
      </c>
      <c r="X1675" s="13" t="str" cm="1">
        <f t="array" ref="X1675">_xlfn.IFS(W1675 = 0, "0", W1675&lt;=20, "até R$20",W1675&lt;=40, "21 - R$40",W1675&lt;=60, "41- R$60",W1675&lt;=80, "61 - R$80", W1675&lt;=100, "81 - R$100",W1675&lt;=120, "101 - R$120",W1675&lt;=140, "121 - R$140", W1675&lt;=160, "141- R$160", W1675&lt;=180, "161 - R$180", W1675&lt;=200, "181-R$194")</f>
        <v>até R$20</v>
      </c>
      <c r="Y1675" s="17">
        <v>21</v>
      </c>
      <c r="Z1675" s="17">
        <v>3</v>
      </c>
      <c r="AA1675" s="17">
        <v>0</v>
      </c>
      <c r="AB1675" s="17">
        <v>10</v>
      </c>
      <c r="AC1675" s="17">
        <v>3</v>
      </c>
      <c r="AD1675" s="17">
        <v>2</v>
      </c>
      <c r="AE1675" s="17">
        <v>1</v>
      </c>
      <c r="AF1675" s="17">
        <v>3</v>
      </c>
      <c r="AG1675" s="17">
        <v>5</v>
      </c>
      <c r="AH1675" s="17">
        <v>0</v>
      </c>
      <c r="AI1675" s="17">
        <v>0</v>
      </c>
      <c r="AJ1675" s="17">
        <v>0</v>
      </c>
      <c r="AK1675" s="17">
        <v>0</v>
      </c>
      <c r="AL1675" s="17">
        <v>0</v>
      </c>
      <c r="AM1675" s="17">
        <v>0</v>
      </c>
      <c r="AN1675" s="17">
        <v>0</v>
      </c>
      <c r="AO1675" s="18">
        <v>0</v>
      </c>
      <c r="AP1675" s="17">
        <v>3</v>
      </c>
      <c r="AQ1675" s="17">
        <v>11</v>
      </c>
      <c r="AR1675" s="19">
        <v>43</v>
      </c>
      <c r="AS1675" s="19">
        <v>53</v>
      </c>
    </row>
    <row r="1676" spans="1:45" x14ac:dyDescent="0.25">
      <c r="A1676">
        <v>1669</v>
      </c>
      <c r="B1676" s="11">
        <f t="shared" si="26"/>
        <v>18222</v>
      </c>
      <c r="C1676" s="16">
        <v>182220</v>
      </c>
      <c r="D1676" s="17">
        <v>0</v>
      </c>
      <c r="E1676" s="17">
        <v>0</v>
      </c>
      <c r="F1676" s="17">
        <v>70</v>
      </c>
      <c r="G1676" s="17">
        <v>30</v>
      </c>
      <c r="H1676" s="13" t="str" cm="1">
        <f t="array" ref="H1676">_xlfn.IFS(G1676&lt;=20,"0-20",G1676&lt;=30,"20-30",G1676&lt;=40,"30-40",G1676&lt;=50,"50-60",G1676&lt;=60,"60-70",G1676&lt;=70,"70-80",G1676&lt;=80,"80-90")</f>
        <v>20-30</v>
      </c>
      <c r="I1676" s="17">
        <v>2704</v>
      </c>
      <c r="J1676" s="13" t="str" cm="1">
        <f t="array" ref="J1676">_xlfn.IFS(K1676=1,"Divorciado",L1676=1,"Casado",M1676=1,"Solteiro",N1676=1,"Juntos",O1676=1,"Viuvo")</f>
        <v>Casado</v>
      </c>
      <c r="K1676" s="17">
        <v>0</v>
      </c>
      <c r="L1676" s="17">
        <v>1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1</v>
      </c>
      <c r="S1676" s="17">
        <v>0</v>
      </c>
      <c r="T1676" s="17">
        <v>0</v>
      </c>
      <c r="U1676" s="17">
        <v>12</v>
      </c>
      <c r="V1676" s="13" t="str" cm="1">
        <f t="array" ref="V1676">_xlfn.IFS(U1676&lt;=250,"0-R$250",U1676&lt;=500,"251-R$500",U1676&lt;=750,"501-R$750",U1676&lt;=1000,"751-R$1000",U1676&lt;=1250,"1001-R$1250",U1676&lt;=1500,"1251-R$1500")</f>
        <v>0-R$250</v>
      </c>
      <c r="W1676" s="17">
        <v>4</v>
      </c>
      <c r="X1676" s="13" t="str" cm="1">
        <f t="array" ref="X1676">_xlfn.IFS(W1676 = 0, "0", W1676&lt;=20, "até R$20",W1676&lt;=40, "21 - R$40",W1676&lt;=60, "41- R$60",W1676&lt;=80, "61 - R$80", W1676&lt;=100, "81 - R$100",W1676&lt;=120, "101 - R$120",W1676&lt;=140, "121 - R$140", W1676&lt;=160, "141- R$160", W1676&lt;=180, "161 - R$180", W1676&lt;=200, "181-R$194")</f>
        <v>até R$20</v>
      </c>
      <c r="Y1676" s="17">
        <v>19</v>
      </c>
      <c r="Z1676" s="17">
        <v>12</v>
      </c>
      <c r="AA1676" s="17">
        <v>6</v>
      </c>
      <c r="AB1676" s="17">
        <v>14</v>
      </c>
      <c r="AC1676" s="17">
        <v>1</v>
      </c>
      <c r="AD1676" s="17">
        <v>2</v>
      </c>
      <c r="AE1676" s="17">
        <v>0</v>
      </c>
      <c r="AF1676" s="17">
        <v>3</v>
      </c>
      <c r="AG1676" s="17">
        <v>8</v>
      </c>
      <c r="AH1676" s="17">
        <v>0</v>
      </c>
      <c r="AI1676" s="17">
        <v>0</v>
      </c>
      <c r="AJ1676" s="17">
        <v>0</v>
      </c>
      <c r="AK1676" s="17">
        <v>0</v>
      </c>
      <c r="AL1676" s="17">
        <v>0</v>
      </c>
      <c r="AM1676" s="17">
        <v>0</v>
      </c>
      <c r="AN1676" s="17">
        <v>0</v>
      </c>
      <c r="AO1676" s="18">
        <v>0</v>
      </c>
      <c r="AP1676" s="17">
        <v>3</v>
      </c>
      <c r="AQ1676" s="17">
        <v>11</v>
      </c>
      <c r="AR1676" s="19">
        <v>39</v>
      </c>
      <c r="AS1676" s="19">
        <v>53</v>
      </c>
    </row>
    <row r="1677" spans="1:45" x14ac:dyDescent="0.25">
      <c r="A1677">
        <v>1677</v>
      </c>
      <c r="B1677" s="11">
        <f t="shared" si="26"/>
        <v>18358</v>
      </c>
      <c r="C1677" s="16">
        <v>183580</v>
      </c>
      <c r="D1677" s="17">
        <v>1</v>
      </c>
      <c r="E1677" s="17">
        <v>0</v>
      </c>
      <c r="F1677" s="17">
        <v>49</v>
      </c>
      <c r="G1677" s="17">
        <v>31</v>
      </c>
      <c r="H1677" s="13" t="str" cm="1">
        <f t="array" ref="H1677">_xlfn.IFS(G1677&lt;=20,"0-20",G1677&lt;=30,"20-30",G1677&lt;=40,"30-40",G1677&lt;=50,"50-60",G1677&lt;=60,"60-70",G1677&lt;=70,"70-80",G1677&lt;=80,"80-90")</f>
        <v>30-40</v>
      </c>
      <c r="I1677" s="17">
        <v>2380</v>
      </c>
      <c r="J1677" s="13" t="str" cm="1">
        <f t="array" ref="J1677">_xlfn.IFS(K1677=1,"Divorciado",L1677=1,"Casado",M1677=1,"Solteiro",N1677=1,"Juntos",O1677=1,"Viuvo")</f>
        <v>Solteiro</v>
      </c>
      <c r="K1677" s="17">
        <v>0</v>
      </c>
      <c r="L1677" s="17">
        <v>0</v>
      </c>
      <c r="M1677" s="17">
        <v>1</v>
      </c>
      <c r="N1677" s="17">
        <v>0</v>
      </c>
      <c r="O1677" s="17">
        <v>0</v>
      </c>
      <c r="P1677" s="17">
        <v>0</v>
      </c>
      <c r="Q1677" s="17">
        <v>0</v>
      </c>
      <c r="R1677" s="17">
        <v>1</v>
      </c>
      <c r="S1677" s="17">
        <v>0</v>
      </c>
      <c r="T1677" s="17">
        <v>0</v>
      </c>
      <c r="U1677" s="17">
        <v>6</v>
      </c>
      <c r="V1677" s="13" t="str" cm="1">
        <f t="array" ref="V1677">_xlfn.IFS(U1677&lt;=250,"0-R$250",U1677&lt;=500,"251-R$500",U1677&lt;=750,"501-R$750",U1677&lt;=1000,"751-R$1000",U1677&lt;=1250,"1001-R$1250",U1677&lt;=1500,"1251-R$1500")</f>
        <v>0-R$250</v>
      </c>
      <c r="W1677" s="17">
        <v>8</v>
      </c>
      <c r="X1677" s="13" t="str" cm="1">
        <f t="array" ref="X1677">_xlfn.IFS(W1677 = 0, "0", W1677&lt;=20, "até R$20",W1677&lt;=40, "21 - R$40",W1677&lt;=60, "41- R$60",W1677&lt;=80, "61 - R$80", W1677&lt;=100, "81 - R$100",W1677&lt;=120, "101 - R$120",W1677&lt;=140, "121 - R$140", W1677&lt;=160, "141- R$160", W1677&lt;=180, "161 - R$180", W1677&lt;=200, "181-R$194")</f>
        <v>até R$20</v>
      </c>
      <c r="Y1677" s="17">
        <v>19</v>
      </c>
      <c r="Z1677" s="17">
        <v>16</v>
      </c>
      <c r="AA1677" s="17">
        <v>4</v>
      </c>
      <c r="AB1677" s="17">
        <v>4</v>
      </c>
      <c r="AC1677" s="17">
        <v>3</v>
      </c>
      <c r="AD1677" s="17">
        <v>3</v>
      </c>
      <c r="AE1677" s="17">
        <v>0</v>
      </c>
      <c r="AF1677" s="17">
        <v>4</v>
      </c>
      <c r="AG1677" s="17">
        <v>7</v>
      </c>
      <c r="AH1677" s="17">
        <v>0</v>
      </c>
      <c r="AI1677" s="17">
        <v>0</v>
      </c>
      <c r="AJ1677" s="17">
        <v>0</v>
      </c>
      <c r="AK1677" s="17">
        <v>0</v>
      </c>
      <c r="AL1677" s="17">
        <v>0</v>
      </c>
      <c r="AM1677" s="17">
        <v>0</v>
      </c>
      <c r="AN1677" s="17">
        <v>0</v>
      </c>
      <c r="AO1677" s="18">
        <v>0</v>
      </c>
      <c r="AP1677" s="17">
        <v>3</v>
      </c>
      <c r="AQ1677" s="17">
        <v>11</v>
      </c>
      <c r="AR1677" s="19">
        <v>49</v>
      </c>
      <c r="AS1677" s="19">
        <v>53</v>
      </c>
    </row>
    <row r="1678" spans="1:45" x14ac:dyDescent="0.25">
      <c r="A1678">
        <v>1822</v>
      </c>
      <c r="B1678" s="11">
        <f t="shared" si="26"/>
        <v>30093</v>
      </c>
      <c r="C1678" s="12">
        <v>300930</v>
      </c>
      <c r="D1678" s="13">
        <v>0</v>
      </c>
      <c r="E1678" s="13">
        <v>0</v>
      </c>
      <c r="F1678" s="13">
        <v>19</v>
      </c>
      <c r="G1678" s="13">
        <v>30</v>
      </c>
      <c r="H1678" s="13" t="str" cm="1">
        <f t="array" ref="H1678">_xlfn.IFS(G1678&lt;=20,"0-20",G1678&lt;=30,"20-30",G1678&lt;=40,"30-40",G1678&lt;=50,"50-60",G1678&lt;=60,"60-70",G1678&lt;=70,"70-80",G1678&lt;=80,"80-90")</f>
        <v>20-30</v>
      </c>
      <c r="I1678" s="13">
        <v>2515</v>
      </c>
      <c r="J1678" s="13" t="str" cm="1">
        <f t="array" ref="J1678">_xlfn.IFS(K1678=1,"Divorciado",L1678=1,"Casado",M1678=1,"Solteiro",N1678=1,"Juntos",O1678=1,"Viuvo")</f>
        <v>Casado</v>
      </c>
      <c r="K1678" s="13">
        <v>0</v>
      </c>
      <c r="L1678" s="13">
        <v>1</v>
      </c>
      <c r="M1678" s="13">
        <v>0</v>
      </c>
      <c r="N1678" s="13">
        <v>0</v>
      </c>
      <c r="O1678" s="13">
        <v>0</v>
      </c>
      <c r="P1678" s="13">
        <v>0</v>
      </c>
      <c r="Q1678" s="13">
        <v>0</v>
      </c>
      <c r="R1678" s="13">
        <v>1</v>
      </c>
      <c r="S1678" s="13">
        <v>0</v>
      </c>
      <c r="T1678" s="13">
        <v>0</v>
      </c>
      <c r="U1678" s="13">
        <v>2</v>
      </c>
      <c r="V1678" s="13" t="str" cm="1">
        <f t="array" ref="V1678">_xlfn.IFS(U1678&lt;=250,"0-R$250",U1678&lt;=500,"251-R$500",U1678&lt;=750,"501-R$750",U1678&lt;=1000,"751-R$1000",U1678&lt;=1250,"1001-R$1250",U1678&lt;=1500,"1251-R$1500")</f>
        <v>0-R$250</v>
      </c>
      <c r="W1678" s="13">
        <v>6</v>
      </c>
      <c r="X1678" s="13" t="str" cm="1">
        <f t="array" ref="X1678">_xlfn.IFS(W1678 = 0, "0", W1678&lt;=20, "até R$20",W1678&lt;=40, "21 - R$40",W1678&lt;=60, "41- R$60",W1678&lt;=80, "61 - R$80", W1678&lt;=100, "81 - R$100",W1678&lt;=120, "101 - R$120",W1678&lt;=140, "121 - R$140", W1678&lt;=160, "141- R$160", W1678&lt;=180, "161 - R$180", W1678&lt;=200, "181-R$194")</f>
        <v>até R$20</v>
      </c>
      <c r="Y1678" s="13">
        <v>28</v>
      </c>
      <c r="Z1678" s="13">
        <v>13</v>
      </c>
      <c r="AA1678" s="13">
        <v>4</v>
      </c>
      <c r="AB1678" s="13">
        <v>16</v>
      </c>
      <c r="AC1678" s="13">
        <v>1</v>
      </c>
      <c r="AD1678" s="13">
        <v>2</v>
      </c>
      <c r="AE1678" s="13">
        <v>0</v>
      </c>
      <c r="AF1678" s="13">
        <v>3</v>
      </c>
      <c r="AG1678" s="13">
        <v>7</v>
      </c>
      <c r="AH1678" s="13">
        <v>0</v>
      </c>
      <c r="AI1678" s="13">
        <v>0</v>
      </c>
      <c r="AJ1678" s="13">
        <v>0</v>
      </c>
      <c r="AK1678" s="13">
        <v>0</v>
      </c>
      <c r="AL1678" s="13">
        <v>0</v>
      </c>
      <c r="AM1678" s="13">
        <v>0</v>
      </c>
      <c r="AN1678" s="13">
        <v>0</v>
      </c>
      <c r="AO1678" s="14">
        <v>0</v>
      </c>
      <c r="AP1678" s="13">
        <v>3</v>
      </c>
      <c r="AQ1678" s="13">
        <v>11</v>
      </c>
      <c r="AR1678" s="15">
        <v>37</v>
      </c>
      <c r="AS1678" s="15">
        <v>53</v>
      </c>
    </row>
    <row r="1679" spans="1:45" x14ac:dyDescent="0.25">
      <c r="A1679">
        <v>2118</v>
      </c>
      <c r="B1679" s="11">
        <f t="shared" si="26"/>
        <v>49572</v>
      </c>
      <c r="C1679" s="12">
        <v>495720</v>
      </c>
      <c r="D1679" s="13">
        <v>1</v>
      </c>
      <c r="E1679" s="13">
        <v>1</v>
      </c>
      <c r="F1679" s="13">
        <v>25</v>
      </c>
      <c r="G1679" s="13">
        <v>62</v>
      </c>
      <c r="H1679" s="13" t="str" cm="1">
        <f t="array" ref="H1679">_xlfn.IFS(G1679&lt;=20,"0-20",G1679&lt;=30,"20-30",G1679&lt;=40,"30-40",G1679&lt;=50,"50-60",G1679&lt;=60,"60-70",G1679&lt;=70,"70-80",G1679&lt;=80,"80-90")</f>
        <v>70-80</v>
      </c>
      <c r="I1679" s="13">
        <v>2355</v>
      </c>
      <c r="J1679" s="13" t="str" cm="1">
        <f t="array" ref="J1679">_xlfn.IFS(K1679=1,"Divorciado",L1679=1,"Casado",M1679=1,"Solteiro",N1679=1,"Juntos",O1679=1,"Viuvo")</f>
        <v>Casado</v>
      </c>
      <c r="K1679" s="13">
        <v>0</v>
      </c>
      <c r="L1679" s="13">
        <v>1</v>
      </c>
      <c r="M1679" s="13">
        <v>0</v>
      </c>
      <c r="N1679" s="13">
        <v>0</v>
      </c>
      <c r="O1679" s="13">
        <v>0</v>
      </c>
      <c r="P1679" s="13">
        <v>0</v>
      </c>
      <c r="Q1679" s="13">
        <v>0</v>
      </c>
      <c r="R1679" s="13">
        <v>0</v>
      </c>
      <c r="S1679" s="13">
        <v>1</v>
      </c>
      <c r="T1679" s="13">
        <v>0</v>
      </c>
      <c r="U1679" s="13">
        <v>35</v>
      </c>
      <c r="V1679" s="13" t="str" cm="1">
        <f t="array" ref="V1679">_xlfn.IFS(U1679&lt;=250,"0-R$250",U1679&lt;=500,"251-R$500",U1679&lt;=750,"501-R$750",U1679&lt;=1000,"751-R$1000",U1679&lt;=1250,"1001-R$1250",U1679&lt;=1500,"1251-R$1500")</f>
        <v>0-R$250</v>
      </c>
      <c r="W1679" s="13">
        <v>1</v>
      </c>
      <c r="X1679" s="13" t="str" cm="1">
        <f t="array" ref="X1679">_xlfn.IFS(W1679 = 0, "0", W1679&lt;=20, "até R$20",W1679&lt;=40, "21 - R$40",W1679&lt;=60, "41- R$60",W1679&lt;=80, "61 - R$80", W1679&lt;=100, "81 - R$100",W1679&lt;=120, "101 - R$120",W1679&lt;=140, "121 - R$140", W1679&lt;=160, "141- R$160", W1679&lt;=180, "161 - R$180", W1679&lt;=200, "181-R$194")</f>
        <v>até R$20</v>
      </c>
      <c r="Y1679" s="13">
        <v>16</v>
      </c>
      <c r="Z1679" s="13">
        <v>0</v>
      </c>
      <c r="AA1679" s="13">
        <v>1</v>
      </c>
      <c r="AB1679" s="13">
        <v>1</v>
      </c>
      <c r="AC1679" s="13">
        <v>2</v>
      </c>
      <c r="AD1679" s="13">
        <v>2</v>
      </c>
      <c r="AE1679" s="13">
        <v>0</v>
      </c>
      <c r="AF1679" s="13">
        <v>3</v>
      </c>
      <c r="AG1679" s="13">
        <v>7</v>
      </c>
      <c r="AH1679" s="13">
        <v>0</v>
      </c>
      <c r="AI1679" s="13">
        <v>0</v>
      </c>
      <c r="AJ1679" s="13">
        <v>0</v>
      </c>
      <c r="AK1679" s="13">
        <v>0</v>
      </c>
      <c r="AL1679" s="13">
        <v>0</v>
      </c>
      <c r="AM1679" s="13">
        <v>0</v>
      </c>
      <c r="AN1679" s="13">
        <v>0</v>
      </c>
      <c r="AO1679" s="14">
        <v>0</v>
      </c>
      <c r="AP1679" s="13">
        <v>3</v>
      </c>
      <c r="AQ1679" s="13">
        <v>11</v>
      </c>
      <c r="AR1679" s="15">
        <v>52</v>
      </c>
      <c r="AS1679" s="15">
        <v>53</v>
      </c>
    </row>
    <row r="1680" spans="1:45" x14ac:dyDescent="0.25">
      <c r="A1680">
        <v>136</v>
      </c>
      <c r="B1680" s="11">
        <f t="shared" si="26"/>
        <v>23957</v>
      </c>
      <c r="C1680" s="12">
        <v>239570</v>
      </c>
      <c r="D1680" s="13">
        <v>1</v>
      </c>
      <c r="E1680" s="13">
        <v>0</v>
      </c>
      <c r="F1680" s="13">
        <v>47</v>
      </c>
      <c r="G1680" s="13">
        <v>45</v>
      </c>
      <c r="H1680" s="13" t="str" cm="1">
        <f t="array" ref="H1680">_xlfn.IFS(G1680&lt;=20,"0-20",G1680&lt;=30,"20-30",G1680&lt;=40,"30-40",G1680&lt;=50,"50-60",G1680&lt;=60,"60-70",G1680&lt;=70,"70-80",G1680&lt;=80,"80-90")</f>
        <v>50-60</v>
      </c>
      <c r="I1680" s="13">
        <v>2768</v>
      </c>
      <c r="J1680" s="13" t="str" cm="1">
        <f t="array" ref="J1680">_xlfn.IFS(K1680=1,"Divorciado",L1680=1,"Casado",M1680=1,"Solteiro",N1680=1,"Juntos",O1680=1,"Viuvo")</f>
        <v>Casado</v>
      </c>
      <c r="K1680" s="13">
        <v>0</v>
      </c>
      <c r="L1680" s="13">
        <v>1</v>
      </c>
      <c r="M1680" s="13">
        <v>0</v>
      </c>
      <c r="N1680" s="13">
        <v>0</v>
      </c>
      <c r="O1680" s="13">
        <v>0</v>
      </c>
      <c r="P1680" s="13">
        <v>0</v>
      </c>
      <c r="Q1680" s="13">
        <v>0</v>
      </c>
      <c r="R1680" s="13">
        <v>1</v>
      </c>
      <c r="S1680" s="13">
        <v>0</v>
      </c>
      <c r="T1680" s="13">
        <v>0</v>
      </c>
      <c r="U1680" s="13">
        <v>2</v>
      </c>
      <c r="V1680" s="13" t="str" cm="1">
        <f t="array" ref="V1680">_xlfn.IFS(U1680&lt;=250,"0-R$250",U1680&lt;=500,"251-R$500",U1680&lt;=750,"501-R$750",U1680&lt;=1000,"751-R$1000",U1680&lt;=1250,"1001-R$1250",U1680&lt;=1500,"1251-R$1500")</f>
        <v>0-R$250</v>
      </c>
      <c r="W1680" s="13">
        <v>1</v>
      </c>
      <c r="X1680" s="13" t="str" cm="1">
        <f t="array" ref="X1680">_xlfn.IFS(W1680 = 0, "0", W1680&lt;=20, "até R$20",W1680&lt;=40, "21 - R$40",W1680&lt;=60, "41- R$60",W1680&lt;=80, "61 - R$80", W1680&lt;=100, "81 - R$100",W1680&lt;=120, "101 - R$120",W1680&lt;=140, "121 - R$140", W1680&lt;=160, "141- R$160", W1680&lt;=180, "161 - R$180", W1680&lt;=200, "181-R$194")</f>
        <v>até R$20</v>
      </c>
      <c r="Y1680" s="13">
        <v>18</v>
      </c>
      <c r="Z1680" s="13">
        <v>20</v>
      </c>
      <c r="AA1680" s="13">
        <v>11</v>
      </c>
      <c r="AB1680" s="13">
        <v>16</v>
      </c>
      <c r="AC1680" s="13">
        <v>1</v>
      </c>
      <c r="AD1680" s="13">
        <v>2</v>
      </c>
      <c r="AE1680" s="13">
        <v>0</v>
      </c>
      <c r="AF1680" s="13">
        <v>3</v>
      </c>
      <c r="AG1680" s="13">
        <v>6</v>
      </c>
      <c r="AH1680" s="13">
        <v>0</v>
      </c>
      <c r="AI1680" s="13">
        <v>0</v>
      </c>
      <c r="AJ1680" s="13">
        <v>0</v>
      </c>
      <c r="AK1680" s="13">
        <v>0</v>
      </c>
      <c r="AL1680" s="13">
        <v>0</v>
      </c>
      <c r="AM1680" s="13">
        <v>0</v>
      </c>
      <c r="AN1680" s="13">
        <v>1</v>
      </c>
      <c r="AO1680" s="14">
        <v>0</v>
      </c>
      <c r="AP1680" s="13">
        <v>3</v>
      </c>
      <c r="AQ1680" s="13">
        <v>11</v>
      </c>
      <c r="AR1680" s="15">
        <v>36</v>
      </c>
      <c r="AS1680" s="15">
        <v>52</v>
      </c>
    </row>
    <row r="1681" spans="1:45" x14ac:dyDescent="0.25">
      <c r="A1681">
        <v>287</v>
      </c>
      <c r="B1681" s="11">
        <f t="shared" si="26"/>
        <v>35246</v>
      </c>
      <c r="C1681" s="16">
        <v>352460</v>
      </c>
      <c r="D1681" s="17">
        <v>1</v>
      </c>
      <c r="E1681" s="17">
        <v>1</v>
      </c>
      <c r="F1681" s="17">
        <v>53</v>
      </c>
      <c r="G1681" s="17">
        <v>62</v>
      </c>
      <c r="H1681" s="13" t="str" cm="1">
        <f t="array" ref="H1681">_xlfn.IFS(G1681&lt;=20,"0-20",G1681&lt;=30,"20-30",G1681&lt;=40,"30-40",G1681&lt;=50,"50-60",G1681&lt;=60,"60-70",G1681&lt;=70,"70-80",G1681&lt;=80,"80-90")</f>
        <v>70-80</v>
      </c>
      <c r="I1681" s="17">
        <v>2233</v>
      </c>
      <c r="J1681" s="13" t="str" cm="1">
        <f t="array" ref="J1681">_xlfn.IFS(K1681=1,"Divorciado",L1681=1,"Casado",M1681=1,"Solteiro",N1681=1,"Juntos",O1681=1,"Viuvo")</f>
        <v>Divorciado</v>
      </c>
      <c r="K1681" s="17">
        <v>1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1</v>
      </c>
      <c r="S1681" s="17">
        <v>0</v>
      </c>
      <c r="T1681" s="17">
        <v>0</v>
      </c>
      <c r="U1681" s="17">
        <v>36</v>
      </c>
      <c r="V1681" s="13" t="str" cm="1">
        <f t="array" ref="V1681">_xlfn.IFS(U1681&lt;=250,"0-R$250",U1681&lt;=500,"251-R$500",U1681&lt;=750,"501-R$750",U1681&lt;=1000,"751-R$1000",U1681&lt;=1250,"1001-R$1250",U1681&lt;=1500,"1251-R$1500")</f>
        <v>0-R$250</v>
      </c>
      <c r="W1681" s="17">
        <v>0</v>
      </c>
      <c r="X1681" s="13" t="str" cm="1">
        <f t="array" ref="X1681">_xlfn.IFS(W1681 = 0, "0", W1681&lt;=20, "até R$20",W1681&lt;=40, "21 - R$40",W1681&lt;=60, "41- R$60",W1681&lt;=80, "61 - R$80", W1681&lt;=100, "81 - R$100",W1681&lt;=120, "101 - R$120",W1681&lt;=140, "121 - R$140", W1681&lt;=160, "141- R$160", W1681&lt;=180, "161 - R$180", W1681&lt;=200, "181-R$194")</f>
        <v>0</v>
      </c>
      <c r="Y1681" s="17">
        <v>12</v>
      </c>
      <c r="Z1681" s="17">
        <v>2</v>
      </c>
      <c r="AA1681" s="17">
        <v>2</v>
      </c>
      <c r="AB1681" s="17">
        <v>10</v>
      </c>
      <c r="AC1681" s="17">
        <v>4</v>
      </c>
      <c r="AD1681" s="17">
        <v>3</v>
      </c>
      <c r="AE1681" s="17">
        <v>1</v>
      </c>
      <c r="AF1681" s="17">
        <v>3</v>
      </c>
      <c r="AG1681" s="17">
        <v>5</v>
      </c>
      <c r="AH1681" s="17">
        <v>0</v>
      </c>
      <c r="AI1681" s="17">
        <v>0</v>
      </c>
      <c r="AJ1681" s="17">
        <v>0</v>
      </c>
      <c r="AK1681" s="17">
        <v>0</v>
      </c>
      <c r="AL1681" s="17">
        <v>0</v>
      </c>
      <c r="AM1681" s="17">
        <v>0</v>
      </c>
      <c r="AN1681" s="17">
        <v>0</v>
      </c>
      <c r="AO1681" s="18">
        <v>0</v>
      </c>
      <c r="AP1681" s="17">
        <v>3</v>
      </c>
      <c r="AQ1681" s="17">
        <v>11</v>
      </c>
      <c r="AR1681" s="19">
        <v>42</v>
      </c>
      <c r="AS1681" s="19">
        <v>52</v>
      </c>
    </row>
    <row r="1682" spans="1:45" x14ac:dyDescent="0.25">
      <c r="A1682">
        <v>418</v>
      </c>
      <c r="B1682" s="11">
        <f t="shared" si="26"/>
        <v>30015</v>
      </c>
      <c r="C1682" s="12">
        <v>300150</v>
      </c>
      <c r="D1682" s="13">
        <v>1</v>
      </c>
      <c r="E1682" s="13">
        <v>0</v>
      </c>
      <c r="F1682" s="13">
        <v>28</v>
      </c>
      <c r="G1682" s="13">
        <v>50</v>
      </c>
      <c r="H1682" s="13" t="str" cm="1">
        <f t="array" ref="H1682">_xlfn.IFS(G1682&lt;=20,"0-20",G1682&lt;=30,"20-30",G1682&lt;=40,"30-40",G1682&lt;=50,"50-60",G1682&lt;=60,"60-70",G1682&lt;=70,"70-80",G1682&lt;=80,"80-90")</f>
        <v>50-60</v>
      </c>
      <c r="I1682" s="13">
        <v>2306</v>
      </c>
      <c r="J1682" s="13" t="str" cm="1">
        <f t="array" ref="J1682">_xlfn.IFS(K1682=1,"Divorciado",L1682=1,"Casado",M1682=1,"Solteiro",N1682=1,"Juntos",O1682=1,"Viuvo")</f>
        <v>Solteiro</v>
      </c>
      <c r="K1682" s="13">
        <v>0</v>
      </c>
      <c r="L1682" s="13">
        <v>0</v>
      </c>
      <c r="M1682" s="13">
        <v>1</v>
      </c>
      <c r="N1682" s="13">
        <v>0</v>
      </c>
      <c r="O1682" s="13">
        <v>0</v>
      </c>
      <c r="P1682" s="13">
        <v>0</v>
      </c>
      <c r="Q1682" s="13">
        <v>0</v>
      </c>
      <c r="R1682" s="13">
        <v>1</v>
      </c>
      <c r="S1682" s="13">
        <v>0</v>
      </c>
      <c r="T1682" s="13">
        <v>0</v>
      </c>
      <c r="U1682" s="13">
        <v>25</v>
      </c>
      <c r="V1682" s="13" t="str" cm="1">
        <f t="array" ref="V1682">_xlfn.IFS(U1682&lt;=250,"0-R$250",U1682&lt;=500,"251-R$500",U1682&lt;=750,"501-R$750",U1682&lt;=1000,"751-R$1000",U1682&lt;=1250,"1001-R$1250",U1682&lt;=1500,"1251-R$1500")</f>
        <v>0-R$250</v>
      </c>
      <c r="W1682" s="13">
        <v>0</v>
      </c>
      <c r="X1682" s="13" t="str" cm="1">
        <f t="array" ref="X1682">_xlfn.IFS(W1682 = 0, "0", W1682&lt;=20, "até R$20",W1682&lt;=40, "21 - R$40",W1682&lt;=60, "41- R$60",W1682&lt;=80, "61 - R$80", W1682&lt;=100, "81 - R$100",W1682&lt;=120, "101 - R$120",W1682&lt;=140, "121 - R$140", W1682&lt;=160, "141- R$160", W1682&lt;=180, "161 - R$180", W1682&lt;=200, "181-R$194")</f>
        <v>0</v>
      </c>
      <c r="Y1682" s="13">
        <v>22</v>
      </c>
      <c r="Z1682" s="13">
        <v>2</v>
      </c>
      <c r="AA1682" s="13">
        <v>3</v>
      </c>
      <c r="AB1682" s="13">
        <v>5</v>
      </c>
      <c r="AC1682" s="13">
        <v>2</v>
      </c>
      <c r="AD1682" s="13">
        <v>1</v>
      </c>
      <c r="AE1682" s="13">
        <v>0</v>
      </c>
      <c r="AF1682" s="13">
        <v>4</v>
      </c>
      <c r="AG1682" s="13">
        <v>5</v>
      </c>
      <c r="AH1682" s="13">
        <v>0</v>
      </c>
      <c r="AI1682" s="13">
        <v>0</v>
      </c>
      <c r="AJ1682" s="13">
        <v>0</v>
      </c>
      <c r="AK1682" s="13">
        <v>0</v>
      </c>
      <c r="AL1682" s="13">
        <v>0</v>
      </c>
      <c r="AM1682" s="13">
        <v>0</v>
      </c>
      <c r="AN1682" s="13">
        <v>0</v>
      </c>
      <c r="AO1682" s="14">
        <v>0</v>
      </c>
      <c r="AP1682" s="13">
        <v>3</v>
      </c>
      <c r="AQ1682" s="13">
        <v>11</v>
      </c>
      <c r="AR1682" s="15">
        <v>47</v>
      </c>
      <c r="AS1682" s="15">
        <v>52</v>
      </c>
    </row>
    <row r="1683" spans="1:45" x14ac:dyDescent="0.25">
      <c r="A1683">
        <v>744</v>
      </c>
      <c r="B1683" s="11">
        <f t="shared" si="26"/>
        <v>31626</v>
      </c>
      <c r="C1683" s="12">
        <v>316260</v>
      </c>
      <c r="D1683" s="13">
        <v>1</v>
      </c>
      <c r="E1683" s="13">
        <v>0</v>
      </c>
      <c r="F1683" s="13">
        <v>12</v>
      </c>
      <c r="G1683" s="13">
        <v>42</v>
      </c>
      <c r="H1683" s="13" t="str" cm="1">
        <f t="array" ref="H1683">_xlfn.IFS(G1683&lt;=20,"0-20",G1683&lt;=30,"20-30",G1683&lt;=40,"30-40",G1683&lt;=50,"50-60",G1683&lt;=60,"60-70",G1683&lt;=70,"70-80",G1683&lt;=80,"80-90")</f>
        <v>50-60</v>
      </c>
      <c r="I1683" s="13">
        <v>2574</v>
      </c>
      <c r="J1683" s="13" t="str" cm="1">
        <f t="array" ref="J1683">_xlfn.IFS(K1683=1,"Divorciado",L1683=1,"Casado",M1683=1,"Solteiro",N1683=1,"Juntos",O1683=1,"Viuvo")</f>
        <v>Solteiro</v>
      </c>
      <c r="K1683" s="13">
        <v>0</v>
      </c>
      <c r="L1683" s="13">
        <v>0</v>
      </c>
      <c r="M1683" s="13">
        <v>1</v>
      </c>
      <c r="N1683" s="13">
        <v>0</v>
      </c>
      <c r="O1683" s="13">
        <v>0</v>
      </c>
      <c r="P1683" s="13">
        <v>0</v>
      </c>
      <c r="Q1683" s="13">
        <v>0</v>
      </c>
      <c r="R1683" s="13">
        <v>0</v>
      </c>
      <c r="S1683" s="13">
        <v>0</v>
      </c>
      <c r="T1683" s="13">
        <v>1</v>
      </c>
      <c r="U1683" s="13">
        <v>39</v>
      </c>
      <c r="V1683" s="13" t="str" cm="1">
        <f t="array" ref="V1683">_xlfn.IFS(U1683&lt;=250,"0-R$250",U1683&lt;=500,"251-R$500",U1683&lt;=750,"501-R$750",U1683&lt;=1000,"751-R$1000",U1683&lt;=1250,"1001-R$1250",U1683&lt;=1500,"1251-R$1500")</f>
        <v>0-R$250</v>
      </c>
      <c r="W1683" s="13">
        <v>1</v>
      </c>
      <c r="X1683" s="13" t="str" cm="1">
        <f t="array" ref="X1683">_xlfn.IFS(W1683 = 0, "0", W1683&lt;=20, "até R$20",W1683&lt;=40, "21 - R$40",W1683&lt;=60, "41- R$60",W1683&lt;=80, "61 - R$80", W1683&lt;=100, "81 - R$100",W1683&lt;=120, "101 - R$120",W1683&lt;=140, "121 - R$140", W1683&lt;=160, "141- R$160", W1683&lt;=180, "161 - R$180", W1683&lt;=200, "181-R$194")</f>
        <v>até R$20</v>
      </c>
      <c r="Y1683" s="13">
        <v>9</v>
      </c>
      <c r="Z1683" s="13">
        <v>2</v>
      </c>
      <c r="AA1683" s="13">
        <v>1</v>
      </c>
      <c r="AB1683" s="13">
        <v>34</v>
      </c>
      <c r="AC1683" s="13">
        <v>1</v>
      </c>
      <c r="AD1683" s="13">
        <v>2</v>
      </c>
      <c r="AE1683" s="13">
        <v>1</v>
      </c>
      <c r="AF1683" s="13">
        <v>2</v>
      </c>
      <c r="AG1683" s="13">
        <v>7</v>
      </c>
      <c r="AH1683" s="13">
        <v>0</v>
      </c>
      <c r="AI1683" s="13">
        <v>1</v>
      </c>
      <c r="AJ1683" s="13">
        <v>0</v>
      </c>
      <c r="AK1683" s="13">
        <v>0</v>
      </c>
      <c r="AL1683" s="13">
        <v>0</v>
      </c>
      <c r="AM1683" s="13">
        <v>0</v>
      </c>
      <c r="AN1683" s="13">
        <v>1</v>
      </c>
      <c r="AO1683" s="14">
        <v>1</v>
      </c>
      <c r="AP1683" s="13">
        <v>3</v>
      </c>
      <c r="AQ1683" s="13">
        <v>11</v>
      </c>
      <c r="AR1683" s="15">
        <v>18</v>
      </c>
      <c r="AS1683" s="15">
        <v>52</v>
      </c>
    </row>
    <row r="1684" spans="1:45" x14ac:dyDescent="0.25">
      <c r="A1684">
        <v>864</v>
      </c>
      <c r="B1684" s="11">
        <f t="shared" si="26"/>
        <v>51111</v>
      </c>
      <c r="C1684" s="12">
        <v>511110</v>
      </c>
      <c r="D1684" s="13">
        <v>1</v>
      </c>
      <c r="E1684" s="13">
        <v>1</v>
      </c>
      <c r="F1684" s="13">
        <v>83</v>
      </c>
      <c r="G1684" s="13">
        <v>39</v>
      </c>
      <c r="H1684" s="13" t="str" cm="1">
        <f t="array" ref="H1684">_xlfn.IFS(G1684&lt;=20,"0-20",G1684&lt;=30,"20-30",G1684&lt;=40,"30-40",G1684&lt;=50,"50-60",G1684&lt;=60,"60-70",G1684&lt;=70,"70-80",G1684&lt;=80,"80-90")</f>
        <v>30-40</v>
      </c>
      <c r="I1684" s="13">
        <v>2169</v>
      </c>
      <c r="J1684" s="13" t="str" cm="1">
        <f t="array" ref="J1684">_xlfn.IFS(K1684=1,"Divorciado",L1684=1,"Casado",M1684=1,"Solteiro",N1684=1,"Juntos",O1684=1,"Viuvo")</f>
        <v>Casado</v>
      </c>
      <c r="K1684" s="13">
        <v>0</v>
      </c>
      <c r="L1684" s="13">
        <v>1</v>
      </c>
      <c r="M1684" s="13">
        <v>0</v>
      </c>
      <c r="N1684" s="13">
        <v>0</v>
      </c>
      <c r="O1684" s="13">
        <v>0</v>
      </c>
      <c r="P1684" s="13">
        <v>1</v>
      </c>
      <c r="Q1684" s="13">
        <v>0</v>
      </c>
      <c r="R1684" s="13">
        <v>0</v>
      </c>
      <c r="S1684" s="13">
        <v>0</v>
      </c>
      <c r="T1684" s="13">
        <v>0</v>
      </c>
      <c r="U1684" s="13">
        <v>22</v>
      </c>
      <c r="V1684" s="13" t="str" cm="1">
        <f t="array" ref="V1684">_xlfn.IFS(U1684&lt;=250,"0-R$250",U1684&lt;=500,"251-R$500",U1684&lt;=750,"501-R$750",U1684&lt;=1000,"751-R$1000",U1684&lt;=1250,"1001-R$1250",U1684&lt;=1500,"1251-R$1500")</f>
        <v>0-R$250</v>
      </c>
      <c r="W1684" s="13">
        <v>0</v>
      </c>
      <c r="X1684" s="13" t="str" cm="1">
        <f t="array" ref="X1684">_xlfn.IFS(W1684 = 0, "0", W1684&lt;=20, "até R$20",W1684&lt;=40, "21 - R$40",W1684&lt;=60, "41- R$60",W1684&lt;=80, "61 - R$80", W1684&lt;=100, "81 - R$100",W1684&lt;=120, "101 - R$120",W1684&lt;=140, "121 - R$140", W1684&lt;=160, "141- R$160", W1684&lt;=180, "161 - R$180", W1684&lt;=200, "181-R$194")</f>
        <v>0</v>
      </c>
      <c r="Y1684" s="13">
        <v>19</v>
      </c>
      <c r="Z1684" s="13">
        <v>6</v>
      </c>
      <c r="AA1684" s="13">
        <v>5</v>
      </c>
      <c r="AB1684" s="13">
        <v>3</v>
      </c>
      <c r="AC1684" s="13">
        <v>2</v>
      </c>
      <c r="AD1684" s="13">
        <v>2</v>
      </c>
      <c r="AE1684" s="13">
        <v>0</v>
      </c>
      <c r="AF1684" s="13">
        <v>3</v>
      </c>
      <c r="AG1684" s="13">
        <v>6</v>
      </c>
      <c r="AH1684" s="13">
        <v>0</v>
      </c>
      <c r="AI1684" s="13">
        <v>0</v>
      </c>
      <c r="AJ1684" s="13">
        <v>0</v>
      </c>
      <c r="AK1684" s="13">
        <v>0</v>
      </c>
      <c r="AL1684" s="13">
        <v>0</v>
      </c>
      <c r="AM1684" s="13">
        <v>0</v>
      </c>
      <c r="AN1684" s="13">
        <v>0</v>
      </c>
      <c r="AO1684" s="14">
        <v>0</v>
      </c>
      <c r="AP1684" s="13">
        <v>3</v>
      </c>
      <c r="AQ1684" s="13">
        <v>11</v>
      </c>
      <c r="AR1684" s="15">
        <v>49</v>
      </c>
      <c r="AS1684" s="15">
        <v>52</v>
      </c>
    </row>
    <row r="1685" spans="1:45" x14ac:dyDescent="0.25">
      <c r="A1685">
        <v>943</v>
      </c>
      <c r="B1685" s="11">
        <f t="shared" si="26"/>
        <v>41021</v>
      </c>
      <c r="C1685" s="16">
        <v>410210</v>
      </c>
      <c r="D1685" s="17">
        <v>1</v>
      </c>
      <c r="E1685" s="17">
        <v>0</v>
      </c>
      <c r="F1685" s="17">
        <v>12</v>
      </c>
      <c r="G1685" s="17">
        <v>51</v>
      </c>
      <c r="H1685" s="13" t="str" cm="1">
        <f t="array" ref="H1685">_xlfn.IFS(G1685&lt;=20,"0-20",G1685&lt;=30,"20-30",G1685&lt;=40,"30-40",G1685&lt;=50,"50-60",G1685&lt;=60,"60-70",G1685&lt;=70,"70-80",G1685&lt;=80,"80-90")</f>
        <v>60-70</v>
      </c>
      <c r="I1685" s="17">
        <v>2705</v>
      </c>
      <c r="J1685" s="13" t="str" cm="1">
        <f t="array" ref="J1685">_xlfn.IFS(K1685=1,"Divorciado",L1685=1,"Casado",M1685=1,"Solteiro",N1685=1,"Juntos",O1685=1,"Viuvo")</f>
        <v>Juntos</v>
      </c>
      <c r="K1685" s="17">
        <v>0</v>
      </c>
      <c r="L1685" s="17">
        <v>0</v>
      </c>
      <c r="M1685" s="17">
        <v>0</v>
      </c>
      <c r="N1685" s="17">
        <v>1</v>
      </c>
      <c r="O1685" s="17">
        <v>0</v>
      </c>
      <c r="P1685" s="17">
        <v>0</v>
      </c>
      <c r="Q1685" s="17">
        <v>0</v>
      </c>
      <c r="R1685" s="17">
        <v>0</v>
      </c>
      <c r="S1685" s="17">
        <v>1</v>
      </c>
      <c r="T1685" s="17">
        <v>0</v>
      </c>
      <c r="U1685" s="17">
        <v>14</v>
      </c>
      <c r="V1685" s="13" t="str" cm="1">
        <f t="array" ref="V1685">_xlfn.IFS(U1685&lt;=250,"0-R$250",U1685&lt;=500,"251-R$500",U1685&lt;=750,"501-R$750",U1685&lt;=1000,"751-R$1000",U1685&lt;=1250,"1001-R$1250",U1685&lt;=1500,"1251-R$1500")</f>
        <v>0-R$250</v>
      </c>
      <c r="W1685" s="17">
        <v>7</v>
      </c>
      <c r="X1685" s="13" t="str" cm="1">
        <f t="array" ref="X1685">_xlfn.IFS(W1685 = 0, "0", W1685&lt;=20, "até R$20",W1685&lt;=40, "21 - R$40",W1685&lt;=60, "41- R$60",W1685&lt;=80, "61 - R$80", W1685&lt;=100, "81 - R$100",W1685&lt;=120, "101 - R$120",W1685&lt;=140, "121 - R$140", W1685&lt;=160, "141- R$160", W1685&lt;=180, "161 - R$180", W1685&lt;=200, "181-R$194")</f>
        <v>até R$20</v>
      </c>
      <c r="Y1685" s="17">
        <v>9</v>
      </c>
      <c r="Z1685" s="17">
        <v>6</v>
      </c>
      <c r="AA1685" s="17">
        <v>16</v>
      </c>
      <c r="AB1685" s="17">
        <v>12</v>
      </c>
      <c r="AC1685" s="17">
        <v>2</v>
      </c>
      <c r="AD1685" s="17">
        <v>2</v>
      </c>
      <c r="AE1685" s="17">
        <v>0</v>
      </c>
      <c r="AF1685" s="17">
        <v>3</v>
      </c>
      <c r="AG1685" s="17">
        <v>6</v>
      </c>
      <c r="AH1685" s="17">
        <v>0</v>
      </c>
      <c r="AI1685" s="17">
        <v>0</v>
      </c>
      <c r="AJ1685" s="17">
        <v>0</v>
      </c>
      <c r="AK1685" s="17">
        <v>0</v>
      </c>
      <c r="AL1685" s="17">
        <v>0</v>
      </c>
      <c r="AM1685" s="17">
        <v>0</v>
      </c>
      <c r="AN1685" s="17">
        <v>1</v>
      </c>
      <c r="AO1685" s="18">
        <v>0</v>
      </c>
      <c r="AP1685" s="17">
        <v>3</v>
      </c>
      <c r="AQ1685" s="17">
        <v>11</v>
      </c>
      <c r="AR1685" s="19">
        <v>40</v>
      </c>
      <c r="AS1685" s="19">
        <v>52</v>
      </c>
    </row>
    <row r="1686" spans="1:45" x14ac:dyDescent="0.25">
      <c r="A1686">
        <v>1248</v>
      </c>
      <c r="B1686" s="11">
        <f t="shared" si="26"/>
        <v>19656</v>
      </c>
      <c r="C1686" s="12">
        <v>196560</v>
      </c>
      <c r="D1686" s="13">
        <v>1</v>
      </c>
      <c r="E1686" s="13">
        <v>0</v>
      </c>
      <c r="F1686" s="13">
        <v>94</v>
      </c>
      <c r="G1686" s="13">
        <v>50</v>
      </c>
      <c r="H1686" s="13" t="str" cm="1">
        <f t="array" ref="H1686">_xlfn.IFS(G1686&lt;=20,"0-20",G1686&lt;=30,"20-30",G1686&lt;=40,"30-40",G1686&lt;=50,"50-60",G1686&lt;=60,"60-70",G1686&lt;=70,"70-80",G1686&lt;=80,"80-90")</f>
        <v>50-60</v>
      </c>
      <c r="I1686" s="13">
        <v>2665</v>
      </c>
      <c r="J1686" s="13" t="str" cm="1">
        <f t="array" ref="J1686">_xlfn.IFS(K1686=1,"Divorciado",L1686=1,"Casado",M1686=1,"Solteiro",N1686=1,"Juntos",O1686=1,"Viuvo")</f>
        <v>Juntos</v>
      </c>
      <c r="K1686" s="13">
        <v>0</v>
      </c>
      <c r="L1686" s="13">
        <v>0</v>
      </c>
      <c r="M1686" s="13">
        <v>0</v>
      </c>
      <c r="N1686" s="13">
        <v>1</v>
      </c>
      <c r="O1686" s="13">
        <v>0</v>
      </c>
      <c r="P1686" s="13">
        <v>0</v>
      </c>
      <c r="Q1686" s="13">
        <v>0</v>
      </c>
      <c r="R1686" s="13">
        <v>1</v>
      </c>
      <c r="S1686" s="13">
        <v>0</v>
      </c>
      <c r="T1686" s="13">
        <v>0</v>
      </c>
      <c r="U1686" s="13">
        <v>25</v>
      </c>
      <c r="V1686" s="13" t="str" cm="1">
        <f t="array" ref="V1686">_xlfn.IFS(U1686&lt;=250,"0-R$250",U1686&lt;=500,"251-R$500",U1686&lt;=750,"501-R$750",U1686&lt;=1000,"751-R$1000",U1686&lt;=1250,"1001-R$1250",U1686&lt;=1500,"1251-R$1500")</f>
        <v>0-R$250</v>
      </c>
      <c r="W1686" s="13">
        <v>4</v>
      </c>
      <c r="X1686" s="13" t="str" cm="1">
        <f t="array" ref="X1686">_xlfn.IFS(W1686 = 0, "0", W1686&lt;=20, "até R$20",W1686&lt;=40, "21 - R$40",W1686&lt;=60, "41- R$60",W1686&lt;=80, "61 - R$80", W1686&lt;=100, "81 - R$100",W1686&lt;=120, "101 - R$120",W1686&lt;=140, "121 - R$140", W1686&lt;=160, "141- R$160", W1686&lt;=180, "161 - R$180", W1686&lt;=200, "181-R$194")</f>
        <v>até R$20</v>
      </c>
      <c r="Y1686" s="13">
        <v>9</v>
      </c>
      <c r="Z1686" s="13">
        <v>6</v>
      </c>
      <c r="AA1686" s="13">
        <v>8</v>
      </c>
      <c r="AB1686" s="13">
        <v>32</v>
      </c>
      <c r="AC1686" s="13">
        <v>3</v>
      </c>
      <c r="AD1686" s="13">
        <v>2</v>
      </c>
      <c r="AE1686" s="13">
        <v>1</v>
      </c>
      <c r="AF1686" s="13">
        <v>3</v>
      </c>
      <c r="AG1686" s="13">
        <v>7</v>
      </c>
      <c r="AH1686" s="13">
        <v>0</v>
      </c>
      <c r="AI1686" s="13">
        <v>0</v>
      </c>
      <c r="AJ1686" s="13">
        <v>0</v>
      </c>
      <c r="AK1686" s="13">
        <v>0</v>
      </c>
      <c r="AL1686" s="13">
        <v>0</v>
      </c>
      <c r="AM1686" s="13">
        <v>0</v>
      </c>
      <c r="AN1686" s="13">
        <v>0</v>
      </c>
      <c r="AO1686" s="14">
        <v>0</v>
      </c>
      <c r="AP1686" s="13">
        <v>3</v>
      </c>
      <c r="AQ1686" s="13">
        <v>11</v>
      </c>
      <c r="AR1686" s="15">
        <v>20</v>
      </c>
      <c r="AS1686" s="15">
        <v>52</v>
      </c>
    </row>
    <row r="1687" spans="1:45" x14ac:dyDescent="0.25">
      <c r="A1687">
        <v>2115</v>
      </c>
      <c r="B1687" s="11">
        <f t="shared" si="26"/>
        <v>41275</v>
      </c>
      <c r="C1687" s="16">
        <v>412750</v>
      </c>
      <c r="D1687" s="17">
        <v>1</v>
      </c>
      <c r="E1687" s="17">
        <v>2</v>
      </c>
      <c r="F1687" s="17">
        <v>33</v>
      </c>
      <c r="G1687" s="17">
        <v>60</v>
      </c>
      <c r="H1687" s="13" t="str" cm="1">
        <f t="array" ref="H1687">_xlfn.IFS(G1687&lt;=20,"0-20",G1687&lt;=30,"20-30",G1687&lt;=40,"30-40",G1687&lt;=50,"50-60",G1687&lt;=60,"60-70",G1687&lt;=70,"70-80",G1687&lt;=80,"80-90")</f>
        <v>60-70</v>
      </c>
      <c r="I1687" s="17">
        <v>2256</v>
      </c>
      <c r="J1687" s="13" t="str" cm="1">
        <f t="array" ref="J1687">_xlfn.IFS(K1687=1,"Divorciado",L1687=1,"Casado",M1687=1,"Solteiro",N1687=1,"Juntos",O1687=1,"Viuvo")</f>
        <v>Juntos</v>
      </c>
      <c r="K1687" s="17">
        <v>0</v>
      </c>
      <c r="L1687" s="17">
        <v>0</v>
      </c>
      <c r="M1687" s="17">
        <v>0</v>
      </c>
      <c r="N1687" s="17">
        <v>1</v>
      </c>
      <c r="O1687" s="17">
        <v>0</v>
      </c>
      <c r="P1687" s="17">
        <v>0</v>
      </c>
      <c r="Q1687" s="17">
        <v>0</v>
      </c>
      <c r="R1687" s="17">
        <v>0</v>
      </c>
      <c r="S1687" s="17">
        <v>1</v>
      </c>
      <c r="T1687" s="17">
        <v>0</v>
      </c>
      <c r="U1687" s="17">
        <v>24</v>
      </c>
      <c r="V1687" s="13" t="str" cm="1">
        <f t="array" ref="V1687">_xlfn.IFS(U1687&lt;=250,"0-R$250",U1687&lt;=500,"251-R$500",U1687&lt;=750,"501-R$750",U1687&lt;=1000,"751-R$1000",U1687&lt;=1250,"1001-R$1250",U1687&lt;=1500,"1251-R$1500")</f>
        <v>0-R$250</v>
      </c>
      <c r="W1687" s="17">
        <v>4</v>
      </c>
      <c r="X1687" s="13" t="str" cm="1">
        <f t="array" ref="X1687">_xlfn.IFS(W1687 = 0, "0", W1687&lt;=20, "até R$20",W1687&lt;=40, "21 - R$40",W1687&lt;=60, "41- R$60",W1687&lt;=80, "61 - R$80", W1687&lt;=100, "81 - R$100",W1687&lt;=120, "101 - R$120",W1687&lt;=140, "121 - R$140", W1687&lt;=160, "141- R$160", W1687&lt;=180, "161 - R$180", W1687&lt;=200, "181-R$194")</f>
        <v>até R$20</v>
      </c>
      <c r="Y1687" s="17">
        <v>22</v>
      </c>
      <c r="Z1687" s="17">
        <v>0</v>
      </c>
      <c r="AA1687" s="17">
        <v>2</v>
      </c>
      <c r="AB1687" s="17">
        <v>9</v>
      </c>
      <c r="AC1687" s="17">
        <v>4</v>
      </c>
      <c r="AD1687" s="17">
        <v>3</v>
      </c>
      <c r="AE1687" s="17">
        <v>1</v>
      </c>
      <c r="AF1687" s="17">
        <v>3</v>
      </c>
      <c r="AG1687" s="17">
        <v>5</v>
      </c>
      <c r="AH1687" s="17">
        <v>0</v>
      </c>
      <c r="AI1687" s="17">
        <v>0</v>
      </c>
      <c r="AJ1687" s="17">
        <v>0</v>
      </c>
      <c r="AK1687" s="17">
        <v>0</v>
      </c>
      <c r="AL1687" s="17">
        <v>0</v>
      </c>
      <c r="AM1687" s="17">
        <v>0</v>
      </c>
      <c r="AN1687" s="17">
        <v>0</v>
      </c>
      <c r="AO1687" s="18">
        <v>0</v>
      </c>
      <c r="AP1687" s="17">
        <v>3</v>
      </c>
      <c r="AQ1687" s="17">
        <v>11</v>
      </c>
      <c r="AR1687" s="19">
        <v>43</v>
      </c>
      <c r="AS1687" s="19">
        <v>52</v>
      </c>
    </row>
    <row r="1688" spans="1:45" x14ac:dyDescent="0.25">
      <c r="A1688">
        <v>2120</v>
      </c>
      <c r="B1688" s="11">
        <f t="shared" si="26"/>
        <v>17148</v>
      </c>
      <c r="C1688" s="12">
        <v>171480</v>
      </c>
      <c r="D1688" s="13">
        <v>1</v>
      </c>
      <c r="E1688" s="13">
        <v>0</v>
      </c>
      <c r="F1688" s="13">
        <v>80</v>
      </c>
      <c r="G1688" s="13">
        <v>44</v>
      </c>
      <c r="H1688" s="13" t="str" cm="1">
        <f t="array" ref="H1688">_xlfn.IFS(G1688&lt;=20,"0-20",G1688&lt;=30,"20-30",G1688&lt;=40,"30-40",G1688&lt;=50,"50-60",G1688&lt;=60,"60-70",G1688&lt;=70,"70-80",G1688&lt;=80,"80-90")</f>
        <v>50-60</v>
      </c>
      <c r="I1688" s="13">
        <v>2311</v>
      </c>
      <c r="J1688" s="13" t="str" cm="1">
        <f t="array" ref="J1688">_xlfn.IFS(K1688=1,"Divorciado",L1688=1,"Casado",M1688=1,"Solteiro",N1688=1,"Juntos",O1688=1,"Viuvo")</f>
        <v>Casado</v>
      </c>
      <c r="K1688" s="13">
        <v>0</v>
      </c>
      <c r="L1688" s="13">
        <v>1</v>
      </c>
      <c r="M1688" s="13">
        <v>0</v>
      </c>
      <c r="N1688" s="13">
        <v>0</v>
      </c>
      <c r="O1688" s="13">
        <v>0</v>
      </c>
      <c r="P1688" s="13">
        <v>0</v>
      </c>
      <c r="Q1688" s="13">
        <v>0</v>
      </c>
      <c r="R1688" s="13">
        <v>1</v>
      </c>
      <c r="S1688" s="13">
        <v>0</v>
      </c>
      <c r="T1688" s="13">
        <v>0</v>
      </c>
      <c r="U1688" s="13">
        <v>9</v>
      </c>
      <c r="V1688" s="13" t="str" cm="1">
        <f t="array" ref="V1688">_xlfn.IFS(U1688&lt;=250,"0-R$250",U1688&lt;=500,"251-R$500",U1688&lt;=750,"501-R$750",U1688&lt;=1000,"751-R$1000",U1688&lt;=1250,"1001-R$1250",U1688&lt;=1500,"1251-R$1500")</f>
        <v>0-R$250</v>
      </c>
      <c r="W1688" s="13">
        <v>9</v>
      </c>
      <c r="X1688" s="13" t="str" cm="1">
        <f t="array" ref="X1688">_xlfn.IFS(W1688 = 0, "0", W1688&lt;=20, "até R$20",W1688&lt;=40, "21 - R$40",W1688&lt;=60, "41- R$60",W1688&lt;=80, "61 - R$80", W1688&lt;=100, "81 - R$100",W1688&lt;=120, "101 - R$120",W1688&lt;=140, "121 - R$140", W1688&lt;=160, "141- R$160", W1688&lt;=180, "161 - R$180", W1688&lt;=200, "181-R$194")</f>
        <v>até R$20</v>
      </c>
      <c r="Y1688" s="13">
        <v>11</v>
      </c>
      <c r="Z1688" s="13">
        <v>13</v>
      </c>
      <c r="AA1688" s="13">
        <v>10</v>
      </c>
      <c r="AB1688" s="13">
        <v>16</v>
      </c>
      <c r="AC1688" s="13">
        <v>4</v>
      </c>
      <c r="AD1688" s="13">
        <v>3</v>
      </c>
      <c r="AE1688" s="13">
        <v>1</v>
      </c>
      <c r="AF1688" s="13">
        <v>3</v>
      </c>
      <c r="AG1688" s="13">
        <v>8</v>
      </c>
      <c r="AH1688" s="13">
        <v>0</v>
      </c>
      <c r="AI1688" s="13">
        <v>0</v>
      </c>
      <c r="AJ1688" s="13">
        <v>0</v>
      </c>
      <c r="AK1688" s="13">
        <v>0</v>
      </c>
      <c r="AL1688" s="13">
        <v>0</v>
      </c>
      <c r="AM1688" s="13">
        <v>0</v>
      </c>
      <c r="AN1688" s="13">
        <v>0</v>
      </c>
      <c r="AO1688" s="14">
        <v>0</v>
      </c>
      <c r="AP1688" s="13">
        <v>3</v>
      </c>
      <c r="AQ1688" s="13">
        <v>11</v>
      </c>
      <c r="AR1688" s="15">
        <v>36</v>
      </c>
      <c r="AS1688" s="15">
        <v>52</v>
      </c>
    </row>
    <row r="1689" spans="1:45" x14ac:dyDescent="0.25">
      <c r="A1689">
        <v>110</v>
      </c>
      <c r="B1689" s="11">
        <f t="shared" si="26"/>
        <v>30753</v>
      </c>
      <c r="C1689" s="12">
        <v>307530</v>
      </c>
      <c r="D1689" s="13">
        <v>1</v>
      </c>
      <c r="E1689" s="13">
        <v>1</v>
      </c>
      <c r="F1689" s="13">
        <v>85</v>
      </c>
      <c r="G1689" s="13">
        <v>53</v>
      </c>
      <c r="H1689" s="13" t="str" cm="1">
        <f t="array" ref="H1689">_xlfn.IFS(G1689&lt;=20,"0-20",G1689&lt;=30,"20-30",G1689&lt;=40,"30-40",G1689&lt;=50,"50-60",G1689&lt;=60,"60-70",G1689&lt;=70,"70-80",G1689&lt;=80,"80-90")</f>
        <v>60-70</v>
      </c>
      <c r="I1689" s="13">
        <v>2512</v>
      </c>
      <c r="J1689" s="13" t="str" cm="1">
        <f t="array" ref="J1689">_xlfn.IFS(K1689=1,"Divorciado",L1689=1,"Casado",M1689=1,"Solteiro",N1689=1,"Juntos",O1689=1,"Viuvo")</f>
        <v>Juntos</v>
      </c>
      <c r="K1689" s="13">
        <v>0</v>
      </c>
      <c r="L1689" s="13">
        <v>0</v>
      </c>
      <c r="M1689" s="13">
        <v>0</v>
      </c>
      <c r="N1689" s="13">
        <v>1</v>
      </c>
      <c r="O1689" s="13">
        <v>0</v>
      </c>
      <c r="P1689" s="13">
        <v>1</v>
      </c>
      <c r="Q1689" s="13">
        <v>0</v>
      </c>
      <c r="R1689" s="13">
        <v>0</v>
      </c>
      <c r="S1689" s="13">
        <v>0</v>
      </c>
      <c r="T1689" s="13">
        <v>0</v>
      </c>
      <c r="U1689" s="13">
        <v>12</v>
      </c>
      <c r="V1689" s="13" t="str" cm="1">
        <f t="array" ref="V1689">_xlfn.IFS(U1689&lt;=250,"0-R$250",U1689&lt;=500,"251-R$500",U1689&lt;=750,"501-R$750",U1689&lt;=1000,"751-R$1000",U1689&lt;=1250,"1001-R$1250",U1689&lt;=1500,"1251-R$1500")</f>
        <v>0-R$250</v>
      </c>
      <c r="W1689" s="13">
        <v>5</v>
      </c>
      <c r="X1689" s="13" t="str" cm="1">
        <f t="array" ref="X1689">_xlfn.IFS(W1689 = 0, "0", W1689&lt;=20, "até R$20",W1689&lt;=40, "21 - R$40",W1689&lt;=60, "41- R$60",W1689&lt;=80, "61 - R$80", W1689&lt;=100, "81 - R$100",W1689&lt;=120, "101 - R$120",W1689&lt;=140, "121 - R$140", W1689&lt;=160, "141- R$160", W1689&lt;=180, "161 - R$180", W1689&lt;=200, "181-R$194")</f>
        <v>até R$20</v>
      </c>
      <c r="Y1689" s="13">
        <v>25</v>
      </c>
      <c r="Z1689" s="13">
        <v>0</v>
      </c>
      <c r="AA1689" s="13">
        <v>9</v>
      </c>
      <c r="AB1689" s="13">
        <v>30</v>
      </c>
      <c r="AC1689" s="13">
        <v>2</v>
      </c>
      <c r="AD1689" s="13">
        <v>1</v>
      </c>
      <c r="AE1689" s="13">
        <v>1</v>
      </c>
      <c r="AF1689" s="13">
        <v>3</v>
      </c>
      <c r="AG1689" s="13">
        <v>5</v>
      </c>
      <c r="AH1689" s="13">
        <v>0</v>
      </c>
      <c r="AI1689" s="13">
        <v>0</v>
      </c>
      <c r="AJ1689" s="13">
        <v>0</v>
      </c>
      <c r="AK1689" s="13">
        <v>0</v>
      </c>
      <c r="AL1689" s="13">
        <v>0</v>
      </c>
      <c r="AM1689" s="13">
        <v>0</v>
      </c>
      <c r="AN1689" s="13">
        <v>0</v>
      </c>
      <c r="AO1689" s="14">
        <v>0</v>
      </c>
      <c r="AP1689" s="13">
        <v>3</v>
      </c>
      <c r="AQ1689" s="13">
        <v>11</v>
      </c>
      <c r="AR1689" s="15">
        <v>21</v>
      </c>
      <c r="AS1689" s="15">
        <v>51</v>
      </c>
    </row>
    <row r="1690" spans="1:45" x14ac:dyDescent="0.25">
      <c r="A1690">
        <v>237</v>
      </c>
      <c r="B1690" s="11">
        <f t="shared" si="26"/>
        <v>31160</v>
      </c>
      <c r="C1690" s="16">
        <v>311600</v>
      </c>
      <c r="D1690" s="17">
        <v>1</v>
      </c>
      <c r="E1690" s="17">
        <v>0</v>
      </c>
      <c r="F1690" s="17">
        <v>59</v>
      </c>
      <c r="G1690" s="17">
        <v>45</v>
      </c>
      <c r="H1690" s="13" t="str" cm="1">
        <f t="array" ref="H1690">_xlfn.IFS(G1690&lt;=20,"0-20",G1690&lt;=30,"20-30",G1690&lt;=40,"30-40",G1690&lt;=50,"50-60",G1690&lt;=60,"60-70",G1690&lt;=70,"70-80",G1690&lt;=80,"80-90")</f>
        <v>50-60</v>
      </c>
      <c r="I1690" s="17">
        <v>2445</v>
      </c>
      <c r="J1690" s="13" t="str" cm="1">
        <f t="array" ref="J1690">_xlfn.IFS(K1690=1,"Divorciado",L1690=1,"Casado",M1690=1,"Solteiro",N1690=1,"Juntos",O1690=1,"Viuvo")</f>
        <v>Solteiro</v>
      </c>
      <c r="K1690" s="17">
        <v>0</v>
      </c>
      <c r="L1690" s="17">
        <v>0</v>
      </c>
      <c r="M1690" s="17">
        <v>1</v>
      </c>
      <c r="N1690" s="17">
        <v>0</v>
      </c>
      <c r="O1690" s="17">
        <v>0</v>
      </c>
      <c r="P1690" s="17">
        <v>0</v>
      </c>
      <c r="Q1690" s="17">
        <v>0</v>
      </c>
      <c r="R1690" s="17">
        <v>0</v>
      </c>
      <c r="S1690" s="17">
        <v>1</v>
      </c>
      <c r="T1690" s="17">
        <v>0</v>
      </c>
      <c r="U1690" s="17">
        <v>16</v>
      </c>
      <c r="V1690" s="13" t="str" cm="1">
        <f t="array" ref="V1690">_xlfn.IFS(U1690&lt;=250,"0-R$250",U1690&lt;=500,"251-R$500",U1690&lt;=750,"501-R$750",U1690&lt;=1000,"751-R$1000",U1690&lt;=1250,"1001-R$1250",U1690&lt;=1500,"1251-R$1500")</f>
        <v>0-R$250</v>
      </c>
      <c r="W1690" s="17">
        <v>3</v>
      </c>
      <c r="X1690" s="13" t="str" cm="1">
        <f t="array" ref="X1690">_xlfn.IFS(W1690 = 0, "0", W1690&lt;=20, "até R$20",W1690&lt;=40, "21 - R$40",W1690&lt;=60, "41- R$60",W1690&lt;=80, "61 - R$80", W1690&lt;=100, "81 - R$100",W1690&lt;=120, "101 - R$120",W1690&lt;=140, "121 - R$140", W1690&lt;=160, "141- R$160", W1690&lt;=180, "161 - R$180", W1690&lt;=200, "181-R$194")</f>
        <v>até R$20</v>
      </c>
      <c r="Y1690" s="17">
        <v>25</v>
      </c>
      <c r="Z1690" s="17">
        <v>6</v>
      </c>
      <c r="AA1690" s="17">
        <v>1</v>
      </c>
      <c r="AB1690" s="17">
        <v>13</v>
      </c>
      <c r="AC1690" s="17">
        <v>2</v>
      </c>
      <c r="AD1690" s="17">
        <v>2</v>
      </c>
      <c r="AE1690" s="17">
        <v>0</v>
      </c>
      <c r="AF1690" s="17">
        <v>3</v>
      </c>
      <c r="AG1690" s="17">
        <v>8</v>
      </c>
      <c r="AH1690" s="17">
        <v>0</v>
      </c>
      <c r="AI1690" s="17">
        <v>0</v>
      </c>
      <c r="AJ1690" s="17">
        <v>0</v>
      </c>
      <c r="AK1690" s="17">
        <v>0</v>
      </c>
      <c r="AL1690" s="17">
        <v>0</v>
      </c>
      <c r="AM1690" s="17">
        <v>0</v>
      </c>
      <c r="AN1690" s="17">
        <v>0</v>
      </c>
      <c r="AO1690" s="18">
        <v>0</v>
      </c>
      <c r="AP1690" s="17">
        <v>3</v>
      </c>
      <c r="AQ1690" s="17">
        <v>11</v>
      </c>
      <c r="AR1690" s="19">
        <v>38</v>
      </c>
      <c r="AS1690" s="19">
        <v>51</v>
      </c>
    </row>
    <row r="1691" spans="1:45" x14ac:dyDescent="0.25">
      <c r="A1691">
        <v>346</v>
      </c>
      <c r="B1691" s="11">
        <f t="shared" si="26"/>
        <v>28442</v>
      </c>
      <c r="C1691" s="12">
        <v>284420</v>
      </c>
      <c r="D1691" s="13">
        <v>2</v>
      </c>
      <c r="E1691" s="13">
        <v>0</v>
      </c>
      <c r="F1691" s="13">
        <v>53</v>
      </c>
      <c r="G1691" s="13">
        <v>42</v>
      </c>
      <c r="H1691" s="13" t="str" cm="1">
        <f t="array" ref="H1691">_xlfn.IFS(G1691&lt;=20,"0-20",G1691&lt;=30,"20-30",G1691&lt;=40,"30-40",G1691&lt;=50,"50-60",G1691&lt;=60,"60-70",G1691&lt;=70,"70-80",G1691&lt;=80,"80-90")</f>
        <v>50-60</v>
      </c>
      <c r="I1691" s="13">
        <v>2284</v>
      </c>
      <c r="J1691" s="13" t="str" cm="1">
        <f t="array" ref="J1691">_xlfn.IFS(K1691=1,"Divorciado",L1691=1,"Casado",M1691=1,"Solteiro",N1691=1,"Juntos",O1691=1,"Viuvo")</f>
        <v>Casado</v>
      </c>
      <c r="K1691" s="13">
        <v>0</v>
      </c>
      <c r="L1691" s="13">
        <v>1</v>
      </c>
      <c r="M1691" s="13">
        <v>0</v>
      </c>
      <c r="N1691" s="13">
        <v>0</v>
      </c>
      <c r="O1691" s="13">
        <v>0</v>
      </c>
      <c r="P1691" s="13">
        <v>0</v>
      </c>
      <c r="Q1691" s="13">
        <v>0</v>
      </c>
      <c r="R1691" s="13">
        <v>1</v>
      </c>
      <c r="S1691" s="13">
        <v>0</v>
      </c>
      <c r="T1691" s="13">
        <v>0</v>
      </c>
      <c r="U1691" s="13">
        <v>19</v>
      </c>
      <c r="V1691" s="13" t="str" cm="1">
        <f t="array" ref="V1691">_xlfn.IFS(U1691&lt;=250,"0-R$250",U1691&lt;=500,"251-R$500",U1691&lt;=750,"501-R$750",U1691&lt;=1000,"751-R$1000",U1691&lt;=1250,"1001-R$1250",U1691&lt;=1500,"1251-R$1500")</f>
        <v>0-R$250</v>
      </c>
      <c r="W1691" s="13">
        <v>3</v>
      </c>
      <c r="X1691" s="13" t="str" cm="1">
        <f t="array" ref="X1691">_xlfn.IFS(W1691 = 0, "0", W1691&lt;=20, "até R$20",W1691&lt;=40, "21 - R$40",W1691&lt;=60, "41- R$60",W1691&lt;=80, "61 - R$80", W1691&lt;=100, "81 - R$100",W1691&lt;=120, "101 - R$120",W1691&lt;=140, "121 - R$140", W1691&lt;=160, "141- R$160", W1691&lt;=180, "161 - R$180", W1691&lt;=200, "181-R$194")</f>
        <v>até R$20</v>
      </c>
      <c r="Y1691" s="13">
        <v>10</v>
      </c>
      <c r="Z1691" s="13">
        <v>11</v>
      </c>
      <c r="AA1691" s="13">
        <v>8</v>
      </c>
      <c r="AB1691" s="13">
        <v>6</v>
      </c>
      <c r="AC1691" s="13">
        <v>3</v>
      </c>
      <c r="AD1691" s="13">
        <v>2</v>
      </c>
      <c r="AE1691" s="13">
        <v>1</v>
      </c>
      <c r="AF1691" s="13">
        <v>4</v>
      </c>
      <c r="AG1691" s="13">
        <v>4</v>
      </c>
      <c r="AH1691" s="13">
        <v>0</v>
      </c>
      <c r="AI1691" s="13">
        <v>0</v>
      </c>
      <c r="AJ1691" s="13">
        <v>0</v>
      </c>
      <c r="AK1691" s="13">
        <v>0</v>
      </c>
      <c r="AL1691" s="13">
        <v>0</v>
      </c>
      <c r="AM1691" s="13">
        <v>0</v>
      </c>
      <c r="AN1691" s="13">
        <v>0</v>
      </c>
      <c r="AO1691" s="14">
        <v>0</v>
      </c>
      <c r="AP1691" s="13">
        <v>3</v>
      </c>
      <c r="AQ1691" s="13">
        <v>11</v>
      </c>
      <c r="AR1691" s="15">
        <v>45</v>
      </c>
      <c r="AS1691" s="15">
        <v>51</v>
      </c>
    </row>
    <row r="1692" spans="1:45" x14ac:dyDescent="0.25">
      <c r="A1692">
        <v>925</v>
      </c>
      <c r="B1692" s="11">
        <f t="shared" si="26"/>
        <v>14906</v>
      </c>
      <c r="C1692" s="16">
        <v>149060</v>
      </c>
      <c r="D1692" s="17">
        <v>0</v>
      </c>
      <c r="E1692" s="17">
        <v>0</v>
      </c>
      <c r="F1692" s="17">
        <v>86</v>
      </c>
      <c r="G1692" s="17">
        <v>34</v>
      </c>
      <c r="H1692" s="13" t="str" cm="1">
        <f t="array" ref="H1692">_xlfn.IFS(G1692&lt;=20,"0-20",G1692&lt;=30,"20-30",G1692&lt;=40,"30-40",G1692&lt;=50,"50-60",G1692&lt;=60,"60-70",G1692&lt;=70,"70-80",G1692&lt;=80,"80-90")</f>
        <v>30-40</v>
      </c>
      <c r="I1692" s="17">
        <v>2713</v>
      </c>
      <c r="J1692" s="13" t="str" cm="1">
        <f t="array" ref="J1692">_xlfn.IFS(K1692=1,"Divorciado",L1692=1,"Casado",M1692=1,"Solteiro",N1692=1,"Juntos",O1692=1,"Viuvo")</f>
        <v>Solteiro</v>
      </c>
      <c r="K1692" s="17">
        <v>0</v>
      </c>
      <c r="L1692" s="17">
        <v>0</v>
      </c>
      <c r="M1692" s="17">
        <v>1</v>
      </c>
      <c r="N1692" s="17">
        <v>0</v>
      </c>
      <c r="O1692" s="17">
        <v>0</v>
      </c>
      <c r="P1692" s="17">
        <v>0</v>
      </c>
      <c r="Q1692" s="17">
        <v>1</v>
      </c>
      <c r="R1692" s="17">
        <v>0</v>
      </c>
      <c r="S1692" s="17">
        <v>0</v>
      </c>
      <c r="T1692" s="17">
        <v>0</v>
      </c>
      <c r="U1692" s="17">
        <v>7</v>
      </c>
      <c r="V1692" s="13" t="str" cm="1">
        <f t="array" ref="V1692">_xlfn.IFS(U1692&lt;=250,"0-R$250",U1692&lt;=500,"251-R$500",U1692&lt;=750,"501-R$750",U1692&lt;=1000,"751-R$1000",U1692&lt;=1250,"1001-R$1250",U1692&lt;=1500,"1251-R$1500")</f>
        <v>0-R$250</v>
      </c>
      <c r="W1692" s="17">
        <v>7</v>
      </c>
      <c r="X1692" s="13" t="str" cm="1">
        <f t="array" ref="X1692">_xlfn.IFS(W1692 = 0, "0", W1692&lt;=20, "até R$20",W1692&lt;=40, "21 - R$40",W1692&lt;=60, "41- R$60",W1692&lt;=80, "61 - R$80", W1692&lt;=100, "81 - R$100",W1692&lt;=120, "101 - R$120",W1692&lt;=140, "121 - R$140", W1692&lt;=160, "141- R$160", W1692&lt;=180, "161 - R$180", W1692&lt;=200, "181-R$194")</f>
        <v>até R$20</v>
      </c>
      <c r="Y1692" s="17">
        <v>14</v>
      </c>
      <c r="Z1692" s="17">
        <v>7</v>
      </c>
      <c r="AA1692" s="17">
        <v>16</v>
      </c>
      <c r="AB1692" s="17">
        <v>15</v>
      </c>
      <c r="AC1692" s="17">
        <v>3</v>
      </c>
      <c r="AD1692" s="17">
        <v>2</v>
      </c>
      <c r="AE1692" s="17">
        <v>1</v>
      </c>
      <c r="AF1692" s="17">
        <v>3</v>
      </c>
      <c r="AG1692" s="17">
        <v>7</v>
      </c>
      <c r="AH1692" s="17">
        <v>0</v>
      </c>
      <c r="AI1692" s="17">
        <v>0</v>
      </c>
      <c r="AJ1692" s="17">
        <v>0</v>
      </c>
      <c r="AK1692" s="17">
        <v>0</v>
      </c>
      <c r="AL1692" s="17">
        <v>0</v>
      </c>
      <c r="AM1692" s="17">
        <v>0</v>
      </c>
      <c r="AN1692" s="17">
        <v>0</v>
      </c>
      <c r="AO1692" s="18">
        <v>0</v>
      </c>
      <c r="AP1692" s="17">
        <v>3</v>
      </c>
      <c r="AQ1692" s="17">
        <v>11</v>
      </c>
      <c r="AR1692" s="19">
        <v>36</v>
      </c>
      <c r="AS1692" s="19">
        <v>51</v>
      </c>
    </row>
    <row r="1693" spans="1:45" x14ac:dyDescent="0.25">
      <c r="A1693">
        <v>1213</v>
      </c>
      <c r="B1693" s="11">
        <f t="shared" si="26"/>
        <v>41986</v>
      </c>
      <c r="C1693" s="16">
        <v>419860</v>
      </c>
      <c r="D1693" s="17">
        <v>0</v>
      </c>
      <c r="E1693" s="17">
        <v>1</v>
      </c>
      <c r="F1693" s="17">
        <v>15</v>
      </c>
      <c r="G1693" s="17">
        <v>42</v>
      </c>
      <c r="H1693" s="13" t="str" cm="1">
        <f t="array" ref="H1693">_xlfn.IFS(G1693&lt;=20,"0-20",G1693&lt;=30,"20-30",G1693&lt;=40,"30-40",G1693&lt;=50,"50-60",G1693&lt;=60,"60-70",G1693&lt;=70,"70-80",G1693&lt;=80,"80-90")</f>
        <v>50-60</v>
      </c>
      <c r="I1693" s="17">
        <v>2299</v>
      </c>
      <c r="J1693" s="13" t="str" cm="1">
        <f t="array" ref="J1693">_xlfn.IFS(K1693=1,"Divorciado",L1693=1,"Casado",M1693=1,"Solteiro",N1693=1,"Juntos",O1693=1,"Viuvo")</f>
        <v>Divorciado</v>
      </c>
      <c r="K1693" s="17">
        <v>1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1</v>
      </c>
      <c r="S1693" s="17">
        <v>0</v>
      </c>
      <c r="T1693" s="17">
        <v>0</v>
      </c>
      <c r="U1693" s="17">
        <v>27</v>
      </c>
      <c r="V1693" s="13" t="str" cm="1">
        <f t="array" ref="V1693">_xlfn.IFS(U1693&lt;=250,"0-R$250",U1693&lt;=500,"251-R$500",U1693&lt;=750,"501-R$750",U1693&lt;=1000,"751-R$1000",U1693&lt;=1250,"1001-R$1250",U1693&lt;=1500,"1251-R$1500")</f>
        <v>0-R$250</v>
      </c>
      <c r="W1693" s="17">
        <v>5</v>
      </c>
      <c r="X1693" s="13" t="str" cm="1">
        <f t="array" ref="X1693">_xlfn.IFS(W1693 = 0, "0", W1693&lt;=20, "até R$20",W1693&lt;=40, "21 - R$40",W1693&lt;=60, "41- R$60",W1693&lt;=80, "61 - R$80", W1693&lt;=100, "81 - R$100",W1693&lt;=120, "101 - R$120",W1693&lt;=140, "121 - R$140", W1693&lt;=160, "141- R$160", W1693&lt;=180, "161 - R$180", W1693&lt;=200, "181-R$194")</f>
        <v>até R$20</v>
      </c>
      <c r="Y1693" s="17">
        <v>8</v>
      </c>
      <c r="Z1693" s="17">
        <v>8</v>
      </c>
      <c r="AA1693" s="17">
        <v>3</v>
      </c>
      <c r="AB1693" s="17">
        <v>12</v>
      </c>
      <c r="AC1693" s="17">
        <v>3</v>
      </c>
      <c r="AD1693" s="17">
        <v>3</v>
      </c>
      <c r="AE1693" s="17">
        <v>0</v>
      </c>
      <c r="AF1693" s="17">
        <v>4</v>
      </c>
      <c r="AG1693" s="17">
        <v>4</v>
      </c>
      <c r="AH1693" s="17">
        <v>0</v>
      </c>
      <c r="AI1693" s="17">
        <v>0</v>
      </c>
      <c r="AJ1693" s="17">
        <v>0</v>
      </c>
      <c r="AK1693" s="17">
        <v>0</v>
      </c>
      <c r="AL1693" s="17">
        <v>0</v>
      </c>
      <c r="AM1693" s="17">
        <v>0</v>
      </c>
      <c r="AN1693" s="17">
        <v>0</v>
      </c>
      <c r="AO1693" s="18">
        <v>0</v>
      </c>
      <c r="AP1693" s="17">
        <v>3</v>
      </c>
      <c r="AQ1693" s="17">
        <v>11</v>
      </c>
      <c r="AR1693" s="19">
        <v>39</v>
      </c>
      <c r="AS1693" s="19">
        <v>51</v>
      </c>
    </row>
    <row r="1694" spans="1:45" x14ac:dyDescent="0.25">
      <c r="A1694">
        <v>1306</v>
      </c>
      <c r="B1694" s="11">
        <f t="shared" si="26"/>
        <v>24711</v>
      </c>
      <c r="C1694" s="12">
        <v>247110</v>
      </c>
      <c r="D1694" s="13">
        <v>0</v>
      </c>
      <c r="E1694" s="13">
        <v>0</v>
      </c>
      <c r="F1694" s="13">
        <v>86</v>
      </c>
      <c r="G1694" s="13">
        <v>38</v>
      </c>
      <c r="H1694" s="13" t="str" cm="1">
        <f t="array" ref="H1694">_xlfn.IFS(G1694&lt;=20,"0-20",G1694&lt;=30,"20-30",G1694&lt;=40,"30-40",G1694&lt;=50,"50-60",G1694&lt;=60,"60-70",G1694&lt;=70,"70-80",G1694&lt;=80,"80-90")</f>
        <v>30-40</v>
      </c>
      <c r="I1694" s="13">
        <v>2231</v>
      </c>
      <c r="J1694" s="13" t="str" cm="1">
        <f t="array" ref="J1694">_xlfn.IFS(K1694=1,"Divorciado",L1694=1,"Casado",M1694=1,"Solteiro",N1694=1,"Juntos",O1694=1,"Viuvo")</f>
        <v>Casado</v>
      </c>
      <c r="K1694" s="13">
        <v>0</v>
      </c>
      <c r="L1694" s="13">
        <v>1</v>
      </c>
      <c r="M1694" s="13">
        <v>0</v>
      </c>
      <c r="N1694" s="13">
        <v>0</v>
      </c>
      <c r="O1694" s="13">
        <v>0</v>
      </c>
      <c r="P1694" s="13">
        <v>0</v>
      </c>
      <c r="Q1694" s="13">
        <v>0</v>
      </c>
      <c r="R1694" s="13">
        <v>1</v>
      </c>
      <c r="S1694" s="13">
        <v>0</v>
      </c>
      <c r="T1694" s="13">
        <v>0</v>
      </c>
      <c r="U1694" s="13">
        <v>10</v>
      </c>
      <c r="V1694" s="13" t="str" cm="1">
        <f t="array" ref="V1694">_xlfn.IFS(U1694&lt;=250,"0-R$250",U1694&lt;=500,"251-R$500",U1694&lt;=750,"501-R$750",U1694&lt;=1000,"751-R$1000",U1694&lt;=1250,"1001-R$1250",U1694&lt;=1500,"1251-R$1500")</f>
        <v>0-R$250</v>
      </c>
      <c r="W1694" s="13">
        <v>7</v>
      </c>
      <c r="X1694" s="13" t="str" cm="1">
        <f t="array" ref="X1694">_xlfn.IFS(W1694 = 0, "0", W1694&lt;=20, "até R$20",W1694&lt;=40, "21 - R$40",W1694&lt;=60, "41- R$60",W1694&lt;=80, "61 - R$80", W1694&lt;=100, "81 - R$100",W1694&lt;=120, "101 - R$120",W1694&lt;=140, "121 - R$140", W1694&lt;=160, "141- R$160", W1694&lt;=180, "161 - R$180", W1694&lt;=200, "181-R$194")</f>
        <v>até R$20</v>
      </c>
      <c r="Y1694" s="13">
        <v>25</v>
      </c>
      <c r="Z1694" s="13">
        <v>6</v>
      </c>
      <c r="AA1694" s="13">
        <v>3</v>
      </c>
      <c r="AB1694" s="13">
        <v>7</v>
      </c>
      <c r="AC1694" s="13">
        <v>1</v>
      </c>
      <c r="AD1694" s="13">
        <v>3</v>
      </c>
      <c r="AE1694" s="13">
        <v>0</v>
      </c>
      <c r="AF1694" s="13">
        <v>3</v>
      </c>
      <c r="AG1694" s="13">
        <v>7</v>
      </c>
      <c r="AH1694" s="13">
        <v>0</v>
      </c>
      <c r="AI1694" s="13">
        <v>0</v>
      </c>
      <c r="AJ1694" s="13">
        <v>0</v>
      </c>
      <c r="AK1694" s="13">
        <v>0</v>
      </c>
      <c r="AL1694" s="13">
        <v>0</v>
      </c>
      <c r="AM1694" s="13">
        <v>0</v>
      </c>
      <c r="AN1694" s="13">
        <v>0</v>
      </c>
      <c r="AO1694" s="14">
        <v>0</v>
      </c>
      <c r="AP1694" s="13">
        <v>3</v>
      </c>
      <c r="AQ1694" s="13">
        <v>11</v>
      </c>
      <c r="AR1694" s="15">
        <v>44</v>
      </c>
      <c r="AS1694" s="15">
        <v>51</v>
      </c>
    </row>
    <row r="1695" spans="1:45" x14ac:dyDescent="0.25">
      <c r="A1695">
        <v>2175</v>
      </c>
      <c r="B1695" s="11">
        <f t="shared" si="26"/>
        <v>32144</v>
      </c>
      <c r="C1695" s="16">
        <v>321440</v>
      </c>
      <c r="D1695" s="17">
        <v>1</v>
      </c>
      <c r="E1695" s="17">
        <v>1</v>
      </c>
      <c r="F1695" s="17">
        <v>76</v>
      </c>
      <c r="G1695" s="17">
        <v>66</v>
      </c>
      <c r="H1695" s="13" t="str" cm="1">
        <f t="array" ref="H1695">_xlfn.IFS(G1695&lt;=20,"0-20",G1695&lt;=30,"20-30",G1695&lt;=40,"30-40",G1695&lt;=50,"50-60",G1695&lt;=60,"60-70",G1695&lt;=70,"70-80",G1695&lt;=80,"80-90")</f>
        <v>70-80</v>
      </c>
      <c r="I1695" s="17">
        <v>2257</v>
      </c>
      <c r="J1695" s="13" t="str" cm="1">
        <f t="array" ref="J1695">_xlfn.IFS(K1695=1,"Divorciado",L1695=1,"Casado",M1695=1,"Solteiro",N1695=1,"Juntos",O1695=1,"Viuvo")</f>
        <v>Juntos</v>
      </c>
      <c r="K1695" s="17">
        <v>0</v>
      </c>
      <c r="L1695" s="17">
        <v>0</v>
      </c>
      <c r="M1695" s="17">
        <v>0</v>
      </c>
      <c r="N1695" s="17">
        <v>1</v>
      </c>
      <c r="O1695" s="17">
        <v>0</v>
      </c>
      <c r="P1695" s="17">
        <v>0</v>
      </c>
      <c r="Q1695" s="17">
        <v>0</v>
      </c>
      <c r="R1695" s="17">
        <v>1</v>
      </c>
      <c r="S1695" s="17">
        <v>0</v>
      </c>
      <c r="T1695" s="17">
        <v>0</v>
      </c>
      <c r="U1695" s="17">
        <v>41</v>
      </c>
      <c r="V1695" s="13" t="str" cm="1">
        <f t="array" ref="V1695">_xlfn.IFS(U1695&lt;=250,"0-R$250",U1695&lt;=500,"251-R$500",U1695&lt;=750,"501-R$750",U1695&lt;=1000,"751-R$1000",U1695&lt;=1250,"1001-R$1250",U1695&lt;=1500,"1251-R$1500")</f>
        <v>0-R$250</v>
      </c>
      <c r="W1695" s="17">
        <v>0</v>
      </c>
      <c r="X1695" s="13" t="str" cm="1">
        <f t="array" ref="X1695">_xlfn.IFS(W1695 = 0, "0", W1695&lt;=20, "até R$20",W1695&lt;=40, "21 - R$40",W1695&lt;=60, "41- R$60",W1695&lt;=80, "61 - R$80", W1695&lt;=100, "81 - R$100",W1695&lt;=120, "101 - R$120",W1695&lt;=140, "121 - R$140", W1695&lt;=160, "141- R$160", W1695&lt;=180, "161 - R$180", W1695&lt;=200, "181-R$194")</f>
        <v>0</v>
      </c>
      <c r="Y1695" s="17">
        <v>10</v>
      </c>
      <c r="Z1695" s="17">
        <v>0</v>
      </c>
      <c r="AA1695" s="17">
        <v>0</v>
      </c>
      <c r="AB1695" s="17">
        <v>3</v>
      </c>
      <c r="AC1695" s="17">
        <v>4</v>
      </c>
      <c r="AD1695" s="17">
        <v>2</v>
      </c>
      <c r="AE1695" s="17">
        <v>1</v>
      </c>
      <c r="AF1695" s="17">
        <v>3</v>
      </c>
      <c r="AG1695" s="17">
        <v>7</v>
      </c>
      <c r="AH1695" s="17">
        <v>0</v>
      </c>
      <c r="AI1695" s="17">
        <v>0</v>
      </c>
      <c r="AJ1695" s="17">
        <v>1</v>
      </c>
      <c r="AK1695" s="17">
        <v>0</v>
      </c>
      <c r="AL1695" s="17">
        <v>0</v>
      </c>
      <c r="AM1695" s="17">
        <v>0</v>
      </c>
      <c r="AN1695" s="17">
        <v>0</v>
      </c>
      <c r="AO1695" s="18">
        <v>1</v>
      </c>
      <c r="AP1695" s="17">
        <v>3</v>
      </c>
      <c r="AQ1695" s="17">
        <v>11</v>
      </c>
      <c r="AR1695" s="19">
        <v>48</v>
      </c>
      <c r="AS1695" s="19">
        <v>51</v>
      </c>
    </row>
    <row r="1696" spans="1:45" x14ac:dyDescent="0.25">
      <c r="A1696">
        <v>93</v>
      </c>
      <c r="B1696" s="11">
        <f t="shared" si="26"/>
        <v>34554</v>
      </c>
      <c r="C1696" s="16">
        <v>345540</v>
      </c>
      <c r="D1696" s="17">
        <v>0</v>
      </c>
      <c r="E1696" s="17">
        <v>1</v>
      </c>
      <c r="F1696" s="17">
        <v>43</v>
      </c>
      <c r="G1696" s="17">
        <v>61</v>
      </c>
      <c r="H1696" s="13" t="str" cm="1">
        <f t="array" ref="H1696">_xlfn.IFS(G1696&lt;=20,"0-20",G1696&lt;=30,"20-30",G1696&lt;=40,"30-40",G1696&lt;=50,"50-60",G1696&lt;=60,"60-70",G1696&lt;=70,"70-80",G1696&lt;=80,"80-90")</f>
        <v>70-80</v>
      </c>
      <c r="I1696" s="17">
        <v>2250</v>
      </c>
      <c r="J1696" s="13" t="str" cm="1">
        <f t="array" ref="J1696">_xlfn.IFS(K1696=1,"Divorciado",L1696=1,"Casado",M1696=1,"Solteiro",N1696=1,"Juntos",O1696=1,"Viuvo")</f>
        <v>Solteiro</v>
      </c>
      <c r="K1696" s="17">
        <v>0</v>
      </c>
      <c r="L1696" s="17">
        <v>0</v>
      </c>
      <c r="M1696" s="17">
        <v>1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1</v>
      </c>
      <c r="U1696" s="17">
        <v>41</v>
      </c>
      <c r="V1696" s="13" t="str" cm="1">
        <f t="array" ref="V1696">_xlfn.IFS(U1696&lt;=250,"0-R$250",U1696&lt;=500,"251-R$500",U1696&lt;=750,"501-R$750",U1696&lt;=1000,"751-R$1000",U1696&lt;=1250,"1001-R$1250",U1696&lt;=1500,"1251-R$1500")</f>
        <v>0-R$250</v>
      </c>
      <c r="W1696" s="17">
        <v>1</v>
      </c>
      <c r="X1696" s="13" t="str" cm="1">
        <f t="array" ref="X1696">_xlfn.IFS(W1696 = 0, "0", W1696&lt;=20, "até R$20",W1696&lt;=40, "21 - R$40",W1696&lt;=60, "41- R$60",W1696&lt;=80, "61 - R$80", W1696&lt;=100, "81 - R$100",W1696&lt;=120, "101 - R$120",W1696&lt;=140, "121 - R$140", W1696&lt;=160, "141- R$160", W1696&lt;=180, "161 - R$180", W1696&lt;=200, "181-R$194")</f>
        <v>até R$20</v>
      </c>
      <c r="Y1696" s="17">
        <v>6</v>
      </c>
      <c r="Z1696" s="17">
        <v>2</v>
      </c>
      <c r="AA1696" s="17">
        <v>0</v>
      </c>
      <c r="AB1696" s="17">
        <v>5</v>
      </c>
      <c r="AC1696" s="17">
        <v>2</v>
      </c>
      <c r="AD1696" s="17">
        <v>2</v>
      </c>
      <c r="AE1696" s="17">
        <v>0</v>
      </c>
      <c r="AF1696" s="17">
        <v>3</v>
      </c>
      <c r="AG1696" s="17">
        <v>6</v>
      </c>
      <c r="AH1696" s="17">
        <v>0</v>
      </c>
      <c r="AI1696" s="17">
        <v>0</v>
      </c>
      <c r="AJ1696" s="17">
        <v>0</v>
      </c>
      <c r="AK1696" s="17">
        <v>0</v>
      </c>
      <c r="AL1696" s="17">
        <v>0</v>
      </c>
      <c r="AM1696" s="17">
        <v>0</v>
      </c>
      <c r="AN1696" s="17">
        <v>0</v>
      </c>
      <c r="AO1696" s="18">
        <v>0</v>
      </c>
      <c r="AP1696" s="17">
        <v>3</v>
      </c>
      <c r="AQ1696" s="17">
        <v>11</v>
      </c>
      <c r="AR1696" s="19">
        <v>45</v>
      </c>
      <c r="AS1696" s="19">
        <v>50</v>
      </c>
    </row>
    <row r="1697" spans="1:45" x14ac:dyDescent="0.25">
      <c r="A1697">
        <v>272</v>
      </c>
      <c r="B1697" s="11">
        <f t="shared" si="26"/>
        <v>30631</v>
      </c>
      <c r="C1697" s="12">
        <v>306310</v>
      </c>
      <c r="D1697" s="13">
        <v>1</v>
      </c>
      <c r="E1697" s="13">
        <v>0</v>
      </c>
      <c r="F1697" s="13">
        <v>75</v>
      </c>
      <c r="G1697" s="13">
        <v>46</v>
      </c>
      <c r="H1697" s="13" t="str" cm="1">
        <f t="array" ref="H1697">_xlfn.IFS(G1697&lt;=20,"0-20",G1697&lt;=30,"20-30",G1697&lt;=40,"30-40",G1697&lt;=50,"50-60",G1697&lt;=60,"60-70",G1697&lt;=70,"70-80",G1697&lt;=80,"80-90")</f>
        <v>50-60</v>
      </c>
      <c r="I1697" s="13">
        <v>2511</v>
      </c>
      <c r="J1697" s="13" t="str" cm="1">
        <f t="array" ref="J1697">_xlfn.IFS(K1697=1,"Divorciado",L1697=1,"Casado",M1697=1,"Solteiro",N1697=1,"Juntos",O1697=1,"Viuvo")</f>
        <v>Casado</v>
      </c>
      <c r="K1697" s="13">
        <v>0</v>
      </c>
      <c r="L1697" s="13">
        <v>1</v>
      </c>
      <c r="M1697" s="13">
        <v>0</v>
      </c>
      <c r="N1697" s="13">
        <v>0</v>
      </c>
      <c r="O1697" s="13">
        <v>0</v>
      </c>
      <c r="P1697" s="13">
        <v>0</v>
      </c>
      <c r="Q1697" s="13">
        <v>0</v>
      </c>
      <c r="R1697" s="13">
        <v>1</v>
      </c>
      <c r="S1697" s="13">
        <v>0</v>
      </c>
      <c r="T1697" s="13">
        <v>0</v>
      </c>
      <c r="U1697" s="13">
        <v>15</v>
      </c>
      <c r="V1697" s="13" t="str" cm="1">
        <f t="array" ref="V1697">_xlfn.IFS(U1697&lt;=250,"0-R$250",U1697&lt;=500,"251-R$500",U1697&lt;=750,"501-R$750",U1697&lt;=1000,"751-R$1000",U1697&lt;=1250,"1001-R$1250",U1697&lt;=1500,"1251-R$1500")</f>
        <v>0-R$250</v>
      </c>
      <c r="W1697" s="13">
        <v>6</v>
      </c>
      <c r="X1697" s="13" t="str" cm="1">
        <f t="array" ref="X1697">_xlfn.IFS(W1697 = 0, "0", W1697&lt;=20, "até R$20",W1697&lt;=40, "21 - R$40",W1697&lt;=60, "41- R$60",W1697&lt;=80, "61 - R$80", W1697&lt;=100, "81 - R$100",W1697&lt;=120, "101 - R$120",W1697&lt;=140, "121 - R$140", W1697&lt;=160, "141- R$160", W1697&lt;=180, "161 - R$180", W1697&lt;=200, "181-R$194")</f>
        <v>até R$20</v>
      </c>
      <c r="Y1697" s="13">
        <v>20</v>
      </c>
      <c r="Z1697" s="13">
        <v>4</v>
      </c>
      <c r="AA1697" s="13">
        <v>5</v>
      </c>
      <c r="AB1697" s="13">
        <v>20</v>
      </c>
      <c r="AC1697" s="13">
        <v>1</v>
      </c>
      <c r="AD1697" s="13">
        <v>3</v>
      </c>
      <c r="AE1697" s="13">
        <v>1</v>
      </c>
      <c r="AF1697" s="13">
        <v>2</v>
      </c>
      <c r="AG1697" s="13">
        <v>7</v>
      </c>
      <c r="AH1697" s="13">
        <v>0</v>
      </c>
      <c r="AI1697" s="13">
        <v>0</v>
      </c>
      <c r="AJ1697" s="13">
        <v>0</v>
      </c>
      <c r="AK1697" s="13">
        <v>0</v>
      </c>
      <c r="AL1697" s="13">
        <v>0</v>
      </c>
      <c r="AM1697" s="13">
        <v>0</v>
      </c>
      <c r="AN1697" s="13">
        <v>0</v>
      </c>
      <c r="AO1697" s="14">
        <v>0</v>
      </c>
      <c r="AP1697" s="13">
        <v>3</v>
      </c>
      <c r="AQ1697" s="13">
        <v>11</v>
      </c>
      <c r="AR1697" s="15">
        <v>30</v>
      </c>
      <c r="AS1697" s="15">
        <v>50</v>
      </c>
    </row>
    <row r="1698" spans="1:45" x14ac:dyDescent="0.25">
      <c r="A1698">
        <v>400</v>
      </c>
      <c r="B1698" s="11">
        <f t="shared" si="26"/>
        <v>19789</v>
      </c>
      <c r="C1698" s="12">
        <v>197890</v>
      </c>
      <c r="D1698" s="13">
        <v>1</v>
      </c>
      <c r="E1698" s="13">
        <v>0</v>
      </c>
      <c r="F1698" s="13">
        <v>24</v>
      </c>
      <c r="G1698" s="13">
        <v>45</v>
      </c>
      <c r="H1698" s="13" t="str" cm="1">
        <f t="array" ref="H1698">_xlfn.IFS(G1698&lt;=20,"0-20",G1698&lt;=30,"20-30",G1698&lt;=40,"30-40",G1698&lt;=50,"50-60",G1698&lt;=60,"60-70",G1698&lt;=70,"70-80",G1698&lt;=80,"80-90")</f>
        <v>50-60</v>
      </c>
      <c r="I1698" s="13">
        <v>2380</v>
      </c>
      <c r="J1698" s="13" t="str" cm="1">
        <f t="array" ref="J1698">_xlfn.IFS(K1698=1,"Divorciado",L1698=1,"Casado",M1698=1,"Solteiro",N1698=1,"Juntos",O1698=1,"Viuvo")</f>
        <v>Juntos</v>
      </c>
      <c r="K1698" s="13">
        <v>0</v>
      </c>
      <c r="L1698" s="13">
        <v>0</v>
      </c>
      <c r="M1698" s="13">
        <v>0</v>
      </c>
      <c r="N1698" s="13">
        <v>1</v>
      </c>
      <c r="O1698" s="13">
        <v>0</v>
      </c>
      <c r="P1698" s="13">
        <v>1</v>
      </c>
      <c r="Q1698" s="13">
        <v>0</v>
      </c>
      <c r="R1698" s="13">
        <v>0</v>
      </c>
      <c r="S1698" s="13">
        <v>0</v>
      </c>
      <c r="T1698" s="13">
        <v>0</v>
      </c>
      <c r="U1698" s="13">
        <v>2</v>
      </c>
      <c r="V1698" s="13" t="str" cm="1">
        <f t="array" ref="V1698">_xlfn.IFS(U1698&lt;=250,"0-R$250",U1698&lt;=500,"251-R$500",U1698&lt;=750,"501-R$750",U1698&lt;=1000,"751-R$1000",U1698&lt;=1250,"1001-R$1250",U1698&lt;=1500,"1251-R$1500")</f>
        <v>0-R$250</v>
      </c>
      <c r="W1698" s="13">
        <v>5</v>
      </c>
      <c r="X1698" s="13" t="str" cm="1">
        <f t="array" ref="X1698">_xlfn.IFS(W1698 = 0, "0", W1698&lt;=20, "até R$20",W1698&lt;=40, "21 - R$40",W1698&lt;=60, "41- R$60",W1698&lt;=80, "61 - R$80", W1698&lt;=100, "81 - R$100",W1698&lt;=120, "101 - R$120",W1698&lt;=140, "121 - R$140", W1698&lt;=160, "141- R$160", W1698&lt;=180, "161 - R$180", W1698&lt;=200, "181-R$194")</f>
        <v>até R$20</v>
      </c>
      <c r="Y1698" s="13">
        <v>9</v>
      </c>
      <c r="Z1698" s="13">
        <v>28</v>
      </c>
      <c r="AA1698" s="13">
        <v>6</v>
      </c>
      <c r="AB1698" s="13">
        <v>28</v>
      </c>
      <c r="AC1698" s="13">
        <v>3</v>
      </c>
      <c r="AD1698" s="13">
        <v>2</v>
      </c>
      <c r="AE1698" s="13">
        <v>1</v>
      </c>
      <c r="AF1698" s="13">
        <v>3</v>
      </c>
      <c r="AG1698" s="13">
        <v>5</v>
      </c>
      <c r="AH1698" s="13">
        <v>0</v>
      </c>
      <c r="AI1698" s="13">
        <v>1</v>
      </c>
      <c r="AJ1698" s="13">
        <v>0</v>
      </c>
      <c r="AK1698" s="13">
        <v>0</v>
      </c>
      <c r="AL1698" s="13">
        <v>0</v>
      </c>
      <c r="AM1698" s="13">
        <v>0</v>
      </c>
      <c r="AN1698" s="13">
        <v>0</v>
      </c>
      <c r="AO1698" s="14">
        <v>1</v>
      </c>
      <c r="AP1698" s="13">
        <v>3</v>
      </c>
      <c r="AQ1698" s="13">
        <v>11</v>
      </c>
      <c r="AR1698" s="15">
        <v>22</v>
      </c>
      <c r="AS1698" s="15">
        <v>50</v>
      </c>
    </row>
    <row r="1699" spans="1:45" x14ac:dyDescent="0.25">
      <c r="A1699">
        <v>523</v>
      </c>
      <c r="B1699" s="11">
        <f t="shared" si="26"/>
        <v>22944</v>
      </c>
      <c r="C1699" s="16">
        <v>229440</v>
      </c>
      <c r="D1699" s="17">
        <v>1</v>
      </c>
      <c r="E1699" s="17">
        <v>0</v>
      </c>
      <c r="F1699" s="17">
        <v>67</v>
      </c>
      <c r="G1699" s="17">
        <v>39</v>
      </c>
      <c r="H1699" s="13" t="str" cm="1">
        <f t="array" ref="H1699">_xlfn.IFS(G1699&lt;=20,"0-20",G1699&lt;=30,"20-30",G1699&lt;=40,"30-40",G1699&lt;=50,"50-60",G1699&lt;=60,"60-70",G1699&lt;=70,"70-80",G1699&lt;=80,"80-90")</f>
        <v>30-40</v>
      </c>
      <c r="I1699" s="17">
        <v>2347</v>
      </c>
      <c r="J1699" s="13" t="str" cm="1">
        <f t="array" ref="J1699">_xlfn.IFS(K1699=1,"Divorciado",L1699=1,"Casado",M1699=1,"Solteiro",N1699=1,"Juntos",O1699=1,"Viuvo")</f>
        <v>Solteiro</v>
      </c>
      <c r="K1699" s="17">
        <v>0</v>
      </c>
      <c r="L1699" s="17">
        <v>0</v>
      </c>
      <c r="M1699" s="17">
        <v>1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1</v>
      </c>
      <c r="T1699" s="17">
        <v>0</v>
      </c>
      <c r="U1699" s="17">
        <v>19</v>
      </c>
      <c r="V1699" s="13" t="str" cm="1">
        <f t="array" ref="V1699">_xlfn.IFS(U1699&lt;=250,"0-R$250",U1699&lt;=500,"251-R$500",U1699&lt;=750,"501-R$750",U1699&lt;=1000,"751-R$1000",U1699&lt;=1250,"1001-R$1250",U1699&lt;=1500,"1251-R$1500")</f>
        <v>0-R$250</v>
      </c>
      <c r="W1699" s="17">
        <v>3</v>
      </c>
      <c r="X1699" s="13" t="str" cm="1">
        <f t="array" ref="X1699">_xlfn.IFS(W1699 = 0, "0", W1699&lt;=20, "até R$20",W1699&lt;=40, "21 - R$40",W1699&lt;=60, "41- R$60",W1699&lt;=80, "61 - R$80", W1699&lt;=100, "81 - R$100",W1699&lt;=120, "101 - R$120",W1699&lt;=140, "121 - R$140", W1699&lt;=160, "141- R$160", W1699&lt;=180, "161 - R$180", W1699&lt;=200, "181-R$194")</f>
        <v>até R$20</v>
      </c>
      <c r="Y1699" s="17">
        <v>19</v>
      </c>
      <c r="Z1699" s="17">
        <v>4</v>
      </c>
      <c r="AA1699" s="17">
        <v>5</v>
      </c>
      <c r="AB1699" s="17">
        <v>26</v>
      </c>
      <c r="AC1699" s="17">
        <v>3</v>
      </c>
      <c r="AD1699" s="17">
        <v>3</v>
      </c>
      <c r="AE1699" s="17">
        <v>0</v>
      </c>
      <c r="AF1699" s="17">
        <v>3</v>
      </c>
      <c r="AG1699" s="17">
        <v>7</v>
      </c>
      <c r="AH1699" s="17">
        <v>0</v>
      </c>
      <c r="AI1699" s="17">
        <v>0</v>
      </c>
      <c r="AJ1699" s="17">
        <v>0</v>
      </c>
      <c r="AK1699" s="17">
        <v>0</v>
      </c>
      <c r="AL1699" s="17">
        <v>0</v>
      </c>
      <c r="AM1699" s="17">
        <v>0</v>
      </c>
      <c r="AN1699" s="17">
        <v>0</v>
      </c>
      <c r="AO1699" s="18">
        <v>0</v>
      </c>
      <c r="AP1699" s="17">
        <v>3</v>
      </c>
      <c r="AQ1699" s="17">
        <v>11</v>
      </c>
      <c r="AR1699" s="19">
        <v>24</v>
      </c>
      <c r="AS1699" s="19">
        <v>50</v>
      </c>
    </row>
    <row r="1700" spans="1:45" x14ac:dyDescent="0.25">
      <c r="A1700">
        <v>868</v>
      </c>
      <c r="B1700" s="11">
        <f t="shared" si="26"/>
        <v>42243</v>
      </c>
      <c r="C1700" s="12">
        <v>422430</v>
      </c>
      <c r="D1700" s="13">
        <v>1</v>
      </c>
      <c r="E1700" s="13">
        <v>1</v>
      </c>
      <c r="F1700" s="13">
        <v>34</v>
      </c>
      <c r="G1700" s="13">
        <v>61</v>
      </c>
      <c r="H1700" s="13" t="str" cm="1">
        <f t="array" ref="H1700">_xlfn.IFS(G1700&lt;=20,"0-20",G1700&lt;=30,"20-30",G1700&lt;=40,"30-40",G1700&lt;=50,"50-60",G1700&lt;=60,"60-70",G1700&lt;=70,"70-80",G1700&lt;=80,"80-90")</f>
        <v>70-80</v>
      </c>
      <c r="I1700" s="13">
        <v>2359</v>
      </c>
      <c r="J1700" s="13" t="str" cm="1">
        <f t="array" ref="J1700">_xlfn.IFS(K1700=1,"Divorciado",L1700=1,"Casado",M1700=1,"Solteiro",N1700=1,"Juntos",O1700=1,"Viuvo")</f>
        <v>Casado</v>
      </c>
      <c r="K1700" s="13">
        <v>0</v>
      </c>
      <c r="L1700" s="13">
        <v>1</v>
      </c>
      <c r="M1700" s="13">
        <v>0</v>
      </c>
      <c r="N1700" s="13">
        <v>0</v>
      </c>
      <c r="O1700" s="13">
        <v>0</v>
      </c>
      <c r="P1700" s="13">
        <v>0</v>
      </c>
      <c r="Q1700" s="13">
        <v>0</v>
      </c>
      <c r="R1700" s="13">
        <v>1</v>
      </c>
      <c r="S1700" s="13">
        <v>0</v>
      </c>
      <c r="T1700" s="13">
        <v>0</v>
      </c>
      <c r="U1700" s="13">
        <v>48</v>
      </c>
      <c r="V1700" s="13" t="str" cm="1">
        <f t="array" ref="V1700">_xlfn.IFS(U1700&lt;=250,"0-R$250",U1700&lt;=500,"251-R$500",U1700&lt;=750,"501-R$750",U1700&lt;=1000,"751-R$1000",U1700&lt;=1250,"1001-R$1250",U1700&lt;=1500,"1251-R$1500")</f>
        <v>0-R$250</v>
      </c>
      <c r="W1700" s="13">
        <v>0</v>
      </c>
      <c r="X1700" s="13" t="str" cm="1">
        <f t="array" ref="X1700">_xlfn.IFS(W1700 = 0, "0", W1700&lt;=20, "até R$20",W1700&lt;=40, "21 - R$40",W1700&lt;=60, "41- R$60",W1700&lt;=80, "61 - R$80", W1700&lt;=100, "81 - R$100",W1700&lt;=120, "101 - R$120",W1700&lt;=140, "121 - R$140", W1700&lt;=160, "141- R$160", W1700&lt;=180, "161 - R$180", W1700&lt;=200, "181-R$194")</f>
        <v>0</v>
      </c>
      <c r="Y1700" s="13">
        <v>2</v>
      </c>
      <c r="Z1700" s="13">
        <v>0</v>
      </c>
      <c r="AA1700" s="13">
        <v>0</v>
      </c>
      <c r="AB1700" s="13">
        <v>5</v>
      </c>
      <c r="AC1700" s="13">
        <v>2</v>
      </c>
      <c r="AD1700" s="13">
        <v>2</v>
      </c>
      <c r="AE1700" s="13">
        <v>0</v>
      </c>
      <c r="AF1700" s="13">
        <v>3</v>
      </c>
      <c r="AG1700" s="13">
        <v>7</v>
      </c>
      <c r="AH1700" s="13">
        <v>0</v>
      </c>
      <c r="AI1700" s="13">
        <v>0</v>
      </c>
      <c r="AJ1700" s="13">
        <v>0</v>
      </c>
      <c r="AK1700" s="13">
        <v>0</v>
      </c>
      <c r="AL1700" s="13">
        <v>0</v>
      </c>
      <c r="AM1700" s="13">
        <v>0</v>
      </c>
      <c r="AN1700" s="13">
        <v>0</v>
      </c>
      <c r="AO1700" s="14">
        <v>0</v>
      </c>
      <c r="AP1700" s="13">
        <v>3</v>
      </c>
      <c r="AQ1700" s="13">
        <v>11</v>
      </c>
      <c r="AR1700" s="15">
        <v>45</v>
      </c>
      <c r="AS1700" s="15">
        <v>50</v>
      </c>
    </row>
    <row r="1701" spans="1:45" x14ac:dyDescent="0.25">
      <c r="A1701">
        <v>904</v>
      </c>
      <c r="B1701" s="11">
        <f t="shared" si="26"/>
        <v>34469</v>
      </c>
      <c r="C1701" s="12">
        <v>344690</v>
      </c>
      <c r="D1701" s="13">
        <v>1</v>
      </c>
      <c r="E1701" s="13">
        <v>1</v>
      </c>
      <c r="F1701" s="13">
        <v>58</v>
      </c>
      <c r="G1701" s="13">
        <v>72</v>
      </c>
      <c r="H1701" s="13" t="str" cm="1">
        <f t="array" ref="H1701">_xlfn.IFS(G1701&lt;=20,"0-20",G1701&lt;=30,"20-30",G1701&lt;=40,"30-40",G1701&lt;=50,"50-60",G1701&lt;=60,"60-70",G1701&lt;=70,"70-80",G1701&lt;=80,"80-90")</f>
        <v>80-90</v>
      </c>
      <c r="I1701" s="13">
        <v>2215</v>
      </c>
      <c r="J1701" s="13" t="str" cm="1">
        <f t="array" ref="J1701">_xlfn.IFS(K1701=1,"Divorciado",L1701=1,"Casado",M1701=1,"Solteiro",N1701=1,"Juntos",O1701=1,"Viuvo")</f>
        <v>Casado</v>
      </c>
      <c r="K1701" s="13">
        <v>0</v>
      </c>
      <c r="L1701" s="13">
        <v>1</v>
      </c>
      <c r="M1701" s="13">
        <v>0</v>
      </c>
      <c r="N1701" s="13">
        <v>0</v>
      </c>
      <c r="O1701" s="13">
        <v>0</v>
      </c>
      <c r="P1701" s="13">
        <v>0</v>
      </c>
      <c r="Q1701" s="13">
        <v>0</v>
      </c>
      <c r="R1701" s="13">
        <v>0</v>
      </c>
      <c r="S1701" s="13">
        <v>0</v>
      </c>
      <c r="T1701" s="13">
        <v>1</v>
      </c>
      <c r="U1701" s="13">
        <v>19</v>
      </c>
      <c r="V1701" s="13" t="str" cm="1">
        <f t="array" ref="V1701">_xlfn.IFS(U1701&lt;=250,"0-R$250",U1701&lt;=500,"251-R$500",U1701&lt;=750,"501-R$750",U1701&lt;=1000,"751-R$1000",U1701&lt;=1250,"1001-R$1250",U1701&lt;=1500,"1251-R$1500")</f>
        <v>0-R$250</v>
      </c>
      <c r="W1701" s="13">
        <v>6</v>
      </c>
      <c r="X1701" s="13" t="str" cm="1">
        <f t="array" ref="X1701">_xlfn.IFS(W1701 = 0, "0", W1701&lt;=20, "até R$20",W1701&lt;=40, "21 - R$40",W1701&lt;=60, "41- R$60",W1701&lt;=80, "61 - R$80", W1701&lt;=100, "81 - R$100",W1701&lt;=120, "101 - R$120",W1701&lt;=140, "121 - R$140", W1701&lt;=160, "141- R$160", W1701&lt;=180, "161 - R$180", W1701&lt;=200, "181-R$194")</f>
        <v>até R$20</v>
      </c>
      <c r="Y1701" s="13">
        <v>20</v>
      </c>
      <c r="Z1701" s="13">
        <v>0</v>
      </c>
      <c r="AA1701" s="13">
        <v>5</v>
      </c>
      <c r="AB1701" s="13">
        <v>12</v>
      </c>
      <c r="AC1701" s="13">
        <v>3</v>
      </c>
      <c r="AD1701" s="13">
        <v>1</v>
      </c>
      <c r="AE1701" s="13">
        <v>1</v>
      </c>
      <c r="AF1701" s="13">
        <v>4</v>
      </c>
      <c r="AG1701" s="13">
        <v>4</v>
      </c>
      <c r="AH1701" s="13">
        <v>0</v>
      </c>
      <c r="AI1701" s="13">
        <v>0</v>
      </c>
      <c r="AJ1701" s="13">
        <v>0</v>
      </c>
      <c r="AK1701" s="13">
        <v>0</v>
      </c>
      <c r="AL1701" s="13">
        <v>0</v>
      </c>
      <c r="AM1701" s="13">
        <v>0</v>
      </c>
      <c r="AN1701" s="13">
        <v>0</v>
      </c>
      <c r="AO1701" s="14">
        <v>0</v>
      </c>
      <c r="AP1701" s="13">
        <v>3</v>
      </c>
      <c r="AQ1701" s="13">
        <v>11</v>
      </c>
      <c r="AR1701" s="15">
        <v>38</v>
      </c>
      <c r="AS1701" s="15">
        <v>50</v>
      </c>
    </row>
    <row r="1702" spans="1:45" x14ac:dyDescent="0.25">
      <c r="A1702">
        <v>1099</v>
      </c>
      <c r="B1702" s="11">
        <f t="shared" si="26"/>
        <v>22634</v>
      </c>
      <c r="C1702" s="16">
        <v>226340</v>
      </c>
      <c r="D1702" s="17">
        <v>0</v>
      </c>
      <c r="E1702" s="17">
        <v>0</v>
      </c>
      <c r="F1702" s="17">
        <v>47</v>
      </c>
      <c r="G1702" s="17">
        <v>54</v>
      </c>
      <c r="H1702" s="13" t="str" cm="1">
        <f t="array" ref="H1702">_xlfn.IFS(G1702&lt;=20,"0-20",G1702&lt;=30,"20-30",G1702&lt;=40,"30-40",G1702&lt;=50,"50-60",G1702&lt;=60,"60-70",G1702&lt;=70,"70-80",G1702&lt;=80,"80-90")</f>
        <v>60-70</v>
      </c>
      <c r="I1702" s="17">
        <v>2688</v>
      </c>
      <c r="J1702" s="13" t="str" cm="1">
        <f t="array" ref="J1702">_xlfn.IFS(K1702=1,"Divorciado",L1702=1,"Casado",M1702=1,"Solteiro",N1702=1,"Juntos",O1702=1,"Viuvo")</f>
        <v>Juntos</v>
      </c>
      <c r="K1702" s="17">
        <v>0</v>
      </c>
      <c r="L1702" s="17">
        <v>0</v>
      </c>
      <c r="M1702" s="17">
        <v>0</v>
      </c>
      <c r="N1702" s="17">
        <v>1</v>
      </c>
      <c r="O1702" s="17">
        <v>0</v>
      </c>
      <c r="P1702" s="17">
        <v>0</v>
      </c>
      <c r="Q1702" s="17">
        <v>1</v>
      </c>
      <c r="R1702" s="17">
        <v>0</v>
      </c>
      <c r="S1702" s="17">
        <v>0</v>
      </c>
      <c r="T1702" s="17">
        <v>0</v>
      </c>
      <c r="U1702" s="17">
        <v>2</v>
      </c>
      <c r="V1702" s="13" t="str" cm="1">
        <f t="array" ref="V1702">_xlfn.IFS(U1702&lt;=250,"0-R$250",U1702&lt;=500,"251-R$500",U1702&lt;=750,"501-R$750",U1702&lt;=1000,"751-R$1000",U1702&lt;=1250,"1001-R$1250",U1702&lt;=1500,"1251-R$1500")</f>
        <v>0-R$250</v>
      </c>
      <c r="W1702" s="17">
        <v>23</v>
      </c>
      <c r="X1702" s="13" t="str" cm="1">
        <f t="array" ref="X1702">_xlfn.IFS(W1702 = 0, "0", W1702&lt;=20, "até R$20",W1702&lt;=40, "21 - R$40",W1702&lt;=60, "41- R$60",W1702&lt;=80, "61 - R$80", W1702&lt;=100, "81 - R$100",W1702&lt;=120, "101 - R$120",W1702&lt;=140, "121 - R$140", W1702&lt;=160, "141- R$160", W1702&lt;=180, "161 - R$180", W1702&lt;=200, "181-R$194")</f>
        <v>21 - R$40</v>
      </c>
      <c r="Y1702" s="17">
        <v>11</v>
      </c>
      <c r="Z1702" s="17">
        <v>8</v>
      </c>
      <c r="AA1702" s="17">
        <v>6</v>
      </c>
      <c r="AB1702" s="17">
        <v>46</v>
      </c>
      <c r="AC1702" s="17">
        <v>1</v>
      </c>
      <c r="AD1702" s="17">
        <v>2</v>
      </c>
      <c r="AE1702" s="17">
        <v>1</v>
      </c>
      <c r="AF1702" s="17">
        <v>2</v>
      </c>
      <c r="AG1702" s="17">
        <v>8</v>
      </c>
      <c r="AH1702" s="17">
        <v>0</v>
      </c>
      <c r="AI1702" s="17">
        <v>0</v>
      </c>
      <c r="AJ1702" s="17">
        <v>0</v>
      </c>
      <c r="AK1702" s="17">
        <v>0</v>
      </c>
      <c r="AL1702" s="17">
        <v>0</v>
      </c>
      <c r="AM1702" s="17">
        <v>0</v>
      </c>
      <c r="AN1702" s="17">
        <v>0</v>
      </c>
      <c r="AO1702" s="18">
        <v>0</v>
      </c>
      <c r="AP1702" s="17">
        <v>3</v>
      </c>
      <c r="AQ1702" s="17">
        <v>11</v>
      </c>
      <c r="AR1702" s="19">
        <v>4</v>
      </c>
      <c r="AS1702" s="19">
        <v>50</v>
      </c>
    </row>
    <row r="1703" spans="1:45" x14ac:dyDescent="0.25">
      <c r="A1703">
        <v>1167</v>
      </c>
      <c r="B1703" s="11">
        <f t="shared" si="26"/>
        <v>44393</v>
      </c>
      <c r="C1703" s="16">
        <v>443930</v>
      </c>
      <c r="D1703" s="17">
        <v>1</v>
      </c>
      <c r="E1703" s="17">
        <v>1</v>
      </c>
      <c r="F1703" s="17">
        <v>86</v>
      </c>
      <c r="G1703" s="17">
        <v>55</v>
      </c>
      <c r="H1703" s="13" t="str" cm="1">
        <f t="array" ref="H1703">_xlfn.IFS(G1703&lt;=20,"0-20",G1703&lt;=30,"20-30",G1703&lt;=40,"30-40",G1703&lt;=50,"50-60",G1703&lt;=60,"60-70",G1703&lt;=70,"70-80",G1703&lt;=80,"80-90")</f>
        <v>60-70</v>
      </c>
      <c r="I1703" s="17">
        <v>2470</v>
      </c>
      <c r="J1703" s="13" t="str" cm="1">
        <f t="array" ref="J1703">_xlfn.IFS(K1703=1,"Divorciado",L1703=1,"Casado",M1703=1,"Solteiro",N1703=1,"Juntos",O1703=1,"Viuvo")</f>
        <v>Casado</v>
      </c>
      <c r="K1703" s="17">
        <v>0</v>
      </c>
      <c r="L1703" s="17">
        <v>1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1</v>
      </c>
      <c r="S1703" s="17">
        <v>0</v>
      </c>
      <c r="T1703" s="17">
        <v>0</v>
      </c>
      <c r="U1703" s="17">
        <v>24</v>
      </c>
      <c r="V1703" s="13" t="str" cm="1">
        <f t="array" ref="V1703">_xlfn.IFS(U1703&lt;=250,"0-R$250",U1703&lt;=500,"251-R$500",U1703&lt;=750,"501-R$750",U1703&lt;=1000,"751-R$1000",U1703&lt;=1250,"1001-R$1250",U1703&lt;=1500,"1251-R$1500")</f>
        <v>0-R$250</v>
      </c>
      <c r="W1703" s="17">
        <v>2</v>
      </c>
      <c r="X1703" s="13" t="str" cm="1">
        <f t="array" ref="X1703">_xlfn.IFS(W1703 = 0, "0", W1703&lt;=20, "até R$20",W1703&lt;=40, "21 - R$40",W1703&lt;=60, "41- R$60",W1703&lt;=80, "61 - R$80", W1703&lt;=100, "81 - R$100",W1703&lt;=120, "101 - R$120",W1703&lt;=140, "121 - R$140", W1703&lt;=160, "141- R$160", W1703&lt;=180, "161 - R$180", W1703&lt;=200, "181-R$194")</f>
        <v>até R$20</v>
      </c>
      <c r="Y1703" s="17">
        <v>20</v>
      </c>
      <c r="Z1703" s="17">
        <v>2</v>
      </c>
      <c r="AA1703" s="17">
        <v>2</v>
      </c>
      <c r="AB1703" s="17">
        <v>10</v>
      </c>
      <c r="AC1703" s="17">
        <v>2</v>
      </c>
      <c r="AD1703" s="17">
        <v>1</v>
      </c>
      <c r="AE1703" s="17">
        <v>0</v>
      </c>
      <c r="AF1703" s="17">
        <v>4</v>
      </c>
      <c r="AG1703" s="17">
        <v>4</v>
      </c>
      <c r="AH1703" s="17">
        <v>0</v>
      </c>
      <c r="AI1703" s="17">
        <v>0</v>
      </c>
      <c r="AJ1703" s="17">
        <v>0</v>
      </c>
      <c r="AK1703" s="17">
        <v>0</v>
      </c>
      <c r="AL1703" s="17">
        <v>0</v>
      </c>
      <c r="AM1703" s="17">
        <v>0</v>
      </c>
      <c r="AN1703" s="17">
        <v>0</v>
      </c>
      <c r="AO1703" s="18">
        <v>0</v>
      </c>
      <c r="AP1703" s="17">
        <v>3</v>
      </c>
      <c r="AQ1703" s="17">
        <v>11</v>
      </c>
      <c r="AR1703" s="19">
        <v>40</v>
      </c>
      <c r="AS1703" s="19">
        <v>50</v>
      </c>
    </row>
    <row r="1704" spans="1:45" x14ac:dyDescent="0.25">
      <c r="A1704">
        <v>1392</v>
      </c>
      <c r="B1704" s="11">
        <f t="shared" si="26"/>
        <v>22634</v>
      </c>
      <c r="C1704" s="12">
        <v>226340</v>
      </c>
      <c r="D1704" s="13">
        <v>0</v>
      </c>
      <c r="E1704" s="13">
        <v>0</v>
      </c>
      <c r="F1704" s="13">
        <v>47</v>
      </c>
      <c r="G1704" s="13">
        <v>54</v>
      </c>
      <c r="H1704" s="13" t="str" cm="1">
        <f t="array" ref="H1704">_xlfn.IFS(G1704&lt;=20,"0-20",G1704&lt;=30,"20-30",G1704&lt;=40,"30-40",G1704&lt;=50,"50-60",G1704&lt;=60,"60-70",G1704&lt;=70,"70-80",G1704&lt;=80,"80-90")</f>
        <v>60-70</v>
      </c>
      <c r="I1704" s="13">
        <v>2688</v>
      </c>
      <c r="J1704" s="13" t="str" cm="1">
        <f t="array" ref="J1704">_xlfn.IFS(K1704=1,"Divorciado",L1704=1,"Casado",M1704=1,"Solteiro",N1704=1,"Juntos",O1704=1,"Viuvo")</f>
        <v>Juntos</v>
      </c>
      <c r="K1704" s="13">
        <v>0</v>
      </c>
      <c r="L1704" s="13">
        <v>0</v>
      </c>
      <c r="M1704" s="13">
        <v>0</v>
      </c>
      <c r="N1704" s="13">
        <v>1</v>
      </c>
      <c r="O1704" s="13">
        <v>0</v>
      </c>
      <c r="P1704" s="13">
        <v>0</v>
      </c>
      <c r="Q1704" s="13">
        <v>1</v>
      </c>
      <c r="R1704" s="13">
        <v>0</v>
      </c>
      <c r="S1704" s="13">
        <v>0</v>
      </c>
      <c r="T1704" s="13">
        <v>0</v>
      </c>
      <c r="U1704" s="13">
        <v>2</v>
      </c>
      <c r="V1704" s="13" t="str" cm="1">
        <f t="array" ref="V1704">_xlfn.IFS(U1704&lt;=250,"0-R$250",U1704&lt;=500,"251-R$500",U1704&lt;=750,"501-R$750",U1704&lt;=1000,"751-R$1000",U1704&lt;=1250,"1001-R$1250",U1704&lt;=1500,"1251-R$1500")</f>
        <v>0-R$250</v>
      </c>
      <c r="W1704" s="13">
        <v>23</v>
      </c>
      <c r="X1704" s="13" t="str" cm="1">
        <f t="array" ref="X1704">_xlfn.IFS(W1704 = 0, "0", W1704&lt;=20, "até R$20",W1704&lt;=40, "21 - R$40",W1704&lt;=60, "41- R$60",W1704&lt;=80, "61 - R$80", W1704&lt;=100, "81 - R$100",W1704&lt;=120, "101 - R$120",W1704&lt;=140, "121 - R$140", W1704&lt;=160, "141- R$160", W1704&lt;=180, "161 - R$180", W1704&lt;=200, "181-R$194")</f>
        <v>21 - R$40</v>
      </c>
      <c r="Y1704" s="13">
        <v>11</v>
      </c>
      <c r="Z1704" s="13">
        <v>8</v>
      </c>
      <c r="AA1704" s="13">
        <v>6</v>
      </c>
      <c r="AB1704" s="13">
        <v>46</v>
      </c>
      <c r="AC1704" s="13">
        <v>1</v>
      </c>
      <c r="AD1704" s="13">
        <v>2</v>
      </c>
      <c r="AE1704" s="13">
        <v>1</v>
      </c>
      <c r="AF1704" s="13">
        <v>2</v>
      </c>
      <c r="AG1704" s="13">
        <v>8</v>
      </c>
      <c r="AH1704" s="13">
        <v>0</v>
      </c>
      <c r="AI1704" s="13">
        <v>0</v>
      </c>
      <c r="AJ1704" s="13">
        <v>0</v>
      </c>
      <c r="AK1704" s="13">
        <v>0</v>
      </c>
      <c r="AL1704" s="13">
        <v>0</v>
      </c>
      <c r="AM1704" s="13">
        <v>0</v>
      </c>
      <c r="AN1704" s="13">
        <v>0</v>
      </c>
      <c r="AO1704" s="14">
        <v>0</v>
      </c>
      <c r="AP1704" s="13">
        <v>3</v>
      </c>
      <c r="AQ1704" s="13">
        <v>11</v>
      </c>
      <c r="AR1704" s="15">
        <v>4</v>
      </c>
      <c r="AS1704" s="15">
        <v>50</v>
      </c>
    </row>
    <row r="1705" spans="1:45" x14ac:dyDescent="0.25">
      <c r="A1705">
        <v>1953</v>
      </c>
      <c r="B1705" s="11">
        <f t="shared" si="26"/>
        <v>36781</v>
      </c>
      <c r="C1705" s="16">
        <v>367810</v>
      </c>
      <c r="D1705" s="17">
        <v>1</v>
      </c>
      <c r="E1705" s="17">
        <v>0</v>
      </c>
      <c r="F1705" s="17">
        <v>16</v>
      </c>
      <c r="G1705" s="17">
        <v>41</v>
      </c>
      <c r="H1705" s="13" t="str" cm="1">
        <f t="array" ref="H1705">_xlfn.IFS(G1705&lt;=20,"0-20",G1705&lt;=30,"20-30",G1705&lt;=40,"30-40",G1705&lt;=50,"50-60",G1705&lt;=60,"60-70",G1705&lt;=70,"70-80",G1705&lt;=80,"80-90")</f>
        <v>50-60</v>
      </c>
      <c r="I1705" s="17">
        <v>2239</v>
      </c>
      <c r="J1705" s="13" t="str" cm="1">
        <f t="array" ref="J1705">_xlfn.IFS(K1705=1,"Divorciado",L1705=1,"Casado",M1705=1,"Solteiro",N1705=1,"Juntos",O1705=1,"Viuvo")</f>
        <v>Casado</v>
      </c>
      <c r="K1705" s="17">
        <v>0</v>
      </c>
      <c r="L1705" s="17">
        <v>1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1</v>
      </c>
      <c r="S1705" s="17">
        <v>0</v>
      </c>
      <c r="T1705" s="17">
        <v>0</v>
      </c>
      <c r="U1705" s="17">
        <v>29</v>
      </c>
      <c r="V1705" s="13" t="str" cm="1">
        <f t="array" ref="V1705">_xlfn.IFS(U1705&lt;=250,"0-R$250",U1705&lt;=500,"251-R$500",U1705&lt;=750,"501-R$750",U1705&lt;=1000,"751-R$1000",U1705&lt;=1250,"1001-R$1250",U1705&lt;=1500,"1251-R$1500")</f>
        <v>0-R$250</v>
      </c>
      <c r="W1705" s="17">
        <v>1</v>
      </c>
      <c r="X1705" s="13" t="str" cm="1">
        <f t="array" ref="X1705">_xlfn.IFS(W1705 = 0, "0", W1705&lt;=20, "até R$20",W1705&lt;=40, "21 - R$40",W1705&lt;=60, "41- R$60",W1705&lt;=80, "61 - R$80", W1705&lt;=100, "81 - R$100",W1705&lt;=120, "101 - R$120",W1705&lt;=140, "121 - R$140", W1705&lt;=160, "141- R$160", W1705&lt;=180, "161 - R$180", W1705&lt;=200, "181-R$194")</f>
        <v>até R$20</v>
      </c>
      <c r="Y1705" s="17">
        <v>17</v>
      </c>
      <c r="Z1705" s="17">
        <v>0</v>
      </c>
      <c r="AA1705" s="17">
        <v>3</v>
      </c>
      <c r="AB1705" s="17">
        <v>13</v>
      </c>
      <c r="AC1705" s="17">
        <v>1</v>
      </c>
      <c r="AD1705" s="17">
        <v>2</v>
      </c>
      <c r="AE1705" s="17">
        <v>1</v>
      </c>
      <c r="AF1705" s="17">
        <v>2</v>
      </c>
      <c r="AG1705" s="17">
        <v>8</v>
      </c>
      <c r="AH1705" s="17">
        <v>0</v>
      </c>
      <c r="AI1705" s="17">
        <v>0</v>
      </c>
      <c r="AJ1705" s="17">
        <v>0</v>
      </c>
      <c r="AK1705" s="17">
        <v>0</v>
      </c>
      <c r="AL1705" s="17">
        <v>0</v>
      </c>
      <c r="AM1705" s="17">
        <v>0</v>
      </c>
      <c r="AN1705" s="17">
        <v>1</v>
      </c>
      <c r="AO1705" s="18">
        <v>0</v>
      </c>
      <c r="AP1705" s="17">
        <v>3</v>
      </c>
      <c r="AQ1705" s="17">
        <v>11</v>
      </c>
      <c r="AR1705" s="19">
        <v>37</v>
      </c>
      <c r="AS1705" s="19">
        <v>50</v>
      </c>
    </row>
    <row r="1706" spans="1:45" x14ac:dyDescent="0.25">
      <c r="A1706">
        <v>1980</v>
      </c>
      <c r="B1706" s="11">
        <f t="shared" si="26"/>
        <v>30368</v>
      </c>
      <c r="C1706" s="12">
        <v>303680</v>
      </c>
      <c r="D1706" s="13">
        <v>0</v>
      </c>
      <c r="E1706" s="13">
        <v>1</v>
      </c>
      <c r="F1706" s="13">
        <v>97</v>
      </c>
      <c r="G1706" s="13">
        <v>43</v>
      </c>
      <c r="H1706" s="13" t="str" cm="1">
        <f t="array" ref="H1706">_xlfn.IFS(G1706&lt;=20,"0-20",G1706&lt;=30,"20-30",G1706&lt;=40,"30-40",G1706&lt;=50,"50-60",G1706&lt;=60,"60-70",G1706&lt;=70,"70-80",G1706&lt;=80,"80-90")</f>
        <v>50-60</v>
      </c>
      <c r="I1706" s="13">
        <v>2393</v>
      </c>
      <c r="J1706" s="13" t="str" cm="1">
        <f t="array" ref="J1706">_xlfn.IFS(K1706=1,"Divorciado",L1706=1,"Casado",M1706=1,"Solteiro",N1706=1,"Juntos",O1706=1,"Viuvo")</f>
        <v>Casado</v>
      </c>
      <c r="K1706" s="13">
        <v>0</v>
      </c>
      <c r="L1706" s="13">
        <v>1</v>
      </c>
      <c r="M1706" s="13">
        <v>0</v>
      </c>
      <c r="N1706" s="13">
        <v>0</v>
      </c>
      <c r="O1706" s="13">
        <v>0</v>
      </c>
      <c r="P1706" s="13">
        <v>0</v>
      </c>
      <c r="Q1706" s="13">
        <v>0</v>
      </c>
      <c r="R1706" s="13">
        <v>1</v>
      </c>
      <c r="S1706" s="13">
        <v>0</v>
      </c>
      <c r="T1706" s="13">
        <v>0</v>
      </c>
      <c r="U1706" s="13">
        <v>35</v>
      </c>
      <c r="V1706" s="13" t="str" cm="1">
        <f t="array" ref="V1706">_xlfn.IFS(U1706&lt;=250,"0-R$250",U1706&lt;=500,"251-R$500",U1706&lt;=750,"501-R$750",U1706&lt;=1000,"751-R$1000",U1706&lt;=1250,"1001-R$1250",U1706&lt;=1500,"1251-R$1500")</f>
        <v>0-R$250</v>
      </c>
      <c r="W1706" s="13">
        <v>0</v>
      </c>
      <c r="X1706" s="13" t="str" cm="1">
        <f t="array" ref="X1706">_xlfn.IFS(W1706 = 0, "0", W1706&lt;=20, "até R$20",W1706&lt;=40, "21 - R$40",W1706&lt;=60, "41- R$60",W1706&lt;=80, "61 - R$80", W1706&lt;=100, "81 - R$100",W1706&lt;=120, "101 - R$120",W1706&lt;=140, "121 - R$140", W1706&lt;=160, "141- R$160", W1706&lt;=180, "161 - R$180", W1706&lt;=200, "181-R$194")</f>
        <v>0</v>
      </c>
      <c r="Y1706" s="13">
        <v>13</v>
      </c>
      <c r="Z1706" s="13">
        <v>2</v>
      </c>
      <c r="AA1706" s="13">
        <v>0</v>
      </c>
      <c r="AB1706" s="13">
        <v>2</v>
      </c>
      <c r="AC1706" s="13">
        <v>2</v>
      </c>
      <c r="AD1706" s="13">
        <v>2</v>
      </c>
      <c r="AE1706" s="13">
        <v>0</v>
      </c>
      <c r="AF1706" s="13">
        <v>3</v>
      </c>
      <c r="AG1706" s="13">
        <v>8</v>
      </c>
      <c r="AH1706" s="13">
        <v>0</v>
      </c>
      <c r="AI1706" s="13">
        <v>0</v>
      </c>
      <c r="AJ1706" s="13">
        <v>0</v>
      </c>
      <c r="AK1706" s="13">
        <v>0</v>
      </c>
      <c r="AL1706" s="13">
        <v>0</v>
      </c>
      <c r="AM1706" s="13">
        <v>0</v>
      </c>
      <c r="AN1706" s="13">
        <v>0</v>
      </c>
      <c r="AO1706" s="14">
        <v>0</v>
      </c>
      <c r="AP1706" s="13">
        <v>3</v>
      </c>
      <c r="AQ1706" s="13">
        <v>11</v>
      </c>
      <c r="AR1706" s="15">
        <v>48</v>
      </c>
      <c r="AS1706" s="15">
        <v>50</v>
      </c>
    </row>
    <row r="1707" spans="1:45" x14ac:dyDescent="0.25">
      <c r="A1707">
        <v>936</v>
      </c>
      <c r="B1707" s="11">
        <f t="shared" si="26"/>
        <v>16927</v>
      </c>
      <c r="C1707" s="12">
        <v>169270</v>
      </c>
      <c r="D1707" s="13">
        <v>1</v>
      </c>
      <c r="E1707" s="13">
        <v>1</v>
      </c>
      <c r="F1707" s="13">
        <v>50</v>
      </c>
      <c r="G1707" s="13">
        <v>44</v>
      </c>
      <c r="H1707" s="13" t="str" cm="1">
        <f t="array" ref="H1707">_xlfn.IFS(G1707&lt;=20,"0-20",G1707&lt;=30,"20-30",G1707&lt;=40,"30-40",G1707&lt;=50,"50-60",G1707&lt;=60,"60-70",G1707&lt;=70,"70-80",G1707&lt;=80,"80-90")</f>
        <v>50-60</v>
      </c>
      <c r="I1707" s="13">
        <v>2663</v>
      </c>
      <c r="J1707" s="13" t="str" cm="1">
        <f t="array" ref="J1707">_xlfn.IFS(K1707=1,"Divorciado",L1707=1,"Casado",M1707=1,"Solteiro",N1707=1,"Juntos",O1707=1,"Viuvo")</f>
        <v>Casado</v>
      </c>
      <c r="K1707" s="13">
        <v>0</v>
      </c>
      <c r="L1707" s="13">
        <v>1</v>
      </c>
      <c r="M1707" s="13">
        <v>0</v>
      </c>
      <c r="N1707" s="13">
        <v>0</v>
      </c>
      <c r="O1707" s="13">
        <v>0</v>
      </c>
      <c r="P1707" s="13">
        <v>0</v>
      </c>
      <c r="Q1707" s="13">
        <v>0</v>
      </c>
      <c r="R1707" s="13">
        <v>0</v>
      </c>
      <c r="S1707" s="13">
        <v>0</v>
      </c>
      <c r="T1707" s="13">
        <v>1</v>
      </c>
      <c r="U1707" s="13">
        <v>20</v>
      </c>
      <c r="V1707" s="13" t="str" cm="1">
        <f t="array" ref="V1707">_xlfn.IFS(U1707&lt;=250,"0-R$250",U1707&lt;=500,"251-R$500",U1707&lt;=750,"501-R$750",U1707&lt;=1000,"751-R$1000",U1707&lt;=1250,"1001-R$1250",U1707&lt;=1500,"1251-R$1500")</f>
        <v>0-R$250</v>
      </c>
      <c r="W1707" s="13">
        <v>2</v>
      </c>
      <c r="X1707" s="13" t="str" cm="1">
        <f t="array" ref="X1707">_xlfn.IFS(W1707 = 0, "0", W1707&lt;=20, "até R$20",W1707&lt;=40, "21 - R$40",W1707&lt;=60, "41- R$60",W1707&lt;=80, "61 - R$80", W1707&lt;=100, "81 - R$100",W1707&lt;=120, "101 - R$120",W1707&lt;=140, "121 - R$140", W1707&lt;=160, "141- R$160", W1707&lt;=180, "161 - R$180", W1707&lt;=200, "181-R$194")</f>
        <v>até R$20</v>
      </c>
      <c r="Y1707" s="13">
        <v>23</v>
      </c>
      <c r="Z1707" s="13">
        <v>3</v>
      </c>
      <c r="AA1707" s="13">
        <v>1</v>
      </c>
      <c r="AB1707" s="13">
        <v>4</v>
      </c>
      <c r="AC1707" s="13">
        <v>5</v>
      </c>
      <c r="AD1707" s="13">
        <v>3</v>
      </c>
      <c r="AE1707" s="13">
        <v>0</v>
      </c>
      <c r="AF1707" s="13">
        <v>4</v>
      </c>
      <c r="AG1707" s="13">
        <v>8</v>
      </c>
      <c r="AH1707" s="13">
        <v>0</v>
      </c>
      <c r="AI1707" s="13">
        <v>0</v>
      </c>
      <c r="AJ1707" s="13">
        <v>0</v>
      </c>
      <c r="AK1707" s="13">
        <v>0</v>
      </c>
      <c r="AL1707" s="13">
        <v>0</v>
      </c>
      <c r="AM1707" s="13">
        <v>0</v>
      </c>
      <c r="AN1707" s="13">
        <v>0</v>
      </c>
      <c r="AO1707" s="14">
        <v>0</v>
      </c>
      <c r="AP1707" s="13">
        <v>3</v>
      </c>
      <c r="AQ1707" s="13">
        <v>11</v>
      </c>
      <c r="AR1707" s="15">
        <v>45</v>
      </c>
      <c r="AS1707" s="15">
        <v>49</v>
      </c>
    </row>
    <row r="1708" spans="1:45" x14ac:dyDescent="0.25">
      <c r="A1708">
        <v>1022</v>
      </c>
      <c r="B1708" s="11">
        <f t="shared" si="26"/>
        <v>38998</v>
      </c>
      <c r="C1708" s="12">
        <v>389980</v>
      </c>
      <c r="D1708" s="13">
        <v>1</v>
      </c>
      <c r="E1708" s="13">
        <v>1</v>
      </c>
      <c r="F1708" s="13">
        <v>92</v>
      </c>
      <c r="G1708" s="13">
        <v>66</v>
      </c>
      <c r="H1708" s="13" t="str" cm="1">
        <f t="array" ref="H1708">_xlfn.IFS(G1708&lt;=20,"0-20",G1708&lt;=30,"20-30",G1708&lt;=40,"30-40",G1708&lt;=50,"50-60",G1708&lt;=60,"60-70",G1708&lt;=70,"70-80",G1708&lt;=80,"80-90")</f>
        <v>70-80</v>
      </c>
      <c r="I1708" s="13">
        <v>2762</v>
      </c>
      <c r="J1708" s="13" t="str" cm="1">
        <f t="array" ref="J1708">_xlfn.IFS(K1708=1,"Divorciado",L1708=1,"Casado",M1708=1,"Solteiro",N1708=1,"Juntos",O1708=1,"Viuvo")</f>
        <v>Casado</v>
      </c>
      <c r="K1708" s="13">
        <v>0</v>
      </c>
      <c r="L1708" s="13">
        <v>1</v>
      </c>
      <c r="M1708" s="13">
        <v>0</v>
      </c>
      <c r="N1708" s="13">
        <v>0</v>
      </c>
      <c r="O1708" s="13">
        <v>0</v>
      </c>
      <c r="P1708" s="13">
        <v>0</v>
      </c>
      <c r="Q1708" s="13">
        <v>0</v>
      </c>
      <c r="R1708" s="13">
        <v>1</v>
      </c>
      <c r="S1708" s="13">
        <v>0</v>
      </c>
      <c r="T1708" s="13">
        <v>0</v>
      </c>
      <c r="U1708" s="13">
        <v>34</v>
      </c>
      <c r="V1708" s="13" t="str" cm="1">
        <f t="array" ref="V1708">_xlfn.IFS(U1708&lt;=250,"0-R$250",U1708&lt;=500,"251-R$500",U1708&lt;=750,"501-R$750",U1708&lt;=1000,"751-R$1000",U1708&lt;=1250,"1001-R$1250",U1708&lt;=1500,"1251-R$1500")</f>
        <v>0-R$250</v>
      </c>
      <c r="W1708" s="13">
        <v>1</v>
      </c>
      <c r="X1708" s="13" t="str" cm="1">
        <f t="array" ref="X1708">_xlfn.IFS(W1708 = 0, "0", W1708&lt;=20, "até R$20",W1708&lt;=40, "21 - R$40",W1708&lt;=60, "41- R$60",W1708&lt;=80, "61 - R$80", W1708&lt;=100, "81 - R$100",W1708&lt;=120, "101 - R$120",W1708&lt;=140, "121 - R$140", W1708&lt;=160, "141- R$160", W1708&lt;=180, "161 - R$180", W1708&lt;=200, "181-R$194")</f>
        <v>até R$20</v>
      </c>
      <c r="Y1708" s="13">
        <v>14</v>
      </c>
      <c r="Z1708" s="13">
        <v>0</v>
      </c>
      <c r="AA1708" s="13">
        <v>0</v>
      </c>
      <c r="AB1708" s="13">
        <v>5</v>
      </c>
      <c r="AC1708" s="13">
        <v>3</v>
      </c>
      <c r="AD1708" s="13">
        <v>2</v>
      </c>
      <c r="AE1708" s="13">
        <v>0</v>
      </c>
      <c r="AF1708" s="13">
        <v>3</v>
      </c>
      <c r="AG1708" s="13">
        <v>8</v>
      </c>
      <c r="AH1708" s="13">
        <v>1</v>
      </c>
      <c r="AI1708" s="13">
        <v>0</v>
      </c>
      <c r="AJ1708" s="13">
        <v>0</v>
      </c>
      <c r="AK1708" s="13">
        <v>0</v>
      </c>
      <c r="AL1708" s="13">
        <v>0</v>
      </c>
      <c r="AM1708" s="13">
        <v>0</v>
      </c>
      <c r="AN1708" s="13">
        <v>0</v>
      </c>
      <c r="AO1708" s="14">
        <v>0</v>
      </c>
      <c r="AP1708" s="13">
        <v>3</v>
      </c>
      <c r="AQ1708" s="13">
        <v>11</v>
      </c>
      <c r="AR1708" s="15">
        <v>44</v>
      </c>
      <c r="AS1708" s="15">
        <v>49</v>
      </c>
    </row>
    <row r="1709" spans="1:45" x14ac:dyDescent="0.25">
      <c r="A1709">
        <v>1547</v>
      </c>
      <c r="B1709" s="11">
        <f t="shared" si="26"/>
        <v>38998</v>
      </c>
      <c r="C1709" s="16">
        <v>389980</v>
      </c>
      <c r="D1709" s="17">
        <v>1</v>
      </c>
      <c r="E1709" s="17">
        <v>1</v>
      </c>
      <c r="F1709" s="17">
        <v>92</v>
      </c>
      <c r="G1709" s="17">
        <v>66</v>
      </c>
      <c r="H1709" s="13" t="str" cm="1">
        <f t="array" ref="H1709">_xlfn.IFS(G1709&lt;=20,"0-20",G1709&lt;=30,"20-30",G1709&lt;=40,"30-40",G1709&lt;=50,"50-60",G1709&lt;=60,"60-70",G1709&lt;=70,"70-80",G1709&lt;=80,"80-90")</f>
        <v>70-80</v>
      </c>
      <c r="I1709" s="17">
        <v>2762</v>
      </c>
      <c r="J1709" s="13" t="str" cm="1">
        <f t="array" ref="J1709">_xlfn.IFS(K1709=1,"Divorciado",L1709=1,"Casado",M1709=1,"Solteiro",N1709=1,"Juntos",O1709=1,"Viuvo")</f>
        <v>Casado</v>
      </c>
      <c r="K1709" s="17">
        <v>0</v>
      </c>
      <c r="L1709" s="17">
        <v>1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1</v>
      </c>
      <c r="S1709" s="17">
        <v>0</v>
      </c>
      <c r="T1709" s="17">
        <v>0</v>
      </c>
      <c r="U1709" s="17">
        <v>34</v>
      </c>
      <c r="V1709" s="13" t="str" cm="1">
        <f t="array" ref="V1709">_xlfn.IFS(U1709&lt;=250,"0-R$250",U1709&lt;=500,"251-R$500",U1709&lt;=750,"501-R$750",U1709&lt;=1000,"751-R$1000",U1709&lt;=1250,"1001-R$1250",U1709&lt;=1500,"1251-R$1500")</f>
        <v>0-R$250</v>
      </c>
      <c r="W1709" s="17">
        <v>1</v>
      </c>
      <c r="X1709" s="13" t="str" cm="1">
        <f t="array" ref="X1709">_xlfn.IFS(W1709 = 0, "0", W1709&lt;=20, "até R$20",W1709&lt;=40, "21 - R$40",W1709&lt;=60, "41- R$60",W1709&lt;=80, "61 - R$80", W1709&lt;=100, "81 - R$100",W1709&lt;=120, "101 - R$120",W1709&lt;=140, "121 - R$140", W1709&lt;=160, "141- R$160", W1709&lt;=180, "161 - R$180", W1709&lt;=200, "181-R$194")</f>
        <v>até R$20</v>
      </c>
      <c r="Y1709" s="17">
        <v>14</v>
      </c>
      <c r="Z1709" s="17">
        <v>0</v>
      </c>
      <c r="AA1709" s="17">
        <v>0</v>
      </c>
      <c r="AB1709" s="17">
        <v>5</v>
      </c>
      <c r="AC1709" s="17">
        <v>3</v>
      </c>
      <c r="AD1709" s="17">
        <v>2</v>
      </c>
      <c r="AE1709" s="17">
        <v>0</v>
      </c>
      <c r="AF1709" s="17">
        <v>3</v>
      </c>
      <c r="AG1709" s="17">
        <v>8</v>
      </c>
      <c r="AH1709" s="17">
        <v>1</v>
      </c>
      <c r="AI1709" s="17">
        <v>0</v>
      </c>
      <c r="AJ1709" s="17">
        <v>0</v>
      </c>
      <c r="AK1709" s="17">
        <v>0</v>
      </c>
      <c r="AL1709" s="17">
        <v>0</v>
      </c>
      <c r="AM1709" s="17">
        <v>0</v>
      </c>
      <c r="AN1709" s="17">
        <v>0</v>
      </c>
      <c r="AO1709" s="18">
        <v>0</v>
      </c>
      <c r="AP1709" s="17">
        <v>3</v>
      </c>
      <c r="AQ1709" s="17">
        <v>11</v>
      </c>
      <c r="AR1709" s="19">
        <v>44</v>
      </c>
      <c r="AS1709" s="19">
        <v>49</v>
      </c>
    </row>
    <row r="1710" spans="1:45" x14ac:dyDescent="0.25">
      <c r="A1710">
        <v>1638</v>
      </c>
      <c r="B1710" s="11">
        <f t="shared" si="26"/>
        <v>43602</v>
      </c>
      <c r="C1710" s="12">
        <v>436020</v>
      </c>
      <c r="D1710" s="13">
        <v>1</v>
      </c>
      <c r="E1710" s="13">
        <v>1</v>
      </c>
      <c r="F1710" s="13">
        <v>45</v>
      </c>
      <c r="G1710" s="13">
        <v>54</v>
      </c>
      <c r="H1710" s="13" t="str" cm="1">
        <f t="array" ref="H1710">_xlfn.IFS(G1710&lt;=20,"0-20",G1710&lt;=30,"20-30",G1710&lt;=40,"30-40",G1710&lt;=50,"50-60",G1710&lt;=60,"60-70",G1710&lt;=70,"70-80",G1710&lt;=80,"80-90")</f>
        <v>60-70</v>
      </c>
      <c r="I1710" s="13">
        <v>2329</v>
      </c>
      <c r="J1710" s="13" t="str" cm="1">
        <f t="array" ref="J1710">_xlfn.IFS(K1710=1,"Divorciado",L1710=1,"Casado",M1710=1,"Solteiro",N1710=1,"Juntos",O1710=1,"Viuvo")</f>
        <v>Solteiro</v>
      </c>
      <c r="K1710" s="13">
        <v>0</v>
      </c>
      <c r="L1710" s="13">
        <v>0</v>
      </c>
      <c r="M1710" s="13">
        <v>1</v>
      </c>
      <c r="N1710" s="13">
        <v>0</v>
      </c>
      <c r="O1710" s="13">
        <v>0</v>
      </c>
      <c r="P1710" s="13">
        <v>0</v>
      </c>
      <c r="Q1710" s="13">
        <v>0</v>
      </c>
      <c r="R1710" s="13">
        <v>1</v>
      </c>
      <c r="S1710" s="13">
        <v>0</v>
      </c>
      <c r="T1710" s="13">
        <v>0</v>
      </c>
      <c r="U1710" s="13">
        <v>19</v>
      </c>
      <c r="V1710" s="13" t="str" cm="1">
        <f t="array" ref="V1710">_xlfn.IFS(U1710&lt;=250,"0-R$250",U1710&lt;=500,"251-R$500",U1710&lt;=750,"501-R$750",U1710&lt;=1000,"751-R$1000",U1710&lt;=1250,"1001-R$1250",U1710&lt;=1500,"1251-R$1500")</f>
        <v>0-R$250</v>
      </c>
      <c r="W1710" s="13">
        <v>5</v>
      </c>
      <c r="X1710" s="13" t="str" cm="1">
        <f t="array" ref="X1710">_xlfn.IFS(W1710 = 0, "0", W1710&lt;=20, "até R$20",W1710&lt;=40, "21 - R$40",W1710&lt;=60, "41- R$60",W1710&lt;=80, "61 - R$80", W1710&lt;=100, "81 - R$100",W1710&lt;=120, "101 - R$120",W1710&lt;=140, "121 - R$140", W1710&lt;=160, "141- R$160", W1710&lt;=180, "161 - R$180", W1710&lt;=200, "181-R$194")</f>
        <v>até R$20</v>
      </c>
      <c r="Y1710" s="13">
        <v>12</v>
      </c>
      <c r="Z1710" s="13">
        <v>10</v>
      </c>
      <c r="AA1710" s="13">
        <v>3</v>
      </c>
      <c r="AB1710" s="13">
        <v>19</v>
      </c>
      <c r="AC1710" s="13">
        <v>3</v>
      </c>
      <c r="AD1710" s="13">
        <v>3</v>
      </c>
      <c r="AE1710" s="13">
        <v>1</v>
      </c>
      <c r="AF1710" s="13">
        <v>2</v>
      </c>
      <c r="AG1710" s="13">
        <v>6</v>
      </c>
      <c r="AH1710" s="13">
        <v>0</v>
      </c>
      <c r="AI1710" s="13">
        <v>0</v>
      </c>
      <c r="AJ1710" s="13">
        <v>0</v>
      </c>
      <c r="AK1710" s="13">
        <v>0</v>
      </c>
      <c r="AL1710" s="13">
        <v>0</v>
      </c>
      <c r="AM1710" s="13">
        <v>0</v>
      </c>
      <c r="AN1710" s="13">
        <v>0</v>
      </c>
      <c r="AO1710" s="14">
        <v>0</v>
      </c>
      <c r="AP1710" s="13">
        <v>3</v>
      </c>
      <c r="AQ1710" s="13">
        <v>11</v>
      </c>
      <c r="AR1710" s="15">
        <v>30</v>
      </c>
      <c r="AS1710" s="15">
        <v>49</v>
      </c>
    </row>
    <row r="1711" spans="1:45" x14ac:dyDescent="0.25">
      <c r="A1711">
        <v>4</v>
      </c>
      <c r="B1711" s="11">
        <f t="shared" si="26"/>
        <v>26646</v>
      </c>
      <c r="C1711" s="12">
        <v>266460</v>
      </c>
      <c r="D1711" s="13">
        <v>1</v>
      </c>
      <c r="E1711" s="13">
        <v>0</v>
      </c>
      <c r="F1711" s="13">
        <v>26</v>
      </c>
      <c r="G1711" s="13">
        <v>36</v>
      </c>
      <c r="H1711" s="13" t="str" cm="1">
        <f t="array" ref="H1711">_xlfn.IFS(G1711&lt;=20,"0-20",G1711&lt;=30,"20-30",G1711&lt;=40,"30-40",G1711&lt;=50,"50-60",G1711&lt;=60,"60-70",G1711&lt;=70,"70-80",G1711&lt;=80,"80-90")</f>
        <v>30-40</v>
      </c>
      <c r="I1711" s="13">
        <v>2298</v>
      </c>
      <c r="J1711" s="13" t="str" cm="1">
        <f t="array" ref="J1711">_xlfn.IFS(K1711=1,"Divorciado",L1711=1,"Casado",M1711=1,"Solteiro",N1711=1,"Juntos",O1711=1,"Viuvo")</f>
        <v>Juntos</v>
      </c>
      <c r="K1711" s="13">
        <v>0</v>
      </c>
      <c r="L1711" s="13">
        <v>0</v>
      </c>
      <c r="M1711" s="13">
        <v>0</v>
      </c>
      <c r="N1711" s="13">
        <v>1</v>
      </c>
      <c r="O1711" s="13">
        <v>0</v>
      </c>
      <c r="P1711" s="13">
        <v>0</v>
      </c>
      <c r="Q1711" s="13">
        <v>0</v>
      </c>
      <c r="R1711" s="13">
        <v>1</v>
      </c>
      <c r="S1711" s="13">
        <v>0</v>
      </c>
      <c r="T1711" s="13">
        <v>0</v>
      </c>
      <c r="U1711" s="13">
        <v>11</v>
      </c>
      <c r="V1711" s="13" t="str" cm="1">
        <f t="array" ref="V1711">_xlfn.IFS(U1711&lt;=250,"0-R$250",U1711&lt;=500,"251-R$500",U1711&lt;=750,"501-R$750",U1711&lt;=1000,"751-R$1000",U1711&lt;=1250,"1001-R$1250",U1711&lt;=1500,"1251-R$1500")</f>
        <v>0-R$250</v>
      </c>
      <c r="W1711" s="13">
        <v>4</v>
      </c>
      <c r="X1711" s="13" t="str" cm="1">
        <f t="array" ref="X1711">_xlfn.IFS(W1711 = 0, "0", W1711&lt;=20, "até R$20",W1711&lt;=40, "21 - R$40",W1711&lt;=60, "41- R$60",W1711&lt;=80, "61 - R$80", W1711&lt;=100, "81 - R$100",W1711&lt;=120, "101 - R$120",W1711&lt;=140, "121 - R$140", W1711&lt;=160, "141- R$160", W1711&lt;=180, "161 - R$180", W1711&lt;=200, "181-R$194")</f>
        <v>até R$20</v>
      </c>
      <c r="Y1711" s="13">
        <v>20</v>
      </c>
      <c r="Z1711" s="13">
        <v>10</v>
      </c>
      <c r="AA1711" s="13">
        <v>3</v>
      </c>
      <c r="AB1711" s="13">
        <v>5</v>
      </c>
      <c r="AC1711" s="13">
        <v>2</v>
      </c>
      <c r="AD1711" s="13">
        <v>2</v>
      </c>
      <c r="AE1711" s="13">
        <v>0</v>
      </c>
      <c r="AF1711" s="13">
        <v>4</v>
      </c>
      <c r="AG1711" s="13">
        <v>6</v>
      </c>
      <c r="AH1711" s="13">
        <v>0</v>
      </c>
      <c r="AI1711" s="13">
        <v>0</v>
      </c>
      <c r="AJ1711" s="13">
        <v>0</v>
      </c>
      <c r="AK1711" s="13">
        <v>0</v>
      </c>
      <c r="AL1711" s="13">
        <v>0</v>
      </c>
      <c r="AM1711" s="13">
        <v>0</v>
      </c>
      <c r="AN1711" s="13">
        <v>0</v>
      </c>
      <c r="AO1711" s="14">
        <v>0</v>
      </c>
      <c r="AP1711" s="13">
        <v>3</v>
      </c>
      <c r="AQ1711" s="13">
        <v>11</v>
      </c>
      <c r="AR1711" s="15">
        <v>43</v>
      </c>
      <c r="AS1711" s="15">
        <v>48</v>
      </c>
    </row>
    <row r="1712" spans="1:45" x14ac:dyDescent="0.25">
      <c r="A1712">
        <v>170</v>
      </c>
      <c r="B1712" s="11">
        <f t="shared" si="26"/>
        <v>16248</v>
      </c>
      <c r="C1712" s="12">
        <v>162480</v>
      </c>
      <c r="D1712" s="13">
        <v>1</v>
      </c>
      <c r="E1712" s="13">
        <v>0</v>
      </c>
      <c r="F1712" s="13">
        <v>77</v>
      </c>
      <c r="G1712" s="13">
        <v>32</v>
      </c>
      <c r="H1712" s="13" t="str" cm="1">
        <f t="array" ref="H1712">_xlfn.IFS(G1712&lt;=20,"0-20",G1712&lt;=30,"20-30",G1712&lt;=40,"30-40",G1712&lt;=50,"50-60",G1712&lt;=60,"60-70",G1712&lt;=70,"70-80",G1712&lt;=80,"80-90")</f>
        <v>30-40</v>
      </c>
      <c r="I1712" s="13">
        <v>2209</v>
      </c>
      <c r="J1712" s="13" t="str" cm="1">
        <f t="array" ref="J1712">_xlfn.IFS(K1712=1,"Divorciado",L1712=1,"Casado",M1712=1,"Solteiro",N1712=1,"Juntos",O1712=1,"Viuvo")</f>
        <v>Casado</v>
      </c>
      <c r="K1712" s="13">
        <v>0</v>
      </c>
      <c r="L1712" s="13">
        <v>1</v>
      </c>
      <c r="M1712" s="13">
        <v>0</v>
      </c>
      <c r="N1712" s="13">
        <v>0</v>
      </c>
      <c r="O1712" s="13">
        <v>0</v>
      </c>
      <c r="P1712" s="13">
        <v>1</v>
      </c>
      <c r="Q1712" s="13">
        <v>0</v>
      </c>
      <c r="R1712" s="13">
        <v>0</v>
      </c>
      <c r="S1712" s="13">
        <v>0</v>
      </c>
      <c r="T1712" s="13">
        <v>0</v>
      </c>
      <c r="U1712" s="13">
        <v>12</v>
      </c>
      <c r="V1712" s="13" t="str" cm="1">
        <f t="array" ref="V1712">_xlfn.IFS(U1712&lt;=250,"0-R$250",U1712&lt;=500,"251-R$500",U1712&lt;=750,"501-R$750",U1712&lt;=1000,"751-R$1000",U1712&lt;=1250,"1001-R$1250",U1712&lt;=1500,"1251-R$1500")</f>
        <v>0-R$250</v>
      </c>
      <c r="W1712" s="13">
        <v>11</v>
      </c>
      <c r="X1712" s="13" t="str" cm="1">
        <f t="array" ref="X1712">_xlfn.IFS(W1712 = 0, "0", W1712&lt;=20, "até R$20",W1712&lt;=40, "21 - R$40",W1712&lt;=60, "41- R$60",W1712&lt;=80, "61 - R$80", W1712&lt;=100, "81 - R$100",W1712&lt;=120, "101 - R$120",W1712&lt;=140, "121 - R$140", W1712&lt;=160, "141- R$160", W1712&lt;=180, "161 - R$180", W1712&lt;=200, "181-R$194")</f>
        <v>até R$20</v>
      </c>
      <c r="Y1712" s="13">
        <v>10</v>
      </c>
      <c r="Z1712" s="13">
        <v>3</v>
      </c>
      <c r="AA1712" s="13">
        <v>12</v>
      </c>
      <c r="AB1712" s="13">
        <v>9</v>
      </c>
      <c r="AC1712" s="13">
        <v>3</v>
      </c>
      <c r="AD1712" s="13">
        <v>2</v>
      </c>
      <c r="AE1712" s="13">
        <v>1</v>
      </c>
      <c r="AF1712" s="13">
        <v>3</v>
      </c>
      <c r="AG1712" s="13">
        <v>6</v>
      </c>
      <c r="AH1712" s="13">
        <v>0</v>
      </c>
      <c r="AI1712" s="13">
        <v>0</v>
      </c>
      <c r="AJ1712" s="13">
        <v>0</v>
      </c>
      <c r="AK1712" s="13">
        <v>0</v>
      </c>
      <c r="AL1712" s="13">
        <v>0</v>
      </c>
      <c r="AM1712" s="13">
        <v>0</v>
      </c>
      <c r="AN1712" s="13">
        <v>0</v>
      </c>
      <c r="AO1712" s="14">
        <v>0</v>
      </c>
      <c r="AP1712" s="13">
        <v>3</v>
      </c>
      <c r="AQ1712" s="13">
        <v>11</v>
      </c>
      <c r="AR1712" s="15">
        <v>39</v>
      </c>
      <c r="AS1712" s="15">
        <v>48</v>
      </c>
    </row>
    <row r="1713" spans="1:45" x14ac:dyDescent="0.25">
      <c r="A1713">
        <v>223</v>
      </c>
      <c r="B1713" s="11">
        <f t="shared" si="26"/>
        <v>22212</v>
      </c>
      <c r="C1713" s="16">
        <v>222120</v>
      </c>
      <c r="D1713" s="17">
        <v>1</v>
      </c>
      <c r="E1713" s="17">
        <v>0</v>
      </c>
      <c r="F1713" s="17">
        <v>49</v>
      </c>
      <c r="G1713" s="17">
        <v>45</v>
      </c>
      <c r="H1713" s="13" t="str" cm="1">
        <f t="array" ref="H1713">_xlfn.IFS(G1713&lt;=20,"0-20",G1713&lt;=30,"20-30",G1713&lt;=40,"30-40",G1713&lt;=50,"50-60",G1713&lt;=60,"60-70",G1713&lt;=70,"70-80",G1713&lt;=80,"80-90")</f>
        <v>50-60</v>
      </c>
      <c r="I1713" s="17">
        <v>2361</v>
      </c>
      <c r="J1713" s="13" t="str" cm="1">
        <f t="array" ref="J1713">_xlfn.IFS(K1713=1,"Divorciado",L1713=1,"Casado",M1713=1,"Solteiro",N1713=1,"Juntos",O1713=1,"Viuvo")</f>
        <v>Casado</v>
      </c>
      <c r="K1713" s="17">
        <v>0</v>
      </c>
      <c r="L1713" s="17">
        <v>1</v>
      </c>
      <c r="M1713" s="17">
        <v>0</v>
      </c>
      <c r="N1713" s="17">
        <v>0</v>
      </c>
      <c r="O1713" s="17">
        <v>0</v>
      </c>
      <c r="P1713" s="17">
        <v>1</v>
      </c>
      <c r="Q1713" s="17">
        <v>0</v>
      </c>
      <c r="R1713" s="17">
        <v>0</v>
      </c>
      <c r="S1713" s="17">
        <v>0</v>
      </c>
      <c r="T1713" s="17">
        <v>0</v>
      </c>
      <c r="U1713" s="17">
        <v>5</v>
      </c>
      <c r="V1713" s="13" t="str" cm="1">
        <f t="array" ref="V1713">_xlfn.IFS(U1713&lt;=250,"0-R$250",U1713&lt;=500,"251-R$500",U1713&lt;=750,"501-R$750",U1713&lt;=1000,"751-R$1000",U1713&lt;=1250,"1001-R$1250",U1713&lt;=1500,"1251-R$1500")</f>
        <v>0-R$250</v>
      </c>
      <c r="W1713" s="17">
        <v>9</v>
      </c>
      <c r="X1713" s="13" t="str" cm="1">
        <f t="array" ref="X1713">_xlfn.IFS(W1713 = 0, "0", W1713&lt;=20, "até R$20",W1713&lt;=40, "21 - R$40",W1713&lt;=60, "41- R$60",W1713&lt;=80, "61 - R$80", W1713&lt;=100, "81 - R$100",W1713&lt;=120, "101 - R$120",W1713&lt;=140, "121 - R$140", W1713&lt;=160, "141- R$160", W1713&lt;=180, "161 - R$180", W1713&lt;=200, "181-R$194")</f>
        <v>até R$20</v>
      </c>
      <c r="Y1713" s="17">
        <v>20</v>
      </c>
      <c r="Z1713" s="17">
        <v>6</v>
      </c>
      <c r="AA1713" s="17">
        <v>8</v>
      </c>
      <c r="AB1713" s="17">
        <v>21</v>
      </c>
      <c r="AC1713" s="17">
        <v>2</v>
      </c>
      <c r="AD1713" s="17">
        <v>2</v>
      </c>
      <c r="AE1713" s="17">
        <v>0</v>
      </c>
      <c r="AF1713" s="17">
        <v>4</v>
      </c>
      <c r="AG1713" s="17">
        <v>6</v>
      </c>
      <c r="AH1713" s="17">
        <v>0</v>
      </c>
      <c r="AI1713" s="17">
        <v>0</v>
      </c>
      <c r="AJ1713" s="17">
        <v>0</v>
      </c>
      <c r="AK1713" s="17">
        <v>0</v>
      </c>
      <c r="AL1713" s="17">
        <v>0</v>
      </c>
      <c r="AM1713" s="17">
        <v>0</v>
      </c>
      <c r="AN1713" s="17">
        <v>0</v>
      </c>
      <c r="AO1713" s="18">
        <v>0</v>
      </c>
      <c r="AP1713" s="17">
        <v>3</v>
      </c>
      <c r="AQ1713" s="17">
        <v>11</v>
      </c>
      <c r="AR1713" s="19">
        <v>27</v>
      </c>
      <c r="AS1713" s="19">
        <v>48</v>
      </c>
    </row>
    <row r="1714" spans="1:45" x14ac:dyDescent="0.25">
      <c r="A1714">
        <v>582</v>
      </c>
      <c r="B1714" s="11">
        <f t="shared" si="26"/>
        <v>26224</v>
      </c>
      <c r="C1714" s="12">
        <v>262240</v>
      </c>
      <c r="D1714" s="13">
        <v>1</v>
      </c>
      <c r="E1714" s="13">
        <v>0</v>
      </c>
      <c r="F1714" s="13">
        <v>39</v>
      </c>
      <c r="G1714" s="13">
        <v>42</v>
      </c>
      <c r="H1714" s="13" t="str" cm="1">
        <f t="array" ref="H1714">_xlfn.IFS(G1714&lt;=20,"0-20",G1714&lt;=30,"20-30",G1714&lt;=40,"30-40",G1714&lt;=50,"50-60",G1714&lt;=60,"60-70",G1714&lt;=70,"70-80",G1714&lt;=80,"80-90")</f>
        <v>50-60</v>
      </c>
      <c r="I1714" s="13">
        <v>2549</v>
      </c>
      <c r="J1714" s="13" t="str" cm="1">
        <f t="array" ref="J1714">_xlfn.IFS(K1714=1,"Divorciado",L1714=1,"Casado",M1714=1,"Solteiro",N1714=1,"Juntos",O1714=1,"Viuvo")</f>
        <v>Casado</v>
      </c>
      <c r="K1714" s="13">
        <v>0</v>
      </c>
      <c r="L1714" s="13">
        <v>1</v>
      </c>
      <c r="M1714" s="13">
        <v>0</v>
      </c>
      <c r="N1714" s="13">
        <v>0</v>
      </c>
      <c r="O1714" s="13">
        <v>0</v>
      </c>
      <c r="P1714" s="13">
        <v>1</v>
      </c>
      <c r="Q1714" s="13">
        <v>0</v>
      </c>
      <c r="R1714" s="13">
        <v>0</v>
      </c>
      <c r="S1714" s="13">
        <v>0</v>
      </c>
      <c r="T1714" s="13">
        <v>0</v>
      </c>
      <c r="U1714" s="13">
        <v>4</v>
      </c>
      <c r="V1714" s="13" t="str" cm="1">
        <f t="array" ref="V1714">_xlfn.IFS(U1714&lt;=250,"0-R$250",U1714&lt;=500,"251-R$500",U1714&lt;=750,"501-R$750",U1714&lt;=1000,"751-R$1000",U1714&lt;=1250,"1001-R$1250",U1714&lt;=1500,"1251-R$1500")</f>
        <v>0-R$250</v>
      </c>
      <c r="W1714" s="13">
        <v>7</v>
      </c>
      <c r="X1714" s="13" t="str" cm="1">
        <f t="array" ref="X1714">_xlfn.IFS(W1714 = 0, "0", W1714&lt;=20, "até R$20",W1714&lt;=40, "21 - R$40",W1714&lt;=60, "41- R$60",W1714&lt;=80, "61 - R$80", W1714&lt;=100, "81 - R$100",W1714&lt;=120, "101 - R$120",W1714&lt;=140, "121 - R$140", W1714&lt;=160, "141- R$160", W1714&lt;=180, "161 - R$180", W1714&lt;=200, "181-R$194")</f>
        <v>até R$20</v>
      </c>
      <c r="Y1714" s="13">
        <v>15</v>
      </c>
      <c r="Z1714" s="13">
        <v>13</v>
      </c>
      <c r="AA1714" s="13">
        <v>9</v>
      </c>
      <c r="AB1714" s="13">
        <v>15</v>
      </c>
      <c r="AC1714" s="13">
        <v>3</v>
      </c>
      <c r="AD1714" s="13">
        <v>2</v>
      </c>
      <c r="AE1714" s="13">
        <v>1</v>
      </c>
      <c r="AF1714" s="13">
        <v>3</v>
      </c>
      <c r="AG1714" s="13">
        <v>6</v>
      </c>
      <c r="AH1714" s="13">
        <v>0</v>
      </c>
      <c r="AI1714" s="13">
        <v>0</v>
      </c>
      <c r="AJ1714" s="13">
        <v>0</v>
      </c>
      <c r="AK1714" s="13">
        <v>0</v>
      </c>
      <c r="AL1714" s="13">
        <v>0</v>
      </c>
      <c r="AM1714" s="13">
        <v>0</v>
      </c>
      <c r="AN1714" s="13">
        <v>0</v>
      </c>
      <c r="AO1714" s="14">
        <v>0</v>
      </c>
      <c r="AP1714" s="13">
        <v>3</v>
      </c>
      <c r="AQ1714" s="13">
        <v>11</v>
      </c>
      <c r="AR1714" s="15">
        <v>33</v>
      </c>
      <c r="AS1714" s="15">
        <v>48</v>
      </c>
    </row>
    <row r="1715" spans="1:45" x14ac:dyDescent="0.25">
      <c r="A1715">
        <v>1164</v>
      </c>
      <c r="B1715" s="11">
        <f t="shared" si="26"/>
        <v>15056</v>
      </c>
      <c r="C1715" s="12">
        <v>150560</v>
      </c>
      <c r="D1715" s="13">
        <v>1</v>
      </c>
      <c r="E1715" s="13">
        <v>1</v>
      </c>
      <c r="F1715" s="13">
        <v>76</v>
      </c>
      <c r="G1715" s="13">
        <v>62</v>
      </c>
      <c r="H1715" s="13" t="str" cm="1">
        <f t="array" ref="H1715">_xlfn.IFS(G1715&lt;=20,"0-20",G1715&lt;=30,"20-30",G1715&lt;=40,"30-40",G1715&lt;=50,"50-60",G1715&lt;=60,"60-70",G1715&lt;=70,"70-80",G1715&lt;=80,"80-90")</f>
        <v>70-80</v>
      </c>
      <c r="I1715" s="13">
        <v>2581</v>
      </c>
      <c r="J1715" s="13" t="str" cm="1">
        <f t="array" ref="J1715">_xlfn.IFS(K1715=1,"Divorciado",L1715=1,"Casado",M1715=1,"Solteiro",N1715=1,"Juntos",O1715=1,"Viuvo")</f>
        <v>Solteiro</v>
      </c>
      <c r="K1715" s="13">
        <v>0</v>
      </c>
      <c r="L1715" s="13">
        <v>0</v>
      </c>
      <c r="M1715" s="13">
        <v>1</v>
      </c>
      <c r="N1715" s="13">
        <v>0</v>
      </c>
      <c r="O1715" s="13">
        <v>0</v>
      </c>
      <c r="P1715" s="13">
        <v>0</v>
      </c>
      <c r="Q1715" s="13">
        <v>1</v>
      </c>
      <c r="R1715" s="13">
        <v>0</v>
      </c>
      <c r="S1715" s="13">
        <v>0</v>
      </c>
      <c r="T1715" s="13">
        <v>0</v>
      </c>
      <c r="U1715" s="13">
        <v>6</v>
      </c>
      <c r="V1715" s="13" t="str" cm="1">
        <f t="array" ref="V1715">_xlfn.IFS(U1715&lt;=250,"0-R$250",U1715&lt;=500,"251-R$500",U1715&lt;=750,"501-R$750",U1715&lt;=1000,"751-R$1000",U1715&lt;=1250,"1001-R$1250",U1715&lt;=1500,"1251-R$1500")</f>
        <v>0-R$250</v>
      </c>
      <c r="W1715" s="13">
        <v>12</v>
      </c>
      <c r="X1715" s="13" t="str" cm="1">
        <f t="array" ref="X1715">_xlfn.IFS(W1715 = 0, "0", W1715&lt;=20, "até R$20",W1715&lt;=40, "21 - R$40",W1715&lt;=60, "41- R$60",W1715&lt;=80, "61 - R$80", W1715&lt;=100, "81 - R$100",W1715&lt;=120, "101 - R$120",W1715&lt;=140, "121 - R$140", W1715&lt;=160, "141- R$160", W1715&lt;=180, "161 - R$180", W1715&lt;=200, "181-R$194")</f>
        <v>até R$20</v>
      </c>
      <c r="Y1715" s="13">
        <v>3</v>
      </c>
      <c r="Z1715" s="13">
        <v>21</v>
      </c>
      <c r="AA1715" s="13">
        <v>6</v>
      </c>
      <c r="AB1715" s="13">
        <v>40</v>
      </c>
      <c r="AC1715" s="13">
        <v>5</v>
      </c>
      <c r="AD1715" s="13">
        <v>2</v>
      </c>
      <c r="AE1715" s="13">
        <v>2</v>
      </c>
      <c r="AF1715" s="13">
        <v>3</v>
      </c>
      <c r="AG1715" s="13">
        <v>5</v>
      </c>
      <c r="AH1715" s="13">
        <v>0</v>
      </c>
      <c r="AI1715" s="13">
        <v>0</v>
      </c>
      <c r="AJ1715" s="13">
        <v>0</v>
      </c>
      <c r="AK1715" s="13">
        <v>0</v>
      </c>
      <c r="AL1715" s="13">
        <v>0</v>
      </c>
      <c r="AM1715" s="13">
        <v>0</v>
      </c>
      <c r="AN1715" s="13">
        <v>0</v>
      </c>
      <c r="AO1715" s="14">
        <v>0</v>
      </c>
      <c r="AP1715" s="13">
        <v>3</v>
      </c>
      <c r="AQ1715" s="13">
        <v>11</v>
      </c>
      <c r="AR1715" s="15">
        <v>8</v>
      </c>
      <c r="AS1715" s="15">
        <v>48</v>
      </c>
    </row>
    <row r="1716" spans="1:45" x14ac:dyDescent="0.25">
      <c r="A1716">
        <v>1404</v>
      </c>
      <c r="B1716" s="11">
        <f t="shared" si="26"/>
        <v>38741</v>
      </c>
      <c r="C1716" s="12">
        <v>387410</v>
      </c>
      <c r="D1716" s="13">
        <v>1</v>
      </c>
      <c r="E1716" s="13">
        <v>1</v>
      </c>
      <c r="F1716" s="13">
        <v>60</v>
      </c>
      <c r="G1716" s="13">
        <v>62</v>
      </c>
      <c r="H1716" s="13" t="str" cm="1">
        <f t="array" ref="H1716">_xlfn.IFS(G1716&lt;=20,"0-20",G1716&lt;=30,"20-30",G1716&lt;=40,"30-40",G1716&lt;=50,"50-60",G1716&lt;=60,"60-70",G1716&lt;=70,"70-80",G1716&lt;=80,"80-90")</f>
        <v>70-80</v>
      </c>
      <c r="I1716" s="13">
        <v>2250</v>
      </c>
      <c r="J1716" s="13" t="str" cm="1">
        <f t="array" ref="J1716">_xlfn.IFS(K1716=1,"Divorciado",L1716=1,"Casado",M1716=1,"Solteiro",N1716=1,"Juntos",O1716=1,"Viuvo")</f>
        <v>Solteiro</v>
      </c>
      <c r="K1716" s="13">
        <v>0</v>
      </c>
      <c r="L1716" s="13">
        <v>0</v>
      </c>
      <c r="M1716" s="13">
        <v>1</v>
      </c>
      <c r="N1716" s="13">
        <v>0</v>
      </c>
      <c r="O1716" s="13">
        <v>0</v>
      </c>
      <c r="P1716" s="13">
        <v>1</v>
      </c>
      <c r="Q1716" s="13">
        <v>0</v>
      </c>
      <c r="R1716" s="13">
        <v>0</v>
      </c>
      <c r="S1716" s="13">
        <v>0</v>
      </c>
      <c r="T1716" s="13">
        <v>0</v>
      </c>
      <c r="U1716" s="13">
        <v>7</v>
      </c>
      <c r="V1716" s="13" t="str" cm="1">
        <f t="array" ref="V1716">_xlfn.IFS(U1716&lt;=250,"0-R$250",U1716&lt;=500,"251-R$500",U1716&lt;=750,"501-R$750",U1716&lt;=1000,"751-R$1000",U1716&lt;=1250,"1001-R$1250",U1716&lt;=1500,"1251-R$1500")</f>
        <v>0-R$250</v>
      </c>
      <c r="W1716" s="13">
        <v>10</v>
      </c>
      <c r="X1716" s="13" t="str" cm="1">
        <f t="array" ref="X1716">_xlfn.IFS(W1716 = 0, "0", W1716&lt;=20, "até R$20",W1716&lt;=40, "21 - R$40",W1716&lt;=60, "41- R$60",W1716&lt;=80, "61 - R$80", W1716&lt;=100, "81 - R$100",W1716&lt;=120, "101 - R$120",W1716&lt;=140, "121 - R$140", W1716&lt;=160, "141- R$160", W1716&lt;=180, "161 - R$180", W1716&lt;=200, "181-R$194")</f>
        <v>até R$20</v>
      </c>
      <c r="Y1716" s="13">
        <v>17</v>
      </c>
      <c r="Z1716" s="13">
        <v>8</v>
      </c>
      <c r="AA1716" s="13">
        <v>6</v>
      </c>
      <c r="AB1716" s="13">
        <v>13</v>
      </c>
      <c r="AC1716" s="13">
        <v>2</v>
      </c>
      <c r="AD1716" s="13">
        <v>2</v>
      </c>
      <c r="AE1716" s="13">
        <v>0</v>
      </c>
      <c r="AF1716" s="13">
        <v>3</v>
      </c>
      <c r="AG1716" s="13">
        <v>7</v>
      </c>
      <c r="AH1716" s="13">
        <v>0</v>
      </c>
      <c r="AI1716" s="13">
        <v>0</v>
      </c>
      <c r="AJ1716" s="13">
        <v>0</v>
      </c>
      <c r="AK1716" s="13">
        <v>0</v>
      </c>
      <c r="AL1716" s="13">
        <v>0</v>
      </c>
      <c r="AM1716" s="13">
        <v>0</v>
      </c>
      <c r="AN1716" s="13">
        <v>0</v>
      </c>
      <c r="AO1716" s="14">
        <v>0</v>
      </c>
      <c r="AP1716" s="13">
        <v>3</v>
      </c>
      <c r="AQ1716" s="13">
        <v>11</v>
      </c>
      <c r="AR1716" s="15">
        <v>35</v>
      </c>
      <c r="AS1716" s="15">
        <v>48</v>
      </c>
    </row>
    <row r="1717" spans="1:45" x14ac:dyDescent="0.25">
      <c r="A1717">
        <v>2073</v>
      </c>
      <c r="B1717" s="11">
        <f t="shared" si="26"/>
        <v>14188</v>
      </c>
      <c r="C1717" s="16">
        <v>141880</v>
      </c>
      <c r="D1717" s="17">
        <v>0</v>
      </c>
      <c r="E1717" s="17">
        <v>0</v>
      </c>
      <c r="F1717" s="17">
        <v>40</v>
      </c>
      <c r="G1717" s="17">
        <v>48</v>
      </c>
      <c r="H1717" s="13" t="str" cm="1">
        <f t="array" ref="H1717">_xlfn.IFS(G1717&lt;=20,"0-20",G1717&lt;=30,"20-30",G1717&lt;=40,"30-40",G1717&lt;=50,"50-60",G1717&lt;=60,"60-70",G1717&lt;=70,"70-80",G1717&lt;=80,"80-90")</f>
        <v>50-60</v>
      </c>
      <c r="I1717" s="17">
        <v>2645</v>
      </c>
      <c r="J1717" s="13" t="str" cm="1">
        <f t="array" ref="J1717">_xlfn.IFS(K1717=1,"Divorciado",L1717=1,"Casado",M1717=1,"Solteiro",N1717=1,"Juntos",O1717=1,"Viuvo")</f>
        <v>Casado</v>
      </c>
      <c r="K1717" s="17">
        <v>0</v>
      </c>
      <c r="L1717" s="17">
        <v>1</v>
      </c>
      <c r="M1717" s="17">
        <v>0</v>
      </c>
      <c r="N1717" s="17">
        <v>0</v>
      </c>
      <c r="O1717" s="17">
        <v>0</v>
      </c>
      <c r="P1717" s="17">
        <v>0</v>
      </c>
      <c r="Q1717" s="17">
        <v>1</v>
      </c>
      <c r="R1717" s="17">
        <v>0</v>
      </c>
      <c r="S1717" s="17">
        <v>0</v>
      </c>
      <c r="T1717" s="17">
        <v>0</v>
      </c>
      <c r="U1717" s="17">
        <v>2</v>
      </c>
      <c r="V1717" s="13" t="str" cm="1">
        <f t="array" ref="V1717">_xlfn.IFS(U1717&lt;=250,"0-R$250",U1717&lt;=500,"251-R$500",U1717&lt;=750,"501-R$750",U1717&lt;=1000,"751-R$1000",U1717&lt;=1250,"1001-R$1250",U1717&lt;=1500,"1251-R$1500")</f>
        <v>0-R$250</v>
      </c>
      <c r="W1717" s="17">
        <v>7</v>
      </c>
      <c r="X1717" s="13" t="str" cm="1">
        <f t="array" ref="X1717">_xlfn.IFS(W1717 = 0, "0", W1717&lt;=20, "até R$20",W1717&lt;=40, "21 - R$40",W1717&lt;=60, "41- R$60",W1717&lt;=80, "61 - R$80", W1717&lt;=100, "81 - R$100",W1717&lt;=120, "101 - R$120",W1717&lt;=140, "121 - R$140", W1717&lt;=160, "141- R$160", W1717&lt;=180, "161 - R$180", W1717&lt;=200, "181-R$194")</f>
        <v>até R$20</v>
      </c>
      <c r="Y1717" s="17">
        <v>11</v>
      </c>
      <c r="Z1717" s="17">
        <v>16</v>
      </c>
      <c r="AA1717" s="17">
        <v>12</v>
      </c>
      <c r="AB1717" s="17">
        <v>27</v>
      </c>
      <c r="AC1717" s="17">
        <v>1</v>
      </c>
      <c r="AD1717" s="17">
        <v>2</v>
      </c>
      <c r="AE1717" s="17">
        <v>0</v>
      </c>
      <c r="AF1717" s="17">
        <v>4</v>
      </c>
      <c r="AG1717" s="17">
        <v>6</v>
      </c>
      <c r="AH1717" s="17">
        <v>0</v>
      </c>
      <c r="AI1717" s="17">
        <v>0</v>
      </c>
      <c r="AJ1717" s="17">
        <v>0</v>
      </c>
      <c r="AK1717" s="17">
        <v>0</v>
      </c>
      <c r="AL1717" s="17">
        <v>0</v>
      </c>
      <c r="AM1717" s="17">
        <v>0</v>
      </c>
      <c r="AN1717" s="17">
        <v>0</v>
      </c>
      <c r="AO1717" s="18">
        <v>0</v>
      </c>
      <c r="AP1717" s="17">
        <v>3</v>
      </c>
      <c r="AQ1717" s="17">
        <v>11</v>
      </c>
      <c r="AR1717" s="19">
        <v>21</v>
      </c>
      <c r="AS1717" s="19">
        <v>48</v>
      </c>
    </row>
    <row r="1718" spans="1:45" x14ac:dyDescent="0.25">
      <c r="A1718">
        <v>2191</v>
      </c>
      <c r="B1718" s="11">
        <f t="shared" si="26"/>
        <v>33562</v>
      </c>
      <c r="C1718" s="16">
        <v>335620</v>
      </c>
      <c r="D1718" s="17">
        <v>1</v>
      </c>
      <c r="E1718" s="17">
        <v>2</v>
      </c>
      <c r="F1718" s="17">
        <v>33</v>
      </c>
      <c r="G1718" s="17">
        <v>57</v>
      </c>
      <c r="H1718" s="13" t="str" cm="1">
        <f t="array" ref="H1718">_xlfn.IFS(G1718&lt;=20,"0-20",G1718&lt;=30,"20-30",G1718&lt;=40,"30-40",G1718&lt;=50,"50-60",G1718&lt;=60,"60-70",G1718&lt;=70,"70-80",G1718&lt;=80,"80-90")</f>
        <v>60-70</v>
      </c>
      <c r="I1718" s="17">
        <v>2163</v>
      </c>
      <c r="J1718" s="13" t="str" cm="1">
        <f t="array" ref="J1718">_xlfn.IFS(K1718=1,"Divorciado",L1718=1,"Casado",M1718=1,"Solteiro",N1718=1,"Juntos",O1718=1,"Viuvo")</f>
        <v>Casado</v>
      </c>
      <c r="K1718" s="17">
        <v>0</v>
      </c>
      <c r="L1718" s="17">
        <v>1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1</v>
      </c>
      <c r="T1718" s="17">
        <v>0</v>
      </c>
      <c r="U1718" s="17">
        <v>21</v>
      </c>
      <c r="V1718" s="13" t="str" cm="1">
        <f t="array" ref="V1718">_xlfn.IFS(U1718&lt;=250,"0-R$250",U1718&lt;=500,"251-R$500",U1718&lt;=750,"501-R$750",U1718&lt;=1000,"751-R$1000",U1718&lt;=1250,"1001-R$1250",U1718&lt;=1500,"1251-R$1500")</f>
        <v>0-R$250</v>
      </c>
      <c r="W1718" s="17">
        <v>12</v>
      </c>
      <c r="X1718" s="13" t="str" cm="1">
        <f t="array" ref="X1718">_xlfn.IFS(W1718 = 0, "0", W1718&lt;=20, "até R$20",W1718&lt;=40, "21 - R$40",W1718&lt;=60, "41- R$60",W1718&lt;=80, "61 - R$80", W1718&lt;=100, "81 - R$100",W1718&lt;=120, "101 - R$120",W1718&lt;=140, "121 - R$140", W1718&lt;=160, "141- R$160", W1718&lt;=180, "161 - R$180", W1718&lt;=200, "181-R$194")</f>
        <v>até R$20</v>
      </c>
      <c r="Y1718" s="17">
        <v>12</v>
      </c>
      <c r="Z1718" s="17">
        <v>0</v>
      </c>
      <c r="AA1718" s="17">
        <v>3</v>
      </c>
      <c r="AB1718" s="17">
        <v>3</v>
      </c>
      <c r="AC1718" s="17">
        <v>3</v>
      </c>
      <c r="AD1718" s="17">
        <v>2</v>
      </c>
      <c r="AE1718" s="17">
        <v>0</v>
      </c>
      <c r="AF1718" s="17">
        <v>4</v>
      </c>
      <c r="AG1718" s="17">
        <v>4</v>
      </c>
      <c r="AH1718" s="17">
        <v>0</v>
      </c>
      <c r="AI1718" s="17">
        <v>0</v>
      </c>
      <c r="AJ1718" s="17">
        <v>0</v>
      </c>
      <c r="AK1718" s="17">
        <v>0</v>
      </c>
      <c r="AL1718" s="17">
        <v>0</v>
      </c>
      <c r="AM1718" s="17">
        <v>0</v>
      </c>
      <c r="AN1718" s="17">
        <v>0</v>
      </c>
      <c r="AO1718" s="18">
        <v>0</v>
      </c>
      <c r="AP1718" s="17">
        <v>3</v>
      </c>
      <c r="AQ1718" s="17">
        <v>11</v>
      </c>
      <c r="AR1718" s="19">
        <v>45</v>
      </c>
      <c r="AS1718" s="19">
        <v>48</v>
      </c>
    </row>
    <row r="1719" spans="1:45" x14ac:dyDescent="0.25">
      <c r="A1719">
        <v>394</v>
      </c>
      <c r="B1719" s="11">
        <f t="shared" si="26"/>
        <v>23616</v>
      </c>
      <c r="C1719" s="12">
        <v>236160</v>
      </c>
      <c r="D1719" s="13">
        <v>1</v>
      </c>
      <c r="E1719" s="13">
        <v>0</v>
      </c>
      <c r="F1719" s="13">
        <v>76</v>
      </c>
      <c r="G1719" s="13">
        <v>38</v>
      </c>
      <c r="H1719" s="13" t="str" cm="1">
        <f t="array" ref="H1719">_xlfn.IFS(G1719&lt;=20,"0-20",G1719&lt;=30,"20-30",G1719&lt;=40,"30-40",G1719&lt;=50,"50-60",G1719&lt;=60,"60-70",G1719&lt;=70,"70-80",G1719&lt;=80,"80-90")</f>
        <v>30-40</v>
      </c>
      <c r="I1719" s="13">
        <v>2748</v>
      </c>
      <c r="J1719" s="13" t="str" cm="1">
        <f t="array" ref="J1719">_xlfn.IFS(K1719=1,"Divorciado",L1719=1,"Casado",M1719=1,"Solteiro",N1719=1,"Juntos",O1719=1,"Viuvo")</f>
        <v>Solteiro</v>
      </c>
      <c r="K1719" s="13">
        <v>0</v>
      </c>
      <c r="L1719" s="13">
        <v>0</v>
      </c>
      <c r="M1719" s="13">
        <v>1</v>
      </c>
      <c r="N1719" s="13">
        <v>0</v>
      </c>
      <c r="O1719" s="13">
        <v>0</v>
      </c>
      <c r="P1719" s="13">
        <v>1</v>
      </c>
      <c r="Q1719" s="13">
        <v>0</v>
      </c>
      <c r="R1719" s="13">
        <v>0</v>
      </c>
      <c r="S1719" s="13">
        <v>0</v>
      </c>
      <c r="T1719" s="13">
        <v>0</v>
      </c>
      <c r="U1719" s="13">
        <v>4</v>
      </c>
      <c r="V1719" s="13" t="str" cm="1">
        <f t="array" ref="V1719">_xlfn.IFS(U1719&lt;=250,"0-R$250",U1719&lt;=500,"251-R$500",U1719&lt;=750,"501-R$750",U1719&lt;=1000,"751-R$1000",U1719&lt;=1250,"1001-R$1250",U1719&lt;=1500,"1251-R$1500")</f>
        <v>0-R$250</v>
      </c>
      <c r="W1719" s="13">
        <v>22</v>
      </c>
      <c r="X1719" s="13" t="str" cm="1">
        <f t="array" ref="X1719">_xlfn.IFS(W1719 = 0, "0", W1719&lt;=20, "até R$20",W1719&lt;=40, "21 - R$40",W1719&lt;=60, "41- R$60",W1719&lt;=80, "61 - R$80", W1719&lt;=100, "81 - R$100",W1719&lt;=120, "101 - R$120",W1719&lt;=140, "121 - R$140", W1719&lt;=160, "141- R$160", W1719&lt;=180, "161 - R$180", W1719&lt;=200, "181-R$194")</f>
        <v>21 - R$40</v>
      </c>
      <c r="Y1719" s="13">
        <v>11</v>
      </c>
      <c r="Z1719" s="13">
        <v>3</v>
      </c>
      <c r="AA1719" s="13">
        <v>7</v>
      </c>
      <c r="AB1719" s="13">
        <v>32</v>
      </c>
      <c r="AC1719" s="13">
        <v>2</v>
      </c>
      <c r="AD1719" s="13">
        <v>3</v>
      </c>
      <c r="AE1719" s="13">
        <v>0</v>
      </c>
      <c r="AF1719" s="13">
        <v>3</v>
      </c>
      <c r="AG1719" s="13">
        <v>8</v>
      </c>
      <c r="AH1719" s="13">
        <v>0</v>
      </c>
      <c r="AI1719" s="13">
        <v>0</v>
      </c>
      <c r="AJ1719" s="13">
        <v>0</v>
      </c>
      <c r="AK1719" s="13">
        <v>0</v>
      </c>
      <c r="AL1719" s="13">
        <v>0</v>
      </c>
      <c r="AM1719" s="13">
        <v>0</v>
      </c>
      <c r="AN1719" s="13">
        <v>1</v>
      </c>
      <c r="AO1719" s="14">
        <v>0</v>
      </c>
      <c r="AP1719" s="13">
        <v>3</v>
      </c>
      <c r="AQ1719" s="13">
        <v>11</v>
      </c>
      <c r="AR1719" s="15">
        <v>15</v>
      </c>
      <c r="AS1719" s="15">
        <v>47</v>
      </c>
    </row>
    <row r="1720" spans="1:45" x14ac:dyDescent="0.25">
      <c r="A1720">
        <v>542</v>
      </c>
      <c r="B1720" s="11">
        <f t="shared" si="26"/>
        <v>15315</v>
      </c>
      <c r="C1720" s="12">
        <v>153150</v>
      </c>
      <c r="D1720" s="13">
        <v>0</v>
      </c>
      <c r="E1720" s="13">
        <v>0</v>
      </c>
      <c r="F1720" s="13">
        <v>27</v>
      </c>
      <c r="G1720" s="13">
        <v>50</v>
      </c>
      <c r="H1720" s="13" t="str" cm="1">
        <f t="array" ref="H1720">_xlfn.IFS(G1720&lt;=20,"0-20",G1720&lt;=30,"20-30",G1720&lt;=40,"30-40",G1720&lt;=50,"50-60",G1720&lt;=60,"60-70",G1720&lt;=70,"70-80",G1720&lt;=80,"80-90")</f>
        <v>50-60</v>
      </c>
      <c r="I1720" s="13">
        <v>2489</v>
      </c>
      <c r="J1720" s="13" t="str" cm="1">
        <f t="array" ref="J1720">_xlfn.IFS(K1720=1,"Divorciado",L1720=1,"Casado",M1720=1,"Solteiro",N1720=1,"Juntos",O1720=1,"Viuvo")</f>
        <v>Casado</v>
      </c>
      <c r="K1720" s="13">
        <v>0</v>
      </c>
      <c r="L1720" s="13">
        <v>1</v>
      </c>
      <c r="M1720" s="13">
        <v>0</v>
      </c>
      <c r="N1720" s="13">
        <v>0</v>
      </c>
      <c r="O1720" s="13">
        <v>0</v>
      </c>
      <c r="P1720" s="13">
        <v>1</v>
      </c>
      <c r="Q1720" s="13">
        <v>0</v>
      </c>
      <c r="R1720" s="13">
        <v>0</v>
      </c>
      <c r="S1720" s="13">
        <v>0</v>
      </c>
      <c r="T1720" s="13">
        <v>0</v>
      </c>
      <c r="U1720" s="13">
        <v>7</v>
      </c>
      <c r="V1720" s="13" t="str" cm="1">
        <f t="array" ref="V1720">_xlfn.IFS(U1720&lt;=250,"0-R$250",U1720&lt;=500,"251-R$500",U1720&lt;=750,"501-R$750",U1720&lt;=1000,"751-R$1000",U1720&lt;=1250,"1001-R$1250",U1720&lt;=1500,"1251-R$1500")</f>
        <v>0-R$250</v>
      </c>
      <c r="W1720" s="13">
        <v>4</v>
      </c>
      <c r="X1720" s="13" t="str" cm="1">
        <f t="array" ref="X1720">_xlfn.IFS(W1720 = 0, "0", W1720&lt;=20, "até R$20",W1720&lt;=40, "21 - R$40",W1720&lt;=60, "41- R$60",W1720&lt;=80, "61 - R$80", W1720&lt;=100, "81 - R$100",W1720&lt;=120, "101 - R$120",W1720&lt;=140, "121 - R$140", W1720&lt;=160, "141- R$160", W1720&lt;=180, "161 - R$180", W1720&lt;=200, "181-R$194")</f>
        <v>até R$20</v>
      </c>
      <c r="Y1720" s="13">
        <v>13</v>
      </c>
      <c r="Z1720" s="13">
        <v>15</v>
      </c>
      <c r="AA1720" s="13">
        <v>8</v>
      </c>
      <c r="AB1720" s="13">
        <v>17</v>
      </c>
      <c r="AC1720" s="13">
        <v>2</v>
      </c>
      <c r="AD1720" s="13">
        <v>2</v>
      </c>
      <c r="AE1720" s="13">
        <v>0</v>
      </c>
      <c r="AF1720" s="13">
        <v>4</v>
      </c>
      <c r="AG1720" s="13">
        <v>5</v>
      </c>
      <c r="AH1720" s="13">
        <v>0</v>
      </c>
      <c r="AI1720" s="13">
        <v>0</v>
      </c>
      <c r="AJ1720" s="13">
        <v>0</v>
      </c>
      <c r="AK1720" s="13">
        <v>0</v>
      </c>
      <c r="AL1720" s="13">
        <v>0</v>
      </c>
      <c r="AM1720" s="13">
        <v>0</v>
      </c>
      <c r="AN1720" s="13">
        <v>0</v>
      </c>
      <c r="AO1720" s="14">
        <v>0</v>
      </c>
      <c r="AP1720" s="13">
        <v>3</v>
      </c>
      <c r="AQ1720" s="13">
        <v>11</v>
      </c>
      <c r="AR1720" s="15">
        <v>30</v>
      </c>
      <c r="AS1720" s="15">
        <v>47</v>
      </c>
    </row>
    <row r="1721" spans="1:45" x14ac:dyDescent="0.25">
      <c r="A1721">
        <v>862</v>
      </c>
      <c r="B1721" s="11">
        <f t="shared" si="26"/>
        <v>35797</v>
      </c>
      <c r="C1721" s="12">
        <v>357970</v>
      </c>
      <c r="D1721" s="13">
        <v>0</v>
      </c>
      <c r="E1721" s="13">
        <v>1</v>
      </c>
      <c r="F1721" s="13">
        <v>16</v>
      </c>
      <c r="G1721" s="13">
        <v>45</v>
      </c>
      <c r="H1721" s="13" t="str" cm="1">
        <f t="array" ref="H1721">_xlfn.IFS(G1721&lt;=20,"0-20",G1721&lt;=30,"20-30",G1721&lt;=40,"30-40",G1721&lt;=50,"50-60",G1721&lt;=60,"60-70",G1721&lt;=70,"70-80",G1721&lt;=80,"80-90")</f>
        <v>50-60</v>
      </c>
      <c r="I1721" s="13">
        <v>2780</v>
      </c>
      <c r="J1721" s="13" t="str" cm="1">
        <f t="array" ref="J1721">_xlfn.IFS(K1721=1,"Divorciado",L1721=1,"Casado",M1721=1,"Solteiro",N1721=1,"Juntos",O1721=1,"Viuvo")</f>
        <v>Casado</v>
      </c>
      <c r="K1721" s="13">
        <v>0</v>
      </c>
      <c r="L1721" s="13">
        <v>1</v>
      </c>
      <c r="M1721" s="13">
        <v>0</v>
      </c>
      <c r="N1721" s="13">
        <v>0</v>
      </c>
      <c r="O1721" s="13">
        <v>0</v>
      </c>
      <c r="P1721" s="13">
        <v>0</v>
      </c>
      <c r="Q1721" s="13">
        <v>0</v>
      </c>
      <c r="R1721" s="13">
        <v>1</v>
      </c>
      <c r="S1721" s="13">
        <v>0</v>
      </c>
      <c r="T1721" s="13">
        <v>0</v>
      </c>
      <c r="U1721" s="13">
        <v>27</v>
      </c>
      <c r="V1721" s="13" t="str" cm="1">
        <f t="array" ref="V1721">_xlfn.IFS(U1721&lt;=250,"0-R$250",U1721&lt;=500,"251-R$500",U1721&lt;=750,"501-R$750",U1721&lt;=1000,"751-R$1000",U1721&lt;=1250,"1001-R$1250",U1721&lt;=1500,"1251-R$1500")</f>
        <v>0-R$250</v>
      </c>
      <c r="W1721" s="13">
        <v>1</v>
      </c>
      <c r="X1721" s="13" t="str" cm="1">
        <f t="array" ref="X1721">_xlfn.IFS(W1721 = 0, "0", W1721&lt;=20, "até R$20",W1721&lt;=40, "21 - R$40",W1721&lt;=60, "41- R$60",W1721&lt;=80, "61 - R$80", W1721&lt;=100, "81 - R$100",W1721&lt;=120, "101 - R$120",W1721&lt;=140, "121 - R$140", W1721&lt;=160, "141- R$160", W1721&lt;=180, "161 - R$180", W1721&lt;=200, "181-R$194")</f>
        <v>até R$20</v>
      </c>
      <c r="Y1721" s="13">
        <v>14</v>
      </c>
      <c r="Z1721" s="13">
        <v>4</v>
      </c>
      <c r="AA1721" s="13">
        <v>1</v>
      </c>
      <c r="AB1721" s="13">
        <v>21</v>
      </c>
      <c r="AC1721" s="13">
        <v>2</v>
      </c>
      <c r="AD1721" s="13">
        <v>2</v>
      </c>
      <c r="AE1721" s="13">
        <v>0</v>
      </c>
      <c r="AF1721" s="13">
        <v>3</v>
      </c>
      <c r="AG1721" s="13">
        <v>8</v>
      </c>
      <c r="AH1721" s="13">
        <v>0</v>
      </c>
      <c r="AI1721" s="13">
        <v>0</v>
      </c>
      <c r="AJ1721" s="13">
        <v>0</v>
      </c>
      <c r="AK1721" s="13">
        <v>0</v>
      </c>
      <c r="AL1721" s="13">
        <v>0</v>
      </c>
      <c r="AM1721" s="13">
        <v>0</v>
      </c>
      <c r="AN1721" s="13">
        <v>0</v>
      </c>
      <c r="AO1721" s="14">
        <v>0</v>
      </c>
      <c r="AP1721" s="13">
        <v>3</v>
      </c>
      <c r="AQ1721" s="13">
        <v>11</v>
      </c>
      <c r="AR1721" s="15">
        <v>26</v>
      </c>
      <c r="AS1721" s="15">
        <v>47</v>
      </c>
    </row>
    <row r="1722" spans="1:45" x14ac:dyDescent="0.25">
      <c r="A1722">
        <v>1017</v>
      </c>
      <c r="B1722" s="11">
        <f t="shared" si="26"/>
        <v>37334</v>
      </c>
      <c r="C1722" s="16">
        <v>373340</v>
      </c>
      <c r="D1722" s="17">
        <v>1</v>
      </c>
      <c r="E1722" s="17">
        <v>1</v>
      </c>
      <c r="F1722" s="17">
        <v>44</v>
      </c>
      <c r="G1722" s="17">
        <v>62</v>
      </c>
      <c r="H1722" s="13" t="str" cm="1">
        <f t="array" ref="H1722">_xlfn.IFS(G1722&lt;=20,"0-20",G1722&lt;=30,"20-30",G1722&lt;=40,"30-40",G1722&lt;=50,"50-60",G1722&lt;=60,"60-70",G1722&lt;=70,"70-80",G1722&lt;=80,"80-90")</f>
        <v>70-80</v>
      </c>
      <c r="I1722" s="17">
        <v>2282</v>
      </c>
      <c r="J1722" s="13" t="str" cm="1">
        <f t="array" ref="J1722">_xlfn.IFS(K1722=1,"Divorciado",L1722=1,"Casado",M1722=1,"Solteiro",N1722=1,"Juntos",O1722=1,"Viuvo")</f>
        <v>Juntos</v>
      </c>
      <c r="K1722" s="17">
        <v>0</v>
      </c>
      <c r="L1722" s="17">
        <v>0</v>
      </c>
      <c r="M1722" s="17">
        <v>0</v>
      </c>
      <c r="N1722" s="17">
        <v>1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1</v>
      </c>
      <c r="U1722" s="17">
        <v>26</v>
      </c>
      <c r="V1722" s="13" t="str" cm="1">
        <f t="array" ref="V1722">_xlfn.IFS(U1722&lt;=250,"0-R$250",U1722&lt;=500,"251-R$500",U1722&lt;=750,"501-R$750",U1722&lt;=1000,"751-R$1000",U1722&lt;=1250,"1001-R$1250",U1722&lt;=1500,"1251-R$1500")</f>
        <v>0-R$250</v>
      </c>
      <c r="W1722" s="17">
        <v>1</v>
      </c>
      <c r="X1722" s="13" t="str" cm="1">
        <f t="array" ref="X1722">_xlfn.IFS(W1722 = 0, "0", W1722&lt;=20, "até R$20",W1722&lt;=40, "21 - R$40",W1722&lt;=60, "41- R$60",W1722&lt;=80, "61 - R$80", W1722&lt;=100, "81 - R$100",W1722&lt;=120, "101 - R$120",W1722&lt;=140, "121 - R$140", W1722&lt;=160, "141- R$160", W1722&lt;=180, "161 - R$180", W1722&lt;=200, "181-R$194")</f>
        <v>até R$20</v>
      </c>
      <c r="Y1722" s="17">
        <v>16</v>
      </c>
      <c r="Z1722" s="17">
        <v>2</v>
      </c>
      <c r="AA1722" s="17">
        <v>2</v>
      </c>
      <c r="AB1722" s="17">
        <v>15</v>
      </c>
      <c r="AC1722" s="17">
        <v>4</v>
      </c>
      <c r="AD1722" s="17">
        <v>3</v>
      </c>
      <c r="AE1722" s="17">
        <v>0</v>
      </c>
      <c r="AF1722" s="17">
        <v>4</v>
      </c>
      <c r="AG1722" s="17">
        <v>4</v>
      </c>
      <c r="AH1722" s="17">
        <v>0</v>
      </c>
      <c r="AI1722" s="17">
        <v>0</v>
      </c>
      <c r="AJ1722" s="17">
        <v>0</v>
      </c>
      <c r="AK1722" s="17">
        <v>0</v>
      </c>
      <c r="AL1722" s="17">
        <v>0</v>
      </c>
      <c r="AM1722" s="17">
        <v>0</v>
      </c>
      <c r="AN1722" s="17">
        <v>0</v>
      </c>
      <c r="AO1722" s="18">
        <v>0</v>
      </c>
      <c r="AP1722" s="17">
        <v>3</v>
      </c>
      <c r="AQ1722" s="17">
        <v>11</v>
      </c>
      <c r="AR1722" s="19">
        <v>32</v>
      </c>
      <c r="AS1722" s="19">
        <v>47</v>
      </c>
    </row>
    <row r="1723" spans="1:45" x14ac:dyDescent="0.25">
      <c r="A1723">
        <v>1088</v>
      </c>
      <c r="B1723" s="11">
        <f t="shared" si="26"/>
        <v>15315</v>
      </c>
      <c r="C1723" s="12">
        <v>153150</v>
      </c>
      <c r="D1723" s="13">
        <v>0</v>
      </c>
      <c r="E1723" s="13">
        <v>0</v>
      </c>
      <c r="F1723" s="13">
        <v>27</v>
      </c>
      <c r="G1723" s="13">
        <v>50</v>
      </c>
      <c r="H1723" s="13" t="str" cm="1">
        <f t="array" ref="H1723">_xlfn.IFS(G1723&lt;=20,"0-20",G1723&lt;=30,"20-30",G1723&lt;=40,"30-40",G1723&lt;=50,"50-60",G1723&lt;=60,"60-70",G1723&lt;=70,"70-80",G1723&lt;=80,"80-90")</f>
        <v>50-60</v>
      </c>
      <c r="I1723" s="13">
        <v>2489</v>
      </c>
      <c r="J1723" s="13" t="str" cm="1">
        <f t="array" ref="J1723">_xlfn.IFS(K1723=1,"Divorciado",L1723=1,"Casado",M1723=1,"Solteiro",N1723=1,"Juntos",O1723=1,"Viuvo")</f>
        <v>Casado</v>
      </c>
      <c r="K1723" s="13">
        <v>0</v>
      </c>
      <c r="L1723" s="13">
        <v>1</v>
      </c>
      <c r="M1723" s="13">
        <v>0</v>
      </c>
      <c r="N1723" s="13">
        <v>0</v>
      </c>
      <c r="O1723" s="13">
        <v>0</v>
      </c>
      <c r="P1723" s="13">
        <v>1</v>
      </c>
      <c r="Q1723" s="13">
        <v>0</v>
      </c>
      <c r="R1723" s="13">
        <v>0</v>
      </c>
      <c r="S1723" s="13">
        <v>0</v>
      </c>
      <c r="T1723" s="13">
        <v>0</v>
      </c>
      <c r="U1723" s="13">
        <v>7</v>
      </c>
      <c r="V1723" s="13" t="str" cm="1">
        <f t="array" ref="V1723">_xlfn.IFS(U1723&lt;=250,"0-R$250",U1723&lt;=500,"251-R$500",U1723&lt;=750,"501-R$750",U1723&lt;=1000,"751-R$1000",U1723&lt;=1250,"1001-R$1250",U1723&lt;=1500,"1251-R$1500")</f>
        <v>0-R$250</v>
      </c>
      <c r="W1723" s="13">
        <v>4</v>
      </c>
      <c r="X1723" s="13" t="str" cm="1">
        <f t="array" ref="X1723">_xlfn.IFS(W1723 = 0, "0", W1723&lt;=20, "até R$20",W1723&lt;=40, "21 - R$40",W1723&lt;=60, "41- R$60",W1723&lt;=80, "61 - R$80", W1723&lt;=100, "81 - R$100",W1723&lt;=120, "101 - R$120",W1723&lt;=140, "121 - R$140", W1723&lt;=160, "141- R$160", W1723&lt;=180, "161 - R$180", W1723&lt;=200, "181-R$194")</f>
        <v>até R$20</v>
      </c>
      <c r="Y1723" s="13">
        <v>13</v>
      </c>
      <c r="Z1723" s="13">
        <v>15</v>
      </c>
      <c r="AA1723" s="13">
        <v>8</v>
      </c>
      <c r="AB1723" s="13">
        <v>17</v>
      </c>
      <c r="AC1723" s="13">
        <v>2</v>
      </c>
      <c r="AD1723" s="13">
        <v>2</v>
      </c>
      <c r="AE1723" s="13">
        <v>0</v>
      </c>
      <c r="AF1723" s="13">
        <v>4</v>
      </c>
      <c r="AG1723" s="13">
        <v>5</v>
      </c>
      <c r="AH1723" s="13">
        <v>0</v>
      </c>
      <c r="AI1723" s="13">
        <v>0</v>
      </c>
      <c r="AJ1723" s="13">
        <v>0</v>
      </c>
      <c r="AK1723" s="13">
        <v>0</v>
      </c>
      <c r="AL1723" s="13">
        <v>0</v>
      </c>
      <c r="AM1723" s="13">
        <v>0</v>
      </c>
      <c r="AN1723" s="13">
        <v>0</v>
      </c>
      <c r="AO1723" s="14">
        <v>0</v>
      </c>
      <c r="AP1723" s="13">
        <v>3</v>
      </c>
      <c r="AQ1723" s="13">
        <v>11</v>
      </c>
      <c r="AR1723" s="15">
        <v>30</v>
      </c>
      <c r="AS1723" s="15">
        <v>47</v>
      </c>
    </row>
    <row r="1724" spans="1:45" x14ac:dyDescent="0.25">
      <c r="A1724">
        <v>1841</v>
      </c>
      <c r="B1724" s="11">
        <f t="shared" si="26"/>
        <v>32889</v>
      </c>
      <c r="C1724" s="16">
        <v>328890</v>
      </c>
      <c r="D1724" s="17">
        <v>1</v>
      </c>
      <c r="E1724" s="17">
        <v>1</v>
      </c>
      <c r="F1724" s="17">
        <v>78</v>
      </c>
      <c r="G1724" s="17">
        <v>52</v>
      </c>
      <c r="H1724" s="13" t="str" cm="1">
        <f t="array" ref="H1724">_xlfn.IFS(G1724&lt;=20,"0-20",G1724&lt;=30,"20-30",G1724&lt;=40,"30-40",G1724&lt;=50,"50-60",G1724&lt;=60,"60-70",G1724&lt;=70,"70-80",G1724&lt;=80,"80-90")</f>
        <v>60-70</v>
      </c>
      <c r="I1724" s="17">
        <v>2455</v>
      </c>
      <c r="J1724" s="13" t="str" cm="1">
        <f t="array" ref="J1724">_xlfn.IFS(K1724=1,"Divorciado",L1724=1,"Casado",M1724=1,"Solteiro",N1724=1,"Juntos",O1724=1,"Viuvo")</f>
        <v>Juntos</v>
      </c>
      <c r="K1724" s="17">
        <v>0</v>
      </c>
      <c r="L1724" s="17">
        <v>0</v>
      </c>
      <c r="M1724" s="17">
        <v>0</v>
      </c>
      <c r="N1724" s="17">
        <v>1</v>
      </c>
      <c r="O1724" s="17">
        <v>0</v>
      </c>
      <c r="P1724" s="17">
        <v>0</v>
      </c>
      <c r="Q1724" s="17">
        <v>0</v>
      </c>
      <c r="R1724" s="17">
        <v>0</v>
      </c>
      <c r="S1724" s="17">
        <v>1</v>
      </c>
      <c r="T1724" s="17">
        <v>0</v>
      </c>
      <c r="U1724" s="17">
        <v>28</v>
      </c>
      <c r="V1724" s="13" t="str" cm="1">
        <f t="array" ref="V1724">_xlfn.IFS(U1724&lt;=250,"0-R$250",U1724&lt;=500,"251-R$500",U1724&lt;=750,"501-R$750",U1724&lt;=1000,"751-R$1000",U1724&lt;=1250,"1001-R$1250",U1724&lt;=1500,"1251-R$1500")</f>
        <v>0-R$250</v>
      </c>
      <c r="W1724" s="17">
        <v>0</v>
      </c>
      <c r="X1724" s="13" t="str" cm="1">
        <f t="array" ref="X1724">_xlfn.IFS(W1724 = 0, "0", W1724&lt;=20, "até R$20",W1724&lt;=40, "21 - R$40",W1724&lt;=60, "41- R$60",W1724&lt;=80, "61 - R$80", W1724&lt;=100, "81 - R$100",W1724&lt;=120, "101 - R$120",W1724&lt;=140, "121 - R$140", W1724&lt;=160, "141- R$160", W1724&lt;=180, "161 - R$180", W1724&lt;=200, "181-R$194")</f>
        <v>0</v>
      </c>
      <c r="Y1724" s="17">
        <v>13</v>
      </c>
      <c r="Z1724" s="17">
        <v>4</v>
      </c>
      <c r="AA1724" s="17">
        <v>2</v>
      </c>
      <c r="AB1724" s="17">
        <v>8</v>
      </c>
      <c r="AC1724" s="17">
        <v>3</v>
      </c>
      <c r="AD1724" s="17">
        <v>2</v>
      </c>
      <c r="AE1724" s="17">
        <v>1</v>
      </c>
      <c r="AF1724" s="17">
        <v>3</v>
      </c>
      <c r="AG1724" s="17">
        <v>5</v>
      </c>
      <c r="AH1724" s="17">
        <v>0</v>
      </c>
      <c r="AI1724" s="17">
        <v>0</v>
      </c>
      <c r="AJ1724" s="17">
        <v>0</v>
      </c>
      <c r="AK1724" s="17">
        <v>0</v>
      </c>
      <c r="AL1724" s="17">
        <v>0</v>
      </c>
      <c r="AM1724" s="17">
        <v>0</v>
      </c>
      <c r="AN1724" s="17">
        <v>0</v>
      </c>
      <c r="AO1724" s="18">
        <v>0</v>
      </c>
      <c r="AP1724" s="17">
        <v>3</v>
      </c>
      <c r="AQ1724" s="17">
        <v>11</v>
      </c>
      <c r="AR1724" s="19">
        <v>39</v>
      </c>
      <c r="AS1724" s="19">
        <v>47</v>
      </c>
    </row>
    <row r="1725" spans="1:45" x14ac:dyDescent="0.25">
      <c r="A1725">
        <v>1895</v>
      </c>
      <c r="B1725" s="11">
        <f t="shared" si="26"/>
        <v>31878</v>
      </c>
      <c r="C1725" s="16">
        <v>318780</v>
      </c>
      <c r="D1725" s="17">
        <v>0</v>
      </c>
      <c r="E1725" s="17">
        <v>1</v>
      </c>
      <c r="F1725" s="17">
        <v>7</v>
      </c>
      <c r="G1725" s="17">
        <v>43</v>
      </c>
      <c r="H1725" s="13" t="str" cm="1">
        <f t="array" ref="H1725">_xlfn.IFS(G1725&lt;=20,"0-20",G1725&lt;=30,"20-30",G1725&lt;=40,"30-40",G1725&lt;=50,"50-60",G1725&lt;=60,"60-70",G1725&lt;=70,"70-80",G1725&lt;=80,"80-90")</f>
        <v>50-60</v>
      </c>
      <c r="I1725" s="17">
        <v>2166</v>
      </c>
      <c r="J1725" s="13" t="str" cm="1">
        <f t="array" ref="J1725">_xlfn.IFS(K1725=1,"Divorciado",L1725=1,"Casado",M1725=1,"Solteiro",N1725=1,"Juntos",O1725=1,"Viuvo")</f>
        <v>Solteiro</v>
      </c>
      <c r="K1725" s="17">
        <v>0</v>
      </c>
      <c r="L1725" s="17">
        <v>0</v>
      </c>
      <c r="M1725" s="17">
        <v>1</v>
      </c>
      <c r="N1725" s="17">
        <v>0</v>
      </c>
      <c r="O1725" s="17">
        <v>0</v>
      </c>
      <c r="P1725" s="17">
        <v>1</v>
      </c>
      <c r="Q1725" s="17">
        <v>0</v>
      </c>
      <c r="R1725" s="17">
        <v>0</v>
      </c>
      <c r="S1725" s="17">
        <v>0</v>
      </c>
      <c r="T1725" s="17">
        <v>0</v>
      </c>
      <c r="U1725" s="17">
        <v>23</v>
      </c>
      <c r="V1725" s="13" t="str" cm="1">
        <f t="array" ref="V1725">_xlfn.IFS(U1725&lt;=250,"0-R$250",U1725&lt;=500,"251-R$500",U1725&lt;=750,"501-R$750",U1725&lt;=1000,"751-R$1000",U1725&lt;=1250,"1001-R$1250",U1725&lt;=1500,"1251-R$1500")</f>
        <v>0-R$250</v>
      </c>
      <c r="W1725" s="17">
        <v>4</v>
      </c>
      <c r="X1725" s="13" t="str" cm="1">
        <f t="array" ref="X1725">_xlfn.IFS(W1725 = 0, "0", W1725&lt;=20, "até R$20",W1725&lt;=40, "21 - R$40",W1725&lt;=60, "41- R$60",W1725&lt;=80, "61 - R$80", W1725&lt;=100, "81 - R$100",W1725&lt;=120, "101 - R$120",W1725&lt;=140, "121 - R$140", W1725&lt;=160, "141- R$160", W1725&lt;=180, "161 - R$180", W1725&lt;=200, "181-R$194")</f>
        <v>até R$20</v>
      </c>
      <c r="Y1725" s="17">
        <v>5</v>
      </c>
      <c r="Z1725" s="17">
        <v>10</v>
      </c>
      <c r="AA1725" s="17">
        <v>5</v>
      </c>
      <c r="AB1725" s="17">
        <v>23</v>
      </c>
      <c r="AC1725" s="17">
        <v>1</v>
      </c>
      <c r="AD1725" s="17">
        <v>1</v>
      </c>
      <c r="AE1725" s="17">
        <v>0</v>
      </c>
      <c r="AF1725" s="17">
        <v>4</v>
      </c>
      <c r="AG1725" s="17">
        <v>3</v>
      </c>
      <c r="AH1725" s="17">
        <v>0</v>
      </c>
      <c r="AI1725" s="17">
        <v>0</v>
      </c>
      <c r="AJ1725" s="17">
        <v>0</v>
      </c>
      <c r="AK1725" s="17">
        <v>0</v>
      </c>
      <c r="AL1725" s="17">
        <v>0</v>
      </c>
      <c r="AM1725" s="17">
        <v>0</v>
      </c>
      <c r="AN1725" s="17">
        <v>0</v>
      </c>
      <c r="AO1725" s="18">
        <v>0</v>
      </c>
      <c r="AP1725" s="17">
        <v>3</v>
      </c>
      <c r="AQ1725" s="17">
        <v>11</v>
      </c>
      <c r="AR1725" s="19">
        <v>24</v>
      </c>
      <c r="AS1725" s="19">
        <v>47</v>
      </c>
    </row>
    <row r="1726" spans="1:45" x14ac:dyDescent="0.25">
      <c r="A1726">
        <v>2018</v>
      </c>
      <c r="B1726" s="11">
        <f t="shared" si="26"/>
        <v>45057</v>
      </c>
      <c r="C1726" s="12">
        <v>450570</v>
      </c>
      <c r="D1726" s="13">
        <v>1</v>
      </c>
      <c r="E1726" s="13">
        <v>0</v>
      </c>
      <c r="F1726" s="13">
        <v>80</v>
      </c>
      <c r="G1726" s="13">
        <v>41</v>
      </c>
      <c r="H1726" s="13" t="str" cm="1">
        <f t="array" ref="H1726">_xlfn.IFS(G1726&lt;=20,"0-20",G1726&lt;=30,"20-30",G1726&lt;=40,"30-40",G1726&lt;=50,"50-60",G1726&lt;=60,"60-70",G1726&lt;=70,"70-80",G1726&lt;=80,"80-90")</f>
        <v>50-60</v>
      </c>
      <c r="I1726" s="13">
        <v>2369</v>
      </c>
      <c r="J1726" s="13" t="str" cm="1">
        <f t="array" ref="J1726">_xlfn.IFS(K1726=1,"Divorciado",L1726=1,"Casado",M1726=1,"Solteiro",N1726=1,"Juntos",O1726=1,"Viuvo")</f>
        <v>Casado</v>
      </c>
      <c r="K1726" s="13">
        <v>0</v>
      </c>
      <c r="L1726" s="13">
        <v>1</v>
      </c>
      <c r="M1726" s="13">
        <v>0</v>
      </c>
      <c r="N1726" s="13">
        <v>0</v>
      </c>
      <c r="O1726" s="13">
        <v>0</v>
      </c>
      <c r="P1726" s="13">
        <v>0</v>
      </c>
      <c r="Q1726" s="13">
        <v>0</v>
      </c>
      <c r="R1726" s="13">
        <v>0</v>
      </c>
      <c r="S1726" s="13">
        <v>1</v>
      </c>
      <c r="T1726" s="13">
        <v>0</v>
      </c>
      <c r="U1726" s="13">
        <v>37</v>
      </c>
      <c r="V1726" s="13" t="str" cm="1">
        <f t="array" ref="V1726">_xlfn.IFS(U1726&lt;=250,"0-R$250",U1726&lt;=500,"251-R$500",U1726&lt;=750,"501-R$750",U1726&lt;=1000,"751-R$1000",U1726&lt;=1250,"1001-R$1250",U1726&lt;=1500,"1251-R$1500")</f>
        <v>0-R$250</v>
      </c>
      <c r="W1726" s="13">
        <v>0</v>
      </c>
      <c r="X1726" s="13" t="str" cm="1">
        <f t="array" ref="X1726">_xlfn.IFS(W1726 = 0, "0", W1726&lt;=20, "até R$20",W1726&lt;=40, "21 - R$40",W1726&lt;=60, "41- R$60",W1726&lt;=80, "61 - R$80", W1726&lt;=100, "81 - R$100",W1726&lt;=120, "101 - R$120",W1726&lt;=140, "121 - R$140", W1726&lt;=160, "141- R$160", W1726&lt;=180, "161 - R$180", W1726&lt;=200, "181-R$194")</f>
        <v>0</v>
      </c>
      <c r="Y1726" s="13">
        <v>7</v>
      </c>
      <c r="Z1726" s="13">
        <v>3</v>
      </c>
      <c r="AA1726" s="13">
        <v>0</v>
      </c>
      <c r="AB1726" s="13">
        <v>3</v>
      </c>
      <c r="AC1726" s="13">
        <v>1</v>
      </c>
      <c r="AD1726" s="13">
        <v>2</v>
      </c>
      <c r="AE1726" s="13">
        <v>0</v>
      </c>
      <c r="AF1726" s="13">
        <v>3</v>
      </c>
      <c r="AG1726" s="13">
        <v>5</v>
      </c>
      <c r="AH1726" s="13">
        <v>0</v>
      </c>
      <c r="AI1726" s="13">
        <v>0</v>
      </c>
      <c r="AJ1726" s="13">
        <v>0</v>
      </c>
      <c r="AK1726" s="13">
        <v>0</v>
      </c>
      <c r="AL1726" s="13">
        <v>0</v>
      </c>
      <c r="AM1726" s="13">
        <v>0</v>
      </c>
      <c r="AN1726" s="13">
        <v>0</v>
      </c>
      <c r="AO1726" s="14">
        <v>0</v>
      </c>
      <c r="AP1726" s="13">
        <v>3</v>
      </c>
      <c r="AQ1726" s="13">
        <v>11</v>
      </c>
      <c r="AR1726" s="15">
        <v>44</v>
      </c>
      <c r="AS1726" s="15">
        <v>47</v>
      </c>
    </row>
    <row r="1727" spans="1:45" x14ac:dyDescent="0.25">
      <c r="A1727">
        <v>40</v>
      </c>
      <c r="B1727" s="11">
        <f t="shared" si="26"/>
        <v>20559</v>
      </c>
      <c r="C1727" s="12">
        <v>205590</v>
      </c>
      <c r="D1727" s="13">
        <v>1</v>
      </c>
      <c r="E1727" s="13">
        <v>0</v>
      </c>
      <c r="F1727" s="13">
        <v>88</v>
      </c>
      <c r="G1727" s="13">
        <v>35</v>
      </c>
      <c r="H1727" s="13" t="str" cm="1">
        <f t="array" ref="H1727">_xlfn.IFS(G1727&lt;=20,"0-20",G1727&lt;=30,"20-30",G1727&lt;=40,"30-40",G1727&lt;=50,"50-60",G1727&lt;=60,"60-70",G1727&lt;=70,"70-80",G1727&lt;=80,"80-90")</f>
        <v>30-40</v>
      </c>
      <c r="I1727" s="13">
        <v>2633</v>
      </c>
      <c r="J1727" s="13" t="str" cm="1">
        <f t="array" ref="J1727">_xlfn.IFS(K1727=1,"Divorciado",L1727=1,"Casado",M1727=1,"Solteiro",N1727=1,"Juntos",O1727=1,"Viuvo")</f>
        <v>Casado</v>
      </c>
      <c r="K1727" s="13">
        <v>0</v>
      </c>
      <c r="L1727" s="13">
        <v>1</v>
      </c>
      <c r="M1727" s="13">
        <v>0</v>
      </c>
      <c r="N1727" s="13">
        <v>0</v>
      </c>
      <c r="O1727" s="13">
        <v>0</v>
      </c>
      <c r="P1727" s="13">
        <v>0</v>
      </c>
      <c r="Q1727" s="13">
        <v>0</v>
      </c>
      <c r="R1727" s="13">
        <v>0</v>
      </c>
      <c r="S1727" s="13">
        <v>1</v>
      </c>
      <c r="T1727" s="13">
        <v>0</v>
      </c>
      <c r="U1727" s="13">
        <v>13</v>
      </c>
      <c r="V1727" s="13" t="str" cm="1">
        <f t="array" ref="V1727">_xlfn.IFS(U1727&lt;=250,"0-R$250",U1727&lt;=500,"251-R$500",U1727&lt;=750,"501-R$750",U1727&lt;=1000,"751-R$1000",U1727&lt;=1250,"1001-R$1250",U1727&lt;=1500,"1251-R$1500")</f>
        <v>0-R$250</v>
      </c>
      <c r="W1727" s="13">
        <v>1</v>
      </c>
      <c r="X1727" s="13" t="str" cm="1">
        <f t="array" ref="X1727">_xlfn.IFS(W1727 = 0, "0", W1727&lt;=20, "até R$20",W1727&lt;=40, "21 - R$40",W1727&lt;=60, "41- R$60",W1727&lt;=80, "61 - R$80", W1727&lt;=100, "81 - R$100",W1727&lt;=120, "101 - R$120",W1727&lt;=140, "121 - R$140", W1727&lt;=160, "141- R$160", W1727&lt;=180, "161 - R$180", W1727&lt;=200, "181-R$194")</f>
        <v>até R$20</v>
      </c>
      <c r="Y1727" s="13">
        <v>29</v>
      </c>
      <c r="Z1727" s="13">
        <v>3</v>
      </c>
      <c r="AA1727" s="13">
        <v>0</v>
      </c>
      <c r="AB1727" s="13">
        <v>7</v>
      </c>
      <c r="AC1727" s="13">
        <v>2</v>
      </c>
      <c r="AD1727" s="13">
        <v>2</v>
      </c>
      <c r="AE1727" s="13">
        <v>0</v>
      </c>
      <c r="AF1727" s="13">
        <v>3</v>
      </c>
      <c r="AG1727" s="13">
        <v>8</v>
      </c>
      <c r="AH1727" s="13">
        <v>0</v>
      </c>
      <c r="AI1727" s="13">
        <v>0</v>
      </c>
      <c r="AJ1727" s="13">
        <v>0</v>
      </c>
      <c r="AK1727" s="13">
        <v>0</v>
      </c>
      <c r="AL1727" s="13">
        <v>0</v>
      </c>
      <c r="AM1727" s="13">
        <v>0</v>
      </c>
      <c r="AN1727" s="13">
        <v>0</v>
      </c>
      <c r="AO1727" s="14">
        <v>0</v>
      </c>
      <c r="AP1727" s="13">
        <v>3</v>
      </c>
      <c r="AQ1727" s="13">
        <v>11</v>
      </c>
      <c r="AR1727" s="15">
        <v>39</v>
      </c>
      <c r="AS1727" s="15">
        <v>46</v>
      </c>
    </row>
    <row r="1728" spans="1:45" x14ac:dyDescent="0.25">
      <c r="A1728">
        <v>256</v>
      </c>
      <c r="B1728" s="11">
        <f t="shared" si="26"/>
        <v>22070</v>
      </c>
      <c r="C1728" s="12">
        <v>220700</v>
      </c>
      <c r="D1728" s="13">
        <v>1</v>
      </c>
      <c r="E1728" s="13">
        <v>0</v>
      </c>
      <c r="F1728" s="13">
        <v>11</v>
      </c>
      <c r="G1728" s="13">
        <v>50</v>
      </c>
      <c r="H1728" s="13" t="str" cm="1">
        <f t="array" ref="H1728">_xlfn.IFS(G1728&lt;=20,"0-20",G1728&lt;=30,"20-30",G1728&lt;=40,"30-40",G1728&lt;=50,"50-60",G1728&lt;=60,"60-70",G1728&lt;=70,"70-80",G1728&lt;=80,"80-90")</f>
        <v>50-60</v>
      </c>
      <c r="I1728" s="13">
        <v>2427</v>
      </c>
      <c r="J1728" s="13" t="str" cm="1">
        <f t="array" ref="J1728">_xlfn.IFS(K1728=1,"Divorciado",L1728=1,"Casado",M1728=1,"Solteiro",N1728=1,"Juntos",O1728=1,"Viuvo")</f>
        <v>Juntos</v>
      </c>
      <c r="K1728" s="13">
        <v>0</v>
      </c>
      <c r="L1728" s="13">
        <v>0</v>
      </c>
      <c r="M1728" s="13">
        <v>0</v>
      </c>
      <c r="N1728" s="13">
        <v>1</v>
      </c>
      <c r="O1728" s="13">
        <v>0</v>
      </c>
      <c r="P1728" s="13">
        <v>0</v>
      </c>
      <c r="Q1728" s="13">
        <v>0</v>
      </c>
      <c r="R1728" s="13">
        <v>1</v>
      </c>
      <c r="S1728" s="13">
        <v>0</v>
      </c>
      <c r="T1728" s="13">
        <v>0</v>
      </c>
      <c r="U1728" s="13">
        <v>10</v>
      </c>
      <c r="V1728" s="13" t="str" cm="1">
        <f t="array" ref="V1728">_xlfn.IFS(U1728&lt;=250,"0-R$250",U1728&lt;=500,"251-R$500",U1728&lt;=750,"501-R$750",U1728&lt;=1000,"751-R$1000",U1728&lt;=1250,"1001-R$1250",U1728&lt;=1500,"1251-R$1500")</f>
        <v>0-R$250</v>
      </c>
      <c r="W1728" s="13">
        <v>7</v>
      </c>
      <c r="X1728" s="13" t="str" cm="1">
        <f t="array" ref="X1728">_xlfn.IFS(W1728 = 0, "0", W1728&lt;=20, "até R$20",W1728&lt;=40, "21 - R$40",W1728&lt;=60, "41- R$60",W1728&lt;=80, "61 - R$80", W1728&lt;=100, "81 - R$100",W1728&lt;=120, "101 - R$120",W1728&lt;=140, "121 - R$140", W1728&lt;=160, "141- R$160", W1728&lt;=180, "161 - R$180", W1728&lt;=200, "181-R$194")</f>
        <v>até R$20</v>
      </c>
      <c r="Y1728" s="13">
        <v>19</v>
      </c>
      <c r="Z1728" s="13">
        <v>8</v>
      </c>
      <c r="AA1728" s="13">
        <v>2</v>
      </c>
      <c r="AB1728" s="13">
        <v>21</v>
      </c>
      <c r="AC1728" s="13">
        <v>2</v>
      </c>
      <c r="AD1728" s="13">
        <v>2</v>
      </c>
      <c r="AE1728" s="13">
        <v>2</v>
      </c>
      <c r="AF1728" s="13">
        <v>2</v>
      </c>
      <c r="AG1728" s="13">
        <v>6</v>
      </c>
      <c r="AH1728" s="13">
        <v>0</v>
      </c>
      <c r="AI1728" s="13">
        <v>0</v>
      </c>
      <c r="AJ1728" s="13">
        <v>0</v>
      </c>
      <c r="AK1728" s="13">
        <v>0</v>
      </c>
      <c r="AL1728" s="13">
        <v>0</v>
      </c>
      <c r="AM1728" s="13">
        <v>0</v>
      </c>
      <c r="AN1728" s="13">
        <v>0</v>
      </c>
      <c r="AO1728" s="14">
        <v>0</v>
      </c>
      <c r="AP1728" s="13">
        <v>3</v>
      </c>
      <c r="AQ1728" s="13">
        <v>11</v>
      </c>
      <c r="AR1728" s="15">
        <v>25</v>
      </c>
      <c r="AS1728" s="15">
        <v>46</v>
      </c>
    </row>
    <row r="1729" spans="1:45" x14ac:dyDescent="0.25">
      <c r="A1729">
        <v>464</v>
      </c>
      <c r="B1729" s="11">
        <f t="shared" si="26"/>
        <v>38961</v>
      </c>
      <c r="C1729" s="12">
        <v>389610</v>
      </c>
      <c r="D1729" s="13">
        <v>1</v>
      </c>
      <c r="E1729" s="13">
        <v>0</v>
      </c>
      <c r="F1729" s="13">
        <v>60</v>
      </c>
      <c r="G1729" s="13">
        <v>47</v>
      </c>
      <c r="H1729" s="13" t="str" cm="1">
        <f t="array" ref="H1729">_xlfn.IFS(G1729&lt;=20,"0-20",G1729&lt;=30,"20-30",G1729&lt;=40,"30-40",G1729&lt;=50,"50-60",G1729&lt;=60,"60-70",G1729&lt;=70,"70-80",G1729&lt;=80,"80-90")</f>
        <v>50-60</v>
      </c>
      <c r="I1729" s="13">
        <v>2340</v>
      </c>
      <c r="J1729" s="13" t="str" cm="1">
        <f t="array" ref="J1729">_xlfn.IFS(K1729=1,"Divorciado",L1729=1,"Casado",M1729=1,"Solteiro",N1729=1,"Juntos",O1729=1,"Viuvo")</f>
        <v>Casado</v>
      </c>
      <c r="K1729" s="13">
        <v>0</v>
      </c>
      <c r="L1729" s="13">
        <v>1</v>
      </c>
      <c r="M1729" s="13">
        <v>0</v>
      </c>
      <c r="N1729" s="13">
        <v>0</v>
      </c>
      <c r="O1729" s="13">
        <v>0</v>
      </c>
      <c r="P1729" s="13">
        <v>0</v>
      </c>
      <c r="Q1729" s="13">
        <v>0</v>
      </c>
      <c r="R1729" s="13">
        <v>0</v>
      </c>
      <c r="S1729" s="13">
        <v>1</v>
      </c>
      <c r="T1729" s="13">
        <v>0</v>
      </c>
      <c r="U1729" s="13">
        <v>19</v>
      </c>
      <c r="V1729" s="13" t="str" cm="1">
        <f t="array" ref="V1729">_xlfn.IFS(U1729&lt;=250,"0-R$250",U1729&lt;=500,"251-R$500",U1729&lt;=750,"501-R$750",U1729&lt;=1000,"751-R$1000",U1729&lt;=1250,"1001-R$1250",U1729&lt;=1500,"1251-R$1500")</f>
        <v>0-R$250</v>
      </c>
      <c r="W1729" s="13">
        <v>7</v>
      </c>
      <c r="X1729" s="13" t="str" cm="1">
        <f t="array" ref="X1729">_xlfn.IFS(W1729 = 0, "0", W1729&lt;=20, "até R$20",W1729&lt;=40, "21 - R$40",W1729&lt;=60, "41- R$60",W1729&lt;=80, "61 - R$80", W1729&lt;=100, "81 - R$100",W1729&lt;=120, "101 - R$120",W1729&lt;=140, "121 - R$140", W1729&lt;=160, "141- R$160", W1729&lt;=180, "161 - R$180", W1729&lt;=200, "181-R$194")</f>
        <v>até R$20</v>
      </c>
      <c r="Y1729" s="13">
        <v>19</v>
      </c>
      <c r="Z1729" s="13">
        <v>0</v>
      </c>
      <c r="AA1729" s="13">
        <v>1</v>
      </c>
      <c r="AB1729" s="13">
        <v>24</v>
      </c>
      <c r="AC1729" s="13">
        <v>1</v>
      </c>
      <c r="AD1729" s="13">
        <v>2</v>
      </c>
      <c r="AE1729" s="13">
        <v>1</v>
      </c>
      <c r="AF1729" s="13">
        <v>2</v>
      </c>
      <c r="AG1729" s="13">
        <v>7</v>
      </c>
      <c r="AH1729" s="13">
        <v>0</v>
      </c>
      <c r="AI1729" s="13">
        <v>0</v>
      </c>
      <c r="AJ1729" s="13">
        <v>0</v>
      </c>
      <c r="AK1729" s="13">
        <v>0</v>
      </c>
      <c r="AL1729" s="13">
        <v>0</v>
      </c>
      <c r="AM1729" s="13">
        <v>0</v>
      </c>
      <c r="AN1729" s="13">
        <v>0</v>
      </c>
      <c r="AO1729" s="14">
        <v>0</v>
      </c>
      <c r="AP1729" s="13">
        <v>3</v>
      </c>
      <c r="AQ1729" s="13">
        <v>11</v>
      </c>
      <c r="AR1729" s="15">
        <v>22</v>
      </c>
      <c r="AS1729" s="15">
        <v>46</v>
      </c>
    </row>
    <row r="1730" spans="1:45" x14ac:dyDescent="0.25">
      <c r="A1730">
        <v>861</v>
      </c>
      <c r="B1730" s="11">
        <f t="shared" ref="B1730:B1793" si="27">C1730/10</f>
        <v>24762</v>
      </c>
      <c r="C1730" s="16">
        <v>247620</v>
      </c>
      <c r="D1730" s="17">
        <v>1</v>
      </c>
      <c r="E1730" s="17">
        <v>0</v>
      </c>
      <c r="F1730" s="17">
        <v>16</v>
      </c>
      <c r="G1730" s="17">
        <v>48</v>
      </c>
      <c r="H1730" s="13" t="str" cm="1">
        <f t="array" ref="H1730">_xlfn.IFS(G1730&lt;=20,"0-20",G1730&lt;=30,"20-30",G1730&lt;=40,"30-40",G1730&lt;=50,"50-60",G1730&lt;=60,"60-70",G1730&lt;=70,"70-80",G1730&lt;=80,"80-90")</f>
        <v>50-60</v>
      </c>
      <c r="I1730" s="17">
        <v>2298</v>
      </c>
      <c r="J1730" s="13" t="str" cm="1">
        <f t="array" ref="J1730">_xlfn.IFS(K1730=1,"Divorciado",L1730=1,"Casado",M1730=1,"Solteiro",N1730=1,"Juntos",O1730=1,"Viuvo")</f>
        <v>Solteiro</v>
      </c>
      <c r="K1730" s="17">
        <v>0</v>
      </c>
      <c r="L1730" s="17">
        <v>0</v>
      </c>
      <c r="M1730" s="17">
        <v>1</v>
      </c>
      <c r="N1730" s="17">
        <v>0</v>
      </c>
      <c r="O1730" s="17">
        <v>0</v>
      </c>
      <c r="P1730" s="17">
        <v>0</v>
      </c>
      <c r="Q1730" s="17">
        <v>0</v>
      </c>
      <c r="R1730" s="17">
        <v>1</v>
      </c>
      <c r="S1730" s="17">
        <v>0</v>
      </c>
      <c r="T1730" s="17">
        <v>0</v>
      </c>
      <c r="U1730" s="17">
        <v>6</v>
      </c>
      <c r="V1730" s="13" t="str" cm="1">
        <f t="array" ref="V1730">_xlfn.IFS(U1730&lt;=250,"0-R$250",U1730&lt;=500,"251-R$500",U1730&lt;=750,"501-R$750",U1730&lt;=1000,"751-R$1000",U1730&lt;=1250,"1001-R$1250",U1730&lt;=1500,"1251-R$1500")</f>
        <v>0-R$250</v>
      </c>
      <c r="W1730" s="17">
        <v>10</v>
      </c>
      <c r="X1730" s="13" t="str" cm="1">
        <f t="array" ref="X1730">_xlfn.IFS(W1730 = 0, "0", W1730&lt;=20, "até R$20",W1730&lt;=40, "21 - R$40",W1730&lt;=60, "41- R$60",W1730&lt;=80, "61 - R$80", W1730&lt;=100, "81 - R$100",W1730&lt;=120, "101 - R$120",W1730&lt;=140, "121 - R$140", W1730&lt;=160, "141- R$160", W1730&lt;=180, "161 - R$180", W1730&lt;=200, "181-R$194")</f>
        <v>até R$20</v>
      </c>
      <c r="Y1730" s="17">
        <v>12</v>
      </c>
      <c r="Z1730" s="17">
        <v>3</v>
      </c>
      <c r="AA1730" s="17">
        <v>15</v>
      </c>
      <c r="AB1730" s="17">
        <v>40</v>
      </c>
      <c r="AC1730" s="17">
        <v>3</v>
      </c>
      <c r="AD1730" s="17">
        <v>3</v>
      </c>
      <c r="AE1730" s="17">
        <v>1</v>
      </c>
      <c r="AF1730" s="17">
        <v>2</v>
      </c>
      <c r="AG1730" s="17">
        <v>8</v>
      </c>
      <c r="AH1730" s="17">
        <v>0</v>
      </c>
      <c r="AI1730" s="17">
        <v>1</v>
      </c>
      <c r="AJ1730" s="17">
        <v>0</v>
      </c>
      <c r="AK1730" s="17">
        <v>0</v>
      </c>
      <c r="AL1730" s="17">
        <v>0</v>
      </c>
      <c r="AM1730" s="17">
        <v>0</v>
      </c>
      <c r="AN1730" s="17">
        <v>1</v>
      </c>
      <c r="AO1730" s="18">
        <v>1</v>
      </c>
      <c r="AP1730" s="17">
        <v>3</v>
      </c>
      <c r="AQ1730" s="17">
        <v>11</v>
      </c>
      <c r="AR1730" s="19">
        <v>6</v>
      </c>
      <c r="AS1730" s="19">
        <v>46</v>
      </c>
    </row>
    <row r="1731" spans="1:45" x14ac:dyDescent="0.25">
      <c r="A1731">
        <v>1005</v>
      </c>
      <c r="B1731" s="11">
        <f t="shared" si="27"/>
        <v>17345</v>
      </c>
      <c r="C1731" s="16">
        <v>173450</v>
      </c>
      <c r="D1731" s="17">
        <v>1</v>
      </c>
      <c r="E1731" s="17">
        <v>0</v>
      </c>
      <c r="F1731" s="17">
        <v>79</v>
      </c>
      <c r="G1731" s="17">
        <v>42</v>
      </c>
      <c r="H1731" s="13" t="str" cm="1">
        <f t="array" ref="H1731">_xlfn.IFS(G1731&lt;=20,"0-20",G1731&lt;=30,"20-30",G1731&lt;=40,"30-40",G1731&lt;=50,"50-60",G1731&lt;=60,"60-70",G1731&lt;=70,"70-80",G1731&lt;=80,"80-90")</f>
        <v>50-60</v>
      </c>
      <c r="I1731" s="17">
        <v>2762</v>
      </c>
      <c r="J1731" s="13" t="str" cm="1">
        <f t="array" ref="J1731">_xlfn.IFS(K1731=1,"Divorciado",L1731=1,"Casado",M1731=1,"Solteiro",N1731=1,"Juntos",O1731=1,"Viuvo")</f>
        <v>Casado</v>
      </c>
      <c r="K1731" s="17">
        <v>0</v>
      </c>
      <c r="L1731" s="17">
        <v>1</v>
      </c>
      <c r="M1731" s="17">
        <v>0</v>
      </c>
      <c r="N1731" s="17">
        <v>0</v>
      </c>
      <c r="O1731" s="17">
        <v>0</v>
      </c>
      <c r="P1731" s="17">
        <v>0</v>
      </c>
      <c r="Q1731" s="17">
        <v>0</v>
      </c>
      <c r="R1731" s="17">
        <v>1</v>
      </c>
      <c r="S1731" s="17">
        <v>0</v>
      </c>
      <c r="T1731" s="17">
        <v>0</v>
      </c>
      <c r="U1731" s="17">
        <v>4</v>
      </c>
      <c r="V1731" s="13" t="str" cm="1">
        <f t="array" ref="V1731">_xlfn.IFS(U1731&lt;=250,"0-R$250",U1731&lt;=500,"251-R$500",U1731&lt;=750,"501-R$750",U1731&lt;=1000,"751-R$1000",U1731&lt;=1250,"1001-R$1250",U1731&lt;=1500,"1251-R$1500")</f>
        <v>0-R$250</v>
      </c>
      <c r="W1731" s="17">
        <v>9</v>
      </c>
      <c r="X1731" s="13" t="str" cm="1">
        <f t="array" ref="X1731">_xlfn.IFS(W1731 = 0, "0", W1731&lt;=20, "até R$20",W1731&lt;=40, "21 - R$40",W1731&lt;=60, "41- R$60",W1731&lt;=80, "61 - R$80", W1731&lt;=100, "81 - R$100",W1731&lt;=120, "101 - R$120",W1731&lt;=140, "121 - R$140", W1731&lt;=160, "141- R$160", W1731&lt;=180, "161 - R$180", W1731&lt;=200, "181-R$194")</f>
        <v>até R$20</v>
      </c>
      <c r="Y1731" s="17">
        <v>16</v>
      </c>
      <c r="Z1731" s="17">
        <v>17</v>
      </c>
      <c r="AA1731" s="17">
        <v>0</v>
      </c>
      <c r="AB1731" s="17">
        <v>12</v>
      </c>
      <c r="AC1731" s="17">
        <v>2</v>
      </c>
      <c r="AD1731" s="17">
        <v>2</v>
      </c>
      <c r="AE1731" s="17">
        <v>1</v>
      </c>
      <c r="AF1731" s="17">
        <v>2</v>
      </c>
      <c r="AG1731" s="17">
        <v>8</v>
      </c>
      <c r="AH1731" s="17">
        <v>0</v>
      </c>
      <c r="AI1731" s="17">
        <v>0</v>
      </c>
      <c r="AJ1731" s="17">
        <v>0</v>
      </c>
      <c r="AK1731" s="17">
        <v>0</v>
      </c>
      <c r="AL1731" s="17">
        <v>0</v>
      </c>
      <c r="AM1731" s="17">
        <v>0</v>
      </c>
      <c r="AN1731" s="17">
        <v>0</v>
      </c>
      <c r="AO1731" s="18">
        <v>0</v>
      </c>
      <c r="AP1731" s="17">
        <v>3</v>
      </c>
      <c r="AQ1731" s="17">
        <v>11</v>
      </c>
      <c r="AR1731" s="19">
        <v>34</v>
      </c>
      <c r="AS1731" s="19">
        <v>46</v>
      </c>
    </row>
    <row r="1732" spans="1:45" x14ac:dyDescent="0.25">
      <c r="A1732">
        <v>1136</v>
      </c>
      <c r="B1732" s="11">
        <f t="shared" si="27"/>
        <v>23091</v>
      </c>
      <c r="C1732" s="12">
        <v>230910</v>
      </c>
      <c r="D1732" s="13">
        <v>1</v>
      </c>
      <c r="E1732" s="13">
        <v>1</v>
      </c>
      <c r="F1732" s="13">
        <v>98</v>
      </c>
      <c r="G1732" s="13">
        <v>57</v>
      </c>
      <c r="H1732" s="13" t="str" cm="1">
        <f t="array" ref="H1732">_xlfn.IFS(G1732&lt;=20,"0-20",G1732&lt;=30,"20-30",G1732&lt;=40,"30-40",G1732&lt;=50,"50-60",G1732&lt;=60,"60-70",G1732&lt;=70,"70-80",G1732&lt;=80,"80-90")</f>
        <v>60-70</v>
      </c>
      <c r="I1732" s="13">
        <v>2191</v>
      </c>
      <c r="J1732" s="13" t="str" cm="1">
        <f t="array" ref="J1732">_xlfn.IFS(K1732=1,"Divorciado",L1732=1,"Casado",M1732=1,"Solteiro",N1732=1,"Juntos",O1732=1,"Viuvo")</f>
        <v>Solteiro</v>
      </c>
      <c r="K1732" s="13">
        <v>0</v>
      </c>
      <c r="L1732" s="13">
        <v>0</v>
      </c>
      <c r="M1732" s="13">
        <v>1</v>
      </c>
      <c r="N1732" s="13">
        <v>0</v>
      </c>
      <c r="O1732" s="13">
        <v>0</v>
      </c>
      <c r="P1732" s="13">
        <v>0</v>
      </c>
      <c r="Q1732" s="13">
        <v>0</v>
      </c>
      <c r="R1732" s="13">
        <v>0</v>
      </c>
      <c r="S1732" s="13">
        <v>0</v>
      </c>
      <c r="T1732" s="13">
        <v>1</v>
      </c>
      <c r="U1732" s="13">
        <v>35</v>
      </c>
      <c r="V1732" s="13" t="str" cm="1">
        <f t="array" ref="V1732">_xlfn.IFS(U1732&lt;=250,"0-R$250",U1732&lt;=500,"251-R$500",U1732&lt;=750,"501-R$750",U1732&lt;=1000,"751-R$1000",U1732&lt;=1250,"1001-R$1250",U1732&lt;=1500,"1251-R$1500")</f>
        <v>0-R$250</v>
      </c>
      <c r="W1732" s="13">
        <v>0</v>
      </c>
      <c r="X1732" s="13" t="str" cm="1">
        <f t="array" ref="X1732">_xlfn.IFS(W1732 = 0, "0", W1732&lt;=20, "até R$20",W1732&lt;=40, "21 - R$40",W1732&lt;=60, "41- R$60",W1732&lt;=80, "61 - R$80", W1732&lt;=100, "81 - R$100",W1732&lt;=120, "101 - R$120",W1732&lt;=140, "121 - R$140", W1732&lt;=160, "141- R$160", W1732&lt;=180, "161 - R$180", W1732&lt;=200, "181-R$194")</f>
        <v>0</v>
      </c>
      <c r="Y1732" s="13">
        <v>11</v>
      </c>
      <c r="Z1732" s="13">
        <v>0</v>
      </c>
      <c r="AA1732" s="13">
        <v>0</v>
      </c>
      <c r="AB1732" s="13">
        <v>2</v>
      </c>
      <c r="AC1732" s="13">
        <v>4</v>
      </c>
      <c r="AD1732" s="13">
        <v>2</v>
      </c>
      <c r="AE1732" s="13">
        <v>1</v>
      </c>
      <c r="AF1732" s="13">
        <v>3</v>
      </c>
      <c r="AG1732" s="13">
        <v>7</v>
      </c>
      <c r="AH1732" s="13">
        <v>0</v>
      </c>
      <c r="AI1732" s="13">
        <v>0</v>
      </c>
      <c r="AJ1732" s="13">
        <v>0</v>
      </c>
      <c r="AK1732" s="13">
        <v>0</v>
      </c>
      <c r="AL1732" s="13">
        <v>0</v>
      </c>
      <c r="AM1732" s="13">
        <v>0</v>
      </c>
      <c r="AN1732" s="13">
        <v>0</v>
      </c>
      <c r="AO1732" s="14">
        <v>0</v>
      </c>
      <c r="AP1732" s="13">
        <v>3</v>
      </c>
      <c r="AQ1732" s="13">
        <v>11</v>
      </c>
      <c r="AR1732" s="15">
        <v>44</v>
      </c>
      <c r="AS1732" s="15">
        <v>46</v>
      </c>
    </row>
    <row r="1733" spans="1:45" x14ac:dyDescent="0.25">
      <c r="A1733">
        <v>1214</v>
      </c>
      <c r="B1733" s="11">
        <f t="shared" si="27"/>
        <v>28427</v>
      </c>
      <c r="C1733" s="12">
        <v>284270</v>
      </c>
      <c r="D1733" s="13">
        <v>1</v>
      </c>
      <c r="E1733" s="13">
        <v>0</v>
      </c>
      <c r="F1733" s="13">
        <v>67</v>
      </c>
      <c r="G1733" s="13">
        <v>37</v>
      </c>
      <c r="H1733" s="13" t="str" cm="1">
        <f t="array" ref="H1733">_xlfn.IFS(G1733&lt;=20,"0-20",G1733&lt;=30,"20-30",G1733&lt;=40,"30-40",G1733&lt;=50,"50-60",G1733&lt;=60,"60-70",G1733&lt;=70,"70-80",G1733&lt;=80,"80-90")</f>
        <v>30-40</v>
      </c>
      <c r="I1733" s="13">
        <v>2624</v>
      </c>
      <c r="J1733" s="13" t="str" cm="1">
        <f t="array" ref="J1733">_xlfn.IFS(K1733=1,"Divorciado",L1733=1,"Casado",M1733=1,"Solteiro",N1733=1,"Juntos",O1733=1,"Viuvo")</f>
        <v>Juntos</v>
      </c>
      <c r="K1733" s="13">
        <v>0</v>
      </c>
      <c r="L1733" s="13">
        <v>0</v>
      </c>
      <c r="M1733" s="13">
        <v>0</v>
      </c>
      <c r="N1733" s="13">
        <v>1</v>
      </c>
      <c r="O1733" s="13">
        <v>0</v>
      </c>
      <c r="P1733" s="13">
        <v>0</v>
      </c>
      <c r="Q1733" s="13">
        <v>0</v>
      </c>
      <c r="R1733" s="13">
        <v>1</v>
      </c>
      <c r="S1733" s="13">
        <v>0</v>
      </c>
      <c r="T1733" s="13">
        <v>0</v>
      </c>
      <c r="U1733" s="13">
        <v>18</v>
      </c>
      <c r="V1733" s="13" t="str" cm="1">
        <f t="array" ref="V1733">_xlfn.IFS(U1733&lt;=250,"0-R$250",U1733&lt;=500,"251-R$500",U1733&lt;=750,"501-R$750",U1733&lt;=1000,"751-R$1000",U1733&lt;=1250,"1001-R$1250",U1733&lt;=1500,"1251-R$1500")</f>
        <v>0-R$250</v>
      </c>
      <c r="W1733" s="13">
        <v>3</v>
      </c>
      <c r="X1733" s="13" t="str" cm="1">
        <f t="array" ref="X1733">_xlfn.IFS(W1733 = 0, "0", W1733&lt;=20, "até R$20",W1733&lt;=40, "21 - R$40",W1733&lt;=60, "41- R$60",W1733&lt;=80, "61 - R$80", W1733&lt;=100, "81 - R$100",W1733&lt;=120, "101 - R$120",W1733&lt;=140, "121 - R$140", W1733&lt;=160, "141- R$160", W1733&lt;=180, "161 - R$180", W1733&lt;=200, "181-R$194")</f>
        <v>até R$20</v>
      </c>
      <c r="Y1733" s="13">
        <v>19</v>
      </c>
      <c r="Z1733" s="13">
        <v>3</v>
      </c>
      <c r="AA1733" s="13">
        <v>3</v>
      </c>
      <c r="AB1733" s="13">
        <v>6</v>
      </c>
      <c r="AC1733" s="13">
        <v>2</v>
      </c>
      <c r="AD1733" s="13">
        <v>2</v>
      </c>
      <c r="AE1733" s="13">
        <v>0</v>
      </c>
      <c r="AF1733" s="13">
        <v>3</v>
      </c>
      <c r="AG1733" s="13">
        <v>8</v>
      </c>
      <c r="AH1733" s="13">
        <v>0</v>
      </c>
      <c r="AI1733" s="13">
        <v>0</v>
      </c>
      <c r="AJ1733" s="13">
        <v>0</v>
      </c>
      <c r="AK1733" s="13">
        <v>0</v>
      </c>
      <c r="AL1733" s="13">
        <v>0</v>
      </c>
      <c r="AM1733" s="13">
        <v>0</v>
      </c>
      <c r="AN1733" s="13">
        <v>0</v>
      </c>
      <c r="AO1733" s="14">
        <v>0</v>
      </c>
      <c r="AP1733" s="13">
        <v>3</v>
      </c>
      <c r="AQ1733" s="13">
        <v>11</v>
      </c>
      <c r="AR1733" s="15">
        <v>40</v>
      </c>
      <c r="AS1733" s="15">
        <v>46</v>
      </c>
    </row>
    <row r="1734" spans="1:45" x14ac:dyDescent="0.25">
      <c r="A1734">
        <v>1304</v>
      </c>
      <c r="B1734" s="11">
        <f t="shared" si="27"/>
        <v>18393</v>
      </c>
      <c r="C1734" s="12">
        <v>183930</v>
      </c>
      <c r="D1734" s="13">
        <v>1</v>
      </c>
      <c r="E1734" s="13">
        <v>0</v>
      </c>
      <c r="F1734" s="13">
        <v>2</v>
      </c>
      <c r="G1734" s="13">
        <v>46</v>
      </c>
      <c r="H1734" s="13" t="str" cm="1">
        <f t="array" ref="H1734">_xlfn.IFS(G1734&lt;=20,"0-20",G1734&lt;=30,"20-30",G1734&lt;=40,"30-40",G1734&lt;=50,"50-60",G1734&lt;=60,"60-70",G1734&lt;=70,"70-80",G1734&lt;=80,"80-90")</f>
        <v>50-60</v>
      </c>
      <c r="I1734" s="13">
        <v>2251</v>
      </c>
      <c r="J1734" s="13" t="str" cm="1">
        <f t="array" ref="J1734">_xlfn.IFS(K1734=1,"Divorciado",L1734=1,"Casado",M1734=1,"Solteiro",N1734=1,"Juntos",O1734=1,"Viuvo")</f>
        <v>Casado</v>
      </c>
      <c r="K1734" s="13">
        <v>0</v>
      </c>
      <c r="L1734" s="13">
        <v>1</v>
      </c>
      <c r="M1734" s="13">
        <v>0</v>
      </c>
      <c r="N1734" s="13">
        <v>0</v>
      </c>
      <c r="O1734" s="13">
        <v>0</v>
      </c>
      <c r="P1734" s="13">
        <v>0</v>
      </c>
      <c r="Q1734" s="13">
        <v>1</v>
      </c>
      <c r="R1734" s="13">
        <v>0</v>
      </c>
      <c r="S1734" s="13">
        <v>0</v>
      </c>
      <c r="T1734" s="13">
        <v>0</v>
      </c>
      <c r="U1734" s="13">
        <v>7</v>
      </c>
      <c r="V1734" s="13" t="str" cm="1">
        <f t="array" ref="V1734">_xlfn.IFS(U1734&lt;=250,"0-R$250",U1734&lt;=500,"251-R$500",U1734&lt;=750,"501-R$750",U1734&lt;=1000,"751-R$1000",U1734&lt;=1250,"1001-R$1250",U1734&lt;=1500,"1251-R$1500")</f>
        <v>0-R$250</v>
      </c>
      <c r="W1734" s="13">
        <v>10</v>
      </c>
      <c r="X1734" s="13" t="str" cm="1">
        <f t="array" ref="X1734">_xlfn.IFS(W1734 = 0, "0", W1734&lt;=20, "até R$20",W1734&lt;=40, "21 - R$40",W1734&lt;=60, "41- R$60",W1734&lt;=80, "61 - R$80", W1734&lt;=100, "81 - R$100",W1734&lt;=120, "101 - R$120",W1734&lt;=140, "121 - R$140", W1734&lt;=160, "141- R$160", W1734&lt;=180, "161 - R$180", W1734&lt;=200, "181-R$194")</f>
        <v>até R$20</v>
      </c>
      <c r="Y1734" s="13">
        <v>13</v>
      </c>
      <c r="Z1734" s="13">
        <v>16</v>
      </c>
      <c r="AA1734" s="13">
        <v>0</v>
      </c>
      <c r="AB1734" s="13">
        <v>4</v>
      </c>
      <c r="AC1734" s="13">
        <v>2</v>
      </c>
      <c r="AD1734" s="13">
        <v>3</v>
      </c>
      <c r="AE1734" s="13">
        <v>0</v>
      </c>
      <c r="AF1734" s="13">
        <v>3</v>
      </c>
      <c r="AG1734" s="13">
        <v>8</v>
      </c>
      <c r="AH1734" s="13">
        <v>0</v>
      </c>
      <c r="AI1734" s="13">
        <v>0</v>
      </c>
      <c r="AJ1734" s="13">
        <v>0</v>
      </c>
      <c r="AK1734" s="13">
        <v>0</v>
      </c>
      <c r="AL1734" s="13">
        <v>0</v>
      </c>
      <c r="AM1734" s="13">
        <v>0</v>
      </c>
      <c r="AN1734" s="13">
        <v>0</v>
      </c>
      <c r="AO1734" s="14">
        <v>0</v>
      </c>
      <c r="AP1734" s="13">
        <v>3</v>
      </c>
      <c r="AQ1734" s="13">
        <v>11</v>
      </c>
      <c r="AR1734" s="15">
        <v>42</v>
      </c>
      <c r="AS1734" s="15">
        <v>46</v>
      </c>
    </row>
    <row r="1735" spans="1:45" x14ac:dyDescent="0.25">
      <c r="A1735">
        <v>1418</v>
      </c>
      <c r="B1735" s="11">
        <f t="shared" si="27"/>
        <v>21645</v>
      </c>
      <c r="C1735" s="12">
        <v>216450</v>
      </c>
      <c r="D1735" s="13">
        <v>1</v>
      </c>
      <c r="E1735" s="13">
        <v>0</v>
      </c>
      <c r="F1735" s="13">
        <v>75</v>
      </c>
      <c r="G1735" s="13">
        <v>41</v>
      </c>
      <c r="H1735" s="13" t="str" cm="1">
        <f t="array" ref="H1735">_xlfn.IFS(G1735&lt;=20,"0-20",G1735&lt;=30,"20-30",G1735&lt;=40,"30-40",G1735&lt;=50,"50-60",G1735&lt;=60,"60-70",G1735&lt;=70,"70-80",G1735&lt;=80,"80-90")</f>
        <v>50-60</v>
      </c>
      <c r="I1735" s="13">
        <v>2823</v>
      </c>
      <c r="J1735" s="13" t="str" cm="1">
        <f t="array" ref="J1735">_xlfn.IFS(K1735=1,"Divorciado",L1735=1,"Casado",M1735=1,"Solteiro",N1735=1,"Juntos",O1735=1,"Viuvo")</f>
        <v>Juntos</v>
      </c>
      <c r="K1735" s="13">
        <v>0</v>
      </c>
      <c r="L1735" s="13">
        <v>0</v>
      </c>
      <c r="M1735" s="13">
        <v>0</v>
      </c>
      <c r="N1735" s="13">
        <v>1</v>
      </c>
      <c r="O1735" s="13">
        <v>0</v>
      </c>
      <c r="P1735" s="13">
        <v>0</v>
      </c>
      <c r="Q1735" s="13">
        <v>0</v>
      </c>
      <c r="R1735" s="13">
        <v>1</v>
      </c>
      <c r="S1735" s="13">
        <v>0</v>
      </c>
      <c r="T1735" s="13">
        <v>0</v>
      </c>
      <c r="U1735" s="13">
        <v>14</v>
      </c>
      <c r="V1735" s="13" t="str" cm="1">
        <f t="array" ref="V1735">_xlfn.IFS(U1735&lt;=250,"0-R$250",U1735&lt;=500,"251-R$500",U1735&lt;=750,"501-R$750",U1735&lt;=1000,"751-R$1000",U1735&lt;=1250,"1001-R$1250",U1735&lt;=1500,"1251-R$1500")</f>
        <v>0-R$250</v>
      </c>
      <c r="W1735" s="13">
        <v>0</v>
      </c>
      <c r="X1735" s="13" t="str" cm="1">
        <f t="array" ref="X1735">_xlfn.IFS(W1735 = 0, "0", W1735&lt;=20, "até R$20",W1735&lt;=40, "21 - R$40",W1735&lt;=60, "41- R$60",W1735&lt;=80, "61 - R$80", W1735&lt;=100, "81 - R$100",W1735&lt;=120, "101 - R$120",W1735&lt;=140, "121 - R$140", W1735&lt;=160, "141- R$160", W1735&lt;=180, "161 - R$180", W1735&lt;=200, "181-R$194")</f>
        <v>0</v>
      </c>
      <c r="Y1735" s="13">
        <v>23</v>
      </c>
      <c r="Z1735" s="13">
        <v>4</v>
      </c>
      <c r="AA1735" s="13">
        <v>5</v>
      </c>
      <c r="AB1735" s="13">
        <v>19</v>
      </c>
      <c r="AC1735" s="13">
        <v>3</v>
      </c>
      <c r="AD1735" s="13">
        <v>3</v>
      </c>
      <c r="AE1735" s="13">
        <v>0</v>
      </c>
      <c r="AF1735" s="13">
        <v>3</v>
      </c>
      <c r="AG1735" s="13">
        <v>9</v>
      </c>
      <c r="AH1735" s="13">
        <v>0</v>
      </c>
      <c r="AI1735" s="13">
        <v>0</v>
      </c>
      <c r="AJ1735" s="13">
        <v>0</v>
      </c>
      <c r="AK1735" s="13">
        <v>0</v>
      </c>
      <c r="AL1735" s="13">
        <v>0</v>
      </c>
      <c r="AM1735" s="13">
        <v>0</v>
      </c>
      <c r="AN1735" s="13">
        <v>1</v>
      </c>
      <c r="AO1735" s="14">
        <v>0</v>
      </c>
      <c r="AP1735" s="13">
        <v>3</v>
      </c>
      <c r="AQ1735" s="13">
        <v>11</v>
      </c>
      <c r="AR1735" s="15">
        <v>27</v>
      </c>
      <c r="AS1735" s="15">
        <v>46</v>
      </c>
    </row>
    <row r="1736" spans="1:45" x14ac:dyDescent="0.25">
      <c r="A1736">
        <v>2151</v>
      </c>
      <c r="B1736" s="11">
        <f t="shared" si="27"/>
        <v>26487</v>
      </c>
      <c r="C1736" s="16">
        <v>264870</v>
      </c>
      <c r="D1736" s="17">
        <v>1</v>
      </c>
      <c r="E1736" s="17">
        <v>0</v>
      </c>
      <c r="F1736" s="17">
        <v>23</v>
      </c>
      <c r="G1736" s="17">
        <v>42</v>
      </c>
      <c r="H1736" s="13" t="str" cm="1">
        <f t="array" ref="H1736">_xlfn.IFS(G1736&lt;=20,"0-20",G1736&lt;=30,"20-30",G1736&lt;=40,"30-40",G1736&lt;=50,"50-60",G1736&lt;=60,"60-70",G1736&lt;=70,"70-80",G1736&lt;=80,"80-90")</f>
        <v>50-60</v>
      </c>
      <c r="I1736" s="17">
        <v>2564</v>
      </c>
      <c r="J1736" s="13" t="str" cm="1">
        <f t="array" ref="J1736">_xlfn.IFS(K1736=1,"Divorciado",L1736=1,"Casado",M1736=1,"Solteiro",N1736=1,"Juntos",O1736=1,"Viuvo")</f>
        <v>Solteiro</v>
      </c>
      <c r="K1736" s="17">
        <v>0</v>
      </c>
      <c r="L1736" s="17">
        <v>0</v>
      </c>
      <c r="M1736" s="17">
        <v>1</v>
      </c>
      <c r="N1736" s="17">
        <v>0</v>
      </c>
      <c r="O1736" s="17">
        <v>0</v>
      </c>
      <c r="P1736" s="17">
        <v>0</v>
      </c>
      <c r="Q1736" s="17">
        <v>1</v>
      </c>
      <c r="R1736" s="17">
        <v>0</v>
      </c>
      <c r="S1736" s="17">
        <v>0</v>
      </c>
      <c r="T1736" s="17">
        <v>0</v>
      </c>
      <c r="U1736" s="17">
        <v>2</v>
      </c>
      <c r="V1736" s="13" t="str" cm="1">
        <f t="array" ref="V1736">_xlfn.IFS(U1736&lt;=250,"0-R$250",U1736&lt;=500,"251-R$500",U1736&lt;=750,"501-R$750",U1736&lt;=1000,"751-R$1000",U1736&lt;=1250,"1001-R$1250",U1736&lt;=1500,"1251-R$1500")</f>
        <v>0-R$250</v>
      </c>
      <c r="W1736" s="17">
        <v>8</v>
      </c>
      <c r="X1736" s="13" t="str" cm="1">
        <f t="array" ref="X1736">_xlfn.IFS(W1736 = 0, "0", W1736&lt;=20, "até R$20",W1736&lt;=40, "21 - R$40",W1736&lt;=60, "41- R$60",W1736&lt;=80, "61 - R$80", W1736&lt;=100, "81 - R$100",W1736&lt;=120, "101 - R$120",W1736&lt;=140, "121 - R$140", W1736&lt;=160, "141- R$160", W1736&lt;=180, "161 - R$180", W1736&lt;=200, "181-R$194")</f>
        <v>até R$20</v>
      </c>
      <c r="Y1736" s="17">
        <v>10</v>
      </c>
      <c r="Z1736" s="17">
        <v>12</v>
      </c>
      <c r="AA1736" s="17">
        <v>14</v>
      </c>
      <c r="AB1736" s="17">
        <v>23</v>
      </c>
      <c r="AC1736" s="17">
        <v>3</v>
      </c>
      <c r="AD1736" s="17">
        <v>2</v>
      </c>
      <c r="AE1736" s="17">
        <v>1</v>
      </c>
      <c r="AF1736" s="17">
        <v>3</v>
      </c>
      <c r="AG1736" s="17">
        <v>5</v>
      </c>
      <c r="AH1736" s="17">
        <v>0</v>
      </c>
      <c r="AI1736" s="17">
        <v>0</v>
      </c>
      <c r="AJ1736" s="17">
        <v>0</v>
      </c>
      <c r="AK1736" s="17">
        <v>0</v>
      </c>
      <c r="AL1736" s="17">
        <v>0</v>
      </c>
      <c r="AM1736" s="17">
        <v>0</v>
      </c>
      <c r="AN1736" s="17">
        <v>0</v>
      </c>
      <c r="AO1736" s="18">
        <v>0</v>
      </c>
      <c r="AP1736" s="17">
        <v>3</v>
      </c>
      <c r="AQ1736" s="17">
        <v>11</v>
      </c>
      <c r="AR1736" s="19">
        <v>23</v>
      </c>
      <c r="AS1736" s="19">
        <v>46</v>
      </c>
    </row>
    <row r="1737" spans="1:45" x14ac:dyDescent="0.25">
      <c r="A1737">
        <v>2184</v>
      </c>
      <c r="B1737" s="11">
        <f t="shared" si="27"/>
        <v>28427</v>
      </c>
      <c r="C1737" s="12">
        <v>284270</v>
      </c>
      <c r="D1737" s="13">
        <v>1</v>
      </c>
      <c r="E1737" s="13">
        <v>0</v>
      </c>
      <c r="F1737" s="13">
        <v>67</v>
      </c>
      <c r="G1737" s="13">
        <v>37</v>
      </c>
      <c r="H1737" s="13" t="str" cm="1">
        <f t="array" ref="H1737">_xlfn.IFS(G1737&lt;=20,"0-20",G1737&lt;=30,"20-30",G1737&lt;=40,"30-40",G1737&lt;=50,"50-60",G1737&lt;=60,"60-70",G1737&lt;=70,"70-80",G1737&lt;=80,"80-90")</f>
        <v>30-40</v>
      </c>
      <c r="I1737" s="13">
        <v>2624</v>
      </c>
      <c r="J1737" s="13" t="str" cm="1">
        <f t="array" ref="J1737">_xlfn.IFS(K1737=1,"Divorciado",L1737=1,"Casado",M1737=1,"Solteiro",N1737=1,"Juntos",O1737=1,"Viuvo")</f>
        <v>Juntos</v>
      </c>
      <c r="K1737" s="13">
        <v>0</v>
      </c>
      <c r="L1737" s="13">
        <v>0</v>
      </c>
      <c r="M1737" s="13">
        <v>0</v>
      </c>
      <c r="N1737" s="13">
        <v>1</v>
      </c>
      <c r="O1737" s="13">
        <v>0</v>
      </c>
      <c r="P1737" s="13">
        <v>0</v>
      </c>
      <c r="Q1737" s="13">
        <v>0</v>
      </c>
      <c r="R1737" s="13">
        <v>1</v>
      </c>
      <c r="S1737" s="13">
        <v>0</v>
      </c>
      <c r="T1737" s="13">
        <v>0</v>
      </c>
      <c r="U1737" s="13">
        <v>18</v>
      </c>
      <c r="V1737" s="13" t="str" cm="1">
        <f t="array" ref="V1737">_xlfn.IFS(U1737&lt;=250,"0-R$250",U1737&lt;=500,"251-R$500",U1737&lt;=750,"501-R$750",U1737&lt;=1000,"751-R$1000",U1737&lt;=1250,"1001-R$1250",U1737&lt;=1500,"1251-R$1500")</f>
        <v>0-R$250</v>
      </c>
      <c r="W1737" s="13">
        <v>3</v>
      </c>
      <c r="X1737" s="13" t="str" cm="1">
        <f t="array" ref="X1737">_xlfn.IFS(W1737 = 0, "0", W1737&lt;=20, "até R$20",W1737&lt;=40, "21 - R$40",W1737&lt;=60, "41- R$60",W1737&lt;=80, "61 - R$80", W1737&lt;=100, "81 - R$100",W1737&lt;=120, "101 - R$120",W1737&lt;=140, "121 - R$140", W1737&lt;=160, "141- R$160", W1737&lt;=180, "161 - R$180", W1737&lt;=200, "181-R$194")</f>
        <v>até R$20</v>
      </c>
      <c r="Y1737" s="13">
        <v>19</v>
      </c>
      <c r="Z1737" s="13">
        <v>3</v>
      </c>
      <c r="AA1737" s="13">
        <v>3</v>
      </c>
      <c r="AB1737" s="13">
        <v>6</v>
      </c>
      <c r="AC1737" s="13">
        <v>2</v>
      </c>
      <c r="AD1737" s="13">
        <v>2</v>
      </c>
      <c r="AE1737" s="13">
        <v>0</v>
      </c>
      <c r="AF1737" s="13">
        <v>3</v>
      </c>
      <c r="AG1737" s="13">
        <v>8</v>
      </c>
      <c r="AH1737" s="13">
        <v>0</v>
      </c>
      <c r="AI1737" s="13">
        <v>0</v>
      </c>
      <c r="AJ1737" s="13">
        <v>0</v>
      </c>
      <c r="AK1737" s="13">
        <v>0</v>
      </c>
      <c r="AL1737" s="13">
        <v>0</v>
      </c>
      <c r="AM1737" s="13">
        <v>0</v>
      </c>
      <c r="AN1737" s="13">
        <v>0</v>
      </c>
      <c r="AO1737" s="14">
        <v>0</v>
      </c>
      <c r="AP1737" s="13">
        <v>3</v>
      </c>
      <c r="AQ1737" s="13">
        <v>11</v>
      </c>
      <c r="AR1737" s="15">
        <v>40</v>
      </c>
      <c r="AS1737" s="15">
        <v>46</v>
      </c>
    </row>
    <row r="1738" spans="1:45" x14ac:dyDescent="0.25">
      <c r="A1738">
        <v>11</v>
      </c>
      <c r="B1738" s="11">
        <f t="shared" si="27"/>
        <v>7500</v>
      </c>
      <c r="C1738" s="16">
        <v>75000</v>
      </c>
      <c r="D1738" s="17">
        <v>0</v>
      </c>
      <c r="E1738" s="17">
        <v>0</v>
      </c>
      <c r="F1738" s="17">
        <v>59</v>
      </c>
      <c r="G1738" s="17">
        <v>44</v>
      </c>
      <c r="H1738" s="13" t="str" cm="1">
        <f t="array" ref="H1738">_xlfn.IFS(G1738&lt;=20,"0-20",G1738&lt;=30,"20-30",G1738&lt;=40,"30-40",G1738&lt;=50,"50-60",G1738&lt;=60,"60-70",G1738&lt;=70,"70-80",G1738&lt;=80,"80-90")</f>
        <v>50-60</v>
      </c>
      <c r="I1738" s="17">
        <v>2752</v>
      </c>
      <c r="J1738" s="13" t="str" cm="1">
        <f t="array" ref="J1738">_xlfn.IFS(K1738=1,"Divorciado",L1738=1,"Casado",M1738=1,"Solteiro",N1738=1,"Juntos",O1738=1,"Viuvo")</f>
        <v>Casado</v>
      </c>
      <c r="K1738" s="17">
        <v>0</v>
      </c>
      <c r="L1738" s="17">
        <v>1</v>
      </c>
      <c r="M1738" s="17">
        <v>0</v>
      </c>
      <c r="N1738" s="17">
        <v>0</v>
      </c>
      <c r="O1738" s="17">
        <v>0</v>
      </c>
      <c r="P1738" s="17">
        <v>0</v>
      </c>
      <c r="Q1738" s="17">
        <v>1</v>
      </c>
      <c r="R1738" s="17">
        <v>0</v>
      </c>
      <c r="S1738" s="17">
        <v>0</v>
      </c>
      <c r="T1738" s="17">
        <v>0</v>
      </c>
      <c r="U1738" s="17">
        <v>6</v>
      </c>
      <c r="V1738" s="13" t="str" cm="1">
        <f t="array" ref="V1738">_xlfn.IFS(U1738&lt;=250,"0-R$250",U1738&lt;=500,"251-R$500",U1738&lt;=750,"501-R$750",U1738&lt;=1000,"751-R$1000",U1738&lt;=1250,"1001-R$1250",U1738&lt;=1500,"1251-R$1500")</f>
        <v>0-R$250</v>
      </c>
      <c r="W1738" s="17">
        <v>16</v>
      </c>
      <c r="X1738" s="13" t="str" cm="1">
        <f t="array" ref="X1738">_xlfn.IFS(W1738 = 0, "0", W1738&lt;=20, "até R$20",W1738&lt;=40, "21 - R$40",W1738&lt;=60, "41- R$60",W1738&lt;=80, "61 - R$80", W1738&lt;=100, "81 - R$100",W1738&lt;=120, "101 - R$120",W1738&lt;=140, "121 - R$140", W1738&lt;=160, "141- R$160", W1738&lt;=180, "161 - R$180", W1738&lt;=200, "181-R$194")</f>
        <v>até R$20</v>
      </c>
      <c r="Y1738" s="17">
        <v>11</v>
      </c>
      <c r="Z1738" s="17">
        <v>11</v>
      </c>
      <c r="AA1738" s="17">
        <v>1</v>
      </c>
      <c r="AB1738" s="17">
        <v>16</v>
      </c>
      <c r="AC1738" s="17">
        <v>1</v>
      </c>
      <c r="AD1738" s="17">
        <v>2</v>
      </c>
      <c r="AE1738" s="17">
        <v>0</v>
      </c>
      <c r="AF1738" s="17">
        <v>3</v>
      </c>
      <c r="AG1738" s="17">
        <v>8</v>
      </c>
      <c r="AH1738" s="17">
        <v>0</v>
      </c>
      <c r="AI1738" s="17">
        <v>0</v>
      </c>
      <c r="AJ1738" s="17">
        <v>0</v>
      </c>
      <c r="AK1738" s="17">
        <v>0</v>
      </c>
      <c r="AL1738" s="17">
        <v>0</v>
      </c>
      <c r="AM1738" s="17">
        <v>0</v>
      </c>
      <c r="AN1738" s="17">
        <v>0</v>
      </c>
      <c r="AO1738" s="18">
        <v>0</v>
      </c>
      <c r="AP1738" s="17">
        <v>3</v>
      </c>
      <c r="AQ1738" s="17">
        <v>11</v>
      </c>
      <c r="AR1738" s="19">
        <v>29</v>
      </c>
      <c r="AS1738" s="19">
        <v>45</v>
      </c>
    </row>
    <row r="1739" spans="1:45" x14ac:dyDescent="0.25">
      <c r="A1739">
        <v>36</v>
      </c>
      <c r="B1739" s="11">
        <f t="shared" si="27"/>
        <v>23718</v>
      </c>
      <c r="C1739" s="12">
        <v>237180</v>
      </c>
      <c r="D1739" s="13">
        <v>1</v>
      </c>
      <c r="E1739" s="13">
        <v>0</v>
      </c>
      <c r="F1739" s="13">
        <v>76</v>
      </c>
      <c r="G1739" s="13">
        <v>44</v>
      </c>
      <c r="H1739" s="13" t="str" cm="1">
        <f t="array" ref="H1739">_xlfn.IFS(G1739&lt;=20,"0-20",G1739&lt;=30,"20-30",G1739&lt;=40,"30-40",G1739&lt;=50,"50-60",G1739&lt;=60,"60-70",G1739&lt;=70,"70-80",G1739&lt;=80,"80-90")</f>
        <v>50-60</v>
      </c>
      <c r="I1739" s="13">
        <v>2459</v>
      </c>
      <c r="J1739" s="13" t="str" cm="1">
        <f t="array" ref="J1739">_xlfn.IFS(K1739=1,"Divorciado",L1739=1,"Casado",M1739=1,"Solteiro",N1739=1,"Juntos",O1739=1,"Viuvo")</f>
        <v>Casado</v>
      </c>
      <c r="K1739" s="13">
        <v>0</v>
      </c>
      <c r="L1739" s="13">
        <v>1</v>
      </c>
      <c r="M1739" s="13">
        <v>0</v>
      </c>
      <c r="N1739" s="13">
        <v>0</v>
      </c>
      <c r="O1739" s="13">
        <v>0</v>
      </c>
      <c r="P1739" s="13">
        <v>1</v>
      </c>
      <c r="Q1739" s="13">
        <v>0</v>
      </c>
      <c r="R1739" s="13">
        <v>0</v>
      </c>
      <c r="S1739" s="13">
        <v>0</v>
      </c>
      <c r="T1739" s="13">
        <v>0</v>
      </c>
      <c r="U1739" s="13">
        <v>6</v>
      </c>
      <c r="V1739" s="13" t="str" cm="1">
        <f t="array" ref="V1739">_xlfn.IFS(U1739&lt;=250,"0-R$250",U1739&lt;=500,"251-R$500",U1739&lt;=750,"501-R$750",U1739&lt;=1000,"751-R$1000",U1739&lt;=1250,"1001-R$1250",U1739&lt;=1500,"1251-R$1500")</f>
        <v>0-R$250</v>
      </c>
      <c r="W1739" s="13">
        <v>3</v>
      </c>
      <c r="X1739" s="13" t="str" cm="1">
        <f t="array" ref="X1739">_xlfn.IFS(W1739 = 0, "0", W1739&lt;=20, "até R$20",W1739&lt;=40, "21 - R$40",W1739&lt;=60, "41- R$60",W1739&lt;=80, "61 - R$80", W1739&lt;=100, "81 - R$100",W1739&lt;=120, "101 - R$120",W1739&lt;=140, "121 - R$140", W1739&lt;=160, "141- R$160", W1739&lt;=180, "161 - R$180", W1739&lt;=200, "181-R$194")</f>
        <v>até R$20</v>
      </c>
      <c r="Y1739" s="13">
        <v>14</v>
      </c>
      <c r="Z1739" s="13">
        <v>15</v>
      </c>
      <c r="AA1739" s="13">
        <v>7</v>
      </c>
      <c r="AB1739" s="13">
        <v>36</v>
      </c>
      <c r="AC1739" s="13">
        <v>3</v>
      </c>
      <c r="AD1739" s="13">
        <v>3</v>
      </c>
      <c r="AE1739" s="13">
        <v>1</v>
      </c>
      <c r="AF1739" s="13">
        <v>2</v>
      </c>
      <c r="AG1739" s="13">
        <v>7</v>
      </c>
      <c r="AH1739" s="13">
        <v>0</v>
      </c>
      <c r="AI1739" s="13">
        <v>0</v>
      </c>
      <c r="AJ1739" s="13">
        <v>0</v>
      </c>
      <c r="AK1739" s="13">
        <v>0</v>
      </c>
      <c r="AL1739" s="13">
        <v>0</v>
      </c>
      <c r="AM1739" s="13">
        <v>0</v>
      </c>
      <c r="AN1739" s="13">
        <v>0</v>
      </c>
      <c r="AO1739" s="14">
        <v>0</v>
      </c>
      <c r="AP1739" s="13">
        <v>3</v>
      </c>
      <c r="AQ1739" s="13">
        <v>11</v>
      </c>
      <c r="AR1739" s="15">
        <v>9</v>
      </c>
      <c r="AS1739" s="15">
        <v>45</v>
      </c>
    </row>
    <row r="1740" spans="1:45" x14ac:dyDescent="0.25">
      <c r="A1740">
        <v>404</v>
      </c>
      <c r="B1740" s="11">
        <f t="shared" si="27"/>
        <v>37401</v>
      </c>
      <c r="C1740" s="12">
        <v>374010</v>
      </c>
      <c r="D1740" s="13">
        <v>1</v>
      </c>
      <c r="E1740" s="13">
        <v>0</v>
      </c>
      <c r="F1740" s="13">
        <v>14</v>
      </c>
      <c r="G1740" s="13">
        <v>47</v>
      </c>
      <c r="H1740" s="13" t="str" cm="1">
        <f t="array" ref="H1740">_xlfn.IFS(G1740&lt;=20,"0-20",G1740&lt;=30,"20-30",G1740&lt;=40,"30-40",G1740&lt;=50,"50-60",G1740&lt;=60,"60-70",G1740&lt;=70,"70-80",G1740&lt;=80,"80-90")</f>
        <v>50-60</v>
      </c>
      <c r="I1740" s="13">
        <v>2213</v>
      </c>
      <c r="J1740" s="13" t="str" cm="1">
        <f t="array" ref="J1740">_xlfn.IFS(K1740=1,"Divorciado",L1740=1,"Casado",M1740=1,"Solteiro",N1740=1,"Juntos",O1740=1,"Viuvo")</f>
        <v>Casado</v>
      </c>
      <c r="K1740" s="13">
        <v>0</v>
      </c>
      <c r="L1740" s="13">
        <v>1</v>
      </c>
      <c r="M1740" s="13">
        <v>0</v>
      </c>
      <c r="N1740" s="13">
        <v>0</v>
      </c>
      <c r="O1740" s="13">
        <v>0</v>
      </c>
      <c r="P1740" s="13">
        <v>0</v>
      </c>
      <c r="Q1740" s="13">
        <v>0</v>
      </c>
      <c r="R1740" s="13">
        <v>0</v>
      </c>
      <c r="S1740" s="13">
        <v>0</v>
      </c>
      <c r="T1740" s="13">
        <v>1</v>
      </c>
      <c r="U1740" s="13">
        <v>19</v>
      </c>
      <c r="V1740" s="13" t="str" cm="1">
        <f t="array" ref="V1740">_xlfn.IFS(U1740&lt;=250,"0-R$250",U1740&lt;=500,"251-R$500",U1740&lt;=750,"501-R$750",U1740&lt;=1000,"751-R$1000",U1740&lt;=1250,"1001-R$1250",U1740&lt;=1500,"1251-R$1500")</f>
        <v>0-R$250</v>
      </c>
      <c r="W1740" s="13">
        <v>3</v>
      </c>
      <c r="X1740" s="13" t="str" cm="1">
        <f t="array" ref="X1740">_xlfn.IFS(W1740 = 0, "0", W1740&lt;=20, "até R$20",W1740&lt;=40, "21 - R$40",W1740&lt;=60, "41- R$60",W1740&lt;=80, "61 - R$80", W1740&lt;=100, "81 - R$100",W1740&lt;=120, "101 - R$120",W1740&lt;=140, "121 - R$140", W1740&lt;=160, "141- R$160", W1740&lt;=180, "161 - R$180", W1740&lt;=200, "181-R$194")</f>
        <v>até R$20</v>
      </c>
      <c r="Y1740" s="13">
        <v>19</v>
      </c>
      <c r="Z1740" s="13">
        <v>3</v>
      </c>
      <c r="AA1740" s="13">
        <v>1</v>
      </c>
      <c r="AB1740" s="13">
        <v>3</v>
      </c>
      <c r="AC1740" s="13">
        <v>2</v>
      </c>
      <c r="AD1740" s="13">
        <v>2</v>
      </c>
      <c r="AE1740" s="13">
        <v>0</v>
      </c>
      <c r="AF1740" s="13">
        <v>3</v>
      </c>
      <c r="AG1740" s="13">
        <v>7</v>
      </c>
      <c r="AH1740" s="13">
        <v>0</v>
      </c>
      <c r="AI1740" s="13">
        <v>0</v>
      </c>
      <c r="AJ1740" s="13">
        <v>0</v>
      </c>
      <c r="AK1740" s="13">
        <v>0</v>
      </c>
      <c r="AL1740" s="13">
        <v>0</v>
      </c>
      <c r="AM1740" s="13">
        <v>0</v>
      </c>
      <c r="AN1740" s="13">
        <v>0</v>
      </c>
      <c r="AO1740" s="14">
        <v>0</v>
      </c>
      <c r="AP1740" s="13">
        <v>3</v>
      </c>
      <c r="AQ1740" s="13">
        <v>11</v>
      </c>
      <c r="AR1740" s="15">
        <v>42</v>
      </c>
      <c r="AS1740" s="15">
        <v>45</v>
      </c>
    </row>
    <row r="1741" spans="1:45" x14ac:dyDescent="0.25">
      <c r="A1741">
        <v>1499</v>
      </c>
      <c r="B1741" s="11">
        <f t="shared" si="27"/>
        <v>37401</v>
      </c>
      <c r="C1741" s="16">
        <v>374010</v>
      </c>
      <c r="D1741" s="17">
        <v>1</v>
      </c>
      <c r="E1741" s="17">
        <v>0</v>
      </c>
      <c r="F1741" s="17">
        <v>14</v>
      </c>
      <c r="G1741" s="17">
        <v>47</v>
      </c>
      <c r="H1741" s="13" t="str" cm="1">
        <f t="array" ref="H1741">_xlfn.IFS(G1741&lt;=20,"0-20",G1741&lt;=30,"20-30",G1741&lt;=40,"30-40",G1741&lt;=50,"50-60",G1741&lt;=60,"60-70",G1741&lt;=70,"70-80",G1741&lt;=80,"80-90")</f>
        <v>50-60</v>
      </c>
      <c r="I1741" s="17">
        <v>2213</v>
      </c>
      <c r="J1741" s="13" t="str" cm="1">
        <f t="array" ref="J1741">_xlfn.IFS(K1741=1,"Divorciado",L1741=1,"Casado",M1741=1,"Solteiro",N1741=1,"Juntos",O1741=1,"Viuvo")</f>
        <v>Casado</v>
      </c>
      <c r="K1741" s="17">
        <v>0</v>
      </c>
      <c r="L1741" s="17">
        <v>1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1</v>
      </c>
      <c r="U1741" s="17">
        <v>19</v>
      </c>
      <c r="V1741" s="13" t="str" cm="1">
        <f t="array" ref="V1741">_xlfn.IFS(U1741&lt;=250,"0-R$250",U1741&lt;=500,"251-R$500",U1741&lt;=750,"501-R$750",U1741&lt;=1000,"751-R$1000",U1741&lt;=1250,"1001-R$1250",U1741&lt;=1500,"1251-R$1500")</f>
        <v>0-R$250</v>
      </c>
      <c r="W1741" s="17">
        <v>3</v>
      </c>
      <c r="X1741" s="13" t="str" cm="1">
        <f t="array" ref="X1741">_xlfn.IFS(W1741 = 0, "0", W1741&lt;=20, "até R$20",W1741&lt;=40, "21 - R$40",W1741&lt;=60, "41- R$60",W1741&lt;=80, "61 - R$80", W1741&lt;=100, "81 - R$100",W1741&lt;=120, "101 - R$120",W1741&lt;=140, "121 - R$140", W1741&lt;=160, "141- R$160", W1741&lt;=180, "161 - R$180", W1741&lt;=200, "181-R$194")</f>
        <v>até R$20</v>
      </c>
      <c r="Y1741" s="17">
        <v>19</v>
      </c>
      <c r="Z1741" s="17">
        <v>3</v>
      </c>
      <c r="AA1741" s="17">
        <v>1</v>
      </c>
      <c r="AB1741" s="17">
        <v>3</v>
      </c>
      <c r="AC1741" s="17">
        <v>2</v>
      </c>
      <c r="AD1741" s="17">
        <v>2</v>
      </c>
      <c r="AE1741" s="17">
        <v>0</v>
      </c>
      <c r="AF1741" s="17">
        <v>3</v>
      </c>
      <c r="AG1741" s="17">
        <v>7</v>
      </c>
      <c r="AH1741" s="17">
        <v>0</v>
      </c>
      <c r="AI1741" s="17">
        <v>0</v>
      </c>
      <c r="AJ1741" s="17">
        <v>0</v>
      </c>
      <c r="AK1741" s="17">
        <v>0</v>
      </c>
      <c r="AL1741" s="17">
        <v>0</v>
      </c>
      <c r="AM1741" s="17">
        <v>0</v>
      </c>
      <c r="AN1741" s="17">
        <v>0</v>
      </c>
      <c r="AO1741" s="18">
        <v>0</v>
      </c>
      <c r="AP1741" s="17">
        <v>3</v>
      </c>
      <c r="AQ1741" s="17">
        <v>11</v>
      </c>
      <c r="AR1741" s="19">
        <v>42</v>
      </c>
      <c r="AS1741" s="19">
        <v>45</v>
      </c>
    </row>
    <row r="1742" spans="1:45" x14ac:dyDescent="0.25">
      <c r="A1742">
        <v>1908</v>
      </c>
      <c r="B1742" s="11">
        <f t="shared" si="27"/>
        <v>29543</v>
      </c>
      <c r="C1742" s="12">
        <v>295430</v>
      </c>
      <c r="D1742" s="13">
        <v>2</v>
      </c>
      <c r="E1742" s="13">
        <v>0</v>
      </c>
      <c r="F1742" s="13">
        <v>47</v>
      </c>
      <c r="G1742" s="13">
        <v>52</v>
      </c>
      <c r="H1742" s="13" t="str" cm="1">
        <f t="array" ref="H1742">_xlfn.IFS(G1742&lt;=20,"0-20",G1742&lt;=30,"20-30",G1742&lt;=40,"30-40",G1742&lt;=50,"50-60",G1742&lt;=60,"60-70",G1742&lt;=70,"70-80",G1742&lt;=80,"80-90")</f>
        <v>60-70</v>
      </c>
      <c r="I1742" s="13">
        <v>2248</v>
      </c>
      <c r="J1742" s="13" t="str" cm="1">
        <f t="array" ref="J1742">_xlfn.IFS(K1742=1,"Divorciado",L1742=1,"Casado",M1742=1,"Solteiro",N1742=1,"Juntos",O1742=1,"Viuvo")</f>
        <v>Casado</v>
      </c>
      <c r="K1742" s="13">
        <v>0</v>
      </c>
      <c r="L1742" s="13">
        <v>1</v>
      </c>
      <c r="M1742" s="13">
        <v>0</v>
      </c>
      <c r="N1742" s="13">
        <v>0</v>
      </c>
      <c r="O1742" s="13">
        <v>0</v>
      </c>
      <c r="P1742" s="13">
        <v>0</v>
      </c>
      <c r="Q1742" s="13">
        <v>0</v>
      </c>
      <c r="R1742" s="13">
        <v>0</v>
      </c>
      <c r="S1742" s="13">
        <v>1</v>
      </c>
      <c r="T1742" s="13">
        <v>0</v>
      </c>
      <c r="U1742" s="13">
        <v>17</v>
      </c>
      <c r="V1742" s="13" t="str" cm="1">
        <f t="array" ref="V1742">_xlfn.IFS(U1742&lt;=250,"0-R$250",U1742&lt;=500,"251-R$500",U1742&lt;=750,"501-R$750",U1742&lt;=1000,"751-R$1000",U1742&lt;=1250,"1001-R$1250",U1742&lt;=1500,"1251-R$1500")</f>
        <v>0-R$250</v>
      </c>
      <c r="W1742" s="13">
        <v>3</v>
      </c>
      <c r="X1742" s="13" t="str" cm="1">
        <f t="array" ref="X1742">_xlfn.IFS(W1742 = 0, "0", W1742&lt;=20, "até R$20",W1742&lt;=40, "21 - R$40",W1742&lt;=60, "41- R$60",W1742&lt;=80, "61 - R$80", W1742&lt;=100, "81 - R$100",W1742&lt;=120, "101 - R$120",W1742&lt;=140, "121 - R$140", W1742&lt;=160, "141- R$160", W1742&lt;=180, "161 - R$180", W1742&lt;=200, "181-R$194")</f>
        <v>até R$20</v>
      </c>
      <c r="Y1742" s="13">
        <v>18</v>
      </c>
      <c r="Z1742" s="13">
        <v>3</v>
      </c>
      <c r="AA1742" s="13">
        <v>4</v>
      </c>
      <c r="AB1742" s="13">
        <v>18</v>
      </c>
      <c r="AC1742" s="13">
        <v>2</v>
      </c>
      <c r="AD1742" s="13">
        <v>3</v>
      </c>
      <c r="AE1742" s="13">
        <v>1</v>
      </c>
      <c r="AF1742" s="13">
        <v>2</v>
      </c>
      <c r="AG1742" s="13">
        <v>7</v>
      </c>
      <c r="AH1742" s="13">
        <v>0</v>
      </c>
      <c r="AI1742" s="13">
        <v>0</v>
      </c>
      <c r="AJ1742" s="13">
        <v>0</v>
      </c>
      <c r="AK1742" s="13">
        <v>0</v>
      </c>
      <c r="AL1742" s="13">
        <v>0</v>
      </c>
      <c r="AM1742" s="13">
        <v>0</v>
      </c>
      <c r="AN1742" s="13">
        <v>0</v>
      </c>
      <c r="AO1742" s="14">
        <v>0</v>
      </c>
      <c r="AP1742" s="13">
        <v>3</v>
      </c>
      <c r="AQ1742" s="13">
        <v>11</v>
      </c>
      <c r="AR1742" s="15">
        <v>27</v>
      </c>
      <c r="AS1742" s="15">
        <v>45</v>
      </c>
    </row>
    <row r="1743" spans="1:45" x14ac:dyDescent="0.25">
      <c r="A1743">
        <v>2180</v>
      </c>
      <c r="B1743" s="11">
        <f t="shared" si="27"/>
        <v>38054</v>
      </c>
      <c r="C1743" s="12">
        <v>380540</v>
      </c>
      <c r="D1743" s="13">
        <v>1</v>
      </c>
      <c r="E1743" s="13">
        <v>1</v>
      </c>
      <c r="F1743" s="13">
        <v>24</v>
      </c>
      <c r="G1743" s="13">
        <v>70</v>
      </c>
      <c r="H1743" s="13" t="str" cm="1">
        <f t="array" ref="H1743">_xlfn.IFS(G1743&lt;=20,"0-20",G1743&lt;=30,"20-30",G1743&lt;=40,"30-40",G1743&lt;=50,"50-60",G1743&lt;=60,"60-70",G1743&lt;=70,"70-80",G1743&lt;=80,"80-90")</f>
        <v>70-80</v>
      </c>
      <c r="I1743" s="13">
        <v>2218</v>
      </c>
      <c r="J1743" s="13" t="str" cm="1">
        <f t="array" ref="J1743">_xlfn.IFS(K1743=1,"Divorciado",L1743=1,"Casado",M1743=1,"Solteiro",N1743=1,"Juntos",O1743=1,"Viuvo")</f>
        <v>Divorciado</v>
      </c>
      <c r="K1743" s="13">
        <v>1</v>
      </c>
      <c r="L1743" s="13">
        <v>0</v>
      </c>
      <c r="M1743" s="13">
        <v>0</v>
      </c>
      <c r="N1743" s="13">
        <v>0</v>
      </c>
      <c r="O1743" s="13">
        <v>0</v>
      </c>
      <c r="P1743" s="13">
        <v>0</v>
      </c>
      <c r="Q1743" s="13">
        <v>0</v>
      </c>
      <c r="R1743" s="13">
        <v>0</v>
      </c>
      <c r="S1743" s="13">
        <v>1</v>
      </c>
      <c r="T1743" s="13">
        <v>0</v>
      </c>
      <c r="U1743" s="13">
        <v>23</v>
      </c>
      <c r="V1743" s="13" t="str" cm="1">
        <f t="array" ref="V1743">_xlfn.IFS(U1743&lt;=250,"0-R$250",U1743&lt;=500,"251-R$500",U1743&lt;=750,"501-R$750",U1743&lt;=1000,"751-R$1000",U1743&lt;=1250,"1001-R$1250",U1743&lt;=1500,"1251-R$1500")</f>
        <v>0-R$250</v>
      </c>
      <c r="W1743" s="13">
        <v>2</v>
      </c>
      <c r="X1743" s="13" t="str" cm="1">
        <f t="array" ref="X1743">_xlfn.IFS(W1743 = 0, "0", W1743&lt;=20, "até R$20",W1743&lt;=40, "21 - R$40",W1743&lt;=60, "41- R$60",W1743&lt;=80, "61 - R$80", W1743&lt;=100, "81 - R$100",W1743&lt;=120, "101 - R$120",W1743&lt;=140, "121 - R$140", W1743&lt;=160, "141- R$160", W1743&lt;=180, "161 - R$180", W1743&lt;=200, "181-R$194")</f>
        <v>até R$20</v>
      </c>
      <c r="Y1743" s="13">
        <v>17</v>
      </c>
      <c r="Z1743" s="13">
        <v>2</v>
      </c>
      <c r="AA1743" s="13">
        <v>1</v>
      </c>
      <c r="AB1743" s="13">
        <v>0</v>
      </c>
      <c r="AC1743" s="13">
        <v>2</v>
      </c>
      <c r="AD1743" s="13">
        <v>2</v>
      </c>
      <c r="AE1743" s="13">
        <v>0</v>
      </c>
      <c r="AF1743" s="13">
        <v>3</v>
      </c>
      <c r="AG1743" s="13">
        <v>7</v>
      </c>
      <c r="AH1743" s="13">
        <v>0</v>
      </c>
      <c r="AI1743" s="13">
        <v>0</v>
      </c>
      <c r="AJ1743" s="13">
        <v>0</v>
      </c>
      <c r="AK1743" s="13">
        <v>0</v>
      </c>
      <c r="AL1743" s="13">
        <v>0</v>
      </c>
      <c r="AM1743" s="13">
        <v>0</v>
      </c>
      <c r="AN1743" s="13">
        <v>0</v>
      </c>
      <c r="AO1743" s="14">
        <v>0</v>
      </c>
      <c r="AP1743" s="13">
        <v>3</v>
      </c>
      <c r="AQ1743" s="13">
        <v>11</v>
      </c>
      <c r="AR1743" s="15">
        <v>45</v>
      </c>
      <c r="AS1743" s="15">
        <v>45</v>
      </c>
    </row>
    <row r="1744" spans="1:45" x14ac:dyDescent="0.25">
      <c r="A1744">
        <v>9</v>
      </c>
      <c r="B1744" s="11">
        <f t="shared" si="27"/>
        <v>30351</v>
      </c>
      <c r="C1744" s="16">
        <v>303510</v>
      </c>
      <c r="D1744" s="17">
        <v>1</v>
      </c>
      <c r="E1744" s="17">
        <v>0</v>
      </c>
      <c r="F1744" s="17">
        <v>19</v>
      </c>
      <c r="G1744" s="17">
        <v>46</v>
      </c>
      <c r="H1744" s="13" t="str" cm="1">
        <f t="array" ref="H1744">_xlfn.IFS(G1744&lt;=20,"0-20",G1744&lt;=30,"20-30",G1744&lt;=40,"30-40",G1744&lt;=50,"50-60",G1744&lt;=60,"60-70",G1744&lt;=70,"70-80",G1744&lt;=80,"80-90")</f>
        <v>50-60</v>
      </c>
      <c r="I1744" s="17">
        <v>2547</v>
      </c>
      <c r="J1744" s="13" t="str" cm="1">
        <f t="array" ref="J1744">_xlfn.IFS(K1744=1,"Divorciado",L1744=1,"Casado",M1744=1,"Solteiro",N1744=1,"Juntos",O1744=1,"Viuvo")</f>
        <v>Juntos</v>
      </c>
      <c r="K1744" s="17">
        <v>0</v>
      </c>
      <c r="L1744" s="17">
        <v>0</v>
      </c>
      <c r="M1744" s="17">
        <v>0</v>
      </c>
      <c r="N1744" s="17">
        <v>1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1</v>
      </c>
      <c r="U1744" s="17">
        <v>14</v>
      </c>
      <c r="V1744" s="13" t="str" cm="1">
        <f t="array" ref="V1744">_xlfn.IFS(U1744&lt;=250,"0-R$250",U1744&lt;=500,"251-R$500",U1744&lt;=750,"501-R$750",U1744&lt;=1000,"751-R$1000",U1744&lt;=1250,"1001-R$1250",U1744&lt;=1500,"1251-R$1500")</f>
        <v>0-R$250</v>
      </c>
      <c r="W1744" s="17">
        <v>0</v>
      </c>
      <c r="X1744" s="13" t="str" cm="1">
        <f t="array" ref="X1744">_xlfn.IFS(W1744 = 0, "0", W1744&lt;=20, "até R$20",W1744&lt;=40, "21 - R$40",W1744&lt;=60, "41- R$60",W1744&lt;=80, "61 - R$80", W1744&lt;=100, "81 - R$100",W1744&lt;=120, "101 - R$120",W1744&lt;=140, "121 - R$140", W1744&lt;=160, "141- R$160", W1744&lt;=180, "161 - R$180", W1744&lt;=200, "181-R$194")</f>
        <v>0</v>
      </c>
      <c r="Y1744" s="17">
        <v>24</v>
      </c>
      <c r="Z1744" s="17">
        <v>3</v>
      </c>
      <c r="AA1744" s="17">
        <v>3</v>
      </c>
      <c r="AB1744" s="17">
        <v>2</v>
      </c>
      <c r="AC1744" s="17">
        <v>1</v>
      </c>
      <c r="AD1744" s="17">
        <v>3</v>
      </c>
      <c r="AE1744" s="17">
        <v>0</v>
      </c>
      <c r="AF1744" s="17">
        <v>2</v>
      </c>
      <c r="AG1744" s="17">
        <v>9</v>
      </c>
      <c r="AH1744" s="17">
        <v>0</v>
      </c>
      <c r="AI1744" s="17">
        <v>0</v>
      </c>
      <c r="AJ1744" s="17">
        <v>0</v>
      </c>
      <c r="AK1744" s="17">
        <v>0</v>
      </c>
      <c r="AL1744" s="17">
        <v>0</v>
      </c>
      <c r="AM1744" s="17">
        <v>0</v>
      </c>
      <c r="AN1744" s="17">
        <v>1</v>
      </c>
      <c r="AO1744" s="18">
        <v>0</v>
      </c>
      <c r="AP1744" s="17">
        <v>3</v>
      </c>
      <c r="AQ1744" s="17">
        <v>11</v>
      </c>
      <c r="AR1744" s="19">
        <v>42</v>
      </c>
      <c r="AS1744" s="19">
        <v>44</v>
      </c>
    </row>
    <row r="1745" spans="1:45" x14ac:dyDescent="0.25">
      <c r="A1745">
        <v>179</v>
      </c>
      <c r="B1745" s="11">
        <f t="shared" si="27"/>
        <v>24882</v>
      </c>
      <c r="C1745" s="16">
        <v>248820</v>
      </c>
      <c r="D1745" s="17">
        <v>1</v>
      </c>
      <c r="E1745" s="17">
        <v>0</v>
      </c>
      <c r="F1745" s="17">
        <v>52</v>
      </c>
      <c r="G1745" s="17">
        <v>42</v>
      </c>
      <c r="H1745" s="13" t="str" cm="1">
        <f t="array" ref="H1745">_xlfn.IFS(G1745&lt;=20,"0-20",G1745&lt;=30,"20-30",G1745&lt;=40,"30-40",G1745&lt;=50,"50-60",G1745&lt;=60,"60-70",G1745&lt;=70,"70-80",G1745&lt;=80,"80-90")</f>
        <v>50-60</v>
      </c>
      <c r="I1745" s="17">
        <v>2817</v>
      </c>
      <c r="J1745" s="13" t="str" cm="1">
        <f t="array" ref="J1745">_xlfn.IFS(K1745=1,"Divorciado",L1745=1,"Casado",M1745=1,"Solteiro",N1745=1,"Juntos",O1745=1,"Viuvo")</f>
        <v>Juntos</v>
      </c>
      <c r="K1745" s="17">
        <v>0</v>
      </c>
      <c r="L1745" s="17">
        <v>0</v>
      </c>
      <c r="M1745" s="17">
        <v>0</v>
      </c>
      <c r="N1745" s="17">
        <v>1</v>
      </c>
      <c r="O1745" s="17">
        <v>0</v>
      </c>
      <c r="P1745" s="17">
        <v>0</v>
      </c>
      <c r="Q1745" s="17">
        <v>1</v>
      </c>
      <c r="R1745" s="17">
        <v>0</v>
      </c>
      <c r="S1745" s="17">
        <v>0</v>
      </c>
      <c r="T1745" s="17">
        <v>0</v>
      </c>
      <c r="U1745" s="17">
        <v>1</v>
      </c>
      <c r="V1745" s="13" t="str" cm="1">
        <f t="array" ref="V1745">_xlfn.IFS(U1745&lt;=250,"0-R$250",U1745&lt;=500,"251-R$500",U1745&lt;=750,"501-R$750",U1745&lt;=1000,"751-R$1000",U1745&lt;=1250,"1001-R$1250",U1745&lt;=1500,"1251-R$1500")</f>
        <v>0-R$250</v>
      </c>
      <c r="W1745" s="17">
        <v>4</v>
      </c>
      <c r="X1745" s="13" t="str" cm="1">
        <f t="array" ref="X1745">_xlfn.IFS(W1745 = 0, "0", W1745&lt;=20, "até R$20",W1745&lt;=40, "21 - R$40",W1745&lt;=60, "41- R$60",W1745&lt;=80, "61 - R$80", W1745&lt;=100, "81 - R$100",W1745&lt;=120, "101 - R$120",W1745&lt;=140, "121 - R$140", W1745&lt;=160, "141- R$160", W1745&lt;=180, "161 - R$180", W1745&lt;=200, "181-R$194")</f>
        <v>até R$20</v>
      </c>
      <c r="Y1745" s="17">
        <v>10</v>
      </c>
      <c r="Z1745" s="17">
        <v>29</v>
      </c>
      <c r="AA1745" s="17">
        <v>0</v>
      </c>
      <c r="AB1745" s="17">
        <v>36</v>
      </c>
      <c r="AC1745" s="17">
        <v>1</v>
      </c>
      <c r="AD1745" s="17">
        <v>1</v>
      </c>
      <c r="AE1745" s="17">
        <v>1</v>
      </c>
      <c r="AF1745" s="17">
        <v>2</v>
      </c>
      <c r="AG1745" s="17">
        <v>6</v>
      </c>
      <c r="AH1745" s="17">
        <v>0</v>
      </c>
      <c r="AI1745" s="17">
        <v>1</v>
      </c>
      <c r="AJ1745" s="17">
        <v>0</v>
      </c>
      <c r="AK1745" s="17">
        <v>0</v>
      </c>
      <c r="AL1745" s="17">
        <v>0</v>
      </c>
      <c r="AM1745" s="17">
        <v>0</v>
      </c>
      <c r="AN1745" s="17">
        <v>0</v>
      </c>
      <c r="AO1745" s="18">
        <v>1</v>
      </c>
      <c r="AP1745" s="17">
        <v>3</v>
      </c>
      <c r="AQ1745" s="17">
        <v>11</v>
      </c>
      <c r="AR1745" s="19">
        <v>8</v>
      </c>
      <c r="AS1745" s="19">
        <v>44</v>
      </c>
    </row>
    <row r="1746" spans="1:45" x14ac:dyDescent="0.25">
      <c r="A1746">
        <v>260</v>
      </c>
      <c r="B1746" s="11">
        <f t="shared" si="27"/>
        <v>29315</v>
      </c>
      <c r="C1746" s="12">
        <v>293150</v>
      </c>
      <c r="D1746" s="13">
        <v>1</v>
      </c>
      <c r="E1746" s="13">
        <v>1</v>
      </c>
      <c r="F1746" s="13">
        <v>55</v>
      </c>
      <c r="G1746" s="13">
        <v>60</v>
      </c>
      <c r="H1746" s="13" t="str" cm="1">
        <f t="array" ref="H1746">_xlfn.IFS(G1746&lt;=20,"0-20",G1746&lt;=30,"20-30",G1746&lt;=40,"30-40",G1746&lt;=50,"50-60",G1746&lt;=60,"60-70",G1746&lt;=70,"70-80",G1746&lt;=80,"80-90")</f>
        <v>60-70</v>
      </c>
      <c r="I1746" s="13">
        <v>2243</v>
      </c>
      <c r="J1746" s="13" t="str" cm="1">
        <f t="array" ref="J1746">_xlfn.IFS(K1746=1,"Divorciado",L1746=1,"Casado",M1746=1,"Solteiro",N1746=1,"Juntos",O1746=1,"Viuvo")</f>
        <v>Casado</v>
      </c>
      <c r="K1746" s="13">
        <v>0</v>
      </c>
      <c r="L1746" s="13">
        <v>1</v>
      </c>
      <c r="M1746" s="13">
        <v>0</v>
      </c>
      <c r="N1746" s="13">
        <v>0</v>
      </c>
      <c r="O1746" s="13">
        <v>0</v>
      </c>
      <c r="P1746" s="13">
        <v>0</v>
      </c>
      <c r="Q1746" s="13">
        <v>0</v>
      </c>
      <c r="R1746" s="13">
        <v>1</v>
      </c>
      <c r="S1746" s="13">
        <v>0</v>
      </c>
      <c r="T1746" s="13">
        <v>0</v>
      </c>
      <c r="U1746" s="13">
        <v>13</v>
      </c>
      <c r="V1746" s="13" t="str" cm="1">
        <f t="array" ref="V1746">_xlfn.IFS(U1746&lt;=250,"0-R$250",U1746&lt;=500,"251-R$500",U1746&lt;=750,"501-R$750",U1746&lt;=1000,"751-R$1000",U1746&lt;=1250,"1001-R$1250",U1746&lt;=1500,"1251-R$1500")</f>
        <v>0-R$250</v>
      </c>
      <c r="W1746" s="13">
        <v>2</v>
      </c>
      <c r="X1746" s="13" t="str" cm="1">
        <f t="array" ref="X1746">_xlfn.IFS(W1746 = 0, "0", W1746&lt;=20, "até R$20",W1746&lt;=40, "21 - R$40",W1746&lt;=60, "41- R$60",W1746&lt;=80, "61 - R$80", W1746&lt;=100, "81 - R$100",W1746&lt;=120, "101 - R$120",W1746&lt;=140, "121 - R$140", W1746&lt;=160, "141- R$160", W1746&lt;=180, "161 - R$180", W1746&lt;=200, "181-R$194")</f>
        <v>até R$20</v>
      </c>
      <c r="Y1746" s="13">
        <v>14</v>
      </c>
      <c r="Z1746" s="13">
        <v>8</v>
      </c>
      <c r="AA1746" s="13">
        <v>7</v>
      </c>
      <c r="AB1746" s="13">
        <v>4</v>
      </c>
      <c r="AC1746" s="13">
        <v>4</v>
      </c>
      <c r="AD1746" s="13">
        <v>2</v>
      </c>
      <c r="AE1746" s="13">
        <v>0</v>
      </c>
      <c r="AF1746" s="13">
        <v>4</v>
      </c>
      <c r="AG1746" s="13">
        <v>6</v>
      </c>
      <c r="AH1746" s="13">
        <v>0</v>
      </c>
      <c r="AI1746" s="13">
        <v>0</v>
      </c>
      <c r="AJ1746" s="13">
        <v>0</v>
      </c>
      <c r="AK1746" s="13">
        <v>0</v>
      </c>
      <c r="AL1746" s="13">
        <v>0</v>
      </c>
      <c r="AM1746" s="13">
        <v>0</v>
      </c>
      <c r="AN1746" s="13">
        <v>0</v>
      </c>
      <c r="AO1746" s="14">
        <v>0</v>
      </c>
      <c r="AP1746" s="13">
        <v>3</v>
      </c>
      <c r="AQ1746" s="13">
        <v>11</v>
      </c>
      <c r="AR1746" s="15">
        <v>40</v>
      </c>
      <c r="AS1746" s="15">
        <v>44</v>
      </c>
    </row>
    <row r="1747" spans="1:45" x14ac:dyDescent="0.25">
      <c r="A1747">
        <v>392</v>
      </c>
      <c r="B1747" s="11">
        <f t="shared" si="27"/>
        <v>30351</v>
      </c>
      <c r="C1747" s="12">
        <v>303510</v>
      </c>
      <c r="D1747" s="13">
        <v>1</v>
      </c>
      <c r="E1747" s="13">
        <v>0</v>
      </c>
      <c r="F1747" s="13">
        <v>19</v>
      </c>
      <c r="G1747" s="13">
        <v>46</v>
      </c>
      <c r="H1747" s="13" t="str" cm="1">
        <f t="array" ref="H1747">_xlfn.IFS(G1747&lt;=20,"0-20",G1747&lt;=30,"20-30",G1747&lt;=40,"30-40",G1747&lt;=50,"50-60",G1747&lt;=60,"60-70",G1747&lt;=70,"70-80",G1747&lt;=80,"80-90")</f>
        <v>50-60</v>
      </c>
      <c r="I1747" s="13">
        <v>2547</v>
      </c>
      <c r="J1747" s="13" t="str" cm="1">
        <f t="array" ref="J1747">_xlfn.IFS(K1747=1,"Divorciado",L1747=1,"Casado",M1747=1,"Solteiro",N1747=1,"Juntos",O1747=1,"Viuvo")</f>
        <v>Juntos</v>
      </c>
      <c r="K1747" s="13">
        <v>0</v>
      </c>
      <c r="L1747" s="13">
        <v>0</v>
      </c>
      <c r="M1747" s="13">
        <v>0</v>
      </c>
      <c r="N1747" s="13">
        <v>1</v>
      </c>
      <c r="O1747" s="13">
        <v>0</v>
      </c>
      <c r="P1747" s="13">
        <v>0</v>
      </c>
      <c r="Q1747" s="13">
        <v>0</v>
      </c>
      <c r="R1747" s="13">
        <v>0</v>
      </c>
      <c r="S1747" s="13">
        <v>0</v>
      </c>
      <c r="T1747" s="13">
        <v>1</v>
      </c>
      <c r="U1747" s="13">
        <v>14</v>
      </c>
      <c r="V1747" s="13" t="str" cm="1">
        <f t="array" ref="V1747">_xlfn.IFS(U1747&lt;=250,"0-R$250",U1747&lt;=500,"251-R$500",U1747&lt;=750,"501-R$750",U1747&lt;=1000,"751-R$1000",U1747&lt;=1250,"1001-R$1250",U1747&lt;=1500,"1251-R$1500")</f>
        <v>0-R$250</v>
      </c>
      <c r="W1747" s="13">
        <v>0</v>
      </c>
      <c r="X1747" s="13" t="str" cm="1">
        <f t="array" ref="X1747">_xlfn.IFS(W1747 = 0, "0", W1747&lt;=20, "até R$20",W1747&lt;=40, "21 - R$40",W1747&lt;=60, "41- R$60",W1747&lt;=80, "61 - R$80", W1747&lt;=100, "81 - R$100",W1747&lt;=120, "101 - R$120",W1747&lt;=140, "121 - R$140", W1747&lt;=160, "141- R$160", W1747&lt;=180, "161 - R$180", W1747&lt;=200, "181-R$194")</f>
        <v>0</v>
      </c>
      <c r="Y1747" s="13">
        <v>24</v>
      </c>
      <c r="Z1747" s="13">
        <v>3</v>
      </c>
      <c r="AA1747" s="13">
        <v>3</v>
      </c>
      <c r="AB1747" s="13">
        <v>2</v>
      </c>
      <c r="AC1747" s="13">
        <v>1</v>
      </c>
      <c r="AD1747" s="13">
        <v>3</v>
      </c>
      <c r="AE1747" s="13">
        <v>0</v>
      </c>
      <c r="AF1747" s="13">
        <v>2</v>
      </c>
      <c r="AG1747" s="13">
        <v>9</v>
      </c>
      <c r="AH1747" s="13">
        <v>0</v>
      </c>
      <c r="AI1747" s="13">
        <v>0</v>
      </c>
      <c r="AJ1747" s="13">
        <v>0</v>
      </c>
      <c r="AK1747" s="13">
        <v>0</v>
      </c>
      <c r="AL1747" s="13">
        <v>0</v>
      </c>
      <c r="AM1747" s="13">
        <v>0</v>
      </c>
      <c r="AN1747" s="13">
        <v>0</v>
      </c>
      <c r="AO1747" s="14">
        <v>0</v>
      </c>
      <c r="AP1747" s="13">
        <v>3</v>
      </c>
      <c r="AQ1747" s="13">
        <v>11</v>
      </c>
      <c r="AR1747" s="15">
        <v>42</v>
      </c>
      <c r="AS1747" s="15">
        <v>44</v>
      </c>
    </row>
    <row r="1748" spans="1:45" x14ac:dyDescent="0.25">
      <c r="A1748">
        <v>649</v>
      </c>
      <c r="B1748" s="11">
        <f t="shared" si="27"/>
        <v>21063</v>
      </c>
      <c r="C1748" s="16">
        <v>210630</v>
      </c>
      <c r="D1748" s="17">
        <v>1</v>
      </c>
      <c r="E1748" s="17">
        <v>0</v>
      </c>
      <c r="F1748" s="17">
        <v>34</v>
      </c>
      <c r="G1748" s="17">
        <v>33</v>
      </c>
      <c r="H1748" s="13" t="str" cm="1">
        <f t="array" ref="H1748">_xlfn.IFS(G1748&lt;=20,"0-20",G1748&lt;=30,"20-30",G1748&lt;=40,"30-40",G1748&lt;=50,"50-60",G1748&lt;=60,"60-70",G1748&lt;=70,"70-80",G1748&lt;=80,"80-90")</f>
        <v>30-40</v>
      </c>
      <c r="I1748" s="17">
        <v>2436</v>
      </c>
      <c r="J1748" s="13" t="str" cm="1">
        <f t="array" ref="J1748">_xlfn.IFS(K1748=1,"Divorciado",L1748=1,"Casado",M1748=1,"Solteiro",N1748=1,"Juntos",O1748=1,"Viuvo")</f>
        <v>Solteiro</v>
      </c>
      <c r="K1748" s="17">
        <v>0</v>
      </c>
      <c r="L1748" s="17">
        <v>0</v>
      </c>
      <c r="M1748" s="17">
        <v>1</v>
      </c>
      <c r="N1748" s="17">
        <v>0</v>
      </c>
      <c r="O1748" s="17">
        <v>0</v>
      </c>
      <c r="P1748" s="17">
        <v>0</v>
      </c>
      <c r="Q1748" s="17">
        <v>1</v>
      </c>
      <c r="R1748" s="17">
        <v>0</v>
      </c>
      <c r="S1748" s="17">
        <v>0</v>
      </c>
      <c r="T1748" s="17">
        <v>0</v>
      </c>
      <c r="U1748" s="17">
        <v>1</v>
      </c>
      <c r="V1748" s="13" t="str" cm="1">
        <f t="array" ref="V1748">_xlfn.IFS(U1748&lt;=250,"0-R$250",U1748&lt;=500,"251-R$500",U1748&lt;=750,"501-R$750",U1748&lt;=1000,"751-R$1000",U1748&lt;=1250,"1001-R$1250",U1748&lt;=1500,"1251-R$1500")</f>
        <v>0-R$250</v>
      </c>
      <c r="W1748" s="17">
        <v>10</v>
      </c>
      <c r="X1748" s="13" t="str" cm="1">
        <f t="array" ref="X1748">_xlfn.IFS(W1748 = 0, "0", W1748&lt;=20, "até R$20",W1748&lt;=40, "21 - R$40",W1748&lt;=60, "41- R$60",W1748&lt;=80, "61 - R$80", W1748&lt;=100, "81 - R$100",W1748&lt;=120, "101 - R$120",W1748&lt;=140, "121 - R$140", W1748&lt;=160, "141- R$160", W1748&lt;=180, "161 - R$180", W1748&lt;=200, "181-R$194")</f>
        <v>até R$20</v>
      </c>
      <c r="Y1748" s="17">
        <v>11</v>
      </c>
      <c r="Z1748" s="17">
        <v>19</v>
      </c>
      <c r="AA1748" s="17">
        <v>3</v>
      </c>
      <c r="AB1748" s="17">
        <v>15</v>
      </c>
      <c r="AC1748" s="17">
        <v>2</v>
      </c>
      <c r="AD1748" s="17">
        <v>2</v>
      </c>
      <c r="AE1748" s="17">
        <v>0</v>
      </c>
      <c r="AF1748" s="17">
        <v>3</v>
      </c>
      <c r="AG1748" s="17">
        <v>6</v>
      </c>
      <c r="AH1748" s="17">
        <v>0</v>
      </c>
      <c r="AI1748" s="17">
        <v>0</v>
      </c>
      <c r="AJ1748" s="17">
        <v>0</v>
      </c>
      <c r="AK1748" s="17">
        <v>0</v>
      </c>
      <c r="AL1748" s="17">
        <v>0</v>
      </c>
      <c r="AM1748" s="17">
        <v>0</v>
      </c>
      <c r="AN1748" s="17">
        <v>0</v>
      </c>
      <c r="AO1748" s="18">
        <v>0</v>
      </c>
      <c r="AP1748" s="17">
        <v>3</v>
      </c>
      <c r="AQ1748" s="17">
        <v>11</v>
      </c>
      <c r="AR1748" s="19">
        <v>29</v>
      </c>
      <c r="AS1748" s="19">
        <v>44</v>
      </c>
    </row>
    <row r="1749" spans="1:45" x14ac:dyDescent="0.25">
      <c r="A1749">
        <v>802</v>
      </c>
      <c r="B1749" s="11">
        <f t="shared" si="27"/>
        <v>22063</v>
      </c>
      <c r="C1749" s="12">
        <v>220630</v>
      </c>
      <c r="D1749" s="13">
        <v>1</v>
      </c>
      <c r="E1749" s="13">
        <v>0</v>
      </c>
      <c r="F1749" s="13">
        <v>43</v>
      </c>
      <c r="G1749" s="13">
        <v>48</v>
      </c>
      <c r="H1749" s="13" t="str" cm="1">
        <f t="array" ref="H1749">_xlfn.IFS(G1749&lt;=20,"0-20",G1749&lt;=30,"20-30",G1749&lt;=40,"30-40",G1749&lt;=50,"50-60",G1749&lt;=60,"60-70",G1749&lt;=70,"70-80",G1749&lt;=80,"80-90")</f>
        <v>50-60</v>
      </c>
      <c r="I1749" s="13">
        <v>2484</v>
      </c>
      <c r="J1749" s="13" t="str" cm="1">
        <f t="array" ref="J1749">_xlfn.IFS(K1749=1,"Divorciado",L1749=1,"Casado",M1749=1,"Solteiro",N1749=1,"Juntos",O1749=1,"Viuvo")</f>
        <v>Casado</v>
      </c>
      <c r="K1749" s="13">
        <v>0</v>
      </c>
      <c r="L1749" s="13">
        <v>1</v>
      </c>
      <c r="M1749" s="13">
        <v>0</v>
      </c>
      <c r="N1749" s="13">
        <v>0</v>
      </c>
      <c r="O1749" s="13">
        <v>0</v>
      </c>
      <c r="P1749" s="13">
        <v>0</v>
      </c>
      <c r="Q1749" s="13">
        <v>0</v>
      </c>
      <c r="R1749" s="13">
        <v>1</v>
      </c>
      <c r="S1749" s="13">
        <v>0</v>
      </c>
      <c r="T1749" s="13">
        <v>0</v>
      </c>
      <c r="U1749" s="13">
        <v>7</v>
      </c>
      <c r="V1749" s="13" t="str" cm="1">
        <f t="array" ref="V1749">_xlfn.IFS(U1749&lt;=250,"0-R$250",U1749&lt;=500,"251-R$500",U1749&lt;=750,"501-R$750",U1749&lt;=1000,"751-R$1000",U1749&lt;=1250,"1001-R$1250",U1749&lt;=1500,"1251-R$1500")</f>
        <v>0-R$250</v>
      </c>
      <c r="W1749" s="13">
        <v>10</v>
      </c>
      <c r="X1749" s="13" t="str" cm="1">
        <f t="array" ref="X1749">_xlfn.IFS(W1749 = 0, "0", W1749&lt;=20, "até R$20",W1749&lt;=40, "21 - R$40",W1749&lt;=60, "41- R$60",W1749&lt;=80, "61 - R$80", W1749&lt;=100, "81 - R$100",W1749&lt;=120, "101 - R$120",W1749&lt;=140, "121 - R$140", W1749&lt;=160, "141- R$160", W1749&lt;=180, "161 - R$180", W1749&lt;=200, "181-R$194")</f>
        <v>até R$20</v>
      </c>
      <c r="Y1749" s="13">
        <v>13</v>
      </c>
      <c r="Z1749" s="13">
        <v>3</v>
      </c>
      <c r="AA1749" s="13">
        <v>11</v>
      </c>
      <c r="AB1749" s="13">
        <v>11</v>
      </c>
      <c r="AC1749" s="13">
        <v>2</v>
      </c>
      <c r="AD1749" s="13">
        <v>2</v>
      </c>
      <c r="AE1749" s="13">
        <v>0</v>
      </c>
      <c r="AF1749" s="13">
        <v>3</v>
      </c>
      <c r="AG1749" s="13">
        <v>7</v>
      </c>
      <c r="AH1749" s="13">
        <v>0</v>
      </c>
      <c r="AI1749" s="13">
        <v>0</v>
      </c>
      <c r="AJ1749" s="13">
        <v>0</v>
      </c>
      <c r="AK1749" s="13">
        <v>0</v>
      </c>
      <c r="AL1749" s="13">
        <v>0</v>
      </c>
      <c r="AM1749" s="13">
        <v>0</v>
      </c>
      <c r="AN1749" s="13">
        <v>0</v>
      </c>
      <c r="AO1749" s="14">
        <v>0</v>
      </c>
      <c r="AP1749" s="13">
        <v>3</v>
      </c>
      <c r="AQ1749" s="13">
        <v>11</v>
      </c>
      <c r="AR1749" s="15">
        <v>33</v>
      </c>
      <c r="AS1749" s="15">
        <v>44</v>
      </c>
    </row>
    <row r="1750" spans="1:45" x14ac:dyDescent="0.25">
      <c r="A1750">
        <v>916</v>
      </c>
      <c r="B1750" s="11">
        <f t="shared" si="27"/>
        <v>32892</v>
      </c>
      <c r="C1750" s="12">
        <v>328920</v>
      </c>
      <c r="D1750" s="13">
        <v>1</v>
      </c>
      <c r="E1750" s="13">
        <v>0</v>
      </c>
      <c r="F1750" s="13">
        <v>78</v>
      </c>
      <c r="G1750" s="13">
        <v>49</v>
      </c>
      <c r="H1750" s="13" t="str" cm="1">
        <f t="array" ref="H1750">_xlfn.IFS(G1750&lt;=20,"0-20",G1750&lt;=30,"20-30",G1750&lt;=40,"30-40",G1750&lt;=50,"50-60",G1750&lt;=60,"60-70",G1750&lt;=70,"70-80",G1750&lt;=80,"80-90")</f>
        <v>50-60</v>
      </c>
      <c r="I1750" s="13">
        <v>2194</v>
      </c>
      <c r="J1750" s="13" t="str" cm="1">
        <f t="array" ref="J1750">_xlfn.IFS(K1750=1,"Divorciado",L1750=1,"Casado",M1750=1,"Solteiro",N1750=1,"Juntos",O1750=1,"Viuvo")</f>
        <v>Juntos</v>
      </c>
      <c r="K1750" s="13">
        <v>0</v>
      </c>
      <c r="L1750" s="13">
        <v>0</v>
      </c>
      <c r="M1750" s="13">
        <v>0</v>
      </c>
      <c r="N1750" s="13">
        <v>1</v>
      </c>
      <c r="O1750" s="13">
        <v>0</v>
      </c>
      <c r="P1750" s="13">
        <v>0</v>
      </c>
      <c r="Q1750" s="13">
        <v>0</v>
      </c>
      <c r="R1750" s="13">
        <v>0</v>
      </c>
      <c r="S1750" s="13">
        <v>0</v>
      </c>
      <c r="T1750" s="13">
        <v>1</v>
      </c>
      <c r="U1750" s="13">
        <v>26</v>
      </c>
      <c r="V1750" s="13" t="str" cm="1">
        <f t="array" ref="V1750">_xlfn.IFS(U1750&lt;=250,"0-R$250",U1750&lt;=500,"251-R$500",U1750&lt;=750,"501-R$750",U1750&lt;=1000,"751-R$1000",U1750&lt;=1250,"1001-R$1250",U1750&lt;=1500,"1251-R$1500")</f>
        <v>0-R$250</v>
      </c>
      <c r="W1750" s="13">
        <v>0</v>
      </c>
      <c r="X1750" s="13" t="str" cm="1">
        <f t="array" ref="X1750">_xlfn.IFS(W1750 = 0, "0", W1750&lt;=20, "até R$20",W1750&lt;=40, "21 - R$40",W1750&lt;=60, "41- R$60",W1750&lt;=80, "61 - R$80", W1750&lt;=100, "81 - R$100",W1750&lt;=120, "101 - R$120",W1750&lt;=140, "121 - R$140", W1750&lt;=160, "141- R$160", W1750&lt;=180, "161 - R$180", W1750&lt;=200, "181-R$194")</f>
        <v>0</v>
      </c>
      <c r="Y1750" s="13">
        <v>15</v>
      </c>
      <c r="Z1750" s="13">
        <v>2</v>
      </c>
      <c r="AA1750" s="13">
        <v>1</v>
      </c>
      <c r="AB1750" s="13">
        <v>2</v>
      </c>
      <c r="AC1750" s="13">
        <v>2</v>
      </c>
      <c r="AD1750" s="13">
        <v>3</v>
      </c>
      <c r="AE1750" s="13">
        <v>0</v>
      </c>
      <c r="AF1750" s="13">
        <v>3</v>
      </c>
      <c r="AG1750" s="13">
        <v>8</v>
      </c>
      <c r="AH1750" s="13">
        <v>0</v>
      </c>
      <c r="AI1750" s="13">
        <v>0</v>
      </c>
      <c r="AJ1750" s="13">
        <v>0</v>
      </c>
      <c r="AK1750" s="13">
        <v>0</v>
      </c>
      <c r="AL1750" s="13">
        <v>0</v>
      </c>
      <c r="AM1750" s="13">
        <v>0</v>
      </c>
      <c r="AN1750" s="13">
        <v>0</v>
      </c>
      <c r="AO1750" s="14">
        <v>0</v>
      </c>
      <c r="AP1750" s="13">
        <v>3</v>
      </c>
      <c r="AQ1750" s="13">
        <v>11</v>
      </c>
      <c r="AR1750" s="15">
        <v>42</v>
      </c>
      <c r="AS1750" s="15">
        <v>44</v>
      </c>
    </row>
    <row r="1751" spans="1:45" x14ac:dyDescent="0.25">
      <c r="A1751">
        <v>1051</v>
      </c>
      <c r="B1751" s="11">
        <f t="shared" si="27"/>
        <v>32892</v>
      </c>
      <c r="C1751" s="16">
        <v>328920</v>
      </c>
      <c r="D1751" s="17">
        <v>1</v>
      </c>
      <c r="E1751" s="17">
        <v>0</v>
      </c>
      <c r="F1751" s="17">
        <v>78</v>
      </c>
      <c r="G1751" s="17">
        <v>49</v>
      </c>
      <c r="H1751" s="13" t="str" cm="1">
        <f t="array" ref="H1751">_xlfn.IFS(G1751&lt;=20,"0-20",G1751&lt;=30,"20-30",G1751&lt;=40,"30-40",G1751&lt;=50,"50-60",G1751&lt;=60,"60-70",G1751&lt;=70,"70-80",G1751&lt;=80,"80-90")</f>
        <v>50-60</v>
      </c>
      <c r="I1751" s="17">
        <v>2194</v>
      </c>
      <c r="J1751" s="13" t="str" cm="1">
        <f t="array" ref="J1751">_xlfn.IFS(K1751=1,"Divorciado",L1751=1,"Casado",M1751=1,"Solteiro",N1751=1,"Juntos",O1751=1,"Viuvo")</f>
        <v>Juntos</v>
      </c>
      <c r="K1751" s="17">
        <v>0</v>
      </c>
      <c r="L1751" s="17">
        <v>0</v>
      </c>
      <c r="M1751" s="17">
        <v>0</v>
      </c>
      <c r="N1751" s="17">
        <v>1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1</v>
      </c>
      <c r="U1751" s="17">
        <v>26</v>
      </c>
      <c r="V1751" s="13" t="str" cm="1">
        <f t="array" ref="V1751">_xlfn.IFS(U1751&lt;=250,"0-R$250",U1751&lt;=500,"251-R$500",U1751&lt;=750,"501-R$750",U1751&lt;=1000,"751-R$1000",U1751&lt;=1250,"1001-R$1250",U1751&lt;=1500,"1251-R$1500")</f>
        <v>0-R$250</v>
      </c>
      <c r="W1751" s="17">
        <v>0</v>
      </c>
      <c r="X1751" s="13" t="str" cm="1">
        <f t="array" ref="X1751">_xlfn.IFS(W1751 = 0, "0", W1751&lt;=20, "até R$20",W1751&lt;=40, "21 - R$40",W1751&lt;=60, "41- R$60",W1751&lt;=80, "61 - R$80", W1751&lt;=100, "81 - R$100",W1751&lt;=120, "101 - R$120",W1751&lt;=140, "121 - R$140", W1751&lt;=160, "141- R$160", W1751&lt;=180, "161 - R$180", W1751&lt;=200, "181-R$194")</f>
        <v>0</v>
      </c>
      <c r="Y1751" s="17">
        <v>15</v>
      </c>
      <c r="Z1751" s="17">
        <v>2</v>
      </c>
      <c r="AA1751" s="17">
        <v>1</v>
      </c>
      <c r="AB1751" s="17">
        <v>2</v>
      </c>
      <c r="AC1751" s="17">
        <v>2</v>
      </c>
      <c r="AD1751" s="17">
        <v>3</v>
      </c>
      <c r="AE1751" s="17">
        <v>0</v>
      </c>
      <c r="AF1751" s="17">
        <v>3</v>
      </c>
      <c r="AG1751" s="17">
        <v>8</v>
      </c>
      <c r="AH1751" s="17">
        <v>0</v>
      </c>
      <c r="AI1751" s="17">
        <v>0</v>
      </c>
      <c r="AJ1751" s="17">
        <v>0</v>
      </c>
      <c r="AK1751" s="17">
        <v>0</v>
      </c>
      <c r="AL1751" s="17">
        <v>0</v>
      </c>
      <c r="AM1751" s="17">
        <v>0</v>
      </c>
      <c r="AN1751" s="17">
        <v>0</v>
      </c>
      <c r="AO1751" s="18">
        <v>0</v>
      </c>
      <c r="AP1751" s="17">
        <v>3</v>
      </c>
      <c r="AQ1751" s="17">
        <v>11</v>
      </c>
      <c r="AR1751" s="19">
        <v>42</v>
      </c>
      <c r="AS1751" s="19">
        <v>44</v>
      </c>
    </row>
    <row r="1752" spans="1:45" x14ac:dyDescent="0.25">
      <c r="A1752">
        <v>1095</v>
      </c>
      <c r="B1752" s="11">
        <f t="shared" si="27"/>
        <v>16269</v>
      </c>
      <c r="C1752" s="16">
        <v>162690</v>
      </c>
      <c r="D1752" s="17">
        <v>1</v>
      </c>
      <c r="E1752" s="17">
        <v>0</v>
      </c>
      <c r="F1752" s="17">
        <v>75</v>
      </c>
      <c r="G1752" s="17">
        <v>36</v>
      </c>
      <c r="H1752" s="13" t="str" cm="1">
        <f t="array" ref="H1752">_xlfn.IFS(G1752&lt;=20,"0-20",G1752&lt;=30,"20-30",G1752&lt;=40,"30-40",G1752&lt;=50,"50-60",G1752&lt;=60,"60-70",G1752&lt;=70,"70-80",G1752&lt;=80,"80-90")</f>
        <v>30-40</v>
      </c>
      <c r="I1752" s="17">
        <v>2462</v>
      </c>
      <c r="J1752" s="13" t="str" cm="1">
        <f t="array" ref="J1752">_xlfn.IFS(K1752=1,"Divorciado",L1752=1,"Casado",M1752=1,"Solteiro",N1752=1,"Juntos",O1752=1,"Viuvo")</f>
        <v>Solteiro</v>
      </c>
      <c r="K1752" s="17">
        <v>0</v>
      </c>
      <c r="L1752" s="17">
        <v>0</v>
      </c>
      <c r="M1752" s="17">
        <v>1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1</v>
      </c>
      <c r="U1752" s="17">
        <v>19</v>
      </c>
      <c r="V1752" s="13" t="str" cm="1">
        <f t="array" ref="V1752">_xlfn.IFS(U1752&lt;=250,"0-R$250",U1752&lt;=500,"251-R$500",U1752&lt;=750,"501-R$750",U1752&lt;=1000,"751-R$1000",U1752&lt;=1250,"1001-R$1250",U1752&lt;=1500,"1251-R$1500")</f>
        <v>0-R$250</v>
      </c>
      <c r="W1752" s="17">
        <v>3</v>
      </c>
      <c r="X1752" s="13" t="str" cm="1">
        <f t="array" ref="X1752">_xlfn.IFS(W1752 = 0, "0", W1752&lt;=20, "até R$20",W1752&lt;=40, "21 - R$40",W1752&lt;=60, "41- R$60",W1752&lt;=80, "61 - R$80", W1752&lt;=100, "81 - R$100",W1752&lt;=120, "101 - R$120",W1752&lt;=140, "121 - R$140", W1752&lt;=160, "141- R$160", W1752&lt;=180, "161 - R$180", W1752&lt;=200, "181-R$194")</f>
        <v>até R$20</v>
      </c>
      <c r="Y1752" s="17">
        <v>18</v>
      </c>
      <c r="Z1752" s="17">
        <v>3</v>
      </c>
      <c r="AA1752" s="17">
        <v>1</v>
      </c>
      <c r="AB1752" s="17">
        <v>0</v>
      </c>
      <c r="AC1752" s="17">
        <v>3</v>
      </c>
      <c r="AD1752" s="17">
        <v>3</v>
      </c>
      <c r="AE1752" s="17">
        <v>0</v>
      </c>
      <c r="AF1752" s="17">
        <v>3</v>
      </c>
      <c r="AG1752" s="17">
        <v>8</v>
      </c>
      <c r="AH1752" s="17">
        <v>0</v>
      </c>
      <c r="AI1752" s="17">
        <v>0</v>
      </c>
      <c r="AJ1752" s="17">
        <v>0</v>
      </c>
      <c r="AK1752" s="17">
        <v>0</v>
      </c>
      <c r="AL1752" s="17">
        <v>0</v>
      </c>
      <c r="AM1752" s="17">
        <v>0</v>
      </c>
      <c r="AN1752" s="17">
        <v>0</v>
      </c>
      <c r="AO1752" s="18">
        <v>0</v>
      </c>
      <c r="AP1752" s="17">
        <v>3</v>
      </c>
      <c r="AQ1752" s="17">
        <v>11</v>
      </c>
      <c r="AR1752" s="19">
        <v>44</v>
      </c>
      <c r="AS1752" s="19">
        <v>44</v>
      </c>
    </row>
    <row r="1753" spans="1:45" x14ac:dyDescent="0.25">
      <c r="A1753">
        <v>1268</v>
      </c>
      <c r="B1753" s="11">
        <f t="shared" si="27"/>
        <v>46831</v>
      </c>
      <c r="C1753" s="12">
        <v>468310</v>
      </c>
      <c r="D1753" s="13">
        <v>1</v>
      </c>
      <c r="E1753" s="13">
        <v>1</v>
      </c>
      <c r="F1753" s="13">
        <v>84</v>
      </c>
      <c r="G1753" s="13">
        <v>51</v>
      </c>
      <c r="H1753" s="13" t="str" cm="1">
        <f t="array" ref="H1753">_xlfn.IFS(G1753&lt;=20,"0-20",G1753&lt;=30,"20-30",G1753&lt;=40,"30-40",G1753&lt;=50,"50-60",G1753&lt;=60,"60-70",G1753&lt;=70,"70-80",G1753&lt;=80,"80-90")</f>
        <v>60-70</v>
      </c>
      <c r="I1753" s="13">
        <v>2545</v>
      </c>
      <c r="J1753" s="13" t="str" cm="1">
        <f t="array" ref="J1753">_xlfn.IFS(K1753=1,"Divorciado",L1753=1,"Casado",M1753=1,"Solteiro",N1753=1,"Juntos",O1753=1,"Viuvo")</f>
        <v>Casado</v>
      </c>
      <c r="K1753" s="13">
        <v>0</v>
      </c>
      <c r="L1753" s="13">
        <v>1</v>
      </c>
      <c r="M1753" s="13">
        <v>0</v>
      </c>
      <c r="N1753" s="13">
        <v>0</v>
      </c>
      <c r="O1753" s="13">
        <v>0</v>
      </c>
      <c r="P1753" s="13">
        <v>1</v>
      </c>
      <c r="Q1753" s="13">
        <v>0</v>
      </c>
      <c r="R1753" s="13">
        <v>0</v>
      </c>
      <c r="S1753" s="13">
        <v>0</v>
      </c>
      <c r="T1753" s="13">
        <v>0</v>
      </c>
      <c r="U1753" s="13">
        <v>22</v>
      </c>
      <c r="V1753" s="13" t="str" cm="1">
        <f t="array" ref="V1753">_xlfn.IFS(U1753&lt;=250,"0-R$250",U1753&lt;=500,"251-R$500",U1753&lt;=750,"501-R$750",U1753&lt;=1000,"751-R$1000",U1753&lt;=1250,"1001-R$1250",U1753&lt;=1500,"1251-R$1500")</f>
        <v>0-R$250</v>
      </c>
      <c r="W1753" s="13">
        <v>2</v>
      </c>
      <c r="X1753" s="13" t="str" cm="1">
        <f t="array" ref="X1753">_xlfn.IFS(W1753 = 0, "0", W1753&lt;=20, "até R$20",W1753&lt;=40, "21 - R$40",W1753&lt;=60, "41- R$60",W1753&lt;=80, "61 - R$80", W1753&lt;=100, "81 - R$100",W1753&lt;=120, "101 - R$120",W1753&lt;=140, "121 - R$140", W1753&lt;=160, "141- R$160", W1753&lt;=180, "161 - R$180", W1753&lt;=200, "181-R$194")</f>
        <v>até R$20</v>
      </c>
      <c r="Y1753" s="13">
        <v>10</v>
      </c>
      <c r="Z1753" s="13">
        <v>6</v>
      </c>
      <c r="AA1753" s="13">
        <v>4</v>
      </c>
      <c r="AB1753" s="13">
        <v>34</v>
      </c>
      <c r="AC1753" s="13">
        <v>2</v>
      </c>
      <c r="AD1753" s="13">
        <v>1</v>
      </c>
      <c r="AE1753" s="13">
        <v>2</v>
      </c>
      <c r="AF1753" s="13">
        <v>2</v>
      </c>
      <c r="AG1753" s="13">
        <v>4</v>
      </c>
      <c r="AH1753" s="13">
        <v>0</v>
      </c>
      <c r="AI1753" s="13">
        <v>0</v>
      </c>
      <c r="AJ1753" s="13">
        <v>0</v>
      </c>
      <c r="AK1753" s="13">
        <v>0</v>
      </c>
      <c r="AL1753" s="13">
        <v>0</v>
      </c>
      <c r="AM1753" s="13">
        <v>0</v>
      </c>
      <c r="AN1753" s="13">
        <v>0</v>
      </c>
      <c r="AO1753" s="14">
        <v>0</v>
      </c>
      <c r="AP1753" s="13">
        <v>3</v>
      </c>
      <c r="AQ1753" s="13">
        <v>11</v>
      </c>
      <c r="AR1753" s="15">
        <v>10</v>
      </c>
      <c r="AS1753" s="15">
        <v>44</v>
      </c>
    </row>
    <row r="1754" spans="1:45" x14ac:dyDescent="0.25">
      <c r="A1754">
        <v>1394</v>
      </c>
      <c r="B1754" s="11">
        <f t="shared" si="27"/>
        <v>36026</v>
      </c>
      <c r="C1754" s="12">
        <v>360260</v>
      </c>
      <c r="D1754" s="13">
        <v>2</v>
      </c>
      <c r="E1754" s="13">
        <v>1</v>
      </c>
      <c r="F1754" s="13">
        <v>34</v>
      </c>
      <c r="G1754" s="13">
        <v>48</v>
      </c>
      <c r="H1754" s="13" t="str" cm="1">
        <f t="array" ref="H1754">_xlfn.IFS(G1754&lt;=20,"0-20",G1754&lt;=30,"20-30",G1754&lt;=40,"30-40",G1754&lt;=50,"50-60",G1754&lt;=60,"60-70",G1754&lt;=70,"70-80",G1754&lt;=80,"80-90")</f>
        <v>50-60</v>
      </c>
      <c r="I1754" s="13">
        <v>2264</v>
      </c>
      <c r="J1754" s="13" t="str" cm="1">
        <f t="array" ref="J1754">_xlfn.IFS(K1754=1,"Divorciado",L1754=1,"Casado",M1754=1,"Solteiro",N1754=1,"Juntos",O1754=1,"Viuvo")</f>
        <v>Casado</v>
      </c>
      <c r="K1754" s="13">
        <v>0</v>
      </c>
      <c r="L1754" s="13">
        <v>1</v>
      </c>
      <c r="M1754" s="13">
        <v>0</v>
      </c>
      <c r="N1754" s="13">
        <v>0</v>
      </c>
      <c r="O1754" s="13">
        <v>0</v>
      </c>
      <c r="P1754" s="13">
        <v>0</v>
      </c>
      <c r="Q1754" s="13">
        <v>0</v>
      </c>
      <c r="R1754" s="13">
        <v>1</v>
      </c>
      <c r="S1754" s="13">
        <v>0</v>
      </c>
      <c r="T1754" s="13">
        <v>0</v>
      </c>
      <c r="U1754" s="13">
        <v>20</v>
      </c>
      <c r="V1754" s="13" t="str" cm="1">
        <f t="array" ref="V1754">_xlfn.IFS(U1754&lt;=250,"0-R$250",U1754&lt;=500,"251-R$500",U1754&lt;=750,"501-R$750",U1754&lt;=1000,"751-R$1000",U1754&lt;=1250,"1001-R$1250",U1754&lt;=1500,"1251-R$1500")</f>
        <v>0-R$250</v>
      </c>
      <c r="W1754" s="13">
        <v>4</v>
      </c>
      <c r="X1754" s="13" t="str" cm="1">
        <f t="array" ref="X1754">_xlfn.IFS(W1754 = 0, "0", W1754&lt;=20, "até R$20",W1754&lt;=40, "21 - R$40",W1754&lt;=60, "41- R$60",W1754&lt;=80, "61 - R$80", W1754&lt;=100, "81 - R$100",W1754&lt;=120, "101 - R$120",W1754&lt;=140, "121 - R$140", W1754&lt;=160, "141- R$160", W1754&lt;=180, "161 - R$180", W1754&lt;=200, "181-R$194")</f>
        <v>até R$20</v>
      </c>
      <c r="Y1754" s="13">
        <v>10</v>
      </c>
      <c r="Z1754" s="13">
        <v>6</v>
      </c>
      <c r="AA1754" s="13">
        <v>4</v>
      </c>
      <c r="AB1754" s="13">
        <v>17</v>
      </c>
      <c r="AC1754" s="13">
        <v>2</v>
      </c>
      <c r="AD1754" s="13">
        <v>2</v>
      </c>
      <c r="AE1754" s="13">
        <v>0</v>
      </c>
      <c r="AF1754" s="13">
        <v>3</v>
      </c>
      <c r="AG1754" s="13">
        <v>6</v>
      </c>
      <c r="AH1754" s="13">
        <v>0</v>
      </c>
      <c r="AI1754" s="13">
        <v>0</v>
      </c>
      <c r="AJ1754" s="13">
        <v>0</v>
      </c>
      <c r="AK1754" s="13">
        <v>0</v>
      </c>
      <c r="AL1754" s="13">
        <v>0</v>
      </c>
      <c r="AM1754" s="13">
        <v>0</v>
      </c>
      <c r="AN1754" s="13">
        <v>0</v>
      </c>
      <c r="AO1754" s="14">
        <v>0</v>
      </c>
      <c r="AP1754" s="13">
        <v>3</v>
      </c>
      <c r="AQ1754" s="13">
        <v>11</v>
      </c>
      <c r="AR1754" s="15">
        <v>27</v>
      </c>
      <c r="AS1754" s="15">
        <v>44</v>
      </c>
    </row>
    <row r="1755" spans="1:45" x14ac:dyDescent="0.25">
      <c r="A1755">
        <v>1587</v>
      </c>
      <c r="B1755" s="11">
        <f t="shared" si="27"/>
        <v>12393</v>
      </c>
      <c r="C1755" s="16">
        <v>123930</v>
      </c>
      <c r="D1755" s="17">
        <v>0</v>
      </c>
      <c r="E1755" s="17">
        <v>0</v>
      </c>
      <c r="F1755" s="17">
        <v>38</v>
      </c>
      <c r="G1755" s="17">
        <v>42</v>
      </c>
      <c r="H1755" s="13" t="str" cm="1">
        <f t="array" ref="H1755">_xlfn.IFS(G1755&lt;=20,"0-20",G1755&lt;=30,"20-30",G1755&lt;=40,"30-40",G1755&lt;=50,"50-60",G1755&lt;=60,"60-70",G1755&lt;=70,"70-80",G1755&lt;=80,"80-90")</f>
        <v>50-60</v>
      </c>
      <c r="I1755" s="17">
        <v>2731</v>
      </c>
      <c r="J1755" s="13" t="str" cm="1">
        <f t="array" ref="J1755">_xlfn.IFS(K1755=1,"Divorciado",L1755=1,"Casado",M1755=1,"Solteiro",N1755=1,"Juntos",O1755=1,"Viuvo")</f>
        <v>Casado</v>
      </c>
      <c r="K1755" s="17">
        <v>0</v>
      </c>
      <c r="L1755" s="17">
        <v>1</v>
      </c>
      <c r="M1755" s="17">
        <v>0</v>
      </c>
      <c r="N1755" s="17">
        <v>0</v>
      </c>
      <c r="O1755" s="17">
        <v>0</v>
      </c>
      <c r="P1755" s="17">
        <v>1</v>
      </c>
      <c r="Q1755" s="17">
        <v>0</v>
      </c>
      <c r="R1755" s="17">
        <v>0</v>
      </c>
      <c r="S1755" s="17">
        <v>0</v>
      </c>
      <c r="T1755" s="17">
        <v>0</v>
      </c>
      <c r="U1755" s="17">
        <v>5</v>
      </c>
      <c r="V1755" s="13" t="str" cm="1">
        <f t="array" ref="V1755">_xlfn.IFS(U1755&lt;=250,"0-R$250",U1755&lt;=500,"251-R$500",U1755&lt;=750,"501-R$750",U1755&lt;=1000,"751-R$1000",U1755&lt;=1250,"1001-R$1250",U1755&lt;=1500,"1251-R$1500")</f>
        <v>0-R$250</v>
      </c>
      <c r="W1755" s="17">
        <v>6</v>
      </c>
      <c r="X1755" s="13" t="str" cm="1">
        <f t="array" ref="X1755">_xlfn.IFS(W1755 = 0, "0", W1755&lt;=20, "até R$20",W1755&lt;=40, "21 - R$40",W1755&lt;=60, "41- R$60",W1755&lt;=80, "61 - R$80", W1755&lt;=100, "81 - R$100",W1755&lt;=120, "101 - R$120",W1755&lt;=140, "121 - R$140", W1755&lt;=160, "141- R$160", W1755&lt;=180, "161 - R$180", W1755&lt;=200, "181-R$194")</f>
        <v>até R$20</v>
      </c>
      <c r="Y1755" s="17">
        <v>15</v>
      </c>
      <c r="Z1755" s="17">
        <v>11</v>
      </c>
      <c r="AA1755" s="17">
        <v>7</v>
      </c>
      <c r="AB1755" s="17">
        <v>13</v>
      </c>
      <c r="AC1755" s="17">
        <v>1</v>
      </c>
      <c r="AD1755" s="17">
        <v>2</v>
      </c>
      <c r="AE1755" s="17">
        <v>0</v>
      </c>
      <c r="AF1755" s="17">
        <v>3</v>
      </c>
      <c r="AG1755" s="17">
        <v>9</v>
      </c>
      <c r="AH1755" s="17">
        <v>0</v>
      </c>
      <c r="AI1755" s="17">
        <v>0</v>
      </c>
      <c r="AJ1755" s="17">
        <v>0</v>
      </c>
      <c r="AK1755" s="17">
        <v>0</v>
      </c>
      <c r="AL1755" s="17">
        <v>0</v>
      </c>
      <c r="AM1755" s="17">
        <v>0</v>
      </c>
      <c r="AN1755" s="17">
        <v>0</v>
      </c>
      <c r="AO1755" s="18">
        <v>0</v>
      </c>
      <c r="AP1755" s="17">
        <v>3</v>
      </c>
      <c r="AQ1755" s="17">
        <v>11</v>
      </c>
      <c r="AR1755" s="19">
        <v>31</v>
      </c>
      <c r="AS1755" s="19">
        <v>44</v>
      </c>
    </row>
    <row r="1756" spans="1:45" x14ac:dyDescent="0.25">
      <c r="A1756">
        <v>1604</v>
      </c>
      <c r="B1756" s="11">
        <f t="shared" si="27"/>
        <v>19444</v>
      </c>
      <c r="C1756" s="12">
        <v>194440</v>
      </c>
      <c r="D1756" s="13">
        <v>1</v>
      </c>
      <c r="E1756" s="13">
        <v>0</v>
      </c>
      <c r="F1756" s="13">
        <v>8</v>
      </c>
      <c r="G1756" s="13">
        <v>38</v>
      </c>
      <c r="H1756" s="13" t="str" cm="1">
        <f t="array" ref="H1756">_xlfn.IFS(G1756&lt;=20,"0-20",G1756&lt;=30,"20-30",G1756&lt;=40,"30-40",G1756&lt;=50,"50-60",G1756&lt;=60,"60-70",G1756&lt;=70,"70-80",G1756&lt;=80,"80-90")</f>
        <v>30-40</v>
      </c>
      <c r="I1756" s="13">
        <v>2286</v>
      </c>
      <c r="J1756" s="13" t="str" cm="1">
        <f t="array" ref="J1756">_xlfn.IFS(K1756=1,"Divorciado",L1756=1,"Casado",M1756=1,"Solteiro",N1756=1,"Juntos",O1756=1,"Viuvo")</f>
        <v>Juntos</v>
      </c>
      <c r="K1756" s="13">
        <v>0</v>
      </c>
      <c r="L1756" s="13">
        <v>0</v>
      </c>
      <c r="M1756" s="13">
        <v>0</v>
      </c>
      <c r="N1756" s="13">
        <v>1</v>
      </c>
      <c r="O1756" s="13">
        <v>0</v>
      </c>
      <c r="P1756" s="13">
        <v>0</v>
      </c>
      <c r="Q1756" s="13">
        <v>0</v>
      </c>
      <c r="R1756" s="13">
        <v>1</v>
      </c>
      <c r="S1756" s="13">
        <v>0</v>
      </c>
      <c r="T1756" s="13">
        <v>0</v>
      </c>
      <c r="U1756" s="13">
        <v>16</v>
      </c>
      <c r="V1756" s="13" t="str" cm="1">
        <f t="array" ref="V1756">_xlfn.IFS(U1756&lt;=250,"0-R$250",U1756&lt;=500,"251-R$500",U1756&lt;=750,"501-R$750",U1756&lt;=1000,"751-R$1000",U1756&lt;=1250,"1001-R$1250",U1756&lt;=1500,"1251-R$1500")</f>
        <v>0-R$250</v>
      </c>
      <c r="W1756" s="13">
        <v>0</v>
      </c>
      <c r="X1756" s="13" t="str" cm="1">
        <f t="array" ref="X1756">_xlfn.IFS(W1756 = 0, "0", W1756&lt;=20, "até R$20",W1756&lt;=40, "21 - R$40",W1756&lt;=60, "41- R$60",W1756&lt;=80, "61 - R$80", W1756&lt;=100, "81 - R$100",W1756&lt;=120, "101 - R$120",W1756&lt;=140, "121 - R$140", W1756&lt;=160, "141- R$160", W1756&lt;=180, "161 - R$180", W1756&lt;=200, "181-R$194")</f>
        <v>0</v>
      </c>
      <c r="Y1756" s="13">
        <v>23</v>
      </c>
      <c r="Z1756" s="13">
        <v>3</v>
      </c>
      <c r="AA1756" s="13">
        <v>2</v>
      </c>
      <c r="AB1756" s="13">
        <v>10</v>
      </c>
      <c r="AC1756" s="13">
        <v>3</v>
      </c>
      <c r="AD1756" s="13">
        <v>4</v>
      </c>
      <c r="AE1756" s="13">
        <v>1</v>
      </c>
      <c r="AF1756" s="13">
        <v>2</v>
      </c>
      <c r="AG1756" s="13">
        <v>7</v>
      </c>
      <c r="AH1756" s="13">
        <v>0</v>
      </c>
      <c r="AI1756" s="13">
        <v>0</v>
      </c>
      <c r="AJ1756" s="13">
        <v>0</v>
      </c>
      <c r="AK1756" s="13">
        <v>0</v>
      </c>
      <c r="AL1756" s="13">
        <v>0</v>
      </c>
      <c r="AM1756" s="13">
        <v>0</v>
      </c>
      <c r="AN1756" s="13">
        <v>1</v>
      </c>
      <c r="AO1756" s="14">
        <v>0</v>
      </c>
      <c r="AP1756" s="13">
        <v>3</v>
      </c>
      <c r="AQ1756" s="13">
        <v>11</v>
      </c>
      <c r="AR1756" s="15">
        <v>34</v>
      </c>
      <c r="AS1756" s="15">
        <v>44</v>
      </c>
    </row>
    <row r="1757" spans="1:45" x14ac:dyDescent="0.25">
      <c r="A1757">
        <v>1689</v>
      </c>
      <c r="B1757" s="11">
        <f t="shared" si="27"/>
        <v>18746</v>
      </c>
      <c r="C1757" s="16">
        <v>187460</v>
      </c>
      <c r="D1757" s="17">
        <v>1</v>
      </c>
      <c r="E1757" s="17">
        <v>0</v>
      </c>
      <c r="F1757" s="17">
        <v>41</v>
      </c>
      <c r="G1757" s="17">
        <v>28</v>
      </c>
      <c r="H1757" s="13" t="str" cm="1">
        <f t="array" ref="H1757">_xlfn.IFS(G1757&lt;=20,"0-20",G1757&lt;=30,"20-30",G1757&lt;=40,"30-40",G1757&lt;=50,"50-60",G1757&lt;=60,"60-70",G1757&lt;=70,"70-80",G1757&lt;=80,"80-90")</f>
        <v>20-30</v>
      </c>
      <c r="I1757" s="17">
        <v>2190</v>
      </c>
      <c r="J1757" s="13" t="str" cm="1">
        <f t="array" ref="J1757">_xlfn.IFS(K1757=1,"Divorciado",L1757=1,"Casado",M1757=1,"Solteiro",N1757=1,"Juntos",O1757=1,"Viuvo")</f>
        <v>Solteiro</v>
      </c>
      <c r="K1757" s="17">
        <v>0</v>
      </c>
      <c r="L1757" s="17">
        <v>0</v>
      </c>
      <c r="M1757" s="17">
        <v>1</v>
      </c>
      <c r="N1757" s="17">
        <v>0</v>
      </c>
      <c r="O1757" s="17">
        <v>0</v>
      </c>
      <c r="P1757" s="17">
        <v>0</v>
      </c>
      <c r="Q1757" s="17">
        <v>1</v>
      </c>
      <c r="R1757" s="17">
        <v>0</v>
      </c>
      <c r="S1757" s="17">
        <v>0</v>
      </c>
      <c r="T1757" s="17">
        <v>0</v>
      </c>
      <c r="U1757" s="17">
        <v>2</v>
      </c>
      <c r="V1757" s="13" t="str" cm="1">
        <f t="array" ref="V1757">_xlfn.IFS(U1757&lt;=250,"0-R$250",U1757&lt;=500,"251-R$500",U1757&lt;=750,"501-R$750",U1757&lt;=1000,"751-R$1000",U1757&lt;=1250,"1001-R$1250",U1757&lt;=1500,"1251-R$1500")</f>
        <v>0-R$250</v>
      </c>
      <c r="W1757" s="17">
        <v>10</v>
      </c>
      <c r="X1757" s="13" t="str" cm="1">
        <f t="array" ref="X1757">_xlfn.IFS(W1757 = 0, "0", W1757&lt;=20, "até R$20",W1757&lt;=40, "21 - R$40",W1757&lt;=60, "41- R$60",W1757&lt;=80, "61 - R$80", W1757&lt;=100, "81 - R$100",W1757&lt;=120, "101 - R$120",W1757&lt;=140, "121 - R$140", W1757&lt;=160, "141- R$160", W1757&lt;=180, "161 - R$180", W1757&lt;=200, "181-R$194")</f>
        <v>até R$20</v>
      </c>
      <c r="Y1757" s="17">
        <v>11</v>
      </c>
      <c r="Z1757" s="17">
        <v>12</v>
      </c>
      <c r="AA1757" s="17">
        <v>9</v>
      </c>
      <c r="AB1757" s="17">
        <v>20</v>
      </c>
      <c r="AC1757" s="17">
        <v>2</v>
      </c>
      <c r="AD1757" s="17">
        <v>3</v>
      </c>
      <c r="AE1757" s="17">
        <v>0</v>
      </c>
      <c r="AF1757" s="17">
        <v>3</v>
      </c>
      <c r="AG1757" s="17">
        <v>6</v>
      </c>
      <c r="AH1757" s="17">
        <v>0</v>
      </c>
      <c r="AI1757" s="17">
        <v>0</v>
      </c>
      <c r="AJ1757" s="17">
        <v>0</v>
      </c>
      <c r="AK1757" s="17">
        <v>0</v>
      </c>
      <c r="AL1757" s="17">
        <v>0</v>
      </c>
      <c r="AM1757" s="17">
        <v>0</v>
      </c>
      <c r="AN1757" s="17">
        <v>0</v>
      </c>
      <c r="AO1757" s="18">
        <v>0</v>
      </c>
      <c r="AP1757" s="17">
        <v>3</v>
      </c>
      <c r="AQ1757" s="17">
        <v>11</v>
      </c>
      <c r="AR1757" s="19">
        <v>24</v>
      </c>
      <c r="AS1757" s="19">
        <v>44</v>
      </c>
    </row>
    <row r="1758" spans="1:45" x14ac:dyDescent="0.25">
      <c r="A1758">
        <v>1739</v>
      </c>
      <c r="B1758" s="11">
        <f t="shared" si="27"/>
        <v>21955</v>
      </c>
      <c r="C1758" s="16">
        <v>219550</v>
      </c>
      <c r="D1758" s="17">
        <v>1</v>
      </c>
      <c r="E1758" s="17">
        <v>0</v>
      </c>
      <c r="F1758" s="17">
        <v>81</v>
      </c>
      <c r="G1758" s="17">
        <v>34</v>
      </c>
      <c r="H1758" s="13" t="str" cm="1">
        <f t="array" ref="H1758">_xlfn.IFS(G1758&lt;=20,"0-20",G1758&lt;=30,"20-30",G1758&lt;=40,"30-40",G1758&lt;=50,"50-60",G1758&lt;=60,"60-70",G1758&lt;=70,"70-80",G1758&lt;=80,"80-90")</f>
        <v>30-40</v>
      </c>
      <c r="I1758" s="17">
        <v>2454</v>
      </c>
      <c r="J1758" s="13" t="str" cm="1">
        <f t="array" ref="J1758">_xlfn.IFS(K1758=1,"Divorciado",L1758=1,"Casado",M1758=1,"Solteiro",N1758=1,"Juntos",O1758=1,"Viuvo")</f>
        <v>Casado</v>
      </c>
      <c r="K1758" s="17">
        <v>0</v>
      </c>
      <c r="L1758" s="17">
        <v>1</v>
      </c>
      <c r="M1758" s="17">
        <v>0</v>
      </c>
      <c r="N1758" s="17">
        <v>0</v>
      </c>
      <c r="O1758" s="17">
        <v>0</v>
      </c>
      <c r="P1758" s="17">
        <v>1</v>
      </c>
      <c r="Q1758" s="17">
        <v>0</v>
      </c>
      <c r="R1758" s="17">
        <v>0</v>
      </c>
      <c r="S1758" s="17">
        <v>0</v>
      </c>
      <c r="T1758" s="17">
        <v>0</v>
      </c>
      <c r="U1758" s="17">
        <v>5</v>
      </c>
      <c r="V1758" s="13" t="str" cm="1">
        <f t="array" ref="V1758">_xlfn.IFS(U1758&lt;=250,"0-R$250",U1758&lt;=500,"251-R$500",U1758&lt;=750,"501-R$750",U1758&lt;=1000,"751-R$1000",U1758&lt;=1250,"1001-R$1250",U1758&lt;=1500,"1251-R$1500")</f>
        <v>0-R$250</v>
      </c>
      <c r="W1758" s="17">
        <v>1</v>
      </c>
      <c r="X1758" s="13" t="str" cm="1">
        <f t="array" ref="X1758">_xlfn.IFS(W1758 = 0, "0", W1758&lt;=20, "até R$20",W1758&lt;=40, "21 - R$40",W1758&lt;=60, "41- R$60",W1758&lt;=80, "61 - R$80", W1758&lt;=100, "81 - R$100",W1758&lt;=120, "101 - R$120",W1758&lt;=140, "121 - R$140", W1758&lt;=160, "141- R$160", W1758&lt;=180, "161 - R$180", W1758&lt;=200, "181-R$194")</f>
        <v>até R$20</v>
      </c>
      <c r="Y1758" s="17">
        <v>7</v>
      </c>
      <c r="Z1758" s="17">
        <v>17</v>
      </c>
      <c r="AA1758" s="17">
        <v>14</v>
      </c>
      <c r="AB1758" s="17">
        <v>11</v>
      </c>
      <c r="AC1758" s="17">
        <v>2</v>
      </c>
      <c r="AD1758" s="17">
        <v>2</v>
      </c>
      <c r="AE1758" s="17">
        <v>1</v>
      </c>
      <c r="AF1758" s="17">
        <v>3</v>
      </c>
      <c r="AG1758" s="17">
        <v>6</v>
      </c>
      <c r="AH1758" s="17">
        <v>0</v>
      </c>
      <c r="AI1758" s="17">
        <v>0</v>
      </c>
      <c r="AJ1758" s="17">
        <v>0</v>
      </c>
      <c r="AK1758" s="17">
        <v>0</v>
      </c>
      <c r="AL1758" s="17">
        <v>0</v>
      </c>
      <c r="AM1758" s="17">
        <v>0</v>
      </c>
      <c r="AN1758" s="17">
        <v>0</v>
      </c>
      <c r="AO1758" s="18">
        <v>0</v>
      </c>
      <c r="AP1758" s="17">
        <v>3</v>
      </c>
      <c r="AQ1758" s="17">
        <v>11</v>
      </c>
      <c r="AR1758" s="19">
        <v>33</v>
      </c>
      <c r="AS1758" s="19">
        <v>44</v>
      </c>
    </row>
    <row r="1759" spans="1:45" x14ac:dyDescent="0.25">
      <c r="A1759">
        <v>1871</v>
      </c>
      <c r="B1759" s="11">
        <f t="shared" si="27"/>
        <v>24882</v>
      </c>
      <c r="C1759" s="16">
        <v>248820</v>
      </c>
      <c r="D1759" s="17">
        <v>1</v>
      </c>
      <c r="E1759" s="17">
        <v>0</v>
      </c>
      <c r="F1759" s="17">
        <v>52</v>
      </c>
      <c r="G1759" s="17">
        <v>42</v>
      </c>
      <c r="H1759" s="13" t="str" cm="1">
        <f t="array" ref="H1759">_xlfn.IFS(G1759&lt;=20,"0-20",G1759&lt;=30,"20-30",G1759&lt;=40,"30-40",G1759&lt;=50,"50-60",G1759&lt;=60,"60-70",G1759&lt;=70,"70-80",G1759&lt;=80,"80-90")</f>
        <v>50-60</v>
      </c>
      <c r="I1759" s="17">
        <v>2817</v>
      </c>
      <c r="J1759" s="13" t="str" cm="1">
        <f t="array" ref="J1759">_xlfn.IFS(K1759=1,"Divorciado",L1759=1,"Casado",M1759=1,"Solteiro",N1759=1,"Juntos",O1759=1,"Viuvo")</f>
        <v>Juntos</v>
      </c>
      <c r="K1759" s="17">
        <v>0</v>
      </c>
      <c r="L1759" s="17">
        <v>0</v>
      </c>
      <c r="M1759" s="17">
        <v>0</v>
      </c>
      <c r="N1759" s="17">
        <v>1</v>
      </c>
      <c r="O1759" s="17">
        <v>0</v>
      </c>
      <c r="P1759" s="17">
        <v>0</v>
      </c>
      <c r="Q1759" s="17">
        <v>1</v>
      </c>
      <c r="R1759" s="17">
        <v>0</v>
      </c>
      <c r="S1759" s="17">
        <v>0</v>
      </c>
      <c r="T1759" s="17">
        <v>0</v>
      </c>
      <c r="U1759" s="17">
        <v>1</v>
      </c>
      <c r="V1759" s="13" t="str" cm="1">
        <f t="array" ref="V1759">_xlfn.IFS(U1759&lt;=250,"0-R$250",U1759&lt;=500,"251-R$500",U1759&lt;=750,"501-R$750",U1759&lt;=1000,"751-R$1000",U1759&lt;=1250,"1001-R$1250",U1759&lt;=1500,"1251-R$1500")</f>
        <v>0-R$250</v>
      </c>
      <c r="W1759" s="17">
        <v>4</v>
      </c>
      <c r="X1759" s="13" t="str" cm="1">
        <f t="array" ref="X1759">_xlfn.IFS(W1759 = 0, "0", W1759&lt;=20, "até R$20",W1759&lt;=40, "21 - R$40",W1759&lt;=60, "41- R$60",W1759&lt;=80, "61 - R$80", W1759&lt;=100, "81 - R$100",W1759&lt;=120, "101 - R$120",W1759&lt;=140, "121 - R$140", W1759&lt;=160, "141- R$160", W1759&lt;=180, "161 - R$180", W1759&lt;=200, "181-R$194")</f>
        <v>até R$20</v>
      </c>
      <c r="Y1759" s="17">
        <v>10</v>
      </c>
      <c r="Z1759" s="17">
        <v>29</v>
      </c>
      <c r="AA1759" s="17">
        <v>0</v>
      </c>
      <c r="AB1759" s="17">
        <v>36</v>
      </c>
      <c r="AC1759" s="17">
        <v>1</v>
      </c>
      <c r="AD1759" s="17">
        <v>1</v>
      </c>
      <c r="AE1759" s="17">
        <v>1</v>
      </c>
      <c r="AF1759" s="17">
        <v>2</v>
      </c>
      <c r="AG1759" s="17">
        <v>6</v>
      </c>
      <c r="AH1759" s="17">
        <v>0</v>
      </c>
      <c r="AI1759" s="17">
        <v>1</v>
      </c>
      <c r="AJ1759" s="17">
        <v>0</v>
      </c>
      <c r="AK1759" s="17">
        <v>0</v>
      </c>
      <c r="AL1759" s="17">
        <v>0</v>
      </c>
      <c r="AM1759" s="17">
        <v>0</v>
      </c>
      <c r="AN1759" s="17">
        <v>0</v>
      </c>
      <c r="AO1759" s="18">
        <v>1</v>
      </c>
      <c r="AP1759" s="17">
        <v>3</v>
      </c>
      <c r="AQ1759" s="17">
        <v>11</v>
      </c>
      <c r="AR1759" s="19">
        <v>8</v>
      </c>
      <c r="AS1759" s="19">
        <v>44</v>
      </c>
    </row>
    <row r="1760" spans="1:45" x14ac:dyDescent="0.25">
      <c r="A1760">
        <v>1937</v>
      </c>
      <c r="B1760" s="11">
        <f t="shared" si="27"/>
        <v>44359</v>
      </c>
      <c r="C1760" s="16">
        <v>443590</v>
      </c>
      <c r="D1760" s="17">
        <v>1</v>
      </c>
      <c r="E1760" s="17">
        <v>1</v>
      </c>
      <c r="F1760" s="17">
        <v>19</v>
      </c>
      <c r="G1760" s="17">
        <v>42</v>
      </c>
      <c r="H1760" s="13" t="str" cm="1">
        <f t="array" ref="H1760">_xlfn.IFS(G1760&lt;=20,"0-20",G1760&lt;=30,"20-30",G1760&lt;=40,"30-40",G1760&lt;=50,"50-60",G1760&lt;=60,"60-70",G1760&lt;=70,"70-80",G1760&lt;=80,"80-90")</f>
        <v>50-60</v>
      </c>
      <c r="I1760" s="17">
        <v>2171</v>
      </c>
      <c r="J1760" s="13" t="str" cm="1">
        <f t="array" ref="J1760">_xlfn.IFS(K1760=1,"Divorciado",L1760=1,"Casado",M1760=1,"Solteiro",N1760=1,"Juntos",O1760=1,"Viuvo")</f>
        <v>Casado</v>
      </c>
      <c r="K1760" s="17">
        <v>0</v>
      </c>
      <c r="L1760" s="17">
        <v>1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1</v>
      </c>
      <c r="S1760" s="17">
        <v>0</v>
      </c>
      <c r="T1760" s="17">
        <v>0</v>
      </c>
      <c r="U1760" s="17">
        <v>20</v>
      </c>
      <c r="V1760" s="13" t="str" cm="1">
        <f t="array" ref="V1760">_xlfn.IFS(U1760&lt;=250,"0-R$250",U1760&lt;=500,"251-R$500",U1760&lt;=750,"501-R$750",U1760&lt;=1000,"751-R$1000",U1760&lt;=1250,"1001-R$1250",U1760&lt;=1500,"1251-R$1500")</f>
        <v>0-R$250</v>
      </c>
      <c r="W1760" s="17">
        <v>0</v>
      </c>
      <c r="X1760" s="13" t="str" cm="1">
        <f t="array" ref="X1760">_xlfn.IFS(W1760 = 0, "0", W1760&lt;=20, "até R$20",W1760&lt;=40, "21 - R$40",W1760&lt;=60, "41- R$60",W1760&lt;=80, "61 - R$80", W1760&lt;=100, "81 - R$100",W1760&lt;=120, "101 - R$120",W1760&lt;=140, "121 - R$140", W1760&lt;=160, "141- R$160", W1760&lt;=180, "161 - R$180", W1760&lt;=200, "181-R$194")</f>
        <v>0</v>
      </c>
      <c r="Y1760" s="17">
        <v>14</v>
      </c>
      <c r="Z1760" s="17">
        <v>7</v>
      </c>
      <c r="AA1760" s="17">
        <v>3</v>
      </c>
      <c r="AB1760" s="17">
        <v>1</v>
      </c>
      <c r="AC1760" s="17">
        <v>3</v>
      </c>
      <c r="AD1760" s="17">
        <v>2</v>
      </c>
      <c r="AE1760" s="17">
        <v>0</v>
      </c>
      <c r="AF1760" s="17">
        <v>4</v>
      </c>
      <c r="AG1760" s="17">
        <v>3</v>
      </c>
      <c r="AH1760" s="17">
        <v>0</v>
      </c>
      <c r="AI1760" s="17">
        <v>0</v>
      </c>
      <c r="AJ1760" s="17">
        <v>0</v>
      </c>
      <c r="AK1760" s="17">
        <v>0</v>
      </c>
      <c r="AL1760" s="17">
        <v>0</v>
      </c>
      <c r="AM1760" s="17">
        <v>0</v>
      </c>
      <c r="AN1760" s="17">
        <v>0</v>
      </c>
      <c r="AO1760" s="18">
        <v>0</v>
      </c>
      <c r="AP1760" s="17">
        <v>3</v>
      </c>
      <c r="AQ1760" s="17">
        <v>11</v>
      </c>
      <c r="AR1760" s="19">
        <v>43</v>
      </c>
      <c r="AS1760" s="19">
        <v>44</v>
      </c>
    </row>
    <row r="1761" spans="1:45" x14ac:dyDescent="0.25">
      <c r="A1761">
        <v>2007</v>
      </c>
      <c r="B1761" s="11">
        <f t="shared" si="27"/>
        <v>17649</v>
      </c>
      <c r="C1761" s="16">
        <v>176490</v>
      </c>
      <c r="D1761" s="17">
        <v>1</v>
      </c>
      <c r="E1761" s="17">
        <v>0</v>
      </c>
      <c r="F1761" s="17">
        <v>70</v>
      </c>
      <c r="G1761" s="17">
        <v>44</v>
      </c>
      <c r="H1761" s="13" t="str" cm="1">
        <f t="array" ref="H1761">_xlfn.IFS(G1761&lt;=20,"0-20",G1761&lt;=30,"20-30",G1761&lt;=40,"30-40",G1761&lt;=50,"50-60",G1761&lt;=60,"60-70",G1761&lt;=70,"70-80",G1761&lt;=80,"80-90")</f>
        <v>50-60</v>
      </c>
      <c r="I1761" s="17">
        <v>2388</v>
      </c>
      <c r="J1761" s="13" t="str" cm="1">
        <f t="array" ref="J1761">_xlfn.IFS(K1761=1,"Divorciado",L1761=1,"Casado",M1761=1,"Solteiro",N1761=1,"Juntos",O1761=1,"Viuvo")</f>
        <v>Casado</v>
      </c>
      <c r="K1761" s="17">
        <v>0</v>
      </c>
      <c r="L1761" s="17">
        <v>1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1</v>
      </c>
      <c r="S1761" s="17">
        <v>0</v>
      </c>
      <c r="T1761" s="17">
        <v>0</v>
      </c>
      <c r="U1761" s="17">
        <v>15</v>
      </c>
      <c r="V1761" s="13" t="str" cm="1">
        <f t="array" ref="V1761">_xlfn.IFS(U1761&lt;=250,"0-R$250",U1761&lt;=500,"251-R$500",U1761&lt;=750,"501-R$750",U1761&lt;=1000,"751-R$1000",U1761&lt;=1250,"1001-R$1250",U1761&lt;=1500,"1251-R$1500")</f>
        <v>0-R$250</v>
      </c>
      <c r="W1761" s="17">
        <v>1</v>
      </c>
      <c r="X1761" s="13" t="str" cm="1">
        <f t="array" ref="X1761">_xlfn.IFS(W1761 = 0, "0", W1761&lt;=20, "até R$20",W1761&lt;=40, "21 - R$40",W1761&lt;=60, "41- R$60",W1761&lt;=80, "61 - R$80", W1761&lt;=100, "81 - R$100",W1761&lt;=120, "101 - R$120",W1761&lt;=140, "121 - R$140", W1761&lt;=160, "141- R$160", W1761&lt;=180, "161 - R$180", W1761&lt;=200, "181-R$194")</f>
        <v>até R$20</v>
      </c>
      <c r="Y1761" s="17">
        <v>23</v>
      </c>
      <c r="Z1761" s="17">
        <v>0</v>
      </c>
      <c r="AA1761" s="17">
        <v>5</v>
      </c>
      <c r="AB1761" s="17">
        <v>1</v>
      </c>
      <c r="AC1761" s="17">
        <v>3</v>
      </c>
      <c r="AD1761" s="17">
        <v>3</v>
      </c>
      <c r="AE1761" s="17">
        <v>0</v>
      </c>
      <c r="AF1761" s="17">
        <v>3</v>
      </c>
      <c r="AG1761" s="17">
        <v>8</v>
      </c>
      <c r="AH1761" s="17">
        <v>0</v>
      </c>
      <c r="AI1761" s="17">
        <v>0</v>
      </c>
      <c r="AJ1761" s="17">
        <v>0</v>
      </c>
      <c r="AK1761" s="17">
        <v>0</v>
      </c>
      <c r="AL1761" s="17">
        <v>0</v>
      </c>
      <c r="AM1761" s="17">
        <v>0</v>
      </c>
      <c r="AN1761" s="17">
        <v>0</v>
      </c>
      <c r="AO1761" s="18">
        <v>0</v>
      </c>
      <c r="AP1761" s="17">
        <v>3</v>
      </c>
      <c r="AQ1761" s="17">
        <v>11</v>
      </c>
      <c r="AR1761" s="19">
        <v>43</v>
      </c>
      <c r="AS1761" s="19">
        <v>44</v>
      </c>
    </row>
    <row r="1762" spans="1:45" x14ac:dyDescent="0.25">
      <c r="A1762">
        <v>2057</v>
      </c>
      <c r="B1762" s="11">
        <f t="shared" si="27"/>
        <v>30828</v>
      </c>
      <c r="C1762" s="16">
        <v>308280</v>
      </c>
      <c r="D1762" s="17">
        <v>1</v>
      </c>
      <c r="E1762" s="17">
        <v>0</v>
      </c>
      <c r="F1762" s="17">
        <v>16</v>
      </c>
      <c r="G1762" s="17">
        <v>40</v>
      </c>
      <c r="H1762" s="13" t="str" cm="1">
        <f t="array" ref="H1762">_xlfn.IFS(G1762&lt;=20,"0-20",G1762&lt;=30,"20-30",G1762&lt;=40,"30-40",G1762&lt;=50,"50-60",G1762&lt;=60,"60-70",G1762&lt;=70,"70-80",G1762&lt;=80,"80-90")</f>
        <v>30-40</v>
      </c>
      <c r="I1762" s="17">
        <v>2427</v>
      </c>
      <c r="J1762" s="13" t="str" cm="1">
        <f t="array" ref="J1762">_xlfn.IFS(K1762=1,"Divorciado",L1762=1,"Casado",M1762=1,"Solteiro",N1762=1,"Juntos",O1762=1,"Viuvo")</f>
        <v>Solteiro</v>
      </c>
      <c r="K1762" s="17">
        <v>0</v>
      </c>
      <c r="L1762" s="17">
        <v>0</v>
      </c>
      <c r="M1762" s="17">
        <v>1</v>
      </c>
      <c r="N1762" s="17">
        <v>0</v>
      </c>
      <c r="O1762" s="17">
        <v>0</v>
      </c>
      <c r="P1762" s="17">
        <v>0</v>
      </c>
      <c r="Q1762" s="17">
        <v>0</v>
      </c>
      <c r="R1762" s="17">
        <v>1</v>
      </c>
      <c r="S1762" s="17">
        <v>0</v>
      </c>
      <c r="T1762" s="17">
        <v>0</v>
      </c>
      <c r="U1762" s="17">
        <v>16</v>
      </c>
      <c r="V1762" s="13" t="str" cm="1">
        <f t="array" ref="V1762">_xlfn.IFS(U1762&lt;=250,"0-R$250",U1762&lt;=500,"251-R$500",U1762&lt;=750,"501-R$750",U1762&lt;=1000,"751-R$1000",U1762&lt;=1250,"1001-R$1250",U1762&lt;=1500,"1251-R$1500")</f>
        <v>0-R$250</v>
      </c>
      <c r="W1762" s="17">
        <v>11</v>
      </c>
      <c r="X1762" s="13" t="str" cm="1">
        <f t="array" ref="X1762">_xlfn.IFS(W1762 = 0, "0", W1762&lt;=20, "até R$20",W1762&lt;=40, "21 - R$40",W1762&lt;=60, "41- R$60",W1762&lt;=80, "61 - R$80", W1762&lt;=100, "81 - R$100",W1762&lt;=120, "101 - R$120",W1762&lt;=140, "121 - R$140", W1762&lt;=160, "141- R$160", W1762&lt;=180, "161 - R$180", W1762&lt;=200, "181-R$194")</f>
        <v>até R$20</v>
      </c>
      <c r="Y1762" s="17">
        <v>15</v>
      </c>
      <c r="Z1762" s="17">
        <v>2</v>
      </c>
      <c r="AA1762" s="17">
        <v>0</v>
      </c>
      <c r="AB1762" s="17">
        <v>12</v>
      </c>
      <c r="AC1762" s="17">
        <v>2</v>
      </c>
      <c r="AD1762" s="17">
        <v>1</v>
      </c>
      <c r="AE1762" s="17">
        <v>1</v>
      </c>
      <c r="AF1762" s="17">
        <v>4</v>
      </c>
      <c r="AG1762" s="17">
        <v>3</v>
      </c>
      <c r="AH1762" s="17">
        <v>0</v>
      </c>
      <c r="AI1762" s="17">
        <v>0</v>
      </c>
      <c r="AJ1762" s="17">
        <v>0</v>
      </c>
      <c r="AK1762" s="17">
        <v>0</v>
      </c>
      <c r="AL1762" s="17">
        <v>0</v>
      </c>
      <c r="AM1762" s="17">
        <v>0</v>
      </c>
      <c r="AN1762" s="17">
        <v>0</v>
      </c>
      <c r="AO1762" s="18">
        <v>0</v>
      </c>
      <c r="AP1762" s="17">
        <v>3</v>
      </c>
      <c r="AQ1762" s="17">
        <v>11</v>
      </c>
      <c r="AR1762" s="19">
        <v>32</v>
      </c>
      <c r="AS1762" s="19">
        <v>44</v>
      </c>
    </row>
    <row r="1763" spans="1:45" x14ac:dyDescent="0.25">
      <c r="A1763">
        <v>2148</v>
      </c>
      <c r="B1763" s="11">
        <f t="shared" si="27"/>
        <v>26067</v>
      </c>
      <c r="C1763" s="12">
        <v>260670</v>
      </c>
      <c r="D1763" s="13">
        <v>1</v>
      </c>
      <c r="E1763" s="13">
        <v>0</v>
      </c>
      <c r="F1763" s="13">
        <v>49</v>
      </c>
      <c r="G1763" s="13">
        <v>46</v>
      </c>
      <c r="H1763" s="13" t="str" cm="1">
        <f t="array" ref="H1763">_xlfn.IFS(G1763&lt;=20,"0-20",G1763&lt;=30,"20-30",G1763&lt;=40,"30-40",G1763&lt;=50,"50-60",G1763&lt;=60,"60-70",G1763&lt;=70,"70-80",G1763&lt;=80,"80-90")</f>
        <v>50-60</v>
      </c>
      <c r="I1763" s="13">
        <v>2396</v>
      </c>
      <c r="J1763" s="13" t="str" cm="1">
        <f t="array" ref="J1763">_xlfn.IFS(K1763=1,"Divorciado",L1763=1,"Casado",M1763=1,"Solteiro",N1763=1,"Juntos",O1763=1,"Viuvo")</f>
        <v>Casado</v>
      </c>
      <c r="K1763" s="13">
        <v>0</v>
      </c>
      <c r="L1763" s="13">
        <v>1</v>
      </c>
      <c r="M1763" s="13">
        <v>0</v>
      </c>
      <c r="N1763" s="13">
        <v>0</v>
      </c>
      <c r="O1763" s="13">
        <v>0</v>
      </c>
      <c r="P1763" s="13">
        <v>0</v>
      </c>
      <c r="Q1763" s="13">
        <v>0</v>
      </c>
      <c r="R1763" s="13">
        <v>1</v>
      </c>
      <c r="S1763" s="13">
        <v>0</v>
      </c>
      <c r="T1763" s="13">
        <v>0</v>
      </c>
      <c r="U1763" s="13">
        <v>22</v>
      </c>
      <c r="V1763" s="13" t="str" cm="1">
        <f t="array" ref="V1763">_xlfn.IFS(U1763&lt;=250,"0-R$250",U1763&lt;=500,"251-R$500",U1763&lt;=750,"501-R$750",U1763&lt;=1000,"751-R$1000",U1763&lt;=1250,"1001-R$1250",U1763&lt;=1500,"1251-R$1500")</f>
        <v>0-R$250</v>
      </c>
      <c r="W1763" s="13">
        <v>2</v>
      </c>
      <c r="X1763" s="13" t="str" cm="1">
        <f t="array" ref="X1763">_xlfn.IFS(W1763 = 0, "0", W1763&lt;=20, "até R$20",W1763&lt;=40, "21 - R$40",W1763&lt;=60, "41- R$60",W1763&lt;=80, "61 - R$80", W1763&lt;=100, "81 - R$100",W1763&lt;=120, "101 - R$120",W1763&lt;=140, "121 - R$140", W1763&lt;=160, "141- R$160", W1763&lt;=180, "161 - R$180", W1763&lt;=200, "181-R$194")</f>
        <v>até R$20</v>
      </c>
      <c r="Y1763" s="13">
        <v>18</v>
      </c>
      <c r="Z1763" s="13">
        <v>0</v>
      </c>
      <c r="AA1763" s="13">
        <v>2</v>
      </c>
      <c r="AB1763" s="13">
        <v>12</v>
      </c>
      <c r="AC1763" s="13">
        <v>3</v>
      </c>
      <c r="AD1763" s="13">
        <v>3</v>
      </c>
      <c r="AE1763" s="13">
        <v>0</v>
      </c>
      <c r="AF1763" s="13">
        <v>3</v>
      </c>
      <c r="AG1763" s="13">
        <v>8</v>
      </c>
      <c r="AH1763" s="13">
        <v>0</v>
      </c>
      <c r="AI1763" s="13">
        <v>0</v>
      </c>
      <c r="AJ1763" s="13">
        <v>0</v>
      </c>
      <c r="AK1763" s="13">
        <v>0</v>
      </c>
      <c r="AL1763" s="13">
        <v>0</v>
      </c>
      <c r="AM1763" s="13">
        <v>0</v>
      </c>
      <c r="AN1763" s="13">
        <v>0</v>
      </c>
      <c r="AO1763" s="14">
        <v>0</v>
      </c>
      <c r="AP1763" s="13">
        <v>3</v>
      </c>
      <c r="AQ1763" s="13">
        <v>11</v>
      </c>
      <c r="AR1763" s="15">
        <v>32</v>
      </c>
      <c r="AS1763" s="15">
        <v>44</v>
      </c>
    </row>
    <row r="1764" spans="1:45" x14ac:dyDescent="0.25">
      <c r="A1764">
        <v>86</v>
      </c>
      <c r="B1764" s="11">
        <f t="shared" si="27"/>
        <v>23626</v>
      </c>
      <c r="C1764" s="12">
        <v>236260</v>
      </c>
      <c r="D1764" s="13">
        <v>1</v>
      </c>
      <c r="E1764" s="13">
        <v>0</v>
      </c>
      <c r="F1764" s="13">
        <v>84</v>
      </c>
      <c r="G1764" s="13">
        <v>50</v>
      </c>
      <c r="H1764" s="13" t="str" cm="1">
        <f t="array" ref="H1764">_xlfn.IFS(G1764&lt;=20,"0-20",G1764&lt;=30,"20-30",G1764&lt;=40,"30-40",G1764&lt;=50,"50-60",G1764&lt;=60,"60-70",G1764&lt;=70,"70-80",G1764&lt;=80,"80-90")</f>
        <v>50-60</v>
      </c>
      <c r="I1764" s="13">
        <v>2195</v>
      </c>
      <c r="J1764" s="13" t="str" cm="1">
        <f t="array" ref="J1764">_xlfn.IFS(K1764=1,"Divorciado",L1764=1,"Casado",M1764=1,"Solteiro",N1764=1,"Juntos",O1764=1,"Viuvo")</f>
        <v>Casado</v>
      </c>
      <c r="K1764" s="13">
        <v>0</v>
      </c>
      <c r="L1764" s="13">
        <v>1</v>
      </c>
      <c r="M1764" s="13">
        <v>0</v>
      </c>
      <c r="N1764" s="13">
        <v>0</v>
      </c>
      <c r="O1764" s="13">
        <v>0</v>
      </c>
      <c r="P1764" s="13">
        <v>0</v>
      </c>
      <c r="Q1764" s="13">
        <v>0</v>
      </c>
      <c r="R1764" s="13">
        <v>0</v>
      </c>
      <c r="S1764" s="13">
        <v>0</v>
      </c>
      <c r="T1764" s="13">
        <v>1</v>
      </c>
      <c r="U1764" s="13">
        <v>27</v>
      </c>
      <c r="V1764" s="13" t="str" cm="1">
        <f t="array" ref="V1764">_xlfn.IFS(U1764&lt;=250,"0-R$250",U1764&lt;=500,"251-R$500",U1764&lt;=750,"501-R$750",U1764&lt;=1000,"751-R$1000",U1764&lt;=1250,"1001-R$1250",U1764&lt;=1500,"1251-R$1500")</f>
        <v>0-R$250</v>
      </c>
      <c r="W1764" s="13">
        <v>2</v>
      </c>
      <c r="X1764" s="13" t="str" cm="1">
        <f t="array" ref="X1764">_xlfn.IFS(W1764 = 0, "0", W1764&lt;=20, "até R$20",W1764&lt;=40, "21 - R$40",W1764&lt;=60, "41- R$60",W1764&lt;=80, "61 - R$80", W1764&lt;=100, "81 - R$100",W1764&lt;=120, "101 - R$120",W1764&lt;=140, "121 - R$140", W1764&lt;=160, "141- R$160", W1764&lt;=180, "161 - R$180", W1764&lt;=200, "181-R$194")</f>
        <v>até R$20</v>
      </c>
      <c r="Y1764" s="13">
        <v>14</v>
      </c>
      <c r="Z1764" s="13">
        <v>0</v>
      </c>
      <c r="AA1764" s="13">
        <v>0</v>
      </c>
      <c r="AB1764" s="13">
        <v>0</v>
      </c>
      <c r="AC1764" s="13">
        <v>3</v>
      </c>
      <c r="AD1764" s="13">
        <v>3</v>
      </c>
      <c r="AE1764" s="13">
        <v>1</v>
      </c>
      <c r="AF1764" s="13">
        <v>3</v>
      </c>
      <c r="AG1764" s="13">
        <v>5</v>
      </c>
      <c r="AH1764" s="13">
        <v>0</v>
      </c>
      <c r="AI1764" s="13">
        <v>0</v>
      </c>
      <c r="AJ1764" s="13">
        <v>0</v>
      </c>
      <c r="AK1764" s="13">
        <v>0</v>
      </c>
      <c r="AL1764" s="13">
        <v>0</v>
      </c>
      <c r="AM1764" s="13">
        <v>0</v>
      </c>
      <c r="AN1764" s="13">
        <v>0</v>
      </c>
      <c r="AO1764" s="14">
        <v>0</v>
      </c>
      <c r="AP1764" s="13">
        <v>3</v>
      </c>
      <c r="AQ1764" s="13">
        <v>11</v>
      </c>
      <c r="AR1764" s="15">
        <v>43</v>
      </c>
      <c r="AS1764" s="15">
        <v>43</v>
      </c>
    </row>
    <row r="1765" spans="1:45" x14ac:dyDescent="0.25">
      <c r="A1765">
        <v>166</v>
      </c>
      <c r="B1765" s="11">
        <f t="shared" si="27"/>
        <v>38853</v>
      </c>
      <c r="C1765" s="12">
        <v>388530</v>
      </c>
      <c r="D1765" s="13">
        <v>1</v>
      </c>
      <c r="E1765" s="13">
        <v>1</v>
      </c>
      <c r="F1765" s="13">
        <v>90</v>
      </c>
      <c r="G1765" s="13">
        <v>50</v>
      </c>
      <c r="H1765" s="13" t="str" cm="1">
        <f t="array" ref="H1765">_xlfn.IFS(G1765&lt;=20,"0-20",G1765&lt;=30,"20-30",G1765&lt;=40,"30-40",G1765&lt;=50,"50-60",G1765&lt;=60,"60-70",G1765&lt;=70,"70-80",G1765&lt;=80,"80-90")</f>
        <v>50-60</v>
      </c>
      <c r="I1765" s="13">
        <v>2196</v>
      </c>
      <c r="J1765" s="13" t="str" cm="1">
        <f t="array" ref="J1765">_xlfn.IFS(K1765=1,"Divorciado",L1765=1,"Casado",M1765=1,"Solteiro",N1765=1,"Juntos",O1765=1,"Viuvo")</f>
        <v>Casado</v>
      </c>
      <c r="K1765" s="13">
        <v>0</v>
      </c>
      <c r="L1765" s="13">
        <v>1</v>
      </c>
      <c r="M1765" s="13">
        <v>0</v>
      </c>
      <c r="N1765" s="13">
        <v>0</v>
      </c>
      <c r="O1765" s="13">
        <v>0</v>
      </c>
      <c r="P1765" s="13">
        <v>0</v>
      </c>
      <c r="Q1765" s="13">
        <v>0</v>
      </c>
      <c r="R1765" s="13">
        <v>0</v>
      </c>
      <c r="S1765" s="13">
        <v>0</v>
      </c>
      <c r="T1765" s="13">
        <v>1</v>
      </c>
      <c r="U1765" s="13">
        <v>29</v>
      </c>
      <c r="V1765" s="13" t="str" cm="1">
        <f t="array" ref="V1765">_xlfn.IFS(U1765&lt;=250,"0-R$250",U1765&lt;=500,"251-R$500",U1765&lt;=750,"501-R$750",U1765&lt;=1000,"751-R$1000",U1765&lt;=1250,"1001-R$1250",U1765&lt;=1500,"1251-R$1500")</f>
        <v>0-R$250</v>
      </c>
      <c r="W1765" s="13">
        <v>0</v>
      </c>
      <c r="X1765" s="13" t="str" cm="1">
        <f t="array" ref="X1765">_xlfn.IFS(W1765 = 0, "0", W1765&lt;=20, "até R$20",W1765&lt;=40, "21 - R$40",W1765&lt;=60, "41- R$60",W1765&lt;=80, "61 - R$80", W1765&lt;=100, "81 - R$100",W1765&lt;=120, "101 - R$120",W1765&lt;=140, "121 - R$140", W1765&lt;=160, "141- R$160", W1765&lt;=180, "161 - R$180", W1765&lt;=200, "181-R$194")</f>
        <v>0</v>
      </c>
      <c r="Y1765" s="13">
        <v>14</v>
      </c>
      <c r="Z1765" s="13">
        <v>0</v>
      </c>
      <c r="AA1765" s="13">
        <v>0</v>
      </c>
      <c r="AB1765" s="13">
        <v>2</v>
      </c>
      <c r="AC1765" s="13">
        <v>2</v>
      </c>
      <c r="AD1765" s="13">
        <v>2</v>
      </c>
      <c r="AE1765" s="13">
        <v>0</v>
      </c>
      <c r="AF1765" s="13">
        <v>3</v>
      </c>
      <c r="AG1765" s="13">
        <v>7</v>
      </c>
      <c r="AH1765" s="13">
        <v>0</v>
      </c>
      <c r="AI1765" s="13">
        <v>0</v>
      </c>
      <c r="AJ1765" s="13">
        <v>0</v>
      </c>
      <c r="AK1765" s="13">
        <v>0</v>
      </c>
      <c r="AL1765" s="13">
        <v>0</v>
      </c>
      <c r="AM1765" s="13">
        <v>0</v>
      </c>
      <c r="AN1765" s="13">
        <v>0</v>
      </c>
      <c r="AO1765" s="14">
        <v>0</v>
      </c>
      <c r="AP1765" s="13">
        <v>3</v>
      </c>
      <c r="AQ1765" s="13">
        <v>11</v>
      </c>
      <c r="AR1765" s="15">
        <v>41</v>
      </c>
      <c r="AS1765" s="15">
        <v>43</v>
      </c>
    </row>
    <row r="1766" spans="1:45" x14ac:dyDescent="0.25">
      <c r="A1766">
        <v>174</v>
      </c>
      <c r="B1766" s="11">
        <f t="shared" si="27"/>
        <v>25271</v>
      </c>
      <c r="C1766" s="12">
        <v>252710</v>
      </c>
      <c r="D1766" s="13">
        <v>1</v>
      </c>
      <c r="E1766" s="13">
        <v>0</v>
      </c>
      <c r="F1766" s="13">
        <v>45</v>
      </c>
      <c r="G1766" s="13">
        <v>37</v>
      </c>
      <c r="H1766" s="13" t="str" cm="1">
        <f t="array" ref="H1766">_xlfn.IFS(G1766&lt;=20,"0-20",G1766&lt;=30,"20-30",G1766&lt;=40,"30-40",G1766&lt;=50,"50-60",G1766&lt;=60,"60-70",G1766&lt;=70,"70-80",G1766&lt;=80,"80-90")</f>
        <v>30-40</v>
      </c>
      <c r="I1766" s="13">
        <v>2730</v>
      </c>
      <c r="J1766" s="13" t="str" cm="1">
        <f t="array" ref="J1766">_xlfn.IFS(K1766=1,"Divorciado",L1766=1,"Casado",M1766=1,"Solteiro",N1766=1,"Juntos",O1766=1,"Viuvo")</f>
        <v>Casado</v>
      </c>
      <c r="K1766" s="13">
        <v>0</v>
      </c>
      <c r="L1766" s="13">
        <v>1</v>
      </c>
      <c r="M1766" s="13">
        <v>0</v>
      </c>
      <c r="N1766" s="13">
        <v>0</v>
      </c>
      <c r="O1766" s="13">
        <v>0</v>
      </c>
      <c r="P1766" s="13">
        <v>0</v>
      </c>
      <c r="Q1766" s="13">
        <v>0</v>
      </c>
      <c r="R1766" s="13">
        <v>1</v>
      </c>
      <c r="S1766" s="13">
        <v>0</v>
      </c>
      <c r="T1766" s="13">
        <v>0</v>
      </c>
      <c r="U1766" s="13">
        <v>10</v>
      </c>
      <c r="V1766" s="13" t="str" cm="1">
        <f t="array" ref="V1766">_xlfn.IFS(U1766&lt;=250,"0-R$250",U1766&lt;=500,"251-R$500",U1766&lt;=750,"501-R$750",U1766&lt;=1000,"751-R$1000",U1766&lt;=1250,"1001-R$1250",U1766&lt;=1500,"1251-R$1500")</f>
        <v>0-R$250</v>
      </c>
      <c r="W1766" s="13">
        <v>1</v>
      </c>
      <c r="X1766" s="13" t="str" cm="1">
        <f t="array" ref="X1766">_xlfn.IFS(W1766 = 0, "0", W1766&lt;=20, "até R$20",W1766&lt;=40, "21 - R$40",W1766&lt;=60, "41- R$60",W1766&lt;=80, "61 - R$80", W1766&lt;=100, "81 - R$100",W1766&lt;=120, "101 - R$120",W1766&lt;=140, "121 - R$140", W1766&lt;=160, "141- R$160", W1766&lt;=180, "161 - R$180", W1766&lt;=200, "181-R$194")</f>
        <v>até R$20</v>
      </c>
      <c r="Y1766" s="13">
        <v>18</v>
      </c>
      <c r="Z1766" s="13">
        <v>10</v>
      </c>
      <c r="AA1766" s="13">
        <v>4</v>
      </c>
      <c r="AB1766" s="13">
        <v>7</v>
      </c>
      <c r="AC1766" s="13">
        <v>1</v>
      </c>
      <c r="AD1766" s="13">
        <v>1</v>
      </c>
      <c r="AE1766" s="13">
        <v>1</v>
      </c>
      <c r="AF1766" s="13">
        <v>2</v>
      </c>
      <c r="AG1766" s="13">
        <v>9</v>
      </c>
      <c r="AH1766" s="13">
        <v>0</v>
      </c>
      <c r="AI1766" s="13">
        <v>0</v>
      </c>
      <c r="AJ1766" s="13">
        <v>0</v>
      </c>
      <c r="AK1766" s="13">
        <v>0</v>
      </c>
      <c r="AL1766" s="13">
        <v>0</v>
      </c>
      <c r="AM1766" s="13">
        <v>0</v>
      </c>
      <c r="AN1766" s="13">
        <v>0</v>
      </c>
      <c r="AO1766" s="14">
        <v>0</v>
      </c>
      <c r="AP1766" s="13">
        <v>3</v>
      </c>
      <c r="AQ1766" s="13">
        <v>11</v>
      </c>
      <c r="AR1766" s="15">
        <v>36</v>
      </c>
      <c r="AS1766" s="15">
        <v>43</v>
      </c>
    </row>
    <row r="1767" spans="1:45" x14ac:dyDescent="0.25">
      <c r="A1767">
        <v>432</v>
      </c>
      <c r="B1767" s="11">
        <f t="shared" si="27"/>
        <v>24027</v>
      </c>
      <c r="C1767" s="12">
        <v>240270</v>
      </c>
      <c r="D1767" s="13">
        <v>1</v>
      </c>
      <c r="E1767" s="13">
        <v>0</v>
      </c>
      <c r="F1767" s="13">
        <v>7</v>
      </c>
      <c r="G1767" s="13">
        <v>44</v>
      </c>
      <c r="H1767" s="13" t="str" cm="1">
        <f t="array" ref="H1767">_xlfn.IFS(G1767&lt;=20,"0-20",G1767&lt;=30,"20-30",G1767&lt;=40,"30-40",G1767&lt;=50,"50-60",G1767&lt;=60,"60-70",G1767&lt;=70,"70-80",G1767&lt;=80,"80-90")</f>
        <v>50-60</v>
      </c>
      <c r="I1767" s="13">
        <v>2544</v>
      </c>
      <c r="J1767" s="13" t="str" cm="1">
        <f t="array" ref="J1767">_xlfn.IFS(K1767=1,"Divorciado",L1767=1,"Casado",M1767=1,"Solteiro",N1767=1,"Juntos",O1767=1,"Viuvo")</f>
        <v>Casado</v>
      </c>
      <c r="K1767" s="13">
        <v>0</v>
      </c>
      <c r="L1767" s="13">
        <v>1</v>
      </c>
      <c r="M1767" s="13">
        <v>0</v>
      </c>
      <c r="N1767" s="13">
        <v>0</v>
      </c>
      <c r="O1767" s="13">
        <v>0</v>
      </c>
      <c r="P1767" s="13">
        <v>0</v>
      </c>
      <c r="Q1767" s="13">
        <v>0</v>
      </c>
      <c r="R1767" s="13">
        <v>1</v>
      </c>
      <c r="S1767" s="13">
        <v>0</v>
      </c>
      <c r="T1767" s="13">
        <v>0</v>
      </c>
      <c r="U1767" s="13">
        <v>14</v>
      </c>
      <c r="V1767" s="13" t="str" cm="1">
        <f t="array" ref="V1767">_xlfn.IFS(U1767&lt;=250,"0-R$250",U1767&lt;=500,"251-R$500",U1767&lt;=750,"501-R$750",U1767&lt;=1000,"751-R$1000",U1767&lt;=1250,"1001-R$1250",U1767&lt;=1500,"1251-R$1500")</f>
        <v>0-R$250</v>
      </c>
      <c r="W1767" s="13">
        <v>7</v>
      </c>
      <c r="X1767" s="13" t="str" cm="1">
        <f t="array" ref="X1767">_xlfn.IFS(W1767 = 0, "0", W1767&lt;=20, "até R$20",W1767&lt;=40, "21 - R$40",W1767&lt;=60, "41- R$60",W1767&lt;=80, "61 - R$80", W1767&lt;=100, "81 - R$100",W1767&lt;=120, "101 - R$120",W1767&lt;=140, "121 - R$140", W1767&lt;=160, "141- R$160", W1767&lt;=180, "161 - R$180", W1767&lt;=200, "181-R$194")</f>
        <v>até R$20</v>
      </c>
      <c r="Y1767" s="13">
        <v>11</v>
      </c>
      <c r="Z1767" s="13">
        <v>11</v>
      </c>
      <c r="AA1767" s="13">
        <v>0</v>
      </c>
      <c r="AB1767" s="13">
        <v>5</v>
      </c>
      <c r="AC1767" s="13">
        <v>2</v>
      </c>
      <c r="AD1767" s="13">
        <v>2</v>
      </c>
      <c r="AE1767" s="13">
        <v>0</v>
      </c>
      <c r="AF1767" s="13">
        <v>3</v>
      </c>
      <c r="AG1767" s="13">
        <v>8</v>
      </c>
      <c r="AH1767" s="13">
        <v>0</v>
      </c>
      <c r="AI1767" s="13">
        <v>0</v>
      </c>
      <c r="AJ1767" s="13">
        <v>0</v>
      </c>
      <c r="AK1767" s="13">
        <v>0</v>
      </c>
      <c r="AL1767" s="13">
        <v>0</v>
      </c>
      <c r="AM1767" s="13">
        <v>0</v>
      </c>
      <c r="AN1767" s="13">
        <v>0</v>
      </c>
      <c r="AO1767" s="14">
        <v>0</v>
      </c>
      <c r="AP1767" s="13">
        <v>3</v>
      </c>
      <c r="AQ1767" s="13">
        <v>11</v>
      </c>
      <c r="AR1767" s="15">
        <v>38</v>
      </c>
      <c r="AS1767" s="15">
        <v>43</v>
      </c>
    </row>
    <row r="1768" spans="1:45" x14ac:dyDescent="0.25">
      <c r="A1768">
        <v>698</v>
      </c>
      <c r="B1768" s="11">
        <f t="shared" si="27"/>
        <v>25851</v>
      </c>
      <c r="C1768" s="12">
        <v>258510</v>
      </c>
      <c r="D1768" s="13">
        <v>1</v>
      </c>
      <c r="E1768" s="13">
        <v>0</v>
      </c>
      <c r="F1768" s="13">
        <v>45</v>
      </c>
      <c r="G1768" s="13">
        <v>42</v>
      </c>
      <c r="H1768" s="13" t="str" cm="1">
        <f t="array" ref="H1768">_xlfn.IFS(G1768&lt;=20,"0-20",G1768&lt;=30,"20-30",G1768&lt;=40,"30-40",G1768&lt;=50,"50-60",G1768&lt;=60,"60-70",G1768&lt;=70,"70-80",G1768&lt;=80,"80-90")</f>
        <v>50-60</v>
      </c>
      <c r="I1768" s="13">
        <v>2662</v>
      </c>
      <c r="J1768" s="13" t="str" cm="1">
        <f t="array" ref="J1768">_xlfn.IFS(K1768=1,"Divorciado",L1768=1,"Casado",M1768=1,"Solteiro",N1768=1,"Juntos",O1768=1,"Viuvo")</f>
        <v>Juntos</v>
      </c>
      <c r="K1768" s="13">
        <v>0</v>
      </c>
      <c r="L1768" s="13">
        <v>0</v>
      </c>
      <c r="M1768" s="13">
        <v>0</v>
      </c>
      <c r="N1768" s="13">
        <v>1</v>
      </c>
      <c r="O1768" s="13">
        <v>0</v>
      </c>
      <c r="P1768" s="13">
        <v>0</v>
      </c>
      <c r="Q1768" s="13">
        <v>0</v>
      </c>
      <c r="R1768" s="13">
        <v>1</v>
      </c>
      <c r="S1768" s="13">
        <v>0</v>
      </c>
      <c r="T1768" s="13">
        <v>0</v>
      </c>
      <c r="U1768" s="13">
        <v>9</v>
      </c>
      <c r="V1768" s="13" t="str" cm="1">
        <f t="array" ref="V1768">_xlfn.IFS(U1768&lt;=250,"0-R$250",U1768&lt;=500,"251-R$500",U1768&lt;=750,"501-R$750",U1768&lt;=1000,"751-R$1000",U1768&lt;=1250,"1001-R$1250",U1768&lt;=1500,"1251-R$1500")</f>
        <v>0-R$250</v>
      </c>
      <c r="W1768" s="13">
        <v>4</v>
      </c>
      <c r="X1768" s="13" t="str" cm="1">
        <f t="array" ref="X1768">_xlfn.IFS(W1768 = 0, "0", W1768&lt;=20, "até R$20",W1768&lt;=40, "21 - R$40",W1768&lt;=60, "41- R$60",W1768&lt;=80, "61 - R$80", W1768&lt;=100, "81 - R$100",W1768&lt;=120, "101 - R$120",W1768&lt;=140, "121 - R$140", W1768&lt;=160, "141- R$160", W1768&lt;=180, "161 - R$180", W1768&lt;=200, "181-R$194")</f>
        <v>até R$20</v>
      </c>
      <c r="Y1768" s="13">
        <v>18</v>
      </c>
      <c r="Z1768" s="13">
        <v>7</v>
      </c>
      <c r="AA1768" s="13">
        <v>5</v>
      </c>
      <c r="AB1768" s="13">
        <v>5</v>
      </c>
      <c r="AC1768" s="13">
        <v>2</v>
      </c>
      <c r="AD1768" s="13">
        <v>2</v>
      </c>
      <c r="AE1768" s="13">
        <v>0</v>
      </c>
      <c r="AF1768" s="13">
        <v>3</v>
      </c>
      <c r="AG1768" s="13">
        <v>7</v>
      </c>
      <c r="AH1768" s="13">
        <v>0</v>
      </c>
      <c r="AI1768" s="13">
        <v>0</v>
      </c>
      <c r="AJ1768" s="13">
        <v>0</v>
      </c>
      <c r="AK1768" s="13">
        <v>0</v>
      </c>
      <c r="AL1768" s="13">
        <v>0</v>
      </c>
      <c r="AM1768" s="13">
        <v>0</v>
      </c>
      <c r="AN1768" s="13">
        <v>0</v>
      </c>
      <c r="AO1768" s="14">
        <v>0</v>
      </c>
      <c r="AP1768" s="13">
        <v>3</v>
      </c>
      <c r="AQ1768" s="13">
        <v>11</v>
      </c>
      <c r="AR1768" s="15">
        <v>38</v>
      </c>
      <c r="AS1768" s="15">
        <v>43</v>
      </c>
    </row>
    <row r="1769" spans="1:45" x14ac:dyDescent="0.25">
      <c r="A1769">
        <v>800</v>
      </c>
      <c r="B1769" s="11">
        <f t="shared" si="27"/>
        <v>25804</v>
      </c>
      <c r="C1769" s="12">
        <v>258040</v>
      </c>
      <c r="D1769" s="13">
        <v>1</v>
      </c>
      <c r="E1769" s="13">
        <v>0</v>
      </c>
      <c r="F1769" s="13">
        <v>34</v>
      </c>
      <c r="G1769" s="13">
        <v>42</v>
      </c>
      <c r="H1769" s="13" t="str" cm="1">
        <f t="array" ref="H1769">_xlfn.IFS(G1769&lt;=20,"0-20",G1769&lt;=30,"20-30",G1769&lt;=40,"30-40",G1769&lt;=50,"50-60",G1769&lt;=60,"60-70",G1769&lt;=70,"70-80",G1769&lt;=80,"80-90")</f>
        <v>50-60</v>
      </c>
      <c r="I1769" s="13">
        <v>2460</v>
      </c>
      <c r="J1769" s="13" t="str" cm="1">
        <f t="array" ref="J1769">_xlfn.IFS(K1769=1,"Divorciado",L1769=1,"Casado",M1769=1,"Solteiro",N1769=1,"Juntos",O1769=1,"Viuvo")</f>
        <v>Casado</v>
      </c>
      <c r="K1769" s="13">
        <v>0</v>
      </c>
      <c r="L1769" s="13">
        <v>1</v>
      </c>
      <c r="M1769" s="13">
        <v>0</v>
      </c>
      <c r="N1769" s="13">
        <v>0</v>
      </c>
      <c r="O1769" s="13">
        <v>0</v>
      </c>
      <c r="P1769" s="13">
        <v>1</v>
      </c>
      <c r="Q1769" s="13">
        <v>0</v>
      </c>
      <c r="R1769" s="13">
        <v>0</v>
      </c>
      <c r="S1769" s="13">
        <v>0</v>
      </c>
      <c r="T1769" s="13">
        <v>0</v>
      </c>
      <c r="U1769" s="13">
        <v>8</v>
      </c>
      <c r="V1769" s="13" t="str" cm="1">
        <f t="array" ref="V1769">_xlfn.IFS(U1769&lt;=250,"0-R$250",U1769&lt;=500,"251-R$500",U1769&lt;=750,"501-R$750",U1769&lt;=1000,"751-R$1000",U1769&lt;=1250,"1001-R$1250",U1769&lt;=1500,"1251-R$1500")</f>
        <v>0-R$250</v>
      </c>
      <c r="W1769" s="13">
        <v>7</v>
      </c>
      <c r="X1769" s="13" t="str" cm="1">
        <f t="array" ref="X1769">_xlfn.IFS(W1769 = 0, "0", W1769&lt;=20, "até R$20",W1769&lt;=40, "21 - R$40",W1769&lt;=60, "41- R$60",W1769&lt;=80, "61 - R$80", W1769&lt;=100, "81 - R$100",W1769&lt;=120, "101 - R$120",W1769&lt;=140, "121 - R$140", W1769&lt;=160, "141- R$160", W1769&lt;=180, "161 - R$180", W1769&lt;=200, "181-R$194")</f>
        <v>até R$20</v>
      </c>
      <c r="Y1769" s="13">
        <v>9</v>
      </c>
      <c r="Z1769" s="13">
        <v>13</v>
      </c>
      <c r="AA1769" s="13">
        <v>6</v>
      </c>
      <c r="AB1769" s="13">
        <v>12</v>
      </c>
      <c r="AC1769" s="13">
        <v>2</v>
      </c>
      <c r="AD1769" s="13">
        <v>2</v>
      </c>
      <c r="AE1769" s="13">
        <v>0</v>
      </c>
      <c r="AF1769" s="13">
        <v>3</v>
      </c>
      <c r="AG1769" s="13">
        <v>8</v>
      </c>
      <c r="AH1769" s="13">
        <v>0</v>
      </c>
      <c r="AI1769" s="13">
        <v>0</v>
      </c>
      <c r="AJ1769" s="13">
        <v>0</v>
      </c>
      <c r="AK1769" s="13">
        <v>0</v>
      </c>
      <c r="AL1769" s="13">
        <v>0</v>
      </c>
      <c r="AM1769" s="13">
        <v>0</v>
      </c>
      <c r="AN1769" s="13">
        <v>0</v>
      </c>
      <c r="AO1769" s="14">
        <v>0</v>
      </c>
      <c r="AP1769" s="13">
        <v>3</v>
      </c>
      <c r="AQ1769" s="13">
        <v>11</v>
      </c>
      <c r="AR1769" s="15">
        <v>31</v>
      </c>
      <c r="AS1769" s="15">
        <v>43</v>
      </c>
    </row>
    <row r="1770" spans="1:45" x14ac:dyDescent="0.25">
      <c r="A1770">
        <v>963</v>
      </c>
      <c r="B1770" s="11">
        <f t="shared" si="27"/>
        <v>33462</v>
      </c>
      <c r="C1770" s="16">
        <v>334620</v>
      </c>
      <c r="D1770" s="17">
        <v>1</v>
      </c>
      <c r="E1770" s="17">
        <v>0</v>
      </c>
      <c r="F1770" s="17">
        <v>78</v>
      </c>
      <c r="G1770" s="17">
        <v>41</v>
      </c>
      <c r="H1770" s="13" t="str" cm="1">
        <f t="array" ref="H1770">_xlfn.IFS(G1770&lt;=20,"0-20",G1770&lt;=30,"20-30",G1770&lt;=40,"30-40",G1770&lt;=50,"50-60",G1770&lt;=60,"60-70",G1770&lt;=70,"70-80",G1770&lt;=80,"80-90")</f>
        <v>50-60</v>
      </c>
      <c r="I1770" s="17">
        <v>2485</v>
      </c>
      <c r="J1770" s="13" t="str" cm="1">
        <f t="array" ref="J1770">_xlfn.IFS(K1770=1,"Divorciado",L1770=1,"Casado",M1770=1,"Solteiro",N1770=1,"Juntos",O1770=1,"Viuvo")</f>
        <v>Divorciado</v>
      </c>
      <c r="K1770" s="17">
        <v>1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1</v>
      </c>
      <c r="T1770" s="17">
        <v>0</v>
      </c>
      <c r="U1770" s="17">
        <v>22</v>
      </c>
      <c r="V1770" s="13" t="str" cm="1">
        <f t="array" ref="V1770">_xlfn.IFS(U1770&lt;=250,"0-R$250",U1770&lt;=500,"251-R$500",U1770&lt;=750,"501-R$750",U1770&lt;=1000,"751-R$1000",U1770&lt;=1250,"1001-R$1250",U1770&lt;=1500,"1251-R$1500")</f>
        <v>0-R$250</v>
      </c>
      <c r="W1770" s="17">
        <v>3</v>
      </c>
      <c r="X1770" s="13" t="str" cm="1">
        <f t="array" ref="X1770">_xlfn.IFS(W1770 = 0, "0", W1770&lt;=20, "até R$20",W1770&lt;=40, "21 - R$40",W1770&lt;=60, "41- R$60",W1770&lt;=80, "61 - R$80", W1770&lt;=100, "81 - R$100",W1770&lt;=120, "101 - R$120",W1770&lt;=140, "121 - R$140", W1770&lt;=160, "141- R$160", W1770&lt;=180, "161 - R$180", W1770&lt;=200, "181-R$194")</f>
        <v>até R$20</v>
      </c>
      <c r="Y1770" s="17">
        <v>18</v>
      </c>
      <c r="Z1770" s="17">
        <v>0</v>
      </c>
      <c r="AA1770" s="17">
        <v>0</v>
      </c>
      <c r="AB1770" s="17">
        <v>11</v>
      </c>
      <c r="AC1770" s="17">
        <v>1</v>
      </c>
      <c r="AD1770" s="17">
        <v>2</v>
      </c>
      <c r="AE1770" s="17">
        <v>0</v>
      </c>
      <c r="AF1770" s="17">
        <v>3</v>
      </c>
      <c r="AG1770" s="17">
        <v>7</v>
      </c>
      <c r="AH1770" s="17">
        <v>0</v>
      </c>
      <c r="AI1770" s="17">
        <v>0</v>
      </c>
      <c r="AJ1770" s="17">
        <v>0</v>
      </c>
      <c r="AK1770" s="17">
        <v>0</v>
      </c>
      <c r="AL1770" s="17">
        <v>0</v>
      </c>
      <c r="AM1770" s="17">
        <v>0</v>
      </c>
      <c r="AN1770" s="17">
        <v>0</v>
      </c>
      <c r="AO1770" s="18">
        <v>0</v>
      </c>
      <c r="AP1770" s="17">
        <v>3</v>
      </c>
      <c r="AQ1770" s="17">
        <v>11</v>
      </c>
      <c r="AR1770" s="19">
        <v>32</v>
      </c>
      <c r="AS1770" s="19">
        <v>43</v>
      </c>
    </row>
    <row r="1771" spans="1:45" x14ac:dyDescent="0.25">
      <c r="A1771">
        <v>984</v>
      </c>
      <c r="B1771" s="11">
        <f t="shared" si="27"/>
        <v>22434</v>
      </c>
      <c r="C1771" s="12">
        <v>224340</v>
      </c>
      <c r="D1771" s="13">
        <v>1</v>
      </c>
      <c r="E1771" s="13">
        <v>0</v>
      </c>
      <c r="F1771" s="13">
        <v>25</v>
      </c>
      <c r="G1771" s="13">
        <v>33</v>
      </c>
      <c r="H1771" s="13" t="str" cm="1">
        <f t="array" ref="H1771">_xlfn.IFS(G1771&lt;=20,"0-20",G1771&lt;=30,"20-30",G1771&lt;=40,"30-40",G1771&lt;=50,"50-60",G1771&lt;=60,"60-70",G1771&lt;=70,"70-80",G1771&lt;=80,"80-90")</f>
        <v>30-40</v>
      </c>
      <c r="I1771" s="13">
        <v>2660</v>
      </c>
      <c r="J1771" s="13" t="str" cm="1">
        <f t="array" ref="J1771">_xlfn.IFS(K1771=1,"Divorciado",L1771=1,"Casado",M1771=1,"Solteiro",N1771=1,"Juntos",O1771=1,"Viuvo")</f>
        <v>Juntos</v>
      </c>
      <c r="K1771" s="13">
        <v>0</v>
      </c>
      <c r="L1771" s="13">
        <v>0</v>
      </c>
      <c r="M1771" s="13">
        <v>0</v>
      </c>
      <c r="N1771" s="13">
        <v>1</v>
      </c>
      <c r="O1771" s="13">
        <v>0</v>
      </c>
      <c r="P1771" s="13">
        <v>0</v>
      </c>
      <c r="Q1771" s="13">
        <v>0</v>
      </c>
      <c r="R1771" s="13">
        <v>1</v>
      </c>
      <c r="S1771" s="13">
        <v>0</v>
      </c>
      <c r="T1771" s="13">
        <v>0</v>
      </c>
      <c r="U1771" s="13">
        <v>4</v>
      </c>
      <c r="V1771" s="13" t="str" cm="1">
        <f t="array" ref="V1771">_xlfn.IFS(U1771&lt;=250,"0-R$250",U1771&lt;=500,"251-R$500",U1771&lt;=750,"501-R$750",U1771&lt;=1000,"751-R$1000",U1771&lt;=1250,"1001-R$1250",U1771&lt;=1500,"1251-R$1500")</f>
        <v>0-R$250</v>
      </c>
      <c r="W1771" s="13">
        <v>12</v>
      </c>
      <c r="X1771" s="13" t="str" cm="1">
        <f t="array" ref="X1771">_xlfn.IFS(W1771 = 0, "0", W1771&lt;=20, "até R$20",W1771&lt;=40, "21 - R$40",W1771&lt;=60, "41- R$60",W1771&lt;=80, "61 - R$80", W1771&lt;=100, "81 - R$100",W1771&lt;=120, "101 - R$120",W1771&lt;=140, "121 - R$140", W1771&lt;=160, "141- R$160", W1771&lt;=180, "161 - R$180", W1771&lt;=200, "181-R$194")</f>
        <v>até R$20</v>
      </c>
      <c r="Y1771" s="13">
        <v>11</v>
      </c>
      <c r="Z1771" s="13">
        <v>3</v>
      </c>
      <c r="AA1771" s="13">
        <v>13</v>
      </c>
      <c r="AB1771" s="13">
        <v>15</v>
      </c>
      <c r="AC1771" s="13">
        <v>2</v>
      </c>
      <c r="AD1771" s="13">
        <v>2</v>
      </c>
      <c r="AE1771" s="13">
        <v>0</v>
      </c>
      <c r="AF1771" s="13">
        <v>3</v>
      </c>
      <c r="AG1771" s="13">
        <v>8</v>
      </c>
      <c r="AH1771" s="13">
        <v>0</v>
      </c>
      <c r="AI1771" s="13">
        <v>0</v>
      </c>
      <c r="AJ1771" s="13">
        <v>0</v>
      </c>
      <c r="AK1771" s="13">
        <v>0</v>
      </c>
      <c r="AL1771" s="13">
        <v>0</v>
      </c>
      <c r="AM1771" s="13">
        <v>0</v>
      </c>
      <c r="AN1771" s="13">
        <v>0</v>
      </c>
      <c r="AO1771" s="14">
        <v>0</v>
      </c>
      <c r="AP1771" s="13">
        <v>3</v>
      </c>
      <c r="AQ1771" s="13">
        <v>11</v>
      </c>
      <c r="AR1771" s="15">
        <v>28</v>
      </c>
      <c r="AS1771" s="15">
        <v>43</v>
      </c>
    </row>
    <row r="1772" spans="1:45" x14ac:dyDescent="0.25">
      <c r="A1772">
        <v>1369</v>
      </c>
      <c r="B1772" s="11">
        <f t="shared" si="27"/>
        <v>41658</v>
      </c>
      <c r="C1772" s="16">
        <v>416580</v>
      </c>
      <c r="D1772" s="17">
        <v>1</v>
      </c>
      <c r="E1772" s="17">
        <v>1</v>
      </c>
      <c r="F1772" s="17">
        <v>30</v>
      </c>
      <c r="G1772" s="17">
        <v>45</v>
      </c>
      <c r="H1772" s="13" t="str" cm="1">
        <f t="array" ref="H1772">_xlfn.IFS(G1772&lt;=20,"0-20",G1772&lt;=30,"20-30",G1772&lt;=40,"30-40",G1772&lt;=50,"50-60",G1772&lt;=60,"60-70",G1772&lt;=70,"70-80",G1772&lt;=80,"80-90")</f>
        <v>50-60</v>
      </c>
      <c r="I1772" s="17">
        <v>2756</v>
      </c>
      <c r="J1772" s="13" t="str" cm="1">
        <f t="array" ref="J1772">_xlfn.IFS(K1772=1,"Divorciado",L1772=1,"Casado",M1772=1,"Solteiro",N1772=1,"Juntos",O1772=1,"Viuvo")</f>
        <v>Solteiro</v>
      </c>
      <c r="K1772" s="17">
        <v>0</v>
      </c>
      <c r="L1772" s="17">
        <v>0</v>
      </c>
      <c r="M1772" s="17">
        <v>1</v>
      </c>
      <c r="N1772" s="17">
        <v>0</v>
      </c>
      <c r="O1772" s="17">
        <v>0</v>
      </c>
      <c r="P1772" s="17">
        <v>1</v>
      </c>
      <c r="Q1772" s="17">
        <v>0</v>
      </c>
      <c r="R1772" s="17">
        <v>0</v>
      </c>
      <c r="S1772" s="17">
        <v>0</v>
      </c>
      <c r="T1772" s="17">
        <v>0</v>
      </c>
      <c r="U1772" s="17">
        <v>8</v>
      </c>
      <c r="V1772" s="13" t="str" cm="1">
        <f t="array" ref="V1772">_xlfn.IFS(U1772&lt;=250,"0-R$250",U1772&lt;=500,"251-R$500",U1772&lt;=750,"501-R$750",U1772&lt;=1000,"751-R$1000",U1772&lt;=1250,"1001-R$1250",U1772&lt;=1500,"1251-R$1500")</f>
        <v>0-R$250</v>
      </c>
      <c r="W1772" s="17">
        <v>4</v>
      </c>
      <c r="X1772" s="13" t="str" cm="1">
        <f t="array" ref="X1772">_xlfn.IFS(W1772 = 0, "0", W1772&lt;=20, "até R$20",W1772&lt;=40, "21 - R$40",W1772&lt;=60, "41- R$60",W1772&lt;=80, "61 - R$80", W1772&lt;=100, "81 - R$100",W1772&lt;=120, "101 - R$120",W1772&lt;=140, "121 - R$140", W1772&lt;=160, "141- R$160", W1772&lt;=180, "161 - R$180", W1772&lt;=200, "181-R$194")</f>
        <v>até R$20</v>
      </c>
      <c r="Y1772" s="17">
        <v>12</v>
      </c>
      <c r="Z1772" s="17">
        <v>15</v>
      </c>
      <c r="AA1772" s="17">
        <v>4</v>
      </c>
      <c r="AB1772" s="17">
        <v>29</v>
      </c>
      <c r="AC1772" s="17">
        <v>2</v>
      </c>
      <c r="AD1772" s="17">
        <v>1</v>
      </c>
      <c r="AE1772" s="17">
        <v>1</v>
      </c>
      <c r="AF1772" s="17">
        <v>2</v>
      </c>
      <c r="AG1772" s="17">
        <v>4</v>
      </c>
      <c r="AH1772" s="17">
        <v>0</v>
      </c>
      <c r="AI1772" s="17">
        <v>0</v>
      </c>
      <c r="AJ1772" s="17">
        <v>0</v>
      </c>
      <c r="AK1772" s="17">
        <v>0</v>
      </c>
      <c r="AL1772" s="17">
        <v>0</v>
      </c>
      <c r="AM1772" s="17">
        <v>0</v>
      </c>
      <c r="AN1772" s="17">
        <v>0</v>
      </c>
      <c r="AO1772" s="18">
        <v>0</v>
      </c>
      <c r="AP1772" s="17">
        <v>3</v>
      </c>
      <c r="AQ1772" s="17">
        <v>11</v>
      </c>
      <c r="AR1772" s="19">
        <v>14</v>
      </c>
      <c r="AS1772" s="19">
        <v>43</v>
      </c>
    </row>
    <row r="1773" spans="1:45" x14ac:dyDescent="0.25">
      <c r="A1773">
        <v>1395</v>
      </c>
      <c r="B1773" s="11">
        <f t="shared" si="27"/>
        <v>24639</v>
      </c>
      <c r="C1773" s="16">
        <v>246390</v>
      </c>
      <c r="D1773" s="17">
        <v>1</v>
      </c>
      <c r="E1773" s="17">
        <v>1</v>
      </c>
      <c r="F1773" s="17">
        <v>3</v>
      </c>
      <c r="G1773" s="17">
        <v>47</v>
      </c>
      <c r="H1773" s="13" t="str" cm="1">
        <f t="array" ref="H1773">_xlfn.IFS(G1773&lt;=20,"0-20",G1773&lt;=30,"20-30",G1773&lt;=40,"30-40",G1773&lt;=50,"50-60",G1773&lt;=60,"60-70",G1773&lt;=70,"70-80",G1773&lt;=80,"80-90")</f>
        <v>50-60</v>
      </c>
      <c r="I1773" s="17">
        <v>2311</v>
      </c>
      <c r="J1773" s="13" t="str" cm="1">
        <f t="array" ref="J1773">_xlfn.IFS(K1773=1,"Divorciado",L1773=1,"Casado",M1773=1,"Solteiro",N1773=1,"Juntos",O1773=1,"Viuvo")</f>
        <v>Casado</v>
      </c>
      <c r="K1773" s="17">
        <v>0</v>
      </c>
      <c r="L1773" s="17">
        <v>1</v>
      </c>
      <c r="M1773" s="17">
        <v>0</v>
      </c>
      <c r="N1773" s="17">
        <v>0</v>
      </c>
      <c r="O1773" s="17">
        <v>0</v>
      </c>
      <c r="P1773" s="17">
        <v>0</v>
      </c>
      <c r="Q1773" s="17">
        <v>0</v>
      </c>
      <c r="R1773" s="17">
        <v>1</v>
      </c>
      <c r="S1773" s="17">
        <v>0</v>
      </c>
      <c r="T1773" s="17">
        <v>0</v>
      </c>
      <c r="U1773" s="17">
        <v>20</v>
      </c>
      <c r="V1773" s="13" t="str" cm="1">
        <f t="array" ref="V1773">_xlfn.IFS(U1773&lt;=250,"0-R$250",U1773&lt;=500,"251-R$500",U1773&lt;=750,"501-R$750",U1773&lt;=1000,"751-R$1000",U1773&lt;=1250,"1001-R$1250",U1773&lt;=1500,"1251-R$1500")</f>
        <v>0-R$250</v>
      </c>
      <c r="W1773" s="17">
        <v>3</v>
      </c>
      <c r="X1773" s="13" t="str" cm="1">
        <f t="array" ref="X1773">_xlfn.IFS(W1773 = 0, "0", W1773&lt;=20, "até R$20",W1773&lt;=40, "21 - R$40",W1773&lt;=60, "41- R$60",W1773&lt;=80, "61 - R$80", W1773&lt;=100, "81 - R$100",W1773&lt;=120, "101 - R$120",W1773&lt;=140, "121 - R$140", W1773&lt;=160, "141- R$160", W1773&lt;=180, "161 - R$180", W1773&lt;=200, "181-R$194")</f>
        <v>até R$20</v>
      </c>
      <c r="Y1773" s="17">
        <v>16</v>
      </c>
      <c r="Z1773" s="17">
        <v>0</v>
      </c>
      <c r="AA1773" s="17">
        <v>4</v>
      </c>
      <c r="AB1773" s="17">
        <v>1</v>
      </c>
      <c r="AC1773" s="17">
        <v>3</v>
      </c>
      <c r="AD1773" s="17">
        <v>2</v>
      </c>
      <c r="AE1773" s="17">
        <v>0</v>
      </c>
      <c r="AF1773" s="17">
        <v>4</v>
      </c>
      <c r="AG1773" s="17">
        <v>6</v>
      </c>
      <c r="AH1773" s="17">
        <v>0</v>
      </c>
      <c r="AI1773" s="17">
        <v>0</v>
      </c>
      <c r="AJ1773" s="17">
        <v>0</v>
      </c>
      <c r="AK1773" s="17">
        <v>0</v>
      </c>
      <c r="AL1773" s="17">
        <v>0</v>
      </c>
      <c r="AM1773" s="17">
        <v>0</v>
      </c>
      <c r="AN1773" s="17">
        <v>0</v>
      </c>
      <c r="AO1773" s="18">
        <v>0</v>
      </c>
      <c r="AP1773" s="17">
        <v>3</v>
      </c>
      <c r="AQ1773" s="17">
        <v>11</v>
      </c>
      <c r="AR1773" s="19">
        <v>42</v>
      </c>
      <c r="AS1773" s="19">
        <v>43</v>
      </c>
    </row>
    <row r="1774" spans="1:45" x14ac:dyDescent="0.25">
      <c r="A1774">
        <v>1446</v>
      </c>
      <c r="B1774" s="11">
        <f t="shared" si="27"/>
        <v>23162</v>
      </c>
      <c r="C1774" s="12">
        <v>231620</v>
      </c>
      <c r="D1774" s="13">
        <v>1</v>
      </c>
      <c r="E1774" s="13">
        <v>1</v>
      </c>
      <c r="F1774" s="13">
        <v>82</v>
      </c>
      <c r="G1774" s="13">
        <v>50</v>
      </c>
      <c r="H1774" s="13" t="str" cm="1">
        <f t="array" ref="H1774">_xlfn.IFS(G1774&lt;=20,"0-20",G1774&lt;=30,"20-30",G1774&lt;=40,"30-40",G1774&lt;=50,"50-60",G1774&lt;=60,"60-70",G1774&lt;=70,"70-80",G1774&lt;=80,"80-90")</f>
        <v>50-60</v>
      </c>
      <c r="I1774" s="13">
        <v>2349</v>
      </c>
      <c r="J1774" s="13" t="str" cm="1">
        <f t="array" ref="J1774">_xlfn.IFS(K1774=1,"Divorciado",L1774=1,"Casado",M1774=1,"Solteiro",N1774=1,"Juntos",O1774=1,"Viuvo")</f>
        <v>Casado</v>
      </c>
      <c r="K1774" s="13">
        <v>0</v>
      </c>
      <c r="L1774" s="13">
        <v>1</v>
      </c>
      <c r="M1774" s="13">
        <v>0</v>
      </c>
      <c r="N1774" s="13">
        <v>0</v>
      </c>
      <c r="O1774" s="13">
        <v>0</v>
      </c>
      <c r="P1774" s="13">
        <v>1</v>
      </c>
      <c r="Q1774" s="13">
        <v>0</v>
      </c>
      <c r="R1774" s="13">
        <v>0</v>
      </c>
      <c r="S1774" s="13">
        <v>0</v>
      </c>
      <c r="T1774" s="13">
        <v>0</v>
      </c>
      <c r="U1774" s="13">
        <v>8</v>
      </c>
      <c r="V1774" s="13" t="str" cm="1">
        <f t="array" ref="V1774">_xlfn.IFS(U1774&lt;=250,"0-R$250",U1774&lt;=500,"251-R$500",U1774&lt;=750,"501-R$750",U1774&lt;=1000,"751-R$1000",U1774&lt;=1250,"1001-R$1250",U1774&lt;=1500,"1251-R$1500")</f>
        <v>0-R$250</v>
      </c>
      <c r="W1774" s="13">
        <v>3</v>
      </c>
      <c r="X1774" s="13" t="str" cm="1">
        <f t="array" ref="X1774">_xlfn.IFS(W1774 = 0, "0", W1774&lt;=20, "até R$20",W1774&lt;=40, "21 - R$40",W1774&lt;=60, "41- R$60",W1774&lt;=80, "61 - R$80", W1774&lt;=100, "81 - R$100",W1774&lt;=120, "101 - R$120",W1774&lt;=140, "121 - R$140", W1774&lt;=160, "141- R$160", W1774&lt;=180, "161 - R$180", W1774&lt;=200, "181-R$194")</f>
        <v>até R$20</v>
      </c>
      <c r="Y1774" s="13">
        <v>9</v>
      </c>
      <c r="Z1774" s="13">
        <v>19</v>
      </c>
      <c r="AA1774" s="13">
        <v>4</v>
      </c>
      <c r="AB1774" s="13">
        <v>22</v>
      </c>
      <c r="AC1774" s="13">
        <v>3</v>
      </c>
      <c r="AD1774" s="13">
        <v>1</v>
      </c>
      <c r="AE1774" s="13">
        <v>1</v>
      </c>
      <c r="AF1774" s="13">
        <v>3</v>
      </c>
      <c r="AG1774" s="13">
        <v>6</v>
      </c>
      <c r="AH1774" s="13">
        <v>0</v>
      </c>
      <c r="AI1774" s="13">
        <v>0</v>
      </c>
      <c r="AJ1774" s="13">
        <v>0</v>
      </c>
      <c r="AK1774" s="13">
        <v>0</v>
      </c>
      <c r="AL1774" s="13">
        <v>0</v>
      </c>
      <c r="AM1774" s="13">
        <v>0</v>
      </c>
      <c r="AN1774" s="13">
        <v>0</v>
      </c>
      <c r="AO1774" s="14">
        <v>0</v>
      </c>
      <c r="AP1774" s="13">
        <v>3</v>
      </c>
      <c r="AQ1774" s="13">
        <v>11</v>
      </c>
      <c r="AR1774" s="15">
        <v>21</v>
      </c>
      <c r="AS1774" s="15">
        <v>43</v>
      </c>
    </row>
    <row r="1775" spans="1:45" x14ac:dyDescent="0.25">
      <c r="A1775">
        <v>1490</v>
      </c>
      <c r="B1775" s="11">
        <f t="shared" si="27"/>
        <v>20981</v>
      </c>
      <c r="C1775" s="12">
        <v>209810</v>
      </c>
      <c r="D1775" s="13">
        <v>0</v>
      </c>
      <c r="E1775" s="13">
        <v>0</v>
      </c>
      <c r="F1775" s="13">
        <v>14</v>
      </c>
      <c r="G1775" s="13">
        <v>43</v>
      </c>
      <c r="H1775" s="13" t="str" cm="1">
        <f t="array" ref="H1775">_xlfn.IFS(G1775&lt;=20,"0-20",G1775&lt;=30,"20-30",G1775&lt;=40,"30-40",G1775&lt;=50,"50-60",G1775&lt;=60,"60-70",G1775&lt;=70,"70-80",G1775&lt;=80,"80-90")</f>
        <v>50-60</v>
      </c>
      <c r="I1775" s="13">
        <v>2584</v>
      </c>
      <c r="J1775" s="13" t="str" cm="1">
        <f t="array" ref="J1775">_xlfn.IFS(K1775=1,"Divorciado",L1775=1,"Casado",M1775=1,"Solteiro",N1775=1,"Juntos",O1775=1,"Viuvo")</f>
        <v>Juntos</v>
      </c>
      <c r="K1775" s="13">
        <v>0</v>
      </c>
      <c r="L1775" s="13">
        <v>0</v>
      </c>
      <c r="M1775" s="13">
        <v>0</v>
      </c>
      <c r="N1775" s="13">
        <v>1</v>
      </c>
      <c r="O1775" s="13">
        <v>0</v>
      </c>
      <c r="P1775" s="13">
        <v>1</v>
      </c>
      <c r="Q1775" s="13">
        <v>0</v>
      </c>
      <c r="R1775" s="13">
        <v>0</v>
      </c>
      <c r="S1775" s="13">
        <v>0</v>
      </c>
      <c r="T1775" s="13">
        <v>0</v>
      </c>
      <c r="U1775" s="13">
        <v>2</v>
      </c>
      <c r="V1775" s="13" t="str" cm="1">
        <f t="array" ref="V1775">_xlfn.IFS(U1775&lt;=250,"0-R$250",U1775&lt;=500,"251-R$500",U1775&lt;=750,"501-R$750",U1775&lt;=1000,"751-R$1000",U1775&lt;=1250,"1001-R$1250",U1775&lt;=1500,"1251-R$1500")</f>
        <v>0-R$250</v>
      </c>
      <c r="W1775" s="13">
        <v>12</v>
      </c>
      <c r="X1775" s="13" t="str" cm="1">
        <f t="array" ref="X1775">_xlfn.IFS(W1775 = 0, "0", W1775&lt;=20, "até R$20",W1775&lt;=40, "21 - R$40",W1775&lt;=60, "41- R$60",W1775&lt;=80, "61 - R$80", W1775&lt;=100, "81 - R$100",W1775&lt;=120, "101 - R$120",W1775&lt;=140, "121 - R$140", W1775&lt;=160, "141- R$160", W1775&lt;=180, "161 - R$180", W1775&lt;=200, "181-R$194")</f>
        <v>até R$20</v>
      </c>
      <c r="Y1775" s="13">
        <v>10</v>
      </c>
      <c r="Z1775" s="13">
        <v>6</v>
      </c>
      <c r="AA1775" s="13">
        <v>13</v>
      </c>
      <c r="AB1775" s="13">
        <v>30</v>
      </c>
      <c r="AC1775" s="13">
        <v>1</v>
      </c>
      <c r="AD1775" s="13">
        <v>3</v>
      </c>
      <c r="AE1775" s="13">
        <v>1</v>
      </c>
      <c r="AF1775" s="13">
        <v>2</v>
      </c>
      <c r="AG1775" s="13">
        <v>8</v>
      </c>
      <c r="AH1775" s="13">
        <v>0</v>
      </c>
      <c r="AI1775" s="13">
        <v>0</v>
      </c>
      <c r="AJ1775" s="13">
        <v>0</v>
      </c>
      <c r="AK1775" s="13">
        <v>0</v>
      </c>
      <c r="AL1775" s="13">
        <v>0</v>
      </c>
      <c r="AM1775" s="13">
        <v>0</v>
      </c>
      <c r="AN1775" s="13">
        <v>1</v>
      </c>
      <c r="AO1775" s="14">
        <v>0</v>
      </c>
      <c r="AP1775" s="13">
        <v>3</v>
      </c>
      <c r="AQ1775" s="13">
        <v>11</v>
      </c>
      <c r="AR1775" s="15">
        <v>13</v>
      </c>
      <c r="AS1775" s="15">
        <v>43</v>
      </c>
    </row>
    <row r="1776" spans="1:45" x14ac:dyDescent="0.25">
      <c r="A1776">
        <v>2000</v>
      </c>
      <c r="B1776" s="11">
        <f t="shared" si="27"/>
        <v>32765</v>
      </c>
      <c r="C1776" s="12">
        <v>327650</v>
      </c>
      <c r="D1776" s="13">
        <v>1</v>
      </c>
      <c r="E1776" s="13">
        <v>0</v>
      </c>
      <c r="F1776" s="13">
        <v>49</v>
      </c>
      <c r="G1776" s="13">
        <v>41</v>
      </c>
      <c r="H1776" s="13" t="str" cm="1">
        <f t="array" ref="H1776">_xlfn.IFS(G1776&lt;=20,"0-20",G1776&lt;=30,"20-30",G1776&lt;=40,"30-40",G1776&lt;=50,"50-60",G1776&lt;=60,"60-70",G1776&lt;=70,"70-80",G1776&lt;=80,"80-90")</f>
        <v>50-60</v>
      </c>
      <c r="I1776" s="13">
        <v>2285</v>
      </c>
      <c r="J1776" s="13" t="str" cm="1">
        <f t="array" ref="J1776">_xlfn.IFS(K1776=1,"Divorciado",L1776=1,"Casado",M1776=1,"Solteiro",N1776=1,"Juntos",O1776=1,"Viuvo")</f>
        <v>Casado</v>
      </c>
      <c r="K1776" s="13">
        <v>0</v>
      </c>
      <c r="L1776" s="13">
        <v>1</v>
      </c>
      <c r="M1776" s="13">
        <v>0</v>
      </c>
      <c r="N1776" s="13">
        <v>0</v>
      </c>
      <c r="O1776" s="13">
        <v>0</v>
      </c>
      <c r="P1776" s="13">
        <v>0</v>
      </c>
      <c r="Q1776" s="13">
        <v>0</v>
      </c>
      <c r="R1776" s="13">
        <v>0</v>
      </c>
      <c r="S1776" s="13">
        <v>1</v>
      </c>
      <c r="T1776" s="13">
        <v>0</v>
      </c>
      <c r="U1776" s="13">
        <v>13</v>
      </c>
      <c r="V1776" s="13" t="str" cm="1">
        <f t="array" ref="V1776">_xlfn.IFS(U1776&lt;=250,"0-R$250",U1776&lt;=500,"251-R$500",U1776&lt;=750,"501-R$750",U1776&lt;=1000,"751-R$1000",U1776&lt;=1250,"1001-R$1250",U1776&lt;=1500,"1251-R$1500")</f>
        <v>0-R$250</v>
      </c>
      <c r="W1776" s="13">
        <v>3</v>
      </c>
      <c r="X1776" s="13" t="str" cm="1">
        <f t="array" ref="X1776">_xlfn.IFS(W1776 = 0, "0", W1776&lt;=20, "até R$20",W1776&lt;=40, "21 - R$40",W1776&lt;=60, "41- R$60",W1776&lt;=80, "61 - R$80", W1776&lt;=100, "81 - R$100",W1776&lt;=120, "101 - R$120",W1776&lt;=140, "121 - R$140", W1776&lt;=160, "141- R$160", W1776&lt;=180, "161 - R$180", W1776&lt;=200, "181-R$194")</f>
        <v>até R$20</v>
      </c>
      <c r="Y1776" s="13">
        <v>17</v>
      </c>
      <c r="Z1776" s="13">
        <v>7</v>
      </c>
      <c r="AA1776" s="13">
        <v>3</v>
      </c>
      <c r="AB1776" s="13">
        <v>3</v>
      </c>
      <c r="AC1776" s="13">
        <v>2</v>
      </c>
      <c r="AD1776" s="13">
        <v>2</v>
      </c>
      <c r="AE1776" s="13">
        <v>0</v>
      </c>
      <c r="AF1776" s="13">
        <v>4</v>
      </c>
      <c r="AG1776" s="13">
        <v>5</v>
      </c>
      <c r="AH1776" s="13">
        <v>0</v>
      </c>
      <c r="AI1776" s="13">
        <v>0</v>
      </c>
      <c r="AJ1776" s="13">
        <v>0</v>
      </c>
      <c r="AK1776" s="13">
        <v>0</v>
      </c>
      <c r="AL1776" s="13">
        <v>0</v>
      </c>
      <c r="AM1776" s="13">
        <v>0</v>
      </c>
      <c r="AN1776" s="13">
        <v>0</v>
      </c>
      <c r="AO1776" s="14">
        <v>0</v>
      </c>
      <c r="AP1776" s="13">
        <v>3</v>
      </c>
      <c r="AQ1776" s="13">
        <v>11</v>
      </c>
      <c r="AR1776" s="15">
        <v>40</v>
      </c>
      <c r="AS1776" s="15">
        <v>43</v>
      </c>
    </row>
    <row r="1777" spans="1:45" x14ac:dyDescent="0.25">
      <c r="A1777">
        <v>45</v>
      </c>
      <c r="B1777" s="11">
        <f t="shared" si="27"/>
        <v>41728</v>
      </c>
      <c r="C1777" s="16">
        <v>417280</v>
      </c>
      <c r="D1777" s="17">
        <v>1</v>
      </c>
      <c r="E1777" s="17">
        <v>0</v>
      </c>
      <c r="F1777" s="17">
        <v>92</v>
      </c>
      <c r="G1777" s="17">
        <v>52</v>
      </c>
      <c r="H1777" s="13" t="str" cm="1">
        <f t="array" ref="H1777">_xlfn.IFS(G1777&lt;=20,"0-20",G1777&lt;=30,"20-30",G1777&lt;=40,"30-40",G1777&lt;=50,"50-60",G1777&lt;=60,"60-70",G1777&lt;=70,"70-80",G1777&lt;=80,"80-90")</f>
        <v>60-70</v>
      </c>
      <c r="I1777" s="17">
        <v>2560</v>
      </c>
      <c r="J1777" s="13" t="str" cm="1">
        <f t="array" ref="J1777">_xlfn.IFS(K1777=1,"Divorciado",L1777=1,"Casado",M1777=1,"Solteiro",N1777=1,"Juntos",O1777=1,"Viuvo")</f>
        <v>Juntos</v>
      </c>
      <c r="K1777" s="17">
        <v>0</v>
      </c>
      <c r="L1777" s="17">
        <v>0</v>
      </c>
      <c r="M1777" s="17">
        <v>0</v>
      </c>
      <c r="N1777" s="17">
        <v>1</v>
      </c>
      <c r="O1777" s="17">
        <v>0</v>
      </c>
      <c r="P1777" s="17">
        <v>0</v>
      </c>
      <c r="Q1777" s="17">
        <v>0</v>
      </c>
      <c r="R1777" s="17">
        <v>1</v>
      </c>
      <c r="S1777" s="17">
        <v>0</v>
      </c>
      <c r="T1777" s="17">
        <v>0</v>
      </c>
      <c r="U1777" s="17">
        <v>13</v>
      </c>
      <c r="V1777" s="13" t="str" cm="1">
        <f t="array" ref="V1777">_xlfn.IFS(U1777&lt;=250,"0-R$250",U1777&lt;=500,"251-R$500",U1777&lt;=750,"501-R$750",U1777&lt;=1000,"751-R$1000",U1777&lt;=1250,"1001-R$1250",U1777&lt;=1500,"1251-R$1500")</f>
        <v>0-R$250</v>
      </c>
      <c r="W1777" s="17">
        <v>6</v>
      </c>
      <c r="X1777" s="13" t="str" cm="1">
        <f t="array" ref="X1777">_xlfn.IFS(W1777 = 0, "0", W1777&lt;=20, "até R$20",W1777&lt;=40, "21 - R$40",W1777&lt;=60, "41- R$60",W1777&lt;=80, "61 - R$80", W1777&lt;=100, "81 - R$100",W1777&lt;=120, "101 - R$120",W1777&lt;=140, "121 - R$140", W1777&lt;=160, "141- R$160", W1777&lt;=180, "161 - R$180", W1777&lt;=200, "181-R$194")</f>
        <v>até R$20</v>
      </c>
      <c r="Y1777" s="17">
        <v>15</v>
      </c>
      <c r="Z1777" s="17">
        <v>3</v>
      </c>
      <c r="AA1777" s="17">
        <v>5</v>
      </c>
      <c r="AB1777" s="17">
        <v>13</v>
      </c>
      <c r="AC1777" s="17">
        <v>1</v>
      </c>
      <c r="AD1777" s="17">
        <v>2</v>
      </c>
      <c r="AE1777" s="17">
        <v>0</v>
      </c>
      <c r="AF1777" s="17">
        <v>2</v>
      </c>
      <c r="AG1777" s="17">
        <v>10</v>
      </c>
      <c r="AH1777" s="17">
        <v>0</v>
      </c>
      <c r="AI1777" s="17">
        <v>0</v>
      </c>
      <c r="AJ1777" s="17">
        <v>0</v>
      </c>
      <c r="AK1777" s="17">
        <v>0</v>
      </c>
      <c r="AL1777" s="17">
        <v>0</v>
      </c>
      <c r="AM1777" s="17">
        <v>0</v>
      </c>
      <c r="AN1777" s="17">
        <v>0</v>
      </c>
      <c r="AO1777" s="18">
        <v>0</v>
      </c>
      <c r="AP1777" s="17">
        <v>3</v>
      </c>
      <c r="AQ1777" s="17">
        <v>11</v>
      </c>
      <c r="AR1777" s="19">
        <v>29</v>
      </c>
      <c r="AS1777" s="19">
        <v>42</v>
      </c>
    </row>
    <row r="1778" spans="1:45" x14ac:dyDescent="0.25">
      <c r="A1778">
        <v>351</v>
      </c>
      <c r="B1778" s="11">
        <f t="shared" si="27"/>
        <v>31615</v>
      </c>
      <c r="C1778" s="16">
        <v>316150</v>
      </c>
      <c r="D1778" s="17">
        <v>1</v>
      </c>
      <c r="E1778" s="17">
        <v>0</v>
      </c>
      <c r="F1778" s="17">
        <v>82</v>
      </c>
      <c r="G1778" s="17">
        <v>44</v>
      </c>
      <c r="H1778" s="13" t="str" cm="1">
        <f t="array" ref="H1778">_xlfn.IFS(G1778&lt;=20,"0-20",G1778&lt;=30,"20-30",G1778&lt;=40,"30-40",G1778&lt;=50,"50-60",G1778&lt;=60,"60-70",G1778&lt;=70,"70-80",G1778&lt;=80,"80-90")</f>
        <v>50-60</v>
      </c>
      <c r="I1778" s="17">
        <v>2629</v>
      </c>
      <c r="J1778" s="13" t="str" cm="1">
        <f t="array" ref="J1778">_xlfn.IFS(K1778=1,"Divorciado",L1778=1,"Casado",M1778=1,"Solteiro",N1778=1,"Juntos",O1778=1,"Viuvo")</f>
        <v>Divorciado</v>
      </c>
      <c r="K1778" s="17">
        <v>1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1</v>
      </c>
      <c r="S1778" s="17">
        <v>0</v>
      </c>
      <c r="T1778" s="17">
        <v>0</v>
      </c>
      <c r="U1778" s="17">
        <v>2</v>
      </c>
      <c r="V1778" s="13" t="str" cm="1">
        <f t="array" ref="V1778">_xlfn.IFS(U1778&lt;=250,"0-R$250",U1778&lt;=500,"251-R$500",U1778&lt;=750,"501-R$750",U1778&lt;=1000,"751-R$1000",U1778&lt;=1250,"1001-R$1250",U1778&lt;=1500,"1251-R$1500")</f>
        <v>0-R$250</v>
      </c>
      <c r="W1778" s="17">
        <v>3</v>
      </c>
      <c r="X1778" s="13" t="str" cm="1">
        <f t="array" ref="X1778">_xlfn.IFS(W1778 = 0, "0", W1778&lt;=20, "até R$20",W1778&lt;=40, "21 - R$40",W1778&lt;=60, "41- R$60",W1778&lt;=80, "61 - R$80", W1778&lt;=100, "81 - R$100",W1778&lt;=120, "101 - R$120",W1778&lt;=140, "121 - R$140", W1778&lt;=160, "141- R$160", W1778&lt;=180, "161 - R$180", W1778&lt;=200, "181-R$194")</f>
        <v>até R$20</v>
      </c>
      <c r="Y1778" s="17">
        <v>20</v>
      </c>
      <c r="Z1778" s="17">
        <v>6</v>
      </c>
      <c r="AA1778" s="17">
        <v>11</v>
      </c>
      <c r="AB1778" s="17">
        <v>9</v>
      </c>
      <c r="AC1778" s="17">
        <v>2</v>
      </c>
      <c r="AD1778" s="17">
        <v>2</v>
      </c>
      <c r="AE1778" s="17">
        <v>0</v>
      </c>
      <c r="AF1778" s="17">
        <v>3</v>
      </c>
      <c r="AG1778" s="17">
        <v>7</v>
      </c>
      <c r="AH1778" s="17">
        <v>0</v>
      </c>
      <c r="AI1778" s="17">
        <v>0</v>
      </c>
      <c r="AJ1778" s="17">
        <v>0</v>
      </c>
      <c r="AK1778" s="17">
        <v>0</v>
      </c>
      <c r="AL1778" s="17">
        <v>0</v>
      </c>
      <c r="AM1778" s="17">
        <v>0</v>
      </c>
      <c r="AN1778" s="17">
        <v>0</v>
      </c>
      <c r="AO1778" s="18">
        <v>0</v>
      </c>
      <c r="AP1778" s="17">
        <v>3</v>
      </c>
      <c r="AQ1778" s="17">
        <v>11</v>
      </c>
      <c r="AR1778" s="19">
        <v>33</v>
      </c>
      <c r="AS1778" s="19">
        <v>42</v>
      </c>
    </row>
    <row r="1779" spans="1:45" x14ac:dyDescent="0.25">
      <c r="A1779">
        <v>360</v>
      </c>
      <c r="B1779" s="11">
        <f t="shared" si="27"/>
        <v>22585</v>
      </c>
      <c r="C1779" s="12">
        <v>225850</v>
      </c>
      <c r="D1779" s="13">
        <v>0</v>
      </c>
      <c r="E1779" s="13">
        <v>0</v>
      </c>
      <c r="F1779" s="13">
        <v>23</v>
      </c>
      <c r="G1779" s="13">
        <v>50</v>
      </c>
      <c r="H1779" s="13" t="str" cm="1">
        <f t="array" ref="H1779">_xlfn.IFS(G1779&lt;=20,"0-20",G1779&lt;=30,"20-30",G1779&lt;=40,"30-40",G1779&lt;=50,"50-60",G1779&lt;=60,"60-70",G1779&lt;=70,"70-80",G1779&lt;=80,"80-90")</f>
        <v>50-60</v>
      </c>
      <c r="I1779" s="13">
        <v>2627</v>
      </c>
      <c r="J1779" s="13" t="str" cm="1">
        <f t="array" ref="J1779">_xlfn.IFS(K1779=1,"Divorciado",L1779=1,"Casado",M1779=1,"Solteiro",N1779=1,"Juntos",O1779=1,"Viuvo")</f>
        <v>Solteiro</v>
      </c>
      <c r="K1779" s="13">
        <v>0</v>
      </c>
      <c r="L1779" s="13">
        <v>0</v>
      </c>
      <c r="M1779" s="13">
        <v>1</v>
      </c>
      <c r="N1779" s="13">
        <v>0</v>
      </c>
      <c r="O1779" s="13">
        <v>0</v>
      </c>
      <c r="P1779" s="13">
        <v>0</v>
      </c>
      <c r="Q1779" s="13">
        <v>0</v>
      </c>
      <c r="R1779" s="13">
        <v>1</v>
      </c>
      <c r="S1779" s="13">
        <v>0</v>
      </c>
      <c r="T1779" s="13">
        <v>0</v>
      </c>
      <c r="U1779" s="13">
        <v>3</v>
      </c>
      <c r="V1779" s="13" t="str" cm="1">
        <f t="array" ref="V1779">_xlfn.IFS(U1779&lt;=250,"0-R$250",U1779&lt;=500,"251-R$500",U1779&lt;=750,"501-R$750",U1779&lt;=1000,"751-R$1000",U1779&lt;=1250,"1001-R$1250",U1779&lt;=1500,"1251-R$1500")</f>
        <v>0-R$250</v>
      </c>
      <c r="W1779" s="13">
        <v>9</v>
      </c>
      <c r="X1779" s="13" t="str" cm="1">
        <f t="array" ref="X1779">_xlfn.IFS(W1779 = 0, "0", W1779&lt;=20, "até R$20",W1779&lt;=40, "21 - R$40",W1779&lt;=60, "41- R$60",W1779&lt;=80, "61 - R$80", W1779&lt;=100, "81 - R$100",W1779&lt;=120, "101 - R$120",W1779&lt;=140, "121 - R$140", W1779&lt;=160, "141- R$160", W1779&lt;=180, "161 - R$180", W1779&lt;=200, "181-R$194")</f>
        <v>até R$20</v>
      </c>
      <c r="Y1779" s="13">
        <v>15</v>
      </c>
      <c r="Z1779" s="13">
        <v>13</v>
      </c>
      <c r="AA1779" s="13">
        <v>2</v>
      </c>
      <c r="AB1779" s="13">
        <v>39</v>
      </c>
      <c r="AC1779" s="13">
        <v>1</v>
      </c>
      <c r="AD1779" s="13">
        <v>1</v>
      </c>
      <c r="AE1779" s="13">
        <v>1</v>
      </c>
      <c r="AF1779" s="13">
        <v>2</v>
      </c>
      <c r="AG1779" s="13">
        <v>9</v>
      </c>
      <c r="AH1779" s="13">
        <v>0</v>
      </c>
      <c r="AI1779" s="13">
        <v>1</v>
      </c>
      <c r="AJ1779" s="13">
        <v>0</v>
      </c>
      <c r="AK1779" s="13">
        <v>0</v>
      </c>
      <c r="AL1779" s="13">
        <v>0</v>
      </c>
      <c r="AM1779" s="13">
        <v>0</v>
      </c>
      <c r="AN1779" s="13">
        <v>1</v>
      </c>
      <c r="AO1779" s="14">
        <v>1</v>
      </c>
      <c r="AP1779" s="13">
        <v>3</v>
      </c>
      <c r="AQ1779" s="13">
        <v>11</v>
      </c>
      <c r="AR1779" s="15">
        <v>3</v>
      </c>
      <c r="AS1779" s="15">
        <v>42</v>
      </c>
    </row>
    <row r="1780" spans="1:45" x14ac:dyDescent="0.25">
      <c r="A1780">
        <v>504</v>
      </c>
      <c r="B1780" s="11">
        <f t="shared" si="27"/>
        <v>30630</v>
      </c>
      <c r="C1780" s="12">
        <v>306300</v>
      </c>
      <c r="D1780" s="13">
        <v>1</v>
      </c>
      <c r="E1780" s="13">
        <v>1</v>
      </c>
      <c r="F1780" s="13">
        <v>67</v>
      </c>
      <c r="G1780" s="13">
        <v>55</v>
      </c>
      <c r="H1780" s="13" t="str" cm="1">
        <f t="array" ref="H1780">_xlfn.IFS(G1780&lt;=20,"0-20",G1780&lt;=30,"20-30",G1780&lt;=40,"30-40",G1780&lt;=50,"50-60",G1780&lt;=60,"60-70",G1780&lt;=70,"70-80",G1780&lt;=80,"80-90")</f>
        <v>60-70</v>
      </c>
      <c r="I1780" s="13">
        <v>2312</v>
      </c>
      <c r="J1780" s="13" t="str" cm="1">
        <f t="array" ref="J1780">_xlfn.IFS(K1780=1,"Divorciado",L1780=1,"Casado",M1780=1,"Solteiro",N1780=1,"Juntos",O1780=1,"Viuvo")</f>
        <v>Divorciado</v>
      </c>
      <c r="K1780" s="13">
        <v>1</v>
      </c>
      <c r="L1780" s="13">
        <v>0</v>
      </c>
      <c r="M1780" s="13">
        <v>0</v>
      </c>
      <c r="N1780" s="13">
        <v>0</v>
      </c>
      <c r="O1780" s="13">
        <v>0</v>
      </c>
      <c r="P1780" s="13">
        <v>0</v>
      </c>
      <c r="Q1780" s="13">
        <v>0</v>
      </c>
      <c r="R1780" s="13">
        <v>1</v>
      </c>
      <c r="S1780" s="13">
        <v>0</v>
      </c>
      <c r="T1780" s="13">
        <v>0</v>
      </c>
      <c r="U1780" s="13">
        <v>27</v>
      </c>
      <c r="V1780" s="13" t="str" cm="1">
        <f t="array" ref="V1780">_xlfn.IFS(U1780&lt;=250,"0-R$250",U1780&lt;=500,"251-R$500",U1780&lt;=750,"501-R$750",U1780&lt;=1000,"751-R$1000",U1780&lt;=1250,"1001-R$1250",U1780&lt;=1500,"1251-R$1500")</f>
        <v>0-R$250</v>
      </c>
      <c r="W1780" s="13">
        <v>1</v>
      </c>
      <c r="X1780" s="13" t="str" cm="1">
        <f t="array" ref="X1780">_xlfn.IFS(W1780 = 0, "0", W1780&lt;=20, "até R$20",W1780&lt;=40, "21 - R$40",W1780&lt;=60, "41- R$60",W1780&lt;=80, "61 - R$80", W1780&lt;=100, "81 - R$100",W1780&lt;=120, "101 - R$120",W1780&lt;=140, "121 - R$140", W1780&lt;=160, "141- R$160", W1780&lt;=180, "161 - R$180", W1780&lt;=200, "181-R$194")</f>
        <v>até R$20</v>
      </c>
      <c r="Y1780" s="13">
        <v>12</v>
      </c>
      <c r="Z1780" s="13">
        <v>2</v>
      </c>
      <c r="AA1780" s="13">
        <v>0</v>
      </c>
      <c r="AB1780" s="13">
        <v>10</v>
      </c>
      <c r="AC1780" s="13">
        <v>2</v>
      </c>
      <c r="AD1780" s="13">
        <v>2</v>
      </c>
      <c r="AE1780" s="13">
        <v>0</v>
      </c>
      <c r="AF1780" s="13">
        <v>3</v>
      </c>
      <c r="AG1780" s="13">
        <v>7</v>
      </c>
      <c r="AH1780" s="13">
        <v>0</v>
      </c>
      <c r="AI1780" s="13">
        <v>0</v>
      </c>
      <c r="AJ1780" s="13">
        <v>0</v>
      </c>
      <c r="AK1780" s="13">
        <v>0</v>
      </c>
      <c r="AL1780" s="13">
        <v>0</v>
      </c>
      <c r="AM1780" s="13">
        <v>0</v>
      </c>
      <c r="AN1780" s="13">
        <v>0</v>
      </c>
      <c r="AO1780" s="14">
        <v>0</v>
      </c>
      <c r="AP1780" s="13">
        <v>3</v>
      </c>
      <c r="AQ1780" s="13">
        <v>11</v>
      </c>
      <c r="AR1780" s="15">
        <v>32</v>
      </c>
      <c r="AS1780" s="15">
        <v>42</v>
      </c>
    </row>
    <row r="1781" spans="1:45" x14ac:dyDescent="0.25">
      <c r="A1781">
        <v>561</v>
      </c>
      <c r="B1781" s="11">
        <f t="shared" si="27"/>
        <v>13260</v>
      </c>
      <c r="C1781" s="16">
        <v>132600</v>
      </c>
      <c r="D1781" s="17">
        <v>1</v>
      </c>
      <c r="E1781" s="17">
        <v>1</v>
      </c>
      <c r="F1781" s="17">
        <v>48</v>
      </c>
      <c r="G1781" s="17">
        <v>50</v>
      </c>
      <c r="H1781" s="13" t="str" cm="1">
        <f t="array" ref="H1781">_xlfn.IFS(G1781&lt;=20,"0-20",G1781&lt;=30,"20-30",G1781&lt;=40,"30-40",G1781&lt;=50,"50-60",G1781&lt;=60,"60-70",G1781&lt;=70,"70-80",G1781&lt;=80,"80-90")</f>
        <v>50-60</v>
      </c>
      <c r="I1781" s="17">
        <v>2469</v>
      </c>
      <c r="J1781" s="13" t="str" cm="1">
        <f t="array" ref="J1781">_xlfn.IFS(K1781=1,"Divorciado",L1781=1,"Casado",M1781=1,"Solteiro",N1781=1,"Juntos",O1781=1,"Viuvo")</f>
        <v>Casado</v>
      </c>
      <c r="K1781" s="17">
        <v>0</v>
      </c>
      <c r="L1781" s="17">
        <v>1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1</v>
      </c>
      <c r="S1781" s="17">
        <v>0</v>
      </c>
      <c r="T1781" s="17">
        <v>0</v>
      </c>
      <c r="U1781" s="17">
        <v>9</v>
      </c>
      <c r="V1781" s="13" t="str" cm="1">
        <f t="array" ref="V1781">_xlfn.IFS(U1781&lt;=250,"0-R$250",U1781&lt;=500,"251-R$500",U1781&lt;=750,"501-R$750",U1781&lt;=1000,"751-R$1000",U1781&lt;=1250,"1001-R$1250",U1781&lt;=1500,"1251-R$1500")</f>
        <v>0-R$250</v>
      </c>
      <c r="W1781" s="17">
        <v>4</v>
      </c>
      <c r="X1781" s="13" t="str" cm="1">
        <f t="array" ref="X1781">_xlfn.IFS(W1781 = 0, "0", W1781&lt;=20, "até R$20",W1781&lt;=40, "21 - R$40",W1781&lt;=60, "41- R$60",W1781&lt;=80, "61 - R$80", W1781&lt;=100, "81 - R$100",W1781&lt;=120, "101 - R$120",W1781&lt;=140, "121 - R$140", W1781&lt;=160, "141- R$160", W1781&lt;=180, "161 - R$180", W1781&lt;=200, "181-R$194")</f>
        <v>até R$20</v>
      </c>
      <c r="Y1781" s="17">
        <v>17</v>
      </c>
      <c r="Z1781" s="17">
        <v>10</v>
      </c>
      <c r="AA1781" s="17">
        <v>2</v>
      </c>
      <c r="AB1781" s="17">
        <v>7</v>
      </c>
      <c r="AC1781" s="17">
        <v>4</v>
      </c>
      <c r="AD1781" s="17">
        <v>3</v>
      </c>
      <c r="AE1781" s="17">
        <v>0</v>
      </c>
      <c r="AF1781" s="17">
        <v>3</v>
      </c>
      <c r="AG1781" s="17">
        <v>8</v>
      </c>
      <c r="AH1781" s="17">
        <v>0</v>
      </c>
      <c r="AI1781" s="17">
        <v>0</v>
      </c>
      <c r="AJ1781" s="17">
        <v>0</v>
      </c>
      <c r="AK1781" s="17">
        <v>0</v>
      </c>
      <c r="AL1781" s="17">
        <v>0</v>
      </c>
      <c r="AM1781" s="17">
        <v>0</v>
      </c>
      <c r="AN1781" s="17">
        <v>0</v>
      </c>
      <c r="AO1781" s="18">
        <v>0</v>
      </c>
      <c r="AP1781" s="17">
        <v>3</v>
      </c>
      <c r="AQ1781" s="17">
        <v>11</v>
      </c>
      <c r="AR1781" s="19">
        <v>35</v>
      </c>
      <c r="AS1781" s="19">
        <v>42</v>
      </c>
    </row>
    <row r="1782" spans="1:45" x14ac:dyDescent="0.25">
      <c r="A1782">
        <v>634</v>
      </c>
      <c r="B1782" s="11">
        <f t="shared" si="27"/>
        <v>29103</v>
      </c>
      <c r="C1782" s="12">
        <v>291030</v>
      </c>
      <c r="D1782" s="13">
        <v>1</v>
      </c>
      <c r="E1782" s="13">
        <v>0</v>
      </c>
      <c r="F1782" s="13">
        <v>38</v>
      </c>
      <c r="G1782" s="13">
        <v>35</v>
      </c>
      <c r="H1782" s="13" t="str" cm="1">
        <f t="array" ref="H1782">_xlfn.IFS(G1782&lt;=20,"0-20",G1782&lt;=30,"20-30",G1782&lt;=40,"30-40",G1782&lt;=50,"50-60",G1782&lt;=60,"60-70",G1782&lt;=70,"70-80",G1782&lt;=80,"80-90")</f>
        <v>30-40</v>
      </c>
      <c r="I1782" s="13">
        <v>2830</v>
      </c>
      <c r="J1782" s="13" t="str" cm="1">
        <f t="array" ref="J1782">_xlfn.IFS(K1782=1,"Divorciado",L1782=1,"Casado",M1782=1,"Solteiro",N1782=1,"Juntos",O1782=1,"Viuvo")</f>
        <v>Juntos</v>
      </c>
      <c r="K1782" s="13">
        <v>0</v>
      </c>
      <c r="L1782" s="13">
        <v>0</v>
      </c>
      <c r="M1782" s="13">
        <v>0</v>
      </c>
      <c r="N1782" s="13">
        <v>1</v>
      </c>
      <c r="O1782" s="13">
        <v>0</v>
      </c>
      <c r="P1782" s="13">
        <v>0</v>
      </c>
      <c r="Q1782" s="13">
        <v>0</v>
      </c>
      <c r="R1782" s="13">
        <v>1</v>
      </c>
      <c r="S1782" s="13">
        <v>0</v>
      </c>
      <c r="T1782" s="13">
        <v>0</v>
      </c>
      <c r="U1782" s="13">
        <v>16</v>
      </c>
      <c r="V1782" s="13" t="str" cm="1">
        <f t="array" ref="V1782">_xlfn.IFS(U1782&lt;=250,"0-R$250",U1782&lt;=500,"251-R$500",U1782&lt;=750,"501-R$750",U1782&lt;=1000,"751-R$1000",U1782&lt;=1250,"1001-R$1250",U1782&lt;=1500,"1251-R$1500")</f>
        <v>0-R$250</v>
      </c>
      <c r="W1782" s="13">
        <v>0</v>
      </c>
      <c r="X1782" s="13" t="str" cm="1">
        <f t="array" ref="X1782">_xlfn.IFS(W1782 = 0, "0", W1782&lt;=20, "até R$20",W1782&lt;=40, "21 - R$40",W1782&lt;=60, "41- R$60",W1782&lt;=80, "61 - R$80", W1782&lt;=100, "81 - R$100",W1782&lt;=120, "101 - R$120",W1782&lt;=140, "121 - R$140", W1782&lt;=160, "141- R$160", W1782&lt;=180, "161 - R$180", W1782&lt;=200, "181-R$194")</f>
        <v>0</v>
      </c>
      <c r="Y1782" s="13">
        <v>17</v>
      </c>
      <c r="Z1782" s="13">
        <v>6</v>
      </c>
      <c r="AA1782" s="13">
        <v>3</v>
      </c>
      <c r="AB1782" s="13">
        <v>6</v>
      </c>
      <c r="AC1782" s="13">
        <v>2</v>
      </c>
      <c r="AD1782" s="13">
        <v>1</v>
      </c>
      <c r="AE1782" s="13">
        <v>0</v>
      </c>
      <c r="AF1782" s="13">
        <v>3</v>
      </c>
      <c r="AG1782" s="13">
        <v>9</v>
      </c>
      <c r="AH1782" s="13">
        <v>0</v>
      </c>
      <c r="AI1782" s="13">
        <v>0</v>
      </c>
      <c r="AJ1782" s="13">
        <v>0</v>
      </c>
      <c r="AK1782" s="13">
        <v>0</v>
      </c>
      <c r="AL1782" s="13">
        <v>0</v>
      </c>
      <c r="AM1782" s="13">
        <v>0</v>
      </c>
      <c r="AN1782" s="13">
        <v>0</v>
      </c>
      <c r="AO1782" s="14">
        <v>0</v>
      </c>
      <c r="AP1782" s="13">
        <v>3</v>
      </c>
      <c r="AQ1782" s="13">
        <v>11</v>
      </c>
      <c r="AR1782" s="15">
        <v>36</v>
      </c>
      <c r="AS1782" s="15">
        <v>42</v>
      </c>
    </row>
    <row r="1783" spans="1:45" x14ac:dyDescent="0.25">
      <c r="A1783">
        <v>1440</v>
      </c>
      <c r="B1783" s="11">
        <f t="shared" si="27"/>
        <v>28072</v>
      </c>
      <c r="C1783" s="12">
        <v>280720</v>
      </c>
      <c r="D1783" s="13">
        <v>1</v>
      </c>
      <c r="E1783" s="13">
        <v>0</v>
      </c>
      <c r="F1783" s="13">
        <v>10</v>
      </c>
      <c r="G1783" s="13">
        <v>34</v>
      </c>
      <c r="H1783" s="13" t="str" cm="1">
        <f t="array" ref="H1783">_xlfn.IFS(G1783&lt;=20,"0-20",G1783&lt;=30,"20-30",G1783&lt;=40,"30-40",G1783&lt;=50,"50-60",G1783&lt;=60,"60-70",G1783&lt;=70,"70-80",G1783&lt;=80,"80-90")</f>
        <v>30-40</v>
      </c>
      <c r="I1783" s="13">
        <v>2515</v>
      </c>
      <c r="J1783" s="13" t="str" cm="1">
        <f t="array" ref="J1783">_xlfn.IFS(K1783=1,"Divorciado",L1783=1,"Casado",M1783=1,"Solteiro",N1783=1,"Juntos",O1783=1,"Viuvo")</f>
        <v>Casado</v>
      </c>
      <c r="K1783" s="13">
        <v>0</v>
      </c>
      <c r="L1783" s="13">
        <v>1</v>
      </c>
      <c r="M1783" s="13">
        <v>0</v>
      </c>
      <c r="N1783" s="13">
        <v>0</v>
      </c>
      <c r="O1783" s="13">
        <v>0</v>
      </c>
      <c r="P1783" s="13">
        <v>0</v>
      </c>
      <c r="Q1783" s="13">
        <v>0</v>
      </c>
      <c r="R1783" s="13">
        <v>0</v>
      </c>
      <c r="S1783" s="13">
        <v>1</v>
      </c>
      <c r="T1783" s="13">
        <v>0</v>
      </c>
      <c r="U1783" s="13">
        <v>30</v>
      </c>
      <c r="V1783" s="13" t="str" cm="1">
        <f t="array" ref="V1783">_xlfn.IFS(U1783&lt;=250,"0-R$250",U1783&lt;=500,"251-R$500",U1783&lt;=750,"501-R$750",U1783&lt;=1000,"751-R$1000",U1783&lt;=1250,"1001-R$1250",U1783&lt;=1500,"1251-R$1500")</f>
        <v>0-R$250</v>
      </c>
      <c r="W1783" s="13">
        <v>0</v>
      </c>
      <c r="X1783" s="13" t="str" cm="1">
        <f t="array" ref="X1783">_xlfn.IFS(W1783 = 0, "0", W1783&lt;=20, "até R$20",W1783&lt;=40, "21 - R$40",W1783&lt;=60, "41- R$60",W1783&lt;=80, "61 - R$80", W1783&lt;=100, "81 - R$100",W1783&lt;=120, "101 - R$120",W1783&lt;=140, "121 - R$140", W1783&lt;=160, "141- R$160", W1783&lt;=180, "161 - R$180", W1783&lt;=200, "181-R$194")</f>
        <v>0</v>
      </c>
      <c r="Y1783" s="13">
        <v>10</v>
      </c>
      <c r="Z1783" s="13">
        <v>2</v>
      </c>
      <c r="AA1783" s="13">
        <v>0</v>
      </c>
      <c r="AB1783" s="13">
        <v>5</v>
      </c>
      <c r="AC1783" s="13">
        <v>1</v>
      </c>
      <c r="AD1783" s="13">
        <v>1</v>
      </c>
      <c r="AE1783" s="13">
        <v>0</v>
      </c>
      <c r="AF1783" s="13">
        <v>3</v>
      </c>
      <c r="AG1783" s="13">
        <v>7</v>
      </c>
      <c r="AH1783" s="13">
        <v>0</v>
      </c>
      <c r="AI1783" s="13">
        <v>0</v>
      </c>
      <c r="AJ1783" s="13">
        <v>0</v>
      </c>
      <c r="AK1783" s="13">
        <v>0</v>
      </c>
      <c r="AL1783" s="13">
        <v>0</v>
      </c>
      <c r="AM1783" s="13">
        <v>0</v>
      </c>
      <c r="AN1783" s="13">
        <v>0</v>
      </c>
      <c r="AO1783" s="14">
        <v>0</v>
      </c>
      <c r="AP1783" s="13">
        <v>3</v>
      </c>
      <c r="AQ1783" s="13">
        <v>11</v>
      </c>
      <c r="AR1783" s="15">
        <v>37</v>
      </c>
      <c r="AS1783" s="15">
        <v>42</v>
      </c>
    </row>
    <row r="1784" spans="1:45" x14ac:dyDescent="0.25">
      <c r="A1784">
        <v>2017</v>
      </c>
      <c r="B1784" s="11">
        <f t="shared" si="27"/>
        <v>29009</v>
      </c>
      <c r="C1784" s="16">
        <v>290090</v>
      </c>
      <c r="D1784" s="17">
        <v>1</v>
      </c>
      <c r="E1784" s="17">
        <v>0</v>
      </c>
      <c r="F1784" s="17">
        <v>19</v>
      </c>
      <c r="G1784" s="17">
        <v>39</v>
      </c>
      <c r="H1784" s="13" t="str" cm="1">
        <f t="array" ref="H1784">_xlfn.IFS(G1784&lt;=20,"0-20",G1784&lt;=30,"20-30",G1784&lt;=40,"30-40",G1784&lt;=50,"50-60",G1784&lt;=60,"60-70",G1784&lt;=70,"70-80",G1784&lt;=80,"80-90")</f>
        <v>30-40</v>
      </c>
      <c r="I1784" s="17">
        <v>2371</v>
      </c>
      <c r="J1784" s="13" t="str" cm="1">
        <f t="array" ref="J1784">_xlfn.IFS(K1784=1,"Divorciado",L1784=1,"Casado",M1784=1,"Solteiro",N1784=1,"Juntos",O1784=1,"Viuvo")</f>
        <v>Casado</v>
      </c>
      <c r="K1784" s="17">
        <v>0</v>
      </c>
      <c r="L1784" s="17">
        <v>1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1</v>
      </c>
      <c r="S1784" s="17">
        <v>0</v>
      </c>
      <c r="T1784" s="17">
        <v>0</v>
      </c>
      <c r="U1784" s="17">
        <v>6</v>
      </c>
      <c r="V1784" s="13" t="str" cm="1">
        <f t="array" ref="V1784">_xlfn.IFS(U1784&lt;=250,"0-R$250",U1784&lt;=500,"251-R$500",U1784&lt;=750,"501-R$750",U1784&lt;=1000,"751-R$1000",U1784&lt;=1250,"1001-R$1250",U1784&lt;=1500,"1251-R$1500")</f>
        <v>0-R$250</v>
      </c>
      <c r="W1784" s="17">
        <v>6</v>
      </c>
      <c r="X1784" s="13" t="str" cm="1">
        <f t="array" ref="X1784">_xlfn.IFS(W1784 = 0, "0", W1784&lt;=20, "até R$20",W1784&lt;=40, "21 - R$40",W1784&lt;=60, "41- R$60",W1784&lt;=80, "61 - R$80", W1784&lt;=100, "81 - R$100",W1784&lt;=120, "101 - R$120",W1784&lt;=140, "121 - R$140", W1784&lt;=160, "141- R$160", W1784&lt;=180, "161 - R$180", W1784&lt;=200, "181-R$194")</f>
        <v>até R$20</v>
      </c>
      <c r="Y1784" s="17">
        <v>15</v>
      </c>
      <c r="Z1784" s="17">
        <v>10</v>
      </c>
      <c r="AA1784" s="17">
        <v>5</v>
      </c>
      <c r="AB1784" s="17">
        <v>2</v>
      </c>
      <c r="AC1784" s="17">
        <v>2</v>
      </c>
      <c r="AD1784" s="17">
        <v>2</v>
      </c>
      <c r="AE1784" s="17">
        <v>0</v>
      </c>
      <c r="AF1784" s="17">
        <v>3</v>
      </c>
      <c r="AG1784" s="17">
        <v>6</v>
      </c>
      <c r="AH1784" s="17">
        <v>0</v>
      </c>
      <c r="AI1784" s="17">
        <v>0</v>
      </c>
      <c r="AJ1784" s="17">
        <v>0</v>
      </c>
      <c r="AK1784" s="17">
        <v>0</v>
      </c>
      <c r="AL1784" s="17">
        <v>0</v>
      </c>
      <c r="AM1784" s="17">
        <v>0</v>
      </c>
      <c r="AN1784" s="17">
        <v>0</v>
      </c>
      <c r="AO1784" s="18">
        <v>0</v>
      </c>
      <c r="AP1784" s="17">
        <v>3</v>
      </c>
      <c r="AQ1784" s="17">
        <v>11</v>
      </c>
      <c r="AR1784" s="19">
        <v>40</v>
      </c>
      <c r="AS1784" s="19">
        <v>42</v>
      </c>
    </row>
    <row r="1785" spans="1:45" x14ac:dyDescent="0.25">
      <c r="A1785">
        <v>14</v>
      </c>
      <c r="B1785" s="11">
        <f t="shared" si="27"/>
        <v>17323</v>
      </c>
      <c r="C1785" s="12">
        <v>173230</v>
      </c>
      <c r="D1785" s="13">
        <v>0</v>
      </c>
      <c r="E1785" s="13">
        <v>0</v>
      </c>
      <c r="F1785" s="13">
        <v>38</v>
      </c>
      <c r="G1785" s="13">
        <v>33</v>
      </c>
      <c r="H1785" s="13" t="str" cm="1">
        <f t="array" ref="H1785">_xlfn.IFS(G1785&lt;=20,"0-20",G1785&lt;=30,"20-30",G1785&lt;=40,"30-40",G1785&lt;=50,"50-60",G1785&lt;=60,"60-70",G1785&lt;=70,"70-80",G1785&lt;=80,"80-90")</f>
        <v>30-40</v>
      </c>
      <c r="I1785" s="13">
        <v>2786</v>
      </c>
      <c r="J1785" s="13" t="str" cm="1">
        <f t="array" ref="J1785">_xlfn.IFS(K1785=1,"Divorciado",L1785=1,"Casado",M1785=1,"Solteiro",N1785=1,"Juntos",O1785=1,"Viuvo")</f>
        <v>Casado</v>
      </c>
      <c r="K1785" s="13">
        <v>0</v>
      </c>
      <c r="L1785" s="13">
        <v>1</v>
      </c>
      <c r="M1785" s="13">
        <v>0</v>
      </c>
      <c r="N1785" s="13">
        <v>0</v>
      </c>
      <c r="O1785" s="13">
        <v>0</v>
      </c>
      <c r="P1785" s="13">
        <v>0</v>
      </c>
      <c r="Q1785" s="13">
        <v>0</v>
      </c>
      <c r="R1785" s="13">
        <v>1</v>
      </c>
      <c r="S1785" s="13">
        <v>0</v>
      </c>
      <c r="T1785" s="13">
        <v>0</v>
      </c>
      <c r="U1785" s="13">
        <v>3</v>
      </c>
      <c r="V1785" s="13" t="str" cm="1">
        <f t="array" ref="V1785">_xlfn.IFS(U1785&lt;=250,"0-R$250",U1785&lt;=500,"251-R$500",U1785&lt;=750,"501-R$750",U1785&lt;=1000,"751-R$1000",U1785&lt;=1250,"1001-R$1250",U1785&lt;=1500,"1251-R$1500")</f>
        <v>0-R$250</v>
      </c>
      <c r="W1785" s="13">
        <v>14</v>
      </c>
      <c r="X1785" s="13" t="str" cm="1">
        <f t="array" ref="X1785">_xlfn.IFS(W1785 = 0, "0", W1785&lt;=20, "até R$20",W1785&lt;=40, "21 - R$40",W1785&lt;=60, "41- R$60",W1785&lt;=80, "61 - R$80", W1785&lt;=100, "81 - R$100",W1785&lt;=120, "101 - R$120",W1785&lt;=140, "121 - R$140", W1785&lt;=160, "141- R$160", W1785&lt;=180, "161 - R$180", W1785&lt;=200, "181-R$194")</f>
        <v>até R$20</v>
      </c>
      <c r="Y1785" s="13">
        <v>17</v>
      </c>
      <c r="Z1785" s="13">
        <v>6</v>
      </c>
      <c r="AA1785" s="13">
        <v>1</v>
      </c>
      <c r="AB1785" s="13">
        <v>5</v>
      </c>
      <c r="AC1785" s="13">
        <v>1</v>
      </c>
      <c r="AD1785" s="13">
        <v>1</v>
      </c>
      <c r="AE1785" s="13">
        <v>0</v>
      </c>
      <c r="AF1785" s="13">
        <v>3</v>
      </c>
      <c r="AG1785" s="13">
        <v>8</v>
      </c>
      <c r="AH1785" s="13">
        <v>0</v>
      </c>
      <c r="AI1785" s="13">
        <v>0</v>
      </c>
      <c r="AJ1785" s="13">
        <v>0</v>
      </c>
      <c r="AK1785" s="13">
        <v>0</v>
      </c>
      <c r="AL1785" s="13">
        <v>0</v>
      </c>
      <c r="AM1785" s="13">
        <v>0</v>
      </c>
      <c r="AN1785" s="13">
        <v>0</v>
      </c>
      <c r="AO1785" s="14">
        <v>0</v>
      </c>
      <c r="AP1785" s="13">
        <v>3</v>
      </c>
      <c r="AQ1785" s="13">
        <v>11</v>
      </c>
      <c r="AR1785" s="15">
        <v>36</v>
      </c>
      <c r="AS1785" s="15">
        <v>41</v>
      </c>
    </row>
    <row r="1786" spans="1:45" x14ac:dyDescent="0.25">
      <c r="A1786">
        <v>115</v>
      </c>
      <c r="B1786" s="11">
        <f t="shared" si="27"/>
        <v>30992</v>
      </c>
      <c r="C1786" s="16">
        <v>309920</v>
      </c>
      <c r="D1786" s="17">
        <v>1</v>
      </c>
      <c r="E1786" s="17">
        <v>0</v>
      </c>
      <c r="F1786" s="17">
        <v>83</v>
      </c>
      <c r="G1786" s="17">
        <v>44</v>
      </c>
      <c r="H1786" s="13" t="str" cm="1">
        <f t="array" ref="H1786">_xlfn.IFS(G1786&lt;=20,"0-20",G1786&lt;=30,"20-30",G1786&lt;=40,"30-40",G1786&lt;=50,"50-60",G1786&lt;=60,"60-70",G1786&lt;=70,"70-80",G1786&lt;=80,"80-90")</f>
        <v>50-60</v>
      </c>
      <c r="I1786" s="17">
        <v>2592</v>
      </c>
      <c r="J1786" s="13" t="str" cm="1">
        <f t="array" ref="J1786">_xlfn.IFS(K1786=1,"Divorciado",L1786=1,"Casado",M1786=1,"Solteiro",N1786=1,"Juntos",O1786=1,"Viuvo")</f>
        <v>Divorciado</v>
      </c>
      <c r="K1786" s="17">
        <v>1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1</v>
      </c>
      <c r="S1786" s="17">
        <v>0</v>
      </c>
      <c r="T1786" s="17">
        <v>0</v>
      </c>
      <c r="U1786" s="17">
        <v>17</v>
      </c>
      <c r="V1786" s="13" t="str" cm="1">
        <f t="array" ref="V1786">_xlfn.IFS(U1786&lt;=250,"0-R$250",U1786&lt;=500,"251-R$500",U1786&lt;=750,"501-R$750",U1786&lt;=1000,"751-R$1000",U1786&lt;=1250,"1001-R$1250",U1786&lt;=1500,"1251-R$1500")</f>
        <v>0-R$250</v>
      </c>
      <c r="W1786" s="17">
        <v>0</v>
      </c>
      <c r="X1786" s="13" t="str" cm="1">
        <f t="array" ref="X1786">_xlfn.IFS(W1786 = 0, "0", W1786&lt;=20, "até R$20",W1786&lt;=40, "21 - R$40",W1786&lt;=60, "41- R$60",W1786&lt;=80, "61 - R$80", W1786&lt;=100, "81 - R$100",W1786&lt;=120, "101 - R$120",W1786&lt;=140, "121 - R$140", W1786&lt;=160, "141- R$160", W1786&lt;=180, "161 - R$180", W1786&lt;=200, "181-R$194")</f>
        <v>0</v>
      </c>
      <c r="Y1786" s="17">
        <v>14</v>
      </c>
      <c r="Z1786" s="17">
        <v>7</v>
      </c>
      <c r="AA1786" s="17">
        <v>3</v>
      </c>
      <c r="AB1786" s="17">
        <v>2</v>
      </c>
      <c r="AC1786" s="17">
        <v>1</v>
      </c>
      <c r="AD1786" s="17">
        <v>1</v>
      </c>
      <c r="AE1786" s="17">
        <v>0</v>
      </c>
      <c r="AF1786" s="17">
        <v>3</v>
      </c>
      <c r="AG1786" s="17">
        <v>7</v>
      </c>
      <c r="AH1786" s="17">
        <v>0</v>
      </c>
      <c r="AI1786" s="17">
        <v>0</v>
      </c>
      <c r="AJ1786" s="17">
        <v>0</v>
      </c>
      <c r="AK1786" s="17">
        <v>0</v>
      </c>
      <c r="AL1786" s="17">
        <v>0</v>
      </c>
      <c r="AM1786" s="17">
        <v>0</v>
      </c>
      <c r="AN1786" s="17">
        <v>0</v>
      </c>
      <c r="AO1786" s="18">
        <v>0</v>
      </c>
      <c r="AP1786" s="17">
        <v>3</v>
      </c>
      <c r="AQ1786" s="17">
        <v>11</v>
      </c>
      <c r="AR1786" s="19">
        <v>39</v>
      </c>
      <c r="AS1786" s="19">
        <v>41</v>
      </c>
    </row>
    <row r="1787" spans="1:45" x14ac:dyDescent="0.25">
      <c r="A1787">
        <v>160</v>
      </c>
      <c r="B1787" s="11">
        <f t="shared" si="27"/>
        <v>28718</v>
      </c>
      <c r="C1787" s="12">
        <v>287180</v>
      </c>
      <c r="D1787" s="13">
        <v>1</v>
      </c>
      <c r="E1787" s="13">
        <v>0</v>
      </c>
      <c r="F1787" s="13">
        <v>78</v>
      </c>
      <c r="G1787" s="13">
        <v>38</v>
      </c>
      <c r="H1787" s="13" t="str" cm="1">
        <f t="array" ref="H1787">_xlfn.IFS(G1787&lt;=20,"0-20",G1787&lt;=30,"20-30",G1787&lt;=40,"30-40",G1787&lt;=50,"50-60",G1787&lt;=60,"60-70",G1787&lt;=70,"70-80",G1787&lt;=80,"80-90")</f>
        <v>30-40</v>
      </c>
      <c r="I1787" s="13">
        <v>2510</v>
      </c>
      <c r="J1787" s="13" t="str" cm="1">
        <f t="array" ref="J1787">_xlfn.IFS(K1787=1,"Divorciado",L1787=1,"Casado",M1787=1,"Solteiro",N1787=1,"Juntos",O1787=1,"Viuvo")</f>
        <v>Casado</v>
      </c>
      <c r="K1787" s="13">
        <v>0</v>
      </c>
      <c r="L1787" s="13">
        <v>1</v>
      </c>
      <c r="M1787" s="13">
        <v>0</v>
      </c>
      <c r="N1787" s="13">
        <v>0</v>
      </c>
      <c r="O1787" s="13">
        <v>0</v>
      </c>
      <c r="P1787" s="13">
        <v>0</v>
      </c>
      <c r="Q1787" s="13">
        <v>0</v>
      </c>
      <c r="R1787" s="13">
        <v>1</v>
      </c>
      <c r="S1787" s="13">
        <v>0</v>
      </c>
      <c r="T1787" s="13">
        <v>0</v>
      </c>
      <c r="U1787" s="13">
        <v>12</v>
      </c>
      <c r="V1787" s="13" t="str" cm="1">
        <f t="array" ref="V1787">_xlfn.IFS(U1787&lt;=250,"0-R$250",U1787&lt;=500,"251-R$500",U1787&lt;=750,"501-R$750",U1787&lt;=1000,"751-R$1000",U1787&lt;=1250,"1001-R$1250",U1787&lt;=1500,"1251-R$1500")</f>
        <v>0-R$250</v>
      </c>
      <c r="W1787" s="13">
        <v>4</v>
      </c>
      <c r="X1787" s="13" t="str" cm="1">
        <f t="array" ref="X1787">_xlfn.IFS(W1787 = 0, "0", W1787&lt;=20, "até R$20",W1787&lt;=40, "21 - R$40",W1787&lt;=60, "41- R$60",W1787&lt;=80, "61 - R$80", W1787&lt;=100, "81 - R$100",W1787&lt;=120, "101 - R$120",W1787&lt;=140, "121 - R$140", W1787&lt;=160, "141- R$160", W1787&lt;=180, "161 - R$180", W1787&lt;=200, "181-R$194")</f>
        <v>até R$20</v>
      </c>
      <c r="Y1787" s="13">
        <v>6</v>
      </c>
      <c r="Z1787" s="13">
        <v>11</v>
      </c>
      <c r="AA1787" s="13">
        <v>8</v>
      </c>
      <c r="AB1787" s="13">
        <v>16</v>
      </c>
      <c r="AC1787" s="13">
        <v>2</v>
      </c>
      <c r="AD1787" s="13">
        <v>2</v>
      </c>
      <c r="AE1787" s="13">
        <v>0</v>
      </c>
      <c r="AF1787" s="13">
        <v>3</v>
      </c>
      <c r="AG1787" s="13">
        <v>8</v>
      </c>
      <c r="AH1787" s="13">
        <v>0</v>
      </c>
      <c r="AI1787" s="13">
        <v>0</v>
      </c>
      <c r="AJ1787" s="13">
        <v>0</v>
      </c>
      <c r="AK1787" s="13">
        <v>0</v>
      </c>
      <c r="AL1787" s="13">
        <v>0</v>
      </c>
      <c r="AM1787" s="13">
        <v>0</v>
      </c>
      <c r="AN1787" s="13">
        <v>0</v>
      </c>
      <c r="AO1787" s="14">
        <v>0</v>
      </c>
      <c r="AP1787" s="13">
        <v>3</v>
      </c>
      <c r="AQ1787" s="13">
        <v>11</v>
      </c>
      <c r="AR1787" s="15">
        <v>25</v>
      </c>
      <c r="AS1787" s="15">
        <v>41</v>
      </c>
    </row>
    <row r="1788" spans="1:45" x14ac:dyDescent="0.25">
      <c r="A1788">
        <v>291</v>
      </c>
      <c r="B1788" s="11">
        <f t="shared" si="27"/>
        <v>23976</v>
      </c>
      <c r="C1788" s="16">
        <v>239760</v>
      </c>
      <c r="D1788" s="17">
        <v>1</v>
      </c>
      <c r="E1788" s="17">
        <v>0</v>
      </c>
      <c r="F1788" s="17">
        <v>68</v>
      </c>
      <c r="G1788" s="17">
        <v>36</v>
      </c>
      <c r="H1788" s="13" t="str" cm="1">
        <f t="array" ref="H1788">_xlfn.IFS(G1788&lt;=20,"0-20",G1788&lt;=30,"20-30",G1788&lt;=40,"30-40",G1788&lt;=50,"50-60",G1788&lt;=60,"60-70",G1788&lt;=70,"70-80",G1788&lt;=80,"80-90")</f>
        <v>30-40</v>
      </c>
      <c r="I1788" s="17">
        <v>2343</v>
      </c>
      <c r="J1788" s="13" t="str" cm="1">
        <f t="array" ref="J1788">_xlfn.IFS(K1788=1,"Divorciado",L1788=1,"Casado",M1788=1,"Solteiro",N1788=1,"Juntos",O1788=1,"Viuvo")</f>
        <v>Juntos</v>
      </c>
      <c r="K1788" s="17">
        <v>0</v>
      </c>
      <c r="L1788" s="17">
        <v>0</v>
      </c>
      <c r="M1788" s="17">
        <v>0</v>
      </c>
      <c r="N1788" s="17">
        <v>1</v>
      </c>
      <c r="O1788" s="17">
        <v>0</v>
      </c>
      <c r="P1788" s="17">
        <v>0</v>
      </c>
      <c r="Q1788" s="17">
        <v>0</v>
      </c>
      <c r="R1788" s="17">
        <v>1</v>
      </c>
      <c r="S1788" s="17">
        <v>0</v>
      </c>
      <c r="T1788" s="17">
        <v>0</v>
      </c>
      <c r="U1788" s="17">
        <v>14</v>
      </c>
      <c r="V1788" s="13" t="str" cm="1">
        <f t="array" ref="V1788">_xlfn.IFS(U1788&lt;=250,"0-R$250",U1788&lt;=500,"251-R$500",U1788&lt;=750,"501-R$750",U1788&lt;=1000,"751-R$1000",U1788&lt;=1250,"1001-R$1250",U1788&lt;=1500,"1251-R$1500")</f>
        <v>0-R$250</v>
      </c>
      <c r="W1788" s="17">
        <v>1</v>
      </c>
      <c r="X1788" s="13" t="str" cm="1">
        <f t="array" ref="X1788">_xlfn.IFS(W1788 = 0, "0", W1788&lt;=20, "até R$20",W1788&lt;=40, "21 - R$40",W1788&lt;=60, "41- R$60",W1788&lt;=80, "61 - R$80", W1788&lt;=100, "81 - R$100",W1788&lt;=120, "101 - R$120",W1788&lt;=140, "121 - R$140", W1788&lt;=160, "141- R$160", W1788&lt;=180, "161 - R$180", W1788&lt;=200, "181-R$194")</f>
        <v>até R$20</v>
      </c>
      <c r="Y1788" s="17">
        <v>21</v>
      </c>
      <c r="Z1788" s="17">
        <v>2</v>
      </c>
      <c r="AA1788" s="17">
        <v>3</v>
      </c>
      <c r="AB1788" s="17">
        <v>25</v>
      </c>
      <c r="AC1788" s="17">
        <v>3</v>
      </c>
      <c r="AD1788" s="17">
        <v>3</v>
      </c>
      <c r="AE1788" s="17">
        <v>1</v>
      </c>
      <c r="AF1788" s="17">
        <v>3</v>
      </c>
      <c r="AG1788" s="17">
        <v>7</v>
      </c>
      <c r="AH1788" s="17">
        <v>0</v>
      </c>
      <c r="AI1788" s="17">
        <v>0</v>
      </c>
      <c r="AJ1788" s="17">
        <v>0</v>
      </c>
      <c r="AK1788" s="17">
        <v>0</v>
      </c>
      <c r="AL1788" s="17">
        <v>0</v>
      </c>
      <c r="AM1788" s="17">
        <v>0</v>
      </c>
      <c r="AN1788" s="17">
        <v>0</v>
      </c>
      <c r="AO1788" s="18">
        <v>0</v>
      </c>
      <c r="AP1788" s="17">
        <v>3</v>
      </c>
      <c r="AQ1788" s="17">
        <v>11</v>
      </c>
      <c r="AR1788" s="19">
        <v>16</v>
      </c>
      <c r="AS1788" s="19">
        <v>41</v>
      </c>
    </row>
    <row r="1789" spans="1:45" x14ac:dyDescent="0.25">
      <c r="A1789">
        <v>318</v>
      </c>
      <c r="B1789" s="11">
        <f t="shared" si="27"/>
        <v>35178</v>
      </c>
      <c r="C1789" s="12">
        <v>351780</v>
      </c>
      <c r="D1789" s="13">
        <v>1</v>
      </c>
      <c r="E1789" s="13">
        <v>0</v>
      </c>
      <c r="F1789" s="13">
        <v>10</v>
      </c>
      <c r="G1789" s="13">
        <v>49</v>
      </c>
      <c r="H1789" s="13" t="str" cm="1">
        <f t="array" ref="H1789">_xlfn.IFS(G1789&lt;=20,"0-20",G1789&lt;=30,"20-30",G1789&lt;=40,"30-40",G1789&lt;=50,"50-60",G1789&lt;=60,"60-70",G1789&lt;=70,"70-80",G1789&lt;=80,"80-90")</f>
        <v>50-60</v>
      </c>
      <c r="I1789" s="13">
        <v>2694</v>
      </c>
      <c r="J1789" s="13" t="str" cm="1">
        <f t="array" ref="J1789">_xlfn.IFS(K1789=1,"Divorciado",L1789=1,"Casado",M1789=1,"Solteiro",N1789=1,"Juntos",O1789=1,"Viuvo")</f>
        <v>Casado</v>
      </c>
      <c r="K1789" s="13">
        <v>0</v>
      </c>
      <c r="L1789" s="13">
        <v>1</v>
      </c>
      <c r="M1789" s="13">
        <v>0</v>
      </c>
      <c r="N1789" s="13">
        <v>0</v>
      </c>
      <c r="O1789" s="13">
        <v>0</v>
      </c>
      <c r="P1789" s="13">
        <v>0</v>
      </c>
      <c r="Q1789" s="13">
        <v>0</v>
      </c>
      <c r="R1789" s="13">
        <v>0</v>
      </c>
      <c r="S1789" s="13">
        <v>1</v>
      </c>
      <c r="T1789" s="13">
        <v>0</v>
      </c>
      <c r="U1789" s="13">
        <v>23</v>
      </c>
      <c r="V1789" s="13" t="str" cm="1">
        <f t="array" ref="V1789">_xlfn.IFS(U1789&lt;=250,"0-R$250",U1789&lt;=500,"251-R$500",U1789&lt;=750,"501-R$750",U1789&lt;=1000,"751-R$1000",U1789&lt;=1250,"1001-R$1250",U1789&lt;=1500,"1251-R$1500")</f>
        <v>0-R$250</v>
      </c>
      <c r="W1789" s="13">
        <v>1</v>
      </c>
      <c r="X1789" s="13" t="str" cm="1">
        <f t="array" ref="X1789">_xlfn.IFS(W1789 = 0, "0", W1789&lt;=20, "até R$20",W1789&lt;=40, "21 - R$40",W1789&lt;=60, "41- R$60",W1789&lt;=80, "61 - R$80", W1789&lt;=100, "81 - R$100",W1789&lt;=120, "101 - R$120",W1789&lt;=140, "121 - R$140", W1789&lt;=160, "141- R$160", W1789&lt;=180, "161 - R$180", W1789&lt;=200, "181-R$194")</f>
        <v>até R$20</v>
      </c>
      <c r="Y1789" s="13">
        <v>13</v>
      </c>
      <c r="Z1789" s="13">
        <v>2</v>
      </c>
      <c r="AA1789" s="13">
        <v>2</v>
      </c>
      <c r="AB1789" s="13">
        <v>18</v>
      </c>
      <c r="AC1789" s="13">
        <v>1</v>
      </c>
      <c r="AD1789" s="13">
        <v>1</v>
      </c>
      <c r="AE1789" s="13">
        <v>1</v>
      </c>
      <c r="AF1789" s="13">
        <v>2</v>
      </c>
      <c r="AG1789" s="13">
        <v>7</v>
      </c>
      <c r="AH1789" s="13">
        <v>0</v>
      </c>
      <c r="AI1789" s="13">
        <v>1</v>
      </c>
      <c r="AJ1789" s="13">
        <v>0</v>
      </c>
      <c r="AK1789" s="13">
        <v>0</v>
      </c>
      <c r="AL1789" s="13">
        <v>0</v>
      </c>
      <c r="AM1789" s="13">
        <v>0</v>
      </c>
      <c r="AN1789" s="13">
        <v>1</v>
      </c>
      <c r="AO1789" s="14">
        <v>1</v>
      </c>
      <c r="AP1789" s="13">
        <v>3</v>
      </c>
      <c r="AQ1789" s="13">
        <v>11</v>
      </c>
      <c r="AR1789" s="15">
        <v>23</v>
      </c>
      <c r="AS1789" s="15">
        <v>41</v>
      </c>
    </row>
    <row r="1790" spans="1:45" x14ac:dyDescent="0.25">
      <c r="A1790">
        <v>322</v>
      </c>
      <c r="B1790" s="11">
        <f t="shared" si="27"/>
        <v>30675</v>
      </c>
      <c r="C1790" s="12">
        <v>306750</v>
      </c>
      <c r="D1790" s="13">
        <v>1</v>
      </c>
      <c r="E1790" s="13">
        <v>0</v>
      </c>
      <c r="F1790" s="13">
        <v>14</v>
      </c>
      <c r="G1790" s="13">
        <v>48</v>
      </c>
      <c r="H1790" s="13" t="str" cm="1">
        <f t="array" ref="H1790">_xlfn.IFS(G1790&lt;=20,"0-20",G1790&lt;=30,"20-30",G1790&lt;=40,"30-40",G1790&lt;=50,"50-60",G1790&lt;=60,"60-70",G1790&lt;=70,"70-80",G1790&lt;=80,"80-90")</f>
        <v>50-60</v>
      </c>
      <c r="I1790" s="13">
        <v>2753</v>
      </c>
      <c r="J1790" s="13" t="str" cm="1">
        <f t="array" ref="J1790">_xlfn.IFS(K1790=1,"Divorciado",L1790=1,"Casado",M1790=1,"Solteiro",N1790=1,"Juntos",O1790=1,"Viuvo")</f>
        <v>Casado</v>
      </c>
      <c r="K1790" s="13">
        <v>0</v>
      </c>
      <c r="L1790" s="13">
        <v>1</v>
      </c>
      <c r="M1790" s="13">
        <v>0</v>
      </c>
      <c r="N1790" s="13">
        <v>0</v>
      </c>
      <c r="O1790" s="13">
        <v>0</v>
      </c>
      <c r="P1790" s="13">
        <v>0</v>
      </c>
      <c r="Q1790" s="13">
        <v>0</v>
      </c>
      <c r="R1790" s="13">
        <v>1</v>
      </c>
      <c r="S1790" s="13">
        <v>0</v>
      </c>
      <c r="T1790" s="13">
        <v>0</v>
      </c>
      <c r="U1790" s="13">
        <v>10</v>
      </c>
      <c r="V1790" s="13" t="str" cm="1">
        <f t="array" ref="V1790">_xlfn.IFS(U1790&lt;=250,"0-R$250",U1790&lt;=500,"251-R$500",U1790&lt;=750,"501-R$750",U1790&lt;=1000,"751-R$1000",U1790&lt;=1250,"1001-R$1250",U1790&lt;=1500,"1251-R$1500")</f>
        <v>0-R$250</v>
      </c>
      <c r="W1790" s="13">
        <v>2</v>
      </c>
      <c r="X1790" s="13" t="str" cm="1">
        <f t="array" ref="X1790">_xlfn.IFS(W1790 = 0, "0", W1790&lt;=20, "até R$20",W1790&lt;=40, "21 - R$40",W1790&lt;=60, "41- R$60",W1790&lt;=80, "61 - R$80", W1790&lt;=100, "81 - R$100",W1790&lt;=120, "101 - R$120",W1790&lt;=140, "121 - R$140", W1790&lt;=160, "141- R$160", W1790&lt;=180, "161 - R$180", W1790&lt;=200, "181-R$194")</f>
        <v>até R$20</v>
      </c>
      <c r="Y1790" s="13">
        <v>16</v>
      </c>
      <c r="Z1790" s="13">
        <v>11</v>
      </c>
      <c r="AA1790" s="13">
        <v>2</v>
      </c>
      <c r="AB1790" s="13">
        <v>21</v>
      </c>
      <c r="AC1790" s="13">
        <v>1</v>
      </c>
      <c r="AD1790" s="13">
        <v>1</v>
      </c>
      <c r="AE1790" s="13">
        <v>0</v>
      </c>
      <c r="AF1790" s="13">
        <v>3</v>
      </c>
      <c r="AG1790" s="13">
        <v>8</v>
      </c>
      <c r="AH1790" s="13">
        <v>0</v>
      </c>
      <c r="AI1790" s="13">
        <v>0</v>
      </c>
      <c r="AJ1790" s="13">
        <v>0</v>
      </c>
      <c r="AK1790" s="13">
        <v>0</v>
      </c>
      <c r="AL1790" s="13">
        <v>0</v>
      </c>
      <c r="AM1790" s="13">
        <v>0</v>
      </c>
      <c r="AN1790" s="13">
        <v>0</v>
      </c>
      <c r="AO1790" s="14">
        <v>0</v>
      </c>
      <c r="AP1790" s="13">
        <v>3</v>
      </c>
      <c r="AQ1790" s="13">
        <v>11</v>
      </c>
      <c r="AR1790" s="15">
        <v>20</v>
      </c>
      <c r="AS1790" s="15">
        <v>41</v>
      </c>
    </row>
    <row r="1791" spans="1:45" x14ac:dyDescent="0.25">
      <c r="A1791">
        <v>480</v>
      </c>
      <c r="B1791" s="11">
        <f t="shared" si="27"/>
        <v>55563</v>
      </c>
      <c r="C1791" s="12">
        <v>555630</v>
      </c>
      <c r="D1791" s="13">
        <v>0</v>
      </c>
      <c r="E1791" s="13">
        <v>1</v>
      </c>
      <c r="F1791" s="13">
        <v>22</v>
      </c>
      <c r="G1791" s="13">
        <v>42</v>
      </c>
      <c r="H1791" s="13" t="str" cm="1">
        <f t="array" ref="H1791">_xlfn.IFS(G1791&lt;=20,"0-20",G1791&lt;=30,"20-30",G1791&lt;=40,"30-40",G1791&lt;=50,"50-60",G1791&lt;=60,"60-70",G1791&lt;=70,"70-80",G1791&lt;=80,"80-90")</f>
        <v>50-60</v>
      </c>
      <c r="I1791" s="13">
        <v>2244</v>
      </c>
      <c r="J1791" s="13" t="str" cm="1">
        <f t="array" ref="J1791">_xlfn.IFS(K1791=1,"Divorciado",L1791=1,"Casado",M1791=1,"Solteiro",N1791=1,"Juntos",O1791=1,"Viuvo")</f>
        <v>Divorciado</v>
      </c>
      <c r="K1791" s="13">
        <v>1</v>
      </c>
      <c r="L1791" s="13">
        <v>0</v>
      </c>
      <c r="M1791" s="13">
        <v>0</v>
      </c>
      <c r="N1791" s="13">
        <v>0</v>
      </c>
      <c r="O1791" s="13">
        <v>0</v>
      </c>
      <c r="P1791" s="13">
        <v>0</v>
      </c>
      <c r="Q1791" s="13">
        <v>0</v>
      </c>
      <c r="R1791" s="13">
        <v>1</v>
      </c>
      <c r="S1791" s="13">
        <v>0</v>
      </c>
      <c r="T1791" s="13">
        <v>0</v>
      </c>
      <c r="U1791" s="13">
        <v>29</v>
      </c>
      <c r="V1791" s="13" t="str" cm="1">
        <f t="array" ref="V1791">_xlfn.IFS(U1791&lt;=250,"0-R$250",U1791&lt;=500,"251-R$500",U1791&lt;=750,"501-R$750",U1791&lt;=1000,"751-R$1000",U1791&lt;=1250,"1001-R$1250",U1791&lt;=1500,"1251-R$1500")</f>
        <v>0-R$250</v>
      </c>
      <c r="W1791" s="13">
        <v>1</v>
      </c>
      <c r="X1791" s="13" t="str" cm="1">
        <f t="array" ref="X1791">_xlfn.IFS(W1791 = 0, "0", W1791&lt;=20, "até R$20",W1791&lt;=40, "21 - R$40",W1791&lt;=60, "41- R$60",W1791&lt;=80, "61 - R$80", W1791&lt;=100, "81 - R$100",W1791&lt;=120, "101 - R$120",W1791&lt;=140, "121 - R$140", W1791&lt;=160, "141- R$160", W1791&lt;=180, "161 - R$180", W1791&lt;=200, "181-R$194")</f>
        <v>até R$20</v>
      </c>
      <c r="Y1791" s="13">
        <v>9</v>
      </c>
      <c r="Z1791" s="13">
        <v>2</v>
      </c>
      <c r="AA1791" s="13">
        <v>0</v>
      </c>
      <c r="AB1791" s="13">
        <v>2</v>
      </c>
      <c r="AC1791" s="13">
        <v>1</v>
      </c>
      <c r="AD1791" s="13">
        <v>2</v>
      </c>
      <c r="AE1791" s="13">
        <v>0</v>
      </c>
      <c r="AF1791" s="13">
        <v>3</v>
      </c>
      <c r="AG1791" s="13">
        <v>3</v>
      </c>
      <c r="AH1791" s="13">
        <v>0</v>
      </c>
      <c r="AI1791" s="13">
        <v>0</v>
      </c>
      <c r="AJ1791" s="13">
        <v>0</v>
      </c>
      <c r="AK1791" s="13">
        <v>0</v>
      </c>
      <c r="AL1791" s="13">
        <v>0</v>
      </c>
      <c r="AM1791" s="13">
        <v>0</v>
      </c>
      <c r="AN1791" s="13">
        <v>0</v>
      </c>
      <c r="AO1791" s="14">
        <v>0</v>
      </c>
      <c r="AP1791" s="13">
        <v>3</v>
      </c>
      <c r="AQ1791" s="13">
        <v>11</v>
      </c>
      <c r="AR1791" s="15">
        <v>39</v>
      </c>
      <c r="AS1791" s="15">
        <v>41</v>
      </c>
    </row>
    <row r="1792" spans="1:45" x14ac:dyDescent="0.25">
      <c r="A1792">
        <v>532</v>
      </c>
      <c r="B1792" s="11">
        <f t="shared" si="27"/>
        <v>19514</v>
      </c>
      <c r="C1792" s="12">
        <v>195140</v>
      </c>
      <c r="D1792" s="13">
        <v>1</v>
      </c>
      <c r="E1792" s="13">
        <v>1</v>
      </c>
      <c r="F1792" s="13">
        <v>47</v>
      </c>
      <c r="G1792" s="13">
        <v>52</v>
      </c>
      <c r="H1792" s="13" t="str" cm="1">
        <f t="array" ref="H1792">_xlfn.IFS(G1792&lt;=20,"0-20",G1792&lt;=30,"20-30",G1792&lt;=40,"30-40",G1792&lt;=50,"50-60",G1792&lt;=60,"60-70",G1792&lt;=70,"70-80",G1792&lt;=80,"80-90")</f>
        <v>60-70</v>
      </c>
      <c r="I1792" s="13">
        <v>2313</v>
      </c>
      <c r="J1792" s="13" t="str" cm="1">
        <f t="array" ref="J1792">_xlfn.IFS(K1792=1,"Divorciado",L1792=1,"Casado",M1792=1,"Solteiro",N1792=1,"Juntos",O1792=1,"Viuvo")</f>
        <v>Casado</v>
      </c>
      <c r="K1792" s="13">
        <v>0</v>
      </c>
      <c r="L1792" s="13">
        <v>1</v>
      </c>
      <c r="M1792" s="13">
        <v>0</v>
      </c>
      <c r="N1792" s="13">
        <v>0</v>
      </c>
      <c r="O1792" s="13">
        <v>0</v>
      </c>
      <c r="P1792" s="13">
        <v>0</v>
      </c>
      <c r="Q1792" s="13">
        <v>0</v>
      </c>
      <c r="R1792" s="13">
        <v>1</v>
      </c>
      <c r="S1792" s="13">
        <v>0</v>
      </c>
      <c r="T1792" s="13">
        <v>0</v>
      </c>
      <c r="U1792" s="13">
        <v>14</v>
      </c>
      <c r="V1792" s="13" t="str" cm="1">
        <f t="array" ref="V1792">_xlfn.IFS(U1792&lt;=250,"0-R$250",U1792&lt;=500,"251-R$500",U1792&lt;=750,"501-R$750",U1792&lt;=1000,"751-R$1000",U1792&lt;=1250,"1001-R$1250",U1792&lt;=1500,"1251-R$1500")</f>
        <v>0-R$250</v>
      </c>
      <c r="W1792" s="13">
        <v>3</v>
      </c>
      <c r="X1792" s="13" t="str" cm="1">
        <f t="array" ref="X1792">_xlfn.IFS(W1792 = 0, "0", W1792&lt;=20, "até R$20",W1792&lt;=40, "21 - R$40",W1792&lt;=60, "41- R$60",W1792&lt;=80, "61 - R$80", W1792&lt;=100, "81 - R$100",W1792&lt;=120, "101 - R$120",W1792&lt;=140, "121 - R$140", W1792&lt;=160, "141- R$160", W1792&lt;=180, "161 - R$180", W1792&lt;=200, "181-R$194")</f>
        <v>até R$20</v>
      </c>
      <c r="Y1792" s="13">
        <v>21</v>
      </c>
      <c r="Z1792" s="13">
        <v>2</v>
      </c>
      <c r="AA1792" s="13">
        <v>1</v>
      </c>
      <c r="AB1792" s="13">
        <v>28</v>
      </c>
      <c r="AC1792" s="13">
        <v>4</v>
      </c>
      <c r="AD1792" s="13">
        <v>3</v>
      </c>
      <c r="AE1792" s="13">
        <v>1</v>
      </c>
      <c r="AF1792" s="13">
        <v>2</v>
      </c>
      <c r="AG1792" s="13">
        <v>8</v>
      </c>
      <c r="AH1792" s="13">
        <v>0</v>
      </c>
      <c r="AI1792" s="13">
        <v>1</v>
      </c>
      <c r="AJ1792" s="13">
        <v>0</v>
      </c>
      <c r="AK1792" s="13">
        <v>0</v>
      </c>
      <c r="AL1792" s="13">
        <v>0</v>
      </c>
      <c r="AM1792" s="13">
        <v>0</v>
      </c>
      <c r="AN1792" s="13">
        <v>1</v>
      </c>
      <c r="AO1792" s="14">
        <v>1</v>
      </c>
      <c r="AP1792" s="13">
        <v>3</v>
      </c>
      <c r="AQ1792" s="13">
        <v>11</v>
      </c>
      <c r="AR1792" s="15">
        <v>13</v>
      </c>
      <c r="AS1792" s="15">
        <v>41</v>
      </c>
    </row>
    <row r="1793" spans="1:45" x14ac:dyDescent="0.25">
      <c r="A1793">
        <v>647</v>
      </c>
      <c r="B1793" s="11">
        <f t="shared" si="27"/>
        <v>18690</v>
      </c>
      <c r="C1793" s="16">
        <v>186900</v>
      </c>
      <c r="D1793" s="17">
        <v>0</v>
      </c>
      <c r="E1793" s="17">
        <v>0</v>
      </c>
      <c r="F1793" s="17">
        <v>77</v>
      </c>
      <c r="G1793" s="17">
        <v>61</v>
      </c>
      <c r="H1793" s="13" t="str" cm="1">
        <f t="array" ref="H1793">_xlfn.IFS(G1793&lt;=20,"0-20",G1793&lt;=30,"20-30",G1793&lt;=40,"30-40",G1793&lt;=50,"50-60",G1793&lt;=60,"60-70",G1793&lt;=70,"70-80",G1793&lt;=80,"80-90")</f>
        <v>70-80</v>
      </c>
      <c r="I1793" s="17">
        <v>2707</v>
      </c>
      <c r="J1793" s="13" t="str" cm="1">
        <f t="array" ref="J1793">_xlfn.IFS(K1793=1,"Divorciado",L1793=1,"Casado",M1793=1,"Solteiro",N1793=1,"Juntos",O1793=1,"Viuvo")</f>
        <v>Casado</v>
      </c>
      <c r="K1793" s="17">
        <v>0</v>
      </c>
      <c r="L1793" s="17">
        <v>1</v>
      </c>
      <c r="M1793" s="17">
        <v>0</v>
      </c>
      <c r="N1793" s="17">
        <v>0</v>
      </c>
      <c r="O1793" s="17">
        <v>0</v>
      </c>
      <c r="P1793" s="17">
        <v>0</v>
      </c>
      <c r="Q1793" s="17">
        <v>0</v>
      </c>
      <c r="R1793" s="17">
        <v>1</v>
      </c>
      <c r="S1793" s="17">
        <v>0</v>
      </c>
      <c r="T1793" s="17">
        <v>0</v>
      </c>
      <c r="U1793" s="17">
        <v>6</v>
      </c>
      <c r="V1793" s="13" t="str" cm="1">
        <f t="array" ref="V1793">_xlfn.IFS(U1793&lt;=250,"0-R$250",U1793&lt;=500,"251-R$500",U1793&lt;=750,"501-R$750",U1793&lt;=1000,"751-R$1000",U1793&lt;=1250,"1001-R$1250",U1793&lt;=1500,"1251-R$1500")</f>
        <v>0-R$250</v>
      </c>
      <c r="W1793" s="17">
        <v>1</v>
      </c>
      <c r="X1793" s="13" t="str" cm="1">
        <f t="array" ref="X1793">_xlfn.IFS(W1793 = 0, "0", W1793&lt;=20, "até R$20",W1793&lt;=40, "21 - R$40",W1793&lt;=60, "41- R$60",W1793&lt;=80, "61 - R$80", W1793&lt;=100, "81 - R$100",W1793&lt;=120, "101 - R$120",W1793&lt;=140, "121 - R$140", W1793&lt;=160, "141- R$160", W1793&lt;=180, "161 - R$180", W1793&lt;=200, "181-R$194")</f>
        <v>até R$20</v>
      </c>
      <c r="Y1793" s="17">
        <v>7</v>
      </c>
      <c r="Z1793" s="17">
        <v>23</v>
      </c>
      <c r="AA1793" s="17">
        <v>4</v>
      </c>
      <c r="AB1793" s="17">
        <v>19</v>
      </c>
      <c r="AC1793" s="17">
        <v>1</v>
      </c>
      <c r="AD1793" s="17">
        <v>1</v>
      </c>
      <c r="AE1793" s="17">
        <v>1</v>
      </c>
      <c r="AF1793" s="17">
        <v>2</v>
      </c>
      <c r="AG1793" s="17">
        <v>8</v>
      </c>
      <c r="AH1793" s="17">
        <v>0</v>
      </c>
      <c r="AI1793" s="17">
        <v>0</v>
      </c>
      <c r="AJ1793" s="17">
        <v>0</v>
      </c>
      <c r="AK1793" s="17">
        <v>0</v>
      </c>
      <c r="AL1793" s="17">
        <v>0</v>
      </c>
      <c r="AM1793" s="17">
        <v>0</v>
      </c>
      <c r="AN1793" s="17">
        <v>0</v>
      </c>
      <c r="AO1793" s="18">
        <v>0</v>
      </c>
      <c r="AP1793" s="17">
        <v>3</v>
      </c>
      <c r="AQ1793" s="17">
        <v>11</v>
      </c>
      <c r="AR1793" s="19">
        <v>22</v>
      </c>
      <c r="AS1793" s="19">
        <v>41</v>
      </c>
    </row>
    <row r="1794" spans="1:45" x14ac:dyDescent="0.25">
      <c r="A1794">
        <v>690</v>
      </c>
      <c r="B1794" s="11">
        <f t="shared" ref="B1794:B1857" si="28">C1794/10</f>
        <v>35178</v>
      </c>
      <c r="C1794" s="12">
        <v>351780</v>
      </c>
      <c r="D1794" s="13">
        <v>1</v>
      </c>
      <c r="E1794" s="13">
        <v>0</v>
      </c>
      <c r="F1794" s="13">
        <v>10</v>
      </c>
      <c r="G1794" s="13">
        <v>49</v>
      </c>
      <c r="H1794" s="13" t="str" cm="1">
        <f t="array" ref="H1794">_xlfn.IFS(G1794&lt;=20,"0-20",G1794&lt;=30,"20-30",G1794&lt;=40,"30-40",G1794&lt;=50,"50-60",G1794&lt;=60,"60-70",G1794&lt;=70,"70-80",G1794&lt;=80,"80-90")</f>
        <v>50-60</v>
      </c>
      <c r="I1794" s="13">
        <v>2694</v>
      </c>
      <c r="J1794" s="13" t="str" cm="1">
        <f t="array" ref="J1794">_xlfn.IFS(K1794=1,"Divorciado",L1794=1,"Casado",M1794=1,"Solteiro",N1794=1,"Juntos",O1794=1,"Viuvo")</f>
        <v>Casado</v>
      </c>
      <c r="K1794" s="13">
        <v>0</v>
      </c>
      <c r="L1794" s="13">
        <v>1</v>
      </c>
      <c r="M1794" s="13">
        <v>0</v>
      </c>
      <c r="N1794" s="13">
        <v>0</v>
      </c>
      <c r="O1794" s="13">
        <v>0</v>
      </c>
      <c r="P1794" s="13">
        <v>0</v>
      </c>
      <c r="Q1794" s="13">
        <v>0</v>
      </c>
      <c r="R1794" s="13">
        <v>0</v>
      </c>
      <c r="S1794" s="13">
        <v>1</v>
      </c>
      <c r="T1794" s="13">
        <v>0</v>
      </c>
      <c r="U1794" s="13">
        <v>23</v>
      </c>
      <c r="V1794" s="13" t="str" cm="1">
        <f t="array" ref="V1794">_xlfn.IFS(U1794&lt;=250,"0-R$250",U1794&lt;=500,"251-R$500",U1794&lt;=750,"501-R$750",U1794&lt;=1000,"751-R$1000",U1794&lt;=1250,"1001-R$1250",U1794&lt;=1500,"1251-R$1500")</f>
        <v>0-R$250</v>
      </c>
      <c r="W1794" s="13">
        <v>1</v>
      </c>
      <c r="X1794" s="13" t="str" cm="1">
        <f t="array" ref="X1794">_xlfn.IFS(W1794 = 0, "0", W1794&lt;=20, "até R$20",W1794&lt;=40, "21 - R$40",W1794&lt;=60, "41- R$60",W1794&lt;=80, "61 - R$80", W1794&lt;=100, "81 - R$100",W1794&lt;=120, "101 - R$120",W1794&lt;=140, "121 - R$140", W1794&lt;=160, "141- R$160", W1794&lt;=180, "161 - R$180", W1794&lt;=200, "181-R$194")</f>
        <v>até R$20</v>
      </c>
      <c r="Y1794" s="13">
        <v>13</v>
      </c>
      <c r="Z1794" s="13">
        <v>2</v>
      </c>
      <c r="AA1794" s="13">
        <v>2</v>
      </c>
      <c r="AB1794" s="13">
        <v>18</v>
      </c>
      <c r="AC1794" s="13">
        <v>1</v>
      </c>
      <c r="AD1794" s="13">
        <v>1</v>
      </c>
      <c r="AE1794" s="13">
        <v>1</v>
      </c>
      <c r="AF1794" s="13">
        <v>2</v>
      </c>
      <c r="AG1794" s="13">
        <v>7</v>
      </c>
      <c r="AH1794" s="13">
        <v>0</v>
      </c>
      <c r="AI1794" s="13">
        <v>1</v>
      </c>
      <c r="AJ1794" s="13">
        <v>0</v>
      </c>
      <c r="AK1794" s="13">
        <v>0</v>
      </c>
      <c r="AL1794" s="13">
        <v>0</v>
      </c>
      <c r="AM1794" s="13">
        <v>0</v>
      </c>
      <c r="AN1794" s="13">
        <v>1</v>
      </c>
      <c r="AO1794" s="14">
        <v>1</v>
      </c>
      <c r="AP1794" s="13">
        <v>3</v>
      </c>
      <c r="AQ1794" s="13">
        <v>11</v>
      </c>
      <c r="AR1794" s="15">
        <v>23</v>
      </c>
      <c r="AS1794" s="15">
        <v>41</v>
      </c>
    </row>
    <row r="1795" spans="1:45" x14ac:dyDescent="0.25">
      <c r="A1795">
        <v>767</v>
      </c>
      <c r="B1795" s="11">
        <f t="shared" si="28"/>
        <v>17144</v>
      </c>
      <c r="C1795" s="16">
        <v>171440</v>
      </c>
      <c r="D1795" s="17">
        <v>1</v>
      </c>
      <c r="E1795" s="17">
        <v>1</v>
      </c>
      <c r="F1795" s="17">
        <v>96</v>
      </c>
      <c r="G1795" s="17">
        <v>60</v>
      </c>
      <c r="H1795" s="13" t="str" cm="1">
        <f t="array" ref="H1795">_xlfn.IFS(G1795&lt;=20,"0-20",G1795&lt;=30,"20-30",G1795&lt;=40,"30-40",G1795&lt;=50,"50-60",G1795&lt;=60,"60-70",G1795&lt;=70,"70-80",G1795&lt;=80,"80-90")</f>
        <v>60-70</v>
      </c>
      <c r="I1795" s="17">
        <v>2293</v>
      </c>
      <c r="J1795" s="13" t="str" cm="1">
        <f t="array" ref="J1795">_xlfn.IFS(K1795=1,"Divorciado",L1795=1,"Casado",M1795=1,"Solteiro",N1795=1,"Juntos",O1795=1,"Viuvo")</f>
        <v>Juntos</v>
      </c>
      <c r="K1795" s="17">
        <v>0</v>
      </c>
      <c r="L1795" s="17">
        <v>0</v>
      </c>
      <c r="M1795" s="17">
        <v>0</v>
      </c>
      <c r="N1795" s="17">
        <v>1</v>
      </c>
      <c r="O1795" s="17">
        <v>0</v>
      </c>
      <c r="P1795" s="17">
        <v>0</v>
      </c>
      <c r="Q1795" s="17">
        <v>0</v>
      </c>
      <c r="R1795" s="17">
        <v>0</v>
      </c>
      <c r="S1795" s="17">
        <v>1</v>
      </c>
      <c r="T1795" s="17">
        <v>0</v>
      </c>
      <c r="U1795" s="17">
        <v>18</v>
      </c>
      <c r="V1795" s="13" t="str" cm="1">
        <f t="array" ref="V1795">_xlfn.IFS(U1795&lt;=250,"0-R$250",U1795&lt;=500,"251-R$500",U1795&lt;=750,"501-R$750",U1795&lt;=1000,"751-R$1000",U1795&lt;=1250,"1001-R$1250",U1795&lt;=1500,"1251-R$1500")</f>
        <v>0-R$250</v>
      </c>
      <c r="W1795" s="17">
        <v>2</v>
      </c>
      <c r="X1795" s="13" t="str" cm="1">
        <f t="array" ref="X1795">_xlfn.IFS(W1795 = 0, "0", W1795&lt;=20, "até R$20",W1795&lt;=40, "21 - R$40",W1795&lt;=60, "41- R$60",W1795&lt;=80, "61 - R$80", W1795&lt;=100, "81 - R$100",W1795&lt;=120, "101 - R$120",W1795&lt;=140, "121 - R$140", W1795&lt;=160, "141- R$160", W1795&lt;=180, "161 - R$180", W1795&lt;=200, "181-R$194")</f>
        <v>até R$20</v>
      </c>
      <c r="Y1795" s="17">
        <v>19</v>
      </c>
      <c r="Z1795" s="17">
        <v>0</v>
      </c>
      <c r="AA1795" s="17">
        <v>2</v>
      </c>
      <c r="AB1795" s="17">
        <v>6</v>
      </c>
      <c r="AC1795" s="17">
        <v>5</v>
      </c>
      <c r="AD1795" s="17">
        <v>3</v>
      </c>
      <c r="AE1795" s="17">
        <v>0</v>
      </c>
      <c r="AF1795" s="17">
        <v>4</v>
      </c>
      <c r="AG1795" s="17">
        <v>7</v>
      </c>
      <c r="AH1795" s="17">
        <v>0</v>
      </c>
      <c r="AI1795" s="17">
        <v>0</v>
      </c>
      <c r="AJ1795" s="17">
        <v>0</v>
      </c>
      <c r="AK1795" s="17">
        <v>0</v>
      </c>
      <c r="AL1795" s="17">
        <v>0</v>
      </c>
      <c r="AM1795" s="17">
        <v>0</v>
      </c>
      <c r="AN1795" s="17">
        <v>0</v>
      </c>
      <c r="AO1795" s="18">
        <v>0</v>
      </c>
      <c r="AP1795" s="17">
        <v>3</v>
      </c>
      <c r="AQ1795" s="17">
        <v>11</v>
      </c>
      <c r="AR1795" s="19">
        <v>35</v>
      </c>
      <c r="AS1795" s="19">
        <v>41</v>
      </c>
    </row>
    <row r="1796" spans="1:45" x14ac:dyDescent="0.25">
      <c r="A1796">
        <v>837</v>
      </c>
      <c r="B1796" s="11">
        <f t="shared" si="28"/>
        <v>38576</v>
      </c>
      <c r="C1796" s="16">
        <v>385760</v>
      </c>
      <c r="D1796" s="17">
        <v>0</v>
      </c>
      <c r="E1796" s="17">
        <v>1</v>
      </c>
      <c r="F1796" s="17">
        <v>2</v>
      </c>
      <c r="G1796" s="17">
        <v>47</v>
      </c>
      <c r="H1796" s="13" t="str" cm="1">
        <f t="array" ref="H1796">_xlfn.IFS(G1796&lt;=20,"0-20",G1796&lt;=30,"20-30",G1796&lt;=40,"30-40",G1796&lt;=50,"50-60",G1796&lt;=60,"60-70",G1796&lt;=70,"70-80",G1796&lt;=80,"80-90")</f>
        <v>50-60</v>
      </c>
      <c r="I1796" s="17">
        <v>2276</v>
      </c>
      <c r="J1796" s="13" t="str" cm="1">
        <f t="array" ref="J1796">_xlfn.IFS(K1796=1,"Divorciado",L1796=1,"Casado",M1796=1,"Solteiro",N1796=1,"Juntos",O1796=1,"Viuvo")</f>
        <v>Casado</v>
      </c>
      <c r="K1796" s="17">
        <v>0</v>
      </c>
      <c r="L1796" s="17">
        <v>1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1</v>
      </c>
      <c r="T1796" s="17">
        <v>0</v>
      </c>
      <c r="U1796" s="17">
        <v>34</v>
      </c>
      <c r="V1796" s="13" t="str" cm="1">
        <f t="array" ref="V1796">_xlfn.IFS(U1796&lt;=250,"0-R$250",U1796&lt;=500,"251-R$500",U1796&lt;=750,"501-R$750",U1796&lt;=1000,"751-R$1000",U1796&lt;=1250,"1001-R$1250",U1796&lt;=1500,"1251-R$1500")</f>
        <v>0-R$250</v>
      </c>
      <c r="W1796" s="17">
        <v>0</v>
      </c>
      <c r="X1796" s="13" t="str" cm="1">
        <f t="array" ref="X1796">_xlfn.IFS(W1796 = 0, "0", W1796&lt;=20, "até R$20",W1796&lt;=40, "21 - R$40",W1796&lt;=60, "41- R$60",W1796&lt;=80, "61 - R$80", W1796&lt;=100, "81 - R$100",W1796&lt;=120, "101 - R$120",W1796&lt;=140, "121 - R$140", W1796&lt;=160, "141- R$160", W1796&lt;=180, "161 - R$180", W1796&lt;=200, "181-R$194")</f>
        <v>0</v>
      </c>
      <c r="Y1796" s="17">
        <v>7</v>
      </c>
      <c r="Z1796" s="17">
        <v>0</v>
      </c>
      <c r="AA1796" s="17">
        <v>0</v>
      </c>
      <c r="AB1796" s="17">
        <v>0</v>
      </c>
      <c r="AC1796" s="17">
        <v>1</v>
      </c>
      <c r="AD1796" s="17">
        <v>1</v>
      </c>
      <c r="AE1796" s="17">
        <v>0</v>
      </c>
      <c r="AF1796" s="17">
        <v>3</v>
      </c>
      <c r="AG1796" s="17">
        <v>7</v>
      </c>
      <c r="AH1796" s="17">
        <v>0</v>
      </c>
      <c r="AI1796" s="17">
        <v>0</v>
      </c>
      <c r="AJ1796" s="17">
        <v>0</v>
      </c>
      <c r="AK1796" s="17">
        <v>0</v>
      </c>
      <c r="AL1796" s="17">
        <v>0</v>
      </c>
      <c r="AM1796" s="17">
        <v>0</v>
      </c>
      <c r="AN1796" s="17">
        <v>0</v>
      </c>
      <c r="AO1796" s="18">
        <v>0</v>
      </c>
      <c r="AP1796" s="17">
        <v>3</v>
      </c>
      <c r="AQ1796" s="17">
        <v>11</v>
      </c>
      <c r="AR1796" s="19">
        <v>41</v>
      </c>
      <c r="AS1796" s="19">
        <v>41</v>
      </c>
    </row>
    <row r="1797" spans="1:45" x14ac:dyDescent="0.25">
      <c r="A1797">
        <v>853</v>
      </c>
      <c r="B1797" s="11">
        <f t="shared" si="28"/>
        <v>21675</v>
      </c>
      <c r="C1797" s="16">
        <v>216750</v>
      </c>
      <c r="D1797" s="17">
        <v>1</v>
      </c>
      <c r="E1797" s="17">
        <v>0</v>
      </c>
      <c r="F1797" s="17">
        <v>55</v>
      </c>
      <c r="G1797" s="17">
        <v>44</v>
      </c>
      <c r="H1797" s="13" t="str" cm="1">
        <f t="array" ref="H1797">_xlfn.IFS(G1797&lt;=20,"0-20",G1797&lt;=30,"20-30",G1797&lt;=40,"30-40",G1797&lt;=50,"50-60",G1797&lt;=60,"60-70",G1797&lt;=70,"70-80",G1797&lt;=80,"80-90")</f>
        <v>50-60</v>
      </c>
      <c r="I1797" s="17">
        <v>2177</v>
      </c>
      <c r="J1797" s="13" t="str" cm="1">
        <f t="array" ref="J1797">_xlfn.IFS(K1797=1,"Divorciado",L1797=1,"Casado",M1797=1,"Solteiro",N1797=1,"Juntos",O1797=1,"Viuvo")</f>
        <v>Juntos</v>
      </c>
      <c r="K1797" s="17">
        <v>0</v>
      </c>
      <c r="L1797" s="17">
        <v>0</v>
      </c>
      <c r="M1797" s="17">
        <v>0</v>
      </c>
      <c r="N1797" s="17">
        <v>1</v>
      </c>
      <c r="O1797" s="17">
        <v>0</v>
      </c>
      <c r="P1797" s="17">
        <v>0</v>
      </c>
      <c r="Q1797" s="17">
        <v>0</v>
      </c>
      <c r="R1797" s="17">
        <v>1</v>
      </c>
      <c r="S1797" s="17">
        <v>0</v>
      </c>
      <c r="T1797" s="17">
        <v>0</v>
      </c>
      <c r="U1797" s="17">
        <v>4</v>
      </c>
      <c r="V1797" s="13" t="str" cm="1">
        <f t="array" ref="V1797">_xlfn.IFS(U1797&lt;=250,"0-R$250",U1797&lt;=500,"251-R$500",U1797&lt;=750,"501-R$750",U1797&lt;=1000,"751-R$1000",U1797&lt;=1250,"1001-R$1250",U1797&lt;=1500,"1251-R$1500")</f>
        <v>0-R$250</v>
      </c>
      <c r="W1797" s="17">
        <v>0</v>
      </c>
      <c r="X1797" s="13" t="str" cm="1">
        <f t="array" ref="X1797">_xlfn.IFS(W1797 = 0, "0", W1797&lt;=20, "até R$20",W1797&lt;=40, "21 - R$40",W1797&lt;=60, "41- R$60",W1797&lt;=80, "61 - R$80", W1797&lt;=100, "81 - R$100",W1797&lt;=120, "101 - R$120",W1797&lt;=140, "121 - R$140", W1797&lt;=160, "141- R$160", W1797&lt;=180, "161 - R$180", W1797&lt;=200, "181-R$194")</f>
        <v>0</v>
      </c>
      <c r="Y1797" s="17">
        <v>16</v>
      </c>
      <c r="Z1797" s="17">
        <v>17</v>
      </c>
      <c r="AA1797" s="17">
        <v>4</v>
      </c>
      <c r="AB1797" s="17">
        <v>4</v>
      </c>
      <c r="AC1797" s="17">
        <v>3</v>
      </c>
      <c r="AD1797" s="17">
        <v>4</v>
      </c>
      <c r="AE1797" s="17">
        <v>0</v>
      </c>
      <c r="AF1797" s="17">
        <v>3</v>
      </c>
      <c r="AG1797" s="17">
        <v>7</v>
      </c>
      <c r="AH1797" s="17">
        <v>0</v>
      </c>
      <c r="AI1797" s="17">
        <v>0</v>
      </c>
      <c r="AJ1797" s="17">
        <v>0</v>
      </c>
      <c r="AK1797" s="17">
        <v>0</v>
      </c>
      <c r="AL1797" s="17">
        <v>0</v>
      </c>
      <c r="AM1797" s="17">
        <v>0</v>
      </c>
      <c r="AN1797" s="17">
        <v>0</v>
      </c>
      <c r="AO1797" s="18">
        <v>0</v>
      </c>
      <c r="AP1797" s="17">
        <v>3</v>
      </c>
      <c r="AQ1797" s="17">
        <v>11</v>
      </c>
      <c r="AR1797" s="19">
        <v>37</v>
      </c>
      <c r="AS1797" s="19">
        <v>41</v>
      </c>
    </row>
    <row r="1798" spans="1:45" x14ac:dyDescent="0.25">
      <c r="A1798">
        <v>989</v>
      </c>
      <c r="B1798" s="11">
        <f t="shared" si="28"/>
        <v>19514</v>
      </c>
      <c r="C1798" s="16">
        <v>195140</v>
      </c>
      <c r="D1798" s="17">
        <v>1</v>
      </c>
      <c r="E1798" s="17">
        <v>1</v>
      </c>
      <c r="F1798" s="17">
        <v>47</v>
      </c>
      <c r="G1798" s="17">
        <v>52</v>
      </c>
      <c r="H1798" s="13" t="str" cm="1">
        <f t="array" ref="H1798">_xlfn.IFS(G1798&lt;=20,"0-20",G1798&lt;=30,"20-30",G1798&lt;=40,"30-40",G1798&lt;=50,"50-60",G1798&lt;=60,"60-70",G1798&lt;=70,"70-80",G1798&lt;=80,"80-90")</f>
        <v>60-70</v>
      </c>
      <c r="I1798" s="17">
        <v>2313</v>
      </c>
      <c r="J1798" s="13" t="str" cm="1">
        <f t="array" ref="J1798">_xlfn.IFS(K1798=1,"Divorciado",L1798=1,"Casado",M1798=1,"Solteiro",N1798=1,"Juntos",O1798=1,"Viuvo")</f>
        <v>Casado</v>
      </c>
      <c r="K1798" s="17">
        <v>0</v>
      </c>
      <c r="L1798" s="17">
        <v>1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1</v>
      </c>
      <c r="S1798" s="17">
        <v>0</v>
      </c>
      <c r="T1798" s="17">
        <v>0</v>
      </c>
      <c r="U1798" s="17">
        <v>14</v>
      </c>
      <c r="V1798" s="13" t="str" cm="1">
        <f t="array" ref="V1798">_xlfn.IFS(U1798&lt;=250,"0-R$250",U1798&lt;=500,"251-R$500",U1798&lt;=750,"501-R$750",U1798&lt;=1000,"751-R$1000",U1798&lt;=1250,"1001-R$1250",U1798&lt;=1500,"1251-R$1500")</f>
        <v>0-R$250</v>
      </c>
      <c r="W1798" s="17">
        <v>3</v>
      </c>
      <c r="X1798" s="13" t="str" cm="1">
        <f t="array" ref="X1798">_xlfn.IFS(W1798 = 0, "0", W1798&lt;=20, "até R$20",W1798&lt;=40, "21 - R$40",W1798&lt;=60, "41- R$60",W1798&lt;=80, "61 - R$80", W1798&lt;=100, "81 - R$100",W1798&lt;=120, "101 - R$120",W1798&lt;=140, "121 - R$140", W1798&lt;=160, "141- R$160", W1798&lt;=180, "161 - R$180", W1798&lt;=200, "181-R$194")</f>
        <v>até R$20</v>
      </c>
      <c r="Y1798" s="17">
        <v>21</v>
      </c>
      <c r="Z1798" s="17">
        <v>2</v>
      </c>
      <c r="AA1798" s="17">
        <v>1</v>
      </c>
      <c r="AB1798" s="17">
        <v>28</v>
      </c>
      <c r="AC1798" s="17">
        <v>4</v>
      </c>
      <c r="AD1798" s="17">
        <v>3</v>
      </c>
      <c r="AE1798" s="17">
        <v>1</v>
      </c>
      <c r="AF1798" s="17">
        <v>2</v>
      </c>
      <c r="AG1798" s="17">
        <v>8</v>
      </c>
      <c r="AH1798" s="17">
        <v>0</v>
      </c>
      <c r="AI1798" s="17">
        <v>1</v>
      </c>
      <c r="AJ1798" s="17">
        <v>0</v>
      </c>
      <c r="AK1798" s="17">
        <v>0</v>
      </c>
      <c r="AL1798" s="17">
        <v>0</v>
      </c>
      <c r="AM1798" s="17">
        <v>0</v>
      </c>
      <c r="AN1798" s="17">
        <v>0</v>
      </c>
      <c r="AO1798" s="18">
        <v>1</v>
      </c>
      <c r="AP1798" s="17">
        <v>3</v>
      </c>
      <c r="AQ1798" s="17">
        <v>11</v>
      </c>
      <c r="AR1798" s="19">
        <v>13</v>
      </c>
      <c r="AS1798" s="19">
        <v>41</v>
      </c>
    </row>
    <row r="1799" spans="1:45" x14ac:dyDescent="0.25">
      <c r="A1799">
        <v>995</v>
      </c>
      <c r="B1799" s="11">
        <f t="shared" si="28"/>
        <v>38196</v>
      </c>
      <c r="C1799" s="16">
        <v>381960</v>
      </c>
      <c r="D1799" s="17">
        <v>1</v>
      </c>
      <c r="E1799" s="17">
        <v>1</v>
      </c>
      <c r="F1799" s="17">
        <v>20</v>
      </c>
      <c r="G1799" s="17">
        <v>49</v>
      </c>
      <c r="H1799" s="13" t="str" cm="1">
        <f t="array" ref="H1799">_xlfn.IFS(G1799&lt;=20,"0-20",G1799&lt;=30,"20-30",G1799&lt;=40,"30-40",G1799&lt;=50,"50-60",G1799&lt;=60,"60-70",G1799&lt;=70,"70-80",G1799&lt;=80,"80-90")</f>
        <v>50-60</v>
      </c>
      <c r="I1799" s="17">
        <v>2231</v>
      </c>
      <c r="J1799" s="13" t="str" cm="1">
        <f t="array" ref="J1799">_xlfn.IFS(K1799=1,"Divorciado",L1799=1,"Casado",M1799=1,"Solteiro",N1799=1,"Juntos",O1799=1,"Viuvo")</f>
        <v>Casado</v>
      </c>
      <c r="K1799" s="17">
        <v>0</v>
      </c>
      <c r="L1799" s="17">
        <v>1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1</v>
      </c>
      <c r="T1799" s="17">
        <v>0</v>
      </c>
      <c r="U1799" s="17">
        <v>30</v>
      </c>
      <c r="V1799" s="13" t="str" cm="1">
        <f t="array" ref="V1799">_xlfn.IFS(U1799&lt;=250,"0-R$250",U1799&lt;=500,"251-R$500",U1799&lt;=750,"501-R$750",U1799&lt;=1000,"751-R$1000",U1799&lt;=1250,"1001-R$1250",U1799&lt;=1500,"1251-R$1500")</f>
        <v>0-R$250</v>
      </c>
      <c r="W1799" s="17">
        <v>0</v>
      </c>
      <c r="X1799" s="13" t="str" cm="1">
        <f t="array" ref="X1799">_xlfn.IFS(W1799 = 0, "0", W1799&lt;=20, "até R$20",W1799&lt;=40, "21 - R$40",W1799&lt;=60, "41- R$60",W1799&lt;=80, "61 - R$80", W1799&lt;=100, "81 - R$100",W1799&lt;=120, "101 - R$120",W1799&lt;=140, "121 - R$140", W1799&lt;=160, "141- R$160", W1799&lt;=180, "161 - R$180", W1799&lt;=200, "181-R$194")</f>
        <v>0</v>
      </c>
      <c r="Y1799" s="17">
        <v>11</v>
      </c>
      <c r="Z1799" s="17">
        <v>0</v>
      </c>
      <c r="AA1799" s="17">
        <v>0</v>
      </c>
      <c r="AB1799" s="17">
        <v>3</v>
      </c>
      <c r="AC1799" s="17">
        <v>3</v>
      </c>
      <c r="AD1799" s="17">
        <v>2</v>
      </c>
      <c r="AE1799" s="17">
        <v>0</v>
      </c>
      <c r="AF1799" s="17">
        <v>4</v>
      </c>
      <c r="AG1799" s="17">
        <v>5</v>
      </c>
      <c r="AH1799" s="17">
        <v>0</v>
      </c>
      <c r="AI1799" s="17">
        <v>0</v>
      </c>
      <c r="AJ1799" s="17">
        <v>0</v>
      </c>
      <c r="AK1799" s="17">
        <v>0</v>
      </c>
      <c r="AL1799" s="17">
        <v>0</v>
      </c>
      <c r="AM1799" s="17">
        <v>0</v>
      </c>
      <c r="AN1799" s="17">
        <v>0</v>
      </c>
      <c r="AO1799" s="18">
        <v>0</v>
      </c>
      <c r="AP1799" s="17">
        <v>3</v>
      </c>
      <c r="AQ1799" s="17">
        <v>11</v>
      </c>
      <c r="AR1799" s="19">
        <v>38</v>
      </c>
      <c r="AS1799" s="19">
        <v>41</v>
      </c>
    </row>
    <row r="1800" spans="1:45" x14ac:dyDescent="0.25">
      <c r="A1800">
        <v>1113</v>
      </c>
      <c r="B1800" s="11">
        <f t="shared" si="28"/>
        <v>42693</v>
      </c>
      <c r="C1800" s="16">
        <v>426930</v>
      </c>
      <c r="D1800" s="17">
        <v>1</v>
      </c>
      <c r="E1800" s="17">
        <v>0</v>
      </c>
      <c r="F1800" s="17">
        <v>29</v>
      </c>
      <c r="G1800" s="17">
        <v>42</v>
      </c>
      <c r="H1800" s="13" t="str" cm="1">
        <f t="array" ref="H1800">_xlfn.IFS(G1800&lt;=20,"0-20",G1800&lt;=30,"20-30",G1800&lt;=40,"30-40",G1800&lt;=50,"50-60",G1800&lt;=60,"60-70",G1800&lt;=70,"70-80",G1800&lt;=80,"80-90")</f>
        <v>50-60</v>
      </c>
      <c r="I1800" s="17">
        <v>2181</v>
      </c>
      <c r="J1800" s="13" t="str" cm="1">
        <f t="array" ref="J1800">_xlfn.IFS(K1800=1,"Divorciado",L1800=1,"Casado",M1800=1,"Solteiro",N1800=1,"Juntos",O1800=1,"Viuvo")</f>
        <v>Casado</v>
      </c>
      <c r="K1800" s="17">
        <v>0</v>
      </c>
      <c r="L1800" s="17">
        <v>1</v>
      </c>
      <c r="M1800" s="17">
        <v>0</v>
      </c>
      <c r="N1800" s="17">
        <v>0</v>
      </c>
      <c r="O1800" s="17">
        <v>0</v>
      </c>
      <c r="P1800" s="17">
        <v>0</v>
      </c>
      <c r="Q1800" s="17">
        <v>0</v>
      </c>
      <c r="R1800" s="17">
        <v>1</v>
      </c>
      <c r="S1800" s="17">
        <v>0</v>
      </c>
      <c r="T1800" s="17">
        <v>0</v>
      </c>
      <c r="U1800" s="17">
        <v>8</v>
      </c>
      <c r="V1800" s="13" t="str" cm="1">
        <f t="array" ref="V1800">_xlfn.IFS(U1800&lt;=250,"0-R$250",U1800&lt;=500,"251-R$500",U1800&lt;=750,"501-R$750",U1800&lt;=1000,"751-R$1000",U1800&lt;=1250,"1001-R$1250",U1800&lt;=1500,"1251-R$1500")</f>
        <v>0-R$250</v>
      </c>
      <c r="W1800" s="17">
        <v>4</v>
      </c>
      <c r="X1800" s="13" t="str" cm="1">
        <f t="array" ref="X1800">_xlfn.IFS(W1800 = 0, "0", W1800&lt;=20, "até R$20",W1800&lt;=40, "21 - R$40",W1800&lt;=60, "41- R$60",W1800&lt;=80, "61 - R$80", W1800&lt;=100, "81 - R$100",W1800&lt;=120, "101 - R$120",W1800&lt;=140, "121 - R$140", W1800&lt;=160, "141- R$160", W1800&lt;=180, "161 - R$180", W1800&lt;=200, "181-R$194")</f>
        <v>até R$20</v>
      </c>
      <c r="Y1800" s="17">
        <v>20</v>
      </c>
      <c r="Z1800" s="17">
        <v>6</v>
      </c>
      <c r="AA1800" s="17">
        <v>3</v>
      </c>
      <c r="AB1800" s="17">
        <v>16</v>
      </c>
      <c r="AC1800" s="17">
        <v>1</v>
      </c>
      <c r="AD1800" s="17">
        <v>1</v>
      </c>
      <c r="AE1800" s="17">
        <v>0</v>
      </c>
      <c r="AF1800" s="17">
        <v>3</v>
      </c>
      <c r="AG1800" s="17">
        <v>5</v>
      </c>
      <c r="AH1800" s="17">
        <v>0</v>
      </c>
      <c r="AI1800" s="17">
        <v>0</v>
      </c>
      <c r="AJ1800" s="17">
        <v>0</v>
      </c>
      <c r="AK1800" s="17">
        <v>0</v>
      </c>
      <c r="AL1800" s="17">
        <v>0</v>
      </c>
      <c r="AM1800" s="17">
        <v>0</v>
      </c>
      <c r="AN1800" s="17">
        <v>0</v>
      </c>
      <c r="AO1800" s="18">
        <v>0</v>
      </c>
      <c r="AP1800" s="17">
        <v>3</v>
      </c>
      <c r="AQ1800" s="17">
        <v>11</v>
      </c>
      <c r="AR1800" s="19">
        <v>25</v>
      </c>
      <c r="AS1800" s="19">
        <v>41</v>
      </c>
    </row>
    <row r="1801" spans="1:45" x14ac:dyDescent="0.25">
      <c r="A1801">
        <v>1299</v>
      </c>
      <c r="B1801" s="11">
        <f t="shared" si="28"/>
        <v>37235</v>
      </c>
      <c r="C1801" s="16">
        <v>372350</v>
      </c>
      <c r="D1801" s="17">
        <v>1</v>
      </c>
      <c r="E1801" s="17">
        <v>0</v>
      </c>
      <c r="F1801" s="17">
        <v>68</v>
      </c>
      <c r="G1801" s="17">
        <v>36</v>
      </c>
      <c r="H1801" s="13" t="str" cm="1">
        <f t="array" ref="H1801">_xlfn.IFS(G1801&lt;=20,"0-20",G1801&lt;=30,"20-30",G1801&lt;=40,"30-40",G1801&lt;=50,"50-60",G1801&lt;=60,"60-70",G1801&lt;=70,"70-80",G1801&lt;=80,"80-90")</f>
        <v>30-40</v>
      </c>
      <c r="I1801" s="17">
        <v>2307</v>
      </c>
      <c r="J1801" s="13" t="str" cm="1">
        <f t="array" ref="J1801">_xlfn.IFS(K1801=1,"Divorciado",L1801=1,"Casado",M1801=1,"Solteiro",N1801=1,"Juntos",O1801=1,"Viuvo")</f>
        <v>Juntos</v>
      </c>
      <c r="K1801" s="17">
        <v>0</v>
      </c>
      <c r="L1801" s="17">
        <v>0</v>
      </c>
      <c r="M1801" s="17">
        <v>0</v>
      </c>
      <c r="N1801" s="17">
        <v>1</v>
      </c>
      <c r="O1801" s="17">
        <v>0</v>
      </c>
      <c r="P1801" s="17">
        <v>0</v>
      </c>
      <c r="Q1801" s="17">
        <v>0</v>
      </c>
      <c r="R1801" s="17">
        <v>1</v>
      </c>
      <c r="S1801" s="17">
        <v>0</v>
      </c>
      <c r="T1801" s="17">
        <v>0</v>
      </c>
      <c r="U1801" s="17">
        <v>20</v>
      </c>
      <c r="V1801" s="13" t="str" cm="1">
        <f t="array" ref="V1801">_xlfn.IFS(U1801&lt;=250,"0-R$250",U1801&lt;=500,"251-R$500",U1801&lt;=750,"501-R$750",U1801&lt;=1000,"751-R$1000",U1801&lt;=1250,"1001-R$1250",U1801&lt;=1500,"1251-R$1500")</f>
        <v>0-R$250</v>
      </c>
      <c r="W1801" s="17">
        <v>2</v>
      </c>
      <c r="X1801" s="13" t="str" cm="1">
        <f t="array" ref="X1801">_xlfn.IFS(W1801 = 0, "0", W1801&lt;=20, "até R$20",W1801&lt;=40, "21 - R$40",W1801&lt;=60, "41- R$60",W1801&lt;=80, "61 - R$80", W1801&lt;=100, "81 - R$100",W1801&lt;=120, "101 - R$120",W1801&lt;=140, "121 - R$140", W1801&lt;=160, "141- R$160", W1801&lt;=180, "161 - R$180", W1801&lt;=200, "181-R$194")</f>
        <v>até R$20</v>
      </c>
      <c r="Y1801" s="17">
        <v>9</v>
      </c>
      <c r="Z1801" s="17">
        <v>4</v>
      </c>
      <c r="AA1801" s="17">
        <v>6</v>
      </c>
      <c r="AB1801" s="17">
        <v>20</v>
      </c>
      <c r="AC1801" s="17">
        <v>1</v>
      </c>
      <c r="AD1801" s="17">
        <v>1</v>
      </c>
      <c r="AE1801" s="17">
        <v>1</v>
      </c>
      <c r="AF1801" s="17">
        <v>2</v>
      </c>
      <c r="AG1801" s="17">
        <v>4</v>
      </c>
      <c r="AH1801" s="17">
        <v>0</v>
      </c>
      <c r="AI1801" s="17">
        <v>0</v>
      </c>
      <c r="AJ1801" s="17">
        <v>0</v>
      </c>
      <c r="AK1801" s="17">
        <v>0</v>
      </c>
      <c r="AL1801" s="17">
        <v>0</v>
      </c>
      <c r="AM1801" s="17">
        <v>0</v>
      </c>
      <c r="AN1801" s="17">
        <v>0</v>
      </c>
      <c r="AO1801" s="18">
        <v>0</v>
      </c>
      <c r="AP1801" s="17">
        <v>3</v>
      </c>
      <c r="AQ1801" s="17">
        <v>11</v>
      </c>
      <c r="AR1801" s="19">
        <v>21</v>
      </c>
      <c r="AS1801" s="19">
        <v>41</v>
      </c>
    </row>
    <row r="1802" spans="1:45" x14ac:dyDescent="0.25">
      <c r="A1802">
        <v>1361</v>
      </c>
      <c r="B1802" s="11">
        <f t="shared" si="28"/>
        <v>20895</v>
      </c>
      <c r="C1802" s="16">
        <v>208950</v>
      </c>
      <c r="D1802" s="17">
        <v>1</v>
      </c>
      <c r="E1802" s="17">
        <v>0</v>
      </c>
      <c r="F1802" s="17">
        <v>24</v>
      </c>
      <c r="G1802" s="17">
        <v>47</v>
      </c>
      <c r="H1802" s="13" t="str" cm="1">
        <f t="array" ref="H1802">_xlfn.IFS(G1802&lt;=20,"0-20",G1802&lt;=30,"20-30",G1802&lt;=40,"30-40",G1802&lt;=50,"50-60",G1802&lt;=60,"60-70",G1802&lt;=70,"70-80",G1802&lt;=80,"80-90")</f>
        <v>50-60</v>
      </c>
      <c r="I1802" s="17">
        <v>2790</v>
      </c>
      <c r="J1802" s="13" t="str" cm="1">
        <f t="array" ref="J1802">_xlfn.IFS(K1802=1,"Divorciado",L1802=1,"Casado",M1802=1,"Solteiro",N1802=1,"Juntos",O1802=1,"Viuvo")</f>
        <v>Casado</v>
      </c>
      <c r="K1802" s="17">
        <v>0</v>
      </c>
      <c r="L1802" s="17">
        <v>1</v>
      </c>
      <c r="M1802" s="17">
        <v>0</v>
      </c>
      <c r="N1802" s="17">
        <v>0</v>
      </c>
      <c r="O1802" s="17">
        <v>0</v>
      </c>
      <c r="P1802" s="17">
        <v>0</v>
      </c>
      <c r="Q1802" s="17">
        <v>0</v>
      </c>
      <c r="R1802" s="17">
        <v>1</v>
      </c>
      <c r="S1802" s="17">
        <v>0</v>
      </c>
      <c r="T1802" s="17">
        <v>0</v>
      </c>
      <c r="U1802" s="17">
        <v>18</v>
      </c>
      <c r="V1802" s="13" t="str" cm="1">
        <f t="array" ref="V1802">_xlfn.IFS(U1802&lt;=250,"0-R$250",U1802&lt;=500,"251-R$500",U1802&lt;=750,"501-R$750",U1802&lt;=1000,"751-R$1000",U1802&lt;=1250,"1001-R$1250",U1802&lt;=1500,"1251-R$1500")</f>
        <v>0-R$250</v>
      </c>
      <c r="W1802" s="17">
        <v>3</v>
      </c>
      <c r="X1802" s="13" t="str" cm="1">
        <f t="array" ref="X1802">_xlfn.IFS(W1802 = 0, "0", W1802&lt;=20, "até R$20",W1802&lt;=40, "21 - R$40",W1802&lt;=60, "41- R$60",W1802&lt;=80, "61 - R$80", W1802&lt;=100, "81 - R$100",W1802&lt;=120, "101 - R$120",W1802&lt;=140, "121 - R$140", W1802&lt;=160, "141- R$160", W1802&lt;=180, "161 - R$180", W1802&lt;=200, "181-R$194")</f>
        <v>até R$20</v>
      </c>
      <c r="Y1802" s="17">
        <v>17</v>
      </c>
      <c r="Z1802" s="17">
        <v>3</v>
      </c>
      <c r="AA1802" s="17">
        <v>0</v>
      </c>
      <c r="AB1802" s="17">
        <v>4</v>
      </c>
      <c r="AC1802" s="17">
        <v>1</v>
      </c>
      <c r="AD1802" s="17">
        <v>2</v>
      </c>
      <c r="AE1802" s="17">
        <v>0</v>
      </c>
      <c r="AF1802" s="17">
        <v>3</v>
      </c>
      <c r="AG1802" s="17">
        <v>9</v>
      </c>
      <c r="AH1802" s="17">
        <v>0</v>
      </c>
      <c r="AI1802" s="17">
        <v>0</v>
      </c>
      <c r="AJ1802" s="17">
        <v>0</v>
      </c>
      <c r="AK1802" s="17">
        <v>0</v>
      </c>
      <c r="AL1802" s="17">
        <v>0</v>
      </c>
      <c r="AM1802" s="17">
        <v>0</v>
      </c>
      <c r="AN1802" s="17">
        <v>0</v>
      </c>
      <c r="AO1802" s="18">
        <v>0</v>
      </c>
      <c r="AP1802" s="17">
        <v>3</v>
      </c>
      <c r="AQ1802" s="17">
        <v>11</v>
      </c>
      <c r="AR1802" s="19">
        <v>37</v>
      </c>
      <c r="AS1802" s="19">
        <v>41</v>
      </c>
    </row>
    <row r="1803" spans="1:45" x14ac:dyDescent="0.25">
      <c r="A1803">
        <v>1400</v>
      </c>
      <c r="B1803" s="11">
        <f t="shared" si="28"/>
        <v>18690</v>
      </c>
      <c r="C1803" s="12">
        <v>186900</v>
      </c>
      <c r="D1803" s="13">
        <v>0</v>
      </c>
      <c r="E1803" s="13">
        <v>0</v>
      </c>
      <c r="F1803" s="13">
        <v>77</v>
      </c>
      <c r="G1803" s="13">
        <v>61</v>
      </c>
      <c r="H1803" s="13" t="str" cm="1">
        <f t="array" ref="H1803">_xlfn.IFS(G1803&lt;=20,"0-20",G1803&lt;=30,"20-30",G1803&lt;=40,"30-40",G1803&lt;=50,"50-60",G1803&lt;=60,"60-70",G1803&lt;=70,"70-80",G1803&lt;=80,"80-90")</f>
        <v>70-80</v>
      </c>
      <c r="I1803" s="13">
        <v>2707</v>
      </c>
      <c r="J1803" s="13" t="str" cm="1">
        <f t="array" ref="J1803">_xlfn.IFS(K1803=1,"Divorciado",L1803=1,"Casado",M1803=1,"Solteiro",N1803=1,"Juntos",O1803=1,"Viuvo")</f>
        <v>Casado</v>
      </c>
      <c r="K1803" s="13">
        <v>0</v>
      </c>
      <c r="L1803" s="13">
        <v>1</v>
      </c>
      <c r="M1803" s="13">
        <v>0</v>
      </c>
      <c r="N1803" s="13">
        <v>0</v>
      </c>
      <c r="O1803" s="13">
        <v>0</v>
      </c>
      <c r="P1803" s="13">
        <v>0</v>
      </c>
      <c r="Q1803" s="13">
        <v>0</v>
      </c>
      <c r="R1803" s="13">
        <v>1</v>
      </c>
      <c r="S1803" s="13">
        <v>0</v>
      </c>
      <c r="T1803" s="13">
        <v>0</v>
      </c>
      <c r="U1803" s="13">
        <v>6</v>
      </c>
      <c r="V1803" s="13" t="str" cm="1">
        <f t="array" ref="V1803">_xlfn.IFS(U1803&lt;=250,"0-R$250",U1803&lt;=500,"251-R$500",U1803&lt;=750,"501-R$750",U1803&lt;=1000,"751-R$1000",U1803&lt;=1250,"1001-R$1250",U1803&lt;=1500,"1251-R$1500")</f>
        <v>0-R$250</v>
      </c>
      <c r="W1803" s="13">
        <v>1</v>
      </c>
      <c r="X1803" s="13" t="str" cm="1">
        <f t="array" ref="X1803">_xlfn.IFS(W1803 = 0, "0", W1803&lt;=20, "até R$20",W1803&lt;=40, "21 - R$40",W1803&lt;=60, "41- R$60",W1803&lt;=80, "61 - R$80", W1803&lt;=100, "81 - R$100",W1803&lt;=120, "101 - R$120",W1803&lt;=140, "121 - R$140", W1803&lt;=160, "141- R$160", W1803&lt;=180, "161 - R$180", W1803&lt;=200, "181-R$194")</f>
        <v>até R$20</v>
      </c>
      <c r="Y1803" s="13">
        <v>7</v>
      </c>
      <c r="Z1803" s="13">
        <v>23</v>
      </c>
      <c r="AA1803" s="13">
        <v>4</v>
      </c>
      <c r="AB1803" s="13">
        <v>19</v>
      </c>
      <c r="AC1803" s="13">
        <v>1</v>
      </c>
      <c r="AD1803" s="13">
        <v>1</v>
      </c>
      <c r="AE1803" s="13">
        <v>1</v>
      </c>
      <c r="AF1803" s="13">
        <v>2</v>
      </c>
      <c r="AG1803" s="13">
        <v>8</v>
      </c>
      <c r="AH1803" s="13">
        <v>0</v>
      </c>
      <c r="AI1803" s="13">
        <v>0</v>
      </c>
      <c r="AJ1803" s="13">
        <v>0</v>
      </c>
      <c r="AK1803" s="13">
        <v>0</v>
      </c>
      <c r="AL1803" s="13">
        <v>0</v>
      </c>
      <c r="AM1803" s="13">
        <v>0</v>
      </c>
      <c r="AN1803" s="13">
        <v>0</v>
      </c>
      <c r="AO1803" s="14">
        <v>0</v>
      </c>
      <c r="AP1803" s="13">
        <v>3</v>
      </c>
      <c r="AQ1803" s="13">
        <v>11</v>
      </c>
      <c r="AR1803" s="15">
        <v>22</v>
      </c>
      <c r="AS1803" s="15">
        <v>41</v>
      </c>
    </row>
    <row r="1804" spans="1:45" x14ac:dyDescent="0.25">
      <c r="A1804">
        <v>1549</v>
      </c>
      <c r="B1804" s="11">
        <f t="shared" si="28"/>
        <v>27161</v>
      </c>
      <c r="C1804" s="16">
        <v>271610</v>
      </c>
      <c r="D1804" s="17">
        <v>1</v>
      </c>
      <c r="E1804" s="17">
        <v>0</v>
      </c>
      <c r="F1804" s="17">
        <v>41</v>
      </c>
      <c r="G1804" s="17">
        <v>34</v>
      </c>
      <c r="H1804" s="13" t="str" cm="1">
        <f t="array" ref="H1804">_xlfn.IFS(G1804&lt;=20,"0-20",G1804&lt;=30,"20-30",G1804&lt;=40,"30-40",G1804&lt;=50,"50-60",G1804&lt;=60,"60-70",G1804&lt;=70,"70-80",G1804&lt;=80,"80-90")</f>
        <v>30-40</v>
      </c>
      <c r="I1804" s="17">
        <v>2403</v>
      </c>
      <c r="J1804" s="13" t="str" cm="1">
        <f t="array" ref="J1804">_xlfn.IFS(K1804=1,"Divorciado",L1804=1,"Casado",M1804=1,"Solteiro",N1804=1,"Juntos",O1804=1,"Viuvo")</f>
        <v>Casado</v>
      </c>
      <c r="K1804" s="17">
        <v>0</v>
      </c>
      <c r="L1804" s="17">
        <v>1</v>
      </c>
      <c r="M1804" s="17">
        <v>0</v>
      </c>
      <c r="N1804" s="17">
        <v>0</v>
      </c>
      <c r="O1804" s="17">
        <v>0</v>
      </c>
      <c r="P1804" s="17">
        <v>0</v>
      </c>
      <c r="Q1804" s="17">
        <v>0</v>
      </c>
      <c r="R1804" s="17">
        <v>0</v>
      </c>
      <c r="S1804" s="17">
        <v>1</v>
      </c>
      <c r="T1804" s="17">
        <v>0</v>
      </c>
      <c r="U1804" s="17">
        <v>7</v>
      </c>
      <c r="V1804" s="13" t="str" cm="1">
        <f t="array" ref="V1804">_xlfn.IFS(U1804&lt;=250,"0-R$250",U1804&lt;=500,"251-R$500",U1804&lt;=750,"501-R$750",U1804&lt;=1000,"751-R$1000",U1804&lt;=1250,"1001-R$1250",U1804&lt;=1500,"1251-R$1500")</f>
        <v>0-R$250</v>
      </c>
      <c r="W1804" s="17">
        <v>4</v>
      </c>
      <c r="X1804" s="13" t="str" cm="1">
        <f t="array" ref="X1804">_xlfn.IFS(W1804 = 0, "0", W1804&lt;=20, "até R$20",W1804&lt;=40, "21 - R$40",W1804&lt;=60, "41- R$60",W1804&lt;=80, "61 - R$80", W1804&lt;=100, "81 - R$100",W1804&lt;=120, "101 - R$120",W1804&lt;=140, "121 - R$140", W1804&lt;=160, "141- R$160", W1804&lt;=180, "161 - R$180", W1804&lt;=200, "181-R$194")</f>
        <v>até R$20</v>
      </c>
      <c r="Y1804" s="17">
        <v>23</v>
      </c>
      <c r="Z1804" s="17">
        <v>7</v>
      </c>
      <c r="AA1804" s="17">
        <v>0</v>
      </c>
      <c r="AB1804" s="17">
        <v>11</v>
      </c>
      <c r="AC1804" s="17">
        <v>1</v>
      </c>
      <c r="AD1804" s="17">
        <v>1</v>
      </c>
      <c r="AE1804" s="17">
        <v>0</v>
      </c>
      <c r="AF1804" s="17">
        <v>3</v>
      </c>
      <c r="AG1804" s="17">
        <v>7</v>
      </c>
      <c r="AH1804" s="17">
        <v>0</v>
      </c>
      <c r="AI1804" s="17">
        <v>0</v>
      </c>
      <c r="AJ1804" s="17">
        <v>0</v>
      </c>
      <c r="AK1804" s="17">
        <v>0</v>
      </c>
      <c r="AL1804" s="17">
        <v>0</v>
      </c>
      <c r="AM1804" s="17">
        <v>0</v>
      </c>
      <c r="AN1804" s="17">
        <v>0</v>
      </c>
      <c r="AO1804" s="18">
        <v>0</v>
      </c>
      <c r="AP1804" s="17">
        <v>3</v>
      </c>
      <c r="AQ1804" s="17">
        <v>11</v>
      </c>
      <c r="AR1804" s="19">
        <v>30</v>
      </c>
      <c r="AS1804" s="19">
        <v>41</v>
      </c>
    </row>
    <row r="1805" spans="1:45" x14ac:dyDescent="0.25">
      <c r="A1805">
        <v>1572</v>
      </c>
      <c r="B1805" s="11">
        <f t="shared" si="28"/>
        <v>17144</v>
      </c>
      <c r="C1805" s="12">
        <v>171440</v>
      </c>
      <c r="D1805" s="13">
        <v>1</v>
      </c>
      <c r="E1805" s="13">
        <v>1</v>
      </c>
      <c r="F1805" s="13">
        <v>96</v>
      </c>
      <c r="G1805" s="13">
        <v>60</v>
      </c>
      <c r="H1805" s="13" t="str" cm="1">
        <f t="array" ref="H1805">_xlfn.IFS(G1805&lt;=20,"0-20",G1805&lt;=30,"20-30",G1805&lt;=40,"30-40",G1805&lt;=50,"50-60",G1805&lt;=60,"60-70",G1805&lt;=70,"70-80",G1805&lt;=80,"80-90")</f>
        <v>60-70</v>
      </c>
      <c r="I1805" s="13">
        <v>2293</v>
      </c>
      <c r="J1805" s="13" t="str" cm="1">
        <f t="array" ref="J1805">_xlfn.IFS(K1805=1,"Divorciado",L1805=1,"Casado",M1805=1,"Solteiro",N1805=1,"Juntos",O1805=1,"Viuvo")</f>
        <v>Juntos</v>
      </c>
      <c r="K1805" s="13">
        <v>0</v>
      </c>
      <c r="L1805" s="13">
        <v>0</v>
      </c>
      <c r="M1805" s="13">
        <v>0</v>
      </c>
      <c r="N1805" s="13">
        <v>1</v>
      </c>
      <c r="O1805" s="13">
        <v>0</v>
      </c>
      <c r="P1805" s="13">
        <v>0</v>
      </c>
      <c r="Q1805" s="13">
        <v>0</v>
      </c>
      <c r="R1805" s="13">
        <v>0</v>
      </c>
      <c r="S1805" s="13">
        <v>1</v>
      </c>
      <c r="T1805" s="13">
        <v>0</v>
      </c>
      <c r="U1805" s="13">
        <v>18</v>
      </c>
      <c r="V1805" s="13" t="str" cm="1">
        <f t="array" ref="V1805">_xlfn.IFS(U1805&lt;=250,"0-R$250",U1805&lt;=500,"251-R$500",U1805&lt;=750,"501-R$750",U1805&lt;=1000,"751-R$1000",U1805&lt;=1250,"1001-R$1250",U1805&lt;=1500,"1251-R$1500")</f>
        <v>0-R$250</v>
      </c>
      <c r="W1805" s="13">
        <v>2</v>
      </c>
      <c r="X1805" s="13" t="str" cm="1">
        <f t="array" ref="X1805">_xlfn.IFS(W1805 = 0, "0", W1805&lt;=20, "até R$20",W1805&lt;=40, "21 - R$40",W1805&lt;=60, "41- R$60",W1805&lt;=80, "61 - R$80", W1805&lt;=100, "81 - R$100",W1805&lt;=120, "101 - R$120",W1805&lt;=140, "121 - R$140", W1805&lt;=160, "141- R$160", W1805&lt;=180, "161 - R$180", W1805&lt;=200, "181-R$194")</f>
        <v>até R$20</v>
      </c>
      <c r="Y1805" s="13">
        <v>19</v>
      </c>
      <c r="Z1805" s="13">
        <v>0</v>
      </c>
      <c r="AA1805" s="13">
        <v>2</v>
      </c>
      <c r="AB1805" s="13">
        <v>6</v>
      </c>
      <c r="AC1805" s="13">
        <v>5</v>
      </c>
      <c r="AD1805" s="13">
        <v>3</v>
      </c>
      <c r="AE1805" s="13">
        <v>0</v>
      </c>
      <c r="AF1805" s="13">
        <v>4</v>
      </c>
      <c r="AG1805" s="13">
        <v>7</v>
      </c>
      <c r="AH1805" s="13">
        <v>0</v>
      </c>
      <c r="AI1805" s="13">
        <v>0</v>
      </c>
      <c r="AJ1805" s="13">
        <v>0</v>
      </c>
      <c r="AK1805" s="13">
        <v>0</v>
      </c>
      <c r="AL1805" s="13">
        <v>0</v>
      </c>
      <c r="AM1805" s="13">
        <v>0</v>
      </c>
      <c r="AN1805" s="13">
        <v>0</v>
      </c>
      <c r="AO1805" s="14">
        <v>0</v>
      </c>
      <c r="AP1805" s="13">
        <v>3</v>
      </c>
      <c r="AQ1805" s="13">
        <v>11</v>
      </c>
      <c r="AR1805" s="15">
        <v>35</v>
      </c>
      <c r="AS1805" s="15">
        <v>41</v>
      </c>
    </row>
    <row r="1806" spans="1:45" x14ac:dyDescent="0.25">
      <c r="A1806">
        <v>1706</v>
      </c>
      <c r="B1806" s="11">
        <f t="shared" si="28"/>
        <v>18690</v>
      </c>
      <c r="C1806" s="12">
        <v>186900</v>
      </c>
      <c r="D1806" s="13">
        <v>0</v>
      </c>
      <c r="E1806" s="13">
        <v>0</v>
      </c>
      <c r="F1806" s="13">
        <v>77</v>
      </c>
      <c r="G1806" s="13">
        <v>61</v>
      </c>
      <c r="H1806" s="13" t="str" cm="1">
        <f t="array" ref="H1806">_xlfn.IFS(G1806&lt;=20,"0-20",G1806&lt;=30,"20-30",G1806&lt;=40,"30-40",G1806&lt;=50,"50-60",G1806&lt;=60,"60-70",G1806&lt;=70,"70-80",G1806&lt;=80,"80-90")</f>
        <v>70-80</v>
      </c>
      <c r="I1806" s="13">
        <v>2707</v>
      </c>
      <c r="J1806" s="13" t="str" cm="1">
        <f t="array" ref="J1806">_xlfn.IFS(K1806=1,"Divorciado",L1806=1,"Casado",M1806=1,"Solteiro",N1806=1,"Juntos",O1806=1,"Viuvo")</f>
        <v>Casado</v>
      </c>
      <c r="K1806" s="13">
        <v>0</v>
      </c>
      <c r="L1806" s="13">
        <v>1</v>
      </c>
      <c r="M1806" s="13">
        <v>0</v>
      </c>
      <c r="N1806" s="13">
        <v>0</v>
      </c>
      <c r="O1806" s="13">
        <v>0</v>
      </c>
      <c r="P1806" s="13">
        <v>0</v>
      </c>
      <c r="Q1806" s="13">
        <v>0</v>
      </c>
      <c r="R1806" s="13">
        <v>1</v>
      </c>
      <c r="S1806" s="13">
        <v>0</v>
      </c>
      <c r="T1806" s="13">
        <v>0</v>
      </c>
      <c r="U1806" s="13">
        <v>6</v>
      </c>
      <c r="V1806" s="13" t="str" cm="1">
        <f t="array" ref="V1806">_xlfn.IFS(U1806&lt;=250,"0-R$250",U1806&lt;=500,"251-R$500",U1806&lt;=750,"501-R$750",U1806&lt;=1000,"751-R$1000",U1806&lt;=1250,"1001-R$1250",U1806&lt;=1500,"1251-R$1500")</f>
        <v>0-R$250</v>
      </c>
      <c r="W1806" s="13">
        <v>1</v>
      </c>
      <c r="X1806" s="13" t="str" cm="1">
        <f t="array" ref="X1806">_xlfn.IFS(W1806 = 0, "0", W1806&lt;=20, "até R$20",W1806&lt;=40, "21 - R$40",W1806&lt;=60, "41- R$60",W1806&lt;=80, "61 - R$80", W1806&lt;=100, "81 - R$100",W1806&lt;=120, "101 - R$120",W1806&lt;=140, "121 - R$140", W1806&lt;=160, "141- R$160", W1806&lt;=180, "161 - R$180", W1806&lt;=200, "181-R$194")</f>
        <v>até R$20</v>
      </c>
      <c r="Y1806" s="13">
        <v>7</v>
      </c>
      <c r="Z1806" s="13">
        <v>23</v>
      </c>
      <c r="AA1806" s="13">
        <v>4</v>
      </c>
      <c r="AB1806" s="13">
        <v>19</v>
      </c>
      <c r="AC1806" s="13">
        <v>1</v>
      </c>
      <c r="AD1806" s="13">
        <v>1</v>
      </c>
      <c r="AE1806" s="13">
        <v>1</v>
      </c>
      <c r="AF1806" s="13">
        <v>2</v>
      </c>
      <c r="AG1806" s="13">
        <v>8</v>
      </c>
      <c r="AH1806" s="13">
        <v>0</v>
      </c>
      <c r="AI1806" s="13">
        <v>0</v>
      </c>
      <c r="AJ1806" s="13">
        <v>0</v>
      </c>
      <c r="AK1806" s="13">
        <v>0</v>
      </c>
      <c r="AL1806" s="13">
        <v>0</v>
      </c>
      <c r="AM1806" s="13">
        <v>0</v>
      </c>
      <c r="AN1806" s="13">
        <v>0</v>
      </c>
      <c r="AO1806" s="14">
        <v>0</v>
      </c>
      <c r="AP1806" s="13">
        <v>3</v>
      </c>
      <c r="AQ1806" s="13">
        <v>11</v>
      </c>
      <c r="AR1806" s="15">
        <v>22</v>
      </c>
      <c r="AS1806" s="15">
        <v>41</v>
      </c>
    </row>
    <row r="1807" spans="1:45" x14ac:dyDescent="0.25">
      <c r="A1807">
        <v>1883</v>
      </c>
      <c r="B1807" s="11">
        <f t="shared" si="28"/>
        <v>35701</v>
      </c>
      <c r="C1807" s="16">
        <v>357010</v>
      </c>
      <c r="D1807" s="17">
        <v>0</v>
      </c>
      <c r="E1807" s="17">
        <v>0</v>
      </c>
      <c r="F1807" s="17">
        <v>36</v>
      </c>
      <c r="G1807" s="17">
        <v>61</v>
      </c>
      <c r="H1807" s="13" t="str" cm="1">
        <f t="array" ref="H1807">_xlfn.IFS(G1807&lt;=20,"0-20",G1807&lt;=30,"20-30",G1807&lt;=40,"30-40",G1807&lt;=50,"50-60",G1807&lt;=60,"60-70",G1807&lt;=70,"70-80",G1807&lt;=80,"80-90")</f>
        <v>70-80</v>
      </c>
      <c r="I1807" s="17">
        <v>2626</v>
      </c>
      <c r="J1807" s="13" t="str" cm="1">
        <f t="array" ref="J1807">_xlfn.IFS(K1807=1,"Divorciado",L1807=1,"Casado",M1807=1,"Solteiro",N1807=1,"Juntos",O1807=1,"Viuvo")</f>
        <v>Casado</v>
      </c>
      <c r="K1807" s="17">
        <v>0</v>
      </c>
      <c r="L1807" s="17">
        <v>1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1</v>
      </c>
      <c r="S1807" s="17">
        <v>0</v>
      </c>
      <c r="T1807" s="17">
        <v>0</v>
      </c>
      <c r="U1807" s="17">
        <v>21</v>
      </c>
      <c r="V1807" s="13" t="str" cm="1">
        <f t="array" ref="V1807">_xlfn.IFS(U1807&lt;=250,"0-R$250",U1807&lt;=500,"251-R$500",U1807&lt;=750,"501-R$750",U1807&lt;=1000,"751-R$1000",U1807&lt;=1250,"1001-R$1250",U1807&lt;=1500,"1251-R$1500")</f>
        <v>0-R$250</v>
      </c>
      <c r="W1807" s="17">
        <v>1</v>
      </c>
      <c r="X1807" s="13" t="str" cm="1">
        <f t="array" ref="X1807">_xlfn.IFS(W1807 = 0, "0", W1807&lt;=20, "até R$20",W1807&lt;=40, "21 - R$40",W1807&lt;=60, "41- R$60",W1807&lt;=80, "61 - R$80", W1807&lt;=100, "81 - R$100",W1807&lt;=120, "101 - R$120",W1807&lt;=140, "121 - R$140", W1807&lt;=160, "141- R$160", W1807&lt;=180, "161 - R$180", W1807&lt;=200, "181-R$194")</f>
        <v>até R$20</v>
      </c>
      <c r="Y1807" s="17">
        <v>9</v>
      </c>
      <c r="Z1807" s="17">
        <v>7</v>
      </c>
      <c r="AA1807" s="17">
        <v>3</v>
      </c>
      <c r="AB1807" s="17">
        <v>5</v>
      </c>
      <c r="AC1807" s="17">
        <v>1</v>
      </c>
      <c r="AD1807" s="17">
        <v>1</v>
      </c>
      <c r="AE1807" s="17">
        <v>0</v>
      </c>
      <c r="AF1807" s="17">
        <v>3</v>
      </c>
      <c r="AG1807" s="17">
        <v>6</v>
      </c>
      <c r="AH1807" s="17">
        <v>0</v>
      </c>
      <c r="AI1807" s="17">
        <v>0</v>
      </c>
      <c r="AJ1807" s="17">
        <v>0</v>
      </c>
      <c r="AK1807" s="17">
        <v>0</v>
      </c>
      <c r="AL1807" s="17">
        <v>0</v>
      </c>
      <c r="AM1807" s="17">
        <v>0</v>
      </c>
      <c r="AN1807" s="17">
        <v>0</v>
      </c>
      <c r="AO1807" s="18">
        <v>0</v>
      </c>
      <c r="AP1807" s="17">
        <v>3</v>
      </c>
      <c r="AQ1807" s="17">
        <v>11</v>
      </c>
      <c r="AR1807" s="19">
        <v>36</v>
      </c>
      <c r="AS1807" s="19">
        <v>41</v>
      </c>
    </row>
    <row r="1808" spans="1:45" x14ac:dyDescent="0.25">
      <c r="A1808">
        <v>2036</v>
      </c>
      <c r="B1808" s="11">
        <f t="shared" si="28"/>
        <v>42554</v>
      </c>
      <c r="C1808" s="12">
        <v>425540</v>
      </c>
      <c r="D1808" s="13">
        <v>1</v>
      </c>
      <c r="E1808" s="13">
        <v>1</v>
      </c>
      <c r="F1808" s="13">
        <v>93</v>
      </c>
      <c r="G1808" s="13">
        <v>42</v>
      </c>
      <c r="H1808" s="13" t="str" cm="1">
        <f t="array" ref="H1808">_xlfn.IFS(G1808&lt;=20,"0-20",G1808&lt;=30,"20-30",G1808&lt;=40,"30-40",G1808&lt;=50,"50-60",G1808&lt;=60,"60-70",G1808&lt;=70,"70-80",G1808&lt;=80,"80-90")</f>
        <v>50-60</v>
      </c>
      <c r="I1808" s="13">
        <v>2692</v>
      </c>
      <c r="J1808" s="13" t="str" cm="1">
        <f t="array" ref="J1808">_xlfn.IFS(K1808=1,"Divorciado",L1808=1,"Casado",M1808=1,"Solteiro",N1808=1,"Juntos",O1808=1,"Viuvo")</f>
        <v>Juntos</v>
      </c>
      <c r="K1808" s="13">
        <v>0</v>
      </c>
      <c r="L1808" s="13">
        <v>0</v>
      </c>
      <c r="M1808" s="13">
        <v>0</v>
      </c>
      <c r="N1808" s="13">
        <v>1</v>
      </c>
      <c r="O1808" s="13">
        <v>0</v>
      </c>
      <c r="P1808" s="13">
        <v>0</v>
      </c>
      <c r="Q1808" s="13">
        <v>0</v>
      </c>
      <c r="R1808" s="13">
        <v>1</v>
      </c>
      <c r="S1808" s="13">
        <v>0</v>
      </c>
      <c r="T1808" s="13">
        <v>0</v>
      </c>
      <c r="U1808" s="13">
        <v>29</v>
      </c>
      <c r="V1808" s="13" t="str" cm="1">
        <f t="array" ref="V1808">_xlfn.IFS(U1808&lt;=250,"0-R$250",U1808&lt;=500,"251-R$500",U1808&lt;=750,"501-R$750",U1808&lt;=1000,"751-R$1000",U1808&lt;=1250,"1001-R$1250",U1808&lt;=1500,"1251-R$1500")</f>
        <v>0-R$250</v>
      </c>
      <c r="W1808" s="13">
        <v>1</v>
      </c>
      <c r="X1808" s="13" t="str" cm="1">
        <f t="array" ref="X1808">_xlfn.IFS(W1808 = 0, "0", W1808&lt;=20, "até R$20",W1808&lt;=40, "21 - R$40",W1808&lt;=60, "41- R$60",W1808&lt;=80, "61 - R$80", W1808&lt;=100, "81 - R$100",W1808&lt;=120, "101 - R$120",W1808&lt;=140, "121 - R$140", W1808&lt;=160, "141- R$160", W1808&lt;=180, "161 - R$180", W1808&lt;=200, "181-R$194")</f>
        <v>até R$20</v>
      </c>
      <c r="Y1808" s="13">
        <v>11</v>
      </c>
      <c r="Z1808" s="13">
        <v>0</v>
      </c>
      <c r="AA1808" s="13">
        <v>0</v>
      </c>
      <c r="AB1808" s="13">
        <v>0</v>
      </c>
      <c r="AC1808" s="13">
        <v>2</v>
      </c>
      <c r="AD1808" s="13">
        <v>2</v>
      </c>
      <c r="AE1808" s="13">
        <v>0</v>
      </c>
      <c r="AF1808" s="13">
        <v>3</v>
      </c>
      <c r="AG1808" s="13">
        <v>4</v>
      </c>
      <c r="AH1808" s="13">
        <v>0</v>
      </c>
      <c r="AI1808" s="13">
        <v>0</v>
      </c>
      <c r="AJ1808" s="13">
        <v>0</v>
      </c>
      <c r="AK1808" s="13">
        <v>0</v>
      </c>
      <c r="AL1808" s="13">
        <v>0</v>
      </c>
      <c r="AM1808" s="13">
        <v>0</v>
      </c>
      <c r="AN1808" s="13">
        <v>0</v>
      </c>
      <c r="AO1808" s="14">
        <v>0</v>
      </c>
      <c r="AP1808" s="13">
        <v>3</v>
      </c>
      <c r="AQ1808" s="13">
        <v>11</v>
      </c>
      <c r="AR1808" s="15">
        <v>41</v>
      </c>
      <c r="AS1808" s="15">
        <v>41</v>
      </c>
    </row>
    <row r="1809" spans="1:45" x14ac:dyDescent="0.25">
      <c r="A1809">
        <v>2099</v>
      </c>
      <c r="B1809" s="11">
        <f t="shared" si="28"/>
        <v>30992</v>
      </c>
      <c r="C1809" s="16">
        <v>309920</v>
      </c>
      <c r="D1809" s="17">
        <v>1</v>
      </c>
      <c r="E1809" s="17">
        <v>0</v>
      </c>
      <c r="F1809" s="17">
        <v>83</v>
      </c>
      <c r="G1809" s="17">
        <v>44</v>
      </c>
      <c r="H1809" s="13" t="str" cm="1">
        <f t="array" ref="H1809">_xlfn.IFS(G1809&lt;=20,"0-20",G1809&lt;=30,"20-30",G1809&lt;=40,"30-40",G1809&lt;=50,"50-60",G1809&lt;=60,"60-70",G1809&lt;=70,"70-80",G1809&lt;=80,"80-90")</f>
        <v>50-60</v>
      </c>
      <c r="I1809" s="17">
        <v>2592</v>
      </c>
      <c r="J1809" s="13" t="str" cm="1">
        <f t="array" ref="J1809">_xlfn.IFS(K1809=1,"Divorciado",L1809=1,"Casado",M1809=1,"Solteiro",N1809=1,"Juntos",O1809=1,"Viuvo")</f>
        <v>Divorciado</v>
      </c>
      <c r="K1809" s="17">
        <v>1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1</v>
      </c>
      <c r="S1809" s="17">
        <v>0</v>
      </c>
      <c r="T1809" s="17">
        <v>0</v>
      </c>
      <c r="U1809" s="17">
        <v>17</v>
      </c>
      <c r="V1809" s="13" t="str" cm="1">
        <f t="array" ref="V1809">_xlfn.IFS(U1809&lt;=250,"0-R$250",U1809&lt;=500,"251-R$500",U1809&lt;=750,"501-R$750",U1809&lt;=1000,"751-R$1000",U1809&lt;=1250,"1001-R$1250",U1809&lt;=1500,"1251-R$1500")</f>
        <v>0-R$250</v>
      </c>
      <c r="W1809" s="17">
        <v>0</v>
      </c>
      <c r="X1809" s="13" t="str" cm="1">
        <f t="array" ref="X1809">_xlfn.IFS(W1809 = 0, "0", W1809&lt;=20, "até R$20",W1809&lt;=40, "21 - R$40",W1809&lt;=60, "41- R$60",W1809&lt;=80, "61 - R$80", W1809&lt;=100, "81 - R$100",W1809&lt;=120, "101 - R$120",W1809&lt;=140, "121 - R$140", W1809&lt;=160, "141- R$160", W1809&lt;=180, "161 - R$180", W1809&lt;=200, "181-R$194")</f>
        <v>0</v>
      </c>
      <c r="Y1809" s="17">
        <v>14</v>
      </c>
      <c r="Z1809" s="17">
        <v>7</v>
      </c>
      <c r="AA1809" s="17">
        <v>3</v>
      </c>
      <c r="AB1809" s="17">
        <v>2</v>
      </c>
      <c r="AC1809" s="17">
        <v>1</v>
      </c>
      <c r="AD1809" s="17">
        <v>1</v>
      </c>
      <c r="AE1809" s="17">
        <v>0</v>
      </c>
      <c r="AF1809" s="17">
        <v>3</v>
      </c>
      <c r="AG1809" s="17">
        <v>7</v>
      </c>
      <c r="AH1809" s="17">
        <v>0</v>
      </c>
      <c r="AI1809" s="17">
        <v>0</v>
      </c>
      <c r="AJ1809" s="17">
        <v>0</v>
      </c>
      <c r="AK1809" s="17">
        <v>0</v>
      </c>
      <c r="AL1809" s="17">
        <v>0</v>
      </c>
      <c r="AM1809" s="17">
        <v>0</v>
      </c>
      <c r="AN1809" s="17">
        <v>0</v>
      </c>
      <c r="AO1809" s="18">
        <v>0</v>
      </c>
      <c r="AP1809" s="17">
        <v>3</v>
      </c>
      <c r="AQ1809" s="17">
        <v>11</v>
      </c>
      <c r="AR1809" s="19">
        <v>39</v>
      </c>
      <c r="AS1809" s="19">
        <v>41</v>
      </c>
    </row>
    <row r="1810" spans="1:45" x14ac:dyDescent="0.25">
      <c r="A1810">
        <v>277</v>
      </c>
      <c r="B1810" s="11">
        <f t="shared" si="28"/>
        <v>32414</v>
      </c>
      <c r="C1810" s="16">
        <v>324140</v>
      </c>
      <c r="D1810" s="17">
        <v>0</v>
      </c>
      <c r="E1810" s="17">
        <v>0</v>
      </c>
      <c r="F1810" s="17">
        <v>11</v>
      </c>
      <c r="G1810" s="17">
        <v>36</v>
      </c>
      <c r="H1810" s="13" t="str" cm="1">
        <f t="array" ref="H1810">_xlfn.IFS(G1810&lt;=20,"0-20",G1810&lt;=30,"20-30",G1810&lt;=40,"30-40",G1810&lt;=50,"50-60",G1810&lt;=60,"60-70",G1810&lt;=70,"70-80",G1810&lt;=80,"80-90")</f>
        <v>30-40</v>
      </c>
      <c r="I1810" s="17">
        <v>2519</v>
      </c>
      <c r="J1810" s="13" t="str" cm="1">
        <f t="array" ref="J1810">_xlfn.IFS(K1810=1,"Divorciado",L1810=1,"Casado",M1810=1,"Solteiro",N1810=1,"Juntos",O1810=1,"Viuvo")</f>
        <v>Juntos</v>
      </c>
      <c r="K1810" s="17">
        <v>0</v>
      </c>
      <c r="L1810" s="17">
        <v>0</v>
      </c>
      <c r="M1810" s="17">
        <v>0</v>
      </c>
      <c r="N1810" s="17">
        <v>1</v>
      </c>
      <c r="O1810" s="17">
        <v>0</v>
      </c>
      <c r="P1810" s="17">
        <v>1</v>
      </c>
      <c r="Q1810" s="17">
        <v>0</v>
      </c>
      <c r="R1810" s="17">
        <v>0</v>
      </c>
      <c r="S1810" s="17">
        <v>0</v>
      </c>
      <c r="T1810" s="17">
        <v>0</v>
      </c>
      <c r="U1810" s="17">
        <v>20</v>
      </c>
      <c r="V1810" s="13" t="str" cm="1">
        <f t="array" ref="V1810">_xlfn.IFS(U1810&lt;=250,"0-R$250",U1810&lt;=500,"251-R$500",U1810&lt;=750,"501-R$750",U1810&lt;=1000,"751-R$1000",U1810&lt;=1250,"1001-R$1250",U1810&lt;=1500,"1251-R$1500")</f>
        <v>0-R$250</v>
      </c>
      <c r="W1810" s="17">
        <v>6</v>
      </c>
      <c r="X1810" s="13" t="str" cm="1">
        <f t="array" ref="X1810">_xlfn.IFS(W1810 = 0, "0", W1810&lt;=20, "até R$20",W1810&lt;=40, "21 - R$40",W1810&lt;=60, "41- R$60",W1810&lt;=80, "61 - R$80", W1810&lt;=100, "81 - R$100",W1810&lt;=120, "101 - R$120",W1810&lt;=140, "121 - R$140", W1810&lt;=160, "141- R$160", W1810&lt;=180, "161 - R$180", W1810&lt;=200, "181-R$194")</f>
        <v>até R$20</v>
      </c>
      <c r="Y1810" s="17">
        <v>5</v>
      </c>
      <c r="Z1810" s="17">
        <v>0</v>
      </c>
      <c r="AA1810" s="17">
        <v>9</v>
      </c>
      <c r="AB1810" s="17">
        <v>12</v>
      </c>
      <c r="AC1810" s="17">
        <v>1</v>
      </c>
      <c r="AD1810" s="17">
        <v>1</v>
      </c>
      <c r="AE1810" s="17">
        <v>0</v>
      </c>
      <c r="AF1810" s="17">
        <v>3</v>
      </c>
      <c r="AG1810" s="17">
        <v>7</v>
      </c>
      <c r="AH1810" s="17">
        <v>0</v>
      </c>
      <c r="AI1810" s="17">
        <v>1</v>
      </c>
      <c r="AJ1810" s="17">
        <v>0</v>
      </c>
      <c r="AK1810" s="17">
        <v>0</v>
      </c>
      <c r="AL1810" s="17">
        <v>0</v>
      </c>
      <c r="AM1810" s="17">
        <v>0</v>
      </c>
      <c r="AN1810" s="17">
        <v>0</v>
      </c>
      <c r="AO1810" s="18">
        <v>1</v>
      </c>
      <c r="AP1810" s="17">
        <v>3</v>
      </c>
      <c r="AQ1810" s="17">
        <v>11</v>
      </c>
      <c r="AR1810" s="19">
        <v>28</v>
      </c>
      <c r="AS1810" s="19">
        <v>40</v>
      </c>
    </row>
    <row r="1811" spans="1:45" x14ac:dyDescent="0.25">
      <c r="A1811">
        <v>419</v>
      </c>
      <c r="B1811" s="11">
        <f t="shared" si="28"/>
        <v>50943</v>
      </c>
      <c r="C1811" s="16">
        <v>509430</v>
      </c>
      <c r="D1811" s="17">
        <v>0</v>
      </c>
      <c r="E1811" s="17">
        <v>1</v>
      </c>
      <c r="F1811" s="17">
        <v>49</v>
      </c>
      <c r="G1811" s="17">
        <v>64</v>
      </c>
      <c r="H1811" s="13" t="str" cm="1">
        <f t="array" ref="H1811">_xlfn.IFS(G1811&lt;=20,"0-20",G1811&lt;=30,"20-30",G1811&lt;=40,"30-40",G1811&lt;=50,"50-60",G1811&lt;=60,"60-70",G1811&lt;=70,"70-80",G1811&lt;=80,"80-90")</f>
        <v>70-80</v>
      </c>
      <c r="I1811" s="17">
        <v>2532</v>
      </c>
      <c r="J1811" s="13" t="str" cm="1">
        <f t="array" ref="J1811">_xlfn.IFS(K1811=1,"Divorciado",L1811=1,"Casado",M1811=1,"Solteiro",N1811=1,"Juntos",O1811=1,"Viuvo")</f>
        <v>Juntos</v>
      </c>
      <c r="K1811" s="17">
        <v>0</v>
      </c>
      <c r="L1811" s="17">
        <v>0</v>
      </c>
      <c r="M1811" s="17">
        <v>0</v>
      </c>
      <c r="N1811" s="17">
        <v>1</v>
      </c>
      <c r="O1811" s="17">
        <v>0</v>
      </c>
      <c r="P1811" s="17">
        <v>0</v>
      </c>
      <c r="Q1811" s="17">
        <v>0</v>
      </c>
      <c r="R1811" s="17">
        <v>0</v>
      </c>
      <c r="S1811" s="17">
        <v>1</v>
      </c>
      <c r="T1811" s="17">
        <v>0</v>
      </c>
      <c r="U1811" s="17">
        <v>31</v>
      </c>
      <c r="V1811" s="13" t="str" cm="1">
        <f t="array" ref="V1811">_xlfn.IFS(U1811&lt;=250,"0-R$250",U1811&lt;=500,"251-R$500",U1811&lt;=750,"501-R$750",U1811&lt;=1000,"751-R$1000",U1811&lt;=1250,"1001-R$1250",U1811&lt;=1500,"1251-R$1500")</f>
        <v>0-R$250</v>
      </c>
      <c r="W1811" s="17">
        <v>0</v>
      </c>
      <c r="X1811" s="13" t="str" cm="1">
        <f t="array" ref="X1811">_xlfn.IFS(W1811 = 0, "0", W1811&lt;=20, "até R$20",W1811&lt;=40, "21 - R$40",W1811&lt;=60, "41- R$60",W1811&lt;=80, "61 - R$80", W1811&lt;=100, "81 - R$100",W1811&lt;=120, "101 - R$120",W1811&lt;=140, "121 - R$140", W1811&lt;=160, "141- R$160", W1811&lt;=180, "161 - R$180", W1811&lt;=200, "181-R$194")</f>
        <v>0</v>
      </c>
      <c r="Y1811" s="17">
        <v>7</v>
      </c>
      <c r="Z1811" s="17">
        <v>2</v>
      </c>
      <c r="AA1811" s="17">
        <v>0</v>
      </c>
      <c r="AB1811" s="17">
        <v>6</v>
      </c>
      <c r="AC1811" s="17">
        <v>1</v>
      </c>
      <c r="AD1811" s="17">
        <v>1</v>
      </c>
      <c r="AE1811" s="17">
        <v>0</v>
      </c>
      <c r="AF1811" s="17">
        <v>3</v>
      </c>
      <c r="AG1811" s="17">
        <v>5</v>
      </c>
      <c r="AH1811" s="17">
        <v>0</v>
      </c>
      <c r="AI1811" s="17">
        <v>0</v>
      </c>
      <c r="AJ1811" s="17">
        <v>0</v>
      </c>
      <c r="AK1811" s="17">
        <v>0</v>
      </c>
      <c r="AL1811" s="17">
        <v>0</v>
      </c>
      <c r="AM1811" s="17">
        <v>0</v>
      </c>
      <c r="AN1811" s="17">
        <v>0</v>
      </c>
      <c r="AO1811" s="18">
        <v>0</v>
      </c>
      <c r="AP1811" s="17">
        <v>3</v>
      </c>
      <c r="AQ1811" s="17">
        <v>11</v>
      </c>
      <c r="AR1811" s="19">
        <v>34</v>
      </c>
      <c r="AS1811" s="19">
        <v>40</v>
      </c>
    </row>
    <row r="1812" spans="1:45" x14ac:dyDescent="0.25">
      <c r="A1812">
        <v>457</v>
      </c>
      <c r="B1812" s="11">
        <f t="shared" si="28"/>
        <v>38415</v>
      </c>
      <c r="C1812" s="16">
        <v>384150</v>
      </c>
      <c r="D1812" s="17">
        <v>1</v>
      </c>
      <c r="E1812" s="17">
        <v>1</v>
      </c>
      <c r="F1812" s="17">
        <v>91</v>
      </c>
      <c r="G1812" s="17">
        <v>42</v>
      </c>
      <c r="H1812" s="13" t="str" cm="1">
        <f t="array" ref="H1812">_xlfn.IFS(G1812&lt;=20,"0-20",G1812&lt;=30,"20-30",G1812&lt;=40,"30-40",G1812&lt;=50,"50-60",G1812&lt;=60,"60-70",G1812&lt;=70,"70-80",G1812&lt;=80,"80-90")</f>
        <v>50-60</v>
      </c>
      <c r="I1812" s="17">
        <v>2702</v>
      </c>
      <c r="J1812" s="13" t="str" cm="1">
        <f t="array" ref="J1812">_xlfn.IFS(K1812=1,"Divorciado",L1812=1,"Casado",M1812=1,"Solteiro",N1812=1,"Juntos",O1812=1,"Viuvo")</f>
        <v>Casado</v>
      </c>
      <c r="K1812" s="17">
        <v>0</v>
      </c>
      <c r="L1812" s="17">
        <v>1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1</v>
      </c>
      <c r="S1812" s="17">
        <v>0</v>
      </c>
      <c r="T1812" s="17">
        <v>0</v>
      </c>
      <c r="U1812" s="17">
        <v>22</v>
      </c>
      <c r="V1812" s="13" t="str" cm="1">
        <f t="array" ref="V1812">_xlfn.IFS(U1812&lt;=250,"0-R$250",U1812&lt;=500,"251-R$500",U1812&lt;=750,"501-R$750",U1812&lt;=1000,"751-R$1000",U1812&lt;=1250,"1001-R$1250",U1812&lt;=1500,"1251-R$1500")</f>
        <v>0-R$250</v>
      </c>
      <c r="W1812" s="17">
        <v>1</v>
      </c>
      <c r="X1812" s="13" t="str" cm="1">
        <f t="array" ref="X1812">_xlfn.IFS(W1812 = 0, "0", W1812&lt;=20, "até R$20",W1812&lt;=40, "21 - R$40",W1812&lt;=60, "41- R$60",W1812&lt;=80, "61 - R$80", W1812&lt;=100, "81 - R$100",W1812&lt;=120, "101 - R$120",W1812&lt;=140, "121 - R$140", W1812&lt;=160, "141- R$160", W1812&lt;=180, "161 - R$180", W1812&lt;=200, "181-R$194")</f>
        <v>até R$20</v>
      </c>
      <c r="Y1812" s="17">
        <v>13</v>
      </c>
      <c r="Z1812" s="17">
        <v>4</v>
      </c>
      <c r="AA1812" s="17">
        <v>0</v>
      </c>
      <c r="AB1812" s="17">
        <v>4</v>
      </c>
      <c r="AC1812" s="17">
        <v>2</v>
      </c>
      <c r="AD1812" s="17">
        <v>1</v>
      </c>
      <c r="AE1812" s="17">
        <v>0</v>
      </c>
      <c r="AF1812" s="17">
        <v>3</v>
      </c>
      <c r="AG1812" s="17">
        <v>7</v>
      </c>
      <c r="AH1812" s="17">
        <v>0</v>
      </c>
      <c r="AI1812" s="17">
        <v>0</v>
      </c>
      <c r="AJ1812" s="17">
        <v>0</v>
      </c>
      <c r="AK1812" s="17">
        <v>0</v>
      </c>
      <c r="AL1812" s="17">
        <v>0</v>
      </c>
      <c r="AM1812" s="17">
        <v>0</v>
      </c>
      <c r="AN1812" s="17">
        <v>0</v>
      </c>
      <c r="AO1812" s="18">
        <v>0</v>
      </c>
      <c r="AP1812" s="17">
        <v>3</v>
      </c>
      <c r="AQ1812" s="17">
        <v>11</v>
      </c>
      <c r="AR1812" s="19">
        <v>36</v>
      </c>
      <c r="AS1812" s="19">
        <v>40</v>
      </c>
    </row>
    <row r="1813" spans="1:45" x14ac:dyDescent="0.25">
      <c r="A1813">
        <v>484</v>
      </c>
      <c r="B1813" s="11">
        <f t="shared" si="28"/>
        <v>27203</v>
      </c>
      <c r="C1813" s="12">
        <v>272030</v>
      </c>
      <c r="D1813" s="13">
        <v>1</v>
      </c>
      <c r="E1813" s="13">
        <v>1</v>
      </c>
      <c r="F1813" s="13">
        <v>92</v>
      </c>
      <c r="G1813" s="13">
        <v>70</v>
      </c>
      <c r="H1813" s="13" t="str" cm="1">
        <f t="array" ref="H1813">_xlfn.IFS(G1813&lt;=20,"0-20",G1813&lt;=30,"20-30",G1813&lt;=40,"30-40",G1813&lt;=50,"50-60",G1813&lt;=60,"60-70",G1813&lt;=70,"70-80",G1813&lt;=80,"80-90")</f>
        <v>70-80</v>
      </c>
      <c r="I1813" s="13">
        <v>2851</v>
      </c>
      <c r="J1813" s="13" t="str" cm="1">
        <f t="array" ref="J1813">_xlfn.IFS(K1813=1,"Divorciado",L1813=1,"Casado",M1813=1,"Solteiro",N1813=1,"Juntos",O1813=1,"Viuvo")</f>
        <v>Juntos</v>
      </c>
      <c r="K1813" s="13">
        <v>0</v>
      </c>
      <c r="L1813" s="13">
        <v>0</v>
      </c>
      <c r="M1813" s="13">
        <v>0</v>
      </c>
      <c r="N1813" s="13">
        <v>1</v>
      </c>
      <c r="O1813" s="13">
        <v>0</v>
      </c>
      <c r="P1813" s="13">
        <v>0</v>
      </c>
      <c r="Q1813" s="13">
        <v>0</v>
      </c>
      <c r="R1813" s="13">
        <v>1</v>
      </c>
      <c r="S1813" s="13">
        <v>0</v>
      </c>
      <c r="T1813" s="13">
        <v>0</v>
      </c>
      <c r="U1813" s="13">
        <v>13</v>
      </c>
      <c r="V1813" s="13" t="str" cm="1">
        <f t="array" ref="V1813">_xlfn.IFS(U1813&lt;=250,"0-R$250",U1813&lt;=500,"251-R$500",U1813&lt;=750,"501-R$750",U1813&lt;=1000,"751-R$1000",U1813&lt;=1250,"1001-R$1250",U1813&lt;=1500,"1251-R$1500")</f>
        <v>0-R$250</v>
      </c>
      <c r="W1813" s="13">
        <v>2</v>
      </c>
      <c r="X1813" s="13" t="str" cm="1">
        <f t="array" ref="X1813">_xlfn.IFS(W1813 = 0, "0", W1813&lt;=20, "até R$20",W1813&lt;=40, "21 - R$40",W1813&lt;=60, "41- R$60",W1813&lt;=80, "61 - R$80", W1813&lt;=100, "81 - R$100",W1813&lt;=120, "101 - R$120",W1813&lt;=140, "121 - R$140", W1813&lt;=160, "141- R$160", W1813&lt;=180, "161 - R$180", W1813&lt;=200, "181-R$194")</f>
        <v>até R$20</v>
      </c>
      <c r="Y1813" s="13">
        <v>21</v>
      </c>
      <c r="Z1813" s="13">
        <v>4</v>
      </c>
      <c r="AA1813" s="13">
        <v>0</v>
      </c>
      <c r="AB1813" s="13">
        <v>24</v>
      </c>
      <c r="AC1813" s="13">
        <v>2</v>
      </c>
      <c r="AD1813" s="13">
        <v>1</v>
      </c>
      <c r="AE1813" s="13">
        <v>1</v>
      </c>
      <c r="AF1813" s="13">
        <v>2</v>
      </c>
      <c r="AG1813" s="13">
        <v>8</v>
      </c>
      <c r="AH1813" s="13">
        <v>0</v>
      </c>
      <c r="AI1813" s="13">
        <v>0</v>
      </c>
      <c r="AJ1813" s="13">
        <v>0</v>
      </c>
      <c r="AK1813" s="13">
        <v>0</v>
      </c>
      <c r="AL1813" s="13">
        <v>0</v>
      </c>
      <c r="AM1813" s="13">
        <v>0</v>
      </c>
      <c r="AN1813" s="13">
        <v>0</v>
      </c>
      <c r="AO1813" s="14">
        <v>0</v>
      </c>
      <c r="AP1813" s="13">
        <v>3</v>
      </c>
      <c r="AQ1813" s="13">
        <v>11</v>
      </c>
      <c r="AR1813" s="15">
        <v>16</v>
      </c>
      <c r="AS1813" s="15">
        <v>40</v>
      </c>
    </row>
    <row r="1814" spans="1:45" x14ac:dyDescent="0.25">
      <c r="A1814">
        <v>488</v>
      </c>
      <c r="B1814" s="11">
        <f t="shared" si="28"/>
        <v>50943</v>
      </c>
      <c r="C1814" s="12">
        <v>509430</v>
      </c>
      <c r="D1814" s="13">
        <v>0</v>
      </c>
      <c r="E1814" s="13">
        <v>1</v>
      </c>
      <c r="F1814" s="13">
        <v>49</v>
      </c>
      <c r="G1814" s="13">
        <v>64</v>
      </c>
      <c r="H1814" s="13" t="str" cm="1">
        <f t="array" ref="H1814">_xlfn.IFS(G1814&lt;=20,"0-20",G1814&lt;=30,"20-30",G1814&lt;=40,"30-40",G1814&lt;=50,"50-60",G1814&lt;=60,"60-70",G1814&lt;=70,"70-80",G1814&lt;=80,"80-90")</f>
        <v>70-80</v>
      </c>
      <c r="I1814" s="13">
        <v>2532</v>
      </c>
      <c r="J1814" s="13" t="str" cm="1">
        <f t="array" ref="J1814">_xlfn.IFS(K1814=1,"Divorciado",L1814=1,"Casado",M1814=1,"Solteiro",N1814=1,"Juntos",O1814=1,"Viuvo")</f>
        <v>Juntos</v>
      </c>
      <c r="K1814" s="13">
        <v>0</v>
      </c>
      <c r="L1814" s="13">
        <v>0</v>
      </c>
      <c r="M1814" s="13">
        <v>0</v>
      </c>
      <c r="N1814" s="13">
        <v>1</v>
      </c>
      <c r="O1814" s="13">
        <v>0</v>
      </c>
      <c r="P1814" s="13">
        <v>0</v>
      </c>
      <c r="Q1814" s="13">
        <v>0</v>
      </c>
      <c r="R1814" s="13">
        <v>0</v>
      </c>
      <c r="S1814" s="13">
        <v>1</v>
      </c>
      <c r="T1814" s="13">
        <v>0</v>
      </c>
      <c r="U1814" s="13">
        <v>31</v>
      </c>
      <c r="V1814" s="13" t="str" cm="1">
        <f t="array" ref="V1814">_xlfn.IFS(U1814&lt;=250,"0-R$250",U1814&lt;=500,"251-R$500",U1814&lt;=750,"501-R$750",U1814&lt;=1000,"751-R$1000",U1814&lt;=1250,"1001-R$1250",U1814&lt;=1500,"1251-R$1500")</f>
        <v>0-R$250</v>
      </c>
      <c r="W1814" s="13">
        <v>0</v>
      </c>
      <c r="X1814" s="13" t="str" cm="1">
        <f t="array" ref="X1814">_xlfn.IFS(W1814 = 0, "0", W1814&lt;=20, "até R$20",W1814&lt;=40, "21 - R$40",W1814&lt;=60, "41- R$60",W1814&lt;=80, "61 - R$80", W1814&lt;=100, "81 - R$100",W1814&lt;=120, "101 - R$120",W1814&lt;=140, "121 - R$140", W1814&lt;=160, "141- R$160", W1814&lt;=180, "161 - R$180", W1814&lt;=200, "181-R$194")</f>
        <v>0</v>
      </c>
      <c r="Y1814" s="13">
        <v>7</v>
      </c>
      <c r="Z1814" s="13">
        <v>2</v>
      </c>
      <c r="AA1814" s="13">
        <v>0</v>
      </c>
      <c r="AB1814" s="13">
        <v>6</v>
      </c>
      <c r="AC1814" s="13">
        <v>1</v>
      </c>
      <c r="AD1814" s="13">
        <v>1</v>
      </c>
      <c r="AE1814" s="13">
        <v>0</v>
      </c>
      <c r="AF1814" s="13">
        <v>3</v>
      </c>
      <c r="AG1814" s="13">
        <v>5</v>
      </c>
      <c r="AH1814" s="13">
        <v>0</v>
      </c>
      <c r="AI1814" s="13">
        <v>0</v>
      </c>
      <c r="AJ1814" s="13">
        <v>0</v>
      </c>
      <c r="AK1814" s="13">
        <v>0</v>
      </c>
      <c r="AL1814" s="13">
        <v>0</v>
      </c>
      <c r="AM1814" s="13">
        <v>0</v>
      </c>
      <c r="AN1814" s="13">
        <v>0</v>
      </c>
      <c r="AO1814" s="14">
        <v>0</v>
      </c>
      <c r="AP1814" s="13">
        <v>3</v>
      </c>
      <c r="AQ1814" s="13">
        <v>11</v>
      </c>
      <c r="AR1814" s="15">
        <v>34</v>
      </c>
      <c r="AS1814" s="15">
        <v>40</v>
      </c>
    </row>
    <row r="1815" spans="1:45" x14ac:dyDescent="0.25">
      <c r="A1815">
        <v>509</v>
      </c>
      <c r="B1815" s="11">
        <f t="shared" si="28"/>
        <v>32880</v>
      </c>
      <c r="C1815" s="16">
        <v>328800</v>
      </c>
      <c r="D1815" s="17">
        <v>1</v>
      </c>
      <c r="E1815" s="17">
        <v>0</v>
      </c>
      <c r="F1815" s="17">
        <v>76</v>
      </c>
      <c r="G1815" s="17">
        <v>34</v>
      </c>
      <c r="H1815" s="13" t="str" cm="1">
        <f t="array" ref="H1815">_xlfn.IFS(G1815&lt;=20,"0-20",G1815&lt;=30,"20-30",G1815&lt;=40,"30-40",G1815&lt;=50,"50-60",G1815&lt;=60,"60-70",G1815&lt;=70,"70-80",G1815&lt;=80,"80-90")</f>
        <v>30-40</v>
      </c>
      <c r="I1815" s="17">
        <v>2731</v>
      </c>
      <c r="J1815" s="13" t="str" cm="1">
        <f t="array" ref="J1815">_xlfn.IFS(K1815=1,"Divorciado",L1815=1,"Casado",M1815=1,"Solteiro",N1815=1,"Juntos",O1815=1,"Viuvo")</f>
        <v>Casado</v>
      </c>
      <c r="K1815" s="17">
        <v>0</v>
      </c>
      <c r="L1815" s="17">
        <v>1</v>
      </c>
      <c r="M1815" s="17">
        <v>0</v>
      </c>
      <c r="N1815" s="17">
        <v>0</v>
      </c>
      <c r="O1815" s="17">
        <v>0</v>
      </c>
      <c r="P1815" s="17">
        <v>0</v>
      </c>
      <c r="Q1815" s="17">
        <v>0</v>
      </c>
      <c r="R1815" s="17">
        <v>1</v>
      </c>
      <c r="S1815" s="17">
        <v>0</v>
      </c>
      <c r="T1815" s="17">
        <v>0</v>
      </c>
      <c r="U1815" s="17">
        <v>8</v>
      </c>
      <c r="V1815" s="13" t="str" cm="1">
        <f t="array" ref="V1815">_xlfn.IFS(U1815&lt;=250,"0-R$250",U1815&lt;=500,"251-R$500",U1815&lt;=750,"501-R$750",U1815&lt;=1000,"751-R$1000",U1815&lt;=1250,"1001-R$1250",U1815&lt;=1500,"1251-R$1500")</f>
        <v>0-R$250</v>
      </c>
      <c r="W1815" s="17">
        <v>4</v>
      </c>
      <c r="X1815" s="13" t="str" cm="1">
        <f t="array" ref="X1815">_xlfn.IFS(W1815 = 0, "0", W1815&lt;=20, "até R$20",W1815&lt;=40, "21 - R$40",W1815&lt;=60, "41- R$60",W1815&lt;=80, "61 - R$80", W1815&lt;=100, "81 - R$100",W1815&lt;=120, "101 - R$120",W1815&lt;=140, "121 - R$140", W1815&lt;=160, "141- R$160", W1815&lt;=180, "161 - R$180", W1815&lt;=200, "181-R$194")</f>
        <v>até R$20</v>
      </c>
      <c r="Y1815" s="17">
        <v>15</v>
      </c>
      <c r="Z1815" s="17">
        <v>7</v>
      </c>
      <c r="AA1815" s="17">
        <v>6</v>
      </c>
      <c r="AB1815" s="17">
        <v>2</v>
      </c>
      <c r="AC1815" s="17">
        <v>1</v>
      </c>
      <c r="AD1815" s="17">
        <v>1</v>
      </c>
      <c r="AE1815" s="17">
        <v>0</v>
      </c>
      <c r="AF1815" s="17">
        <v>3</v>
      </c>
      <c r="AG1815" s="17">
        <v>8</v>
      </c>
      <c r="AH1815" s="17">
        <v>0</v>
      </c>
      <c r="AI1815" s="17">
        <v>0</v>
      </c>
      <c r="AJ1815" s="17">
        <v>0</v>
      </c>
      <c r="AK1815" s="17">
        <v>0</v>
      </c>
      <c r="AL1815" s="17">
        <v>0</v>
      </c>
      <c r="AM1815" s="17">
        <v>0</v>
      </c>
      <c r="AN1815" s="17">
        <v>0</v>
      </c>
      <c r="AO1815" s="18">
        <v>0</v>
      </c>
      <c r="AP1815" s="17">
        <v>3</v>
      </c>
      <c r="AQ1815" s="17">
        <v>11</v>
      </c>
      <c r="AR1815" s="19">
        <v>38</v>
      </c>
      <c r="AS1815" s="19">
        <v>40</v>
      </c>
    </row>
    <row r="1816" spans="1:45" x14ac:dyDescent="0.25">
      <c r="A1816">
        <v>518</v>
      </c>
      <c r="B1816" s="11">
        <f t="shared" si="28"/>
        <v>28567</v>
      </c>
      <c r="C1816" s="12">
        <v>285670</v>
      </c>
      <c r="D1816" s="13">
        <v>1</v>
      </c>
      <c r="E1816" s="13">
        <v>0</v>
      </c>
      <c r="F1816" s="13">
        <v>57</v>
      </c>
      <c r="G1816" s="13">
        <v>38</v>
      </c>
      <c r="H1816" s="13" t="str" cm="1">
        <f t="array" ref="H1816">_xlfn.IFS(G1816&lt;=20,"0-20",G1816&lt;=30,"20-30",G1816&lt;=40,"30-40",G1816&lt;=50,"50-60",G1816&lt;=60,"60-70",G1816&lt;=70,"70-80",G1816&lt;=80,"80-90")</f>
        <v>30-40</v>
      </c>
      <c r="I1816" s="13">
        <v>2536</v>
      </c>
      <c r="J1816" s="13" t="str" cm="1">
        <f t="array" ref="J1816">_xlfn.IFS(K1816=1,"Divorciado",L1816=1,"Casado",M1816=1,"Solteiro",N1816=1,"Juntos",O1816=1,"Viuvo")</f>
        <v>Solteiro</v>
      </c>
      <c r="K1816" s="13">
        <v>0</v>
      </c>
      <c r="L1816" s="13">
        <v>0</v>
      </c>
      <c r="M1816" s="13">
        <v>1</v>
      </c>
      <c r="N1816" s="13">
        <v>0</v>
      </c>
      <c r="O1816" s="13">
        <v>0</v>
      </c>
      <c r="P1816" s="13">
        <v>0</v>
      </c>
      <c r="Q1816" s="13">
        <v>0</v>
      </c>
      <c r="R1816" s="13">
        <v>1</v>
      </c>
      <c r="S1816" s="13">
        <v>0</v>
      </c>
      <c r="T1816" s="13">
        <v>0</v>
      </c>
      <c r="U1816" s="13">
        <v>11</v>
      </c>
      <c r="V1816" s="13" t="str" cm="1">
        <f t="array" ref="V1816">_xlfn.IFS(U1816&lt;=250,"0-R$250",U1816&lt;=500,"251-R$500",U1816&lt;=750,"501-R$750",U1816&lt;=1000,"751-R$1000",U1816&lt;=1250,"1001-R$1250",U1816&lt;=1500,"1251-R$1500")</f>
        <v>0-R$250</v>
      </c>
      <c r="W1816" s="13">
        <v>3</v>
      </c>
      <c r="X1816" s="13" t="str" cm="1">
        <f t="array" ref="X1816">_xlfn.IFS(W1816 = 0, "0", W1816&lt;=20, "até R$20",W1816&lt;=40, "21 - R$40",W1816&lt;=60, "41- R$60",W1816&lt;=80, "61 - R$80", W1816&lt;=100, "81 - R$100",W1816&lt;=120, "101 - R$120",W1816&lt;=140, "121 - R$140", W1816&lt;=160, "141- R$160", W1816&lt;=180, "161 - R$180", W1816&lt;=200, "181-R$194")</f>
        <v>até R$20</v>
      </c>
      <c r="Y1816" s="13">
        <v>22</v>
      </c>
      <c r="Z1816" s="13">
        <v>2</v>
      </c>
      <c r="AA1816" s="13">
        <v>2</v>
      </c>
      <c r="AB1816" s="13">
        <v>6</v>
      </c>
      <c r="AC1816" s="13">
        <v>2</v>
      </c>
      <c r="AD1816" s="13">
        <v>2</v>
      </c>
      <c r="AE1816" s="13">
        <v>0</v>
      </c>
      <c r="AF1816" s="13">
        <v>3</v>
      </c>
      <c r="AG1816" s="13">
        <v>6</v>
      </c>
      <c r="AH1816" s="13">
        <v>0</v>
      </c>
      <c r="AI1816" s="13">
        <v>0</v>
      </c>
      <c r="AJ1816" s="13">
        <v>0</v>
      </c>
      <c r="AK1816" s="13">
        <v>0</v>
      </c>
      <c r="AL1816" s="13">
        <v>0</v>
      </c>
      <c r="AM1816" s="13">
        <v>0</v>
      </c>
      <c r="AN1816" s="13">
        <v>0</v>
      </c>
      <c r="AO1816" s="14">
        <v>0</v>
      </c>
      <c r="AP1816" s="13">
        <v>3</v>
      </c>
      <c r="AQ1816" s="13">
        <v>11</v>
      </c>
      <c r="AR1816" s="15">
        <v>34</v>
      </c>
      <c r="AS1816" s="15">
        <v>40</v>
      </c>
    </row>
    <row r="1817" spans="1:45" x14ac:dyDescent="0.25">
      <c r="A1817">
        <v>766</v>
      </c>
      <c r="B1817" s="11">
        <f t="shared" si="28"/>
        <v>20425</v>
      </c>
      <c r="C1817" s="12">
        <v>204250</v>
      </c>
      <c r="D1817" s="13">
        <v>1</v>
      </c>
      <c r="E1817" s="13">
        <v>0</v>
      </c>
      <c r="F1817" s="13">
        <v>5</v>
      </c>
      <c r="G1817" s="13">
        <v>34</v>
      </c>
      <c r="H1817" s="13" t="str" cm="1">
        <f t="array" ref="H1817">_xlfn.IFS(G1817&lt;=20,"0-20",G1817&lt;=30,"20-30",G1817&lt;=40,"30-40",G1817&lt;=50,"50-60",G1817&lt;=60,"60-70",G1817&lt;=70,"70-80",G1817&lt;=80,"80-90")</f>
        <v>30-40</v>
      </c>
      <c r="I1817" s="13">
        <v>2767</v>
      </c>
      <c r="J1817" s="13" t="str" cm="1">
        <f t="array" ref="J1817">_xlfn.IFS(K1817=1,"Divorciado",L1817=1,"Casado",M1817=1,"Solteiro",N1817=1,"Juntos",O1817=1,"Viuvo")</f>
        <v>Casado</v>
      </c>
      <c r="K1817" s="13">
        <v>0</v>
      </c>
      <c r="L1817" s="13">
        <v>1</v>
      </c>
      <c r="M1817" s="13">
        <v>0</v>
      </c>
      <c r="N1817" s="13">
        <v>0</v>
      </c>
      <c r="O1817" s="13">
        <v>0</v>
      </c>
      <c r="P1817" s="13">
        <v>0</v>
      </c>
      <c r="Q1817" s="13">
        <v>1</v>
      </c>
      <c r="R1817" s="13">
        <v>0</v>
      </c>
      <c r="S1817" s="13">
        <v>0</v>
      </c>
      <c r="T1817" s="13">
        <v>0</v>
      </c>
      <c r="U1817" s="13">
        <v>4</v>
      </c>
      <c r="V1817" s="13" t="str" cm="1">
        <f t="array" ref="V1817">_xlfn.IFS(U1817&lt;=250,"0-R$250",U1817&lt;=500,"251-R$500",U1817&lt;=750,"501-R$750",U1817&lt;=1000,"751-R$1000",U1817&lt;=1250,"1001-R$1250",U1817&lt;=1500,"1251-R$1500")</f>
        <v>0-R$250</v>
      </c>
      <c r="W1817" s="13">
        <v>12</v>
      </c>
      <c r="X1817" s="13" t="str" cm="1">
        <f t="array" ref="X1817">_xlfn.IFS(W1817 = 0, "0", W1817&lt;=20, "até R$20",W1817&lt;=40, "21 - R$40",W1817&lt;=60, "41- R$60",W1817&lt;=80, "61 - R$80", W1817&lt;=100, "81 - R$100",W1817&lt;=120, "101 - R$120",W1817&lt;=140, "121 - R$140", W1817&lt;=160, "141- R$160", W1817&lt;=180, "161 - R$180", W1817&lt;=200, "181-R$194")</f>
        <v>até R$20</v>
      </c>
      <c r="Y1817" s="13">
        <v>5</v>
      </c>
      <c r="Z1817" s="13">
        <v>3</v>
      </c>
      <c r="AA1817" s="13">
        <v>16</v>
      </c>
      <c r="AB1817" s="13">
        <v>17</v>
      </c>
      <c r="AC1817" s="13">
        <v>2</v>
      </c>
      <c r="AD1817" s="13">
        <v>2</v>
      </c>
      <c r="AE1817" s="13">
        <v>0</v>
      </c>
      <c r="AF1817" s="13">
        <v>3</v>
      </c>
      <c r="AG1817" s="13">
        <v>7</v>
      </c>
      <c r="AH1817" s="13">
        <v>0</v>
      </c>
      <c r="AI1817" s="13">
        <v>0</v>
      </c>
      <c r="AJ1817" s="13">
        <v>0</v>
      </c>
      <c r="AK1817" s="13">
        <v>0</v>
      </c>
      <c r="AL1817" s="13">
        <v>0</v>
      </c>
      <c r="AM1817" s="13">
        <v>0</v>
      </c>
      <c r="AN1817" s="13">
        <v>0</v>
      </c>
      <c r="AO1817" s="14">
        <v>0</v>
      </c>
      <c r="AP1817" s="13">
        <v>3</v>
      </c>
      <c r="AQ1817" s="13">
        <v>11</v>
      </c>
      <c r="AR1817" s="15">
        <v>23</v>
      </c>
      <c r="AS1817" s="15">
        <v>40</v>
      </c>
    </row>
    <row r="1818" spans="1:45" x14ac:dyDescent="0.25">
      <c r="A1818">
        <v>791</v>
      </c>
      <c r="B1818" s="11">
        <f t="shared" si="28"/>
        <v>26872</v>
      </c>
      <c r="C1818" s="16">
        <v>268720</v>
      </c>
      <c r="D1818" s="17">
        <v>0</v>
      </c>
      <c r="E1818" s="17">
        <v>0</v>
      </c>
      <c r="F1818" s="17">
        <v>0</v>
      </c>
      <c r="G1818" s="17">
        <v>39</v>
      </c>
      <c r="H1818" s="13" t="str" cm="1">
        <f t="array" ref="H1818">_xlfn.IFS(G1818&lt;=20,"0-20",G1818&lt;=30,"20-30",G1818&lt;=40,"30-40",G1818&lt;=50,"50-60",G1818&lt;=60,"60-70",G1818&lt;=70,"70-80",G1818&lt;=80,"80-90")</f>
        <v>30-40</v>
      </c>
      <c r="I1818" s="17">
        <v>2415</v>
      </c>
      <c r="J1818" s="13" t="str" cm="1">
        <f t="array" ref="J1818">_xlfn.IFS(K1818=1,"Divorciado",L1818=1,"Casado",M1818=1,"Solteiro",N1818=1,"Juntos",O1818=1,"Viuvo")</f>
        <v>Casado</v>
      </c>
      <c r="K1818" s="17">
        <v>0</v>
      </c>
      <c r="L1818" s="17">
        <v>1</v>
      </c>
      <c r="M1818" s="17">
        <v>0</v>
      </c>
      <c r="N1818" s="17">
        <v>0</v>
      </c>
      <c r="O1818" s="17">
        <v>0</v>
      </c>
      <c r="P1818" s="17">
        <v>0</v>
      </c>
      <c r="Q1818" s="17">
        <v>0</v>
      </c>
      <c r="R1818" s="17">
        <v>1</v>
      </c>
      <c r="S1818" s="17">
        <v>0</v>
      </c>
      <c r="T1818" s="17">
        <v>0</v>
      </c>
      <c r="U1818" s="17">
        <v>3</v>
      </c>
      <c r="V1818" s="13" t="str" cm="1">
        <f t="array" ref="V1818">_xlfn.IFS(U1818&lt;=250,"0-R$250",U1818&lt;=500,"251-R$500",U1818&lt;=750,"501-R$750",U1818&lt;=1000,"751-R$1000",U1818&lt;=1250,"1001-R$1250",U1818&lt;=1500,"1251-R$1500")</f>
        <v>0-R$250</v>
      </c>
      <c r="W1818" s="17">
        <v>10</v>
      </c>
      <c r="X1818" s="13" t="str" cm="1">
        <f t="array" ref="X1818">_xlfn.IFS(W1818 = 0, "0", W1818&lt;=20, "até R$20",W1818&lt;=40, "21 - R$40",W1818&lt;=60, "41- R$60",W1818&lt;=80, "61 - R$80", W1818&lt;=100, "81 - R$100",W1818&lt;=120, "101 - R$120",W1818&lt;=140, "121 - R$140", W1818&lt;=160, "141- R$160", W1818&lt;=180, "161 - R$180", W1818&lt;=200, "181-R$194")</f>
        <v>até R$20</v>
      </c>
      <c r="Y1818" s="17">
        <v>8</v>
      </c>
      <c r="Z1818" s="17">
        <v>3</v>
      </c>
      <c r="AA1818" s="17">
        <v>16</v>
      </c>
      <c r="AB1818" s="17">
        <v>32</v>
      </c>
      <c r="AC1818" s="17">
        <v>1</v>
      </c>
      <c r="AD1818" s="17">
        <v>1</v>
      </c>
      <c r="AE1818" s="17">
        <v>1</v>
      </c>
      <c r="AF1818" s="17">
        <v>2</v>
      </c>
      <c r="AG1818" s="17">
        <v>6</v>
      </c>
      <c r="AH1818" s="17">
        <v>0</v>
      </c>
      <c r="AI1818" s="17">
        <v>0</v>
      </c>
      <c r="AJ1818" s="17">
        <v>0</v>
      </c>
      <c r="AK1818" s="17">
        <v>0</v>
      </c>
      <c r="AL1818" s="17">
        <v>0</v>
      </c>
      <c r="AM1818" s="17">
        <v>0</v>
      </c>
      <c r="AN1818" s="17">
        <v>0</v>
      </c>
      <c r="AO1818" s="18">
        <v>0</v>
      </c>
      <c r="AP1818" s="17">
        <v>3</v>
      </c>
      <c r="AQ1818" s="17">
        <v>11</v>
      </c>
      <c r="AR1818" s="19">
        <v>8</v>
      </c>
      <c r="AS1818" s="19">
        <v>40</v>
      </c>
    </row>
    <row r="1819" spans="1:45" x14ac:dyDescent="0.25">
      <c r="A1819">
        <v>841</v>
      </c>
      <c r="B1819" s="11">
        <f t="shared" si="28"/>
        <v>23228</v>
      </c>
      <c r="C1819" s="16">
        <v>232280</v>
      </c>
      <c r="D1819" s="17">
        <v>1</v>
      </c>
      <c r="E1819" s="17">
        <v>0</v>
      </c>
      <c r="F1819" s="17">
        <v>71</v>
      </c>
      <c r="G1819" s="17">
        <v>51</v>
      </c>
      <c r="H1819" s="13" t="str" cm="1">
        <f t="array" ref="H1819">_xlfn.IFS(G1819&lt;=20,"0-20",G1819&lt;=30,"20-30",G1819&lt;=40,"30-40",G1819&lt;=50,"50-60",G1819&lt;=60,"60-70",G1819&lt;=70,"70-80",G1819&lt;=80,"80-90")</f>
        <v>60-70</v>
      </c>
      <c r="I1819" s="17">
        <v>2313</v>
      </c>
      <c r="J1819" s="13" t="str" cm="1">
        <f t="array" ref="J1819">_xlfn.IFS(K1819=1,"Divorciado",L1819=1,"Casado",M1819=1,"Solteiro",N1819=1,"Juntos",O1819=1,"Viuvo")</f>
        <v>Juntos</v>
      </c>
      <c r="K1819" s="17">
        <v>0</v>
      </c>
      <c r="L1819" s="17">
        <v>0</v>
      </c>
      <c r="M1819" s="17">
        <v>0</v>
      </c>
      <c r="N1819" s="17">
        <v>1</v>
      </c>
      <c r="O1819" s="17">
        <v>0</v>
      </c>
      <c r="P1819" s="17">
        <v>0</v>
      </c>
      <c r="Q1819" s="17">
        <v>0</v>
      </c>
      <c r="R1819" s="17">
        <v>1</v>
      </c>
      <c r="S1819" s="17">
        <v>0</v>
      </c>
      <c r="T1819" s="17">
        <v>0</v>
      </c>
      <c r="U1819" s="17">
        <v>13</v>
      </c>
      <c r="V1819" s="13" t="str" cm="1">
        <f t="array" ref="V1819">_xlfn.IFS(U1819&lt;=250,"0-R$250",U1819&lt;=500,"251-R$500",U1819&lt;=750,"501-R$750",U1819&lt;=1000,"751-R$1000",U1819&lt;=1250,"1001-R$1250",U1819&lt;=1500,"1251-R$1500")</f>
        <v>0-R$250</v>
      </c>
      <c r="W1819" s="17">
        <v>2</v>
      </c>
      <c r="X1819" s="13" t="str" cm="1">
        <f t="array" ref="X1819">_xlfn.IFS(W1819 = 0, "0", W1819&lt;=20, "até R$20",W1819&lt;=40, "21 - R$40",W1819&lt;=60, "41- R$60",W1819&lt;=80, "61 - R$80", W1819&lt;=100, "81 - R$100",W1819&lt;=120, "101 - R$120",W1819&lt;=140, "121 - R$140", W1819&lt;=160, "141- R$160", W1819&lt;=180, "161 - R$180", W1819&lt;=200, "181-R$194")</f>
        <v>até R$20</v>
      </c>
      <c r="Y1819" s="17">
        <v>18</v>
      </c>
      <c r="Z1819" s="17">
        <v>6</v>
      </c>
      <c r="AA1819" s="17">
        <v>1</v>
      </c>
      <c r="AB1819" s="17">
        <v>0</v>
      </c>
      <c r="AC1819" s="17">
        <v>2</v>
      </c>
      <c r="AD1819" s="17">
        <v>2</v>
      </c>
      <c r="AE1819" s="17">
        <v>0</v>
      </c>
      <c r="AF1819" s="17">
        <v>3</v>
      </c>
      <c r="AG1819" s="17">
        <v>8</v>
      </c>
      <c r="AH1819" s="17">
        <v>0</v>
      </c>
      <c r="AI1819" s="17">
        <v>0</v>
      </c>
      <c r="AJ1819" s="17">
        <v>0</v>
      </c>
      <c r="AK1819" s="17">
        <v>0</v>
      </c>
      <c r="AL1819" s="17">
        <v>0</v>
      </c>
      <c r="AM1819" s="17">
        <v>0</v>
      </c>
      <c r="AN1819" s="17">
        <v>0</v>
      </c>
      <c r="AO1819" s="18">
        <v>0</v>
      </c>
      <c r="AP1819" s="17">
        <v>3</v>
      </c>
      <c r="AQ1819" s="17">
        <v>11</v>
      </c>
      <c r="AR1819" s="19">
        <v>40</v>
      </c>
      <c r="AS1819" s="19">
        <v>40</v>
      </c>
    </row>
    <row r="1820" spans="1:45" x14ac:dyDescent="0.25">
      <c r="A1820">
        <v>901</v>
      </c>
      <c r="B1820" s="11">
        <f t="shared" si="28"/>
        <v>46015</v>
      </c>
      <c r="C1820" s="16">
        <v>460150</v>
      </c>
      <c r="D1820" s="17">
        <v>1</v>
      </c>
      <c r="E1820" s="17">
        <v>1</v>
      </c>
      <c r="F1820" s="17">
        <v>25</v>
      </c>
      <c r="G1820" s="17">
        <v>65</v>
      </c>
      <c r="H1820" s="13" t="str" cm="1">
        <f t="array" ref="H1820">_xlfn.IFS(G1820&lt;=20,"0-20",G1820&lt;=30,"20-30",G1820&lt;=40,"30-40",G1820&lt;=50,"50-60",G1820&lt;=60,"60-70",G1820&lt;=70,"70-80",G1820&lt;=80,"80-90")</f>
        <v>70-80</v>
      </c>
      <c r="I1820" s="17">
        <v>2236</v>
      </c>
      <c r="J1820" s="13" t="str" cm="1">
        <f t="array" ref="J1820">_xlfn.IFS(K1820=1,"Divorciado",L1820=1,"Casado",M1820=1,"Solteiro",N1820=1,"Juntos",O1820=1,"Viuvo")</f>
        <v>Juntos</v>
      </c>
      <c r="K1820" s="17">
        <v>0</v>
      </c>
      <c r="L1820" s="17">
        <v>0</v>
      </c>
      <c r="M1820" s="17">
        <v>0</v>
      </c>
      <c r="N1820" s="17">
        <v>1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1</v>
      </c>
      <c r="U1820" s="17">
        <v>38</v>
      </c>
      <c r="V1820" s="13" t="str" cm="1">
        <f t="array" ref="V1820">_xlfn.IFS(U1820&lt;=250,"0-R$250",U1820&lt;=500,"251-R$500",U1820&lt;=750,"501-R$750",U1820&lt;=1000,"751-R$1000",U1820&lt;=1250,"1001-R$1250",U1820&lt;=1500,"1251-R$1500")</f>
        <v>0-R$250</v>
      </c>
      <c r="W1820" s="17">
        <v>0</v>
      </c>
      <c r="X1820" s="13" t="str" cm="1">
        <f t="array" ref="X1820">_xlfn.IFS(W1820 = 0, "0", W1820&lt;=20, "até R$20",W1820&lt;=40, "21 - R$40",W1820&lt;=60, "41- R$60",W1820&lt;=80, "61 - R$80", W1820&lt;=100, "81 - R$100",W1820&lt;=120, "101 - R$120",W1820&lt;=140, "121 - R$140", W1820&lt;=160, "141- R$160", W1820&lt;=180, "161 - R$180", W1820&lt;=200, "181-R$194")</f>
        <v>0</v>
      </c>
      <c r="Y1820" s="17">
        <v>2</v>
      </c>
      <c r="Z1820" s="17">
        <v>0</v>
      </c>
      <c r="AA1820" s="17">
        <v>0</v>
      </c>
      <c r="AB1820" s="17">
        <v>6</v>
      </c>
      <c r="AC1820" s="17">
        <v>1</v>
      </c>
      <c r="AD1820" s="17">
        <v>1</v>
      </c>
      <c r="AE1820" s="17">
        <v>0</v>
      </c>
      <c r="AF1820" s="17">
        <v>3</v>
      </c>
      <c r="AG1820" s="17">
        <v>7</v>
      </c>
      <c r="AH1820" s="17">
        <v>0</v>
      </c>
      <c r="AI1820" s="17">
        <v>1</v>
      </c>
      <c r="AJ1820" s="17">
        <v>0</v>
      </c>
      <c r="AK1820" s="17">
        <v>0</v>
      </c>
      <c r="AL1820" s="17">
        <v>0</v>
      </c>
      <c r="AM1820" s="17">
        <v>1</v>
      </c>
      <c r="AN1820" s="17">
        <v>0</v>
      </c>
      <c r="AO1820" s="18">
        <v>2</v>
      </c>
      <c r="AP1820" s="17">
        <v>3</v>
      </c>
      <c r="AQ1820" s="17">
        <v>11</v>
      </c>
      <c r="AR1820" s="19">
        <v>34</v>
      </c>
      <c r="AS1820" s="19">
        <v>40</v>
      </c>
    </row>
    <row r="1821" spans="1:45" x14ac:dyDescent="0.25">
      <c r="A1821">
        <v>935</v>
      </c>
      <c r="B1821" s="11">
        <f t="shared" si="28"/>
        <v>46106</v>
      </c>
      <c r="C1821" s="16">
        <v>461060</v>
      </c>
      <c r="D1821" s="17">
        <v>1</v>
      </c>
      <c r="E1821" s="17">
        <v>1</v>
      </c>
      <c r="F1821" s="17">
        <v>84</v>
      </c>
      <c r="G1821" s="17">
        <v>44</v>
      </c>
      <c r="H1821" s="13" t="str" cm="1">
        <f t="array" ref="H1821">_xlfn.IFS(G1821&lt;=20,"0-20",G1821&lt;=30,"20-30",G1821&lt;=40,"30-40",G1821&lt;=50,"50-60",G1821&lt;=60,"60-70",G1821&lt;=70,"70-80",G1821&lt;=80,"80-90")</f>
        <v>50-60</v>
      </c>
      <c r="I1821" s="17">
        <v>2208</v>
      </c>
      <c r="J1821" s="13" t="str" cm="1">
        <f t="array" ref="J1821">_xlfn.IFS(K1821=1,"Divorciado",L1821=1,"Casado",M1821=1,"Solteiro",N1821=1,"Juntos",O1821=1,"Viuvo")</f>
        <v>Juntos</v>
      </c>
      <c r="K1821" s="17">
        <v>0</v>
      </c>
      <c r="L1821" s="17">
        <v>0</v>
      </c>
      <c r="M1821" s="17">
        <v>0</v>
      </c>
      <c r="N1821" s="17">
        <v>1</v>
      </c>
      <c r="O1821" s="17">
        <v>0</v>
      </c>
      <c r="P1821" s="17">
        <v>0</v>
      </c>
      <c r="Q1821" s="17">
        <v>0</v>
      </c>
      <c r="R1821" s="17">
        <v>0</v>
      </c>
      <c r="S1821" s="17">
        <v>1</v>
      </c>
      <c r="T1821" s="17">
        <v>0</v>
      </c>
      <c r="U1821" s="17">
        <v>30</v>
      </c>
      <c r="V1821" s="13" t="str" cm="1">
        <f t="array" ref="V1821">_xlfn.IFS(U1821&lt;=250,"0-R$250",U1821&lt;=500,"251-R$500",U1821&lt;=750,"501-R$750",U1821&lt;=1000,"751-R$1000",U1821&lt;=1250,"1001-R$1250",U1821&lt;=1500,"1251-R$1500")</f>
        <v>0-R$250</v>
      </c>
      <c r="W1821" s="17">
        <v>0</v>
      </c>
      <c r="X1821" s="13" t="str" cm="1">
        <f t="array" ref="X1821">_xlfn.IFS(W1821 = 0, "0", W1821&lt;=20, "até R$20",W1821&lt;=40, "21 - R$40",W1821&lt;=60, "41- R$60",W1821&lt;=80, "61 - R$80", W1821&lt;=100, "81 - R$100",W1821&lt;=120, "101 - R$120",W1821&lt;=140, "121 - R$140", W1821&lt;=160, "141- R$160", W1821&lt;=180, "161 - R$180", W1821&lt;=200, "181-R$194")</f>
        <v>0</v>
      </c>
      <c r="Y1821" s="17">
        <v>8</v>
      </c>
      <c r="Z1821" s="17">
        <v>2</v>
      </c>
      <c r="AA1821" s="17">
        <v>0</v>
      </c>
      <c r="AB1821" s="17">
        <v>14</v>
      </c>
      <c r="AC1821" s="17">
        <v>1</v>
      </c>
      <c r="AD1821" s="17">
        <v>1</v>
      </c>
      <c r="AE1821" s="17">
        <v>1</v>
      </c>
      <c r="AF1821" s="17">
        <v>2</v>
      </c>
      <c r="AG1821" s="17">
        <v>6</v>
      </c>
      <c r="AH1821" s="17">
        <v>0</v>
      </c>
      <c r="AI1821" s="17">
        <v>0</v>
      </c>
      <c r="AJ1821" s="17">
        <v>0</v>
      </c>
      <c r="AK1821" s="17">
        <v>0</v>
      </c>
      <c r="AL1821" s="17">
        <v>0</v>
      </c>
      <c r="AM1821" s="17">
        <v>0</v>
      </c>
      <c r="AN1821" s="17">
        <v>0</v>
      </c>
      <c r="AO1821" s="18">
        <v>0</v>
      </c>
      <c r="AP1821" s="17">
        <v>3</v>
      </c>
      <c r="AQ1821" s="17">
        <v>11</v>
      </c>
      <c r="AR1821" s="19">
        <v>26</v>
      </c>
      <c r="AS1821" s="19">
        <v>40</v>
      </c>
    </row>
    <row r="1822" spans="1:45" x14ac:dyDescent="0.25">
      <c r="A1822">
        <v>970</v>
      </c>
      <c r="B1822" s="11">
        <f t="shared" si="28"/>
        <v>35340</v>
      </c>
      <c r="C1822" s="12">
        <v>353400</v>
      </c>
      <c r="D1822" s="13">
        <v>1</v>
      </c>
      <c r="E1822" s="13">
        <v>1</v>
      </c>
      <c r="F1822" s="13">
        <v>1</v>
      </c>
      <c r="G1822" s="13">
        <v>64</v>
      </c>
      <c r="H1822" s="13" t="str" cm="1">
        <f t="array" ref="H1822">_xlfn.IFS(G1822&lt;=20,"0-20",G1822&lt;=30,"20-30",G1822&lt;=40,"30-40",G1822&lt;=50,"50-60",G1822&lt;=60,"60-70",G1822&lt;=70,"70-80",G1822&lt;=80,"80-90")</f>
        <v>70-80</v>
      </c>
      <c r="I1822" s="13">
        <v>2159</v>
      </c>
      <c r="J1822" s="13" t="str" cm="1">
        <f t="array" ref="J1822">_xlfn.IFS(K1822=1,"Divorciado",L1822=1,"Casado",M1822=1,"Solteiro",N1822=1,"Juntos",O1822=1,"Viuvo")</f>
        <v>Viuvo</v>
      </c>
      <c r="K1822" s="13">
        <v>0</v>
      </c>
      <c r="L1822" s="13">
        <v>0</v>
      </c>
      <c r="M1822" s="13">
        <v>0</v>
      </c>
      <c r="N1822" s="13">
        <v>0</v>
      </c>
      <c r="O1822" s="13">
        <v>1</v>
      </c>
      <c r="P1822" s="13">
        <v>0</v>
      </c>
      <c r="Q1822" s="13">
        <v>0</v>
      </c>
      <c r="R1822" s="13">
        <v>0</v>
      </c>
      <c r="S1822" s="13">
        <v>0</v>
      </c>
      <c r="T1822" s="13">
        <v>1</v>
      </c>
      <c r="U1822" s="13">
        <v>27</v>
      </c>
      <c r="V1822" s="13" t="str" cm="1">
        <f t="array" ref="V1822">_xlfn.IFS(U1822&lt;=250,"0-R$250",U1822&lt;=500,"251-R$500",U1822&lt;=750,"501-R$750",U1822&lt;=1000,"751-R$1000",U1822&lt;=1250,"1001-R$1250",U1822&lt;=1500,"1251-R$1500")</f>
        <v>0-R$250</v>
      </c>
      <c r="W1822" s="13">
        <v>0</v>
      </c>
      <c r="X1822" s="13" t="str" cm="1">
        <f t="array" ref="X1822">_xlfn.IFS(W1822 = 0, "0", W1822&lt;=20, "até R$20",W1822&lt;=40, "21 - R$40",W1822&lt;=60, "41- R$60",W1822&lt;=80, "61 - R$80", W1822&lt;=100, "81 - R$100",W1822&lt;=120, "101 - R$120",W1822&lt;=140, "121 - R$140", W1822&lt;=160, "141- R$160", W1822&lt;=180, "161 - R$180", W1822&lt;=200, "181-R$194")</f>
        <v>0</v>
      </c>
      <c r="Y1822" s="13">
        <v>12</v>
      </c>
      <c r="Z1822" s="13">
        <v>0</v>
      </c>
      <c r="AA1822" s="13">
        <v>1</v>
      </c>
      <c r="AB1822" s="13">
        <v>5</v>
      </c>
      <c r="AC1822" s="13">
        <v>2</v>
      </c>
      <c r="AD1822" s="13">
        <v>2</v>
      </c>
      <c r="AE1822" s="13">
        <v>0</v>
      </c>
      <c r="AF1822" s="13">
        <v>3</v>
      </c>
      <c r="AG1822" s="13">
        <v>5</v>
      </c>
      <c r="AH1822" s="13">
        <v>0</v>
      </c>
      <c r="AI1822" s="13">
        <v>0</v>
      </c>
      <c r="AJ1822" s="13">
        <v>0</v>
      </c>
      <c r="AK1822" s="13">
        <v>0</v>
      </c>
      <c r="AL1822" s="13">
        <v>0</v>
      </c>
      <c r="AM1822" s="13">
        <v>0</v>
      </c>
      <c r="AN1822" s="13">
        <v>0</v>
      </c>
      <c r="AO1822" s="14">
        <v>0</v>
      </c>
      <c r="AP1822" s="13">
        <v>3</v>
      </c>
      <c r="AQ1822" s="13">
        <v>11</v>
      </c>
      <c r="AR1822" s="15">
        <v>35</v>
      </c>
      <c r="AS1822" s="15">
        <v>40</v>
      </c>
    </row>
    <row r="1823" spans="1:45" x14ac:dyDescent="0.25">
      <c r="A1823">
        <v>1085</v>
      </c>
      <c r="B1823" s="11">
        <f t="shared" si="28"/>
        <v>30023</v>
      </c>
      <c r="C1823" s="16">
        <v>300230</v>
      </c>
      <c r="D1823" s="17">
        <v>1</v>
      </c>
      <c r="E1823" s="17">
        <v>0</v>
      </c>
      <c r="F1823" s="17">
        <v>28</v>
      </c>
      <c r="G1823" s="17">
        <v>48</v>
      </c>
      <c r="H1823" s="13" t="str" cm="1">
        <f t="array" ref="H1823">_xlfn.IFS(G1823&lt;=20,"0-20",G1823&lt;=30,"20-30",G1823&lt;=40,"30-40",G1823&lt;=50,"50-60",G1823&lt;=60,"60-70",G1823&lt;=70,"70-80",G1823&lt;=80,"80-90")</f>
        <v>50-60</v>
      </c>
      <c r="I1823" s="17">
        <v>2256</v>
      </c>
      <c r="J1823" s="13" t="str" cm="1">
        <f t="array" ref="J1823">_xlfn.IFS(K1823=1,"Divorciado",L1823=1,"Casado",M1823=1,"Solteiro",N1823=1,"Juntos",O1823=1,"Viuvo")</f>
        <v>Casado</v>
      </c>
      <c r="K1823" s="17">
        <v>0</v>
      </c>
      <c r="L1823" s="17">
        <v>1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1</v>
      </c>
      <c r="S1823" s="17">
        <v>0</v>
      </c>
      <c r="T1823" s="17">
        <v>0</v>
      </c>
      <c r="U1823" s="17">
        <v>11</v>
      </c>
      <c r="V1823" s="13" t="str" cm="1">
        <f t="array" ref="V1823">_xlfn.IFS(U1823&lt;=250,"0-R$250",U1823&lt;=500,"251-R$500",U1823&lt;=750,"501-R$750",U1823&lt;=1000,"751-R$1000",U1823&lt;=1250,"1001-R$1250",U1823&lt;=1500,"1251-R$1500")</f>
        <v>0-R$250</v>
      </c>
      <c r="W1823" s="17">
        <v>0</v>
      </c>
      <c r="X1823" s="13" t="str" cm="1">
        <f t="array" ref="X1823">_xlfn.IFS(W1823 = 0, "0", W1823&lt;=20, "até R$20",W1823&lt;=40, "21 - R$40",W1823&lt;=60, "41- R$60",W1823&lt;=80, "61 - R$80", W1823&lt;=100, "81 - R$100",W1823&lt;=120, "101 - R$120",W1823&lt;=140, "121 - R$140", W1823&lt;=160, "141- R$160", W1823&lt;=180, "161 - R$180", W1823&lt;=200, "181-R$194")</f>
        <v>0</v>
      </c>
      <c r="Y1823" s="17">
        <v>16</v>
      </c>
      <c r="Z1823" s="17">
        <v>7</v>
      </c>
      <c r="AA1823" s="17">
        <v>6</v>
      </c>
      <c r="AB1823" s="17">
        <v>21</v>
      </c>
      <c r="AC1823" s="17">
        <v>1</v>
      </c>
      <c r="AD1823" s="17">
        <v>2</v>
      </c>
      <c r="AE1823" s="17">
        <v>0</v>
      </c>
      <c r="AF1823" s="17">
        <v>3</v>
      </c>
      <c r="AG1823" s="17">
        <v>8</v>
      </c>
      <c r="AH1823" s="17">
        <v>0</v>
      </c>
      <c r="AI1823" s="17">
        <v>0</v>
      </c>
      <c r="AJ1823" s="17">
        <v>0</v>
      </c>
      <c r="AK1823" s="17">
        <v>0</v>
      </c>
      <c r="AL1823" s="17">
        <v>0</v>
      </c>
      <c r="AM1823" s="17">
        <v>0</v>
      </c>
      <c r="AN1823" s="17">
        <v>0</v>
      </c>
      <c r="AO1823" s="18">
        <v>0</v>
      </c>
      <c r="AP1823" s="17">
        <v>3</v>
      </c>
      <c r="AQ1823" s="17">
        <v>11</v>
      </c>
      <c r="AR1823" s="19">
        <v>19</v>
      </c>
      <c r="AS1823" s="19">
        <v>40</v>
      </c>
    </row>
    <row r="1824" spans="1:45" x14ac:dyDescent="0.25">
      <c r="A1824">
        <v>1341</v>
      </c>
      <c r="B1824" s="11">
        <f t="shared" si="28"/>
        <v>17256</v>
      </c>
      <c r="C1824" s="16">
        <v>172560</v>
      </c>
      <c r="D1824" s="17">
        <v>1</v>
      </c>
      <c r="E1824" s="17">
        <v>0</v>
      </c>
      <c r="F1824" s="17">
        <v>10</v>
      </c>
      <c r="G1824" s="17">
        <v>28</v>
      </c>
      <c r="H1824" s="13" t="str" cm="1">
        <f t="array" ref="H1824">_xlfn.IFS(G1824&lt;=20,"0-20",G1824&lt;=30,"20-30",G1824&lt;=40,"30-40",G1824&lt;=50,"50-60",G1824&lt;=60,"60-70",G1824&lt;=70,"70-80",G1824&lt;=80,"80-90")</f>
        <v>20-30</v>
      </c>
      <c r="I1824" s="17">
        <v>2377</v>
      </c>
      <c r="J1824" s="13" t="str" cm="1">
        <f t="array" ref="J1824">_xlfn.IFS(K1824=1,"Divorciado",L1824=1,"Casado",M1824=1,"Solteiro",N1824=1,"Juntos",O1824=1,"Viuvo")</f>
        <v>Casado</v>
      </c>
      <c r="K1824" s="17">
        <v>0</v>
      </c>
      <c r="L1824" s="17">
        <v>1</v>
      </c>
      <c r="M1824" s="17">
        <v>0</v>
      </c>
      <c r="N1824" s="17">
        <v>0</v>
      </c>
      <c r="O1824" s="17">
        <v>0</v>
      </c>
      <c r="P1824" s="17">
        <v>0</v>
      </c>
      <c r="Q1824" s="17">
        <v>1</v>
      </c>
      <c r="R1824" s="17">
        <v>0</v>
      </c>
      <c r="S1824" s="17">
        <v>0</v>
      </c>
      <c r="T1824" s="17">
        <v>0</v>
      </c>
      <c r="U1824" s="17">
        <v>6</v>
      </c>
      <c r="V1824" s="13" t="str" cm="1">
        <f t="array" ref="V1824">_xlfn.IFS(U1824&lt;=250,"0-R$250",U1824&lt;=500,"251-R$500",U1824&lt;=750,"501-R$750",U1824&lt;=1000,"751-R$1000",U1824&lt;=1250,"1001-R$1250",U1824&lt;=1500,"1251-R$1500")</f>
        <v>0-R$250</v>
      </c>
      <c r="W1824" s="17">
        <v>4</v>
      </c>
      <c r="X1824" s="13" t="str" cm="1">
        <f t="array" ref="X1824">_xlfn.IFS(W1824 = 0, "0", W1824&lt;=20, "até R$20",W1824&lt;=40, "21 - R$40",W1824&lt;=60, "41- R$60",W1824&lt;=80, "61 - R$80", W1824&lt;=100, "81 - R$100",W1824&lt;=120, "101 - R$120",W1824&lt;=140, "121 - R$140", W1824&lt;=160, "141- R$160", W1824&lt;=180, "161 - R$180", W1824&lt;=200, "181-R$194")</f>
        <v>até R$20</v>
      </c>
      <c r="Y1824" s="17">
        <v>14</v>
      </c>
      <c r="Z1824" s="17">
        <v>8</v>
      </c>
      <c r="AA1824" s="17">
        <v>8</v>
      </c>
      <c r="AB1824" s="17">
        <v>22</v>
      </c>
      <c r="AC1824" s="17">
        <v>2</v>
      </c>
      <c r="AD1824" s="17">
        <v>2</v>
      </c>
      <c r="AE1824" s="17">
        <v>1</v>
      </c>
      <c r="AF1824" s="17">
        <v>2</v>
      </c>
      <c r="AG1824" s="17">
        <v>8</v>
      </c>
      <c r="AH1824" s="17">
        <v>0</v>
      </c>
      <c r="AI1824" s="17">
        <v>1</v>
      </c>
      <c r="AJ1824" s="17">
        <v>0</v>
      </c>
      <c r="AK1824" s="17">
        <v>0</v>
      </c>
      <c r="AL1824" s="17">
        <v>0</v>
      </c>
      <c r="AM1824" s="17">
        <v>0</v>
      </c>
      <c r="AN1824" s="17">
        <v>0</v>
      </c>
      <c r="AO1824" s="18">
        <v>1</v>
      </c>
      <c r="AP1824" s="17">
        <v>3</v>
      </c>
      <c r="AQ1824" s="17">
        <v>11</v>
      </c>
      <c r="AR1824" s="19">
        <v>18</v>
      </c>
      <c r="AS1824" s="19">
        <v>40</v>
      </c>
    </row>
    <row r="1825" spans="1:45" x14ac:dyDescent="0.25">
      <c r="A1825">
        <v>1438</v>
      </c>
      <c r="B1825" s="11">
        <f t="shared" si="28"/>
        <v>46015</v>
      </c>
      <c r="C1825" s="12">
        <v>460150</v>
      </c>
      <c r="D1825" s="13">
        <v>1</v>
      </c>
      <c r="E1825" s="13">
        <v>1</v>
      </c>
      <c r="F1825" s="13">
        <v>25</v>
      </c>
      <c r="G1825" s="13">
        <v>65</v>
      </c>
      <c r="H1825" s="13" t="str" cm="1">
        <f t="array" ref="H1825">_xlfn.IFS(G1825&lt;=20,"0-20",G1825&lt;=30,"20-30",G1825&lt;=40,"30-40",G1825&lt;=50,"50-60",G1825&lt;=60,"60-70",G1825&lt;=70,"70-80",G1825&lt;=80,"80-90")</f>
        <v>70-80</v>
      </c>
      <c r="I1825" s="13">
        <v>2236</v>
      </c>
      <c r="J1825" s="13" t="str" cm="1">
        <f t="array" ref="J1825">_xlfn.IFS(K1825=1,"Divorciado",L1825=1,"Casado",M1825=1,"Solteiro",N1825=1,"Juntos",O1825=1,"Viuvo")</f>
        <v>Juntos</v>
      </c>
      <c r="K1825" s="13">
        <v>0</v>
      </c>
      <c r="L1825" s="13">
        <v>0</v>
      </c>
      <c r="M1825" s="13">
        <v>0</v>
      </c>
      <c r="N1825" s="13">
        <v>1</v>
      </c>
      <c r="O1825" s="13">
        <v>0</v>
      </c>
      <c r="P1825" s="13">
        <v>0</v>
      </c>
      <c r="Q1825" s="13">
        <v>0</v>
      </c>
      <c r="R1825" s="13">
        <v>0</v>
      </c>
      <c r="S1825" s="13">
        <v>0</v>
      </c>
      <c r="T1825" s="13">
        <v>1</v>
      </c>
      <c r="U1825" s="13">
        <v>38</v>
      </c>
      <c r="V1825" s="13" t="str" cm="1">
        <f t="array" ref="V1825">_xlfn.IFS(U1825&lt;=250,"0-R$250",U1825&lt;=500,"251-R$500",U1825&lt;=750,"501-R$750",U1825&lt;=1000,"751-R$1000",U1825&lt;=1250,"1001-R$1250",U1825&lt;=1500,"1251-R$1500")</f>
        <v>0-R$250</v>
      </c>
      <c r="W1825" s="13">
        <v>0</v>
      </c>
      <c r="X1825" s="13" t="str" cm="1">
        <f t="array" ref="X1825">_xlfn.IFS(W1825 = 0, "0", W1825&lt;=20, "até R$20",W1825&lt;=40, "21 - R$40",W1825&lt;=60, "41- R$60",W1825&lt;=80, "61 - R$80", W1825&lt;=100, "81 - R$100",W1825&lt;=120, "101 - R$120",W1825&lt;=140, "121 - R$140", W1825&lt;=160, "141- R$160", W1825&lt;=180, "161 - R$180", W1825&lt;=200, "181-R$194")</f>
        <v>0</v>
      </c>
      <c r="Y1825" s="13">
        <v>2</v>
      </c>
      <c r="Z1825" s="13">
        <v>0</v>
      </c>
      <c r="AA1825" s="13">
        <v>0</v>
      </c>
      <c r="AB1825" s="13">
        <v>6</v>
      </c>
      <c r="AC1825" s="13">
        <v>1</v>
      </c>
      <c r="AD1825" s="13">
        <v>1</v>
      </c>
      <c r="AE1825" s="13">
        <v>0</v>
      </c>
      <c r="AF1825" s="13">
        <v>3</v>
      </c>
      <c r="AG1825" s="13">
        <v>7</v>
      </c>
      <c r="AH1825" s="13">
        <v>0</v>
      </c>
      <c r="AI1825" s="13">
        <v>1</v>
      </c>
      <c r="AJ1825" s="13">
        <v>0</v>
      </c>
      <c r="AK1825" s="13">
        <v>0</v>
      </c>
      <c r="AL1825" s="13">
        <v>0</v>
      </c>
      <c r="AM1825" s="13">
        <v>1</v>
      </c>
      <c r="AN1825" s="13">
        <v>0</v>
      </c>
      <c r="AO1825" s="14">
        <v>2</v>
      </c>
      <c r="AP1825" s="13">
        <v>3</v>
      </c>
      <c r="AQ1825" s="13">
        <v>11</v>
      </c>
      <c r="AR1825" s="15">
        <v>34</v>
      </c>
      <c r="AS1825" s="15">
        <v>40</v>
      </c>
    </row>
    <row r="1826" spans="1:45" x14ac:dyDescent="0.25">
      <c r="A1826">
        <v>1642</v>
      </c>
      <c r="B1826" s="11">
        <f t="shared" si="28"/>
        <v>36732</v>
      </c>
      <c r="C1826" s="12">
        <v>367320</v>
      </c>
      <c r="D1826" s="13">
        <v>1</v>
      </c>
      <c r="E1826" s="13">
        <v>1</v>
      </c>
      <c r="F1826" s="13">
        <v>71</v>
      </c>
      <c r="G1826" s="13">
        <v>61</v>
      </c>
      <c r="H1826" s="13" t="str" cm="1">
        <f t="array" ref="H1826">_xlfn.IFS(G1826&lt;=20,"0-20",G1826&lt;=30,"20-30",G1826&lt;=40,"30-40",G1826&lt;=50,"50-60",G1826&lt;=60,"60-70",G1826&lt;=70,"70-80",G1826&lt;=80,"80-90")</f>
        <v>70-80</v>
      </c>
      <c r="I1826" s="13">
        <v>2341</v>
      </c>
      <c r="J1826" s="13" t="str" cm="1">
        <f t="array" ref="J1826">_xlfn.IFS(K1826=1,"Divorciado",L1826=1,"Casado",M1826=1,"Solteiro",N1826=1,"Juntos",O1826=1,"Viuvo")</f>
        <v>Casado</v>
      </c>
      <c r="K1826" s="13">
        <v>0</v>
      </c>
      <c r="L1826" s="13">
        <v>1</v>
      </c>
      <c r="M1826" s="13">
        <v>0</v>
      </c>
      <c r="N1826" s="13">
        <v>0</v>
      </c>
      <c r="O1826" s="13">
        <v>0</v>
      </c>
      <c r="P1826" s="13">
        <v>0</v>
      </c>
      <c r="Q1826" s="13">
        <v>0</v>
      </c>
      <c r="R1826" s="13">
        <v>0</v>
      </c>
      <c r="S1826" s="13">
        <v>0</v>
      </c>
      <c r="T1826" s="13">
        <v>1</v>
      </c>
      <c r="U1826" s="13">
        <v>21</v>
      </c>
      <c r="V1826" s="13" t="str" cm="1">
        <f t="array" ref="V1826">_xlfn.IFS(U1826&lt;=250,"0-R$250",U1826&lt;=500,"251-R$500",U1826&lt;=750,"501-R$750",U1826&lt;=1000,"751-R$1000",U1826&lt;=1250,"1001-R$1250",U1826&lt;=1500,"1251-R$1500")</f>
        <v>0-R$250</v>
      </c>
      <c r="W1826" s="13">
        <v>5</v>
      </c>
      <c r="X1826" s="13" t="str" cm="1">
        <f t="array" ref="X1826">_xlfn.IFS(W1826 = 0, "0", W1826&lt;=20, "até R$20",W1826&lt;=40, "21 - R$40",W1826&lt;=60, "41- R$60",W1826&lt;=80, "61 - R$80", W1826&lt;=100, "81 - R$100",W1826&lt;=120, "101 - R$120",W1826&lt;=140, "121 - R$140", W1826&lt;=160, "141- R$160", W1826&lt;=180, "161 - R$180", W1826&lt;=200, "181-R$194")</f>
        <v>até R$20</v>
      </c>
      <c r="Y1826" s="13">
        <v>3</v>
      </c>
      <c r="Z1826" s="13">
        <v>10</v>
      </c>
      <c r="AA1826" s="13">
        <v>1</v>
      </c>
      <c r="AB1826" s="13">
        <v>7</v>
      </c>
      <c r="AC1826" s="13">
        <v>3</v>
      </c>
      <c r="AD1826" s="13">
        <v>1</v>
      </c>
      <c r="AE1826" s="13">
        <v>1</v>
      </c>
      <c r="AF1826" s="13">
        <v>4</v>
      </c>
      <c r="AG1826" s="13">
        <v>2</v>
      </c>
      <c r="AH1826" s="13">
        <v>0</v>
      </c>
      <c r="AI1826" s="13">
        <v>0</v>
      </c>
      <c r="AJ1826" s="13">
        <v>0</v>
      </c>
      <c r="AK1826" s="13">
        <v>0</v>
      </c>
      <c r="AL1826" s="13">
        <v>0</v>
      </c>
      <c r="AM1826" s="13">
        <v>0</v>
      </c>
      <c r="AN1826" s="13">
        <v>0</v>
      </c>
      <c r="AO1826" s="14">
        <v>0</v>
      </c>
      <c r="AP1826" s="13">
        <v>3</v>
      </c>
      <c r="AQ1826" s="13">
        <v>11</v>
      </c>
      <c r="AR1826" s="15">
        <v>33</v>
      </c>
      <c r="AS1826" s="15">
        <v>40</v>
      </c>
    </row>
    <row r="1827" spans="1:45" x14ac:dyDescent="0.25">
      <c r="A1827">
        <v>1733</v>
      </c>
      <c r="B1827" s="11">
        <f t="shared" si="28"/>
        <v>38725</v>
      </c>
      <c r="C1827" s="16">
        <v>387250</v>
      </c>
      <c r="D1827" s="17">
        <v>1</v>
      </c>
      <c r="E1827" s="17">
        <v>1</v>
      </c>
      <c r="F1827" s="17">
        <v>52</v>
      </c>
      <c r="G1827" s="17">
        <v>65</v>
      </c>
      <c r="H1827" s="13" t="str" cm="1">
        <f t="array" ref="H1827">_xlfn.IFS(G1827&lt;=20,"0-20",G1827&lt;=30,"20-30",G1827&lt;=40,"30-40",G1827&lt;=50,"50-60",G1827&lt;=60,"60-70",G1827&lt;=70,"70-80",G1827&lt;=80,"80-90")</f>
        <v>70-80</v>
      </c>
      <c r="I1827" s="17">
        <v>2209</v>
      </c>
      <c r="J1827" s="13" t="str" cm="1">
        <f t="array" ref="J1827">_xlfn.IFS(K1827=1,"Divorciado",L1827=1,"Casado",M1827=1,"Solteiro",N1827=1,"Juntos",O1827=1,"Viuvo")</f>
        <v>Casado</v>
      </c>
      <c r="K1827" s="17">
        <v>0</v>
      </c>
      <c r="L1827" s="17">
        <v>1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1</v>
      </c>
      <c r="U1827" s="17">
        <v>31</v>
      </c>
      <c r="V1827" s="13" t="str" cm="1">
        <f t="array" ref="V1827">_xlfn.IFS(U1827&lt;=250,"0-R$250",U1827&lt;=500,"251-R$500",U1827&lt;=750,"501-R$750",U1827&lt;=1000,"751-R$1000",U1827&lt;=1250,"1001-R$1250",U1827&lt;=1500,"1251-R$1500")</f>
        <v>0-R$250</v>
      </c>
      <c r="W1827" s="17">
        <v>0</v>
      </c>
      <c r="X1827" s="13" t="str" cm="1">
        <f t="array" ref="X1827">_xlfn.IFS(W1827 = 0, "0", W1827&lt;=20, "até R$20",W1827&lt;=40, "21 - R$40",W1827&lt;=60, "41- R$60",W1827&lt;=80, "61 - R$80", W1827&lt;=100, "81 - R$100",W1827&lt;=120, "101 - R$120",W1827&lt;=140, "121 - R$140", W1827&lt;=160, "141- R$160", W1827&lt;=180, "161 - R$180", W1827&lt;=200, "181-R$194")</f>
        <v>0</v>
      </c>
      <c r="Y1827" s="17">
        <v>6</v>
      </c>
      <c r="Z1827" s="17">
        <v>2</v>
      </c>
      <c r="AA1827" s="17">
        <v>1</v>
      </c>
      <c r="AB1827" s="17">
        <v>5</v>
      </c>
      <c r="AC1827" s="17">
        <v>2</v>
      </c>
      <c r="AD1827" s="17">
        <v>1</v>
      </c>
      <c r="AE1827" s="17">
        <v>0</v>
      </c>
      <c r="AF1827" s="17">
        <v>4</v>
      </c>
      <c r="AG1827" s="17">
        <v>4</v>
      </c>
      <c r="AH1827" s="17">
        <v>0</v>
      </c>
      <c r="AI1827" s="17">
        <v>0</v>
      </c>
      <c r="AJ1827" s="17">
        <v>0</v>
      </c>
      <c r="AK1827" s="17">
        <v>0</v>
      </c>
      <c r="AL1827" s="17">
        <v>0</v>
      </c>
      <c r="AM1827" s="17">
        <v>0</v>
      </c>
      <c r="AN1827" s="17">
        <v>0</v>
      </c>
      <c r="AO1827" s="18">
        <v>0</v>
      </c>
      <c r="AP1827" s="17">
        <v>3</v>
      </c>
      <c r="AQ1827" s="17">
        <v>11</v>
      </c>
      <c r="AR1827" s="19">
        <v>35</v>
      </c>
      <c r="AS1827" s="19">
        <v>40</v>
      </c>
    </row>
    <row r="1828" spans="1:45" x14ac:dyDescent="0.25">
      <c r="A1828">
        <v>1847</v>
      </c>
      <c r="B1828" s="11">
        <f t="shared" si="28"/>
        <v>44503</v>
      </c>
      <c r="C1828" s="16">
        <v>445030</v>
      </c>
      <c r="D1828" s="17">
        <v>1</v>
      </c>
      <c r="E1828" s="17">
        <v>1</v>
      </c>
      <c r="F1828" s="17">
        <v>83</v>
      </c>
      <c r="G1828" s="17">
        <v>48</v>
      </c>
      <c r="H1828" s="13" t="str" cm="1">
        <f t="array" ref="H1828">_xlfn.IFS(G1828&lt;=20,"0-20",G1828&lt;=30,"20-30",G1828&lt;=40,"30-40",G1828&lt;=50,"50-60",G1828&lt;=60,"60-70",G1828&lt;=70,"70-80",G1828&lt;=80,"80-90")</f>
        <v>50-60</v>
      </c>
      <c r="I1828" s="17">
        <v>2233</v>
      </c>
      <c r="J1828" s="13" t="str" cm="1">
        <f t="array" ref="J1828">_xlfn.IFS(K1828=1,"Divorciado",L1828=1,"Casado",M1828=1,"Solteiro",N1828=1,"Juntos",O1828=1,"Viuvo")</f>
        <v>Solteiro</v>
      </c>
      <c r="K1828" s="17">
        <v>0</v>
      </c>
      <c r="L1828" s="17">
        <v>0</v>
      </c>
      <c r="M1828" s="17">
        <v>1</v>
      </c>
      <c r="N1828" s="17">
        <v>0</v>
      </c>
      <c r="O1828" s="17">
        <v>0</v>
      </c>
      <c r="P1828" s="17">
        <v>0</v>
      </c>
      <c r="Q1828" s="17">
        <v>0</v>
      </c>
      <c r="R1828" s="17">
        <v>1</v>
      </c>
      <c r="S1828" s="17">
        <v>0</v>
      </c>
      <c r="T1828" s="17">
        <v>0</v>
      </c>
      <c r="U1828" s="17">
        <v>31</v>
      </c>
      <c r="V1828" s="13" t="str" cm="1">
        <f t="array" ref="V1828">_xlfn.IFS(U1828&lt;=250,"0-R$250",U1828&lt;=500,"251-R$500",U1828&lt;=750,"501-R$750",U1828&lt;=1000,"751-R$1000",U1828&lt;=1250,"1001-R$1250",U1828&lt;=1500,"1251-R$1500")</f>
        <v>0-R$250</v>
      </c>
      <c r="W1828" s="17">
        <v>1</v>
      </c>
      <c r="X1828" s="13" t="str" cm="1">
        <f t="array" ref="X1828">_xlfn.IFS(W1828 = 0, "0", W1828&lt;=20, "até R$20",W1828&lt;=40, "21 - R$40",W1828&lt;=60, "41- R$60",W1828&lt;=80, "61 - R$80", W1828&lt;=100, "81 - R$100",W1828&lt;=120, "101 - R$120",W1828&lt;=140, "121 - R$140", W1828&lt;=160, "141- R$160", W1828&lt;=180, "161 - R$180", W1828&lt;=200, "181-R$194")</f>
        <v>até R$20</v>
      </c>
      <c r="Y1828" s="17">
        <v>8</v>
      </c>
      <c r="Z1828" s="17">
        <v>0</v>
      </c>
      <c r="AA1828" s="17">
        <v>0</v>
      </c>
      <c r="AB1828" s="17">
        <v>8</v>
      </c>
      <c r="AC1828" s="17">
        <v>2</v>
      </c>
      <c r="AD1828" s="17">
        <v>2</v>
      </c>
      <c r="AE1828" s="17">
        <v>0</v>
      </c>
      <c r="AF1828" s="17">
        <v>3</v>
      </c>
      <c r="AG1828" s="17">
        <v>6</v>
      </c>
      <c r="AH1828" s="17">
        <v>0</v>
      </c>
      <c r="AI1828" s="17">
        <v>0</v>
      </c>
      <c r="AJ1828" s="17">
        <v>0</v>
      </c>
      <c r="AK1828" s="17">
        <v>0</v>
      </c>
      <c r="AL1828" s="17">
        <v>0</v>
      </c>
      <c r="AM1828" s="17">
        <v>0</v>
      </c>
      <c r="AN1828" s="17">
        <v>0</v>
      </c>
      <c r="AO1828" s="18">
        <v>0</v>
      </c>
      <c r="AP1828" s="17">
        <v>3</v>
      </c>
      <c r="AQ1828" s="17">
        <v>11</v>
      </c>
      <c r="AR1828" s="19">
        <v>32</v>
      </c>
      <c r="AS1828" s="19">
        <v>40</v>
      </c>
    </row>
    <row r="1829" spans="1:45" x14ac:dyDescent="0.25">
      <c r="A1829">
        <v>1892</v>
      </c>
      <c r="B1829" s="11">
        <f t="shared" si="28"/>
        <v>36038</v>
      </c>
      <c r="C1829" s="12">
        <v>360380</v>
      </c>
      <c r="D1829" s="13">
        <v>1</v>
      </c>
      <c r="E1829" s="13">
        <v>0</v>
      </c>
      <c r="F1829" s="13">
        <v>82</v>
      </c>
      <c r="G1829" s="13">
        <v>39</v>
      </c>
      <c r="H1829" s="13" t="str" cm="1">
        <f t="array" ref="H1829">_xlfn.IFS(G1829&lt;=20,"0-20",G1829&lt;=30,"20-30",G1829&lt;=40,"30-40",G1829&lt;=50,"50-60",G1829&lt;=60,"60-70",G1829&lt;=70,"70-80",G1829&lt;=80,"80-90")</f>
        <v>30-40</v>
      </c>
      <c r="I1829" s="13">
        <v>2553</v>
      </c>
      <c r="J1829" s="13" t="str" cm="1">
        <f t="array" ref="J1829">_xlfn.IFS(K1829=1,"Divorciado",L1829=1,"Casado",M1829=1,"Solteiro",N1829=1,"Juntos",O1829=1,"Viuvo")</f>
        <v>Solteiro</v>
      </c>
      <c r="K1829" s="13">
        <v>0</v>
      </c>
      <c r="L1829" s="13">
        <v>0</v>
      </c>
      <c r="M1829" s="13">
        <v>1</v>
      </c>
      <c r="N1829" s="13">
        <v>0</v>
      </c>
      <c r="O1829" s="13">
        <v>0</v>
      </c>
      <c r="P1829" s="13">
        <v>0</v>
      </c>
      <c r="Q1829" s="13">
        <v>0</v>
      </c>
      <c r="R1829" s="13">
        <v>0</v>
      </c>
      <c r="S1829" s="13">
        <v>0</v>
      </c>
      <c r="T1829" s="13">
        <v>1</v>
      </c>
      <c r="U1829" s="13">
        <v>23</v>
      </c>
      <c r="V1829" s="13" t="str" cm="1">
        <f t="array" ref="V1829">_xlfn.IFS(U1829&lt;=250,"0-R$250",U1829&lt;=500,"251-R$500",U1829&lt;=750,"501-R$750",U1829&lt;=1000,"751-R$1000",U1829&lt;=1250,"1001-R$1250",U1829&lt;=1500,"1251-R$1500")</f>
        <v>0-R$250</v>
      </c>
      <c r="W1829" s="13">
        <v>0</v>
      </c>
      <c r="X1829" s="13" t="str" cm="1">
        <f t="array" ref="X1829">_xlfn.IFS(W1829 = 0, "0", W1829&lt;=20, "até R$20",W1829&lt;=40, "21 - R$40",W1829&lt;=60, "41- R$60",W1829&lt;=80, "61 - R$80", W1829&lt;=100, "81 - R$100",W1829&lt;=120, "101 - R$120",W1829&lt;=140, "121 - R$140", W1829&lt;=160, "141- R$160", W1829&lt;=180, "161 - R$180", W1829&lt;=200, "181-R$194")</f>
        <v>0</v>
      </c>
      <c r="Y1829" s="13">
        <v>15</v>
      </c>
      <c r="Z1829" s="13">
        <v>0</v>
      </c>
      <c r="AA1829" s="13">
        <v>2</v>
      </c>
      <c r="AB1829" s="13">
        <v>7</v>
      </c>
      <c r="AC1829" s="13">
        <v>2</v>
      </c>
      <c r="AD1829" s="13">
        <v>3</v>
      </c>
      <c r="AE1829" s="13">
        <v>0</v>
      </c>
      <c r="AF1829" s="13">
        <v>3</v>
      </c>
      <c r="AG1829" s="13">
        <v>6</v>
      </c>
      <c r="AH1829" s="13">
        <v>0</v>
      </c>
      <c r="AI1829" s="13">
        <v>0</v>
      </c>
      <c r="AJ1829" s="13">
        <v>0</v>
      </c>
      <c r="AK1829" s="13">
        <v>0</v>
      </c>
      <c r="AL1829" s="13">
        <v>0</v>
      </c>
      <c r="AM1829" s="13">
        <v>0</v>
      </c>
      <c r="AN1829" s="13">
        <v>0</v>
      </c>
      <c r="AO1829" s="14">
        <v>0</v>
      </c>
      <c r="AP1829" s="13">
        <v>3</v>
      </c>
      <c r="AQ1829" s="13">
        <v>11</v>
      </c>
      <c r="AR1829" s="15">
        <v>33</v>
      </c>
      <c r="AS1829" s="15">
        <v>40</v>
      </c>
    </row>
    <row r="1830" spans="1:45" x14ac:dyDescent="0.25">
      <c r="A1830">
        <v>2074</v>
      </c>
      <c r="B1830" s="11">
        <f t="shared" si="28"/>
        <v>20425</v>
      </c>
      <c r="C1830" s="12">
        <v>204250</v>
      </c>
      <c r="D1830" s="13">
        <v>1</v>
      </c>
      <c r="E1830" s="13">
        <v>0</v>
      </c>
      <c r="F1830" s="13">
        <v>5</v>
      </c>
      <c r="G1830" s="13">
        <v>34</v>
      </c>
      <c r="H1830" s="13" t="str" cm="1">
        <f t="array" ref="H1830">_xlfn.IFS(G1830&lt;=20,"0-20",G1830&lt;=30,"20-30",G1830&lt;=40,"30-40",G1830&lt;=50,"50-60",G1830&lt;=60,"60-70",G1830&lt;=70,"70-80",G1830&lt;=80,"80-90")</f>
        <v>30-40</v>
      </c>
      <c r="I1830" s="13">
        <v>2767</v>
      </c>
      <c r="J1830" s="13" t="str" cm="1">
        <f t="array" ref="J1830">_xlfn.IFS(K1830=1,"Divorciado",L1830=1,"Casado",M1830=1,"Solteiro",N1830=1,"Juntos",O1830=1,"Viuvo")</f>
        <v>Casado</v>
      </c>
      <c r="K1830" s="13">
        <v>0</v>
      </c>
      <c r="L1830" s="13">
        <v>1</v>
      </c>
      <c r="M1830" s="13">
        <v>0</v>
      </c>
      <c r="N1830" s="13">
        <v>0</v>
      </c>
      <c r="O1830" s="13">
        <v>0</v>
      </c>
      <c r="P1830" s="13">
        <v>0</v>
      </c>
      <c r="Q1830" s="13">
        <v>1</v>
      </c>
      <c r="R1830" s="13">
        <v>0</v>
      </c>
      <c r="S1830" s="13">
        <v>0</v>
      </c>
      <c r="T1830" s="13">
        <v>0</v>
      </c>
      <c r="U1830" s="13">
        <v>4</v>
      </c>
      <c r="V1830" s="13" t="str" cm="1">
        <f t="array" ref="V1830">_xlfn.IFS(U1830&lt;=250,"0-R$250",U1830&lt;=500,"251-R$500",U1830&lt;=750,"501-R$750",U1830&lt;=1000,"751-R$1000",U1830&lt;=1250,"1001-R$1250",U1830&lt;=1500,"1251-R$1500")</f>
        <v>0-R$250</v>
      </c>
      <c r="W1830" s="13">
        <v>12</v>
      </c>
      <c r="X1830" s="13" t="str" cm="1">
        <f t="array" ref="X1830">_xlfn.IFS(W1830 = 0, "0", W1830&lt;=20, "até R$20",W1830&lt;=40, "21 - R$40",W1830&lt;=60, "41- R$60",W1830&lt;=80, "61 - R$80", W1830&lt;=100, "81 - R$100",W1830&lt;=120, "101 - R$120",W1830&lt;=140, "121 - R$140", W1830&lt;=160, "141- R$160", W1830&lt;=180, "161 - R$180", W1830&lt;=200, "181-R$194")</f>
        <v>até R$20</v>
      </c>
      <c r="Y1830" s="13">
        <v>5</v>
      </c>
      <c r="Z1830" s="13">
        <v>3</v>
      </c>
      <c r="AA1830" s="13">
        <v>16</v>
      </c>
      <c r="AB1830" s="13">
        <v>17</v>
      </c>
      <c r="AC1830" s="13">
        <v>2</v>
      </c>
      <c r="AD1830" s="13">
        <v>2</v>
      </c>
      <c r="AE1830" s="13">
        <v>0</v>
      </c>
      <c r="AF1830" s="13">
        <v>3</v>
      </c>
      <c r="AG1830" s="13">
        <v>7</v>
      </c>
      <c r="AH1830" s="13">
        <v>0</v>
      </c>
      <c r="AI1830" s="13">
        <v>0</v>
      </c>
      <c r="AJ1830" s="13">
        <v>0</v>
      </c>
      <c r="AK1830" s="13">
        <v>0</v>
      </c>
      <c r="AL1830" s="13">
        <v>0</v>
      </c>
      <c r="AM1830" s="13">
        <v>0</v>
      </c>
      <c r="AN1830" s="13">
        <v>0</v>
      </c>
      <c r="AO1830" s="14">
        <v>0</v>
      </c>
      <c r="AP1830" s="13">
        <v>3</v>
      </c>
      <c r="AQ1830" s="13">
        <v>11</v>
      </c>
      <c r="AR1830" s="15">
        <v>23</v>
      </c>
      <c r="AS1830" s="15">
        <v>40</v>
      </c>
    </row>
    <row r="1831" spans="1:45" x14ac:dyDescent="0.25">
      <c r="A1831">
        <v>2085</v>
      </c>
      <c r="B1831" s="11">
        <f t="shared" si="28"/>
        <v>27733</v>
      </c>
      <c r="C1831" s="16">
        <v>277330</v>
      </c>
      <c r="D1831" s="17">
        <v>1</v>
      </c>
      <c r="E1831" s="17">
        <v>0</v>
      </c>
      <c r="F1831" s="17">
        <v>16</v>
      </c>
      <c r="G1831" s="17">
        <v>39</v>
      </c>
      <c r="H1831" s="13" t="str" cm="1">
        <f t="array" ref="H1831">_xlfn.IFS(G1831&lt;=20,"0-20",G1831&lt;=30,"20-30",G1831&lt;=40,"30-40",G1831&lt;=50,"50-60",G1831&lt;=60,"60-70",G1831&lt;=70,"70-80",G1831&lt;=80,"80-90")</f>
        <v>30-40</v>
      </c>
      <c r="I1831" s="17">
        <v>2466</v>
      </c>
      <c r="J1831" s="13" t="str" cm="1">
        <f t="array" ref="J1831">_xlfn.IFS(K1831=1,"Divorciado",L1831=1,"Casado",M1831=1,"Solteiro",N1831=1,"Juntos",O1831=1,"Viuvo")</f>
        <v>Casado</v>
      </c>
      <c r="K1831" s="17">
        <v>0</v>
      </c>
      <c r="L1831" s="17">
        <v>1</v>
      </c>
      <c r="M1831" s="17">
        <v>0</v>
      </c>
      <c r="N1831" s="17">
        <v>0</v>
      </c>
      <c r="O1831" s="17">
        <v>0</v>
      </c>
      <c r="P1831" s="17">
        <v>1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3" t="str" cm="1">
        <f t="array" ref="V1831">_xlfn.IFS(U1831&lt;=250,"0-R$250",U1831&lt;=500,"251-R$500",U1831&lt;=750,"501-R$750",U1831&lt;=1000,"751-R$1000",U1831&lt;=1250,"1001-R$1250",U1831&lt;=1500,"1251-R$1500")</f>
        <v>0-R$250</v>
      </c>
      <c r="W1831" s="17">
        <v>7</v>
      </c>
      <c r="X1831" s="13" t="str" cm="1">
        <f t="array" ref="X1831">_xlfn.IFS(W1831 = 0, "0", W1831&lt;=20, "até R$20",W1831&lt;=40, "21 - R$40",W1831&lt;=60, "41- R$60",W1831&lt;=80, "61 - R$80", W1831&lt;=100, "81 - R$100",W1831&lt;=120, "101 - R$120",W1831&lt;=140, "121 - R$140", W1831&lt;=160, "141- R$160", W1831&lt;=180, "161 - R$180", W1831&lt;=200, "181-R$194")</f>
        <v>até R$20</v>
      </c>
      <c r="Y1831" s="17">
        <v>5</v>
      </c>
      <c r="Z1831" s="17">
        <v>26</v>
      </c>
      <c r="AA1831" s="17">
        <v>2</v>
      </c>
      <c r="AB1831" s="17">
        <v>17</v>
      </c>
      <c r="AC1831" s="17">
        <v>2</v>
      </c>
      <c r="AD1831" s="17">
        <v>2</v>
      </c>
      <c r="AE1831" s="17">
        <v>0</v>
      </c>
      <c r="AF1831" s="17">
        <v>3</v>
      </c>
      <c r="AG1831" s="17">
        <v>7</v>
      </c>
      <c r="AH1831" s="17">
        <v>0</v>
      </c>
      <c r="AI1831" s="17">
        <v>0</v>
      </c>
      <c r="AJ1831" s="17">
        <v>0</v>
      </c>
      <c r="AK1831" s="17">
        <v>0</v>
      </c>
      <c r="AL1831" s="17">
        <v>0</v>
      </c>
      <c r="AM1831" s="17">
        <v>0</v>
      </c>
      <c r="AN1831" s="17">
        <v>0</v>
      </c>
      <c r="AO1831" s="18">
        <v>0</v>
      </c>
      <c r="AP1831" s="17">
        <v>3</v>
      </c>
      <c r="AQ1831" s="17">
        <v>11</v>
      </c>
      <c r="AR1831" s="19">
        <v>23</v>
      </c>
      <c r="AS1831" s="19">
        <v>40</v>
      </c>
    </row>
    <row r="1832" spans="1:45" x14ac:dyDescent="0.25">
      <c r="A1832">
        <v>2109</v>
      </c>
      <c r="B1832" s="11">
        <f t="shared" si="28"/>
        <v>35788</v>
      </c>
      <c r="C1832" s="16">
        <v>357880</v>
      </c>
      <c r="D1832" s="17">
        <v>1</v>
      </c>
      <c r="E1832" s="17">
        <v>1</v>
      </c>
      <c r="F1832" s="17">
        <v>34</v>
      </c>
      <c r="G1832" s="17">
        <v>49</v>
      </c>
      <c r="H1832" s="13" t="str" cm="1">
        <f t="array" ref="H1832">_xlfn.IFS(G1832&lt;=20,"0-20",G1832&lt;=30,"20-30",G1832&lt;=40,"30-40",G1832&lt;=50,"50-60",G1832&lt;=60,"60-70",G1832&lt;=70,"70-80",G1832&lt;=80,"80-90")</f>
        <v>50-60</v>
      </c>
      <c r="I1832" s="17">
        <v>2316</v>
      </c>
      <c r="J1832" s="13" t="str" cm="1">
        <f t="array" ref="J1832">_xlfn.IFS(K1832=1,"Divorciado",L1832=1,"Casado",M1832=1,"Solteiro",N1832=1,"Juntos",O1832=1,"Viuvo")</f>
        <v>Casado</v>
      </c>
      <c r="K1832" s="17">
        <v>0</v>
      </c>
      <c r="L1832" s="17">
        <v>1</v>
      </c>
      <c r="M1832" s="17">
        <v>0</v>
      </c>
      <c r="N1832" s="17">
        <v>0</v>
      </c>
      <c r="O1832" s="17">
        <v>0</v>
      </c>
      <c r="P1832" s="17">
        <v>0</v>
      </c>
      <c r="Q1832" s="17">
        <v>0</v>
      </c>
      <c r="R1832" s="17">
        <v>1</v>
      </c>
      <c r="S1832" s="17">
        <v>0</v>
      </c>
      <c r="T1832" s="17">
        <v>0</v>
      </c>
      <c r="U1832" s="17">
        <v>23</v>
      </c>
      <c r="V1832" s="13" t="str" cm="1">
        <f t="array" ref="V1832">_xlfn.IFS(U1832&lt;=250,"0-R$250",U1832&lt;=500,"251-R$500",U1832&lt;=750,"501-R$750",U1832&lt;=1000,"751-R$1000",U1832&lt;=1250,"1001-R$1250",U1832&lt;=1500,"1251-R$1500")</f>
        <v>0-R$250</v>
      </c>
      <c r="W1832" s="17">
        <v>2</v>
      </c>
      <c r="X1832" s="13" t="str" cm="1">
        <f t="array" ref="X1832">_xlfn.IFS(W1832 = 0, "0", W1832&lt;=20, "até R$20",W1832&lt;=40, "21 - R$40",W1832&lt;=60, "41- R$60",W1832&lt;=80, "61 - R$80", W1832&lt;=100, "81 - R$100",W1832&lt;=120, "101 - R$120",W1832&lt;=140, "121 - R$140", W1832&lt;=160, "141- R$160", W1832&lt;=180, "161 - R$180", W1832&lt;=200, "181-R$194")</f>
        <v>até R$20</v>
      </c>
      <c r="Y1832" s="17">
        <v>11</v>
      </c>
      <c r="Z1832" s="17">
        <v>3</v>
      </c>
      <c r="AA1832" s="17">
        <v>1</v>
      </c>
      <c r="AB1832" s="17">
        <v>4</v>
      </c>
      <c r="AC1832" s="17">
        <v>2</v>
      </c>
      <c r="AD1832" s="17">
        <v>2</v>
      </c>
      <c r="AE1832" s="17">
        <v>0</v>
      </c>
      <c r="AF1832" s="17">
        <v>3</v>
      </c>
      <c r="AG1832" s="17">
        <v>6</v>
      </c>
      <c r="AH1832" s="17">
        <v>0</v>
      </c>
      <c r="AI1832" s="17">
        <v>0</v>
      </c>
      <c r="AJ1832" s="17">
        <v>0</v>
      </c>
      <c r="AK1832" s="17">
        <v>0</v>
      </c>
      <c r="AL1832" s="17">
        <v>0</v>
      </c>
      <c r="AM1832" s="17">
        <v>0</v>
      </c>
      <c r="AN1832" s="17">
        <v>0</v>
      </c>
      <c r="AO1832" s="18">
        <v>0</v>
      </c>
      <c r="AP1832" s="17">
        <v>3</v>
      </c>
      <c r="AQ1832" s="17">
        <v>11</v>
      </c>
      <c r="AR1832" s="19">
        <v>36</v>
      </c>
      <c r="AS1832" s="19">
        <v>40</v>
      </c>
    </row>
    <row r="1833" spans="1:45" x14ac:dyDescent="0.25">
      <c r="A1833">
        <v>2152</v>
      </c>
      <c r="B1833" s="11">
        <f t="shared" si="28"/>
        <v>53233</v>
      </c>
      <c r="C1833" s="12">
        <v>532330</v>
      </c>
      <c r="D1833" s="13">
        <v>0</v>
      </c>
      <c r="E1833" s="13">
        <v>1</v>
      </c>
      <c r="F1833" s="13">
        <v>18</v>
      </c>
      <c r="G1833" s="13">
        <v>63</v>
      </c>
      <c r="H1833" s="13" t="str" cm="1">
        <f t="array" ref="H1833">_xlfn.IFS(G1833&lt;=20,"0-20",G1833&lt;=30,"20-30",G1833&lt;=40,"30-40",G1833&lt;=50,"50-60",G1833&lt;=60,"60-70",G1833&lt;=70,"70-80",G1833&lt;=80,"80-90")</f>
        <v>70-80</v>
      </c>
      <c r="I1833" s="13">
        <v>2262</v>
      </c>
      <c r="J1833" s="13" t="str" cm="1">
        <f t="array" ref="J1833">_xlfn.IFS(K1833=1,"Divorciado",L1833=1,"Casado",M1833=1,"Solteiro",N1833=1,"Juntos",O1833=1,"Viuvo")</f>
        <v>Casado</v>
      </c>
      <c r="K1833" s="13">
        <v>0</v>
      </c>
      <c r="L1833" s="13">
        <v>1</v>
      </c>
      <c r="M1833" s="13">
        <v>0</v>
      </c>
      <c r="N1833" s="13">
        <v>0</v>
      </c>
      <c r="O1833" s="13">
        <v>0</v>
      </c>
      <c r="P1833" s="13">
        <v>1</v>
      </c>
      <c r="Q1833" s="13">
        <v>0</v>
      </c>
      <c r="R1833" s="13">
        <v>0</v>
      </c>
      <c r="S1833" s="13">
        <v>0</v>
      </c>
      <c r="T1833" s="13">
        <v>0</v>
      </c>
      <c r="U1833" s="13">
        <v>28</v>
      </c>
      <c r="V1833" s="13" t="str" cm="1">
        <f t="array" ref="V1833">_xlfn.IFS(U1833&lt;=250,"0-R$250",U1833&lt;=500,"251-R$500",U1833&lt;=750,"501-R$750",U1833&lt;=1000,"751-R$1000",U1833&lt;=1250,"1001-R$1250",U1833&lt;=1500,"1251-R$1500")</f>
        <v>0-R$250</v>
      </c>
      <c r="W1833" s="13">
        <v>0</v>
      </c>
      <c r="X1833" s="13" t="str" cm="1">
        <f t="array" ref="X1833">_xlfn.IFS(W1833 = 0, "0", W1833&lt;=20, "até R$20",W1833&lt;=40, "21 - R$40",W1833&lt;=60, "41- R$60",W1833&lt;=80, "61 - R$80", W1833&lt;=100, "81 - R$100",W1833&lt;=120, "101 - R$120",W1833&lt;=140, "121 - R$140", W1833&lt;=160, "141- R$160", W1833&lt;=180, "161 - R$180", W1833&lt;=200, "181-R$194")</f>
        <v>0</v>
      </c>
      <c r="Y1833" s="13">
        <v>9</v>
      </c>
      <c r="Z1833" s="13">
        <v>3</v>
      </c>
      <c r="AA1833" s="13">
        <v>0</v>
      </c>
      <c r="AB1833" s="13">
        <v>0</v>
      </c>
      <c r="AC1833" s="13">
        <v>1</v>
      </c>
      <c r="AD1833" s="13">
        <v>1</v>
      </c>
      <c r="AE1833" s="13">
        <v>0</v>
      </c>
      <c r="AF1833" s="13">
        <v>3</v>
      </c>
      <c r="AG1833" s="13">
        <v>4</v>
      </c>
      <c r="AH1833" s="13">
        <v>0</v>
      </c>
      <c r="AI1833" s="13">
        <v>0</v>
      </c>
      <c r="AJ1833" s="13">
        <v>0</v>
      </c>
      <c r="AK1833" s="13">
        <v>0</v>
      </c>
      <c r="AL1833" s="13">
        <v>0</v>
      </c>
      <c r="AM1833" s="13">
        <v>0</v>
      </c>
      <c r="AN1833" s="13">
        <v>0</v>
      </c>
      <c r="AO1833" s="14">
        <v>0</v>
      </c>
      <c r="AP1833" s="13">
        <v>3</v>
      </c>
      <c r="AQ1833" s="13">
        <v>11</v>
      </c>
      <c r="AR1833" s="15">
        <v>40</v>
      </c>
      <c r="AS1833" s="15">
        <v>40</v>
      </c>
    </row>
    <row r="1834" spans="1:45" x14ac:dyDescent="0.25">
      <c r="A1834">
        <v>194</v>
      </c>
      <c r="B1834" s="11">
        <f t="shared" si="28"/>
        <v>29604</v>
      </c>
      <c r="C1834" s="12">
        <v>296040</v>
      </c>
      <c r="D1834" s="13">
        <v>1</v>
      </c>
      <c r="E1834" s="13">
        <v>0</v>
      </c>
      <c r="F1834" s="13">
        <v>88</v>
      </c>
      <c r="G1834" s="13">
        <v>32</v>
      </c>
      <c r="H1834" s="13" t="str" cm="1">
        <f t="array" ref="H1834">_xlfn.IFS(G1834&lt;=20,"0-20",G1834&lt;=30,"20-30",G1834&lt;=40,"30-40",G1834&lt;=50,"50-60",G1834&lt;=60,"60-70",G1834&lt;=70,"70-80",G1834&lt;=80,"80-90")</f>
        <v>30-40</v>
      </c>
      <c r="I1834" s="13">
        <v>2362</v>
      </c>
      <c r="J1834" s="13" t="str" cm="1">
        <f t="array" ref="J1834">_xlfn.IFS(K1834=1,"Divorciado",L1834=1,"Casado",M1834=1,"Solteiro",N1834=1,"Juntos",O1834=1,"Viuvo")</f>
        <v>Juntos</v>
      </c>
      <c r="K1834" s="13">
        <v>0</v>
      </c>
      <c r="L1834" s="13">
        <v>0</v>
      </c>
      <c r="M1834" s="13">
        <v>0</v>
      </c>
      <c r="N1834" s="13">
        <v>1</v>
      </c>
      <c r="O1834" s="13">
        <v>0</v>
      </c>
      <c r="P1834" s="13">
        <v>0</v>
      </c>
      <c r="Q1834" s="13">
        <v>0</v>
      </c>
      <c r="R1834" s="13">
        <v>1</v>
      </c>
      <c r="S1834" s="13">
        <v>0</v>
      </c>
      <c r="T1834" s="13">
        <v>0</v>
      </c>
      <c r="U1834" s="13">
        <v>7</v>
      </c>
      <c r="V1834" s="13" t="str" cm="1">
        <f t="array" ref="V1834">_xlfn.IFS(U1834&lt;=250,"0-R$250",U1834&lt;=500,"251-R$500",U1834&lt;=750,"501-R$750",U1834&lt;=1000,"751-R$1000",U1834&lt;=1250,"1001-R$1250",U1834&lt;=1500,"1251-R$1500")</f>
        <v>0-R$250</v>
      </c>
      <c r="W1834" s="13">
        <v>6</v>
      </c>
      <c r="X1834" s="13" t="str" cm="1">
        <f t="array" ref="X1834">_xlfn.IFS(W1834 = 0, "0", W1834&lt;=20, "até R$20",W1834&lt;=40, "21 - R$40",W1834&lt;=60, "41- R$60",W1834&lt;=80, "61 - R$80", W1834&lt;=100, "81 - R$100",W1834&lt;=120, "101 - R$120",W1834&lt;=140, "121 - R$140", W1834&lt;=160, "141- R$160", W1834&lt;=180, "161 - R$180", W1834&lt;=200, "181-R$194")</f>
        <v>até R$20</v>
      </c>
      <c r="Y1834" s="13">
        <v>13</v>
      </c>
      <c r="Z1834" s="13">
        <v>7</v>
      </c>
      <c r="AA1834" s="13">
        <v>6</v>
      </c>
      <c r="AB1834" s="13">
        <v>14</v>
      </c>
      <c r="AC1834" s="13">
        <v>1</v>
      </c>
      <c r="AD1834" s="13">
        <v>1</v>
      </c>
      <c r="AE1834" s="13">
        <v>0</v>
      </c>
      <c r="AF1834" s="13">
        <v>3</v>
      </c>
      <c r="AG1834" s="13">
        <v>9</v>
      </c>
      <c r="AH1834" s="13">
        <v>0</v>
      </c>
      <c r="AI1834" s="13">
        <v>1</v>
      </c>
      <c r="AJ1834" s="13">
        <v>0</v>
      </c>
      <c r="AK1834" s="13">
        <v>0</v>
      </c>
      <c r="AL1834" s="13">
        <v>0</v>
      </c>
      <c r="AM1834" s="13">
        <v>0</v>
      </c>
      <c r="AN1834" s="13">
        <v>0</v>
      </c>
      <c r="AO1834" s="14">
        <v>1</v>
      </c>
      <c r="AP1834" s="13">
        <v>3</v>
      </c>
      <c r="AQ1834" s="13">
        <v>11</v>
      </c>
      <c r="AR1834" s="15">
        <v>25</v>
      </c>
      <c r="AS1834" s="15">
        <v>39</v>
      </c>
    </row>
    <row r="1835" spans="1:45" x14ac:dyDescent="0.25">
      <c r="A1835">
        <v>330</v>
      </c>
      <c r="B1835" s="11">
        <f t="shared" si="28"/>
        <v>44300</v>
      </c>
      <c r="C1835" s="12">
        <v>443000</v>
      </c>
      <c r="D1835" s="13">
        <v>1</v>
      </c>
      <c r="E1835" s="13">
        <v>1</v>
      </c>
      <c r="F1835" s="13">
        <v>65</v>
      </c>
      <c r="G1835" s="13">
        <v>55</v>
      </c>
      <c r="H1835" s="13" t="str" cm="1">
        <f t="array" ref="H1835">_xlfn.IFS(G1835&lt;=20,"0-20",G1835&lt;=30,"20-30",G1835&lt;=40,"30-40",G1835&lt;=50,"50-60",G1835&lt;=60,"60-70",G1835&lt;=70,"70-80",G1835&lt;=80,"80-90")</f>
        <v>60-70</v>
      </c>
      <c r="I1835" s="13">
        <v>2530</v>
      </c>
      <c r="J1835" s="13" t="str" cm="1">
        <f t="array" ref="J1835">_xlfn.IFS(K1835=1,"Divorciado",L1835=1,"Casado",M1835=1,"Solteiro",N1835=1,"Juntos",O1835=1,"Viuvo")</f>
        <v>Casado</v>
      </c>
      <c r="K1835" s="13">
        <v>0</v>
      </c>
      <c r="L1835" s="13">
        <v>1</v>
      </c>
      <c r="M1835" s="13">
        <v>0</v>
      </c>
      <c r="N1835" s="13">
        <v>0</v>
      </c>
      <c r="O1835" s="13">
        <v>0</v>
      </c>
      <c r="P1835" s="13">
        <v>0</v>
      </c>
      <c r="Q1835" s="13">
        <v>0</v>
      </c>
      <c r="R1835" s="13">
        <v>1</v>
      </c>
      <c r="S1835" s="13">
        <v>0</v>
      </c>
      <c r="T1835" s="13">
        <v>0</v>
      </c>
      <c r="U1835" s="13">
        <v>30</v>
      </c>
      <c r="V1835" s="13" t="str" cm="1">
        <f t="array" ref="V1835">_xlfn.IFS(U1835&lt;=250,"0-R$250",U1835&lt;=500,"251-R$500",U1835&lt;=750,"501-R$750",U1835&lt;=1000,"751-R$1000",U1835&lt;=1250,"1001-R$1250",U1835&lt;=1500,"1251-R$1500")</f>
        <v>0-R$250</v>
      </c>
      <c r="W1835" s="13">
        <v>0</v>
      </c>
      <c r="X1835" s="13" t="str" cm="1">
        <f t="array" ref="X1835">_xlfn.IFS(W1835 = 0, "0", W1835&lt;=20, "até R$20",W1835&lt;=40, "21 - R$40",W1835&lt;=60, "41- R$60",W1835&lt;=80, "61 - R$80", W1835&lt;=100, "81 - R$100",W1835&lt;=120, "101 - R$120",W1835&lt;=140, "121 - R$140", W1835&lt;=160, "141- R$160", W1835&lt;=180, "161 - R$180", W1835&lt;=200, "181-R$194")</f>
        <v>0</v>
      </c>
      <c r="Y1835" s="13">
        <v>9</v>
      </c>
      <c r="Z1835" s="13">
        <v>0</v>
      </c>
      <c r="AA1835" s="13">
        <v>0</v>
      </c>
      <c r="AB1835" s="13">
        <v>3</v>
      </c>
      <c r="AC1835" s="13">
        <v>2</v>
      </c>
      <c r="AD1835" s="13">
        <v>1</v>
      </c>
      <c r="AE1835" s="13">
        <v>0</v>
      </c>
      <c r="AF1835" s="13">
        <v>3</v>
      </c>
      <c r="AG1835" s="13">
        <v>6</v>
      </c>
      <c r="AH1835" s="13">
        <v>0</v>
      </c>
      <c r="AI1835" s="13">
        <v>0</v>
      </c>
      <c r="AJ1835" s="13">
        <v>0</v>
      </c>
      <c r="AK1835" s="13">
        <v>0</v>
      </c>
      <c r="AL1835" s="13">
        <v>0</v>
      </c>
      <c r="AM1835" s="13">
        <v>0</v>
      </c>
      <c r="AN1835" s="13">
        <v>0</v>
      </c>
      <c r="AO1835" s="14">
        <v>0</v>
      </c>
      <c r="AP1835" s="13">
        <v>3</v>
      </c>
      <c r="AQ1835" s="13">
        <v>11</v>
      </c>
      <c r="AR1835" s="15">
        <v>36</v>
      </c>
      <c r="AS1835" s="15">
        <v>39</v>
      </c>
    </row>
    <row r="1836" spans="1:45" x14ac:dyDescent="0.25">
      <c r="A1836">
        <v>339</v>
      </c>
      <c r="B1836" s="11">
        <f t="shared" si="28"/>
        <v>38643</v>
      </c>
      <c r="C1836" s="16">
        <v>386430</v>
      </c>
      <c r="D1836" s="17">
        <v>1</v>
      </c>
      <c r="E1836" s="17">
        <v>1</v>
      </c>
      <c r="F1836" s="17">
        <v>45</v>
      </c>
      <c r="G1836" s="17">
        <v>42</v>
      </c>
      <c r="H1836" s="13" t="str" cm="1">
        <f t="array" ref="H1836">_xlfn.IFS(G1836&lt;=20,"0-20",G1836&lt;=30,"20-30",G1836&lt;=40,"30-40",G1836&lt;=50,"50-60",G1836&lt;=60,"60-70",G1836&lt;=70,"70-80",G1836&lt;=80,"80-90")</f>
        <v>50-60</v>
      </c>
      <c r="I1836" s="17">
        <v>2371</v>
      </c>
      <c r="J1836" s="13" t="str" cm="1">
        <f t="array" ref="J1836">_xlfn.IFS(K1836=1,"Divorciado",L1836=1,"Casado",M1836=1,"Solteiro",N1836=1,"Juntos",O1836=1,"Viuvo")</f>
        <v>Solteiro</v>
      </c>
      <c r="K1836" s="17">
        <v>0</v>
      </c>
      <c r="L1836" s="17">
        <v>0</v>
      </c>
      <c r="M1836" s="17">
        <v>1</v>
      </c>
      <c r="N1836" s="17">
        <v>0</v>
      </c>
      <c r="O1836" s="17">
        <v>0</v>
      </c>
      <c r="P1836" s="17">
        <v>0</v>
      </c>
      <c r="Q1836" s="17">
        <v>0</v>
      </c>
      <c r="R1836" s="17">
        <v>1</v>
      </c>
      <c r="S1836" s="17">
        <v>0</v>
      </c>
      <c r="T1836" s="17">
        <v>0</v>
      </c>
      <c r="U1836" s="17">
        <v>22</v>
      </c>
      <c r="V1836" s="13" t="str" cm="1">
        <f t="array" ref="V1836">_xlfn.IFS(U1836&lt;=250,"0-R$250",U1836&lt;=500,"251-R$500",U1836&lt;=750,"501-R$750",U1836&lt;=1000,"751-R$1000",U1836&lt;=1250,"1001-R$1250",U1836&lt;=1500,"1251-R$1500")</f>
        <v>0-R$250</v>
      </c>
      <c r="W1836" s="17">
        <v>2</v>
      </c>
      <c r="X1836" s="13" t="str" cm="1">
        <f t="array" ref="X1836">_xlfn.IFS(W1836 = 0, "0", W1836&lt;=20, "até R$20",W1836&lt;=40, "21 - R$40",W1836&lt;=60, "41- R$60",W1836&lt;=80, "61 - R$80", W1836&lt;=100, "81 - R$100",W1836&lt;=120, "101 - R$120",W1836&lt;=140, "121 - R$140", W1836&lt;=160, "141- R$160", W1836&lt;=180, "161 - R$180", W1836&lt;=200, "181-R$194")</f>
        <v>até R$20</v>
      </c>
      <c r="Y1836" s="17">
        <v>14</v>
      </c>
      <c r="Z1836" s="17">
        <v>0</v>
      </c>
      <c r="AA1836" s="17">
        <v>1</v>
      </c>
      <c r="AB1836" s="17">
        <v>10</v>
      </c>
      <c r="AC1836" s="17">
        <v>2</v>
      </c>
      <c r="AD1836" s="17">
        <v>2</v>
      </c>
      <c r="AE1836" s="17">
        <v>0</v>
      </c>
      <c r="AF1836" s="17">
        <v>3</v>
      </c>
      <c r="AG1836" s="17">
        <v>7</v>
      </c>
      <c r="AH1836" s="17">
        <v>1</v>
      </c>
      <c r="AI1836" s="17">
        <v>0</v>
      </c>
      <c r="AJ1836" s="17">
        <v>0</v>
      </c>
      <c r="AK1836" s="17">
        <v>0</v>
      </c>
      <c r="AL1836" s="17">
        <v>0</v>
      </c>
      <c r="AM1836" s="17">
        <v>0</v>
      </c>
      <c r="AN1836" s="17">
        <v>0</v>
      </c>
      <c r="AO1836" s="18">
        <v>0</v>
      </c>
      <c r="AP1836" s="17">
        <v>3</v>
      </c>
      <c r="AQ1836" s="17">
        <v>11</v>
      </c>
      <c r="AR1836" s="19">
        <v>29</v>
      </c>
      <c r="AS1836" s="19">
        <v>39</v>
      </c>
    </row>
    <row r="1837" spans="1:45" x14ac:dyDescent="0.25">
      <c r="A1837">
        <v>363</v>
      </c>
      <c r="B1837" s="11">
        <f t="shared" si="28"/>
        <v>30822</v>
      </c>
      <c r="C1837" s="16">
        <v>308220</v>
      </c>
      <c r="D1837" s="17">
        <v>1</v>
      </c>
      <c r="E1837" s="17">
        <v>0</v>
      </c>
      <c r="F1837" s="17">
        <v>92</v>
      </c>
      <c r="G1837" s="17">
        <v>51</v>
      </c>
      <c r="H1837" s="13" t="str" cm="1">
        <f t="array" ref="H1837">_xlfn.IFS(G1837&lt;=20,"0-20",G1837&lt;=30,"20-30",G1837&lt;=40,"30-40",G1837&lt;=50,"50-60",G1837&lt;=60,"60-70",G1837&lt;=70,"70-80",G1837&lt;=80,"80-90")</f>
        <v>60-70</v>
      </c>
      <c r="I1837" s="17">
        <v>2539</v>
      </c>
      <c r="J1837" s="13" t="str" cm="1">
        <f t="array" ref="J1837">_xlfn.IFS(K1837=1,"Divorciado",L1837=1,"Casado",M1837=1,"Solteiro",N1837=1,"Juntos",O1837=1,"Viuvo")</f>
        <v>Solteiro</v>
      </c>
      <c r="K1837" s="17">
        <v>0</v>
      </c>
      <c r="L1837" s="17">
        <v>0</v>
      </c>
      <c r="M1837" s="17">
        <v>1</v>
      </c>
      <c r="N1837" s="17">
        <v>0</v>
      </c>
      <c r="O1837" s="17">
        <v>0</v>
      </c>
      <c r="P1837" s="17">
        <v>0</v>
      </c>
      <c r="Q1837" s="17">
        <v>0</v>
      </c>
      <c r="R1837" s="17">
        <v>1</v>
      </c>
      <c r="S1837" s="17">
        <v>0</v>
      </c>
      <c r="T1837" s="17">
        <v>0</v>
      </c>
      <c r="U1837" s="17">
        <v>3</v>
      </c>
      <c r="V1837" s="13" t="str" cm="1">
        <f t="array" ref="V1837">_xlfn.IFS(U1837&lt;=250,"0-R$250",U1837&lt;=500,"251-R$500",U1837&lt;=750,"501-R$750",U1837&lt;=1000,"751-R$1000",U1837&lt;=1250,"1001-R$1250",U1837&lt;=1500,"1251-R$1500")</f>
        <v>0-R$250</v>
      </c>
      <c r="W1837" s="17">
        <v>9</v>
      </c>
      <c r="X1837" s="13" t="str" cm="1">
        <f t="array" ref="X1837">_xlfn.IFS(W1837 = 0, "0", W1837&lt;=20, "até R$20",W1837&lt;=40, "21 - R$40",W1837&lt;=60, "41- R$60",W1837&lt;=80, "61 - R$80", W1837&lt;=100, "81 - R$100",W1837&lt;=120, "101 - R$120",W1837&lt;=140, "121 - R$140", W1837&lt;=160, "141- R$160", W1837&lt;=180, "161 - R$180", W1837&lt;=200, "181-R$194")</f>
        <v>até R$20</v>
      </c>
      <c r="Y1837" s="17">
        <v>13</v>
      </c>
      <c r="Z1837" s="17">
        <v>2</v>
      </c>
      <c r="AA1837" s="17">
        <v>12</v>
      </c>
      <c r="AB1837" s="17">
        <v>12</v>
      </c>
      <c r="AC1837" s="17">
        <v>1</v>
      </c>
      <c r="AD1837" s="17">
        <v>1</v>
      </c>
      <c r="AE1837" s="17">
        <v>0</v>
      </c>
      <c r="AF1837" s="17">
        <v>3</v>
      </c>
      <c r="AG1837" s="17">
        <v>7</v>
      </c>
      <c r="AH1837" s="17">
        <v>0</v>
      </c>
      <c r="AI1837" s="17">
        <v>0</v>
      </c>
      <c r="AJ1837" s="17">
        <v>0</v>
      </c>
      <c r="AK1837" s="17">
        <v>0</v>
      </c>
      <c r="AL1837" s="17">
        <v>0</v>
      </c>
      <c r="AM1837" s="17">
        <v>0</v>
      </c>
      <c r="AN1837" s="17">
        <v>0</v>
      </c>
      <c r="AO1837" s="18">
        <v>0</v>
      </c>
      <c r="AP1837" s="17">
        <v>3</v>
      </c>
      <c r="AQ1837" s="17">
        <v>11</v>
      </c>
      <c r="AR1837" s="19">
        <v>27</v>
      </c>
      <c r="AS1837" s="19">
        <v>39</v>
      </c>
    </row>
    <row r="1838" spans="1:45" x14ac:dyDescent="0.25">
      <c r="A1838">
        <v>389</v>
      </c>
      <c r="B1838" s="11">
        <f t="shared" si="28"/>
        <v>48006</v>
      </c>
      <c r="C1838" s="16">
        <v>480060</v>
      </c>
      <c r="D1838" s="17">
        <v>1</v>
      </c>
      <c r="E1838" s="17">
        <v>1</v>
      </c>
      <c r="F1838" s="17">
        <v>55</v>
      </c>
      <c r="G1838" s="17">
        <v>55</v>
      </c>
      <c r="H1838" s="13" t="str" cm="1">
        <f t="array" ref="H1838">_xlfn.IFS(G1838&lt;=20,"0-20",G1838&lt;=30,"20-30",G1838&lt;=40,"30-40",G1838&lt;=50,"50-60",G1838&lt;=60,"60-70",G1838&lt;=70,"70-80",G1838&lt;=80,"80-90")</f>
        <v>60-70</v>
      </c>
      <c r="I1838" s="17">
        <v>2179</v>
      </c>
      <c r="J1838" s="13" t="str" cm="1">
        <f t="array" ref="J1838">_xlfn.IFS(K1838=1,"Divorciado",L1838=1,"Casado",M1838=1,"Solteiro",N1838=1,"Juntos",O1838=1,"Viuvo")</f>
        <v>Casado</v>
      </c>
      <c r="K1838" s="17">
        <v>0</v>
      </c>
      <c r="L1838" s="17">
        <v>1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1</v>
      </c>
      <c r="S1838" s="17">
        <v>0</v>
      </c>
      <c r="T1838" s="17">
        <v>0</v>
      </c>
      <c r="U1838" s="17">
        <v>23</v>
      </c>
      <c r="V1838" s="13" t="str" cm="1">
        <f t="array" ref="V1838">_xlfn.IFS(U1838&lt;=250,"0-R$250",U1838&lt;=500,"251-R$500",U1838&lt;=750,"501-R$750",U1838&lt;=1000,"751-R$1000",U1838&lt;=1250,"1001-R$1250",U1838&lt;=1500,"1251-R$1500")</f>
        <v>0-R$250</v>
      </c>
      <c r="W1838" s="17">
        <v>0</v>
      </c>
      <c r="X1838" s="13" t="str" cm="1">
        <f t="array" ref="X1838">_xlfn.IFS(W1838 = 0, "0", W1838&lt;=20, "até R$20",W1838&lt;=40, "21 - R$40",W1838&lt;=60, "41- R$60",W1838&lt;=80, "61 - R$80", W1838&lt;=100, "81 - R$100",W1838&lt;=120, "101 - R$120",W1838&lt;=140, "121 - R$140", W1838&lt;=160, "141- R$160", W1838&lt;=180, "161 - R$180", W1838&lt;=200, "181-R$194")</f>
        <v>0</v>
      </c>
      <c r="Y1838" s="17">
        <v>11</v>
      </c>
      <c r="Z1838" s="17">
        <v>3</v>
      </c>
      <c r="AA1838" s="17">
        <v>2</v>
      </c>
      <c r="AB1838" s="17">
        <v>2</v>
      </c>
      <c r="AC1838" s="17">
        <v>1</v>
      </c>
      <c r="AD1838" s="17">
        <v>1</v>
      </c>
      <c r="AE1838" s="17">
        <v>0</v>
      </c>
      <c r="AF1838" s="17">
        <v>3</v>
      </c>
      <c r="AG1838" s="17">
        <v>6</v>
      </c>
      <c r="AH1838" s="17">
        <v>0</v>
      </c>
      <c r="AI1838" s="17">
        <v>0</v>
      </c>
      <c r="AJ1838" s="17">
        <v>0</v>
      </c>
      <c r="AK1838" s="17">
        <v>0</v>
      </c>
      <c r="AL1838" s="17">
        <v>0</v>
      </c>
      <c r="AM1838" s="17">
        <v>0</v>
      </c>
      <c r="AN1838" s="17">
        <v>0</v>
      </c>
      <c r="AO1838" s="18">
        <v>0</v>
      </c>
      <c r="AP1838" s="17">
        <v>3</v>
      </c>
      <c r="AQ1838" s="17">
        <v>11</v>
      </c>
      <c r="AR1838" s="19">
        <v>37</v>
      </c>
      <c r="AS1838" s="19">
        <v>39</v>
      </c>
    </row>
    <row r="1839" spans="1:45" x14ac:dyDescent="0.25">
      <c r="A1839">
        <v>579</v>
      </c>
      <c r="B1839" s="11">
        <f t="shared" si="28"/>
        <v>17459</v>
      </c>
      <c r="C1839" s="16">
        <v>174590</v>
      </c>
      <c r="D1839" s="17">
        <v>1</v>
      </c>
      <c r="E1839" s="17">
        <v>0</v>
      </c>
      <c r="F1839" s="17">
        <v>12</v>
      </c>
      <c r="G1839" s="17">
        <v>45</v>
      </c>
      <c r="H1839" s="13" t="str" cm="1">
        <f t="array" ref="H1839">_xlfn.IFS(G1839&lt;=20,"0-20",G1839&lt;=30,"20-30",G1839&lt;=40,"30-40",G1839&lt;=50,"50-60",G1839&lt;=60,"60-70",G1839&lt;=70,"70-80",G1839&lt;=80,"80-90")</f>
        <v>50-60</v>
      </c>
      <c r="I1839" s="17">
        <v>2442</v>
      </c>
      <c r="J1839" s="13" t="str" cm="1">
        <f t="array" ref="J1839">_xlfn.IFS(K1839=1,"Divorciado",L1839=1,"Casado",M1839=1,"Solteiro",N1839=1,"Juntos",O1839=1,"Viuvo")</f>
        <v>Juntos</v>
      </c>
      <c r="K1839" s="17">
        <v>0</v>
      </c>
      <c r="L1839" s="17">
        <v>0</v>
      </c>
      <c r="M1839" s="17">
        <v>0</v>
      </c>
      <c r="N1839" s="17">
        <v>1</v>
      </c>
      <c r="O1839" s="17">
        <v>0</v>
      </c>
      <c r="P1839" s="17">
        <v>0</v>
      </c>
      <c r="Q1839" s="17">
        <v>0</v>
      </c>
      <c r="R1839" s="17">
        <v>0</v>
      </c>
      <c r="S1839" s="17">
        <v>1</v>
      </c>
      <c r="T1839" s="17">
        <v>0</v>
      </c>
      <c r="U1839" s="17">
        <v>6</v>
      </c>
      <c r="V1839" s="13" t="str" cm="1">
        <f t="array" ref="V1839">_xlfn.IFS(U1839&lt;=250,"0-R$250",U1839&lt;=500,"251-R$500",U1839&lt;=750,"501-R$750",U1839&lt;=1000,"751-R$1000",U1839&lt;=1250,"1001-R$1250",U1839&lt;=1500,"1251-R$1500")</f>
        <v>0-R$250</v>
      </c>
      <c r="W1839" s="17">
        <v>4</v>
      </c>
      <c r="X1839" s="13" t="str" cm="1">
        <f t="array" ref="X1839">_xlfn.IFS(W1839 = 0, "0", W1839&lt;=20, "até R$20",W1839&lt;=40, "21 - R$40",W1839&lt;=60, "41- R$60",W1839&lt;=80, "61 - R$80", W1839&lt;=100, "81 - R$100",W1839&lt;=120, "101 - R$120",W1839&lt;=140, "121 - R$140", W1839&lt;=160, "141- R$160", W1839&lt;=180, "161 - R$180", W1839&lt;=200, "181-R$194")</f>
        <v>até R$20</v>
      </c>
      <c r="Y1839" s="17">
        <v>16</v>
      </c>
      <c r="Z1839" s="17">
        <v>3</v>
      </c>
      <c r="AA1839" s="17">
        <v>10</v>
      </c>
      <c r="AB1839" s="17">
        <v>30</v>
      </c>
      <c r="AC1839" s="17">
        <v>3</v>
      </c>
      <c r="AD1839" s="17">
        <v>3</v>
      </c>
      <c r="AE1839" s="17">
        <v>1</v>
      </c>
      <c r="AF1839" s="17">
        <v>2</v>
      </c>
      <c r="AG1839" s="17">
        <v>7</v>
      </c>
      <c r="AH1839" s="17">
        <v>0</v>
      </c>
      <c r="AI1839" s="17">
        <v>0</v>
      </c>
      <c r="AJ1839" s="17">
        <v>0</v>
      </c>
      <c r="AK1839" s="17">
        <v>0</v>
      </c>
      <c r="AL1839" s="17">
        <v>0</v>
      </c>
      <c r="AM1839" s="17">
        <v>0</v>
      </c>
      <c r="AN1839" s="17">
        <v>1</v>
      </c>
      <c r="AO1839" s="18">
        <v>0</v>
      </c>
      <c r="AP1839" s="17">
        <v>3</v>
      </c>
      <c r="AQ1839" s="17">
        <v>11</v>
      </c>
      <c r="AR1839" s="19">
        <v>9</v>
      </c>
      <c r="AS1839" s="19">
        <v>39</v>
      </c>
    </row>
    <row r="1840" spans="1:45" x14ac:dyDescent="0.25">
      <c r="A1840">
        <v>687</v>
      </c>
      <c r="B1840" s="11">
        <f t="shared" si="28"/>
        <v>35682</v>
      </c>
      <c r="C1840" s="16">
        <v>356820</v>
      </c>
      <c r="D1840" s="17">
        <v>1</v>
      </c>
      <c r="E1840" s="17">
        <v>0</v>
      </c>
      <c r="F1840" s="17">
        <v>34</v>
      </c>
      <c r="G1840" s="17">
        <v>50</v>
      </c>
      <c r="H1840" s="13" t="str" cm="1">
        <f t="array" ref="H1840">_xlfn.IFS(G1840&lt;=20,"0-20",G1840&lt;=30,"20-30",G1840&lt;=40,"30-40",G1840&lt;=50,"50-60",G1840&lt;=60,"60-70",G1840&lt;=70,"70-80",G1840&lt;=80,"80-90")</f>
        <v>50-60</v>
      </c>
      <c r="I1840" s="17">
        <v>2161</v>
      </c>
      <c r="J1840" s="13" t="str" cm="1">
        <f t="array" ref="J1840">_xlfn.IFS(K1840=1,"Divorciado",L1840=1,"Casado",M1840=1,"Solteiro",N1840=1,"Juntos",O1840=1,"Viuvo")</f>
        <v>Divorciado</v>
      </c>
      <c r="K1840" s="17">
        <v>1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1</v>
      </c>
      <c r="U1840" s="17">
        <v>23</v>
      </c>
      <c r="V1840" s="13" t="str" cm="1">
        <f t="array" ref="V1840">_xlfn.IFS(U1840&lt;=250,"0-R$250",U1840&lt;=500,"251-R$500",U1840&lt;=750,"501-R$750",U1840&lt;=1000,"751-R$1000",U1840&lt;=1250,"1001-R$1250",U1840&lt;=1500,"1251-R$1500")</f>
        <v>0-R$250</v>
      </c>
      <c r="W1840" s="17">
        <v>0</v>
      </c>
      <c r="X1840" s="13" t="str" cm="1">
        <f t="array" ref="X1840">_xlfn.IFS(W1840 = 0, "0", W1840&lt;=20, "até R$20",W1840&lt;=40, "21 - R$40",W1840&lt;=60, "41- R$60",W1840&lt;=80, "61 - R$80", W1840&lt;=100, "81 - R$100",W1840&lt;=120, "101 - R$120",W1840&lt;=140, "121 - R$140", W1840&lt;=160, "141- R$160", W1840&lt;=180, "161 - R$180", W1840&lt;=200, "181-R$194")</f>
        <v>0</v>
      </c>
      <c r="Y1840" s="17">
        <v>8</v>
      </c>
      <c r="Z1840" s="17">
        <v>6</v>
      </c>
      <c r="AA1840" s="17">
        <v>2</v>
      </c>
      <c r="AB1840" s="17">
        <v>18</v>
      </c>
      <c r="AC1840" s="17">
        <v>1</v>
      </c>
      <c r="AD1840" s="17">
        <v>1</v>
      </c>
      <c r="AE1840" s="17">
        <v>1</v>
      </c>
      <c r="AF1840" s="17">
        <v>3</v>
      </c>
      <c r="AG1840" s="17">
        <v>2</v>
      </c>
      <c r="AH1840" s="17">
        <v>0</v>
      </c>
      <c r="AI1840" s="17">
        <v>0</v>
      </c>
      <c r="AJ1840" s="17">
        <v>0</v>
      </c>
      <c r="AK1840" s="17">
        <v>0</v>
      </c>
      <c r="AL1840" s="17">
        <v>0</v>
      </c>
      <c r="AM1840" s="17">
        <v>0</v>
      </c>
      <c r="AN1840" s="17">
        <v>0</v>
      </c>
      <c r="AO1840" s="18">
        <v>0</v>
      </c>
      <c r="AP1840" s="17">
        <v>3</v>
      </c>
      <c r="AQ1840" s="17">
        <v>11</v>
      </c>
      <c r="AR1840" s="19">
        <v>21</v>
      </c>
      <c r="AS1840" s="19">
        <v>39</v>
      </c>
    </row>
    <row r="1841" spans="1:45" x14ac:dyDescent="0.25">
      <c r="A1841">
        <v>705</v>
      </c>
      <c r="B1841" s="11">
        <f t="shared" si="28"/>
        <v>7500</v>
      </c>
      <c r="C1841" s="16">
        <v>75000</v>
      </c>
      <c r="D1841" s="17">
        <v>1</v>
      </c>
      <c r="E1841" s="17">
        <v>0</v>
      </c>
      <c r="F1841" s="17">
        <v>19</v>
      </c>
      <c r="G1841" s="17">
        <v>44</v>
      </c>
      <c r="H1841" s="13" t="str" cm="1">
        <f t="array" ref="H1841">_xlfn.IFS(G1841&lt;=20,"0-20",G1841&lt;=30,"20-30",G1841&lt;=40,"30-40",G1841&lt;=50,"50-60",G1841&lt;=60,"60-70",G1841&lt;=70,"70-80",G1841&lt;=80,"80-90")</f>
        <v>50-60</v>
      </c>
      <c r="I1841" s="17">
        <v>2856</v>
      </c>
      <c r="J1841" s="13" t="str" cm="1">
        <f t="array" ref="J1841">_xlfn.IFS(K1841=1,"Divorciado",L1841=1,"Casado",M1841=1,"Solteiro",N1841=1,"Juntos",O1841=1,"Viuvo")</f>
        <v>Casado</v>
      </c>
      <c r="K1841" s="17">
        <v>0</v>
      </c>
      <c r="L1841" s="17">
        <v>1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1</v>
      </c>
      <c r="S1841" s="17">
        <v>0</v>
      </c>
      <c r="T1841" s="17">
        <v>0</v>
      </c>
      <c r="U1841" s="17">
        <v>7</v>
      </c>
      <c r="V1841" s="13" t="str" cm="1">
        <f t="array" ref="V1841">_xlfn.IFS(U1841&lt;=250,"0-R$250",U1841&lt;=500,"251-R$500",U1841&lt;=750,"501-R$750",U1841&lt;=1000,"751-R$1000",U1841&lt;=1250,"1001-R$1250",U1841&lt;=1500,"1251-R$1500")</f>
        <v>0-R$250</v>
      </c>
      <c r="W1841" s="17">
        <v>0</v>
      </c>
      <c r="X1841" s="13" t="str" cm="1">
        <f t="array" ref="X1841">_xlfn.IFS(W1841 = 0, "0", W1841&lt;=20, "até R$20",W1841&lt;=40, "21 - R$40",W1841&lt;=60, "41- R$60",W1841&lt;=80, "61 - R$80", W1841&lt;=100, "81 - R$100",W1841&lt;=120, "101 - R$120",W1841&lt;=140, "121 - R$140", W1841&lt;=160, "141- R$160", W1841&lt;=180, "161 - R$180", W1841&lt;=200, "181-R$194")</f>
        <v>0</v>
      </c>
      <c r="Y1841" s="17">
        <v>12</v>
      </c>
      <c r="Z1841" s="17">
        <v>13</v>
      </c>
      <c r="AA1841" s="17">
        <v>7</v>
      </c>
      <c r="AB1841" s="17">
        <v>32</v>
      </c>
      <c r="AC1841" s="17">
        <v>5</v>
      </c>
      <c r="AD1841" s="17">
        <v>4</v>
      </c>
      <c r="AE1841" s="17">
        <v>1</v>
      </c>
      <c r="AF1841" s="17">
        <v>2</v>
      </c>
      <c r="AG1841" s="17">
        <v>9</v>
      </c>
      <c r="AH1841" s="17">
        <v>0</v>
      </c>
      <c r="AI1841" s="17">
        <v>1</v>
      </c>
      <c r="AJ1841" s="17">
        <v>0</v>
      </c>
      <c r="AK1841" s="17">
        <v>0</v>
      </c>
      <c r="AL1841" s="17">
        <v>0</v>
      </c>
      <c r="AM1841" s="17">
        <v>0</v>
      </c>
      <c r="AN1841" s="17">
        <v>1</v>
      </c>
      <c r="AO1841" s="18">
        <v>1</v>
      </c>
      <c r="AP1841" s="17">
        <v>3</v>
      </c>
      <c r="AQ1841" s="17">
        <v>11</v>
      </c>
      <c r="AR1841" s="19">
        <v>7</v>
      </c>
      <c r="AS1841" s="19">
        <v>39</v>
      </c>
    </row>
    <row r="1842" spans="1:45" x14ac:dyDescent="0.25">
      <c r="A1842">
        <v>759</v>
      </c>
      <c r="B1842" s="11">
        <f t="shared" si="28"/>
        <v>51124</v>
      </c>
      <c r="C1842" s="16">
        <v>511240</v>
      </c>
      <c r="D1842" s="17">
        <v>1</v>
      </c>
      <c r="E1842" s="17">
        <v>1</v>
      </c>
      <c r="F1842" s="17">
        <v>79</v>
      </c>
      <c r="G1842" s="17">
        <v>65</v>
      </c>
      <c r="H1842" s="13" t="str" cm="1">
        <f t="array" ref="H1842">_xlfn.IFS(G1842&lt;=20,"0-20",G1842&lt;=30,"20-30",G1842&lt;=40,"30-40",G1842&lt;=50,"50-60",G1842&lt;=60,"60-70",G1842&lt;=70,"70-80",G1842&lt;=80,"80-90")</f>
        <v>70-80</v>
      </c>
      <c r="I1842" s="17">
        <v>2352</v>
      </c>
      <c r="J1842" s="13" t="str" cm="1">
        <f t="array" ref="J1842">_xlfn.IFS(K1842=1,"Divorciado",L1842=1,"Casado",M1842=1,"Solteiro",N1842=1,"Juntos",O1842=1,"Viuvo")</f>
        <v>Solteiro</v>
      </c>
      <c r="K1842" s="17">
        <v>0</v>
      </c>
      <c r="L1842" s="17">
        <v>0</v>
      </c>
      <c r="M1842" s="17">
        <v>1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1</v>
      </c>
      <c r="T1842" s="17">
        <v>0</v>
      </c>
      <c r="U1842" s="17">
        <v>26</v>
      </c>
      <c r="V1842" s="13" t="str" cm="1">
        <f t="array" ref="V1842">_xlfn.IFS(U1842&lt;=250,"0-R$250",U1842&lt;=500,"251-R$500",U1842&lt;=750,"501-R$750",U1842&lt;=1000,"751-R$1000",U1842&lt;=1250,"1001-R$1250",U1842&lt;=1500,"1251-R$1500")</f>
        <v>0-R$250</v>
      </c>
      <c r="W1842" s="17">
        <v>1</v>
      </c>
      <c r="X1842" s="13" t="str" cm="1">
        <f t="array" ref="X1842">_xlfn.IFS(W1842 = 0, "0", W1842&lt;=20, "até R$20",W1842&lt;=40, "21 - R$40",W1842&lt;=60, "41- R$60",W1842&lt;=80, "61 - R$80", W1842&lt;=100, "81 - R$100",W1842&lt;=120, "101 - R$120",W1842&lt;=140, "121 - R$140", W1842&lt;=160, "141- R$160", W1842&lt;=180, "161 - R$180", W1842&lt;=200, "181-R$194")</f>
        <v>até R$20</v>
      </c>
      <c r="Y1842" s="17">
        <v>11</v>
      </c>
      <c r="Z1842" s="17">
        <v>0</v>
      </c>
      <c r="AA1842" s="17">
        <v>1</v>
      </c>
      <c r="AB1842" s="17">
        <v>4</v>
      </c>
      <c r="AC1842" s="17">
        <v>2</v>
      </c>
      <c r="AD1842" s="17">
        <v>1</v>
      </c>
      <c r="AE1842" s="17">
        <v>0</v>
      </c>
      <c r="AF1842" s="17">
        <v>3</v>
      </c>
      <c r="AG1842" s="17">
        <v>3</v>
      </c>
      <c r="AH1842" s="17">
        <v>0</v>
      </c>
      <c r="AI1842" s="17">
        <v>0</v>
      </c>
      <c r="AJ1842" s="17">
        <v>0</v>
      </c>
      <c r="AK1842" s="17">
        <v>0</v>
      </c>
      <c r="AL1842" s="17">
        <v>0</v>
      </c>
      <c r="AM1842" s="17">
        <v>0</v>
      </c>
      <c r="AN1842" s="17">
        <v>0</v>
      </c>
      <c r="AO1842" s="18">
        <v>0</v>
      </c>
      <c r="AP1842" s="17">
        <v>3</v>
      </c>
      <c r="AQ1842" s="17">
        <v>11</v>
      </c>
      <c r="AR1842" s="19">
        <v>35</v>
      </c>
      <c r="AS1842" s="19">
        <v>39</v>
      </c>
    </row>
    <row r="1843" spans="1:45" x14ac:dyDescent="0.25">
      <c r="A1843">
        <v>839</v>
      </c>
      <c r="B1843" s="11">
        <f t="shared" si="28"/>
        <v>37758</v>
      </c>
      <c r="C1843" s="16">
        <v>377580</v>
      </c>
      <c r="D1843" s="17">
        <v>1</v>
      </c>
      <c r="E1843" s="17">
        <v>1</v>
      </c>
      <c r="F1843" s="17">
        <v>49</v>
      </c>
      <c r="G1843" s="17">
        <v>54</v>
      </c>
      <c r="H1843" s="13" t="str" cm="1">
        <f t="array" ref="H1843">_xlfn.IFS(G1843&lt;=20,"0-20",G1843&lt;=30,"20-30",G1843&lt;=40,"30-40",G1843&lt;=50,"50-60",G1843&lt;=60,"60-70",G1843&lt;=70,"70-80",G1843&lt;=80,"80-90")</f>
        <v>60-70</v>
      </c>
      <c r="I1843" s="17">
        <v>2792</v>
      </c>
      <c r="J1843" s="13" t="str" cm="1">
        <f t="array" ref="J1843">_xlfn.IFS(K1843=1,"Divorciado",L1843=1,"Casado",M1843=1,"Solteiro",N1843=1,"Juntos",O1843=1,"Viuvo")</f>
        <v>Juntos</v>
      </c>
      <c r="K1843" s="17">
        <v>0</v>
      </c>
      <c r="L1843" s="17">
        <v>0</v>
      </c>
      <c r="M1843" s="17">
        <v>0</v>
      </c>
      <c r="N1843" s="17">
        <v>1</v>
      </c>
      <c r="O1843" s="17">
        <v>0</v>
      </c>
      <c r="P1843" s="17">
        <v>0</v>
      </c>
      <c r="Q1843" s="17">
        <v>0</v>
      </c>
      <c r="R1843" s="17">
        <v>1</v>
      </c>
      <c r="S1843" s="17">
        <v>0</v>
      </c>
      <c r="T1843" s="17">
        <v>0</v>
      </c>
      <c r="U1843" s="17">
        <v>27</v>
      </c>
      <c r="V1843" s="13" t="str" cm="1">
        <f t="array" ref="V1843">_xlfn.IFS(U1843&lt;=250,"0-R$250",U1843&lt;=500,"251-R$500",U1843&lt;=750,"501-R$750",U1843&lt;=1000,"751-R$1000",U1843&lt;=1250,"1001-R$1250",U1843&lt;=1500,"1251-R$1500")</f>
        <v>0-R$250</v>
      </c>
      <c r="W1843" s="17">
        <v>2</v>
      </c>
      <c r="X1843" s="13" t="str" cm="1">
        <f t="array" ref="X1843">_xlfn.IFS(W1843 = 0, "0", W1843&lt;=20, "até R$20",W1843&lt;=40, "21 - R$40",W1843&lt;=60, "41- R$60",W1843&lt;=80, "61 - R$80", W1843&lt;=100, "81 - R$100",W1843&lt;=120, "101 - R$120",W1843&lt;=140, "121 - R$140", W1843&lt;=160, "141- R$160", W1843&lt;=180, "161 - R$180", W1843&lt;=200, "181-R$194")</f>
        <v>até R$20</v>
      </c>
      <c r="Y1843" s="17">
        <v>10</v>
      </c>
      <c r="Z1843" s="17">
        <v>0</v>
      </c>
      <c r="AA1843" s="17">
        <v>0</v>
      </c>
      <c r="AB1843" s="17">
        <v>1</v>
      </c>
      <c r="AC1843" s="17">
        <v>2</v>
      </c>
      <c r="AD1843" s="17">
        <v>1</v>
      </c>
      <c r="AE1843" s="17">
        <v>0</v>
      </c>
      <c r="AF1843" s="17">
        <v>3</v>
      </c>
      <c r="AG1843" s="17">
        <v>8</v>
      </c>
      <c r="AH1843" s="17">
        <v>0</v>
      </c>
      <c r="AI1843" s="17">
        <v>0</v>
      </c>
      <c r="AJ1843" s="17">
        <v>0</v>
      </c>
      <c r="AK1843" s="17">
        <v>0</v>
      </c>
      <c r="AL1843" s="17">
        <v>0</v>
      </c>
      <c r="AM1843" s="17">
        <v>0</v>
      </c>
      <c r="AN1843" s="17">
        <v>0</v>
      </c>
      <c r="AO1843" s="18">
        <v>0</v>
      </c>
      <c r="AP1843" s="17">
        <v>3</v>
      </c>
      <c r="AQ1843" s="17">
        <v>11</v>
      </c>
      <c r="AR1843" s="19">
        <v>38</v>
      </c>
      <c r="AS1843" s="19">
        <v>39</v>
      </c>
    </row>
    <row r="1844" spans="1:45" x14ac:dyDescent="0.25">
      <c r="A1844">
        <v>1014</v>
      </c>
      <c r="B1844" s="11">
        <f t="shared" si="28"/>
        <v>31056</v>
      </c>
      <c r="C1844" s="12">
        <v>310560</v>
      </c>
      <c r="D1844" s="13">
        <v>1</v>
      </c>
      <c r="E1844" s="13">
        <v>0</v>
      </c>
      <c r="F1844" s="13">
        <v>99</v>
      </c>
      <c r="G1844" s="13">
        <v>43</v>
      </c>
      <c r="H1844" s="13" t="str" cm="1">
        <f t="array" ref="H1844">_xlfn.IFS(G1844&lt;=20,"0-20",G1844&lt;=30,"20-30",G1844&lt;=40,"30-40",G1844&lt;=50,"50-60",G1844&lt;=60,"60-70",G1844&lt;=70,"70-80",G1844&lt;=80,"80-90")</f>
        <v>50-60</v>
      </c>
      <c r="I1844" s="13">
        <v>2682</v>
      </c>
      <c r="J1844" s="13" t="str" cm="1">
        <f t="array" ref="J1844">_xlfn.IFS(K1844=1,"Divorciado",L1844=1,"Casado",M1844=1,"Solteiro",N1844=1,"Juntos",O1844=1,"Viuvo")</f>
        <v>Casado</v>
      </c>
      <c r="K1844" s="13">
        <v>0</v>
      </c>
      <c r="L1844" s="13">
        <v>1</v>
      </c>
      <c r="M1844" s="13">
        <v>0</v>
      </c>
      <c r="N1844" s="13">
        <v>0</v>
      </c>
      <c r="O1844" s="13">
        <v>0</v>
      </c>
      <c r="P1844" s="13">
        <v>1</v>
      </c>
      <c r="Q1844" s="13">
        <v>0</v>
      </c>
      <c r="R1844" s="13">
        <v>0</v>
      </c>
      <c r="S1844" s="13">
        <v>0</v>
      </c>
      <c r="T1844" s="13">
        <v>0</v>
      </c>
      <c r="U1844" s="13">
        <v>5</v>
      </c>
      <c r="V1844" s="13" t="str" cm="1">
        <f t="array" ref="V1844">_xlfn.IFS(U1844&lt;=250,"0-R$250",U1844&lt;=500,"251-R$500",U1844&lt;=750,"501-R$750",U1844&lt;=1000,"751-R$1000",U1844&lt;=1250,"1001-R$1250",U1844&lt;=1500,"1251-R$1500")</f>
        <v>0-R$250</v>
      </c>
      <c r="W1844" s="13">
        <v>10</v>
      </c>
      <c r="X1844" s="13" t="str" cm="1">
        <f t="array" ref="X1844">_xlfn.IFS(W1844 = 0, "0", W1844&lt;=20, "até R$20",W1844&lt;=40, "21 - R$40",W1844&lt;=60, "41- R$60",W1844&lt;=80, "61 - R$80", W1844&lt;=100, "81 - R$100",W1844&lt;=120, "101 - R$120",W1844&lt;=140, "121 - R$140", W1844&lt;=160, "141- R$160", W1844&lt;=180, "161 - R$180", W1844&lt;=200, "181-R$194")</f>
        <v>até R$20</v>
      </c>
      <c r="Y1844" s="13">
        <v>13</v>
      </c>
      <c r="Z1844" s="13">
        <v>3</v>
      </c>
      <c r="AA1844" s="13">
        <v>8</v>
      </c>
      <c r="AB1844" s="13">
        <v>16</v>
      </c>
      <c r="AC1844" s="13">
        <v>1</v>
      </c>
      <c r="AD1844" s="13">
        <v>1</v>
      </c>
      <c r="AE1844" s="13">
        <v>0</v>
      </c>
      <c r="AF1844" s="13">
        <v>3</v>
      </c>
      <c r="AG1844" s="13">
        <v>8</v>
      </c>
      <c r="AH1844" s="13">
        <v>0</v>
      </c>
      <c r="AI1844" s="13">
        <v>0</v>
      </c>
      <c r="AJ1844" s="13">
        <v>0</v>
      </c>
      <c r="AK1844" s="13">
        <v>0</v>
      </c>
      <c r="AL1844" s="13">
        <v>0</v>
      </c>
      <c r="AM1844" s="13">
        <v>0</v>
      </c>
      <c r="AN1844" s="13">
        <v>0</v>
      </c>
      <c r="AO1844" s="14">
        <v>0</v>
      </c>
      <c r="AP1844" s="13">
        <v>3</v>
      </c>
      <c r="AQ1844" s="13">
        <v>11</v>
      </c>
      <c r="AR1844" s="15">
        <v>23</v>
      </c>
      <c r="AS1844" s="15">
        <v>39</v>
      </c>
    </row>
    <row r="1845" spans="1:45" x14ac:dyDescent="0.25">
      <c r="A1845">
        <v>1054</v>
      </c>
      <c r="B1845" s="11">
        <f t="shared" si="28"/>
        <v>39722</v>
      </c>
      <c r="C1845" s="12">
        <v>397220</v>
      </c>
      <c r="D1845" s="13">
        <v>0</v>
      </c>
      <c r="E1845" s="13">
        <v>1</v>
      </c>
      <c r="F1845" s="13">
        <v>92</v>
      </c>
      <c r="G1845" s="13">
        <v>67</v>
      </c>
      <c r="H1845" s="13" t="str" cm="1">
        <f t="array" ref="H1845">_xlfn.IFS(G1845&lt;=20,"0-20",G1845&lt;=30,"20-30",G1845&lt;=40,"30-40",G1845&lt;=50,"50-60",G1845&lt;=60,"60-70",G1845&lt;=70,"70-80",G1845&lt;=80,"80-90")</f>
        <v>70-80</v>
      </c>
      <c r="I1845" s="13">
        <v>2284</v>
      </c>
      <c r="J1845" s="13" t="str" cm="1">
        <f t="array" ref="J1845">_xlfn.IFS(K1845=1,"Divorciado",L1845=1,"Casado",M1845=1,"Solteiro",N1845=1,"Juntos",O1845=1,"Viuvo")</f>
        <v>Casado</v>
      </c>
      <c r="K1845" s="13">
        <v>0</v>
      </c>
      <c r="L1845" s="13">
        <v>1</v>
      </c>
      <c r="M1845" s="13">
        <v>0</v>
      </c>
      <c r="N1845" s="13">
        <v>0</v>
      </c>
      <c r="O1845" s="13">
        <v>0</v>
      </c>
      <c r="P1845" s="13">
        <v>0</v>
      </c>
      <c r="Q1845" s="13">
        <v>0</v>
      </c>
      <c r="R1845" s="13">
        <v>1</v>
      </c>
      <c r="S1845" s="13">
        <v>0</v>
      </c>
      <c r="T1845" s="13">
        <v>0</v>
      </c>
      <c r="U1845" s="13">
        <v>32</v>
      </c>
      <c r="V1845" s="13" t="str" cm="1">
        <f t="array" ref="V1845">_xlfn.IFS(U1845&lt;=250,"0-R$250",U1845&lt;=500,"251-R$500",U1845&lt;=750,"501-R$750",U1845&lt;=1000,"751-R$1000",U1845&lt;=1250,"1001-R$1250",U1845&lt;=1500,"1251-R$1500")</f>
        <v>0-R$250</v>
      </c>
      <c r="W1845" s="13">
        <v>0</v>
      </c>
      <c r="X1845" s="13" t="str" cm="1">
        <f t="array" ref="X1845">_xlfn.IFS(W1845 = 0, "0", W1845&lt;=20, "até R$20",W1845&lt;=40, "21 - R$40",W1845&lt;=60, "41- R$60",W1845&lt;=80, "61 - R$80", W1845&lt;=100, "81 - R$100",W1845&lt;=120, "101 - R$120",W1845&lt;=140, "121 - R$140", W1845&lt;=160, "141- R$160", W1845&lt;=180, "161 - R$180", W1845&lt;=200, "181-R$194")</f>
        <v>0</v>
      </c>
      <c r="Y1845" s="13">
        <v>5</v>
      </c>
      <c r="Z1845" s="13">
        <v>2</v>
      </c>
      <c r="AA1845" s="13">
        <v>0</v>
      </c>
      <c r="AB1845" s="13">
        <v>8</v>
      </c>
      <c r="AC1845" s="13">
        <v>2</v>
      </c>
      <c r="AD1845" s="13">
        <v>2</v>
      </c>
      <c r="AE1845" s="13">
        <v>0</v>
      </c>
      <c r="AF1845" s="13">
        <v>3</v>
      </c>
      <c r="AG1845" s="13">
        <v>5</v>
      </c>
      <c r="AH1845" s="13">
        <v>0</v>
      </c>
      <c r="AI1845" s="13">
        <v>0</v>
      </c>
      <c r="AJ1845" s="13">
        <v>0</v>
      </c>
      <c r="AK1845" s="13">
        <v>0</v>
      </c>
      <c r="AL1845" s="13">
        <v>0</v>
      </c>
      <c r="AM1845" s="13">
        <v>0</v>
      </c>
      <c r="AN1845" s="13">
        <v>0</v>
      </c>
      <c r="AO1845" s="14">
        <v>0</v>
      </c>
      <c r="AP1845" s="13">
        <v>3</v>
      </c>
      <c r="AQ1845" s="13">
        <v>11</v>
      </c>
      <c r="AR1845" s="15">
        <v>31</v>
      </c>
      <c r="AS1845" s="15">
        <v>39</v>
      </c>
    </row>
    <row r="1846" spans="1:45" x14ac:dyDescent="0.25">
      <c r="A1846">
        <v>1097</v>
      </c>
      <c r="B1846" s="11">
        <f t="shared" si="28"/>
        <v>33569</v>
      </c>
      <c r="C1846" s="16">
        <v>335690</v>
      </c>
      <c r="D1846" s="17">
        <v>1</v>
      </c>
      <c r="E1846" s="17">
        <v>0</v>
      </c>
      <c r="F1846" s="17">
        <v>10</v>
      </c>
      <c r="G1846" s="17">
        <v>37</v>
      </c>
      <c r="H1846" s="13" t="str" cm="1">
        <f t="array" ref="H1846">_xlfn.IFS(G1846&lt;=20,"0-20",G1846&lt;=30,"20-30",G1846&lt;=40,"30-40",G1846&lt;=50,"50-60",G1846&lt;=60,"60-70",G1846&lt;=70,"70-80",G1846&lt;=80,"80-90")</f>
        <v>30-40</v>
      </c>
      <c r="I1846" s="17">
        <v>2415</v>
      </c>
      <c r="J1846" s="13" t="str" cm="1">
        <f t="array" ref="J1846">_xlfn.IFS(K1846=1,"Divorciado",L1846=1,"Casado",M1846=1,"Solteiro",N1846=1,"Juntos",O1846=1,"Viuvo")</f>
        <v>Casado</v>
      </c>
      <c r="K1846" s="17">
        <v>0</v>
      </c>
      <c r="L1846" s="17">
        <v>1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1</v>
      </c>
      <c r="U1846" s="17">
        <v>16</v>
      </c>
      <c r="V1846" s="13" t="str" cm="1">
        <f t="array" ref="V1846">_xlfn.IFS(U1846&lt;=250,"0-R$250",U1846&lt;=500,"251-R$500",U1846&lt;=750,"501-R$750",U1846&lt;=1000,"751-R$1000",U1846&lt;=1250,"1001-R$1250",U1846&lt;=1500,"1251-R$1500")</f>
        <v>0-R$250</v>
      </c>
      <c r="W1846" s="17">
        <v>2</v>
      </c>
      <c r="X1846" s="13" t="str" cm="1">
        <f t="array" ref="X1846">_xlfn.IFS(W1846 = 0, "0", W1846&lt;=20, "até R$20",W1846&lt;=40, "21 - R$40",W1846&lt;=60, "41- R$60",W1846&lt;=80, "61 - R$80", W1846&lt;=100, "81 - R$100",W1846&lt;=120, "101 - R$120",W1846&lt;=140, "121 - R$140", W1846&lt;=160, "141- R$160", W1846&lt;=180, "161 - R$180", W1846&lt;=200, "181-R$194")</f>
        <v>até R$20</v>
      </c>
      <c r="Y1846" s="17">
        <v>18</v>
      </c>
      <c r="Z1846" s="17">
        <v>3</v>
      </c>
      <c r="AA1846" s="17">
        <v>0</v>
      </c>
      <c r="AB1846" s="17">
        <v>24</v>
      </c>
      <c r="AC1846" s="17">
        <v>1</v>
      </c>
      <c r="AD1846" s="17">
        <v>1</v>
      </c>
      <c r="AE1846" s="17">
        <v>1</v>
      </c>
      <c r="AF1846" s="17">
        <v>2</v>
      </c>
      <c r="AG1846" s="17">
        <v>8</v>
      </c>
      <c r="AH1846" s="17">
        <v>0</v>
      </c>
      <c r="AI1846" s="17">
        <v>1</v>
      </c>
      <c r="AJ1846" s="17">
        <v>0</v>
      </c>
      <c r="AK1846" s="17">
        <v>0</v>
      </c>
      <c r="AL1846" s="17">
        <v>0</v>
      </c>
      <c r="AM1846" s="17">
        <v>0</v>
      </c>
      <c r="AN1846" s="17">
        <v>1</v>
      </c>
      <c r="AO1846" s="18">
        <v>1</v>
      </c>
      <c r="AP1846" s="17">
        <v>3</v>
      </c>
      <c r="AQ1846" s="17">
        <v>11</v>
      </c>
      <c r="AR1846" s="19">
        <v>15</v>
      </c>
      <c r="AS1846" s="19">
        <v>39</v>
      </c>
    </row>
    <row r="1847" spans="1:45" x14ac:dyDescent="0.25">
      <c r="A1847">
        <v>1189</v>
      </c>
      <c r="B1847" s="11">
        <f t="shared" si="28"/>
        <v>40451</v>
      </c>
      <c r="C1847" s="16">
        <v>404510</v>
      </c>
      <c r="D1847" s="17">
        <v>0</v>
      </c>
      <c r="E1847" s="17">
        <v>2</v>
      </c>
      <c r="F1847" s="17">
        <v>54</v>
      </c>
      <c r="G1847" s="17">
        <v>63</v>
      </c>
      <c r="H1847" s="13" t="str" cm="1">
        <f t="array" ref="H1847">_xlfn.IFS(G1847&lt;=20,"0-20",G1847&lt;=30,"20-30",G1847&lt;=40,"30-40",G1847&lt;=50,"50-60",G1847&lt;=60,"60-70",G1847&lt;=70,"70-80",G1847&lt;=80,"80-90")</f>
        <v>70-80</v>
      </c>
      <c r="I1847" s="17">
        <v>2292</v>
      </c>
      <c r="J1847" s="13" t="str" cm="1">
        <f t="array" ref="J1847">_xlfn.IFS(K1847=1,"Divorciado",L1847=1,"Casado",M1847=1,"Solteiro",N1847=1,"Juntos",O1847=1,"Viuvo")</f>
        <v>Juntos</v>
      </c>
      <c r="K1847" s="17">
        <v>0</v>
      </c>
      <c r="L1847" s="17">
        <v>0</v>
      </c>
      <c r="M1847" s="17">
        <v>0</v>
      </c>
      <c r="N1847" s="17">
        <v>1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1</v>
      </c>
      <c r="U1847" s="17">
        <v>35</v>
      </c>
      <c r="V1847" s="13" t="str" cm="1">
        <f t="array" ref="V1847">_xlfn.IFS(U1847&lt;=250,"0-R$250",U1847&lt;=500,"251-R$500",U1847&lt;=750,"501-R$750",U1847&lt;=1000,"751-R$1000",U1847&lt;=1250,"1001-R$1250",U1847&lt;=1500,"1251-R$1500")</f>
        <v>0-R$250</v>
      </c>
      <c r="W1847" s="17">
        <v>0</v>
      </c>
      <c r="X1847" s="13" t="str" cm="1">
        <f t="array" ref="X1847">_xlfn.IFS(W1847 = 0, "0", W1847&lt;=20, "até R$20",W1847&lt;=40, "21 - R$40",W1847&lt;=60, "41- R$60",W1847&lt;=80, "61 - R$80", W1847&lt;=100, "81 - R$100",W1847&lt;=120, "101 - R$120",W1847&lt;=140, "121 - R$140", W1847&lt;=160, "141- R$160", W1847&lt;=180, "161 - R$180", W1847&lt;=200, "181-R$194")</f>
        <v>0</v>
      </c>
      <c r="Y1847" s="17">
        <v>4</v>
      </c>
      <c r="Z1847" s="17">
        <v>0</v>
      </c>
      <c r="AA1847" s="17">
        <v>0</v>
      </c>
      <c r="AB1847" s="17">
        <v>10</v>
      </c>
      <c r="AC1847" s="17">
        <v>1</v>
      </c>
      <c r="AD1847" s="17">
        <v>1</v>
      </c>
      <c r="AE1847" s="17">
        <v>1</v>
      </c>
      <c r="AF1847" s="17">
        <v>2</v>
      </c>
      <c r="AG1847" s="17">
        <v>5</v>
      </c>
      <c r="AH1847" s="17">
        <v>0</v>
      </c>
      <c r="AI1847" s="17">
        <v>1</v>
      </c>
      <c r="AJ1847" s="17">
        <v>0</v>
      </c>
      <c r="AK1847" s="17">
        <v>0</v>
      </c>
      <c r="AL1847" s="17">
        <v>0</v>
      </c>
      <c r="AM1847" s="17">
        <v>0</v>
      </c>
      <c r="AN1847" s="17">
        <v>0</v>
      </c>
      <c r="AO1847" s="18">
        <v>1</v>
      </c>
      <c r="AP1847" s="17">
        <v>3</v>
      </c>
      <c r="AQ1847" s="17">
        <v>11</v>
      </c>
      <c r="AR1847" s="19">
        <v>29</v>
      </c>
      <c r="AS1847" s="19">
        <v>39</v>
      </c>
    </row>
    <row r="1848" spans="1:45" x14ac:dyDescent="0.25">
      <c r="A1848">
        <v>1244</v>
      </c>
      <c r="B1848" s="11">
        <f t="shared" si="28"/>
        <v>31454</v>
      </c>
      <c r="C1848" s="12">
        <v>314540</v>
      </c>
      <c r="D1848" s="13">
        <v>1</v>
      </c>
      <c r="E1848" s="13">
        <v>1</v>
      </c>
      <c r="F1848" s="13">
        <v>40</v>
      </c>
      <c r="G1848" s="13">
        <v>60</v>
      </c>
      <c r="H1848" s="13" t="str" cm="1">
        <f t="array" ref="H1848">_xlfn.IFS(G1848&lt;=20,"0-20",G1848&lt;=30,"20-30",G1848&lt;=40,"30-40",G1848&lt;=50,"50-60",G1848&lt;=60,"60-70",G1848&lt;=70,"70-80",G1848&lt;=80,"80-90")</f>
        <v>60-70</v>
      </c>
      <c r="I1848" s="13">
        <v>2517</v>
      </c>
      <c r="J1848" s="13" t="str" cm="1">
        <f t="array" ref="J1848">_xlfn.IFS(K1848=1,"Divorciado",L1848=1,"Casado",M1848=1,"Solteiro",N1848=1,"Juntos",O1848=1,"Viuvo")</f>
        <v>Casado</v>
      </c>
      <c r="K1848" s="13">
        <v>0</v>
      </c>
      <c r="L1848" s="13">
        <v>1</v>
      </c>
      <c r="M1848" s="13">
        <v>0</v>
      </c>
      <c r="N1848" s="13">
        <v>0</v>
      </c>
      <c r="O1848" s="13">
        <v>0</v>
      </c>
      <c r="P1848" s="13">
        <v>0</v>
      </c>
      <c r="Q1848" s="13">
        <v>0</v>
      </c>
      <c r="R1848" s="13">
        <v>1</v>
      </c>
      <c r="S1848" s="13">
        <v>0</v>
      </c>
      <c r="T1848" s="13">
        <v>0</v>
      </c>
      <c r="U1848" s="13">
        <v>28</v>
      </c>
      <c r="V1848" s="13" t="str" cm="1">
        <f t="array" ref="V1848">_xlfn.IFS(U1848&lt;=250,"0-R$250",U1848&lt;=500,"251-R$500",U1848&lt;=750,"501-R$750",U1848&lt;=1000,"751-R$1000",U1848&lt;=1250,"1001-R$1250",U1848&lt;=1500,"1251-R$1500")</f>
        <v>0-R$250</v>
      </c>
      <c r="W1848" s="13">
        <v>0</v>
      </c>
      <c r="X1848" s="13" t="str" cm="1">
        <f t="array" ref="X1848">_xlfn.IFS(W1848 = 0, "0", W1848&lt;=20, "até R$20",W1848&lt;=40, "21 - R$40",W1848&lt;=60, "41- R$60",W1848&lt;=80, "61 - R$80", W1848&lt;=100, "81 - R$100",W1848&lt;=120, "101 - R$120",W1848&lt;=140, "121 - R$140", W1848&lt;=160, "141- R$160", W1848&lt;=180, "161 - R$180", W1848&lt;=200, "181-R$194")</f>
        <v>0</v>
      </c>
      <c r="Y1848" s="13">
        <v>11</v>
      </c>
      <c r="Z1848" s="13">
        <v>0</v>
      </c>
      <c r="AA1848" s="13">
        <v>0</v>
      </c>
      <c r="AB1848" s="13">
        <v>9</v>
      </c>
      <c r="AC1848" s="13">
        <v>3</v>
      </c>
      <c r="AD1848" s="13">
        <v>2</v>
      </c>
      <c r="AE1848" s="13">
        <v>0</v>
      </c>
      <c r="AF1848" s="13">
        <v>3</v>
      </c>
      <c r="AG1848" s="13">
        <v>8</v>
      </c>
      <c r="AH1848" s="13">
        <v>0</v>
      </c>
      <c r="AI1848" s="13">
        <v>0</v>
      </c>
      <c r="AJ1848" s="13">
        <v>0</v>
      </c>
      <c r="AK1848" s="13">
        <v>0</v>
      </c>
      <c r="AL1848" s="13">
        <v>0</v>
      </c>
      <c r="AM1848" s="13">
        <v>0</v>
      </c>
      <c r="AN1848" s="13">
        <v>0</v>
      </c>
      <c r="AO1848" s="14">
        <v>0</v>
      </c>
      <c r="AP1848" s="13">
        <v>3</v>
      </c>
      <c r="AQ1848" s="13">
        <v>11</v>
      </c>
      <c r="AR1848" s="15">
        <v>30</v>
      </c>
      <c r="AS1848" s="15">
        <v>39</v>
      </c>
    </row>
    <row r="1849" spans="1:45" x14ac:dyDescent="0.25">
      <c r="A1849">
        <v>1266</v>
      </c>
      <c r="B1849" s="11">
        <f t="shared" si="28"/>
        <v>33986</v>
      </c>
      <c r="C1849" s="12">
        <v>339860</v>
      </c>
      <c r="D1849" s="13">
        <v>1</v>
      </c>
      <c r="E1849" s="13">
        <v>0</v>
      </c>
      <c r="F1849" s="13">
        <v>43</v>
      </c>
      <c r="G1849" s="13">
        <v>50</v>
      </c>
      <c r="H1849" s="13" t="str" cm="1">
        <f t="array" ref="H1849">_xlfn.IFS(G1849&lt;=20,"0-20",G1849&lt;=30,"20-30",G1849&lt;=40,"30-40",G1849&lt;=50,"50-60",G1849&lt;=60,"60-70",G1849&lt;=70,"70-80",G1849&lt;=80,"80-90")</f>
        <v>50-60</v>
      </c>
      <c r="I1849" s="13">
        <v>2631</v>
      </c>
      <c r="J1849" s="13" t="str" cm="1">
        <f t="array" ref="J1849">_xlfn.IFS(K1849=1,"Divorciado",L1849=1,"Casado",M1849=1,"Solteiro",N1849=1,"Juntos",O1849=1,"Viuvo")</f>
        <v>Divorciado</v>
      </c>
      <c r="K1849" s="13">
        <v>1</v>
      </c>
      <c r="L1849" s="13">
        <v>0</v>
      </c>
      <c r="M1849" s="13">
        <v>0</v>
      </c>
      <c r="N1849" s="13">
        <v>0</v>
      </c>
      <c r="O1849" s="13">
        <v>0</v>
      </c>
      <c r="P1849" s="13">
        <v>0</v>
      </c>
      <c r="Q1849" s="13">
        <v>0</v>
      </c>
      <c r="R1849" s="13">
        <v>1</v>
      </c>
      <c r="S1849" s="13">
        <v>0</v>
      </c>
      <c r="T1849" s="13">
        <v>0</v>
      </c>
      <c r="U1849" s="13">
        <v>16</v>
      </c>
      <c r="V1849" s="13" t="str" cm="1">
        <f t="array" ref="V1849">_xlfn.IFS(U1849&lt;=250,"0-R$250",U1849&lt;=500,"251-R$500",U1849&lt;=750,"501-R$750",U1849&lt;=1000,"751-R$1000",U1849&lt;=1250,"1001-R$1250",U1849&lt;=1500,"1251-R$1500")</f>
        <v>0-R$250</v>
      </c>
      <c r="W1849" s="13">
        <v>2</v>
      </c>
      <c r="X1849" s="13" t="str" cm="1">
        <f t="array" ref="X1849">_xlfn.IFS(W1849 = 0, "0", W1849&lt;=20, "até R$20",W1849&lt;=40, "21 - R$40",W1849&lt;=60, "41- R$60",W1849&lt;=80, "61 - R$80", W1849&lt;=100, "81 - R$100",W1849&lt;=120, "101 - R$120",W1849&lt;=140, "121 - R$140", W1849&lt;=160, "141- R$160", W1849&lt;=180, "161 - R$180", W1849&lt;=200, "181-R$194")</f>
        <v>até R$20</v>
      </c>
      <c r="Y1849" s="13">
        <v>18</v>
      </c>
      <c r="Z1849" s="13">
        <v>2</v>
      </c>
      <c r="AA1849" s="13">
        <v>1</v>
      </c>
      <c r="AB1849" s="13">
        <v>5</v>
      </c>
      <c r="AC1849" s="13">
        <v>1</v>
      </c>
      <c r="AD1849" s="13">
        <v>1</v>
      </c>
      <c r="AE1849" s="13">
        <v>0</v>
      </c>
      <c r="AF1849" s="13">
        <v>3</v>
      </c>
      <c r="AG1849" s="13">
        <v>7</v>
      </c>
      <c r="AH1849" s="13">
        <v>0</v>
      </c>
      <c r="AI1849" s="13">
        <v>0</v>
      </c>
      <c r="AJ1849" s="13">
        <v>0</v>
      </c>
      <c r="AK1849" s="13">
        <v>0</v>
      </c>
      <c r="AL1849" s="13">
        <v>0</v>
      </c>
      <c r="AM1849" s="13">
        <v>0</v>
      </c>
      <c r="AN1849" s="13">
        <v>0</v>
      </c>
      <c r="AO1849" s="14">
        <v>0</v>
      </c>
      <c r="AP1849" s="13">
        <v>3</v>
      </c>
      <c r="AQ1849" s="13">
        <v>11</v>
      </c>
      <c r="AR1849" s="15">
        <v>34</v>
      </c>
      <c r="AS1849" s="15">
        <v>39</v>
      </c>
    </row>
    <row r="1850" spans="1:45" x14ac:dyDescent="0.25">
      <c r="A1850">
        <v>1277</v>
      </c>
      <c r="B1850" s="11">
        <f t="shared" si="28"/>
        <v>34043</v>
      </c>
      <c r="C1850" s="16">
        <v>340430</v>
      </c>
      <c r="D1850" s="17">
        <v>1</v>
      </c>
      <c r="E1850" s="17">
        <v>0</v>
      </c>
      <c r="F1850" s="17">
        <v>97</v>
      </c>
      <c r="G1850" s="17">
        <v>42</v>
      </c>
      <c r="H1850" s="13" t="str" cm="1">
        <f t="array" ref="H1850">_xlfn.IFS(G1850&lt;=20,"0-20",G1850&lt;=30,"20-30",G1850&lt;=40,"30-40",G1850&lt;=50,"50-60",G1850&lt;=60,"60-70",G1850&lt;=70,"70-80",G1850&lt;=80,"80-90")</f>
        <v>50-60</v>
      </c>
      <c r="I1850" s="17">
        <v>2406</v>
      </c>
      <c r="J1850" s="13" t="str" cm="1">
        <f t="array" ref="J1850">_xlfn.IFS(K1850=1,"Divorciado",L1850=1,"Casado",M1850=1,"Solteiro",N1850=1,"Juntos",O1850=1,"Viuvo")</f>
        <v>Juntos</v>
      </c>
      <c r="K1850" s="17">
        <v>0</v>
      </c>
      <c r="L1850" s="17">
        <v>0</v>
      </c>
      <c r="M1850" s="17">
        <v>0</v>
      </c>
      <c r="N1850" s="17">
        <v>1</v>
      </c>
      <c r="O1850" s="17">
        <v>0</v>
      </c>
      <c r="P1850" s="17">
        <v>0</v>
      </c>
      <c r="Q1850" s="17">
        <v>0</v>
      </c>
      <c r="R1850" s="17">
        <v>0</v>
      </c>
      <c r="S1850" s="17">
        <v>0</v>
      </c>
      <c r="T1850" s="17">
        <v>1</v>
      </c>
      <c r="U1850" s="17">
        <v>20</v>
      </c>
      <c r="V1850" s="13" t="str" cm="1">
        <f t="array" ref="V1850">_xlfn.IFS(U1850&lt;=250,"0-R$250",U1850&lt;=500,"251-R$500",U1850&lt;=750,"501-R$750",U1850&lt;=1000,"751-R$1000",U1850&lt;=1250,"1001-R$1250",U1850&lt;=1500,"1251-R$1500")</f>
        <v>0-R$250</v>
      </c>
      <c r="W1850" s="17">
        <v>2</v>
      </c>
      <c r="X1850" s="13" t="str" cm="1">
        <f t="array" ref="X1850">_xlfn.IFS(W1850 = 0, "0", W1850&lt;=20, "até R$20",W1850&lt;=40, "21 - R$40",W1850&lt;=60, "41- R$60",W1850&lt;=80, "61 - R$80", W1850&lt;=100, "81 - R$100",W1850&lt;=120, "101 - R$120",W1850&lt;=140, "121 - R$140", W1850&lt;=160, "141- R$160", W1850&lt;=180, "161 - R$180", W1850&lt;=200, "181-R$194")</f>
        <v>até R$20</v>
      </c>
      <c r="Y1850" s="17">
        <v>14</v>
      </c>
      <c r="Z1850" s="17">
        <v>3</v>
      </c>
      <c r="AA1850" s="17">
        <v>0</v>
      </c>
      <c r="AB1850" s="17">
        <v>10</v>
      </c>
      <c r="AC1850" s="17">
        <v>1</v>
      </c>
      <c r="AD1850" s="17">
        <v>2</v>
      </c>
      <c r="AE1850" s="17">
        <v>0</v>
      </c>
      <c r="AF1850" s="17">
        <v>2</v>
      </c>
      <c r="AG1850" s="17">
        <v>9</v>
      </c>
      <c r="AH1850" s="17">
        <v>0</v>
      </c>
      <c r="AI1850" s="17">
        <v>0</v>
      </c>
      <c r="AJ1850" s="17">
        <v>0</v>
      </c>
      <c r="AK1850" s="17">
        <v>0</v>
      </c>
      <c r="AL1850" s="17">
        <v>0</v>
      </c>
      <c r="AM1850" s="17">
        <v>0</v>
      </c>
      <c r="AN1850" s="17">
        <v>0</v>
      </c>
      <c r="AO1850" s="18">
        <v>0</v>
      </c>
      <c r="AP1850" s="17">
        <v>3</v>
      </c>
      <c r="AQ1850" s="17">
        <v>11</v>
      </c>
      <c r="AR1850" s="19">
        <v>29</v>
      </c>
      <c r="AS1850" s="19">
        <v>39</v>
      </c>
    </row>
    <row r="1851" spans="1:45" x14ac:dyDescent="0.25">
      <c r="A1851">
        <v>1297</v>
      </c>
      <c r="B1851" s="11">
        <f t="shared" si="28"/>
        <v>46094</v>
      </c>
      <c r="C1851" s="16">
        <v>460940</v>
      </c>
      <c r="D1851" s="17">
        <v>1</v>
      </c>
      <c r="E1851" s="17">
        <v>1</v>
      </c>
      <c r="F1851" s="17">
        <v>62</v>
      </c>
      <c r="G1851" s="17">
        <v>47</v>
      </c>
      <c r="H1851" s="13" t="str" cm="1">
        <f t="array" ref="H1851">_xlfn.IFS(G1851&lt;=20,"0-20",G1851&lt;=30,"20-30",G1851&lt;=40,"30-40",G1851&lt;=50,"50-60",G1851&lt;=60,"60-70",G1851&lt;=70,"70-80",G1851&lt;=80,"80-90")</f>
        <v>50-60</v>
      </c>
      <c r="I1851" s="17">
        <v>2178</v>
      </c>
      <c r="J1851" s="13" t="str" cm="1">
        <f t="array" ref="J1851">_xlfn.IFS(K1851=1,"Divorciado",L1851=1,"Casado",M1851=1,"Solteiro",N1851=1,"Juntos",O1851=1,"Viuvo")</f>
        <v>Casado</v>
      </c>
      <c r="K1851" s="17">
        <v>0</v>
      </c>
      <c r="L1851" s="17">
        <v>1</v>
      </c>
      <c r="M1851" s="17">
        <v>0</v>
      </c>
      <c r="N1851" s="17">
        <v>0</v>
      </c>
      <c r="O1851" s="17">
        <v>0</v>
      </c>
      <c r="P1851" s="17">
        <v>1</v>
      </c>
      <c r="Q1851" s="17">
        <v>0</v>
      </c>
      <c r="R1851" s="17">
        <v>0</v>
      </c>
      <c r="S1851" s="17">
        <v>0</v>
      </c>
      <c r="T1851" s="17">
        <v>0</v>
      </c>
      <c r="U1851" s="17">
        <v>12</v>
      </c>
      <c r="V1851" s="13" t="str" cm="1">
        <f t="array" ref="V1851">_xlfn.IFS(U1851&lt;=250,"0-R$250",U1851&lt;=500,"251-R$500",U1851&lt;=750,"501-R$750",U1851&lt;=1000,"751-R$1000",U1851&lt;=1250,"1001-R$1250",U1851&lt;=1500,"1251-R$1500")</f>
        <v>0-R$250</v>
      </c>
      <c r="W1851" s="17">
        <v>2</v>
      </c>
      <c r="X1851" s="13" t="str" cm="1">
        <f t="array" ref="X1851">_xlfn.IFS(W1851 = 0, "0", W1851&lt;=20, "até R$20",W1851&lt;=40, "21 - R$40",W1851&lt;=60, "41- R$60",W1851&lt;=80, "61 - R$80", W1851&lt;=100, "81 - R$100",W1851&lt;=120, "101 - R$120",W1851&lt;=140, "121 - R$140", W1851&lt;=160, "141- R$160", W1851&lt;=180, "161 - R$180", W1851&lt;=200, "181-R$194")</f>
        <v>até R$20</v>
      </c>
      <c r="Y1851" s="17">
        <v>20</v>
      </c>
      <c r="Z1851" s="17">
        <v>3</v>
      </c>
      <c r="AA1851" s="17">
        <v>2</v>
      </c>
      <c r="AB1851" s="17">
        <v>5</v>
      </c>
      <c r="AC1851" s="17">
        <v>1</v>
      </c>
      <c r="AD1851" s="17">
        <v>1</v>
      </c>
      <c r="AE1851" s="17">
        <v>0</v>
      </c>
      <c r="AF1851" s="17">
        <v>3</v>
      </c>
      <c r="AG1851" s="17">
        <v>7</v>
      </c>
      <c r="AH1851" s="17">
        <v>0</v>
      </c>
      <c r="AI1851" s="17">
        <v>0</v>
      </c>
      <c r="AJ1851" s="17">
        <v>0</v>
      </c>
      <c r="AK1851" s="17">
        <v>0</v>
      </c>
      <c r="AL1851" s="17">
        <v>0</v>
      </c>
      <c r="AM1851" s="17">
        <v>0</v>
      </c>
      <c r="AN1851" s="17">
        <v>0</v>
      </c>
      <c r="AO1851" s="18">
        <v>0</v>
      </c>
      <c r="AP1851" s="17">
        <v>3</v>
      </c>
      <c r="AQ1851" s="17">
        <v>11</v>
      </c>
      <c r="AR1851" s="19">
        <v>34</v>
      </c>
      <c r="AS1851" s="19">
        <v>39</v>
      </c>
    </row>
    <row r="1852" spans="1:45" x14ac:dyDescent="0.25">
      <c r="A1852">
        <v>1364</v>
      </c>
      <c r="B1852" s="11">
        <f t="shared" si="28"/>
        <v>44964</v>
      </c>
      <c r="C1852" s="12">
        <v>449640</v>
      </c>
      <c r="D1852" s="13">
        <v>1</v>
      </c>
      <c r="E1852" s="13">
        <v>1</v>
      </c>
      <c r="F1852" s="13">
        <v>35</v>
      </c>
      <c r="G1852" s="13">
        <v>40</v>
      </c>
      <c r="H1852" s="13" t="str" cm="1">
        <f t="array" ref="H1852">_xlfn.IFS(G1852&lt;=20,"0-20",G1852&lt;=30,"20-30",G1852&lt;=40,"30-40",G1852&lt;=50,"50-60",G1852&lt;=60,"60-70",G1852&lt;=70,"70-80",G1852&lt;=80,"80-90")</f>
        <v>30-40</v>
      </c>
      <c r="I1852" s="13">
        <v>2719</v>
      </c>
      <c r="J1852" s="13" t="str" cm="1">
        <f t="array" ref="J1852">_xlfn.IFS(K1852=1,"Divorciado",L1852=1,"Casado",M1852=1,"Solteiro",N1852=1,"Juntos",O1852=1,"Viuvo")</f>
        <v>Juntos</v>
      </c>
      <c r="K1852" s="13">
        <v>0</v>
      </c>
      <c r="L1852" s="13">
        <v>0</v>
      </c>
      <c r="M1852" s="13">
        <v>0</v>
      </c>
      <c r="N1852" s="13">
        <v>1</v>
      </c>
      <c r="O1852" s="13">
        <v>0</v>
      </c>
      <c r="P1852" s="13">
        <v>0</v>
      </c>
      <c r="Q1852" s="13">
        <v>0</v>
      </c>
      <c r="R1852" s="13">
        <v>1</v>
      </c>
      <c r="S1852" s="13">
        <v>0</v>
      </c>
      <c r="T1852" s="13">
        <v>0</v>
      </c>
      <c r="U1852" s="13">
        <v>19</v>
      </c>
      <c r="V1852" s="13" t="str" cm="1">
        <f t="array" ref="V1852">_xlfn.IFS(U1852&lt;=250,"0-R$250",U1852&lt;=500,"251-R$500",U1852&lt;=750,"501-R$750",U1852&lt;=1000,"751-R$1000",U1852&lt;=1250,"1001-R$1250",U1852&lt;=1500,"1251-R$1500")</f>
        <v>0-R$250</v>
      </c>
      <c r="W1852" s="13">
        <v>1</v>
      </c>
      <c r="X1852" s="13" t="str" cm="1">
        <f t="array" ref="X1852">_xlfn.IFS(W1852 = 0, "0", W1852&lt;=20, "até R$20",W1852&lt;=40, "21 - R$40",W1852&lt;=60, "41- R$60",W1852&lt;=80, "61 - R$80", W1852&lt;=100, "81 - R$100",W1852&lt;=120, "101 - R$120",W1852&lt;=140, "121 - R$140", W1852&lt;=160, "141- R$160", W1852&lt;=180, "161 - R$180", W1852&lt;=200, "181-R$194")</f>
        <v>até R$20</v>
      </c>
      <c r="Y1852" s="13">
        <v>17</v>
      </c>
      <c r="Z1852" s="13">
        <v>2</v>
      </c>
      <c r="AA1852" s="13">
        <v>0</v>
      </c>
      <c r="AB1852" s="13">
        <v>2</v>
      </c>
      <c r="AC1852" s="13">
        <v>1</v>
      </c>
      <c r="AD1852" s="13">
        <v>1</v>
      </c>
      <c r="AE1852" s="13">
        <v>0</v>
      </c>
      <c r="AF1852" s="13">
        <v>3</v>
      </c>
      <c r="AG1852" s="13">
        <v>8</v>
      </c>
      <c r="AH1852" s="13">
        <v>0</v>
      </c>
      <c r="AI1852" s="13">
        <v>0</v>
      </c>
      <c r="AJ1852" s="13">
        <v>0</v>
      </c>
      <c r="AK1852" s="13">
        <v>0</v>
      </c>
      <c r="AL1852" s="13">
        <v>0</v>
      </c>
      <c r="AM1852" s="13">
        <v>0</v>
      </c>
      <c r="AN1852" s="13">
        <v>0</v>
      </c>
      <c r="AO1852" s="14">
        <v>0</v>
      </c>
      <c r="AP1852" s="13">
        <v>3</v>
      </c>
      <c r="AQ1852" s="13">
        <v>11</v>
      </c>
      <c r="AR1852" s="15">
        <v>37</v>
      </c>
      <c r="AS1852" s="15">
        <v>39</v>
      </c>
    </row>
    <row r="1853" spans="1:45" x14ac:dyDescent="0.25">
      <c r="A1853">
        <v>1368</v>
      </c>
      <c r="B1853" s="11">
        <f t="shared" si="28"/>
        <v>38887</v>
      </c>
      <c r="C1853" s="12">
        <v>388870</v>
      </c>
      <c r="D1853" s="13">
        <v>1</v>
      </c>
      <c r="E1853" s="13">
        <v>0</v>
      </c>
      <c r="F1853" s="13">
        <v>17</v>
      </c>
      <c r="G1853" s="13">
        <v>48</v>
      </c>
      <c r="H1853" s="13" t="str" cm="1">
        <f t="array" ref="H1853">_xlfn.IFS(G1853&lt;=20,"0-20",G1853&lt;=30,"20-30",G1853&lt;=40,"30-40",G1853&lt;=50,"50-60",G1853&lt;=60,"60-70",G1853&lt;=70,"70-80",G1853&lt;=80,"80-90")</f>
        <v>50-60</v>
      </c>
      <c r="I1853" s="13">
        <v>2278</v>
      </c>
      <c r="J1853" s="13" t="str" cm="1">
        <f t="array" ref="J1853">_xlfn.IFS(K1853=1,"Divorciado",L1853=1,"Casado",M1853=1,"Solteiro",N1853=1,"Juntos",O1853=1,"Viuvo")</f>
        <v>Juntos</v>
      </c>
      <c r="K1853" s="13">
        <v>0</v>
      </c>
      <c r="L1853" s="13">
        <v>0</v>
      </c>
      <c r="M1853" s="13">
        <v>0</v>
      </c>
      <c r="N1853" s="13">
        <v>1</v>
      </c>
      <c r="O1853" s="13">
        <v>0</v>
      </c>
      <c r="P1853" s="13">
        <v>0</v>
      </c>
      <c r="Q1853" s="13">
        <v>0</v>
      </c>
      <c r="R1853" s="13">
        <v>0</v>
      </c>
      <c r="S1853" s="13">
        <v>0</v>
      </c>
      <c r="T1853" s="13">
        <v>1</v>
      </c>
      <c r="U1853" s="13">
        <v>25</v>
      </c>
      <c r="V1853" s="13" t="str" cm="1">
        <f t="array" ref="V1853">_xlfn.IFS(U1853&lt;=250,"0-R$250",U1853&lt;=500,"251-R$500",U1853&lt;=750,"501-R$750",U1853&lt;=1000,"751-R$1000",U1853&lt;=1250,"1001-R$1250",U1853&lt;=1500,"1251-R$1500")</f>
        <v>0-R$250</v>
      </c>
      <c r="W1853" s="13">
        <v>1</v>
      </c>
      <c r="X1853" s="13" t="str" cm="1">
        <f t="array" ref="X1853">_xlfn.IFS(W1853 = 0, "0", W1853&lt;=20, "até R$20",W1853&lt;=40, "21 - R$40",W1853&lt;=60, "41- R$60",W1853&lt;=80, "61 - R$80", W1853&lt;=100, "81 - R$100",W1853&lt;=120, "101 - R$120",W1853&lt;=140, "121 - R$140", W1853&lt;=160, "141- R$160", W1853&lt;=180, "161 - R$180", W1853&lt;=200, "181-R$194")</f>
        <v>até R$20</v>
      </c>
      <c r="Y1853" s="13">
        <v>13</v>
      </c>
      <c r="Z1853" s="13">
        <v>0</v>
      </c>
      <c r="AA1853" s="13">
        <v>0</v>
      </c>
      <c r="AB1853" s="13">
        <v>3</v>
      </c>
      <c r="AC1853" s="13">
        <v>1</v>
      </c>
      <c r="AD1853" s="13">
        <v>1</v>
      </c>
      <c r="AE1853" s="13">
        <v>0</v>
      </c>
      <c r="AF1853" s="13">
        <v>3</v>
      </c>
      <c r="AG1853" s="13">
        <v>7</v>
      </c>
      <c r="AH1853" s="13">
        <v>0</v>
      </c>
      <c r="AI1853" s="13">
        <v>0</v>
      </c>
      <c r="AJ1853" s="13">
        <v>0</v>
      </c>
      <c r="AK1853" s="13">
        <v>0</v>
      </c>
      <c r="AL1853" s="13">
        <v>0</v>
      </c>
      <c r="AM1853" s="13">
        <v>0</v>
      </c>
      <c r="AN1853" s="13">
        <v>0</v>
      </c>
      <c r="AO1853" s="14">
        <v>0</v>
      </c>
      <c r="AP1853" s="13">
        <v>3</v>
      </c>
      <c r="AQ1853" s="13">
        <v>11</v>
      </c>
      <c r="AR1853" s="15">
        <v>36</v>
      </c>
      <c r="AS1853" s="15">
        <v>39</v>
      </c>
    </row>
    <row r="1854" spans="1:45" x14ac:dyDescent="0.25">
      <c r="A1854">
        <v>1399</v>
      </c>
      <c r="B1854" s="11">
        <f t="shared" si="28"/>
        <v>54132</v>
      </c>
      <c r="C1854" s="16">
        <v>541320</v>
      </c>
      <c r="D1854" s="17">
        <v>0</v>
      </c>
      <c r="E1854" s="17">
        <v>1</v>
      </c>
      <c r="F1854" s="17">
        <v>81</v>
      </c>
      <c r="G1854" s="17">
        <v>51</v>
      </c>
      <c r="H1854" s="13" t="str" cm="1">
        <f t="array" ref="H1854">_xlfn.IFS(G1854&lt;=20,"0-20",G1854&lt;=30,"20-30",G1854&lt;=40,"30-40",G1854&lt;=50,"50-60",G1854&lt;=60,"60-70",G1854&lt;=70,"70-80",G1854&lt;=80,"80-90")</f>
        <v>60-70</v>
      </c>
      <c r="I1854" s="17">
        <v>2292</v>
      </c>
      <c r="J1854" s="13" t="str" cm="1">
        <f t="array" ref="J1854">_xlfn.IFS(K1854=1,"Divorciado",L1854=1,"Casado",M1854=1,"Solteiro",N1854=1,"Juntos",O1854=1,"Viuvo")</f>
        <v>Juntos</v>
      </c>
      <c r="K1854" s="17">
        <v>0</v>
      </c>
      <c r="L1854" s="17">
        <v>0</v>
      </c>
      <c r="M1854" s="17">
        <v>0</v>
      </c>
      <c r="N1854" s="17">
        <v>1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1</v>
      </c>
      <c r="U1854" s="17">
        <v>30</v>
      </c>
      <c r="V1854" s="13" t="str" cm="1">
        <f t="array" ref="V1854">_xlfn.IFS(U1854&lt;=250,"0-R$250",U1854&lt;=500,"251-R$500",U1854&lt;=750,"501-R$750",U1854&lt;=1000,"751-R$1000",U1854&lt;=1250,"1001-R$1250",U1854&lt;=1500,"1251-R$1500")</f>
        <v>0-R$250</v>
      </c>
      <c r="W1854" s="17">
        <v>1</v>
      </c>
      <c r="X1854" s="13" t="str" cm="1">
        <f t="array" ref="X1854">_xlfn.IFS(W1854 = 0, "0", W1854&lt;=20, "até R$20",W1854&lt;=40, "21 - R$40",W1854&lt;=60, "41- R$60",W1854&lt;=80, "61 - R$80", W1854&lt;=100, "81 - R$100",W1854&lt;=120, "101 - R$120",W1854&lt;=140, "121 - R$140", W1854&lt;=160, "141- R$160", W1854&lt;=180, "161 - R$180", W1854&lt;=200, "181-R$194")</f>
        <v>até R$20</v>
      </c>
      <c r="Y1854" s="17">
        <v>8</v>
      </c>
      <c r="Z1854" s="17">
        <v>0</v>
      </c>
      <c r="AA1854" s="17">
        <v>0</v>
      </c>
      <c r="AB1854" s="17">
        <v>3</v>
      </c>
      <c r="AC1854" s="17">
        <v>1</v>
      </c>
      <c r="AD1854" s="17">
        <v>1</v>
      </c>
      <c r="AE1854" s="17">
        <v>0</v>
      </c>
      <c r="AF1854" s="17">
        <v>3</v>
      </c>
      <c r="AG1854" s="17">
        <v>7</v>
      </c>
      <c r="AH1854" s="17">
        <v>0</v>
      </c>
      <c r="AI1854" s="17">
        <v>0</v>
      </c>
      <c r="AJ1854" s="17">
        <v>0</v>
      </c>
      <c r="AK1854" s="17">
        <v>0</v>
      </c>
      <c r="AL1854" s="17">
        <v>0</v>
      </c>
      <c r="AM1854" s="17">
        <v>0</v>
      </c>
      <c r="AN1854" s="17">
        <v>0</v>
      </c>
      <c r="AO1854" s="18">
        <v>0</v>
      </c>
      <c r="AP1854" s="17">
        <v>3</v>
      </c>
      <c r="AQ1854" s="17">
        <v>11</v>
      </c>
      <c r="AR1854" s="19">
        <v>36</v>
      </c>
      <c r="AS1854" s="19">
        <v>39</v>
      </c>
    </row>
    <row r="1855" spans="1:45" x14ac:dyDescent="0.25">
      <c r="A1855">
        <v>1581</v>
      </c>
      <c r="B1855" s="11">
        <f t="shared" si="28"/>
        <v>54072</v>
      </c>
      <c r="C1855" s="16">
        <v>540720</v>
      </c>
      <c r="D1855" s="17">
        <v>1</v>
      </c>
      <c r="E1855" s="17">
        <v>1</v>
      </c>
      <c r="F1855" s="17">
        <v>71</v>
      </c>
      <c r="G1855" s="17">
        <v>57</v>
      </c>
      <c r="H1855" s="13" t="str" cm="1">
        <f t="array" ref="H1855">_xlfn.IFS(G1855&lt;=20,"0-20",G1855&lt;=30,"20-30",G1855&lt;=40,"30-40",G1855&lt;=50,"50-60",G1855&lt;=60,"60-70",G1855&lt;=70,"70-80",G1855&lt;=80,"80-90")</f>
        <v>60-70</v>
      </c>
      <c r="I1855" s="17">
        <v>2496</v>
      </c>
      <c r="J1855" s="13" t="str" cm="1">
        <f t="array" ref="J1855">_xlfn.IFS(K1855=1,"Divorciado",L1855=1,"Casado",M1855=1,"Solteiro",N1855=1,"Juntos",O1855=1,"Viuvo")</f>
        <v>Casado</v>
      </c>
      <c r="K1855" s="17">
        <v>0</v>
      </c>
      <c r="L1855" s="17">
        <v>1</v>
      </c>
      <c r="M1855" s="17">
        <v>0</v>
      </c>
      <c r="N1855" s="17">
        <v>0</v>
      </c>
      <c r="O1855" s="17">
        <v>0</v>
      </c>
      <c r="P1855" s="17">
        <v>0</v>
      </c>
      <c r="Q1855" s="17">
        <v>0</v>
      </c>
      <c r="R1855" s="17">
        <v>0</v>
      </c>
      <c r="S1855" s="17">
        <v>0</v>
      </c>
      <c r="T1855" s="17">
        <v>1</v>
      </c>
      <c r="U1855" s="17">
        <v>35</v>
      </c>
      <c r="V1855" s="13" t="str" cm="1">
        <f t="array" ref="V1855">_xlfn.IFS(U1855&lt;=250,"0-R$250",U1855&lt;=500,"251-R$500",U1855&lt;=750,"501-R$750",U1855&lt;=1000,"751-R$1000",U1855&lt;=1250,"1001-R$1250",U1855&lt;=1500,"1251-R$1500")</f>
        <v>0-R$250</v>
      </c>
      <c r="W1855" s="17">
        <v>0</v>
      </c>
      <c r="X1855" s="13" t="str" cm="1">
        <f t="array" ref="X1855">_xlfn.IFS(W1855 = 0, "0", W1855&lt;=20, "até R$20",W1855&lt;=40, "21 - R$40",W1855&lt;=60, "41- R$60",W1855&lt;=80, "61 - R$80", W1855&lt;=100, "81 - R$100",W1855&lt;=120, "101 - R$120",W1855&lt;=140, "121 - R$140", W1855&lt;=160, "141- R$160", W1855&lt;=180, "161 - R$180", W1855&lt;=200, "181-R$194")</f>
        <v>0</v>
      </c>
      <c r="Y1855" s="17">
        <v>4</v>
      </c>
      <c r="Z1855" s="17">
        <v>0</v>
      </c>
      <c r="AA1855" s="17">
        <v>0</v>
      </c>
      <c r="AB1855" s="17">
        <v>0</v>
      </c>
      <c r="AC1855" s="17">
        <v>1</v>
      </c>
      <c r="AD1855" s="17">
        <v>2</v>
      </c>
      <c r="AE1855" s="17">
        <v>0</v>
      </c>
      <c r="AF1855" s="17">
        <v>2</v>
      </c>
      <c r="AG1855" s="17">
        <v>8</v>
      </c>
      <c r="AH1855" s="17">
        <v>0</v>
      </c>
      <c r="AI1855" s="17">
        <v>0</v>
      </c>
      <c r="AJ1855" s="17">
        <v>0</v>
      </c>
      <c r="AK1855" s="17">
        <v>0</v>
      </c>
      <c r="AL1855" s="17">
        <v>0</v>
      </c>
      <c r="AM1855" s="17">
        <v>0</v>
      </c>
      <c r="AN1855" s="17">
        <v>0</v>
      </c>
      <c r="AO1855" s="18">
        <v>0</v>
      </c>
      <c r="AP1855" s="17">
        <v>3</v>
      </c>
      <c r="AQ1855" s="17">
        <v>11</v>
      </c>
      <c r="AR1855" s="19">
        <v>39</v>
      </c>
      <c r="AS1855" s="19">
        <v>39</v>
      </c>
    </row>
    <row r="1856" spans="1:45" x14ac:dyDescent="0.25">
      <c r="A1856">
        <v>1714</v>
      </c>
      <c r="B1856" s="11">
        <f t="shared" si="28"/>
        <v>42403</v>
      </c>
      <c r="C1856" s="12">
        <v>424030</v>
      </c>
      <c r="D1856" s="13">
        <v>1</v>
      </c>
      <c r="E1856" s="13">
        <v>0</v>
      </c>
      <c r="F1856" s="13">
        <v>18</v>
      </c>
      <c r="G1856" s="13">
        <v>49</v>
      </c>
      <c r="H1856" s="13" t="str" cm="1">
        <f t="array" ref="H1856">_xlfn.IFS(G1856&lt;=20,"0-20",G1856&lt;=30,"20-30",G1856&lt;=40,"30-40",G1856&lt;=50,"50-60",G1856&lt;=60,"60-70",G1856&lt;=70,"70-80",G1856&lt;=80,"80-90")</f>
        <v>50-60</v>
      </c>
      <c r="I1856" s="13">
        <v>2359</v>
      </c>
      <c r="J1856" s="13" t="str" cm="1">
        <f t="array" ref="J1856">_xlfn.IFS(K1856=1,"Divorciado",L1856=1,"Casado",M1856=1,"Solteiro",N1856=1,"Juntos",O1856=1,"Viuvo")</f>
        <v>Casado</v>
      </c>
      <c r="K1856" s="13">
        <v>0</v>
      </c>
      <c r="L1856" s="13">
        <v>1</v>
      </c>
      <c r="M1856" s="13">
        <v>0</v>
      </c>
      <c r="N1856" s="13">
        <v>0</v>
      </c>
      <c r="O1856" s="13">
        <v>0</v>
      </c>
      <c r="P1856" s="13">
        <v>0</v>
      </c>
      <c r="Q1856" s="13">
        <v>0</v>
      </c>
      <c r="R1856" s="13">
        <v>0</v>
      </c>
      <c r="S1856" s="13">
        <v>0</v>
      </c>
      <c r="T1856" s="13">
        <v>1</v>
      </c>
      <c r="U1856" s="13">
        <v>22</v>
      </c>
      <c r="V1856" s="13" t="str" cm="1">
        <f t="array" ref="V1856">_xlfn.IFS(U1856&lt;=250,"0-R$250",U1856&lt;=500,"251-R$500",U1856&lt;=750,"501-R$750",U1856&lt;=1000,"751-R$1000",U1856&lt;=1250,"1001-R$1250",U1856&lt;=1500,"1251-R$1500")</f>
        <v>0-R$250</v>
      </c>
      <c r="W1856" s="13">
        <v>1</v>
      </c>
      <c r="X1856" s="13" t="str" cm="1">
        <f t="array" ref="X1856">_xlfn.IFS(W1856 = 0, "0", W1856&lt;=20, "até R$20",W1856&lt;=40, "21 - R$40",W1856&lt;=60, "41- R$60",W1856&lt;=80, "61 - R$80", W1856&lt;=100, "81 - R$100",W1856&lt;=120, "101 - R$120",W1856&lt;=140, "121 - R$140", W1856&lt;=160, "141- R$160", W1856&lt;=180, "161 - R$180", W1856&lt;=200, "181-R$194")</f>
        <v>até R$20</v>
      </c>
      <c r="Y1856" s="13">
        <v>11</v>
      </c>
      <c r="Z1856" s="13">
        <v>0</v>
      </c>
      <c r="AA1856" s="13">
        <v>5</v>
      </c>
      <c r="AB1856" s="13">
        <v>3</v>
      </c>
      <c r="AC1856" s="13">
        <v>1</v>
      </c>
      <c r="AD1856" s="13">
        <v>1</v>
      </c>
      <c r="AE1856" s="13">
        <v>0</v>
      </c>
      <c r="AF1856" s="13">
        <v>3</v>
      </c>
      <c r="AG1856" s="13">
        <v>8</v>
      </c>
      <c r="AH1856" s="13">
        <v>0</v>
      </c>
      <c r="AI1856" s="13">
        <v>0</v>
      </c>
      <c r="AJ1856" s="13">
        <v>0</v>
      </c>
      <c r="AK1856" s="13">
        <v>0</v>
      </c>
      <c r="AL1856" s="13">
        <v>0</v>
      </c>
      <c r="AM1856" s="13">
        <v>0</v>
      </c>
      <c r="AN1856" s="13">
        <v>0</v>
      </c>
      <c r="AO1856" s="14">
        <v>0</v>
      </c>
      <c r="AP1856" s="13">
        <v>3</v>
      </c>
      <c r="AQ1856" s="13">
        <v>11</v>
      </c>
      <c r="AR1856" s="15">
        <v>36</v>
      </c>
      <c r="AS1856" s="15">
        <v>39</v>
      </c>
    </row>
    <row r="1857" spans="1:45" x14ac:dyDescent="0.25">
      <c r="A1857">
        <v>1785</v>
      </c>
      <c r="B1857" s="11">
        <f t="shared" si="28"/>
        <v>37758</v>
      </c>
      <c r="C1857" s="16">
        <v>377580</v>
      </c>
      <c r="D1857" s="17">
        <v>1</v>
      </c>
      <c r="E1857" s="17">
        <v>1</v>
      </c>
      <c r="F1857" s="17">
        <v>49</v>
      </c>
      <c r="G1857" s="17">
        <v>54</v>
      </c>
      <c r="H1857" s="13" t="str" cm="1">
        <f t="array" ref="H1857">_xlfn.IFS(G1857&lt;=20,"0-20",G1857&lt;=30,"20-30",G1857&lt;=40,"30-40",G1857&lt;=50,"50-60",G1857&lt;=60,"60-70",G1857&lt;=70,"70-80",G1857&lt;=80,"80-90")</f>
        <v>60-70</v>
      </c>
      <c r="I1857" s="17">
        <v>2792</v>
      </c>
      <c r="J1857" s="13" t="str" cm="1">
        <f t="array" ref="J1857">_xlfn.IFS(K1857=1,"Divorciado",L1857=1,"Casado",M1857=1,"Solteiro",N1857=1,"Juntos",O1857=1,"Viuvo")</f>
        <v>Juntos</v>
      </c>
      <c r="K1857" s="17">
        <v>0</v>
      </c>
      <c r="L1857" s="17">
        <v>0</v>
      </c>
      <c r="M1857" s="17">
        <v>0</v>
      </c>
      <c r="N1857" s="17">
        <v>1</v>
      </c>
      <c r="O1857" s="17">
        <v>0</v>
      </c>
      <c r="P1857" s="17">
        <v>0</v>
      </c>
      <c r="Q1857" s="17">
        <v>0</v>
      </c>
      <c r="R1857" s="17">
        <v>1</v>
      </c>
      <c r="S1857" s="17">
        <v>0</v>
      </c>
      <c r="T1857" s="17">
        <v>0</v>
      </c>
      <c r="U1857" s="17">
        <v>27</v>
      </c>
      <c r="V1857" s="13" t="str" cm="1">
        <f t="array" ref="V1857">_xlfn.IFS(U1857&lt;=250,"0-R$250",U1857&lt;=500,"251-R$500",U1857&lt;=750,"501-R$750",U1857&lt;=1000,"751-R$1000",U1857&lt;=1250,"1001-R$1250",U1857&lt;=1500,"1251-R$1500")</f>
        <v>0-R$250</v>
      </c>
      <c r="W1857" s="17">
        <v>2</v>
      </c>
      <c r="X1857" s="13" t="str" cm="1">
        <f t="array" ref="X1857">_xlfn.IFS(W1857 = 0, "0", W1857&lt;=20, "até R$20",W1857&lt;=40, "21 - R$40",W1857&lt;=60, "41- R$60",W1857&lt;=80, "61 - R$80", W1857&lt;=100, "81 - R$100",W1857&lt;=120, "101 - R$120",W1857&lt;=140, "121 - R$140", W1857&lt;=160, "141- R$160", W1857&lt;=180, "161 - R$180", W1857&lt;=200, "181-R$194")</f>
        <v>até R$20</v>
      </c>
      <c r="Y1857" s="17">
        <v>10</v>
      </c>
      <c r="Z1857" s="17">
        <v>0</v>
      </c>
      <c r="AA1857" s="17">
        <v>0</v>
      </c>
      <c r="AB1857" s="17">
        <v>1</v>
      </c>
      <c r="AC1857" s="17">
        <v>2</v>
      </c>
      <c r="AD1857" s="17">
        <v>1</v>
      </c>
      <c r="AE1857" s="17">
        <v>0</v>
      </c>
      <c r="AF1857" s="17">
        <v>3</v>
      </c>
      <c r="AG1857" s="17">
        <v>8</v>
      </c>
      <c r="AH1857" s="17">
        <v>0</v>
      </c>
      <c r="AI1857" s="17">
        <v>0</v>
      </c>
      <c r="AJ1857" s="17">
        <v>0</v>
      </c>
      <c r="AK1857" s="17">
        <v>0</v>
      </c>
      <c r="AL1857" s="17">
        <v>0</v>
      </c>
      <c r="AM1857" s="17">
        <v>0</v>
      </c>
      <c r="AN1857" s="17">
        <v>0</v>
      </c>
      <c r="AO1857" s="18">
        <v>0</v>
      </c>
      <c r="AP1857" s="17">
        <v>3</v>
      </c>
      <c r="AQ1857" s="17">
        <v>11</v>
      </c>
      <c r="AR1857" s="19">
        <v>38</v>
      </c>
      <c r="AS1857" s="19">
        <v>39</v>
      </c>
    </row>
    <row r="1858" spans="1:45" x14ac:dyDescent="0.25">
      <c r="A1858">
        <v>1849</v>
      </c>
      <c r="B1858" s="11">
        <f t="shared" ref="B1858:B1921" si="29">C1858/10</f>
        <v>49638</v>
      </c>
      <c r="C1858" s="16">
        <v>496380</v>
      </c>
      <c r="D1858" s="17">
        <v>0</v>
      </c>
      <c r="E1858" s="17">
        <v>1</v>
      </c>
      <c r="F1858" s="17">
        <v>71</v>
      </c>
      <c r="G1858" s="17">
        <v>68</v>
      </c>
      <c r="H1858" s="13" t="str" cm="1">
        <f t="array" ref="H1858">_xlfn.IFS(G1858&lt;=20,"0-20",G1858&lt;=30,"20-30",G1858&lt;=40,"30-40",G1858&lt;=50,"50-60",G1858&lt;=60,"60-70",G1858&lt;=70,"70-80",G1858&lt;=80,"80-90")</f>
        <v>70-80</v>
      </c>
      <c r="I1858" s="17">
        <v>2230</v>
      </c>
      <c r="J1858" s="13" t="str" cm="1">
        <f t="array" ref="J1858">_xlfn.IFS(K1858=1,"Divorciado",L1858=1,"Casado",M1858=1,"Solteiro",N1858=1,"Juntos",O1858=1,"Viuvo")</f>
        <v>Divorciado</v>
      </c>
      <c r="K1858" s="17">
        <v>1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1</v>
      </c>
      <c r="S1858" s="17">
        <v>0</v>
      </c>
      <c r="T1858" s="17">
        <v>0</v>
      </c>
      <c r="U1858" s="17">
        <v>18</v>
      </c>
      <c r="V1858" s="13" t="str" cm="1">
        <f t="array" ref="V1858">_xlfn.IFS(U1858&lt;=250,"0-R$250",U1858&lt;=500,"251-R$500",U1858&lt;=750,"501-R$750",U1858&lt;=1000,"751-R$1000",U1858&lt;=1250,"1001-R$1250",U1858&lt;=1500,"1251-R$1500")</f>
        <v>0-R$250</v>
      </c>
      <c r="W1858" s="17">
        <v>10</v>
      </c>
      <c r="X1858" s="13" t="str" cm="1">
        <f t="array" ref="X1858">_xlfn.IFS(W1858 = 0, "0", W1858&lt;=20, "até R$20",W1858&lt;=40, "21 - R$40",W1858&lt;=60, "41- R$60",W1858&lt;=80, "61 - R$80", W1858&lt;=100, "81 - R$100",W1858&lt;=120, "101 - R$120",W1858&lt;=140, "121 - R$140", W1858&lt;=160, "141- R$160", W1858&lt;=180, "161 - R$180", W1858&lt;=200, "181-R$194")</f>
        <v>até R$20</v>
      </c>
      <c r="Y1858" s="17">
        <v>3</v>
      </c>
      <c r="Z1858" s="17">
        <v>3</v>
      </c>
      <c r="AA1858" s="17">
        <v>5</v>
      </c>
      <c r="AB1858" s="17">
        <v>0</v>
      </c>
      <c r="AC1858" s="17">
        <v>1</v>
      </c>
      <c r="AD1858" s="17">
        <v>1</v>
      </c>
      <c r="AE1858" s="17">
        <v>0</v>
      </c>
      <c r="AF1858" s="17">
        <v>3</v>
      </c>
      <c r="AG1858" s="17">
        <v>2</v>
      </c>
      <c r="AH1858" s="17">
        <v>0</v>
      </c>
      <c r="AI1858" s="17">
        <v>0</v>
      </c>
      <c r="AJ1858" s="17">
        <v>0</v>
      </c>
      <c r="AK1858" s="17">
        <v>0</v>
      </c>
      <c r="AL1858" s="17">
        <v>0</v>
      </c>
      <c r="AM1858" s="17">
        <v>0</v>
      </c>
      <c r="AN1858" s="17">
        <v>0</v>
      </c>
      <c r="AO1858" s="18">
        <v>0</v>
      </c>
      <c r="AP1858" s="17">
        <v>3</v>
      </c>
      <c r="AQ1858" s="17">
        <v>11</v>
      </c>
      <c r="AR1858" s="19">
        <v>39</v>
      </c>
      <c r="AS1858" s="19">
        <v>39</v>
      </c>
    </row>
    <row r="1859" spans="1:45" x14ac:dyDescent="0.25">
      <c r="A1859">
        <v>1916</v>
      </c>
      <c r="B1859" s="11">
        <f t="shared" si="29"/>
        <v>28320</v>
      </c>
      <c r="C1859" s="12">
        <v>283200</v>
      </c>
      <c r="D1859" s="13">
        <v>0</v>
      </c>
      <c r="E1859" s="13">
        <v>1</v>
      </c>
      <c r="F1859" s="13">
        <v>68</v>
      </c>
      <c r="G1859" s="13">
        <v>70</v>
      </c>
      <c r="H1859" s="13" t="str" cm="1">
        <f t="array" ref="H1859">_xlfn.IFS(G1859&lt;=20,"0-20",G1859&lt;=30,"20-30",G1859&lt;=40,"30-40",G1859&lt;=50,"50-60",G1859&lt;=60,"60-70",G1859&lt;=70,"70-80",G1859&lt;=80,"80-90")</f>
        <v>70-80</v>
      </c>
      <c r="I1859" s="13">
        <v>2690</v>
      </c>
      <c r="J1859" s="13" t="str" cm="1">
        <f t="array" ref="J1859">_xlfn.IFS(K1859=1,"Divorciado",L1859=1,"Casado",M1859=1,"Solteiro",N1859=1,"Juntos",O1859=1,"Viuvo")</f>
        <v>Juntos</v>
      </c>
      <c r="K1859" s="13">
        <v>0</v>
      </c>
      <c r="L1859" s="13">
        <v>0</v>
      </c>
      <c r="M1859" s="13">
        <v>0</v>
      </c>
      <c r="N1859" s="13">
        <v>1</v>
      </c>
      <c r="O1859" s="13">
        <v>0</v>
      </c>
      <c r="P1859" s="13">
        <v>0</v>
      </c>
      <c r="Q1859" s="13">
        <v>0</v>
      </c>
      <c r="R1859" s="13">
        <v>1</v>
      </c>
      <c r="S1859" s="13">
        <v>0</v>
      </c>
      <c r="T1859" s="13">
        <v>0</v>
      </c>
      <c r="U1859" s="13">
        <v>19</v>
      </c>
      <c r="V1859" s="13" t="str" cm="1">
        <f t="array" ref="V1859">_xlfn.IFS(U1859&lt;=250,"0-R$250",U1859&lt;=500,"251-R$500",U1859&lt;=750,"501-R$750",U1859&lt;=1000,"751-R$1000",U1859&lt;=1250,"1001-R$1250",U1859&lt;=1500,"1251-R$1500")</f>
        <v>0-R$250</v>
      </c>
      <c r="W1859" s="13">
        <v>1</v>
      </c>
      <c r="X1859" s="13" t="str" cm="1">
        <f t="array" ref="X1859">_xlfn.IFS(W1859 = 0, "0", W1859&lt;=20, "até R$20",W1859&lt;=40, "21 - R$40",W1859&lt;=60, "41- R$60",W1859&lt;=80, "61 - R$80", W1859&lt;=100, "81 - R$100",W1859&lt;=120, "101 - R$120",W1859&lt;=140, "121 - R$140", W1859&lt;=160, "141- R$160", W1859&lt;=180, "161 - R$180", W1859&lt;=200, "181-R$194")</f>
        <v>até R$20</v>
      </c>
      <c r="Y1859" s="13">
        <v>14</v>
      </c>
      <c r="Z1859" s="13">
        <v>3</v>
      </c>
      <c r="AA1859" s="13">
        <v>2</v>
      </c>
      <c r="AB1859" s="13">
        <v>4</v>
      </c>
      <c r="AC1859" s="13">
        <v>1</v>
      </c>
      <c r="AD1859" s="13">
        <v>1</v>
      </c>
      <c r="AE1859" s="13">
        <v>0</v>
      </c>
      <c r="AF1859" s="13">
        <v>3</v>
      </c>
      <c r="AG1859" s="13">
        <v>8</v>
      </c>
      <c r="AH1859" s="13">
        <v>0</v>
      </c>
      <c r="AI1859" s="13">
        <v>0</v>
      </c>
      <c r="AJ1859" s="13">
        <v>0</v>
      </c>
      <c r="AK1859" s="13">
        <v>0</v>
      </c>
      <c r="AL1859" s="13">
        <v>0</v>
      </c>
      <c r="AM1859" s="13">
        <v>0</v>
      </c>
      <c r="AN1859" s="13">
        <v>0</v>
      </c>
      <c r="AO1859" s="14">
        <v>0</v>
      </c>
      <c r="AP1859" s="13">
        <v>3</v>
      </c>
      <c r="AQ1859" s="13">
        <v>11</v>
      </c>
      <c r="AR1859" s="15">
        <v>35</v>
      </c>
      <c r="AS1859" s="15">
        <v>39</v>
      </c>
    </row>
    <row r="1860" spans="1:45" x14ac:dyDescent="0.25">
      <c r="A1860">
        <v>2029</v>
      </c>
      <c r="B1860" s="11">
        <f t="shared" si="29"/>
        <v>48794</v>
      </c>
      <c r="C1860" s="16">
        <v>487940</v>
      </c>
      <c r="D1860" s="17">
        <v>1</v>
      </c>
      <c r="E1860" s="17">
        <v>1</v>
      </c>
      <c r="F1860" s="17">
        <v>97</v>
      </c>
      <c r="G1860" s="17">
        <v>67</v>
      </c>
      <c r="H1860" s="13" t="str" cm="1">
        <f t="array" ref="H1860">_xlfn.IFS(G1860&lt;=20,"0-20",G1860&lt;=30,"20-30",G1860&lt;=40,"30-40",G1860&lt;=50,"50-60",G1860&lt;=60,"60-70",G1860&lt;=70,"70-80",G1860&lt;=80,"80-90")</f>
        <v>70-80</v>
      </c>
      <c r="I1860" s="17">
        <v>2162</v>
      </c>
      <c r="J1860" s="13" t="str" cm="1">
        <f t="array" ref="J1860">_xlfn.IFS(K1860=1,"Divorciado",L1860=1,"Casado",M1860=1,"Solteiro",N1860=1,"Juntos",O1860=1,"Viuvo")</f>
        <v>Juntos</v>
      </c>
      <c r="K1860" s="17">
        <v>0</v>
      </c>
      <c r="L1860" s="17">
        <v>0</v>
      </c>
      <c r="M1860" s="17">
        <v>0</v>
      </c>
      <c r="N1860" s="17">
        <v>1</v>
      </c>
      <c r="O1860" s="17">
        <v>0</v>
      </c>
      <c r="P1860" s="17">
        <v>0</v>
      </c>
      <c r="Q1860" s="17">
        <v>0</v>
      </c>
      <c r="R1860" s="17">
        <v>1</v>
      </c>
      <c r="S1860" s="17">
        <v>0</v>
      </c>
      <c r="T1860" s="17">
        <v>0</v>
      </c>
      <c r="U1860" s="17">
        <v>25</v>
      </c>
      <c r="V1860" s="13" t="str" cm="1">
        <f t="array" ref="V1860">_xlfn.IFS(U1860&lt;=250,"0-R$250",U1860&lt;=500,"251-R$500",U1860&lt;=750,"501-R$750",U1860&lt;=1000,"751-R$1000",U1860&lt;=1250,"1001-R$1250",U1860&lt;=1500,"1251-R$1500")</f>
        <v>0-R$250</v>
      </c>
      <c r="W1860" s="17">
        <v>0</v>
      </c>
      <c r="X1860" s="13" t="str" cm="1">
        <f t="array" ref="X1860">_xlfn.IFS(W1860 = 0, "0", W1860&lt;=20, "até R$20",W1860&lt;=40, "21 - R$40",W1860&lt;=60, "41- R$60",W1860&lt;=80, "61 - R$80", W1860&lt;=100, "81 - R$100",W1860&lt;=120, "101 - R$120",W1860&lt;=140, "121 - R$140", W1860&lt;=160, "141- R$160", W1860&lt;=180, "161 - R$180", W1860&lt;=200, "181-R$194")</f>
        <v>0</v>
      </c>
      <c r="Y1860" s="17">
        <v>11</v>
      </c>
      <c r="Z1860" s="17">
        <v>3</v>
      </c>
      <c r="AA1860" s="17">
        <v>0</v>
      </c>
      <c r="AB1860" s="17">
        <v>15</v>
      </c>
      <c r="AC1860" s="17">
        <v>1</v>
      </c>
      <c r="AD1860" s="17">
        <v>1</v>
      </c>
      <c r="AE1860" s="17">
        <v>0</v>
      </c>
      <c r="AF1860" s="17">
        <v>3</v>
      </c>
      <c r="AG1860" s="17">
        <v>4</v>
      </c>
      <c r="AH1860" s="17">
        <v>0</v>
      </c>
      <c r="AI1860" s="17">
        <v>0</v>
      </c>
      <c r="AJ1860" s="17">
        <v>0</v>
      </c>
      <c r="AK1860" s="17">
        <v>0</v>
      </c>
      <c r="AL1860" s="17">
        <v>0</v>
      </c>
      <c r="AM1860" s="17">
        <v>0</v>
      </c>
      <c r="AN1860" s="17">
        <v>0</v>
      </c>
      <c r="AO1860" s="18">
        <v>0</v>
      </c>
      <c r="AP1860" s="17">
        <v>3</v>
      </c>
      <c r="AQ1860" s="17">
        <v>11</v>
      </c>
      <c r="AR1860" s="19">
        <v>24</v>
      </c>
      <c r="AS1860" s="19">
        <v>39</v>
      </c>
    </row>
    <row r="1861" spans="1:45" x14ac:dyDescent="0.25">
      <c r="A1861">
        <v>2064</v>
      </c>
      <c r="B1861" s="11">
        <f t="shared" si="29"/>
        <v>48699</v>
      </c>
      <c r="C1861" s="12">
        <v>486990</v>
      </c>
      <c r="D1861" s="13">
        <v>1</v>
      </c>
      <c r="E1861" s="13">
        <v>1</v>
      </c>
      <c r="F1861" s="13">
        <v>90</v>
      </c>
      <c r="G1861" s="13">
        <v>70</v>
      </c>
      <c r="H1861" s="13" t="str" cm="1">
        <f t="array" ref="H1861">_xlfn.IFS(G1861&lt;=20,"0-20",G1861&lt;=30,"20-30",G1861&lt;=40,"30-40",G1861&lt;=50,"50-60",G1861&lt;=60,"60-70",G1861&lt;=70,"70-80",G1861&lt;=80,"80-90")</f>
        <v>70-80</v>
      </c>
      <c r="I1861" s="13">
        <v>2563</v>
      </c>
      <c r="J1861" s="13" t="str" cm="1">
        <f t="array" ref="J1861">_xlfn.IFS(K1861=1,"Divorciado",L1861=1,"Casado",M1861=1,"Solteiro",N1861=1,"Juntos",O1861=1,"Viuvo")</f>
        <v>Casado</v>
      </c>
      <c r="K1861" s="13">
        <v>0</v>
      </c>
      <c r="L1861" s="13">
        <v>1</v>
      </c>
      <c r="M1861" s="13">
        <v>0</v>
      </c>
      <c r="N1861" s="13">
        <v>0</v>
      </c>
      <c r="O1861" s="13">
        <v>0</v>
      </c>
      <c r="P1861" s="13">
        <v>0</v>
      </c>
      <c r="Q1861" s="13">
        <v>0</v>
      </c>
      <c r="R1861" s="13">
        <v>0</v>
      </c>
      <c r="S1861" s="13">
        <v>0</v>
      </c>
      <c r="T1861" s="13">
        <v>1</v>
      </c>
      <c r="U1861" s="13">
        <v>26</v>
      </c>
      <c r="V1861" s="13" t="str" cm="1">
        <f t="array" ref="V1861">_xlfn.IFS(U1861&lt;=250,"0-R$250",U1861&lt;=500,"251-R$500",U1861&lt;=750,"501-R$750",U1861&lt;=1000,"751-R$1000",U1861&lt;=1250,"1001-R$1250",U1861&lt;=1500,"1251-R$1500")</f>
        <v>0-R$250</v>
      </c>
      <c r="W1861" s="13">
        <v>1</v>
      </c>
      <c r="X1861" s="13" t="str" cm="1">
        <f t="array" ref="X1861">_xlfn.IFS(W1861 = 0, "0", W1861&lt;=20, "até R$20",W1861&lt;=40, "21 - R$40",W1861&lt;=60, "41- R$60",W1861&lt;=80, "61 - R$80", W1861&lt;=100, "81 - R$100",W1861&lt;=120, "101 - R$120",W1861&lt;=140, "121 - R$140", W1861&lt;=160, "141- R$160", W1861&lt;=180, "161 - R$180", W1861&lt;=200, "181-R$194")</f>
        <v>até R$20</v>
      </c>
      <c r="Y1861" s="13">
        <v>10</v>
      </c>
      <c r="Z1861" s="13">
        <v>2</v>
      </c>
      <c r="AA1861" s="13">
        <v>0</v>
      </c>
      <c r="AB1861" s="13">
        <v>1</v>
      </c>
      <c r="AC1861" s="13">
        <v>1</v>
      </c>
      <c r="AD1861" s="13">
        <v>1</v>
      </c>
      <c r="AE1861" s="13">
        <v>0</v>
      </c>
      <c r="AF1861" s="13">
        <v>3</v>
      </c>
      <c r="AG1861" s="13">
        <v>5</v>
      </c>
      <c r="AH1861" s="13">
        <v>0</v>
      </c>
      <c r="AI1861" s="13">
        <v>0</v>
      </c>
      <c r="AJ1861" s="13">
        <v>0</v>
      </c>
      <c r="AK1861" s="13">
        <v>0</v>
      </c>
      <c r="AL1861" s="13">
        <v>0</v>
      </c>
      <c r="AM1861" s="13">
        <v>0</v>
      </c>
      <c r="AN1861" s="13">
        <v>0</v>
      </c>
      <c r="AO1861" s="14">
        <v>0</v>
      </c>
      <c r="AP1861" s="13">
        <v>3</v>
      </c>
      <c r="AQ1861" s="13">
        <v>11</v>
      </c>
      <c r="AR1861" s="15">
        <v>38</v>
      </c>
      <c r="AS1861" s="15">
        <v>39</v>
      </c>
    </row>
    <row r="1862" spans="1:45" x14ac:dyDescent="0.25">
      <c r="A1862">
        <v>2069</v>
      </c>
      <c r="B1862" s="11">
        <f t="shared" si="29"/>
        <v>53204</v>
      </c>
      <c r="C1862" s="16">
        <v>532040</v>
      </c>
      <c r="D1862" s="17">
        <v>1</v>
      </c>
      <c r="E1862" s="17">
        <v>1</v>
      </c>
      <c r="F1862" s="17">
        <v>40</v>
      </c>
      <c r="G1862" s="17">
        <v>44</v>
      </c>
      <c r="H1862" s="13" t="str" cm="1">
        <f t="array" ref="H1862">_xlfn.IFS(G1862&lt;=20,"0-20",G1862&lt;=30,"20-30",G1862&lt;=40,"30-40",G1862&lt;=50,"50-60",G1862&lt;=60,"60-70",G1862&lt;=70,"70-80",G1862&lt;=80,"80-90")</f>
        <v>50-60</v>
      </c>
      <c r="I1862" s="17">
        <v>2260</v>
      </c>
      <c r="J1862" s="13" t="str" cm="1">
        <f t="array" ref="J1862">_xlfn.IFS(K1862=1,"Divorciado",L1862=1,"Casado",M1862=1,"Solteiro",N1862=1,"Juntos",O1862=1,"Viuvo")</f>
        <v>Casado</v>
      </c>
      <c r="K1862" s="17">
        <v>0</v>
      </c>
      <c r="L1862" s="17">
        <v>1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1</v>
      </c>
      <c r="T1862" s="17">
        <v>0</v>
      </c>
      <c r="U1862" s="17">
        <v>29</v>
      </c>
      <c r="V1862" s="13" t="str" cm="1">
        <f t="array" ref="V1862">_xlfn.IFS(U1862&lt;=250,"0-R$250",U1862&lt;=500,"251-R$500",U1862&lt;=750,"501-R$750",U1862&lt;=1000,"751-R$1000",U1862&lt;=1250,"1001-R$1250",U1862&lt;=1500,"1251-R$1500")</f>
        <v>0-R$250</v>
      </c>
      <c r="W1862" s="17">
        <v>0</v>
      </c>
      <c r="X1862" s="13" t="str" cm="1">
        <f t="array" ref="X1862">_xlfn.IFS(W1862 = 0, "0", W1862&lt;=20, "até R$20",W1862&lt;=40, "21 - R$40",W1862&lt;=60, "41- R$60",W1862&lt;=80, "61 - R$80", W1862&lt;=100, "81 - R$100",W1862&lt;=120, "101 - R$120",W1862&lt;=140, "121 - R$140", W1862&lt;=160, "141- R$160", W1862&lt;=180, "161 - R$180", W1862&lt;=200, "181-R$194")</f>
        <v>0</v>
      </c>
      <c r="Y1862" s="17">
        <v>8</v>
      </c>
      <c r="Z1862" s="17">
        <v>2</v>
      </c>
      <c r="AA1862" s="17">
        <v>0</v>
      </c>
      <c r="AB1862" s="17">
        <v>6</v>
      </c>
      <c r="AC1862" s="17">
        <v>1</v>
      </c>
      <c r="AD1862" s="17">
        <v>1</v>
      </c>
      <c r="AE1862" s="17">
        <v>0</v>
      </c>
      <c r="AF1862" s="17">
        <v>3</v>
      </c>
      <c r="AG1862" s="17">
        <v>4</v>
      </c>
      <c r="AH1862" s="17">
        <v>0</v>
      </c>
      <c r="AI1862" s="17">
        <v>0</v>
      </c>
      <c r="AJ1862" s="17">
        <v>0</v>
      </c>
      <c r="AK1862" s="17">
        <v>0</v>
      </c>
      <c r="AL1862" s="17">
        <v>0</v>
      </c>
      <c r="AM1862" s="17">
        <v>0</v>
      </c>
      <c r="AN1862" s="17">
        <v>0</v>
      </c>
      <c r="AO1862" s="18">
        <v>0</v>
      </c>
      <c r="AP1862" s="17">
        <v>3</v>
      </c>
      <c r="AQ1862" s="17">
        <v>11</v>
      </c>
      <c r="AR1862" s="19">
        <v>33</v>
      </c>
      <c r="AS1862" s="19">
        <v>39</v>
      </c>
    </row>
    <row r="1863" spans="1:45" x14ac:dyDescent="0.25">
      <c r="A1863">
        <v>2137</v>
      </c>
      <c r="B1863" s="11">
        <f t="shared" si="29"/>
        <v>41967</v>
      </c>
      <c r="C1863" s="16">
        <v>419670</v>
      </c>
      <c r="D1863" s="17">
        <v>1</v>
      </c>
      <c r="E1863" s="17">
        <v>1</v>
      </c>
      <c r="F1863" s="17">
        <v>66</v>
      </c>
      <c r="G1863" s="17">
        <v>39</v>
      </c>
      <c r="H1863" s="13" t="str" cm="1">
        <f t="array" ref="H1863">_xlfn.IFS(G1863&lt;=20,"0-20",G1863&lt;=30,"20-30",G1863&lt;=40,"30-40",G1863&lt;=50,"50-60",G1863&lt;=60,"60-70",G1863&lt;=70,"70-80",G1863&lt;=80,"80-90")</f>
        <v>30-40</v>
      </c>
      <c r="I1863" s="17">
        <v>2377</v>
      </c>
      <c r="J1863" s="13" t="str" cm="1">
        <f t="array" ref="J1863">_xlfn.IFS(K1863=1,"Divorciado",L1863=1,"Casado",M1863=1,"Solteiro",N1863=1,"Juntos",O1863=1,"Viuvo")</f>
        <v>Solteiro</v>
      </c>
      <c r="K1863" s="17">
        <v>0</v>
      </c>
      <c r="L1863" s="17">
        <v>0</v>
      </c>
      <c r="M1863" s="17">
        <v>1</v>
      </c>
      <c r="N1863" s="17">
        <v>0</v>
      </c>
      <c r="O1863" s="17">
        <v>0</v>
      </c>
      <c r="P1863" s="17">
        <v>0</v>
      </c>
      <c r="Q1863" s="17">
        <v>0</v>
      </c>
      <c r="R1863" s="17">
        <v>1</v>
      </c>
      <c r="S1863" s="17">
        <v>0</v>
      </c>
      <c r="T1863" s="17">
        <v>0</v>
      </c>
      <c r="U1863" s="17">
        <v>23</v>
      </c>
      <c r="V1863" s="13" t="str" cm="1">
        <f t="array" ref="V1863">_xlfn.IFS(U1863&lt;=250,"0-R$250",U1863&lt;=500,"251-R$500",U1863&lt;=750,"501-R$750",U1863&lt;=1000,"751-R$1000",U1863&lt;=1250,"1001-R$1250",U1863&lt;=1500,"1251-R$1500")</f>
        <v>0-R$250</v>
      </c>
      <c r="W1863" s="17">
        <v>4</v>
      </c>
      <c r="X1863" s="13" t="str" cm="1">
        <f t="array" ref="X1863">_xlfn.IFS(W1863 = 0, "0", W1863&lt;=20, "até R$20",W1863&lt;=40, "21 - R$40",W1863&lt;=60, "41- R$60",W1863&lt;=80, "61 - R$80", W1863&lt;=100, "81 - R$100",W1863&lt;=120, "101 - R$120",W1863&lt;=140, "121 - R$140", W1863&lt;=160, "141- R$160", W1863&lt;=180, "161 - R$180", W1863&lt;=200, "181-R$194")</f>
        <v>até R$20</v>
      </c>
      <c r="Y1863" s="17">
        <v>10</v>
      </c>
      <c r="Z1863" s="17">
        <v>0</v>
      </c>
      <c r="AA1863" s="17">
        <v>2</v>
      </c>
      <c r="AB1863" s="17">
        <v>15</v>
      </c>
      <c r="AC1863" s="17">
        <v>1</v>
      </c>
      <c r="AD1863" s="17">
        <v>1</v>
      </c>
      <c r="AE1863" s="17">
        <v>0</v>
      </c>
      <c r="AF1863" s="17">
        <v>3</v>
      </c>
      <c r="AG1863" s="17">
        <v>4</v>
      </c>
      <c r="AH1863" s="17">
        <v>0</v>
      </c>
      <c r="AI1863" s="17">
        <v>0</v>
      </c>
      <c r="AJ1863" s="17">
        <v>0</v>
      </c>
      <c r="AK1863" s="17">
        <v>0</v>
      </c>
      <c r="AL1863" s="17">
        <v>0</v>
      </c>
      <c r="AM1863" s="17">
        <v>0</v>
      </c>
      <c r="AN1863" s="17">
        <v>0</v>
      </c>
      <c r="AO1863" s="18">
        <v>0</v>
      </c>
      <c r="AP1863" s="17">
        <v>3</v>
      </c>
      <c r="AQ1863" s="17">
        <v>11</v>
      </c>
      <c r="AR1863" s="19">
        <v>24</v>
      </c>
      <c r="AS1863" s="19">
        <v>39</v>
      </c>
    </row>
    <row r="1864" spans="1:45" x14ac:dyDescent="0.25">
      <c r="A1864">
        <v>313</v>
      </c>
      <c r="B1864" s="11">
        <f t="shared" si="29"/>
        <v>54432</v>
      </c>
      <c r="C1864" s="16">
        <v>544320</v>
      </c>
      <c r="D1864" s="17">
        <v>2</v>
      </c>
      <c r="E1864" s="17">
        <v>1</v>
      </c>
      <c r="F1864" s="17">
        <v>37</v>
      </c>
      <c r="G1864" s="17">
        <v>70</v>
      </c>
      <c r="H1864" s="13" t="str" cm="1">
        <f t="array" ref="H1864">_xlfn.IFS(G1864&lt;=20,"0-20",G1864&lt;=30,"20-30",G1864&lt;=40,"30-40",G1864&lt;=50,"50-60",G1864&lt;=60,"60-70",G1864&lt;=70,"70-80",G1864&lt;=80,"80-90")</f>
        <v>70-80</v>
      </c>
      <c r="I1864" s="17">
        <v>2575</v>
      </c>
      <c r="J1864" s="13" t="str" cm="1">
        <f t="array" ref="J1864">_xlfn.IFS(K1864=1,"Divorciado",L1864=1,"Casado",M1864=1,"Solteiro",N1864=1,"Juntos",O1864=1,"Viuvo")</f>
        <v>Casado</v>
      </c>
      <c r="K1864" s="17">
        <v>0</v>
      </c>
      <c r="L1864" s="17">
        <v>1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1</v>
      </c>
      <c r="U1864" s="17">
        <v>33</v>
      </c>
      <c r="V1864" s="13" t="str" cm="1">
        <f t="array" ref="V1864">_xlfn.IFS(U1864&lt;=250,"0-R$250",U1864&lt;=500,"251-R$500",U1864&lt;=750,"501-R$750",U1864&lt;=1000,"751-R$1000",U1864&lt;=1250,"1001-R$1250",U1864&lt;=1500,"1251-R$1500")</f>
        <v>0-R$250</v>
      </c>
      <c r="W1864" s="17">
        <v>0</v>
      </c>
      <c r="X1864" s="13" t="str" cm="1">
        <f t="array" ref="X1864">_xlfn.IFS(W1864 = 0, "0", W1864&lt;=20, "até R$20",W1864&lt;=40, "21 - R$40",W1864&lt;=60, "41- R$60",W1864&lt;=80, "61 - R$80", W1864&lt;=100, "81 - R$100",W1864&lt;=120, "101 - R$120",W1864&lt;=140, "121 - R$140", W1864&lt;=160, "141- R$160", W1864&lt;=180, "161 - R$180", W1864&lt;=200, "181-R$194")</f>
        <v>0</v>
      </c>
      <c r="Y1864" s="17">
        <v>5</v>
      </c>
      <c r="Z1864" s="17">
        <v>0</v>
      </c>
      <c r="AA1864" s="17">
        <v>0</v>
      </c>
      <c r="AB1864" s="17">
        <v>0</v>
      </c>
      <c r="AC1864" s="17">
        <v>1</v>
      </c>
      <c r="AD1864" s="17">
        <v>1</v>
      </c>
      <c r="AE1864" s="17">
        <v>0</v>
      </c>
      <c r="AF1864" s="17">
        <v>3</v>
      </c>
      <c r="AG1864" s="17">
        <v>4</v>
      </c>
      <c r="AH1864" s="17">
        <v>0</v>
      </c>
      <c r="AI1864" s="17">
        <v>0</v>
      </c>
      <c r="AJ1864" s="17">
        <v>0</v>
      </c>
      <c r="AK1864" s="17">
        <v>0</v>
      </c>
      <c r="AL1864" s="17">
        <v>0</v>
      </c>
      <c r="AM1864" s="17">
        <v>0</v>
      </c>
      <c r="AN1864" s="17">
        <v>0</v>
      </c>
      <c r="AO1864" s="18">
        <v>0</v>
      </c>
      <c r="AP1864" s="17">
        <v>3</v>
      </c>
      <c r="AQ1864" s="17">
        <v>11</v>
      </c>
      <c r="AR1864" s="19">
        <v>38</v>
      </c>
      <c r="AS1864" s="19">
        <v>38</v>
      </c>
    </row>
    <row r="1865" spans="1:45" x14ac:dyDescent="0.25">
      <c r="A1865">
        <v>584</v>
      </c>
      <c r="B1865" s="11">
        <f t="shared" si="29"/>
        <v>30081</v>
      </c>
      <c r="C1865" s="12">
        <v>300810</v>
      </c>
      <c r="D1865" s="13">
        <v>0</v>
      </c>
      <c r="E1865" s="13">
        <v>1</v>
      </c>
      <c r="F1865" s="13">
        <v>27</v>
      </c>
      <c r="G1865" s="13">
        <v>59</v>
      </c>
      <c r="H1865" s="13" t="str" cm="1">
        <f t="array" ref="H1865">_xlfn.IFS(G1865&lt;=20,"0-20",G1865&lt;=30,"20-30",G1865&lt;=40,"30-40",G1865&lt;=50,"50-60",G1865&lt;=60,"60-70",G1865&lt;=70,"70-80",G1865&lt;=80,"80-90")</f>
        <v>60-70</v>
      </c>
      <c r="I1865" s="13">
        <v>2652</v>
      </c>
      <c r="J1865" s="13" t="str" cm="1">
        <f t="array" ref="J1865">_xlfn.IFS(K1865=1,"Divorciado",L1865=1,"Casado",M1865=1,"Solteiro",N1865=1,"Juntos",O1865=1,"Viuvo")</f>
        <v>Solteiro</v>
      </c>
      <c r="K1865" s="13">
        <v>0</v>
      </c>
      <c r="L1865" s="13">
        <v>0</v>
      </c>
      <c r="M1865" s="13">
        <v>1</v>
      </c>
      <c r="N1865" s="13">
        <v>0</v>
      </c>
      <c r="O1865" s="13">
        <v>0</v>
      </c>
      <c r="P1865" s="13">
        <v>0</v>
      </c>
      <c r="Q1865" s="13">
        <v>0</v>
      </c>
      <c r="R1865" s="13">
        <v>1</v>
      </c>
      <c r="S1865" s="13">
        <v>0</v>
      </c>
      <c r="T1865" s="13">
        <v>0</v>
      </c>
      <c r="U1865" s="13">
        <v>36</v>
      </c>
      <c r="V1865" s="13" t="str" cm="1">
        <f t="array" ref="V1865">_xlfn.IFS(U1865&lt;=250,"0-R$250",U1865&lt;=500,"251-R$500",U1865&lt;=750,"501-R$750",U1865&lt;=1000,"751-R$1000",U1865&lt;=1250,"1001-R$1250",U1865&lt;=1500,"1251-R$1500")</f>
        <v>0-R$250</v>
      </c>
      <c r="W1865" s="13">
        <v>0</v>
      </c>
      <c r="X1865" s="13" t="str" cm="1">
        <f t="array" ref="X1865">_xlfn.IFS(W1865 = 0, "0", W1865&lt;=20, "até R$20",W1865&lt;=40, "21 - R$40",W1865&lt;=60, "41- R$60",W1865&lt;=80, "61 - R$80", W1865&lt;=100, "81 - R$100",W1865&lt;=120, "101 - R$120",W1865&lt;=140, "121 - R$140", W1865&lt;=160, "141- R$160", W1865&lt;=180, "161 - R$180", W1865&lt;=200, "181-R$194")</f>
        <v>0</v>
      </c>
      <c r="Y1865" s="13">
        <v>2</v>
      </c>
      <c r="Z1865" s="13">
        <v>0</v>
      </c>
      <c r="AA1865" s="13">
        <v>0</v>
      </c>
      <c r="AB1865" s="13">
        <v>4</v>
      </c>
      <c r="AC1865" s="13">
        <v>1</v>
      </c>
      <c r="AD1865" s="13">
        <v>1</v>
      </c>
      <c r="AE1865" s="13">
        <v>0</v>
      </c>
      <c r="AF1865" s="13">
        <v>3</v>
      </c>
      <c r="AG1865" s="13">
        <v>7</v>
      </c>
      <c r="AH1865" s="13">
        <v>0</v>
      </c>
      <c r="AI1865" s="13">
        <v>0</v>
      </c>
      <c r="AJ1865" s="13">
        <v>0</v>
      </c>
      <c r="AK1865" s="13">
        <v>0</v>
      </c>
      <c r="AL1865" s="13">
        <v>0</v>
      </c>
      <c r="AM1865" s="13">
        <v>0</v>
      </c>
      <c r="AN1865" s="13">
        <v>0</v>
      </c>
      <c r="AO1865" s="14">
        <v>0</v>
      </c>
      <c r="AP1865" s="13">
        <v>3</v>
      </c>
      <c r="AQ1865" s="13">
        <v>11</v>
      </c>
      <c r="AR1865" s="15">
        <v>34</v>
      </c>
      <c r="AS1865" s="15">
        <v>38</v>
      </c>
    </row>
    <row r="1866" spans="1:45" x14ac:dyDescent="0.25">
      <c r="A1866">
        <v>792</v>
      </c>
      <c r="B1866" s="11">
        <f t="shared" si="29"/>
        <v>21359</v>
      </c>
      <c r="C1866" s="12">
        <v>213590</v>
      </c>
      <c r="D1866" s="13">
        <v>1</v>
      </c>
      <c r="E1866" s="13">
        <v>0</v>
      </c>
      <c r="F1866" s="13">
        <v>1</v>
      </c>
      <c r="G1866" s="13">
        <v>48</v>
      </c>
      <c r="H1866" s="13" t="str" cm="1">
        <f t="array" ref="H1866">_xlfn.IFS(G1866&lt;=20,"0-20",G1866&lt;=30,"20-30",G1866&lt;=40,"30-40",G1866&lt;=50,"50-60",G1866&lt;=60,"60-70",G1866&lt;=70,"70-80",G1866&lt;=80,"80-90")</f>
        <v>50-60</v>
      </c>
      <c r="I1866" s="13">
        <v>2594</v>
      </c>
      <c r="J1866" s="13" t="str" cm="1">
        <f t="array" ref="J1866">_xlfn.IFS(K1866=1,"Divorciado",L1866=1,"Casado",M1866=1,"Solteiro",N1866=1,"Juntos",O1866=1,"Viuvo")</f>
        <v>Solteiro</v>
      </c>
      <c r="K1866" s="13">
        <v>0</v>
      </c>
      <c r="L1866" s="13">
        <v>0</v>
      </c>
      <c r="M1866" s="13">
        <v>1</v>
      </c>
      <c r="N1866" s="13">
        <v>0</v>
      </c>
      <c r="O1866" s="13">
        <v>0</v>
      </c>
      <c r="P1866" s="13">
        <v>0</v>
      </c>
      <c r="Q1866" s="13">
        <v>0</v>
      </c>
      <c r="R1866" s="13">
        <v>1</v>
      </c>
      <c r="S1866" s="13">
        <v>0</v>
      </c>
      <c r="T1866" s="13">
        <v>0</v>
      </c>
      <c r="U1866" s="13">
        <v>12</v>
      </c>
      <c r="V1866" s="13" t="str" cm="1">
        <f t="array" ref="V1866">_xlfn.IFS(U1866&lt;=250,"0-R$250",U1866&lt;=500,"251-R$500",U1866&lt;=750,"501-R$750",U1866&lt;=1000,"751-R$1000",U1866&lt;=1250,"1001-R$1250",U1866&lt;=1500,"1251-R$1500")</f>
        <v>0-R$250</v>
      </c>
      <c r="W1866" s="13">
        <v>2</v>
      </c>
      <c r="X1866" s="13" t="str" cm="1">
        <f t="array" ref="X1866">_xlfn.IFS(W1866 = 0, "0", W1866&lt;=20, "até R$20",W1866&lt;=40, "21 - R$40",W1866&lt;=60, "41- R$60",W1866&lt;=80, "61 - R$80", W1866&lt;=100, "81 - R$100",W1866&lt;=120, "101 - R$120",W1866&lt;=140, "121 - R$140", W1866&lt;=160, "141- R$160", W1866&lt;=180, "161 - R$180", W1866&lt;=200, "181-R$194")</f>
        <v>até R$20</v>
      </c>
      <c r="Y1866" s="13">
        <v>17</v>
      </c>
      <c r="Z1866" s="13">
        <v>6</v>
      </c>
      <c r="AA1866" s="13">
        <v>1</v>
      </c>
      <c r="AB1866" s="13">
        <v>10</v>
      </c>
      <c r="AC1866" s="13">
        <v>2</v>
      </c>
      <c r="AD1866" s="13">
        <v>2</v>
      </c>
      <c r="AE1866" s="13">
        <v>0</v>
      </c>
      <c r="AF1866" s="13">
        <v>3</v>
      </c>
      <c r="AG1866" s="13">
        <v>8</v>
      </c>
      <c r="AH1866" s="13">
        <v>0</v>
      </c>
      <c r="AI1866" s="13">
        <v>0</v>
      </c>
      <c r="AJ1866" s="13">
        <v>0</v>
      </c>
      <c r="AK1866" s="13">
        <v>0</v>
      </c>
      <c r="AL1866" s="13">
        <v>0</v>
      </c>
      <c r="AM1866" s="13">
        <v>0</v>
      </c>
      <c r="AN1866" s="13">
        <v>1</v>
      </c>
      <c r="AO1866" s="14">
        <v>0</v>
      </c>
      <c r="AP1866" s="13">
        <v>3</v>
      </c>
      <c r="AQ1866" s="13">
        <v>11</v>
      </c>
      <c r="AR1866" s="15">
        <v>28</v>
      </c>
      <c r="AS1866" s="15">
        <v>38</v>
      </c>
    </row>
    <row r="1867" spans="1:45" x14ac:dyDescent="0.25">
      <c r="A1867">
        <v>815</v>
      </c>
      <c r="B1867" s="11">
        <f t="shared" si="29"/>
        <v>35441</v>
      </c>
      <c r="C1867" s="16">
        <v>354410</v>
      </c>
      <c r="D1867" s="17">
        <v>1</v>
      </c>
      <c r="E1867" s="17">
        <v>1</v>
      </c>
      <c r="F1867" s="17">
        <v>94</v>
      </c>
      <c r="G1867" s="17">
        <v>53</v>
      </c>
      <c r="H1867" s="13" t="str" cm="1">
        <f t="array" ref="H1867">_xlfn.IFS(G1867&lt;=20,"0-20",G1867&lt;=30,"20-30",G1867&lt;=40,"30-40",G1867&lt;=50,"50-60",G1867&lt;=60,"60-70",G1867&lt;=70,"70-80",G1867&lt;=80,"80-90")</f>
        <v>60-70</v>
      </c>
      <c r="I1867" s="17">
        <v>2659</v>
      </c>
      <c r="J1867" s="13" t="str" cm="1">
        <f t="array" ref="J1867">_xlfn.IFS(K1867=1,"Divorciado",L1867=1,"Casado",M1867=1,"Solteiro",N1867=1,"Juntos",O1867=1,"Viuvo")</f>
        <v>Casado</v>
      </c>
      <c r="K1867" s="17">
        <v>0</v>
      </c>
      <c r="L1867" s="17">
        <v>1</v>
      </c>
      <c r="M1867" s="17">
        <v>0</v>
      </c>
      <c r="N1867" s="17">
        <v>0</v>
      </c>
      <c r="O1867" s="17">
        <v>0</v>
      </c>
      <c r="P1867" s="17">
        <v>0</v>
      </c>
      <c r="Q1867" s="17">
        <v>0</v>
      </c>
      <c r="R1867" s="17">
        <v>1</v>
      </c>
      <c r="S1867" s="17">
        <v>0</v>
      </c>
      <c r="T1867" s="17">
        <v>0</v>
      </c>
      <c r="U1867" s="17">
        <v>25</v>
      </c>
      <c r="V1867" s="13" t="str" cm="1">
        <f t="array" ref="V1867">_xlfn.IFS(U1867&lt;=250,"0-R$250",U1867&lt;=500,"251-R$500",U1867&lt;=750,"501-R$750",U1867&lt;=1000,"751-R$1000",U1867&lt;=1250,"1001-R$1250",U1867&lt;=1500,"1251-R$1500")</f>
        <v>0-R$250</v>
      </c>
      <c r="W1867" s="17">
        <v>1</v>
      </c>
      <c r="X1867" s="13" t="str" cm="1">
        <f t="array" ref="X1867">_xlfn.IFS(W1867 = 0, "0", W1867&lt;=20, "até R$20",W1867&lt;=40, "21 - R$40",W1867&lt;=60, "41- R$60",W1867&lt;=80, "61 - R$80", W1867&lt;=100, "81 - R$100",W1867&lt;=120, "101 - R$120",W1867&lt;=140, "121 - R$140", W1867&lt;=160, "141- R$160", W1867&lt;=180, "161 - R$180", W1867&lt;=200, "181-R$194")</f>
        <v>até R$20</v>
      </c>
      <c r="Y1867" s="17">
        <v>9</v>
      </c>
      <c r="Z1867" s="17">
        <v>2</v>
      </c>
      <c r="AA1867" s="17">
        <v>1</v>
      </c>
      <c r="AB1867" s="17">
        <v>1</v>
      </c>
      <c r="AC1867" s="17">
        <v>2</v>
      </c>
      <c r="AD1867" s="17">
        <v>1</v>
      </c>
      <c r="AE1867" s="17">
        <v>0</v>
      </c>
      <c r="AF1867" s="17">
        <v>3</v>
      </c>
      <c r="AG1867" s="17">
        <v>8</v>
      </c>
      <c r="AH1867" s="17">
        <v>0</v>
      </c>
      <c r="AI1867" s="17">
        <v>0</v>
      </c>
      <c r="AJ1867" s="17">
        <v>0</v>
      </c>
      <c r="AK1867" s="17">
        <v>0</v>
      </c>
      <c r="AL1867" s="17">
        <v>0</v>
      </c>
      <c r="AM1867" s="17">
        <v>0</v>
      </c>
      <c r="AN1867" s="17">
        <v>0</v>
      </c>
      <c r="AO1867" s="18">
        <v>0</v>
      </c>
      <c r="AP1867" s="17">
        <v>3</v>
      </c>
      <c r="AQ1867" s="17">
        <v>11</v>
      </c>
      <c r="AR1867" s="19">
        <v>37</v>
      </c>
      <c r="AS1867" s="19">
        <v>38</v>
      </c>
    </row>
    <row r="1868" spans="1:45" x14ac:dyDescent="0.25">
      <c r="A1868">
        <v>819</v>
      </c>
      <c r="B1868" s="11">
        <f t="shared" si="29"/>
        <v>45889</v>
      </c>
      <c r="C1868" s="16">
        <v>458890</v>
      </c>
      <c r="D1868" s="17">
        <v>0</v>
      </c>
      <c r="E1868" s="17">
        <v>1</v>
      </c>
      <c r="F1868" s="17">
        <v>42</v>
      </c>
      <c r="G1868" s="17">
        <v>40</v>
      </c>
      <c r="H1868" s="13" t="str" cm="1">
        <f t="array" ref="H1868">_xlfn.IFS(G1868&lt;=20,"0-20",G1868&lt;=30,"20-30",G1868&lt;=40,"30-40",G1868&lt;=50,"50-60",G1868&lt;=60,"60-70",G1868&lt;=70,"70-80",G1868&lt;=80,"80-90")</f>
        <v>30-40</v>
      </c>
      <c r="I1868" s="17">
        <v>2521</v>
      </c>
      <c r="J1868" s="13" t="str" cm="1">
        <f t="array" ref="J1868">_xlfn.IFS(K1868=1,"Divorciado",L1868=1,"Casado",M1868=1,"Solteiro",N1868=1,"Juntos",O1868=1,"Viuvo")</f>
        <v>Solteiro</v>
      </c>
      <c r="K1868" s="17">
        <v>0</v>
      </c>
      <c r="L1868" s="17">
        <v>0</v>
      </c>
      <c r="M1868" s="17">
        <v>1</v>
      </c>
      <c r="N1868" s="17">
        <v>0</v>
      </c>
      <c r="O1868" s="17">
        <v>0</v>
      </c>
      <c r="P1868" s="17">
        <v>1</v>
      </c>
      <c r="Q1868" s="17">
        <v>0</v>
      </c>
      <c r="R1868" s="17">
        <v>0</v>
      </c>
      <c r="S1868" s="17">
        <v>0</v>
      </c>
      <c r="T1868" s="17">
        <v>0</v>
      </c>
      <c r="U1868" s="17">
        <v>31</v>
      </c>
      <c r="V1868" s="13" t="str" cm="1">
        <f t="array" ref="V1868">_xlfn.IFS(U1868&lt;=250,"0-R$250",U1868&lt;=500,"251-R$500",U1868&lt;=750,"501-R$750",U1868&lt;=1000,"751-R$1000",U1868&lt;=1250,"1001-R$1250",U1868&lt;=1500,"1251-R$1500")</f>
        <v>0-R$250</v>
      </c>
      <c r="W1868" s="17">
        <v>0</v>
      </c>
      <c r="X1868" s="13" t="str" cm="1">
        <f t="array" ref="X1868">_xlfn.IFS(W1868 = 0, "0", W1868&lt;=20, "até R$20",W1868&lt;=40, "21 - R$40",W1868&lt;=60, "41- R$60",W1868&lt;=80, "61 - R$80", W1868&lt;=100, "81 - R$100",W1868&lt;=120, "101 - R$120",W1868&lt;=140, "121 - R$140", W1868&lt;=160, "141- R$160", W1868&lt;=180, "161 - R$180", W1868&lt;=200, "181-R$194")</f>
        <v>0</v>
      </c>
      <c r="Y1868" s="17">
        <v>6</v>
      </c>
      <c r="Z1868" s="17">
        <v>0</v>
      </c>
      <c r="AA1868" s="17">
        <v>1</v>
      </c>
      <c r="AB1868" s="17">
        <v>8</v>
      </c>
      <c r="AC1868" s="17">
        <v>1</v>
      </c>
      <c r="AD1868" s="17">
        <v>1</v>
      </c>
      <c r="AE1868" s="17">
        <v>0</v>
      </c>
      <c r="AF1868" s="17">
        <v>3</v>
      </c>
      <c r="AG1868" s="17">
        <v>6</v>
      </c>
      <c r="AH1868" s="17">
        <v>0</v>
      </c>
      <c r="AI1868" s="17">
        <v>0</v>
      </c>
      <c r="AJ1868" s="17">
        <v>0</v>
      </c>
      <c r="AK1868" s="17">
        <v>0</v>
      </c>
      <c r="AL1868" s="17">
        <v>0</v>
      </c>
      <c r="AM1868" s="17">
        <v>0</v>
      </c>
      <c r="AN1868" s="17">
        <v>0</v>
      </c>
      <c r="AO1868" s="18">
        <v>0</v>
      </c>
      <c r="AP1868" s="17">
        <v>3</v>
      </c>
      <c r="AQ1868" s="17">
        <v>11</v>
      </c>
      <c r="AR1868" s="19">
        <v>30</v>
      </c>
      <c r="AS1868" s="19">
        <v>38</v>
      </c>
    </row>
    <row r="1869" spans="1:45" x14ac:dyDescent="0.25">
      <c r="A1869">
        <v>1170</v>
      </c>
      <c r="B1869" s="11">
        <f t="shared" si="29"/>
        <v>45894</v>
      </c>
      <c r="C1869" s="12">
        <v>458940</v>
      </c>
      <c r="D1869" s="13">
        <v>0</v>
      </c>
      <c r="E1869" s="13">
        <v>2</v>
      </c>
      <c r="F1869" s="13">
        <v>15</v>
      </c>
      <c r="G1869" s="13">
        <v>46</v>
      </c>
      <c r="H1869" s="13" t="str" cm="1">
        <f t="array" ref="H1869">_xlfn.IFS(G1869&lt;=20,"0-20",G1869&lt;=30,"20-30",G1869&lt;=40,"30-40",G1869&lt;=50,"50-60",G1869&lt;=60,"60-70",G1869&lt;=70,"70-80",G1869&lt;=80,"80-90")</f>
        <v>50-60</v>
      </c>
      <c r="I1869" s="13">
        <v>2281</v>
      </c>
      <c r="J1869" s="13" t="str" cm="1">
        <f t="array" ref="J1869">_xlfn.IFS(K1869=1,"Divorciado",L1869=1,"Casado",M1869=1,"Solteiro",N1869=1,"Juntos",O1869=1,"Viuvo")</f>
        <v>Casado</v>
      </c>
      <c r="K1869" s="13">
        <v>0</v>
      </c>
      <c r="L1869" s="13">
        <v>1</v>
      </c>
      <c r="M1869" s="13">
        <v>0</v>
      </c>
      <c r="N1869" s="13">
        <v>0</v>
      </c>
      <c r="O1869" s="13">
        <v>0</v>
      </c>
      <c r="P1869" s="13">
        <v>1</v>
      </c>
      <c r="Q1869" s="13">
        <v>0</v>
      </c>
      <c r="R1869" s="13">
        <v>0</v>
      </c>
      <c r="S1869" s="13">
        <v>0</v>
      </c>
      <c r="T1869" s="13">
        <v>0</v>
      </c>
      <c r="U1869" s="13">
        <v>27</v>
      </c>
      <c r="V1869" s="13" t="str" cm="1">
        <f t="array" ref="V1869">_xlfn.IFS(U1869&lt;=250,"0-R$250",U1869&lt;=500,"251-R$500",U1869&lt;=750,"501-R$750",U1869&lt;=1000,"751-R$1000",U1869&lt;=1250,"1001-R$1250",U1869&lt;=1500,"1251-R$1500")</f>
        <v>0-R$250</v>
      </c>
      <c r="W1869" s="13">
        <v>2</v>
      </c>
      <c r="X1869" s="13" t="str" cm="1">
        <f t="array" ref="X1869">_xlfn.IFS(W1869 = 0, "0", W1869&lt;=20, "até R$20",W1869&lt;=40, "21 - R$40",W1869&lt;=60, "41- R$60",W1869&lt;=80, "61 - R$80", W1869&lt;=100, "81 - R$100",W1869&lt;=120, "101 - R$120",W1869&lt;=140, "121 - R$140", W1869&lt;=160, "141- R$160", W1869&lt;=180, "161 - R$180", W1869&lt;=200, "181-R$194")</f>
        <v>até R$20</v>
      </c>
      <c r="Y1869" s="13">
        <v>7</v>
      </c>
      <c r="Z1869" s="13">
        <v>0</v>
      </c>
      <c r="AA1869" s="13">
        <v>2</v>
      </c>
      <c r="AB1869" s="13">
        <v>13</v>
      </c>
      <c r="AC1869" s="13">
        <v>1</v>
      </c>
      <c r="AD1869" s="13">
        <v>1</v>
      </c>
      <c r="AE1869" s="13">
        <v>0</v>
      </c>
      <c r="AF1869" s="13">
        <v>3</v>
      </c>
      <c r="AG1869" s="13">
        <v>5</v>
      </c>
      <c r="AH1869" s="13">
        <v>0</v>
      </c>
      <c r="AI1869" s="13">
        <v>0</v>
      </c>
      <c r="AJ1869" s="13">
        <v>0</v>
      </c>
      <c r="AK1869" s="13">
        <v>0</v>
      </c>
      <c r="AL1869" s="13">
        <v>0</v>
      </c>
      <c r="AM1869" s="13">
        <v>0</v>
      </c>
      <c r="AN1869" s="13">
        <v>0</v>
      </c>
      <c r="AO1869" s="14">
        <v>0</v>
      </c>
      <c r="AP1869" s="13">
        <v>3</v>
      </c>
      <c r="AQ1869" s="13">
        <v>11</v>
      </c>
      <c r="AR1869" s="15">
        <v>25</v>
      </c>
      <c r="AS1869" s="15">
        <v>38</v>
      </c>
    </row>
    <row r="1870" spans="1:45" x14ac:dyDescent="0.25">
      <c r="A1870">
        <v>1580</v>
      </c>
      <c r="B1870" s="11">
        <f t="shared" si="29"/>
        <v>27116</v>
      </c>
      <c r="C1870" s="12">
        <v>271160</v>
      </c>
      <c r="D1870" s="13">
        <v>1</v>
      </c>
      <c r="E1870" s="13">
        <v>1</v>
      </c>
      <c r="F1870" s="13">
        <v>78</v>
      </c>
      <c r="G1870" s="13">
        <v>59</v>
      </c>
      <c r="H1870" s="13" t="str" cm="1">
        <f t="array" ref="H1870">_xlfn.IFS(G1870&lt;=20,"0-20",G1870&lt;=30,"20-30",G1870&lt;=40,"30-40",G1870&lt;=50,"50-60",G1870&lt;=60,"60-70",G1870&lt;=70,"70-80",G1870&lt;=80,"80-90")</f>
        <v>60-70</v>
      </c>
      <c r="I1870" s="13">
        <v>2278</v>
      </c>
      <c r="J1870" s="13" t="str" cm="1">
        <f t="array" ref="J1870">_xlfn.IFS(K1870=1,"Divorciado",L1870=1,"Casado",M1870=1,"Solteiro",N1870=1,"Juntos",O1870=1,"Viuvo")</f>
        <v>Casado</v>
      </c>
      <c r="K1870" s="13">
        <v>0</v>
      </c>
      <c r="L1870" s="13">
        <v>1</v>
      </c>
      <c r="M1870" s="13">
        <v>0</v>
      </c>
      <c r="N1870" s="13">
        <v>0</v>
      </c>
      <c r="O1870" s="13">
        <v>0</v>
      </c>
      <c r="P1870" s="13">
        <v>0</v>
      </c>
      <c r="Q1870" s="13">
        <v>0</v>
      </c>
      <c r="R1870" s="13">
        <v>1</v>
      </c>
      <c r="S1870" s="13">
        <v>0</v>
      </c>
      <c r="T1870" s="13">
        <v>0</v>
      </c>
      <c r="U1870" s="13">
        <v>12</v>
      </c>
      <c r="V1870" s="13" t="str" cm="1">
        <f t="array" ref="V1870">_xlfn.IFS(U1870&lt;=250,"0-R$250",U1870&lt;=500,"251-R$500",U1870&lt;=750,"501-R$750",U1870&lt;=1000,"751-R$1000",U1870&lt;=1250,"1001-R$1250",U1870&lt;=1500,"1251-R$1500")</f>
        <v>0-R$250</v>
      </c>
      <c r="W1870" s="13">
        <v>1</v>
      </c>
      <c r="X1870" s="13" t="str" cm="1">
        <f t="array" ref="X1870">_xlfn.IFS(W1870 = 0, "0", W1870&lt;=20, "até R$20",W1870&lt;=40, "21 - R$40",W1870&lt;=60, "41- R$60",W1870&lt;=80, "61 - R$80", W1870&lt;=100, "81 - R$100",W1870&lt;=120, "101 - R$120",W1870&lt;=140, "121 - R$140", W1870&lt;=160, "141- R$160", W1870&lt;=180, "161 - R$180", W1870&lt;=200, "181-R$194")</f>
        <v>até R$20</v>
      </c>
      <c r="Y1870" s="13">
        <v>21</v>
      </c>
      <c r="Z1870" s="13">
        <v>2</v>
      </c>
      <c r="AA1870" s="13">
        <v>2</v>
      </c>
      <c r="AB1870" s="13">
        <v>3</v>
      </c>
      <c r="AC1870" s="13">
        <v>2</v>
      </c>
      <c r="AD1870" s="13">
        <v>2</v>
      </c>
      <c r="AE1870" s="13">
        <v>0</v>
      </c>
      <c r="AF1870" s="13">
        <v>3</v>
      </c>
      <c r="AG1870" s="13">
        <v>7</v>
      </c>
      <c r="AH1870" s="13">
        <v>0</v>
      </c>
      <c r="AI1870" s="13">
        <v>0</v>
      </c>
      <c r="AJ1870" s="13">
        <v>0</v>
      </c>
      <c r="AK1870" s="13">
        <v>0</v>
      </c>
      <c r="AL1870" s="13">
        <v>0</v>
      </c>
      <c r="AM1870" s="13">
        <v>0</v>
      </c>
      <c r="AN1870" s="13">
        <v>0</v>
      </c>
      <c r="AO1870" s="14">
        <v>0</v>
      </c>
      <c r="AP1870" s="13">
        <v>3</v>
      </c>
      <c r="AQ1870" s="13">
        <v>11</v>
      </c>
      <c r="AR1870" s="15">
        <v>35</v>
      </c>
      <c r="AS1870" s="15">
        <v>38</v>
      </c>
    </row>
    <row r="1871" spans="1:45" x14ac:dyDescent="0.25">
      <c r="A1871">
        <v>1876</v>
      </c>
      <c r="B1871" s="11">
        <f t="shared" si="29"/>
        <v>22148</v>
      </c>
      <c r="C1871" s="12">
        <v>221480</v>
      </c>
      <c r="D1871" s="13">
        <v>0</v>
      </c>
      <c r="E1871" s="13">
        <v>0</v>
      </c>
      <c r="F1871" s="13">
        <v>16</v>
      </c>
      <c r="G1871" s="13">
        <v>37</v>
      </c>
      <c r="H1871" s="13" t="str" cm="1">
        <f t="array" ref="H1871">_xlfn.IFS(G1871&lt;=20,"0-20",G1871&lt;=30,"20-30",G1871&lt;=40,"30-40",G1871&lt;=50,"50-60",G1871&lt;=60,"60-70",G1871&lt;=70,"70-80",G1871&lt;=80,"80-90")</f>
        <v>30-40</v>
      </c>
      <c r="I1871" s="13">
        <v>2236</v>
      </c>
      <c r="J1871" s="13" t="str" cm="1">
        <f t="array" ref="J1871">_xlfn.IFS(K1871=1,"Divorciado",L1871=1,"Casado",M1871=1,"Solteiro",N1871=1,"Juntos",O1871=1,"Viuvo")</f>
        <v>Solteiro</v>
      </c>
      <c r="K1871" s="13">
        <v>0</v>
      </c>
      <c r="L1871" s="13">
        <v>0</v>
      </c>
      <c r="M1871" s="13">
        <v>1</v>
      </c>
      <c r="N1871" s="13">
        <v>0</v>
      </c>
      <c r="O1871" s="13">
        <v>0</v>
      </c>
      <c r="P1871" s="13">
        <v>0</v>
      </c>
      <c r="Q1871" s="13">
        <v>0</v>
      </c>
      <c r="R1871" s="13">
        <v>1</v>
      </c>
      <c r="S1871" s="13">
        <v>0</v>
      </c>
      <c r="T1871" s="13">
        <v>0</v>
      </c>
      <c r="U1871" s="13">
        <v>15</v>
      </c>
      <c r="V1871" s="13" t="str" cm="1">
        <f t="array" ref="V1871">_xlfn.IFS(U1871&lt;=250,"0-R$250",U1871&lt;=500,"251-R$500",U1871&lt;=750,"501-R$750",U1871&lt;=1000,"751-R$1000",U1871&lt;=1250,"1001-R$1250",U1871&lt;=1500,"1251-R$1500")</f>
        <v>0-R$250</v>
      </c>
      <c r="W1871" s="13">
        <v>5</v>
      </c>
      <c r="X1871" s="13" t="str" cm="1">
        <f t="array" ref="X1871">_xlfn.IFS(W1871 = 0, "0", W1871&lt;=20, "até R$20",W1871&lt;=40, "21 - R$40",W1871&lt;=60, "41- R$60",W1871&lt;=80, "61 - R$80", W1871&lt;=100, "81 - R$100",W1871&lt;=120, "101 - R$120",W1871&lt;=140, "121 - R$140", W1871&lt;=160, "141- R$160", W1871&lt;=180, "161 - R$180", W1871&lt;=200, "181-R$194")</f>
        <v>até R$20</v>
      </c>
      <c r="Y1871" s="13">
        <v>14</v>
      </c>
      <c r="Z1871" s="13">
        <v>0</v>
      </c>
      <c r="AA1871" s="13">
        <v>4</v>
      </c>
      <c r="AB1871" s="13">
        <v>11</v>
      </c>
      <c r="AC1871" s="13">
        <v>1</v>
      </c>
      <c r="AD1871" s="13">
        <v>1</v>
      </c>
      <c r="AE1871" s="13">
        <v>0</v>
      </c>
      <c r="AF1871" s="13">
        <v>3</v>
      </c>
      <c r="AG1871" s="13">
        <v>7</v>
      </c>
      <c r="AH1871" s="13">
        <v>0</v>
      </c>
      <c r="AI1871" s="13">
        <v>0</v>
      </c>
      <c r="AJ1871" s="13">
        <v>0</v>
      </c>
      <c r="AK1871" s="13">
        <v>0</v>
      </c>
      <c r="AL1871" s="13">
        <v>0</v>
      </c>
      <c r="AM1871" s="13">
        <v>0</v>
      </c>
      <c r="AN1871" s="13">
        <v>0</v>
      </c>
      <c r="AO1871" s="14">
        <v>0</v>
      </c>
      <c r="AP1871" s="13">
        <v>3</v>
      </c>
      <c r="AQ1871" s="13">
        <v>11</v>
      </c>
      <c r="AR1871" s="15">
        <v>27</v>
      </c>
      <c r="AS1871" s="15">
        <v>38</v>
      </c>
    </row>
    <row r="1872" spans="1:45" x14ac:dyDescent="0.25">
      <c r="A1872">
        <v>1950</v>
      </c>
      <c r="B1872" s="11">
        <f t="shared" si="29"/>
        <v>4428</v>
      </c>
      <c r="C1872" s="12">
        <v>44280</v>
      </c>
      <c r="D1872" s="13">
        <v>0</v>
      </c>
      <c r="E1872" s="13">
        <v>1</v>
      </c>
      <c r="F1872" s="13">
        <v>0</v>
      </c>
      <c r="G1872" s="13">
        <v>51</v>
      </c>
      <c r="H1872" s="13" t="str" cm="1">
        <f t="array" ref="H1872">_xlfn.IFS(G1872&lt;=20,"0-20",G1872&lt;=30,"20-30",G1872&lt;=40,"30-40",G1872&lt;=50,"50-60",G1872&lt;=60,"60-70",G1872&lt;=70,"70-80",G1872&lt;=80,"80-90")</f>
        <v>60-70</v>
      </c>
      <c r="I1872" s="13">
        <v>2426</v>
      </c>
      <c r="J1872" s="13" t="str" cm="1">
        <f t="array" ref="J1872">_xlfn.IFS(K1872=1,"Divorciado",L1872=1,"Casado",M1872=1,"Solteiro",N1872=1,"Juntos",O1872=1,"Viuvo")</f>
        <v>Casado</v>
      </c>
      <c r="K1872" s="13">
        <v>0</v>
      </c>
      <c r="L1872" s="13">
        <v>1</v>
      </c>
      <c r="M1872" s="13">
        <v>0</v>
      </c>
      <c r="N1872" s="13">
        <v>0</v>
      </c>
      <c r="O1872" s="13">
        <v>0</v>
      </c>
      <c r="P1872" s="13">
        <v>0</v>
      </c>
      <c r="Q1872" s="13">
        <v>0</v>
      </c>
      <c r="R1872" s="13">
        <v>1</v>
      </c>
      <c r="S1872" s="13">
        <v>0</v>
      </c>
      <c r="T1872" s="13">
        <v>0</v>
      </c>
      <c r="U1872" s="13">
        <v>16</v>
      </c>
      <c r="V1872" s="13" t="str" cm="1">
        <f t="array" ref="V1872">_xlfn.IFS(U1872&lt;=250,"0-R$250",U1872&lt;=500,"251-R$500",U1872&lt;=750,"501-R$750",U1872&lt;=1000,"751-R$1000",U1872&lt;=1250,"1001-R$1250",U1872&lt;=1500,"1251-R$1500")</f>
        <v>0-R$250</v>
      </c>
      <c r="W1872" s="13">
        <v>4</v>
      </c>
      <c r="X1872" s="13" t="str" cm="1">
        <f t="array" ref="X1872">_xlfn.IFS(W1872 = 0, "0", W1872&lt;=20, "até R$20",W1872&lt;=40, "21 - R$40",W1872&lt;=60, "41- R$60",W1872&lt;=80, "61 - R$80", W1872&lt;=100, "81 - R$100",W1872&lt;=120, "101 - R$120",W1872&lt;=140, "121 - R$140", W1872&lt;=160, "141- R$160", W1872&lt;=180, "161 - R$180", W1872&lt;=200, "181-R$194")</f>
        <v>até R$20</v>
      </c>
      <c r="Y1872" s="13">
        <v>12</v>
      </c>
      <c r="Z1872" s="13">
        <v>2</v>
      </c>
      <c r="AA1872" s="13">
        <v>4</v>
      </c>
      <c r="AB1872" s="13">
        <v>321</v>
      </c>
      <c r="AC1872" s="13">
        <v>0</v>
      </c>
      <c r="AD1872" s="13">
        <v>25</v>
      </c>
      <c r="AE1872" s="13">
        <v>0</v>
      </c>
      <c r="AF1872" s="13">
        <v>0</v>
      </c>
      <c r="AG1872" s="13">
        <v>1</v>
      </c>
      <c r="AH1872" s="13">
        <v>0</v>
      </c>
      <c r="AI1872" s="13">
        <v>0</v>
      </c>
      <c r="AJ1872" s="13">
        <v>0</v>
      </c>
      <c r="AK1872" s="13">
        <v>0</v>
      </c>
      <c r="AL1872" s="13">
        <v>0</v>
      </c>
      <c r="AM1872" s="13">
        <v>0</v>
      </c>
      <c r="AN1872" s="13">
        <v>0</v>
      </c>
      <c r="AO1872" s="14">
        <v>0</v>
      </c>
      <c r="AP1872" s="13">
        <v>3</v>
      </c>
      <c r="AQ1872" s="13">
        <v>11</v>
      </c>
      <c r="AR1872" s="15">
        <v>-283</v>
      </c>
      <c r="AS1872" s="15">
        <v>38</v>
      </c>
    </row>
    <row r="1873" spans="1:45" x14ac:dyDescent="0.25">
      <c r="A1873">
        <v>2025</v>
      </c>
      <c r="B1873" s="11">
        <f t="shared" si="29"/>
        <v>32871</v>
      </c>
      <c r="C1873" s="16">
        <v>328710</v>
      </c>
      <c r="D1873" s="17">
        <v>1</v>
      </c>
      <c r="E1873" s="17">
        <v>1</v>
      </c>
      <c r="F1873" s="17">
        <v>28</v>
      </c>
      <c r="G1873" s="17">
        <v>69</v>
      </c>
      <c r="H1873" s="13" t="str" cm="1">
        <f t="array" ref="H1873">_xlfn.IFS(G1873&lt;=20,"0-20",G1873&lt;=30,"20-30",G1873&lt;=40,"30-40",G1873&lt;=50,"50-60",G1873&lt;=60,"60-70",G1873&lt;=70,"70-80",G1873&lt;=80,"80-90")</f>
        <v>70-80</v>
      </c>
      <c r="I1873" s="17">
        <v>2636</v>
      </c>
      <c r="J1873" s="13" t="str" cm="1">
        <f t="array" ref="J1873">_xlfn.IFS(K1873=1,"Divorciado",L1873=1,"Casado",M1873=1,"Solteiro",N1873=1,"Juntos",O1873=1,"Viuvo")</f>
        <v>Casado</v>
      </c>
      <c r="K1873" s="17">
        <v>0</v>
      </c>
      <c r="L1873" s="17">
        <v>1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1</v>
      </c>
      <c r="S1873" s="17">
        <v>0</v>
      </c>
      <c r="T1873" s="17">
        <v>0</v>
      </c>
      <c r="U1873" s="17">
        <v>22</v>
      </c>
      <c r="V1873" s="13" t="str" cm="1">
        <f t="array" ref="V1873">_xlfn.IFS(U1873&lt;=250,"0-R$250",U1873&lt;=500,"251-R$500",U1873&lt;=750,"501-R$750",U1873&lt;=1000,"751-R$1000",U1873&lt;=1250,"1001-R$1250",U1873&lt;=1500,"1251-R$1500")</f>
        <v>0-R$250</v>
      </c>
      <c r="W1873" s="17">
        <v>2</v>
      </c>
      <c r="X1873" s="13" t="str" cm="1">
        <f t="array" ref="X1873">_xlfn.IFS(W1873 = 0, "0", W1873&lt;=20, "até R$20",W1873&lt;=40, "21 - R$40",W1873&lt;=60, "41- R$60",W1873&lt;=80, "61 - R$80", W1873&lt;=100, "81 - R$100",W1873&lt;=120, "101 - R$120",W1873&lt;=140, "121 - R$140", W1873&lt;=160, "141- R$160", W1873&lt;=180, "161 - R$180", W1873&lt;=200, "181-R$194")</f>
        <v>até R$20</v>
      </c>
      <c r="Y1873" s="17">
        <v>12</v>
      </c>
      <c r="Z1873" s="17">
        <v>0</v>
      </c>
      <c r="AA1873" s="17">
        <v>2</v>
      </c>
      <c r="AB1873" s="17">
        <v>5</v>
      </c>
      <c r="AC1873" s="17">
        <v>1</v>
      </c>
      <c r="AD1873" s="17">
        <v>1</v>
      </c>
      <c r="AE1873" s="17">
        <v>0</v>
      </c>
      <c r="AF1873" s="17">
        <v>3</v>
      </c>
      <c r="AG1873" s="17">
        <v>4</v>
      </c>
      <c r="AH1873" s="17">
        <v>0</v>
      </c>
      <c r="AI1873" s="17">
        <v>0</v>
      </c>
      <c r="AJ1873" s="17">
        <v>0</v>
      </c>
      <c r="AK1873" s="17">
        <v>0</v>
      </c>
      <c r="AL1873" s="17">
        <v>0</v>
      </c>
      <c r="AM1873" s="17">
        <v>0</v>
      </c>
      <c r="AN1873" s="17">
        <v>0</v>
      </c>
      <c r="AO1873" s="18">
        <v>0</v>
      </c>
      <c r="AP1873" s="17">
        <v>3</v>
      </c>
      <c r="AQ1873" s="17">
        <v>11</v>
      </c>
      <c r="AR1873" s="19">
        <v>33</v>
      </c>
      <c r="AS1873" s="19">
        <v>38</v>
      </c>
    </row>
    <row r="1874" spans="1:45" x14ac:dyDescent="0.25">
      <c r="A1874">
        <v>2157</v>
      </c>
      <c r="B1874" s="11">
        <f t="shared" si="29"/>
        <v>25224</v>
      </c>
      <c r="C1874" s="16">
        <v>252240</v>
      </c>
      <c r="D1874" s="17">
        <v>1</v>
      </c>
      <c r="E1874" s="17">
        <v>0</v>
      </c>
      <c r="F1874" s="17">
        <v>36</v>
      </c>
      <c r="G1874" s="17">
        <v>48</v>
      </c>
      <c r="H1874" s="13" t="str" cm="1">
        <f t="array" ref="H1874">_xlfn.IFS(G1874&lt;=20,"0-20",G1874&lt;=30,"20-30",G1874&lt;=40,"30-40",G1874&lt;=50,"50-60",G1874&lt;=60,"60-70",G1874&lt;=70,"70-80",G1874&lt;=80,"80-90")</f>
        <v>50-60</v>
      </c>
      <c r="I1874" s="17">
        <v>2264</v>
      </c>
      <c r="J1874" s="13" t="str" cm="1">
        <f t="array" ref="J1874">_xlfn.IFS(K1874=1,"Divorciado",L1874=1,"Casado",M1874=1,"Solteiro",N1874=1,"Juntos",O1874=1,"Viuvo")</f>
        <v>Casado</v>
      </c>
      <c r="K1874" s="17">
        <v>0</v>
      </c>
      <c r="L1874" s="17">
        <v>1</v>
      </c>
      <c r="M1874" s="17">
        <v>0</v>
      </c>
      <c r="N1874" s="17">
        <v>0</v>
      </c>
      <c r="O1874" s="17">
        <v>0</v>
      </c>
      <c r="P1874" s="17">
        <v>0</v>
      </c>
      <c r="Q1874" s="17">
        <v>1</v>
      </c>
      <c r="R1874" s="17">
        <v>0</v>
      </c>
      <c r="S1874" s="17">
        <v>0</v>
      </c>
      <c r="T1874" s="17">
        <v>0</v>
      </c>
      <c r="U1874" s="17">
        <v>4</v>
      </c>
      <c r="V1874" s="13" t="str" cm="1">
        <f t="array" ref="V1874">_xlfn.IFS(U1874&lt;=250,"0-R$250",U1874&lt;=500,"251-R$500",U1874&lt;=750,"501-R$750",U1874&lt;=1000,"751-R$1000",U1874&lt;=1250,"1001-R$1250",U1874&lt;=1500,"1251-R$1500")</f>
        <v>0-R$250</v>
      </c>
      <c r="W1874" s="17">
        <v>9</v>
      </c>
      <c r="X1874" s="13" t="str" cm="1">
        <f t="array" ref="X1874">_xlfn.IFS(W1874 = 0, "0", W1874&lt;=20, "até R$20",W1874&lt;=40, "21 - R$40",W1874&lt;=60, "41- R$60",W1874&lt;=80, "61 - R$80", W1874&lt;=100, "81 - R$100",W1874&lt;=120, "101 - R$120",W1874&lt;=140, "121 - R$140", W1874&lt;=160, "141- R$160", W1874&lt;=180, "161 - R$180", W1874&lt;=200, "181-R$194")</f>
        <v>até R$20</v>
      </c>
      <c r="Y1874" s="17">
        <v>12</v>
      </c>
      <c r="Z1874" s="17">
        <v>11</v>
      </c>
      <c r="AA1874" s="17">
        <v>2</v>
      </c>
      <c r="AB1874" s="17">
        <v>8</v>
      </c>
      <c r="AC1874" s="17">
        <v>2</v>
      </c>
      <c r="AD1874" s="17">
        <v>1</v>
      </c>
      <c r="AE1874" s="17">
        <v>1</v>
      </c>
      <c r="AF1874" s="17">
        <v>3</v>
      </c>
      <c r="AG1874" s="17">
        <v>3</v>
      </c>
      <c r="AH1874" s="17">
        <v>0</v>
      </c>
      <c r="AI1874" s="17">
        <v>0</v>
      </c>
      <c r="AJ1874" s="17">
        <v>0</v>
      </c>
      <c r="AK1874" s="17">
        <v>0</v>
      </c>
      <c r="AL1874" s="17">
        <v>0</v>
      </c>
      <c r="AM1874" s="17">
        <v>0</v>
      </c>
      <c r="AN1874" s="17">
        <v>0</v>
      </c>
      <c r="AO1874" s="18">
        <v>0</v>
      </c>
      <c r="AP1874" s="17">
        <v>3</v>
      </c>
      <c r="AQ1874" s="17">
        <v>11</v>
      </c>
      <c r="AR1874" s="19">
        <v>30</v>
      </c>
      <c r="AS1874" s="19">
        <v>38</v>
      </c>
    </row>
    <row r="1875" spans="1:45" x14ac:dyDescent="0.25">
      <c r="A1875">
        <v>2177</v>
      </c>
      <c r="B1875" s="11">
        <f t="shared" si="29"/>
        <v>45146</v>
      </c>
      <c r="C1875" s="16">
        <v>451460</v>
      </c>
      <c r="D1875" s="17">
        <v>1</v>
      </c>
      <c r="E1875" s="17">
        <v>1</v>
      </c>
      <c r="F1875" s="17">
        <v>28</v>
      </c>
      <c r="G1875" s="17">
        <v>57</v>
      </c>
      <c r="H1875" s="13" t="str" cm="1">
        <f t="array" ref="H1875">_xlfn.IFS(G1875&lt;=20,"0-20",G1875&lt;=30,"20-30",G1875&lt;=40,"30-40",G1875&lt;=50,"50-60",G1875&lt;=60,"60-70",G1875&lt;=70,"70-80",G1875&lt;=80,"80-90")</f>
        <v>60-70</v>
      </c>
      <c r="I1875" s="17">
        <v>2508</v>
      </c>
      <c r="J1875" s="13" t="str" cm="1">
        <f t="array" ref="J1875">_xlfn.IFS(K1875=1,"Divorciado",L1875=1,"Casado",M1875=1,"Solteiro",N1875=1,"Juntos",O1875=1,"Viuvo")</f>
        <v>Divorciado</v>
      </c>
      <c r="K1875" s="17">
        <v>1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1</v>
      </c>
      <c r="S1875" s="17">
        <v>0</v>
      </c>
      <c r="T1875" s="17">
        <v>0</v>
      </c>
      <c r="U1875" s="17">
        <v>33</v>
      </c>
      <c r="V1875" s="13" t="str" cm="1">
        <f t="array" ref="V1875">_xlfn.IFS(U1875&lt;=250,"0-R$250",U1875&lt;=500,"251-R$500",U1875&lt;=750,"501-R$750",U1875&lt;=1000,"751-R$1000",U1875&lt;=1250,"1001-R$1250",U1875&lt;=1500,"1251-R$1500")</f>
        <v>0-R$250</v>
      </c>
      <c r="W1875" s="17">
        <v>0</v>
      </c>
      <c r="X1875" s="13" t="str" cm="1">
        <f t="array" ref="X1875">_xlfn.IFS(W1875 = 0, "0", W1875&lt;=20, "até R$20",W1875&lt;=40, "21 - R$40",W1875&lt;=60, "41- R$60",W1875&lt;=80, "61 - R$80", W1875&lt;=100, "81 - R$100",W1875&lt;=120, "101 - R$120",W1875&lt;=140, "121 - R$140", W1875&lt;=160, "141- R$160", W1875&lt;=180, "161 - R$180", W1875&lt;=200, "181-R$194")</f>
        <v>0</v>
      </c>
      <c r="Y1875" s="17">
        <v>5</v>
      </c>
      <c r="Z1875" s="17">
        <v>0</v>
      </c>
      <c r="AA1875" s="17">
        <v>0</v>
      </c>
      <c r="AB1875" s="17">
        <v>15</v>
      </c>
      <c r="AC1875" s="17">
        <v>2</v>
      </c>
      <c r="AD1875" s="17">
        <v>1</v>
      </c>
      <c r="AE1875" s="17">
        <v>1</v>
      </c>
      <c r="AF1875" s="17">
        <v>2</v>
      </c>
      <c r="AG1875" s="17">
        <v>4</v>
      </c>
      <c r="AH1875" s="17">
        <v>0</v>
      </c>
      <c r="AI1875" s="17">
        <v>0</v>
      </c>
      <c r="AJ1875" s="17">
        <v>0</v>
      </c>
      <c r="AK1875" s="17">
        <v>0</v>
      </c>
      <c r="AL1875" s="17">
        <v>0</v>
      </c>
      <c r="AM1875" s="17">
        <v>0</v>
      </c>
      <c r="AN1875" s="17">
        <v>0</v>
      </c>
      <c r="AO1875" s="18">
        <v>0</v>
      </c>
      <c r="AP1875" s="17">
        <v>3</v>
      </c>
      <c r="AQ1875" s="17">
        <v>11</v>
      </c>
      <c r="AR1875" s="19">
        <v>23</v>
      </c>
      <c r="AS1875" s="19">
        <v>38</v>
      </c>
    </row>
    <row r="1876" spans="1:45" x14ac:dyDescent="0.25">
      <c r="A1876">
        <v>175</v>
      </c>
      <c r="B1876" s="11">
        <f t="shared" si="29"/>
        <v>32303</v>
      </c>
      <c r="C1876" s="16">
        <v>323030</v>
      </c>
      <c r="D1876" s="17">
        <v>0</v>
      </c>
      <c r="E1876" s="17">
        <v>1</v>
      </c>
      <c r="F1876" s="17">
        <v>63</v>
      </c>
      <c r="G1876" s="17">
        <v>50</v>
      </c>
      <c r="H1876" s="13" t="str" cm="1">
        <f t="array" ref="H1876">_xlfn.IFS(G1876&lt;=20,"0-20",G1876&lt;=30,"20-30",G1876&lt;=40,"30-40",G1876&lt;=50,"50-60",G1876&lt;=60,"60-70",G1876&lt;=70,"70-80",G1876&lt;=80,"80-90")</f>
        <v>50-60</v>
      </c>
      <c r="I1876" s="17">
        <v>2272</v>
      </c>
      <c r="J1876" s="13" t="str" cm="1">
        <f t="array" ref="J1876">_xlfn.IFS(K1876=1,"Divorciado",L1876=1,"Casado",M1876=1,"Solteiro",N1876=1,"Juntos",O1876=1,"Viuvo")</f>
        <v>Solteiro</v>
      </c>
      <c r="K1876" s="17">
        <v>0</v>
      </c>
      <c r="L1876" s="17">
        <v>0</v>
      </c>
      <c r="M1876" s="17">
        <v>1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1</v>
      </c>
      <c r="U1876" s="17">
        <v>35</v>
      </c>
      <c r="V1876" s="13" t="str" cm="1">
        <f t="array" ref="V1876">_xlfn.IFS(U1876&lt;=250,"0-R$250",U1876&lt;=500,"251-R$500",U1876&lt;=750,"501-R$750",U1876&lt;=1000,"751-R$1000",U1876&lt;=1250,"1001-R$1250",U1876&lt;=1500,"1251-R$1500")</f>
        <v>0-R$250</v>
      </c>
      <c r="W1876" s="17">
        <v>0</v>
      </c>
      <c r="X1876" s="13" t="str" cm="1">
        <f t="array" ref="X1876">_xlfn.IFS(W1876 = 0, "0", W1876&lt;=20, "até R$20",W1876&lt;=40, "21 - R$40",W1876&lt;=60, "41- R$60",W1876&lt;=80, "61 - R$80", W1876&lt;=100, "81 - R$100",W1876&lt;=120, "101 - R$120",W1876&lt;=140, "121 - R$140", W1876&lt;=160, "141- R$160", W1876&lt;=180, "161 - R$180", W1876&lt;=200, "181-R$194")</f>
        <v>0</v>
      </c>
      <c r="Y1876" s="17">
        <v>2</v>
      </c>
      <c r="Z1876" s="17">
        <v>0</v>
      </c>
      <c r="AA1876" s="17">
        <v>0</v>
      </c>
      <c r="AB1876" s="17">
        <v>2</v>
      </c>
      <c r="AC1876" s="17">
        <v>2</v>
      </c>
      <c r="AD1876" s="17">
        <v>1</v>
      </c>
      <c r="AE1876" s="17">
        <v>0</v>
      </c>
      <c r="AF1876" s="17">
        <v>4</v>
      </c>
      <c r="AG1876" s="17">
        <v>5</v>
      </c>
      <c r="AH1876" s="17">
        <v>0</v>
      </c>
      <c r="AI1876" s="17">
        <v>0</v>
      </c>
      <c r="AJ1876" s="17">
        <v>0</v>
      </c>
      <c r="AK1876" s="17">
        <v>0</v>
      </c>
      <c r="AL1876" s="17">
        <v>0</v>
      </c>
      <c r="AM1876" s="17">
        <v>0</v>
      </c>
      <c r="AN1876" s="17">
        <v>0</v>
      </c>
      <c r="AO1876" s="18">
        <v>0</v>
      </c>
      <c r="AP1876" s="17">
        <v>3</v>
      </c>
      <c r="AQ1876" s="17">
        <v>11</v>
      </c>
      <c r="AR1876" s="19">
        <v>35</v>
      </c>
      <c r="AS1876" s="19">
        <v>37</v>
      </c>
    </row>
    <row r="1877" spans="1:45" x14ac:dyDescent="0.25">
      <c r="A1877">
        <v>226</v>
      </c>
      <c r="B1877" s="11">
        <f t="shared" si="29"/>
        <v>7500</v>
      </c>
      <c r="C1877" s="12">
        <v>75000</v>
      </c>
      <c r="D1877" s="13">
        <v>1</v>
      </c>
      <c r="E1877" s="13">
        <v>0</v>
      </c>
      <c r="F1877" s="13">
        <v>54</v>
      </c>
      <c r="G1877" s="13">
        <v>47</v>
      </c>
      <c r="H1877" s="13" t="str" cm="1">
        <f t="array" ref="H1877">_xlfn.IFS(G1877&lt;=20,"0-20",G1877&lt;=30,"20-30",G1877&lt;=40,"30-40",G1877&lt;=50,"50-60",G1877&lt;=60,"60-70",G1877&lt;=70,"70-80",G1877&lt;=80,"80-90")</f>
        <v>50-60</v>
      </c>
      <c r="I1877" s="13">
        <v>2344</v>
      </c>
      <c r="J1877" s="13" t="str" cm="1">
        <f t="array" ref="J1877">_xlfn.IFS(K1877=1,"Divorciado",L1877=1,"Casado",M1877=1,"Solteiro",N1877=1,"Juntos",O1877=1,"Viuvo")</f>
        <v>Solteiro</v>
      </c>
      <c r="K1877" s="13">
        <v>0</v>
      </c>
      <c r="L1877" s="13">
        <v>0</v>
      </c>
      <c r="M1877" s="13">
        <v>1</v>
      </c>
      <c r="N1877" s="13">
        <v>0</v>
      </c>
      <c r="O1877" s="13">
        <v>0</v>
      </c>
      <c r="P1877" s="13">
        <v>0</v>
      </c>
      <c r="Q1877" s="13">
        <v>0</v>
      </c>
      <c r="R1877" s="13">
        <v>1</v>
      </c>
      <c r="S1877" s="13">
        <v>0</v>
      </c>
      <c r="T1877" s="13">
        <v>0</v>
      </c>
      <c r="U1877" s="13">
        <v>5</v>
      </c>
      <c r="V1877" s="13" t="str" cm="1">
        <f t="array" ref="V1877">_xlfn.IFS(U1877&lt;=250,"0-R$250",U1877&lt;=500,"251-R$500",U1877&lt;=750,"501-R$750",U1877&lt;=1000,"751-R$1000",U1877&lt;=1250,"1001-R$1250",U1877&lt;=1500,"1251-R$1500")</f>
        <v>0-R$250</v>
      </c>
      <c r="W1877" s="13">
        <v>3</v>
      </c>
      <c r="X1877" s="13" t="str" cm="1">
        <f t="array" ref="X1877">_xlfn.IFS(W1877 = 0, "0", W1877&lt;=20, "até R$20",W1877&lt;=40, "21 - R$40",W1877&lt;=60, "41- R$60",W1877&lt;=80, "61 - R$80", W1877&lt;=100, "81 - R$100",W1877&lt;=120, "101 - R$120",W1877&lt;=140, "121 - R$140", W1877&lt;=160, "141- R$160", W1877&lt;=180, "161 - R$180", W1877&lt;=200, "181-R$194")</f>
        <v>até R$20</v>
      </c>
      <c r="Y1877" s="13">
        <v>10</v>
      </c>
      <c r="Z1877" s="13">
        <v>12</v>
      </c>
      <c r="AA1877" s="13">
        <v>7</v>
      </c>
      <c r="AB1877" s="13">
        <v>20</v>
      </c>
      <c r="AC1877" s="13">
        <v>4</v>
      </c>
      <c r="AD1877" s="13">
        <v>3</v>
      </c>
      <c r="AE1877" s="13">
        <v>1</v>
      </c>
      <c r="AF1877" s="13">
        <v>3</v>
      </c>
      <c r="AG1877" s="13">
        <v>7</v>
      </c>
      <c r="AH1877" s="13">
        <v>0</v>
      </c>
      <c r="AI1877" s="13">
        <v>0</v>
      </c>
      <c r="AJ1877" s="13">
        <v>0</v>
      </c>
      <c r="AK1877" s="13">
        <v>0</v>
      </c>
      <c r="AL1877" s="13">
        <v>0</v>
      </c>
      <c r="AM1877" s="13">
        <v>0</v>
      </c>
      <c r="AN1877" s="13">
        <v>0</v>
      </c>
      <c r="AO1877" s="14">
        <v>0</v>
      </c>
      <c r="AP1877" s="13">
        <v>3</v>
      </c>
      <c r="AQ1877" s="13">
        <v>11</v>
      </c>
      <c r="AR1877" s="15">
        <v>17</v>
      </c>
      <c r="AS1877" s="15">
        <v>37</v>
      </c>
    </row>
    <row r="1878" spans="1:45" x14ac:dyDescent="0.25">
      <c r="A1878">
        <v>332</v>
      </c>
      <c r="B1878" s="11">
        <f t="shared" si="29"/>
        <v>30372</v>
      </c>
      <c r="C1878" s="12">
        <v>303720</v>
      </c>
      <c r="D1878" s="13">
        <v>1</v>
      </c>
      <c r="E1878" s="13">
        <v>1</v>
      </c>
      <c r="F1878" s="13">
        <v>33</v>
      </c>
      <c r="G1878" s="13">
        <v>49</v>
      </c>
      <c r="H1878" s="13" t="str" cm="1">
        <f t="array" ref="H1878">_xlfn.IFS(G1878&lt;=20,"0-20",G1878&lt;=30,"20-30",G1878&lt;=40,"30-40",G1878&lt;=50,"50-60",G1878&lt;=60,"60-70",G1878&lt;=70,"70-80",G1878&lt;=80,"80-90")</f>
        <v>50-60</v>
      </c>
      <c r="I1878" s="13">
        <v>2710</v>
      </c>
      <c r="J1878" s="13" t="str" cm="1">
        <f t="array" ref="J1878">_xlfn.IFS(K1878=1,"Divorciado",L1878=1,"Casado",M1878=1,"Solteiro",N1878=1,"Juntos",O1878=1,"Viuvo")</f>
        <v>Viuvo</v>
      </c>
      <c r="K1878" s="13">
        <v>0</v>
      </c>
      <c r="L1878" s="13">
        <v>0</v>
      </c>
      <c r="M1878" s="13">
        <v>0</v>
      </c>
      <c r="N1878" s="13">
        <v>0</v>
      </c>
      <c r="O1878" s="13">
        <v>1</v>
      </c>
      <c r="P1878" s="13">
        <v>0</v>
      </c>
      <c r="Q1878" s="13">
        <v>0</v>
      </c>
      <c r="R1878" s="13">
        <v>1</v>
      </c>
      <c r="S1878" s="13">
        <v>0</v>
      </c>
      <c r="T1878" s="13">
        <v>0</v>
      </c>
      <c r="U1878" s="13">
        <v>15</v>
      </c>
      <c r="V1878" s="13" t="str" cm="1">
        <f t="array" ref="V1878">_xlfn.IFS(U1878&lt;=250,"0-R$250",U1878&lt;=500,"251-R$500",U1878&lt;=750,"501-R$750",U1878&lt;=1000,"751-R$1000",U1878&lt;=1250,"1001-R$1250",U1878&lt;=1500,"1251-R$1500")</f>
        <v>0-R$250</v>
      </c>
      <c r="W1878" s="13">
        <v>0</v>
      </c>
      <c r="X1878" s="13" t="str" cm="1">
        <f t="array" ref="X1878">_xlfn.IFS(W1878 = 0, "0", W1878&lt;=20, "até R$20",W1878&lt;=40, "21 - R$40",W1878&lt;=60, "41- R$60",W1878&lt;=80, "61 - R$80", W1878&lt;=100, "81 - R$100",W1878&lt;=120, "101 - R$120",W1878&lt;=140, "121 - R$140", W1878&lt;=160, "141- R$160", W1878&lt;=180, "161 - R$180", W1878&lt;=200, "181-R$194")</f>
        <v>0</v>
      </c>
      <c r="Y1878" s="13">
        <v>12</v>
      </c>
      <c r="Z1878" s="13">
        <v>7</v>
      </c>
      <c r="AA1878" s="13">
        <v>3</v>
      </c>
      <c r="AB1878" s="13">
        <v>7</v>
      </c>
      <c r="AC1878" s="13">
        <v>3</v>
      </c>
      <c r="AD1878" s="13">
        <v>2</v>
      </c>
      <c r="AE1878" s="13">
        <v>0</v>
      </c>
      <c r="AF1878" s="13">
        <v>3</v>
      </c>
      <c r="AG1878" s="13">
        <v>7</v>
      </c>
      <c r="AH1878" s="13">
        <v>0</v>
      </c>
      <c r="AI1878" s="13">
        <v>0</v>
      </c>
      <c r="AJ1878" s="13">
        <v>0</v>
      </c>
      <c r="AK1878" s="13">
        <v>0</v>
      </c>
      <c r="AL1878" s="13">
        <v>0</v>
      </c>
      <c r="AM1878" s="13">
        <v>0</v>
      </c>
      <c r="AN1878" s="13">
        <v>0</v>
      </c>
      <c r="AO1878" s="14">
        <v>0</v>
      </c>
      <c r="AP1878" s="13">
        <v>3</v>
      </c>
      <c r="AQ1878" s="13">
        <v>11</v>
      </c>
      <c r="AR1878" s="15">
        <v>30</v>
      </c>
      <c r="AS1878" s="15">
        <v>37</v>
      </c>
    </row>
    <row r="1879" spans="1:45" x14ac:dyDescent="0.25">
      <c r="A1879">
        <v>555</v>
      </c>
      <c r="B1879" s="11">
        <f t="shared" si="29"/>
        <v>38443</v>
      </c>
      <c r="C1879" s="16">
        <v>384430</v>
      </c>
      <c r="D1879" s="17">
        <v>1</v>
      </c>
      <c r="E1879" s="17">
        <v>1</v>
      </c>
      <c r="F1879" s="17">
        <v>58</v>
      </c>
      <c r="G1879" s="17">
        <v>52</v>
      </c>
      <c r="H1879" s="13" t="str" cm="1">
        <f t="array" ref="H1879">_xlfn.IFS(G1879&lt;=20,"0-20",G1879&lt;=30,"20-30",G1879&lt;=40,"30-40",G1879&lt;=50,"50-60",G1879&lt;=60,"60-70",G1879&lt;=70,"70-80",G1879&lt;=80,"80-90")</f>
        <v>60-70</v>
      </c>
      <c r="I1879" s="17">
        <v>2312</v>
      </c>
      <c r="J1879" s="13" t="str" cm="1">
        <f t="array" ref="J1879">_xlfn.IFS(K1879=1,"Divorciado",L1879=1,"Casado",M1879=1,"Solteiro",N1879=1,"Juntos",O1879=1,"Viuvo")</f>
        <v>Casado</v>
      </c>
      <c r="K1879" s="17">
        <v>0</v>
      </c>
      <c r="L1879" s="17">
        <v>1</v>
      </c>
      <c r="M1879" s="17">
        <v>0</v>
      </c>
      <c r="N1879" s="17">
        <v>0</v>
      </c>
      <c r="O1879" s="17">
        <v>0</v>
      </c>
      <c r="P1879" s="17">
        <v>0</v>
      </c>
      <c r="Q1879" s="17">
        <v>0</v>
      </c>
      <c r="R1879" s="17">
        <v>0</v>
      </c>
      <c r="S1879" s="17">
        <v>0</v>
      </c>
      <c r="T1879" s="17">
        <v>1</v>
      </c>
      <c r="U1879" s="17">
        <v>32</v>
      </c>
      <c r="V1879" s="13" t="str" cm="1">
        <f t="array" ref="V1879">_xlfn.IFS(U1879&lt;=250,"0-R$250",U1879&lt;=500,"251-R$500",U1879&lt;=750,"501-R$750",U1879&lt;=1000,"751-R$1000",U1879&lt;=1250,"1001-R$1250",U1879&lt;=1500,"1251-R$1500")</f>
        <v>0-R$250</v>
      </c>
      <c r="W1879" s="17">
        <v>0</v>
      </c>
      <c r="X1879" s="13" t="str" cm="1">
        <f t="array" ref="X1879">_xlfn.IFS(W1879 = 0, "0", W1879&lt;=20, "até R$20",W1879&lt;=40, "21 - R$40",W1879&lt;=60, "41- R$60",W1879&lt;=80, "61 - R$80", W1879&lt;=100, "81 - R$100",W1879&lt;=120, "101 - R$120",W1879&lt;=140, "121 - R$140", W1879&lt;=160, "141- R$160", W1879&lt;=180, "161 - R$180", W1879&lt;=200, "181-R$194")</f>
        <v>0</v>
      </c>
      <c r="Y1879" s="17">
        <v>5</v>
      </c>
      <c r="Z1879" s="17">
        <v>0</v>
      </c>
      <c r="AA1879" s="17">
        <v>0</v>
      </c>
      <c r="AB1879" s="17">
        <v>1</v>
      </c>
      <c r="AC1879" s="17">
        <v>2</v>
      </c>
      <c r="AD1879" s="17">
        <v>1</v>
      </c>
      <c r="AE1879" s="17">
        <v>0</v>
      </c>
      <c r="AF1879" s="17">
        <v>3</v>
      </c>
      <c r="AG1879" s="17">
        <v>7</v>
      </c>
      <c r="AH1879" s="17">
        <v>0</v>
      </c>
      <c r="AI1879" s="17">
        <v>0</v>
      </c>
      <c r="AJ1879" s="17">
        <v>0</v>
      </c>
      <c r="AK1879" s="17">
        <v>0</v>
      </c>
      <c r="AL1879" s="17">
        <v>0</v>
      </c>
      <c r="AM1879" s="17">
        <v>0</v>
      </c>
      <c r="AN1879" s="17">
        <v>0</v>
      </c>
      <c r="AO1879" s="18">
        <v>0</v>
      </c>
      <c r="AP1879" s="17">
        <v>3</v>
      </c>
      <c r="AQ1879" s="17">
        <v>11</v>
      </c>
      <c r="AR1879" s="19">
        <v>36</v>
      </c>
      <c r="AS1879" s="19">
        <v>37</v>
      </c>
    </row>
    <row r="1880" spans="1:45" x14ac:dyDescent="0.25">
      <c r="A1880">
        <v>566</v>
      </c>
      <c r="B1880" s="11">
        <f t="shared" si="29"/>
        <v>47821</v>
      </c>
      <c r="C1880" s="12">
        <v>478210</v>
      </c>
      <c r="D1880" s="13">
        <v>1</v>
      </c>
      <c r="E1880" s="13">
        <v>1</v>
      </c>
      <c r="F1880" s="13">
        <v>54</v>
      </c>
      <c r="G1880" s="13">
        <v>53</v>
      </c>
      <c r="H1880" s="13" t="str" cm="1">
        <f t="array" ref="H1880">_xlfn.IFS(G1880&lt;=20,"0-20",G1880&lt;=30,"20-30",G1880&lt;=40,"30-40",G1880&lt;=50,"50-60",G1880&lt;=60,"60-70",G1880&lt;=70,"70-80",G1880&lt;=80,"80-90")</f>
        <v>60-70</v>
      </c>
      <c r="I1880" s="13">
        <v>2411</v>
      </c>
      <c r="J1880" s="13" t="str" cm="1">
        <f t="array" ref="J1880">_xlfn.IFS(K1880=1,"Divorciado",L1880=1,"Casado",M1880=1,"Solteiro",N1880=1,"Juntos",O1880=1,"Viuvo")</f>
        <v>Juntos</v>
      </c>
      <c r="K1880" s="13">
        <v>0</v>
      </c>
      <c r="L1880" s="13">
        <v>0</v>
      </c>
      <c r="M1880" s="13">
        <v>0</v>
      </c>
      <c r="N1880" s="13">
        <v>1</v>
      </c>
      <c r="O1880" s="13">
        <v>0</v>
      </c>
      <c r="P1880" s="13">
        <v>1</v>
      </c>
      <c r="Q1880" s="13">
        <v>0</v>
      </c>
      <c r="R1880" s="13">
        <v>0</v>
      </c>
      <c r="S1880" s="13">
        <v>0</v>
      </c>
      <c r="T1880" s="13">
        <v>0</v>
      </c>
      <c r="U1880" s="13">
        <v>9</v>
      </c>
      <c r="V1880" s="13" t="str" cm="1">
        <f t="array" ref="V1880">_xlfn.IFS(U1880&lt;=250,"0-R$250",U1880&lt;=500,"251-R$500",U1880&lt;=750,"501-R$750",U1880&lt;=1000,"751-R$1000",U1880&lt;=1250,"1001-R$1250",U1880&lt;=1500,"1251-R$1500")</f>
        <v>0-R$250</v>
      </c>
      <c r="W1880" s="13">
        <v>0</v>
      </c>
      <c r="X1880" s="13" t="str" cm="1">
        <f t="array" ref="X1880">_xlfn.IFS(W1880 = 0, "0", W1880&lt;=20, "até R$20",W1880&lt;=40, "21 - R$40",W1880&lt;=60, "41- R$60",W1880&lt;=80, "61 - R$80", W1880&lt;=100, "81 - R$100",W1880&lt;=120, "101 - R$120",W1880&lt;=140, "121 - R$140", W1880&lt;=160, "141- R$160", W1880&lt;=180, "161 - R$180", W1880&lt;=200, "181-R$194")</f>
        <v>0</v>
      </c>
      <c r="Y1880" s="13">
        <v>16</v>
      </c>
      <c r="Z1880" s="13">
        <v>6</v>
      </c>
      <c r="AA1880" s="13">
        <v>6</v>
      </c>
      <c r="AB1880" s="13">
        <v>10</v>
      </c>
      <c r="AC1880" s="13">
        <v>1</v>
      </c>
      <c r="AD1880" s="13">
        <v>1</v>
      </c>
      <c r="AE1880" s="13">
        <v>0</v>
      </c>
      <c r="AF1880" s="13">
        <v>3</v>
      </c>
      <c r="AG1880" s="13">
        <v>8</v>
      </c>
      <c r="AH1880" s="13">
        <v>0</v>
      </c>
      <c r="AI1880" s="13">
        <v>0</v>
      </c>
      <c r="AJ1880" s="13">
        <v>0</v>
      </c>
      <c r="AK1880" s="13">
        <v>0</v>
      </c>
      <c r="AL1880" s="13">
        <v>0</v>
      </c>
      <c r="AM1880" s="13">
        <v>0</v>
      </c>
      <c r="AN1880" s="13">
        <v>0</v>
      </c>
      <c r="AO1880" s="14">
        <v>0</v>
      </c>
      <c r="AP1880" s="13">
        <v>3</v>
      </c>
      <c r="AQ1880" s="13">
        <v>11</v>
      </c>
      <c r="AR1880" s="15">
        <v>27</v>
      </c>
      <c r="AS1880" s="15">
        <v>37</v>
      </c>
    </row>
    <row r="1881" spans="1:45" x14ac:dyDescent="0.25">
      <c r="A1881">
        <v>773</v>
      </c>
      <c r="B1881" s="11">
        <f t="shared" si="29"/>
        <v>16813</v>
      </c>
      <c r="C1881" s="16">
        <v>168130</v>
      </c>
      <c r="D1881" s="17">
        <v>0</v>
      </c>
      <c r="E1881" s="17">
        <v>0</v>
      </c>
      <c r="F1881" s="17">
        <v>49</v>
      </c>
      <c r="G1881" s="17">
        <v>70</v>
      </c>
      <c r="H1881" s="13" t="str" cm="1">
        <f t="array" ref="H1881">_xlfn.IFS(G1881&lt;=20,"0-20",G1881&lt;=30,"20-30",G1881&lt;=40,"30-40",G1881&lt;=50,"50-60",G1881&lt;=60,"60-70",G1881&lt;=70,"70-80",G1881&lt;=80,"80-90")</f>
        <v>70-80</v>
      </c>
      <c r="I1881" s="17">
        <v>2504</v>
      </c>
      <c r="J1881" s="13" t="str" cm="1">
        <f t="array" ref="J1881">_xlfn.IFS(K1881=1,"Divorciado",L1881=1,"Casado",M1881=1,"Solteiro",N1881=1,"Juntos",O1881=1,"Viuvo")</f>
        <v>Solteiro</v>
      </c>
      <c r="K1881" s="17">
        <v>0</v>
      </c>
      <c r="L1881" s="17">
        <v>0</v>
      </c>
      <c r="M1881" s="17">
        <v>1</v>
      </c>
      <c r="N1881" s="17">
        <v>0</v>
      </c>
      <c r="O1881" s="17">
        <v>0</v>
      </c>
      <c r="P1881" s="17">
        <v>0</v>
      </c>
      <c r="Q1881" s="17">
        <v>0</v>
      </c>
      <c r="R1881" s="17">
        <v>1</v>
      </c>
      <c r="S1881" s="17">
        <v>0</v>
      </c>
      <c r="T1881" s="17">
        <v>0</v>
      </c>
      <c r="U1881" s="17">
        <v>4</v>
      </c>
      <c r="V1881" s="13" t="str" cm="1">
        <f t="array" ref="V1881">_xlfn.IFS(U1881&lt;=250,"0-R$250",U1881&lt;=500,"251-R$500",U1881&lt;=750,"501-R$750",U1881&lt;=1000,"751-R$1000",U1881&lt;=1250,"1001-R$1250",U1881&lt;=1500,"1251-R$1500")</f>
        <v>0-R$250</v>
      </c>
      <c r="W1881" s="17">
        <v>8</v>
      </c>
      <c r="X1881" s="13" t="str" cm="1">
        <f t="array" ref="X1881">_xlfn.IFS(W1881 = 0, "0", W1881&lt;=20, "até R$20",W1881&lt;=40, "21 - R$40",W1881&lt;=60, "41- R$60",W1881&lt;=80, "61 - R$80", W1881&lt;=100, "81 - R$100",W1881&lt;=120, "101 - R$120",W1881&lt;=140, "121 - R$140", W1881&lt;=160, "141- R$160", W1881&lt;=180, "161 - R$180", W1881&lt;=200, "181-R$194")</f>
        <v>até R$20</v>
      </c>
      <c r="Y1881" s="17">
        <v>11</v>
      </c>
      <c r="Z1881" s="17">
        <v>12</v>
      </c>
      <c r="AA1881" s="17">
        <v>2</v>
      </c>
      <c r="AB1881" s="17">
        <v>13</v>
      </c>
      <c r="AC1881" s="17">
        <v>1</v>
      </c>
      <c r="AD1881" s="17">
        <v>2</v>
      </c>
      <c r="AE1881" s="17">
        <v>0</v>
      </c>
      <c r="AF1881" s="17">
        <v>3</v>
      </c>
      <c r="AG1881" s="17">
        <v>7</v>
      </c>
      <c r="AH1881" s="17">
        <v>0</v>
      </c>
      <c r="AI1881" s="17">
        <v>1</v>
      </c>
      <c r="AJ1881" s="17">
        <v>0</v>
      </c>
      <c r="AK1881" s="17">
        <v>0</v>
      </c>
      <c r="AL1881" s="17">
        <v>0</v>
      </c>
      <c r="AM1881" s="17">
        <v>0</v>
      </c>
      <c r="AN1881" s="17">
        <v>0</v>
      </c>
      <c r="AO1881" s="18">
        <v>1</v>
      </c>
      <c r="AP1881" s="17">
        <v>3</v>
      </c>
      <c r="AQ1881" s="17">
        <v>11</v>
      </c>
      <c r="AR1881" s="19">
        <v>24</v>
      </c>
      <c r="AS1881" s="19">
        <v>37</v>
      </c>
    </row>
    <row r="1882" spans="1:45" x14ac:dyDescent="0.25">
      <c r="A1882">
        <v>1212</v>
      </c>
      <c r="B1882" s="11">
        <f t="shared" si="29"/>
        <v>38197</v>
      </c>
      <c r="C1882" s="12">
        <v>381970</v>
      </c>
      <c r="D1882" s="13">
        <v>1</v>
      </c>
      <c r="E1882" s="13">
        <v>0</v>
      </c>
      <c r="F1882" s="13">
        <v>86</v>
      </c>
      <c r="G1882" s="13">
        <v>34</v>
      </c>
      <c r="H1882" s="13" t="str" cm="1">
        <f t="array" ref="H1882">_xlfn.IFS(G1882&lt;=20,"0-20",G1882&lt;=30,"20-30",G1882&lt;=40,"30-40",G1882&lt;=50,"50-60",G1882&lt;=60,"60-70",G1882&lt;=70,"70-80",G1882&lt;=80,"80-90")</f>
        <v>30-40</v>
      </c>
      <c r="I1882" s="13">
        <v>2524</v>
      </c>
      <c r="J1882" s="13" t="str" cm="1">
        <f t="array" ref="J1882">_xlfn.IFS(K1882=1,"Divorciado",L1882=1,"Casado",M1882=1,"Solteiro",N1882=1,"Juntos",O1882=1,"Viuvo")</f>
        <v>Juntos</v>
      </c>
      <c r="K1882" s="13">
        <v>0</v>
      </c>
      <c r="L1882" s="13">
        <v>0</v>
      </c>
      <c r="M1882" s="13">
        <v>0</v>
      </c>
      <c r="N1882" s="13">
        <v>1</v>
      </c>
      <c r="O1882" s="13">
        <v>0</v>
      </c>
      <c r="P1882" s="13">
        <v>0</v>
      </c>
      <c r="Q1882" s="13">
        <v>0</v>
      </c>
      <c r="R1882" s="13">
        <v>0</v>
      </c>
      <c r="S1882" s="13">
        <v>0</v>
      </c>
      <c r="T1882" s="13">
        <v>1</v>
      </c>
      <c r="U1882" s="13">
        <v>23</v>
      </c>
      <c r="V1882" s="13" t="str" cm="1">
        <f t="array" ref="V1882">_xlfn.IFS(U1882&lt;=250,"0-R$250",U1882&lt;=500,"251-R$500",U1882&lt;=750,"501-R$750",U1882&lt;=1000,"751-R$1000",U1882&lt;=1250,"1001-R$1250",U1882&lt;=1500,"1251-R$1500")</f>
        <v>0-R$250</v>
      </c>
      <c r="W1882" s="13">
        <v>0</v>
      </c>
      <c r="X1882" s="13" t="str" cm="1">
        <f t="array" ref="X1882">_xlfn.IFS(W1882 = 0, "0", W1882&lt;=20, "até R$20",W1882&lt;=40, "21 - R$40",W1882&lt;=60, "41- R$60",W1882&lt;=80, "61 - R$80", W1882&lt;=100, "81 - R$100",W1882&lt;=120, "101 - R$120",W1882&lt;=140, "121 - R$140", W1882&lt;=160, "141- R$160", W1882&lt;=180, "161 - R$180", W1882&lt;=200, "181-R$194")</f>
        <v>0</v>
      </c>
      <c r="Y1882" s="13">
        <v>11</v>
      </c>
      <c r="Z1882" s="13">
        <v>2</v>
      </c>
      <c r="AA1882" s="13">
        <v>1</v>
      </c>
      <c r="AB1882" s="13">
        <v>3</v>
      </c>
      <c r="AC1882" s="13">
        <v>1</v>
      </c>
      <c r="AD1882" s="13">
        <v>1</v>
      </c>
      <c r="AE1882" s="13">
        <v>0</v>
      </c>
      <c r="AF1882" s="13">
        <v>3</v>
      </c>
      <c r="AG1882" s="13">
        <v>5</v>
      </c>
      <c r="AH1882" s="13">
        <v>0</v>
      </c>
      <c r="AI1882" s="13">
        <v>0</v>
      </c>
      <c r="AJ1882" s="13">
        <v>0</v>
      </c>
      <c r="AK1882" s="13">
        <v>0</v>
      </c>
      <c r="AL1882" s="13">
        <v>0</v>
      </c>
      <c r="AM1882" s="13">
        <v>0</v>
      </c>
      <c r="AN1882" s="13">
        <v>0</v>
      </c>
      <c r="AO1882" s="14">
        <v>0</v>
      </c>
      <c r="AP1882" s="13">
        <v>3</v>
      </c>
      <c r="AQ1882" s="13">
        <v>11</v>
      </c>
      <c r="AR1882" s="15">
        <v>34</v>
      </c>
      <c r="AS1882" s="15">
        <v>37</v>
      </c>
    </row>
    <row r="1883" spans="1:45" x14ac:dyDescent="0.25">
      <c r="A1883">
        <v>1263</v>
      </c>
      <c r="B1883" s="11">
        <f t="shared" si="29"/>
        <v>37633</v>
      </c>
      <c r="C1883" s="16">
        <v>376330</v>
      </c>
      <c r="D1883" s="17">
        <v>1</v>
      </c>
      <c r="E1883" s="17">
        <v>1</v>
      </c>
      <c r="F1883" s="17">
        <v>49</v>
      </c>
      <c r="G1883" s="17">
        <v>63</v>
      </c>
      <c r="H1883" s="13" t="str" cm="1">
        <f t="array" ref="H1883">_xlfn.IFS(G1883&lt;=20,"0-20",G1883&lt;=30,"20-30",G1883&lt;=40,"30-40",G1883&lt;=50,"50-60",G1883&lt;=60,"60-70",G1883&lt;=70,"70-80",G1883&lt;=80,"80-90")</f>
        <v>70-80</v>
      </c>
      <c r="I1883" s="17">
        <v>2806</v>
      </c>
      <c r="J1883" s="13" t="str" cm="1">
        <f t="array" ref="J1883">_xlfn.IFS(K1883=1,"Divorciado",L1883=1,"Casado",M1883=1,"Solteiro",N1883=1,"Juntos",O1883=1,"Viuvo")</f>
        <v>Casado</v>
      </c>
      <c r="K1883" s="17">
        <v>0</v>
      </c>
      <c r="L1883" s="17">
        <v>1</v>
      </c>
      <c r="M1883" s="17">
        <v>0</v>
      </c>
      <c r="N1883" s="17">
        <v>0</v>
      </c>
      <c r="O1883" s="17">
        <v>0</v>
      </c>
      <c r="P1883" s="17">
        <v>0</v>
      </c>
      <c r="Q1883" s="17">
        <v>0</v>
      </c>
      <c r="R1883" s="17">
        <v>0</v>
      </c>
      <c r="S1883" s="17">
        <v>0</v>
      </c>
      <c r="T1883" s="17">
        <v>1</v>
      </c>
      <c r="U1883" s="17">
        <v>13</v>
      </c>
      <c r="V1883" s="13" t="str" cm="1">
        <f t="array" ref="V1883">_xlfn.IFS(U1883&lt;=250,"0-R$250",U1883&lt;=500,"251-R$500",U1883&lt;=750,"501-R$750",U1883&lt;=1000,"751-R$1000",U1883&lt;=1250,"1001-R$1250",U1883&lt;=1500,"1251-R$1500")</f>
        <v>0-R$250</v>
      </c>
      <c r="W1883" s="17">
        <v>4</v>
      </c>
      <c r="X1883" s="13" t="str" cm="1">
        <f t="array" ref="X1883">_xlfn.IFS(W1883 = 0, "0", W1883&lt;=20, "até R$20",W1883&lt;=40, "21 - R$40",W1883&lt;=60, "41- R$60",W1883&lt;=80, "61 - R$80", W1883&lt;=100, "81 - R$100",W1883&lt;=120, "101 - R$120",W1883&lt;=140, "121 - R$140", W1883&lt;=160, "141- R$160", W1883&lt;=180, "161 - R$180", W1883&lt;=200, "181-R$194")</f>
        <v>até R$20</v>
      </c>
      <c r="Y1883" s="17">
        <v>20</v>
      </c>
      <c r="Z1883" s="17">
        <v>0</v>
      </c>
      <c r="AA1883" s="17">
        <v>0</v>
      </c>
      <c r="AB1883" s="17">
        <v>1</v>
      </c>
      <c r="AC1883" s="17">
        <v>2</v>
      </c>
      <c r="AD1883" s="17">
        <v>1</v>
      </c>
      <c r="AE1883" s="17">
        <v>0</v>
      </c>
      <c r="AF1883" s="17">
        <v>3</v>
      </c>
      <c r="AG1883" s="17">
        <v>9</v>
      </c>
      <c r="AH1883" s="17">
        <v>0</v>
      </c>
      <c r="AI1883" s="17">
        <v>0</v>
      </c>
      <c r="AJ1883" s="17">
        <v>0</v>
      </c>
      <c r="AK1883" s="17">
        <v>0</v>
      </c>
      <c r="AL1883" s="17">
        <v>0</v>
      </c>
      <c r="AM1883" s="17">
        <v>0</v>
      </c>
      <c r="AN1883" s="17">
        <v>0</v>
      </c>
      <c r="AO1883" s="18">
        <v>0</v>
      </c>
      <c r="AP1883" s="17">
        <v>3</v>
      </c>
      <c r="AQ1883" s="17">
        <v>11</v>
      </c>
      <c r="AR1883" s="19">
        <v>36</v>
      </c>
      <c r="AS1883" s="19">
        <v>37</v>
      </c>
    </row>
    <row r="1884" spans="1:45" x14ac:dyDescent="0.25">
      <c r="A1884">
        <v>1357</v>
      </c>
      <c r="B1884" s="11">
        <f t="shared" si="29"/>
        <v>21355</v>
      </c>
      <c r="C1884" s="16">
        <v>213550</v>
      </c>
      <c r="D1884" s="17">
        <v>1</v>
      </c>
      <c r="E1884" s="17">
        <v>0</v>
      </c>
      <c r="F1884" s="17">
        <v>5</v>
      </c>
      <c r="G1884" s="17">
        <v>35</v>
      </c>
      <c r="H1884" s="13" t="str" cm="1">
        <f t="array" ref="H1884">_xlfn.IFS(G1884&lt;=20,"0-20",G1884&lt;=30,"20-30",G1884&lt;=40,"30-40",G1884&lt;=50,"50-60",G1884&lt;=60,"60-70",G1884&lt;=70,"70-80",G1884&lt;=80,"80-90")</f>
        <v>30-40</v>
      </c>
      <c r="I1884" s="17">
        <v>2472</v>
      </c>
      <c r="J1884" s="13" t="str" cm="1">
        <f t="array" ref="J1884">_xlfn.IFS(K1884=1,"Divorciado",L1884=1,"Casado",M1884=1,"Solteiro",N1884=1,"Juntos",O1884=1,"Viuvo")</f>
        <v>Casado</v>
      </c>
      <c r="K1884" s="17">
        <v>0</v>
      </c>
      <c r="L1884" s="17">
        <v>1</v>
      </c>
      <c r="M1884" s="17">
        <v>0</v>
      </c>
      <c r="N1884" s="17">
        <v>0</v>
      </c>
      <c r="O1884" s="17">
        <v>0</v>
      </c>
      <c r="P1884" s="17">
        <v>0</v>
      </c>
      <c r="Q1884" s="17">
        <v>0</v>
      </c>
      <c r="R1884" s="17">
        <v>1</v>
      </c>
      <c r="S1884" s="17">
        <v>0</v>
      </c>
      <c r="T1884" s="17">
        <v>0</v>
      </c>
      <c r="U1884" s="17">
        <v>5</v>
      </c>
      <c r="V1884" s="13" t="str" cm="1">
        <f t="array" ref="V1884">_xlfn.IFS(U1884&lt;=250,"0-R$250",U1884&lt;=500,"251-R$500",U1884&lt;=750,"501-R$750",U1884&lt;=1000,"751-R$1000",U1884&lt;=1250,"1001-R$1250",U1884&lt;=1500,"1251-R$1500")</f>
        <v>0-R$250</v>
      </c>
      <c r="W1884" s="17">
        <v>13</v>
      </c>
      <c r="X1884" s="13" t="str" cm="1">
        <f t="array" ref="X1884">_xlfn.IFS(W1884 = 0, "0", W1884&lt;=20, "até R$20",W1884&lt;=40, "21 - R$40",W1884&lt;=60, "41- R$60",W1884&lt;=80, "61 - R$80", W1884&lt;=100, "81 - R$100",W1884&lt;=120, "101 - R$120",W1884&lt;=140, "121 - R$140", W1884&lt;=160, "141- R$160", W1884&lt;=180, "161 - R$180", W1884&lt;=200, "181-R$194")</f>
        <v>até R$20</v>
      </c>
      <c r="Y1884" s="17">
        <v>14</v>
      </c>
      <c r="Z1884" s="17">
        <v>0</v>
      </c>
      <c r="AA1884" s="17">
        <v>5</v>
      </c>
      <c r="AB1884" s="17">
        <v>31</v>
      </c>
      <c r="AC1884" s="17">
        <v>2</v>
      </c>
      <c r="AD1884" s="17">
        <v>2</v>
      </c>
      <c r="AE1884" s="17">
        <v>1</v>
      </c>
      <c r="AF1884" s="17">
        <v>2</v>
      </c>
      <c r="AG1884" s="17">
        <v>6</v>
      </c>
      <c r="AH1884" s="17">
        <v>0</v>
      </c>
      <c r="AI1884" s="17">
        <v>1</v>
      </c>
      <c r="AJ1884" s="17">
        <v>0</v>
      </c>
      <c r="AK1884" s="17">
        <v>0</v>
      </c>
      <c r="AL1884" s="17">
        <v>0</v>
      </c>
      <c r="AM1884" s="17">
        <v>0</v>
      </c>
      <c r="AN1884" s="17">
        <v>1</v>
      </c>
      <c r="AO1884" s="18">
        <v>1</v>
      </c>
      <c r="AP1884" s="17">
        <v>3</v>
      </c>
      <c r="AQ1884" s="17">
        <v>11</v>
      </c>
      <c r="AR1884" s="19">
        <v>6</v>
      </c>
      <c r="AS1884" s="19">
        <v>37</v>
      </c>
    </row>
    <row r="1885" spans="1:45" x14ac:dyDescent="0.25">
      <c r="A1885">
        <v>1614</v>
      </c>
      <c r="B1885" s="11">
        <f t="shared" si="29"/>
        <v>44078</v>
      </c>
      <c r="C1885" s="12">
        <v>440780</v>
      </c>
      <c r="D1885" s="13">
        <v>1</v>
      </c>
      <c r="E1885" s="13">
        <v>1</v>
      </c>
      <c r="F1885" s="13">
        <v>17</v>
      </c>
      <c r="G1885" s="13">
        <v>51</v>
      </c>
      <c r="H1885" s="13" t="str" cm="1">
        <f t="array" ref="H1885">_xlfn.IFS(G1885&lt;=20,"0-20",G1885&lt;=30,"20-30",G1885&lt;=40,"30-40",G1885&lt;=50,"50-60",G1885&lt;=60,"60-70",G1885&lt;=70,"70-80",G1885&lt;=80,"80-90")</f>
        <v>60-70</v>
      </c>
      <c r="I1885" s="13">
        <v>2169</v>
      </c>
      <c r="J1885" s="13" t="str" cm="1">
        <f t="array" ref="J1885">_xlfn.IFS(K1885=1,"Divorciado",L1885=1,"Casado",M1885=1,"Solteiro",N1885=1,"Juntos",O1885=1,"Viuvo")</f>
        <v>Casado</v>
      </c>
      <c r="K1885" s="13">
        <v>0</v>
      </c>
      <c r="L1885" s="13">
        <v>1</v>
      </c>
      <c r="M1885" s="13">
        <v>0</v>
      </c>
      <c r="N1885" s="13">
        <v>0</v>
      </c>
      <c r="O1885" s="13">
        <v>0</v>
      </c>
      <c r="P1885" s="13">
        <v>0</v>
      </c>
      <c r="Q1885" s="13">
        <v>0</v>
      </c>
      <c r="R1885" s="13">
        <v>1</v>
      </c>
      <c r="S1885" s="13">
        <v>0</v>
      </c>
      <c r="T1885" s="13">
        <v>0</v>
      </c>
      <c r="U1885" s="13">
        <v>24</v>
      </c>
      <c r="V1885" s="13" t="str" cm="1">
        <f t="array" ref="V1885">_xlfn.IFS(U1885&lt;=250,"0-R$250",U1885&lt;=500,"251-R$500",U1885&lt;=750,"501-R$750",U1885&lt;=1000,"751-R$1000",U1885&lt;=1250,"1001-R$1250",U1885&lt;=1500,"1251-R$1500")</f>
        <v>0-R$250</v>
      </c>
      <c r="W1885" s="13">
        <v>1</v>
      </c>
      <c r="X1885" s="13" t="str" cm="1">
        <f t="array" ref="X1885">_xlfn.IFS(W1885 = 0, "0", W1885&lt;=20, "até R$20",W1885&lt;=40, "21 - R$40",W1885&lt;=60, "41- R$60",W1885&lt;=80, "61 - R$80", W1885&lt;=100, "81 - R$100",W1885&lt;=120, "101 - R$120",W1885&lt;=140, "121 - R$140", W1885&lt;=160, "141- R$160", W1885&lt;=180, "161 - R$180", W1885&lt;=200, "181-R$194")</f>
        <v>até R$20</v>
      </c>
      <c r="Y1885" s="13">
        <v>10</v>
      </c>
      <c r="Z1885" s="13">
        <v>2</v>
      </c>
      <c r="AA1885" s="13">
        <v>0</v>
      </c>
      <c r="AB1885" s="13">
        <v>4</v>
      </c>
      <c r="AC1885" s="13">
        <v>2</v>
      </c>
      <c r="AD1885" s="13">
        <v>2</v>
      </c>
      <c r="AE1885" s="13">
        <v>0</v>
      </c>
      <c r="AF1885" s="13">
        <v>3</v>
      </c>
      <c r="AG1885" s="13">
        <v>5</v>
      </c>
      <c r="AH1885" s="13">
        <v>0</v>
      </c>
      <c r="AI1885" s="13">
        <v>0</v>
      </c>
      <c r="AJ1885" s="13">
        <v>0</v>
      </c>
      <c r="AK1885" s="13">
        <v>0</v>
      </c>
      <c r="AL1885" s="13">
        <v>0</v>
      </c>
      <c r="AM1885" s="13">
        <v>0</v>
      </c>
      <c r="AN1885" s="13">
        <v>0</v>
      </c>
      <c r="AO1885" s="14">
        <v>0</v>
      </c>
      <c r="AP1885" s="13">
        <v>3</v>
      </c>
      <c r="AQ1885" s="13">
        <v>11</v>
      </c>
      <c r="AR1885" s="15">
        <v>33</v>
      </c>
      <c r="AS1885" s="15">
        <v>37</v>
      </c>
    </row>
    <row r="1886" spans="1:45" x14ac:dyDescent="0.25">
      <c r="A1886">
        <v>1626</v>
      </c>
      <c r="B1886" s="11">
        <f t="shared" si="29"/>
        <v>22448</v>
      </c>
      <c r="C1886" s="12">
        <v>224480</v>
      </c>
      <c r="D1886" s="13">
        <v>1</v>
      </c>
      <c r="E1886" s="13">
        <v>0</v>
      </c>
      <c r="F1886" s="13">
        <v>86</v>
      </c>
      <c r="G1886" s="13">
        <v>38</v>
      </c>
      <c r="H1886" s="13" t="str" cm="1">
        <f t="array" ref="H1886">_xlfn.IFS(G1886&lt;=20,"0-20",G1886&lt;=30,"20-30",G1886&lt;=40,"30-40",G1886&lt;=50,"50-60",G1886&lt;=60,"60-70",G1886&lt;=70,"70-80",G1886&lt;=80,"80-90")</f>
        <v>30-40</v>
      </c>
      <c r="I1886" s="13">
        <v>2282</v>
      </c>
      <c r="J1886" s="13" t="str" cm="1">
        <f t="array" ref="J1886">_xlfn.IFS(K1886=1,"Divorciado",L1886=1,"Casado",M1886=1,"Solteiro",N1886=1,"Juntos",O1886=1,"Viuvo")</f>
        <v>Casado</v>
      </c>
      <c r="K1886" s="13">
        <v>0</v>
      </c>
      <c r="L1886" s="13">
        <v>1</v>
      </c>
      <c r="M1886" s="13">
        <v>0</v>
      </c>
      <c r="N1886" s="13">
        <v>0</v>
      </c>
      <c r="O1886" s="13">
        <v>0</v>
      </c>
      <c r="P1886" s="13">
        <v>0</v>
      </c>
      <c r="Q1886" s="13">
        <v>0</v>
      </c>
      <c r="R1886" s="13">
        <v>1</v>
      </c>
      <c r="S1886" s="13">
        <v>0</v>
      </c>
      <c r="T1886" s="13">
        <v>0</v>
      </c>
      <c r="U1886" s="13">
        <v>3</v>
      </c>
      <c r="V1886" s="13" t="str" cm="1">
        <f t="array" ref="V1886">_xlfn.IFS(U1886&lt;=250,"0-R$250",U1886&lt;=500,"251-R$500",U1886&lt;=750,"501-R$750",U1886&lt;=1000,"751-R$1000",U1886&lt;=1250,"1001-R$1250",U1886&lt;=1500,"1251-R$1500")</f>
        <v>0-R$250</v>
      </c>
      <c r="W1886" s="13">
        <v>1</v>
      </c>
      <c r="X1886" s="13" t="str" cm="1">
        <f t="array" ref="X1886">_xlfn.IFS(W1886 = 0, "0", W1886&lt;=20, "até R$20",W1886&lt;=40, "21 - R$40",W1886&lt;=60, "41- R$60",W1886&lt;=80, "61 - R$80", W1886&lt;=100, "81 - R$100",W1886&lt;=120, "101 - R$120",W1886&lt;=140, "121 - R$140", W1886&lt;=160, "141- R$160", W1886&lt;=180, "161 - R$180", W1886&lt;=200, "181-R$194")</f>
        <v>até R$20</v>
      </c>
      <c r="Y1886" s="13">
        <v>8</v>
      </c>
      <c r="Z1886" s="13">
        <v>23</v>
      </c>
      <c r="AA1886" s="13">
        <v>2</v>
      </c>
      <c r="AB1886" s="13">
        <v>18</v>
      </c>
      <c r="AC1886" s="13">
        <v>3</v>
      </c>
      <c r="AD1886" s="13">
        <v>2</v>
      </c>
      <c r="AE1886" s="13">
        <v>1</v>
      </c>
      <c r="AF1886" s="13">
        <v>3</v>
      </c>
      <c r="AG1886" s="13">
        <v>3</v>
      </c>
      <c r="AH1886" s="13">
        <v>0</v>
      </c>
      <c r="AI1886" s="13">
        <v>0</v>
      </c>
      <c r="AJ1886" s="13">
        <v>0</v>
      </c>
      <c r="AK1886" s="13">
        <v>0</v>
      </c>
      <c r="AL1886" s="13">
        <v>0</v>
      </c>
      <c r="AM1886" s="13">
        <v>0</v>
      </c>
      <c r="AN1886" s="13">
        <v>0</v>
      </c>
      <c r="AO1886" s="14">
        <v>0</v>
      </c>
      <c r="AP1886" s="13">
        <v>3</v>
      </c>
      <c r="AQ1886" s="13">
        <v>11</v>
      </c>
      <c r="AR1886" s="15">
        <v>19</v>
      </c>
      <c r="AS1886" s="15">
        <v>37</v>
      </c>
    </row>
    <row r="1887" spans="1:45" x14ac:dyDescent="0.25">
      <c r="A1887">
        <v>1657</v>
      </c>
      <c r="B1887" s="11">
        <f t="shared" si="29"/>
        <v>22554</v>
      </c>
      <c r="C1887" s="16">
        <v>225540</v>
      </c>
      <c r="D1887" s="17">
        <v>1</v>
      </c>
      <c r="E1887" s="17">
        <v>1</v>
      </c>
      <c r="F1887" s="17">
        <v>38</v>
      </c>
      <c r="G1887" s="17">
        <v>65</v>
      </c>
      <c r="H1887" s="13" t="str" cm="1">
        <f t="array" ref="H1887">_xlfn.IFS(G1887&lt;=20,"0-20",G1887&lt;=30,"20-30",G1887&lt;=40,"30-40",G1887&lt;=50,"50-60",G1887&lt;=60,"60-70",G1887&lt;=70,"70-80",G1887&lt;=80,"80-90")</f>
        <v>70-80</v>
      </c>
      <c r="I1887" s="17">
        <v>2762</v>
      </c>
      <c r="J1887" s="13" t="str" cm="1">
        <f t="array" ref="J1887">_xlfn.IFS(K1887=1,"Divorciado",L1887=1,"Casado",M1887=1,"Solteiro",N1887=1,"Juntos",O1887=1,"Viuvo")</f>
        <v>Casado</v>
      </c>
      <c r="K1887" s="17">
        <v>0</v>
      </c>
      <c r="L1887" s="17">
        <v>1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1</v>
      </c>
      <c r="U1887" s="17">
        <v>27</v>
      </c>
      <c r="V1887" s="13" t="str" cm="1">
        <f t="array" ref="V1887">_xlfn.IFS(U1887&lt;=250,"0-R$250",U1887&lt;=500,"251-R$500",U1887&lt;=750,"501-R$750",U1887&lt;=1000,"751-R$1000",U1887&lt;=1250,"1001-R$1250",U1887&lt;=1500,"1251-R$1500")</f>
        <v>0-R$250</v>
      </c>
      <c r="W1887" s="17">
        <v>0</v>
      </c>
      <c r="X1887" s="13" t="str" cm="1">
        <f t="array" ref="X1887">_xlfn.IFS(W1887 = 0, "0", W1887&lt;=20, "até R$20",W1887&lt;=40, "21 - R$40",W1887&lt;=60, "41- R$60",W1887&lt;=80, "61 - R$80", W1887&lt;=100, "81 - R$100",W1887&lt;=120, "101 - R$120",W1887&lt;=140, "121 - R$140", W1887&lt;=160, "141- R$160", W1887&lt;=180, "161 - R$180", W1887&lt;=200, "181-R$194")</f>
        <v>0</v>
      </c>
      <c r="Y1887" s="17">
        <v>10</v>
      </c>
      <c r="Z1887" s="17">
        <v>0</v>
      </c>
      <c r="AA1887" s="17">
        <v>0</v>
      </c>
      <c r="AB1887" s="17">
        <v>4</v>
      </c>
      <c r="AC1887" s="17">
        <v>4</v>
      </c>
      <c r="AD1887" s="17">
        <v>2</v>
      </c>
      <c r="AE1887" s="17">
        <v>0</v>
      </c>
      <c r="AF1887" s="17">
        <v>4</v>
      </c>
      <c r="AG1887" s="17">
        <v>5</v>
      </c>
      <c r="AH1887" s="17">
        <v>0</v>
      </c>
      <c r="AI1887" s="17">
        <v>0</v>
      </c>
      <c r="AJ1887" s="17">
        <v>0</v>
      </c>
      <c r="AK1887" s="17">
        <v>0</v>
      </c>
      <c r="AL1887" s="17">
        <v>0</v>
      </c>
      <c r="AM1887" s="17">
        <v>0</v>
      </c>
      <c r="AN1887" s="17">
        <v>0</v>
      </c>
      <c r="AO1887" s="18">
        <v>0</v>
      </c>
      <c r="AP1887" s="17">
        <v>3</v>
      </c>
      <c r="AQ1887" s="17">
        <v>11</v>
      </c>
      <c r="AR1887" s="19">
        <v>33</v>
      </c>
      <c r="AS1887" s="19">
        <v>37</v>
      </c>
    </row>
    <row r="1888" spans="1:45" x14ac:dyDescent="0.25">
      <c r="A1888">
        <v>1727</v>
      </c>
      <c r="B1888" s="11">
        <f t="shared" si="29"/>
        <v>31859</v>
      </c>
      <c r="C1888" s="16">
        <v>318590</v>
      </c>
      <c r="D1888" s="17">
        <v>1</v>
      </c>
      <c r="E1888" s="17">
        <v>0</v>
      </c>
      <c r="F1888" s="17">
        <v>3</v>
      </c>
      <c r="G1888" s="17">
        <v>40</v>
      </c>
      <c r="H1888" s="13" t="str" cm="1">
        <f t="array" ref="H1888">_xlfn.IFS(G1888&lt;=20,"0-20",G1888&lt;=30,"20-30",G1888&lt;=40,"30-40",G1888&lt;=50,"50-60",G1888&lt;=60,"60-70",G1888&lt;=70,"70-80",G1888&lt;=80,"80-90")</f>
        <v>30-40</v>
      </c>
      <c r="I1888" s="17">
        <v>2281</v>
      </c>
      <c r="J1888" s="13" t="str" cm="1">
        <f t="array" ref="J1888">_xlfn.IFS(K1888=1,"Divorciado",L1888=1,"Casado",M1888=1,"Solteiro",N1888=1,"Juntos",O1888=1,"Viuvo")</f>
        <v>Solteiro</v>
      </c>
      <c r="K1888" s="17">
        <v>0</v>
      </c>
      <c r="L1888" s="17">
        <v>0</v>
      </c>
      <c r="M1888" s="17">
        <v>1</v>
      </c>
      <c r="N1888" s="17">
        <v>0</v>
      </c>
      <c r="O1888" s="17">
        <v>0</v>
      </c>
      <c r="P1888" s="17">
        <v>1</v>
      </c>
      <c r="Q1888" s="17">
        <v>0</v>
      </c>
      <c r="R1888" s="17">
        <v>0</v>
      </c>
      <c r="S1888" s="17">
        <v>0</v>
      </c>
      <c r="T1888" s="17">
        <v>0</v>
      </c>
      <c r="U1888" s="17">
        <v>3</v>
      </c>
      <c r="V1888" s="13" t="str" cm="1">
        <f t="array" ref="V1888">_xlfn.IFS(U1888&lt;=250,"0-R$250",U1888&lt;=500,"251-R$500",U1888&lt;=750,"501-R$750",U1888&lt;=1000,"751-R$1000",U1888&lt;=1250,"1001-R$1250",U1888&lt;=1500,"1251-R$1500")</f>
        <v>0-R$250</v>
      </c>
      <c r="W1888" s="17">
        <v>4</v>
      </c>
      <c r="X1888" s="13" t="str" cm="1">
        <f t="array" ref="X1888">_xlfn.IFS(W1888 = 0, "0", W1888&lt;=20, "até R$20",W1888&lt;=40, "21 - R$40",W1888&lt;=60, "41- R$60",W1888&lt;=80, "61 - R$80", W1888&lt;=100, "81 - R$100",W1888&lt;=120, "101 - R$120",W1888&lt;=140, "121 - R$140", W1888&lt;=160, "141- R$160", W1888&lt;=180, "161 - R$180", W1888&lt;=200, "181-R$194")</f>
        <v>até R$20</v>
      </c>
      <c r="Y1888" s="17">
        <v>7</v>
      </c>
      <c r="Z1888" s="17">
        <v>15</v>
      </c>
      <c r="AA1888" s="17">
        <v>8</v>
      </c>
      <c r="AB1888" s="17">
        <v>11</v>
      </c>
      <c r="AC1888" s="17">
        <v>1</v>
      </c>
      <c r="AD1888" s="17">
        <v>1</v>
      </c>
      <c r="AE1888" s="17">
        <v>0</v>
      </c>
      <c r="AF1888" s="17">
        <v>3</v>
      </c>
      <c r="AG1888" s="17">
        <v>7</v>
      </c>
      <c r="AH1888" s="17">
        <v>0</v>
      </c>
      <c r="AI1888" s="17">
        <v>0</v>
      </c>
      <c r="AJ1888" s="17">
        <v>0</v>
      </c>
      <c r="AK1888" s="17">
        <v>0</v>
      </c>
      <c r="AL1888" s="17">
        <v>0</v>
      </c>
      <c r="AM1888" s="17">
        <v>0</v>
      </c>
      <c r="AN1888" s="17">
        <v>0</v>
      </c>
      <c r="AO1888" s="18">
        <v>0</v>
      </c>
      <c r="AP1888" s="17">
        <v>3</v>
      </c>
      <c r="AQ1888" s="17">
        <v>11</v>
      </c>
      <c r="AR1888" s="19">
        <v>26</v>
      </c>
      <c r="AS1888" s="19">
        <v>37</v>
      </c>
    </row>
    <row r="1889" spans="1:45" x14ac:dyDescent="0.25">
      <c r="A1889">
        <v>1729</v>
      </c>
      <c r="B1889" s="11">
        <f t="shared" si="29"/>
        <v>30372</v>
      </c>
      <c r="C1889" s="16">
        <v>303720</v>
      </c>
      <c r="D1889" s="17">
        <v>1</v>
      </c>
      <c r="E1889" s="17">
        <v>1</v>
      </c>
      <c r="F1889" s="17">
        <v>33</v>
      </c>
      <c r="G1889" s="17">
        <v>49</v>
      </c>
      <c r="H1889" s="13" t="str" cm="1">
        <f t="array" ref="H1889">_xlfn.IFS(G1889&lt;=20,"0-20",G1889&lt;=30,"20-30",G1889&lt;=40,"30-40",G1889&lt;=50,"50-60",G1889&lt;=60,"60-70",G1889&lt;=70,"70-80",G1889&lt;=80,"80-90")</f>
        <v>50-60</v>
      </c>
      <c r="I1889" s="17">
        <v>2710</v>
      </c>
      <c r="J1889" s="13" t="str" cm="1">
        <f t="array" ref="J1889">_xlfn.IFS(K1889=1,"Divorciado",L1889=1,"Casado",M1889=1,"Solteiro",N1889=1,"Juntos",O1889=1,"Viuvo")</f>
        <v>Viuvo</v>
      </c>
      <c r="K1889" s="17">
        <v>0</v>
      </c>
      <c r="L1889" s="17">
        <v>0</v>
      </c>
      <c r="M1889" s="17">
        <v>0</v>
      </c>
      <c r="N1889" s="17">
        <v>0</v>
      </c>
      <c r="O1889" s="17">
        <v>1</v>
      </c>
      <c r="P1889" s="17">
        <v>0</v>
      </c>
      <c r="Q1889" s="17">
        <v>0</v>
      </c>
      <c r="R1889" s="17">
        <v>1</v>
      </c>
      <c r="S1889" s="17">
        <v>0</v>
      </c>
      <c r="T1889" s="17">
        <v>0</v>
      </c>
      <c r="U1889" s="17">
        <v>15</v>
      </c>
      <c r="V1889" s="13" t="str" cm="1">
        <f t="array" ref="V1889">_xlfn.IFS(U1889&lt;=250,"0-R$250",U1889&lt;=500,"251-R$500",U1889&lt;=750,"501-R$750",U1889&lt;=1000,"751-R$1000",U1889&lt;=1250,"1001-R$1250",U1889&lt;=1500,"1251-R$1500")</f>
        <v>0-R$250</v>
      </c>
      <c r="W1889" s="17">
        <v>0</v>
      </c>
      <c r="X1889" s="13" t="str" cm="1">
        <f t="array" ref="X1889">_xlfn.IFS(W1889 = 0, "0", W1889&lt;=20, "até R$20",W1889&lt;=40, "21 - R$40",W1889&lt;=60, "41- R$60",W1889&lt;=80, "61 - R$80", W1889&lt;=100, "81 - R$100",W1889&lt;=120, "101 - R$120",W1889&lt;=140, "121 - R$140", W1889&lt;=160, "141- R$160", W1889&lt;=180, "161 - R$180", W1889&lt;=200, "181-R$194")</f>
        <v>0</v>
      </c>
      <c r="Y1889" s="17">
        <v>12</v>
      </c>
      <c r="Z1889" s="17">
        <v>7</v>
      </c>
      <c r="AA1889" s="17">
        <v>3</v>
      </c>
      <c r="AB1889" s="17">
        <v>7</v>
      </c>
      <c r="AC1889" s="17">
        <v>3</v>
      </c>
      <c r="AD1889" s="17">
        <v>2</v>
      </c>
      <c r="AE1889" s="17">
        <v>0</v>
      </c>
      <c r="AF1889" s="17">
        <v>3</v>
      </c>
      <c r="AG1889" s="17">
        <v>7</v>
      </c>
      <c r="AH1889" s="17">
        <v>0</v>
      </c>
      <c r="AI1889" s="17">
        <v>0</v>
      </c>
      <c r="AJ1889" s="17">
        <v>0</v>
      </c>
      <c r="AK1889" s="17">
        <v>0</v>
      </c>
      <c r="AL1889" s="17">
        <v>0</v>
      </c>
      <c r="AM1889" s="17">
        <v>0</v>
      </c>
      <c r="AN1889" s="17">
        <v>0</v>
      </c>
      <c r="AO1889" s="18">
        <v>0</v>
      </c>
      <c r="AP1889" s="17">
        <v>3</v>
      </c>
      <c r="AQ1889" s="17">
        <v>11</v>
      </c>
      <c r="AR1889" s="19">
        <v>30</v>
      </c>
      <c r="AS1889" s="19">
        <v>37</v>
      </c>
    </row>
    <row r="1890" spans="1:45" x14ac:dyDescent="0.25">
      <c r="A1890">
        <v>1878</v>
      </c>
      <c r="B1890" s="11">
        <f t="shared" si="29"/>
        <v>29819</v>
      </c>
      <c r="C1890" s="12">
        <v>298190</v>
      </c>
      <c r="D1890" s="13">
        <v>1</v>
      </c>
      <c r="E1890" s="13">
        <v>0</v>
      </c>
      <c r="F1890" s="13">
        <v>77</v>
      </c>
      <c r="G1890" s="13">
        <v>49</v>
      </c>
      <c r="H1890" s="13" t="str" cm="1">
        <f t="array" ref="H1890">_xlfn.IFS(G1890&lt;=20,"0-20",G1890&lt;=30,"20-30",G1890&lt;=40,"30-40",G1890&lt;=50,"50-60",G1890&lt;=60,"60-70",G1890&lt;=70,"70-80",G1890&lt;=80,"80-90")</f>
        <v>50-60</v>
      </c>
      <c r="I1890" s="13">
        <v>2407</v>
      </c>
      <c r="J1890" s="13" t="str" cm="1">
        <f t="array" ref="J1890">_xlfn.IFS(K1890=1,"Divorciado",L1890=1,"Casado",M1890=1,"Solteiro",N1890=1,"Juntos",O1890=1,"Viuvo")</f>
        <v>Divorciado</v>
      </c>
      <c r="K1890" s="13">
        <v>1</v>
      </c>
      <c r="L1890" s="13">
        <v>0</v>
      </c>
      <c r="M1890" s="13">
        <v>0</v>
      </c>
      <c r="N1890" s="13">
        <v>0</v>
      </c>
      <c r="O1890" s="13">
        <v>0</v>
      </c>
      <c r="P1890" s="13">
        <v>0</v>
      </c>
      <c r="Q1890" s="13">
        <v>0</v>
      </c>
      <c r="R1890" s="13">
        <v>1</v>
      </c>
      <c r="S1890" s="13">
        <v>0</v>
      </c>
      <c r="T1890" s="13">
        <v>0</v>
      </c>
      <c r="U1890" s="13">
        <v>9</v>
      </c>
      <c r="V1890" s="13" t="str" cm="1">
        <f t="array" ref="V1890">_xlfn.IFS(U1890&lt;=250,"0-R$250",U1890&lt;=500,"251-R$500",U1890&lt;=750,"501-R$750",U1890&lt;=1000,"751-R$1000",U1890&lt;=1250,"1001-R$1250",U1890&lt;=1500,"1251-R$1500")</f>
        <v>0-R$250</v>
      </c>
      <c r="W1890" s="13">
        <v>1</v>
      </c>
      <c r="X1890" s="13" t="str" cm="1">
        <f t="array" ref="X1890">_xlfn.IFS(W1890 = 0, "0", W1890&lt;=20, "até R$20",W1890&lt;=40, "21 - R$40",W1890&lt;=60, "41- R$60",W1890&lt;=80, "61 - R$80", W1890&lt;=100, "81 - R$100",W1890&lt;=120, "101 - R$120",W1890&lt;=140, "121 - R$140", W1890&lt;=160, "141- R$160", W1890&lt;=180, "161 - R$180", W1890&lt;=200, "181-R$194")</f>
        <v>até R$20</v>
      </c>
      <c r="Y1890" s="13">
        <v>24</v>
      </c>
      <c r="Z1890" s="13">
        <v>2</v>
      </c>
      <c r="AA1890" s="13">
        <v>1</v>
      </c>
      <c r="AB1890" s="13">
        <v>2</v>
      </c>
      <c r="AC1890" s="13">
        <v>3</v>
      </c>
      <c r="AD1890" s="13">
        <v>3</v>
      </c>
      <c r="AE1890" s="13">
        <v>0</v>
      </c>
      <c r="AF1890" s="13">
        <v>3</v>
      </c>
      <c r="AG1890" s="13">
        <v>6</v>
      </c>
      <c r="AH1890" s="13">
        <v>0</v>
      </c>
      <c r="AI1890" s="13">
        <v>0</v>
      </c>
      <c r="AJ1890" s="13">
        <v>0</v>
      </c>
      <c r="AK1890" s="13">
        <v>0</v>
      </c>
      <c r="AL1890" s="13">
        <v>0</v>
      </c>
      <c r="AM1890" s="13">
        <v>0</v>
      </c>
      <c r="AN1890" s="13">
        <v>0</v>
      </c>
      <c r="AO1890" s="14">
        <v>0</v>
      </c>
      <c r="AP1890" s="13">
        <v>3</v>
      </c>
      <c r="AQ1890" s="13">
        <v>11</v>
      </c>
      <c r="AR1890" s="15">
        <v>35</v>
      </c>
      <c r="AS1890" s="15">
        <v>37</v>
      </c>
    </row>
    <row r="1891" spans="1:45" x14ac:dyDescent="0.25">
      <c r="A1891">
        <v>2042</v>
      </c>
      <c r="B1891" s="11">
        <f t="shared" si="29"/>
        <v>34350</v>
      </c>
      <c r="C1891" s="12">
        <v>343500</v>
      </c>
      <c r="D1891" s="13">
        <v>1</v>
      </c>
      <c r="E1891" s="13">
        <v>0</v>
      </c>
      <c r="F1891" s="13">
        <v>81</v>
      </c>
      <c r="G1891" s="13">
        <v>41</v>
      </c>
      <c r="H1891" s="13" t="str" cm="1">
        <f t="array" ref="H1891">_xlfn.IFS(G1891&lt;=20,"0-20",G1891&lt;=30,"20-30",G1891&lt;=40,"30-40",G1891&lt;=50,"50-60",G1891&lt;=60,"60-70",G1891&lt;=70,"70-80",G1891&lt;=80,"80-90")</f>
        <v>50-60</v>
      </c>
      <c r="I1891" s="13">
        <v>2412</v>
      </c>
      <c r="J1891" s="13" t="str" cm="1">
        <f t="array" ref="J1891">_xlfn.IFS(K1891=1,"Divorciado",L1891=1,"Casado",M1891=1,"Solteiro",N1891=1,"Juntos",O1891=1,"Viuvo")</f>
        <v>Juntos</v>
      </c>
      <c r="K1891" s="13">
        <v>0</v>
      </c>
      <c r="L1891" s="13">
        <v>0</v>
      </c>
      <c r="M1891" s="13">
        <v>0</v>
      </c>
      <c r="N1891" s="13">
        <v>1</v>
      </c>
      <c r="O1891" s="13">
        <v>0</v>
      </c>
      <c r="P1891" s="13">
        <v>0</v>
      </c>
      <c r="Q1891" s="13">
        <v>0</v>
      </c>
      <c r="R1891" s="13">
        <v>1</v>
      </c>
      <c r="S1891" s="13">
        <v>0</v>
      </c>
      <c r="T1891" s="13">
        <v>0</v>
      </c>
      <c r="U1891" s="13">
        <v>16</v>
      </c>
      <c r="V1891" s="13" t="str" cm="1">
        <f t="array" ref="V1891">_xlfn.IFS(U1891&lt;=250,"0-R$250",U1891&lt;=500,"251-R$500",U1891&lt;=750,"501-R$750",U1891&lt;=1000,"751-R$1000",U1891&lt;=1250,"1001-R$1250",U1891&lt;=1500,"1251-R$1500")</f>
        <v>0-R$250</v>
      </c>
      <c r="W1891" s="13">
        <v>3</v>
      </c>
      <c r="X1891" s="13" t="str" cm="1">
        <f t="array" ref="X1891">_xlfn.IFS(W1891 = 0, "0", W1891&lt;=20, "até R$20",W1891&lt;=40, "21 - R$40",W1891&lt;=60, "41- R$60",W1891&lt;=80, "61 - R$80", W1891&lt;=100, "81 - R$100",W1891&lt;=120, "101 - R$120",W1891&lt;=140, "121 - R$140", W1891&lt;=160, "141- R$160", W1891&lt;=180, "161 - R$180", W1891&lt;=200, "181-R$194")</f>
        <v>até R$20</v>
      </c>
      <c r="Y1891" s="13">
        <v>15</v>
      </c>
      <c r="Z1891" s="13">
        <v>2</v>
      </c>
      <c r="AA1891" s="13">
        <v>1</v>
      </c>
      <c r="AB1891" s="13">
        <v>11</v>
      </c>
      <c r="AC1891" s="13">
        <v>1</v>
      </c>
      <c r="AD1891" s="13">
        <v>1</v>
      </c>
      <c r="AE1891" s="13">
        <v>0</v>
      </c>
      <c r="AF1891" s="13">
        <v>3</v>
      </c>
      <c r="AG1891" s="13">
        <v>7</v>
      </c>
      <c r="AH1891" s="13">
        <v>0</v>
      </c>
      <c r="AI1891" s="13">
        <v>0</v>
      </c>
      <c r="AJ1891" s="13">
        <v>0</v>
      </c>
      <c r="AK1891" s="13">
        <v>0</v>
      </c>
      <c r="AL1891" s="13">
        <v>0</v>
      </c>
      <c r="AM1891" s="13">
        <v>0</v>
      </c>
      <c r="AN1891" s="13">
        <v>0</v>
      </c>
      <c r="AO1891" s="14">
        <v>0</v>
      </c>
      <c r="AP1891" s="13">
        <v>3</v>
      </c>
      <c r="AQ1891" s="13">
        <v>11</v>
      </c>
      <c r="AR1891" s="15">
        <v>26</v>
      </c>
      <c r="AS1891" s="15">
        <v>37</v>
      </c>
    </row>
    <row r="1892" spans="1:45" x14ac:dyDescent="0.25">
      <c r="A1892">
        <v>10</v>
      </c>
      <c r="B1892" s="11">
        <f t="shared" si="29"/>
        <v>5648</v>
      </c>
      <c r="C1892" s="12">
        <v>56480</v>
      </c>
      <c r="D1892" s="13">
        <v>1</v>
      </c>
      <c r="E1892" s="13">
        <v>1</v>
      </c>
      <c r="F1892" s="13">
        <v>68</v>
      </c>
      <c r="G1892" s="13">
        <v>70</v>
      </c>
      <c r="H1892" s="13" t="str" cm="1">
        <f t="array" ref="H1892">_xlfn.IFS(G1892&lt;=20,"0-20",G1892&lt;=30,"20-30",G1892&lt;=40,"30-40",G1892&lt;=50,"50-60",G1892&lt;=60,"60-70",G1892&lt;=70,"70-80",G1892&lt;=80,"80-90")</f>
        <v>70-80</v>
      </c>
      <c r="I1892" s="13">
        <v>2267</v>
      </c>
      <c r="J1892" s="13" t="str" cm="1">
        <f t="array" ref="J1892">_xlfn.IFS(K1892=1,"Divorciado",L1892=1,"Casado",M1892=1,"Solteiro",N1892=1,"Juntos",O1892=1,"Viuvo")</f>
        <v>Juntos</v>
      </c>
      <c r="K1892" s="13">
        <v>0</v>
      </c>
      <c r="L1892" s="13">
        <v>0</v>
      </c>
      <c r="M1892" s="13">
        <v>0</v>
      </c>
      <c r="N1892" s="13">
        <v>1</v>
      </c>
      <c r="O1892" s="13">
        <v>0</v>
      </c>
      <c r="P1892" s="13">
        <v>0</v>
      </c>
      <c r="Q1892" s="13">
        <v>0</v>
      </c>
      <c r="R1892" s="13">
        <v>0</v>
      </c>
      <c r="S1892" s="13">
        <v>0</v>
      </c>
      <c r="T1892" s="13">
        <v>1</v>
      </c>
      <c r="U1892" s="13">
        <v>28</v>
      </c>
      <c r="V1892" s="13" t="str" cm="1">
        <f t="array" ref="V1892">_xlfn.IFS(U1892&lt;=250,"0-R$250",U1892&lt;=500,"251-R$500",U1892&lt;=750,"501-R$750",U1892&lt;=1000,"751-R$1000",U1892&lt;=1250,"1001-R$1250",U1892&lt;=1500,"1251-R$1500")</f>
        <v>0-R$250</v>
      </c>
      <c r="W1892" s="13">
        <v>0</v>
      </c>
      <c r="X1892" s="13" t="str" cm="1">
        <f t="array" ref="X1892">_xlfn.IFS(W1892 = 0, "0", W1892&lt;=20, "até R$20",W1892&lt;=40, "21 - R$40",W1892&lt;=60, "41- R$60",W1892&lt;=80, "61 - R$80", W1892&lt;=100, "81 - R$100",W1892&lt;=120, "101 - R$120",W1892&lt;=140, "121 - R$140", W1892&lt;=160, "141- R$160", W1892&lt;=180, "161 - R$180", W1892&lt;=200, "181-R$194")</f>
        <v>0</v>
      </c>
      <c r="Y1892" s="13">
        <v>6</v>
      </c>
      <c r="Z1892" s="13">
        <v>1</v>
      </c>
      <c r="AA1892" s="13">
        <v>1</v>
      </c>
      <c r="AB1892" s="13">
        <v>13</v>
      </c>
      <c r="AC1892" s="13">
        <v>1</v>
      </c>
      <c r="AD1892" s="13">
        <v>1</v>
      </c>
      <c r="AE1892" s="13">
        <v>0</v>
      </c>
      <c r="AF1892" s="13">
        <v>0</v>
      </c>
      <c r="AG1892" s="13">
        <v>20</v>
      </c>
      <c r="AH1892" s="13">
        <v>0</v>
      </c>
      <c r="AI1892" s="13">
        <v>1</v>
      </c>
      <c r="AJ1892" s="13">
        <v>0</v>
      </c>
      <c r="AK1892" s="13">
        <v>0</v>
      </c>
      <c r="AL1892" s="13">
        <v>0</v>
      </c>
      <c r="AM1892" s="13">
        <v>0</v>
      </c>
      <c r="AN1892" s="13">
        <v>0</v>
      </c>
      <c r="AO1892" s="14">
        <v>1</v>
      </c>
      <c r="AP1892" s="13">
        <v>3</v>
      </c>
      <c r="AQ1892" s="13">
        <v>11</v>
      </c>
      <c r="AR1892" s="15">
        <v>23</v>
      </c>
      <c r="AS1892" s="15">
        <v>36</v>
      </c>
    </row>
    <row r="1893" spans="1:45" x14ac:dyDescent="0.25">
      <c r="A1893">
        <v>87</v>
      </c>
      <c r="B1893" s="11">
        <f t="shared" si="29"/>
        <v>30096</v>
      </c>
      <c r="C1893" s="16">
        <v>300960</v>
      </c>
      <c r="D1893" s="17">
        <v>1</v>
      </c>
      <c r="E1893" s="17">
        <v>0</v>
      </c>
      <c r="F1893" s="17">
        <v>30</v>
      </c>
      <c r="G1893" s="17">
        <v>37</v>
      </c>
      <c r="H1893" s="13" t="str" cm="1">
        <f t="array" ref="H1893">_xlfn.IFS(G1893&lt;=20,"0-20",G1893&lt;=30,"20-30",G1893&lt;=40,"30-40",G1893&lt;=50,"50-60",G1893&lt;=60,"60-70",G1893&lt;=70,"70-80",G1893&lt;=80,"80-90")</f>
        <v>30-40</v>
      </c>
      <c r="I1893" s="17">
        <v>2197</v>
      </c>
      <c r="J1893" s="13" t="str" cm="1">
        <f t="array" ref="J1893">_xlfn.IFS(K1893=1,"Divorciado",L1893=1,"Casado",M1893=1,"Solteiro",N1893=1,"Juntos",O1893=1,"Viuvo")</f>
        <v>Casado</v>
      </c>
      <c r="K1893" s="17">
        <v>0</v>
      </c>
      <c r="L1893" s="17">
        <v>1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1</v>
      </c>
      <c r="S1893" s="17">
        <v>0</v>
      </c>
      <c r="T1893" s="17">
        <v>0</v>
      </c>
      <c r="U1893" s="17">
        <v>5</v>
      </c>
      <c r="V1893" s="13" t="str" cm="1">
        <f t="array" ref="V1893">_xlfn.IFS(U1893&lt;=250,"0-R$250",U1893&lt;=500,"251-R$500",U1893&lt;=750,"501-R$750",U1893&lt;=1000,"751-R$1000",U1893&lt;=1250,"1001-R$1250",U1893&lt;=1500,"1251-R$1500")</f>
        <v>0-R$250</v>
      </c>
      <c r="W1893" s="17">
        <v>3</v>
      </c>
      <c r="X1893" s="13" t="str" cm="1">
        <f t="array" ref="X1893">_xlfn.IFS(W1893 = 0, "0", W1893&lt;=20, "até R$20",W1893&lt;=40, "21 - R$40",W1893&lt;=60, "41- R$60",W1893&lt;=80, "61 - R$80", W1893&lt;=100, "81 - R$100",W1893&lt;=120, "101 - R$120",W1893&lt;=140, "121 - R$140", W1893&lt;=160, "141- R$160", W1893&lt;=180, "161 - R$180", W1893&lt;=200, "181-R$194")</f>
        <v>até R$20</v>
      </c>
      <c r="Y1893" s="17">
        <v>11</v>
      </c>
      <c r="Z1893" s="17">
        <v>12</v>
      </c>
      <c r="AA1893" s="17">
        <v>5</v>
      </c>
      <c r="AB1893" s="17">
        <v>9</v>
      </c>
      <c r="AC1893" s="17">
        <v>1</v>
      </c>
      <c r="AD1893" s="17">
        <v>2</v>
      </c>
      <c r="AE1893" s="17">
        <v>0</v>
      </c>
      <c r="AF1893" s="17">
        <v>3</v>
      </c>
      <c r="AG1893" s="17">
        <v>6</v>
      </c>
      <c r="AH1893" s="17">
        <v>0</v>
      </c>
      <c r="AI1893" s="17">
        <v>0</v>
      </c>
      <c r="AJ1893" s="17">
        <v>0</v>
      </c>
      <c r="AK1893" s="17">
        <v>0</v>
      </c>
      <c r="AL1893" s="17">
        <v>0</v>
      </c>
      <c r="AM1893" s="17">
        <v>0</v>
      </c>
      <c r="AN1893" s="17">
        <v>0</v>
      </c>
      <c r="AO1893" s="18">
        <v>0</v>
      </c>
      <c r="AP1893" s="17">
        <v>3</v>
      </c>
      <c r="AQ1893" s="17">
        <v>11</v>
      </c>
      <c r="AR1893" s="19">
        <v>27</v>
      </c>
      <c r="AS1893" s="19">
        <v>36</v>
      </c>
    </row>
    <row r="1894" spans="1:45" x14ac:dyDescent="0.25">
      <c r="A1894">
        <v>297</v>
      </c>
      <c r="B1894" s="11">
        <f t="shared" si="29"/>
        <v>12571</v>
      </c>
      <c r="C1894" s="16">
        <v>125710</v>
      </c>
      <c r="D1894" s="17">
        <v>1</v>
      </c>
      <c r="E1894" s="17">
        <v>0</v>
      </c>
      <c r="F1894" s="17">
        <v>86</v>
      </c>
      <c r="G1894" s="17">
        <v>44</v>
      </c>
      <c r="H1894" s="13" t="str" cm="1">
        <f t="array" ref="H1894">_xlfn.IFS(G1894&lt;=20,"0-20",G1894&lt;=30,"20-30",G1894&lt;=40,"30-40",G1894&lt;=50,"50-60",G1894&lt;=60,"60-70",G1894&lt;=70,"70-80",G1894&lt;=80,"80-90")</f>
        <v>50-60</v>
      </c>
      <c r="I1894" s="17">
        <v>2321</v>
      </c>
      <c r="J1894" s="13" t="str" cm="1">
        <f t="array" ref="J1894">_xlfn.IFS(K1894=1,"Divorciado",L1894=1,"Casado",M1894=1,"Solteiro",N1894=1,"Juntos",O1894=1,"Viuvo")</f>
        <v>Divorciado</v>
      </c>
      <c r="K1894" s="17">
        <v>1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1</v>
      </c>
      <c r="S1894" s="17">
        <v>0</v>
      </c>
      <c r="T1894" s="17">
        <v>0</v>
      </c>
      <c r="U1894" s="17">
        <v>3</v>
      </c>
      <c r="V1894" s="13" t="str" cm="1">
        <f t="array" ref="V1894">_xlfn.IFS(U1894&lt;=250,"0-R$250",U1894&lt;=500,"251-R$500",U1894&lt;=750,"501-R$750",U1894&lt;=1000,"751-R$1000",U1894&lt;=1250,"1001-R$1250",U1894&lt;=1500,"1251-R$1500")</f>
        <v>0-R$250</v>
      </c>
      <c r="W1894" s="17">
        <v>5</v>
      </c>
      <c r="X1894" s="13" t="str" cm="1">
        <f t="array" ref="X1894">_xlfn.IFS(W1894 = 0, "0", W1894&lt;=20, "até R$20",W1894&lt;=40, "21 - R$40",W1894&lt;=60, "41- R$60",W1894&lt;=80, "61 - R$80", W1894&lt;=100, "81 - R$100",W1894&lt;=120, "101 - R$120",W1894&lt;=140, "121 - R$140", W1894&lt;=160, "141- R$160", W1894&lt;=180, "161 - R$180", W1894&lt;=200, "181-R$194")</f>
        <v>até R$20</v>
      </c>
      <c r="Y1894" s="17">
        <v>14</v>
      </c>
      <c r="Z1894" s="17">
        <v>2</v>
      </c>
      <c r="AA1894" s="17">
        <v>12</v>
      </c>
      <c r="AB1894" s="17">
        <v>17</v>
      </c>
      <c r="AC1894" s="17">
        <v>4</v>
      </c>
      <c r="AD1894" s="17">
        <v>3</v>
      </c>
      <c r="AE1894" s="17">
        <v>1</v>
      </c>
      <c r="AF1894" s="17">
        <v>3</v>
      </c>
      <c r="AG1894" s="17">
        <v>6</v>
      </c>
      <c r="AH1894" s="17">
        <v>0</v>
      </c>
      <c r="AI1894" s="17">
        <v>0</v>
      </c>
      <c r="AJ1894" s="17">
        <v>0</v>
      </c>
      <c r="AK1894" s="17">
        <v>0</v>
      </c>
      <c r="AL1894" s="17">
        <v>0</v>
      </c>
      <c r="AM1894" s="17">
        <v>0</v>
      </c>
      <c r="AN1894" s="17">
        <v>0</v>
      </c>
      <c r="AO1894" s="18">
        <v>0</v>
      </c>
      <c r="AP1894" s="17">
        <v>3</v>
      </c>
      <c r="AQ1894" s="17">
        <v>11</v>
      </c>
      <c r="AR1894" s="19">
        <v>19</v>
      </c>
      <c r="AS1894" s="19">
        <v>36</v>
      </c>
    </row>
    <row r="1895" spans="1:45" x14ac:dyDescent="0.25">
      <c r="A1895">
        <v>361</v>
      </c>
      <c r="B1895" s="11">
        <f t="shared" si="29"/>
        <v>30279</v>
      </c>
      <c r="C1895" s="16">
        <v>302790</v>
      </c>
      <c r="D1895" s="17">
        <v>1</v>
      </c>
      <c r="E1895" s="17">
        <v>0</v>
      </c>
      <c r="F1895" s="17">
        <v>13</v>
      </c>
      <c r="G1895" s="17">
        <v>31</v>
      </c>
      <c r="H1895" s="13" t="str" cm="1">
        <f t="array" ref="H1895">_xlfn.IFS(G1895&lt;=20,"0-20",G1895&lt;=30,"20-30",G1895&lt;=40,"30-40",G1895&lt;=50,"50-60",G1895&lt;=60,"60-70",G1895&lt;=70,"70-80",G1895&lt;=80,"80-90")</f>
        <v>30-40</v>
      </c>
      <c r="I1895" s="17">
        <v>2705</v>
      </c>
      <c r="J1895" s="13" t="str" cm="1">
        <f t="array" ref="J1895">_xlfn.IFS(K1895=1,"Divorciado",L1895=1,"Casado",M1895=1,"Solteiro",N1895=1,"Juntos",O1895=1,"Viuvo")</f>
        <v>Solteiro</v>
      </c>
      <c r="K1895" s="17">
        <v>0</v>
      </c>
      <c r="L1895" s="17">
        <v>0</v>
      </c>
      <c r="M1895" s="17">
        <v>1</v>
      </c>
      <c r="N1895" s="17">
        <v>0</v>
      </c>
      <c r="O1895" s="17">
        <v>0</v>
      </c>
      <c r="P1895" s="17">
        <v>0</v>
      </c>
      <c r="Q1895" s="17">
        <v>0</v>
      </c>
      <c r="R1895" s="17">
        <v>1</v>
      </c>
      <c r="S1895" s="17">
        <v>0</v>
      </c>
      <c r="T1895" s="17">
        <v>0</v>
      </c>
      <c r="U1895" s="17">
        <v>10</v>
      </c>
      <c r="V1895" s="13" t="str" cm="1">
        <f t="array" ref="V1895">_xlfn.IFS(U1895&lt;=250,"0-R$250",U1895&lt;=500,"251-R$500",U1895&lt;=750,"501-R$750",U1895&lt;=1000,"751-R$1000",U1895&lt;=1250,"1001-R$1250",U1895&lt;=1500,"1251-R$1500")</f>
        <v>0-R$250</v>
      </c>
      <c r="W1895" s="17">
        <v>4</v>
      </c>
      <c r="X1895" s="13" t="str" cm="1">
        <f t="array" ref="X1895">_xlfn.IFS(W1895 = 0, "0", W1895&lt;=20, "até R$20",W1895&lt;=40, "21 - R$40",W1895&lt;=60, "41- R$60",W1895&lt;=80, "61 - R$80", W1895&lt;=100, "81 - R$100",W1895&lt;=120, "101 - R$120",W1895&lt;=140, "121 - R$140", W1895&lt;=160, "141- R$160", W1895&lt;=180, "161 - R$180", W1895&lt;=200, "181-R$194")</f>
        <v>até R$20</v>
      </c>
      <c r="Y1895" s="17">
        <v>14</v>
      </c>
      <c r="Z1895" s="17">
        <v>4</v>
      </c>
      <c r="AA1895" s="17">
        <v>4</v>
      </c>
      <c r="AB1895" s="17">
        <v>1</v>
      </c>
      <c r="AC1895" s="17">
        <v>1</v>
      </c>
      <c r="AD1895" s="17">
        <v>1</v>
      </c>
      <c r="AE1895" s="17">
        <v>0</v>
      </c>
      <c r="AF1895" s="17">
        <v>3</v>
      </c>
      <c r="AG1895" s="17">
        <v>8</v>
      </c>
      <c r="AH1895" s="17">
        <v>0</v>
      </c>
      <c r="AI1895" s="17">
        <v>0</v>
      </c>
      <c r="AJ1895" s="17">
        <v>0</v>
      </c>
      <c r="AK1895" s="17">
        <v>0</v>
      </c>
      <c r="AL1895" s="17">
        <v>0</v>
      </c>
      <c r="AM1895" s="17">
        <v>0</v>
      </c>
      <c r="AN1895" s="17">
        <v>0</v>
      </c>
      <c r="AO1895" s="18">
        <v>0</v>
      </c>
      <c r="AP1895" s="17">
        <v>3</v>
      </c>
      <c r="AQ1895" s="17">
        <v>11</v>
      </c>
      <c r="AR1895" s="19">
        <v>35</v>
      </c>
      <c r="AS1895" s="19">
        <v>36</v>
      </c>
    </row>
    <row r="1896" spans="1:45" x14ac:dyDescent="0.25">
      <c r="A1896">
        <v>405</v>
      </c>
      <c r="B1896" s="11">
        <f t="shared" si="29"/>
        <v>30096</v>
      </c>
      <c r="C1896" s="16">
        <v>300960</v>
      </c>
      <c r="D1896" s="17">
        <v>1</v>
      </c>
      <c r="E1896" s="17">
        <v>0</v>
      </c>
      <c r="F1896" s="17">
        <v>30</v>
      </c>
      <c r="G1896" s="17">
        <v>37</v>
      </c>
      <c r="H1896" s="13" t="str" cm="1">
        <f t="array" ref="H1896">_xlfn.IFS(G1896&lt;=20,"0-20",G1896&lt;=30,"20-30",G1896&lt;=40,"30-40",G1896&lt;=50,"50-60",G1896&lt;=60,"60-70",G1896&lt;=70,"70-80",G1896&lt;=80,"80-90")</f>
        <v>30-40</v>
      </c>
      <c r="I1896" s="17">
        <v>2197</v>
      </c>
      <c r="J1896" s="13" t="str" cm="1">
        <f t="array" ref="J1896">_xlfn.IFS(K1896=1,"Divorciado",L1896=1,"Casado",M1896=1,"Solteiro",N1896=1,"Juntos",O1896=1,"Viuvo")</f>
        <v>Casado</v>
      </c>
      <c r="K1896" s="17">
        <v>0</v>
      </c>
      <c r="L1896" s="17">
        <v>1</v>
      </c>
      <c r="M1896" s="17">
        <v>0</v>
      </c>
      <c r="N1896" s="17">
        <v>0</v>
      </c>
      <c r="O1896" s="17">
        <v>0</v>
      </c>
      <c r="P1896" s="17">
        <v>0</v>
      </c>
      <c r="Q1896" s="17">
        <v>0</v>
      </c>
      <c r="R1896" s="17">
        <v>1</v>
      </c>
      <c r="S1896" s="17">
        <v>0</v>
      </c>
      <c r="T1896" s="17">
        <v>0</v>
      </c>
      <c r="U1896" s="17">
        <v>5</v>
      </c>
      <c r="V1896" s="13" t="str" cm="1">
        <f t="array" ref="V1896">_xlfn.IFS(U1896&lt;=250,"0-R$250",U1896&lt;=500,"251-R$500",U1896&lt;=750,"501-R$750",U1896&lt;=1000,"751-R$1000",U1896&lt;=1250,"1001-R$1250",U1896&lt;=1500,"1251-R$1500")</f>
        <v>0-R$250</v>
      </c>
      <c r="W1896" s="17">
        <v>3</v>
      </c>
      <c r="X1896" s="13" t="str" cm="1">
        <f t="array" ref="X1896">_xlfn.IFS(W1896 = 0, "0", W1896&lt;=20, "até R$20",W1896&lt;=40, "21 - R$40",W1896&lt;=60, "41- R$60",W1896&lt;=80, "61 - R$80", W1896&lt;=100, "81 - R$100",W1896&lt;=120, "101 - R$120",W1896&lt;=140, "121 - R$140", W1896&lt;=160, "141- R$160", W1896&lt;=180, "161 - R$180", W1896&lt;=200, "181-R$194")</f>
        <v>até R$20</v>
      </c>
      <c r="Y1896" s="17">
        <v>11</v>
      </c>
      <c r="Z1896" s="17">
        <v>12</v>
      </c>
      <c r="AA1896" s="17">
        <v>5</v>
      </c>
      <c r="AB1896" s="17">
        <v>9</v>
      </c>
      <c r="AC1896" s="17">
        <v>1</v>
      </c>
      <c r="AD1896" s="17">
        <v>2</v>
      </c>
      <c r="AE1896" s="17">
        <v>0</v>
      </c>
      <c r="AF1896" s="17">
        <v>3</v>
      </c>
      <c r="AG1896" s="17">
        <v>6</v>
      </c>
      <c r="AH1896" s="17">
        <v>0</v>
      </c>
      <c r="AI1896" s="17">
        <v>0</v>
      </c>
      <c r="AJ1896" s="17">
        <v>0</v>
      </c>
      <c r="AK1896" s="17">
        <v>0</v>
      </c>
      <c r="AL1896" s="17">
        <v>0</v>
      </c>
      <c r="AM1896" s="17">
        <v>0</v>
      </c>
      <c r="AN1896" s="17">
        <v>0</v>
      </c>
      <c r="AO1896" s="18">
        <v>0</v>
      </c>
      <c r="AP1896" s="17">
        <v>3</v>
      </c>
      <c r="AQ1896" s="17">
        <v>11</v>
      </c>
      <c r="AR1896" s="19">
        <v>27</v>
      </c>
      <c r="AS1896" s="19">
        <v>36</v>
      </c>
    </row>
    <row r="1897" spans="1:45" x14ac:dyDescent="0.25">
      <c r="A1897">
        <v>427</v>
      </c>
      <c r="B1897" s="11">
        <f t="shared" si="29"/>
        <v>30279</v>
      </c>
      <c r="C1897" s="16">
        <v>302790</v>
      </c>
      <c r="D1897" s="17">
        <v>1</v>
      </c>
      <c r="E1897" s="17">
        <v>0</v>
      </c>
      <c r="F1897" s="17">
        <v>13</v>
      </c>
      <c r="G1897" s="17">
        <v>31</v>
      </c>
      <c r="H1897" s="13" t="str" cm="1">
        <f t="array" ref="H1897">_xlfn.IFS(G1897&lt;=20,"0-20",G1897&lt;=30,"20-30",G1897&lt;=40,"30-40",G1897&lt;=50,"50-60",G1897&lt;=60,"60-70",G1897&lt;=70,"70-80",G1897&lt;=80,"80-90")</f>
        <v>30-40</v>
      </c>
      <c r="I1897" s="17">
        <v>2705</v>
      </c>
      <c r="J1897" s="13" t="str" cm="1">
        <f t="array" ref="J1897">_xlfn.IFS(K1897=1,"Divorciado",L1897=1,"Casado",M1897=1,"Solteiro",N1897=1,"Juntos",O1897=1,"Viuvo")</f>
        <v>Solteiro</v>
      </c>
      <c r="K1897" s="17">
        <v>0</v>
      </c>
      <c r="L1897" s="17">
        <v>0</v>
      </c>
      <c r="M1897" s="17">
        <v>1</v>
      </c>
      <c r="N1897" s="17">
        <v>0</v>
      </c>
      <c r="O1897" s="17">
        <v>0</v>
      </c>
      <c r="P1897" s="17">
        <v>0</v>
      </c>
      <c r="Q1897" s="17">
        <v>0</v>
      </c>
      <c r="R1897" s="17">
        <v>1</v>
      </c>
      <c r="S1897" s="17">
        <v>0</v>
      </c>
      <c r="T1897" s="17">
        <v>0</v>
      </c>
      <c r="U1897" s="17">
        <v>10</v>
      </c>
      <c r="V1897" s="13" t="str" cm="1">
        <f t="array" ref="V1897">_xlfn.IFS(U1897&lt;=250,"0-R$250",U1897&lt;=500,"251-R$500",U1897&lt;=750,"501-R$750",U1897&lt;=1000,"751-R$1000",U1897&lt;=1250,"1001-R$1250",U1897&lt;=1500,"1251-R$1500")</f>
        <v>0-R$250</v>
      </c>
      <c r="W1897" s="17">
        <v>4</v>
      </c>
      <c r="X1897" s="13" t="str" cm="1">
        <f t="array" ref="X1897">_xlfn.IFS(W1897 = 0, "0", W1897&lt;=20, "até R$20",W1897&lt;=40, "21 - R$40",W1897&lt;=60, "41- R$60",W1897&lt;=80, "61 - R$80", W1897&lt;=100, "81 - R$100",W1897&lt;=120, "101 - R$120",W1897&lt;=140, "121 - R$140", W1897&lt;=160, "141- R$160", W1897&lt;=180, "161 - R$180", W1897&lt;=200, "181-R$194")</f>
        <v>até R$20</v>
      </c>
      <c r="Y1897" s="17">
        <v>14</v>
      </c>
      <c r="Z1897" s="17">
        <v>4</v>
      </c>
      <c r="AA1897" s="17">
        <v>4</v>
      </c>
      <c r="AB1897" s="17">
        <v>1</v>
      </c>
      <c r="AC1897" s="17">
        <v>1</v>
      </c>
      <c r="AD1897" s="17">
        <v>1</v>
      </c>
      <c r="AE1897" s="17">
        <v>0</v>
      </c>
      <c r="AF1897" s="17">
        <v>3</v>
      </c>
      <c r="AG1897" s="17">
        <v>8</v>
      </c>
      <c r="AH1897" s="17">
        <v>0</v>
      </c>
      <c r="AI1897" s="17">
        <v>0</v>
      </c>
      <c r="AJ1897" s="17">
        <v>0</v>
      </c>
      <c r="AK1897" s="17">
        <v>0</v>
      </c>
      <c r="AL1897" s="17">
        <v>0</v>
      </c>
      <c r="AM1897" s="17">
        <v>0</v>
      </c>
      <c r="AN1897" s="17">
        <v>0</v>
      </c>
      <c r="AO1897" s="18">
        <v>0</v>
      </c>
      <c r="AP1897" s="17">
        <v>3</v>
      </c>
      <c r="AQ1897" s="17">
        <v>11</v>
      </c>
      <c r="AR1897" s="19">
        <v>35</v>
      </c>
      <c r="AS1897" s="19">
        <v>36</v>
      </c>
    </row>
    <row r="1898" spans="1:45" x14ac:dyDescent="0.25">
      <c r="A1898">
        <v>534</v>
      </c>
      <c r="B1898" s="11">
        <f t="shared" si="29"/>
        <v>39548</v>
      </c>
      <c r="C1898" s="12">
        <v>395480</v>
      </c>
      <c r="D1898" s="13">
        <v>1</v>
      </c>
      <c r="E1898" s="13">
        <v>1</v>
      </c>
      <c r="F1898" s="13">
        <v>87</v>
      </c>
      <c r="G1898" s="13">
        <v>57</v>
      </c>
      <c r="H1898" s="13" t="str" cm="1">
        <f t="array" ref="H1898">_xlfn.IFS(G1898&lt;=20,"0-20",G1898&lt;=30,"20-30",G1898&lt;=40,"30-40",G1898&lt;=50,"50-60",G1898&lt;=60,"60-70",G1898&lt;=70,"70-80",G1898&lt;=80,"80-90")</f>
        <v>60-70</v>
      </c>
      <c r="I1898" s="13">
        <v>2249</v>
      </c>
      <c r="J1898" s="13" t="str" cm="1">
        <f t="array" ref="J1898">_xlfn.IFS(K1898=1,"Divorciado",L1898=1,"Casado",M1898=1,"Solteiro",N1898=1,"Juntos",O1898=1,"Viuvo")</f>
        <v>Solteiro</v>
      </c>
      <c r="K1898" s="13">
        <v>0</v>
      </c>
      <c r="L1898" s="13">
        <v>0</v>
      </c>
      <c r="M1898" s="13">
        <v>1</v>
      </c>
      <c r="N1898" s="13">
        <v>0</v>
      </c>
      <c r="O1898" s="13">
        <v>0</v>
      </c>
      <c r="P1898" s="13">
        <v>1</v>
      </c>
      <c r="Q1898" s="13">
        <v>0</v>
      </c>
      <c r="R1898" s="13">
        <v>0</v>
      </c>
      <c r="S1898" s="13">
        <v>0</v>
      </c>
      <c r="T1898" s="13">
        <v>0</v>
      </c>
      <c r="U1898" s="13">
        <v>15</v>
      </c>
      <c r="V1898" s="13" t="str" cm="1">
        <f t="array" ref="V1898">_xlfn.IFS(U1898&lt;=250,"0-R$250",U1898&lt;=500,"251-R$500",U1898&lt;=750,"501-R$750",U1898&lt;=1000,"751-R$1000",U1898&lt;=1250,"1001-R$1250",U1898&lt;=1500,"1251-R$1500")</f>
        <v>0-R$250</v>
      </c>
      <c r="W1898" s="13">
        <v>4</v>
      </c>
      <c r="X1898" s="13" t="str" cm="1">
        <f t="array" ref="X1898">_xlfn.IFS(W1898 = 0, "0", W1898&lt;=20, "até R$20",W1898&lt;=40, "21 - R$40",W1898&lt;=60, "41- R$60",W1898&lt;=80, "61 - R$80", W1898&lt;=100, "81 - R$100",W1898&lt;=120, "101 - R$120",W1898&lt;=140, "121 - R$140", W1898&lt;=160, "141- R$160", W1898&lt;=180, "161 - R$180", W1898&lt;=200, "181-R$194")</f>
        <v>até R$20</v>
      </c>
      <c r="Y1898" s="13">
        <v>10</v>
      </c>
      <c r="Z1898" s="13">
        <v>3</v>
      </c>
      <c r="AA1898" s="13">
        <v>4</v>
      </c>
      <c r="AB1898" s="13">
        <v>18</v>
      </c>
      <c r="AC1898" s="13">
        <v>2</v>
      </c>
      <c r="AD1898" s="13">
        <v>1</v>
      </c>
      <c r="AE1898" s="13">
        <v>1</v>
      </c>
      <c r="AF1898" s="13">
        <v>3</v>
      </c>
      <c r="AG1898" s="13">
        <v>3</v>
      </c>
      <c r="AH1898" s="13">
        <v>0</v>
      </c>
      <c r="AI1898" s="13">
        <v>0</v>
      </c>
      <c r="AJ1898" s="13">
        <v>0</v>
      </c>
      <c r="AK1898" s="13">
        <v>0</v>
      </c>
      <c r="AL1898" s="13">
        <v>0</v>
      </c>
      <c r="AM1898" s="13">
        <v>0</v>
      </c>
      <c r="AN1898" s="13">
        <v>0</v>
      </c>
      <c r="AO1898" s="14">
        <v>0</v>
      </c>
      <c r="AP1898" s="13">
        <v>3</v>
      </c>
      <c r="AQ1898" s="13">
        <v>11</v>
      </c>
      <c r="AR1898" s="15">
        <v>18</v>
      </c>
      <c r="AS1898" s="15">
        <v>36</v>
      </c>
    </row>
    <row r="1899" spans="1:45" x14ac:dyDescent="0.25">
      <c r="A1899">
        <v>929</v>
      </c>
      <c r="B1899" s="11">
        <f t="shared" si="29"/>
        <v>39771</v>
      </c>
      <c r="C1899" s="16">
        <v>397710</v>
      </c>
      <c r="D1899" s="17">
        <v>1</v>
      </c>
      <c r="E1899" s="17">
        <v>0</v>
      </c>
      <c r="F1899" s="17">
        <v>92</v>
      </c>
      <c r="G1899" s="17">
        <v>43</v>
      </c>
      <c r="H1899" s="13" t="str" cm="1">
        <f t="array" ref="H1899">_xlfn.IFS(G1899&lt;=20,"0-20",G1899&lt;=30,"20-30",G1899&lt;=40,"30-40",G1899&lt;=50,"50-60",G1899&lt;=60,"60-70",G1899&lt;=70,"70-80",G1899&lt;=80,"80-90")</f>
        <v>50-60</v>
      </c>
      <c r="I1899" s="17">
        <v>2364</v>
      </c>
      <c r="J1899" s="13" t="str" cm="1">
        <f t="array" ref="J1899">_xlfn.IFS(K1899=1,"Divorciado",L1899=1,"Casado",M1899=1,"Solteiro",N1899=1,"Juntos",O1899=1,"Viuvo")</f>
        <v>Juntos</v>
      </c>
      <c r="K1899" s="17">
        <v>0</v>
      </c>
      <c r="L1899" s="17">
        <v>0</v>
      </c>
      <c r="M1899" s="17">
        <v>0</v>
      </c>
      <c r="N1899" s="17">
        <v>1</v>
      </c>
      <c r="O1899" s="17">
        <v>0</v>
      </c>
      <c r="P1899" s="17">
        <v>0</v>
      </c>
      <c r="Q1899" s="17">
        <v>0</v>
      </c>
      <c r="R1899" s="17">
        <v>1</v>
      </c>
      <c r="S1899" s="17">
        <v>0</v>
      </c>
      <c r="T1899" s="17">
        <v>0</v>
      </c>
      <c r="U1899" s="17">
        <v>6</v>
      </c>
      <c r="V1899" s="13" t="str" cm="1">
        <f t="array" ref="V1899">_xlfn.IFS(U1899&lt;=250,"0-R$250",U1899&lt;=500,"251-R$500",U1899&lt;=750,"501-R$750",U1899&lt;=1000,"751-R$1000",U1899&lt;=1250,"1001-R$1250",U1899&lt;=1500,"1251-R$1500")</f>
        <v>0-R$250</v>
      </c>
      <c r="W1899" s="17">
        <v>2</v>
      </c>
      <c r="X1899" s="13" t="str" cm="1">
        <f t="array" ref="X1899">_xlfn.IFS(W1899 = 0, "0", W1899&lt;=20, "até R$20",W1899&lt;=40, "21 - R$40",W1899&lt;=60, "41- R$60",W1899&lt;=80, "61 - R$80", W1899&lt;=100, "81 - R$100",W1899&lt;=120, "101 - R$120",W1899&lt;=140, "121 - R$140", W1899&lt;=160, "141- R$160", W1899&lt;=180, "161 - R$180", W1899&lt;=200, "181-R$194")</f>
        <v>até R$20</v>
      </c>
      <c r="Y1899" s="17">
        <v>18</v>
      </c>
      <c r="Z1899" s="17">
        <v>2</v>
      </c>
      <c r="AA1899" s="17">
        <v>8</v>
      </c>
      <c r="AB1899" s="17">
        <v>14</v>
      </c>
      <c r="AC1899" s="17">
        <v>1</v>
      </c>
      <c r="AD1899" s="17">
        <v>2</v>
      </c>
      <c r="AE1899" s="17">
        <v>0</v>
      </c>
      <c r="AF1899" s="17">
        <v>3</v>
      </c>
      <c r="AG1899" s="17">
        <v>4</v>
      </c>
      <c r="AH1899" s="17">
        <v>0</v>
      </c>
      <c r="AI1899" s="17">
        <v>0</v>
      </c>
      <c r="AJ1899" s="17">
        <v>0</v>
      </c>
      <c r="AK1899" s="17">
        <v>0</v>
      </c>
      <c r="AL1899" s="17">
        <v>0</v>
      </c>
      <c r="AM1899" s="17">
        <v>0</v>
      </c>
      <c r="AN1899" s="17">
        <v>0</v>
      </c>
      <c r="AO1899" s="18">
        <v>0</v>
      </c>
      <c r="AP1899" s="17">
        <v>3</v>
      </c>
      <c r="AQ1899" s="17">
        <v>11</v>
      </c>
      <c r="AR1899" s="19">
        <v>22</v>
      </c>
      <c r="AS1899" s="19">
        <v>36</v>
      </c>
    </row>
    <row r="1900" spans="1:45" x14ac:dyDescent="0.25">
      <c r="A1900">
        <v>1188</v>
      </c>
      <c r="B1900" s="11">
        <f t="shared" si="29"/>
        <v>18351</v>
      </c>
      <c r="C1900" s="12">
        <v>183510</v>
      </c>
      <c r="D1900" s="13">
        <v>0</v>
      </c>
      <c r="E1900" s="13">
        <v>0</v>
      </c>
      <c r="F1900" s="13">
        <v>1</v>
      </c>
      <c r="G1900" s="13">
        <v>30</v>
      </c>
      <c r="H1900" s="13" t="str" cm="1">
        <f t="array" ref="H1900">_xlfn.IFS(G1900&lt;=20,"0-20",G1900&lt;=30,"20-30",G1900&lt;=40,"30-40",G1900&lt;=50,"50-60",G1900&lt;=60,"60-70",G1900&lt;=70,"70-80",G1900&lt;=80,"80-90")</f>
        <v>20-30</v>
      </c>
      <c r="I1900" s="13">
        <v>2402</v>
      </c>
      <c r="J1900" s="13" t="str" cm="1">
        <f t="array" ref="J1900">_xlfn.IFS(K1900=1,"Divorciado",L1900=1,"Casado",M1900=1,"Solteiro",N1900=1,"Juntos",O1900=1,"Viuvo")</f>
        <v>Casado</v>
      </c>
      <c r="K1900" s="13">
        <v>0</v>
      </c>
      <c r="L1900" s="13">
        <v>1</v>
      </c>
      <c r="M1900" s="13">
        <v>0</v>
      </c>
      <c r="N1900" s="13">
        <v>0</v>
      </c>
      <c r="O1900" s="13">
        <v>0</v>
      </c>
      <c r="P1900" s="13">
        <v>0</v>
      </c>
      <c r="Q1900" s="13">
        <v>0</v>
      </c>
      <c r="R1900" s="13">
        <v>1</v>
      </c>
      <c r="S1900" s="13">
        <v>0</v>
      </c>
      <c r="T1900" s="13">
        <v>0</v>
      </c>
      <c r="U1900" s="13">
        <v>1</v>
      </c>
      <c r="V1900" s="13" t="str" cm="1">
        <f t="array" ref="V1900">_xlfn.IFS(U1900&lt;=250,"0-R$250",U1900&lt;=500,"251-R$500",U1900&lt;=750,"501-R$750",U1900&lt;=1000,"751-R$1000",U1900&lt;=1250,"1001-R$1250",U1900&lt;=1500,"1251-R$1500")</f>
        <v>0-R$250</v>
      </c>
      <c r="W1900" s="13">
        <v>12</v>
      </c>
      <c r="X1900" s="13" t="str" cm="1">
        <f t="array" ref="X1900">_xlfn.IFS(W1900 = 0, "0", W1900&lt;=20, "até R$20",W1900&lt;=40, "21 - R$40",W1900&lt;=60, "41- R$60",W1900&lt;=80, "61 - R$80", W1900&lt;=100, "81 - R$100",W1900&lt;=120, "101 - R$120",W1900&lt;=140, "121 - R$140", W1900&lt;=160, "141- R$160", W1900&lt;=180, "161 - R$180", W1900&lt;=200, "181-R$194")</f>
        <v>até R$20</v>
      </c>
      <c r="Y1900" s="13">
        <v>9</v>
      </c>
      <c r="Z1900" s="13">
        <v>0</v>
      </c>
      <c r="AA1900" s="13">
        <v>14</v>
      </c>
      <c r="AB1900" s="13">
        <v>7</v>
      </c>
      <c r="AC1900" s="13">
        <v>1</v>
      </c>
      <c r="AD1900" s="13">
        <v>2</v>
      </c>
      <c r="AE1900" s="13">
        <v>0</v>
      </c>
      <c r="AF1900" s="13">
        <v>3</v>
      </c>
      <c r="AG1900" s="13">
        <v>7</v>
      </c>
      <c r="AH1900" s="13">
        <v>0</v>
      </c>
      <c r="AI1900" s="13">
        <v>0</v>
      </c>
      <c r="AJ1900" s="13">
        <v>0</v>
      </c>
      <c r="AK1900" s="13">
        <v>0</v>
      </c>
      <c r="AL1900" s="13">
        <v>0</v>
      </c>
      <c r="AM1900" s="13">
        <v>0</v>
      </c>
      <c r="AN1900" s="13">
        <v>0</v>
      </c>
      <c r="AO1900" s="14">
        <v>0</v>
      </c>
      <c r="AP1900" s="13">
        <v>3</v>
      </c>
      <c r="AQ1900" s="13">
        <v>11</v>
      </c>
      <c r="AR1900" s="15">
        <v>29</v>
      </c>
      <c r="AS1900" s="15">
        <v>36</v>
      </c>
    </row>
    <row r="1901" spans="1:45" x14ac:dyDescent="0.25">
      <c r="A1901">
        <v>1907</v>
      </c>
      <c r="B1901" s="11">
        <f t="shared" si="29"/>
        <v>21059</v>
      </c>
      <c r="C1901" s="16">
        <v>210590</v>
      </c>
      <c r="D1901" s="17">
        <v>1</v>
      </c>
      <c r="E1901" s="17">
        <v>0</v>
      </c>
      <c r="F1901" s="17">
        <v>40</v>
      </c>
      <c r="G1901" s="17">
        <v>38</v>
      </c>
      <c r="H1901" s="13" t="str" cm="1">
        <f t="array" ref="H1901">_xlfn.IFS(G1901&lt;=20,"0-20",G1901&lt;=30,"20-30",G1901&lt;=40,"30-40",G1901&lt;=50,"50-60",G1901&lt;=60,"60-70",G1901&lt;=70,"70-80",G1901&lt;=80,"80-90")</f>
        <v>30-40</v>
      </c>
      <c r="I1901" s="17">
        <v>2332</v>
      </c>
      <c r="J1901" s="13" t="str" cm="1">
        <f t="array" ref="J1901">_xlfn.IFS(K1901=1,"Divorciado",L1901=1,"Casado",M1901=1,"Solteiro",N1901=1,"Juntos",O1901=1,"Viuvo")</f>
        <v>Casado</v>
      </c>
      <c r="K1901" s="17">
        <v>0</v>
      </c>
      <c r="L1901" s="17">
        <v>1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1</v>
      </c>
      <c r="T1901" s="17">
        <v>0</v>
      </c>
      <c r="U1901" s="17">
        <v>8</v>
      </c>
      <c r="V1901" s="13" t="str" cm="1">
        <f t="array" ref="V1901">_xlfn.IFS(U1901&lt;=250,"0-R$250",U1901&lt;=500,"251-R$500",U1901&lt;=750,"501-R$750",U1901&lt;=1000,"751-R$1000",U1901&lt;=1250,"1001-R$1250",U1901&lt;=1500,"1251-R$1500")</f>
        <v>0-R$250</v>
      </c>
      <c r="W1901" s="17">
        <v>3</v>
      </c>
      <c r="X1901" s="13" t="str" cm="1">
        <f t="array" ref="X1901">_xlfn.IFS(W1901 = 0, "0", W1901&lt;=20, "até R$20",W1901&lt;=40, "21 - R$40",W1901&lt;=60, "41- R$60",W1901&lt;=80, "61 - R$80", W1901&lt;=100, "81 - R$100",W1901&lt;=120, "101 - R$120",W1901&lt;=140, "121 - R$140", W1901&lt;=160, "141- R$160", W1901&lt;=180, "161 - R$180", W1901&lt;=200, "181-R$194")</f>
        <v>até R$20</v>
      </c>
      <c r="Y1901" s="17">
        <v>19</v>
      </c>
      <c r="Z1901" s="17">
        <v>3</v>
      </c>
      <c r="AA1901" s="17">
        <v>3</v>
      </c>
      <c r="AB1901" s="17">
        <v>8</v>
      </c>
      <c r="AC1901" s="17">
        <v>3</v>
      </c>
      <c r="AD1901" s="17">
        <v>3</v>
      </c>
      <c r="AE1901" s="17">
        <v>0</v>
      </c>
      <c r="AF1901" s="17">
        <v>3</v>
      </c>
      <c r="AG1901" s="17">
        <v>6</v>
      </c>
      <c r="AH1901" s="17">
        <v>0</v>
      </c>
      <c r="AI1901" s="17">
        <v>0</v>
      </c>
      <c r="AJ1901" s="17">
        <v>0</v>
      </c>
      <c r="AK1901" s="17">
        <v>0</v>
      </c>
      <c r="AL1901" s="17">
        <v>0</v>
      </c>
      <c r="AM1901" s="17">
        <v>0</v>
      </c>
      <c r="AN1901" s="17">
        <v>0</v>
      </c>
      <c r="AO1901" s="18">
        <v>0</v>
      </c>
      <c r="AP1901" s="17">
        <v>3</v>
      </c>
      <c r="AQ1901" s="17">
        <v>11</v>
      </c>
      <c r="AR1901" s="19">
        <v>28</v>
      </c>
      <c r="AS1901" s="19">
        <v>36</v>
      </c>
    </row>
    <row r="1902" spans="1:45" x14ac:dyDescent="0.25">
      <c r="A1902">
        <v>1917</v>
      </c>
      <c r="B1902" s="11">
        <f t="shared" si="29"/>
        <v>23763</v>
      </c>
      <c r="C1902" s="16">
        <v>237630</v>
      </c>
      <c r="D1902" s="17">
        <v>1</v>
      </c>
      <c r="E1902" s="17">
        <v>0</v>
      </c>
      <c r="F1902" s="17">
        <v>64</v>
      </c>
      <c r="G1902" s="17">
        <v>43</v>
      </c>
      <c r="H1902" s="13" t="str" cm="1">
        <f t="array" ref="H1902">_xlfn.IFS(G1902&lt;=20,"0-20",G1902&lt;=30,"20-30",G1902&lt;=40,"30-40",G1902&lt;=50,"50-60",G1902&lt;=60,"60-70",G1902&lt;=70,"70-80",G1902&lt;=80,"80-90")</f>
        <v>50-60</v>
      </c>
      <c r="I1902" s="17">
        <v>2850</v>
      </c>
      <c r="J1902" s="13" t="str" cm="1">
        <f t="array" ref="J1902">_xlfn.IFS(K1902=1,"Divorciado",L1902=1,"Casado",M1902=1,"Solteiro",N1902=1,"Juntos",O1902=1,"Viuvo")</f>
        <v>Solteiro</v>
      </c>
      <c r="K1902" s="17">
        <v>0</v>
      </c>
      <c r="L1902" s="17">
        <v>0</v>
      </c>
      <c r="M1902" s="17">
        <v>1</v>
      </c>
      <c r="N1902" s="17">
        <v>0</v>
      </c>
      <c r="O1902" s="17">
        <v>0</v>
      </c>
      <c r="P1902" s="17">
        <v>0</v>
      </c>
      <c r="Q1902" s="17">
        <v>0</v>
      </c>
      <c r="R1902" s="17">
        <v>1</v>
      </c>
      <c r="S1902" s="17">
        <v>0</v>
      </c>
      <c r="T1902" s="17">
        <v>0</v>
      </c>
      <c r="U1902" s="17">
        <v>22</v>
      </c>
      <c r="V1902" s="13" t="str" cm="1">
        <f t="array" ref="V1902">_xlfn.IFS(U1902&lt;=250,"0-R$250",U1902&lt;=500,"251-R$500",U1902&lt;=750,"501-R$750",U1902&lt;=1000,"751-R$1000",U1902&lt;=1250,"1001-R$1250",U1902&lt;=1500,"1251-R$1500")</f>
        <v>0-R$250</v>
      </c>
      <c r="W1902" s="17">
        <v>0</v>
      </c>
      <c r="X1902" s="13" t="str" cm="1">
        <f t="array" ref="X1902">_xlfn.IFS(W1902 = 0, "0", W1902&lt;=20, "até R$20",W1902&lt;=40, "21 - R$40",W1902&lt;=60, "41- R$60",W1902&lt;=80, "61 - R$80", W1902&lt;=100, "81 - R$100",W1902&lt;=120, "101 - R$120",W1902&lt;=140, "121 - R$140", W1902&lt;=160, "141- R$160", W1902&lt;=180, "161 - R$180", W1902&lt;=200, "181-R$194")</f>
        <v>0</v>
      </c>
      <c r="Y1902" s="17">
        <v>6</v>
      </c>
      <c r="Z1902" s="17">
        <v>6</v>
      </c>
      <c r="AA1902" s="17">
        <v>2</v>
      </c>
      <c r="AB1902" s="17">
        <v>6</v>
      </c>
      <c r="AC1902" s="17">
        <v>1</v>
      </c>
      <c r="AD1902" s="17">
        <v>1</v>
      </c>
      <c r="AE1902" s="17">
        <v>0</v>
      </c>
      <c r="AF1902" s="17">
        <v>3</v>
      </c>
      <c r="AG1902" s="17">
        <v>7</v>
      </c>
      <c r="AH1902" s="17">
        <v>0</v>
      </c>
      <c r="AI1902" s="17">
        <v>0</v>
      </c>
      <c r="AJ1902" s="17">
        <v>0</v>
      </c>
      <c r="AK1902" s="17">
        <v>0</v>
      </c>
      <c r="AL1902" s="17">
        <v>0</v>
      </c>
      <c r="AM1902" s="17">
        <v>0</v>
      </c>
      <c r="AN1902" s="17">
        <v>0</v>
      </c>
      <c r="AO1902" s="18">
        <v>0</v>
      </c>
      <c r="AP1902" s="17">
        <v>3</v>
      </c>
      <c r="AQ1902" s="17">
        <v>11</v>
      </c>
      <c r="AR1902" s="19">
        <v>30</v>
      </c>
      <c r="AS1902" s="19">
        <v>36</v>
      </c>
    </row>
    <row r="1903" spans="1:45" x14ac:dyDescent="0.25">
      <c r="A1903">
        <v>192</v>
      </c>
      <c r="B1903" s="11">
        <f t="shared" si="29"/>
        <v>40637</v>
      </c>
      <c r="C1903" s="12">
        <v>406370</v>
      </c>
      <c r="D1903" s="13">
        <v>1</v>
      </c>
      <c r="E1903" s="13">
        <v>1</v>
      </c>
      <c r="F1903" s="13">
        <v>72</v>
      </c>
      <c r="G1903" s="13">
        <v>55</v>
      </c>
      <c r="H1903" s="13" t="str" cm="1">
        <f t="array" ref="H1903">_xlfn.IFS(G1903&lt;=20,"0-20",G1903&lt;=30,"20-30",G1903&lt;=40,"30-40",G1903&lt;=50,"50-60",G1903&lt;=60,"60-70",G1903&lt;=70,"70-80",G1903&lt;=80,"80-90")</f>
        <v>60-70</v>
      </c>
      <c r="I1903" s="13">
        <v>2506</v>
      </c>
      <c r="J1903" s="13" t="str" cm="1">
        <f t="array" ref="J1903">_xlfn.IFS(K1903=1,"Divorciado",L1903=1,"Casado",M1903=1,"Solteiro",N1903=1,"Juntos",O1903=1,"Viuvo")</f>
        <v>Solteiro</v>
      </c>
      <c r="K1903" s="13">
        <v>0</v>
      </c>
      <c r="L1903" s="13">
        <v>0</v>
      </c>
      <c r="M1903" s="13">
        <v>1</v>
      </c>
      <c r="N1903" s="13">
        <v>0</v>
      </c>
      <c r="O1903" s="13">
        <v>0</v>
      </c>
      <c r="P1903" s="13">
        <v>0</v>
      </c>
      <c r="Q1903" s="13">
        <v>0</v>
      </c>
      <c r="R1903" s="13">
        <v>0</v>
      </c>
      <c r="S1903" s="13">
        <v>0</v>
      </c>
      <c r="T1903" s="13">
        <v>1</v>
      </c>
      <c r="U1903" s="13">
        <v>22</v>
      </c>
      <c r="V1903" s="13" t="str" cm="1">
        <f t="array" ref="V1903">_xlfn.IFS(U1903&lt;=250,"0-R$250",U1903&lt;=500,"251-R$500",U1903&lt;=750,"501-R$750",U1903&lt;=1000,"751-R$1000",U1903&lt;=1250,"1001-R$1250",U1903&lt;=1500,"1251-R$1500")</f>
        <v>0-R$250</v>
      </c>
      <c r="W1903" s="13">
        <v>0</v>
      </c>
      <c r="X1903" s="13" t="str" cm="1">
        <f t="array" ref="X1903">_xlfn.IFS(W1903 = 0, "0", W1903&lt;=20, "até R$20",W1903&lt;=40, "21 - R$40",W1903&lt;=60, "41- R$60",W1903&lt;=80, "61 - R$80", W1903&lt;=100, "81 - R$100",W1903&lt;=120, "101 - R$120",W1903&lt;=140, "121 - R$140", W1903&lt;=160, "141- R$160", W1903&lt;=180, "161 - R$180", W1903&lt;=200, "181-R$194")</f>
        <v>0</v>
      </c>
      <c r="Y1903" s="13">
        <v>13</v>
      </c>
      <c r="Z1903" s="13">
        <v>0</v>
      </c>
      <c r="AA1903" s="13">
        <v>0</v>
      </c>
      <c r="AB1903" s="13">
        <v>3</v>
      </c>
      <c r="AC1903" s="13">
        <v>2</v>
      </c>
      <c r="AD1903" s="13">
        <v>1</v>
      </c>
      <c r="AE1903" s="13">
        <v>0</v>
      </c>
      <c r="AF1903" s="13">
        <v>3</v>
      </c>
      <c r="AG1903" s="13">
        <v>7</v>
      </c>
      <c r="AH1903" s="13">
        <v>0</v>
      </c>
      <c r="AI1903" s="13">
        <v>0</v>
      </c>
      <c r="AJ1903" s="13">
        <v>0</v>
      </c>
      <c r="AK1903" s="13">
        <v>0</v>
      </c>
      <c r="AL1903" s="13">
        <v>0</v>
      </c>
      <c r="AM1903" s="13">
        <v>0</v>
      </c>
      <c r="AN1903" s="13">
        <v>0</v>
      </c>
      <c r="AO1903" s="14">
        <v>0</v>
      </c>
      <c r="AP1903" s="13">
        <v>3</v>
      </c>
      <c r="AQ1903" s="13">
        <v>11</v>
      </c>
      <c r="AR1903" s="15">
        <v>32</v>
      </c>
      <c r="AS1903" s="15">
        <v>35</v>
      </c>
    </row>
    <row r="1904" spans="1:45" x14ac:dyDescent="0.25">
      <c r="A1904">
        <v>298</v>
      </c>
      <c r="B1904" s="11">
        <f t="shared" si="29"/>
        <v>22574</v>
      </c>
      <c r="C1904" s="12">
        <v>225740</v>
      </c>
      <c r="D1904" s="13">
        <v>2</v>
      </c>
      <c r="E1904" s="13">
        <v>1</v>
      </c>
      <c r="F1904" s="13">
        <v>28</v>
      </c>
      <c r="G1904" s="13">
        <v>53</v>
      </c>
      <c r="H1904" s="13" t="str" cm="1">
        <f t="array" ref="H1904">_xlfn.IFS(G1904&lt;=20,"0-20",G1904&lt;=30,"20-30",G1904&lt;=40,"30-40",G1904&lt;=50,"50-60",G1904&lt;=60,"60-70",G1904&lt;=70,"70-80",G1904&lt;=80,"80-90")</f>
        <v>60-70</v>
      </c>
      <c r="I1904" s="13">
        <v>2403</v>
      </c>
      <c r="J1904" s="13" t="str" cm="1">
        <f t="array" ref="J1904">_xlfn.IFS(K1904=1,"Divorciado",L1904=1,"Casado",M1904=1,"Solteiro",N1904=1,"Juntos",O1904=1,"Viuvo")</f>
        <v>Casado</v>
      </c>
      <c r="K1904" s="13">
        <v>0</v>
      </c>
      <c r="L1904" s="13">
        <v>1</v>
      </c>
      <c r="M1904" s="13">
        <v>0</v>
      </c>
      <c r="N1904" s="13">
        <v>0</v>
      </c>
      <c r="O1904" s="13">
        <v>0</v>
      </c>
      <c r="P1904" s="13">
        <v>0</v>
      </c>
      <c r="Q1904" s="13">
        <v>0</v>
      </c>
      <c r="R1904" s="13">
        <v>1</v>
      </c>
      <c r="S1904" s="13">
        <v>0</v>
      </c>
      <c r="T1904" s="13">
        <v>0</v>
      </c>
      <c r="U1904" s="13">
        <v>25</v>
      </c>
      <c r="V1904" s="13" t="str" cm="1">
        <f t="array" ref="V1904">_xlfn.IFS(U1904&lt;=250,"0-R$250",U1904&lt;=500,"251-R$500",U1904&lt;=750,"501-R$750",U1904&lt;=1000,"751-R$1000",U1904&lt;=1250,"1001-R$1250",U1904&lt;=1500,"1251-R$1500")</f>
        <v>0-R$250</v>
      </c>
      <c r="W1904" s="13">
        <v>0</v>
      </c>
      <c r="X1904" s="13" t="str" cm="1">
        <f t="array" ref="X1904">_xlfn.IFS(W1904 = 0, "0", W1904&lt;=20, "até R$20",W1904&lt;=40, "21 - R$40",W1904&lt;=60, "41- R$60",W1904&lt;=80, "61 - R$80", W1904&lt;=100, "81 - R$100",W1904&lt;=120, "101 - R$120",W1904&lt;=140, "121 - R$140", W1904&lt;=160, "141- R$160", W1904&lt;=180, "161 - R$180", W1904&lt;=200, "181-R$194")</f>
        <v>0</v>
      </c>
      <c r="Y1904" s="13">
        <v>8</v>
      </c>
      <c r="Z1904" s="13">
        <v>2</v>
      </c>
      <c r="AA1904" s="13">
        <v>0</v>
      </c>
      <c r="AB1904" s="13">
        <v>2</v>
      </c>
      <c r="AC1904" s="13">
        <v>2</v>
      </c>
      <c r="AD1904" s="13">
        <v>2</v>
      </c>
      <c r="AE1904" s="13">
        <v>0</v>
      </c>
      <c r="AF1904" s="13">
        <v>3</v>
      </c>
      <c r="AG1904" s="13">
        <v>7</v>
      </c>
      <c r="AH1904" s="13">
        <v>0</v>
      </c>
      <c r="AI1904" s="13">
        <v>0</v>
      </c>
      <c r="AJ1904" s="13">
        <v>0</v>
      </c>
      <c r="AK1904" s="13">
        <v>0</v>
      </c>
      <c r="AL1904" s="13">
        <v>0</v>
      </c>
      <c r="AM1904" s="13">
        <v>0</v>
      </c>
      <c r="AN1904" s="13">
        <v>0</v>
      </c>
      <c r="AO1904" s="14">
        <v>0</v>
      </c>
      <c r="AP1904" s="13">
        <v>3</v>
      </c>
      <c r="AQ1904" s="13">
        <v>11</v>
      </c>
      <c r="AR1904" s="15">
        <v>33</v>
      </c>
      <c r="AS1904" s="15">
        <v>35</v>
      </c>
    </row>
    <row r="1905" spans="1:45" x14ac:dyDescent="0.25">
      <c r="A1905">
        <v>312</v>
      </c>
      <c r="B1905" s="11">
        <f t="shared" si="29"/>
        <v>27255</v>
      </c>
      <c r="C1905" s="12">
        <v>272550</v>
      </c>
      <c r="D1905" s="13">
        <v>1</v>
      </c>
      <c r="E1905" s="13">
        <v>0</v>
      </c>
      <c r="F1905" s="13">
        <v>3</v>
      </c>
      <c r="G1905" s="13">
        <v>36</v>
      </c>
      <c r="H1905" s="13" t="str" cm="1">
        <f t="array" ref="H1905">_xlfn.IFS(G1905&lt;=20,"0-20",G1905&lt;=30,"20-30",G1905&lt;=40,"30-40",G1905&lt;=50,"50-60",G1905&lt;=60,"60-70",G1905&lt;=70,"70-80",G1905&lt;=80,"80-90")</f>
        <v>30-40</v>
      </c>
      <c r="I1905" s="13">
        <v>2393</v>
      </c>
      <c r="J1905" s="13" t="str" cm="1">
        <f t="array" ref="J1905">_xlfn.IFS(K1905=1,"Divorciado",L1905=1,"Casado",M1905=1,"Solteiro",N1905=1,"Juntos",O1905=1,"Viuvo")</f>
        <v>Casado</v>
      </c>
      <c r="K1905" s="13">
        <v>0</v>
      </c>
      <c r="L1905" s="13">
        <v>1</v>
      </c>
      <c r="M1905" s="13">
        <v>0</v>
      </c>
      <c r="N1905" s="13">
        <v>0</v>
      </c>
      <c r="O1905" s="13">
        <v>0</v>
      </c>
      <c r="P1905" s="13">
        <v>0</v>
      </c>
      <c r="Q1905" s="13">
        <v>0</v>
      </c>
      <c r="R1905" s="13">
        <v>1</v>
      </c>
      <c r="S1905" s="13">
        <v>0</v>
      </c>
      <c r="T1905" s="13">
        <v>0</v>
      </c>
      <c r="U1905" s="13">
        <v>22</v>
      </c>
      <c r="V1905" s="13" t="str" cm="1">
        <f t="array" ref="V1905">_xlfn.IFS(U1905&lt;=250,"0-R$250",U1905&lt;=500,"251-R$500",U1905&lt;=750,"501-R$750",U1905&lt;=1000,"751-R$1000",U1905&lt;=1250,"1001-R$1250",U1905&lt;=1500,"1251-R$1500")</f>
        <v>0-R$250</v>
      </c>
      <c r="W1905" s="13">
        <v>1</v>
      </c>
      <c r="X1905" s="13" t="str" cm="1">
        <f t="array" ref="X1905">_xlfn.IFS(W1905 = 0, "0", W1905&lt;=20, "até R$20",W1905&lt;=40, "21 - R$40",W1905&lt;=60, "41- R$60",W1905&lt;=80, "61 - R$80", W1905&lt;=100, "81 - R$100",W1905&lt;=120, "101 - R$120",W1905&lt;=140, "121 - R$140", W1905&lt;=160, "141- R$160", W1905&lt;=180, "161 - R$180", W1905&lt;=200, "181-R$194")</f>
        <v>até R$20</v>
      </c>
      <c r="Y1905" s="13">
        <v>11</v>
      </c>
      <c r="Z1905" s="13">
        <v>0</v>
      </c>
      <c r="AA1905" s="13">
        <v>1</v>
      </c>
      <c r="AB1905" s="13">
        <v>2</v>
      </c>
      <c r="AC1905" s="13">
        <v>1</v>
      </c>
      <c r="AD1905" s="13">
        <v>1</v>
      </c>
      <c r="AE1905" s="13">
        <v>0</v>
      </c>
      <c r="AF1905" s="13">
        <v>3</v>
      </c>
      <c r="AG1905" s="13">
        <v>7</v>
      </c>
      <c r="AH1905" s="13">
        <v>0</v>
      </c>
      <c r="AI1905" s="13">
        <v>0</v>
      </c>
      <c r="AJ1905" s="13">
        <v>0</v>
      </c>
      <c r="AK1905" s="13">
        <v>0</v>
      </c>
      <c r="AL1905" s="13">
        <v>0</v>
      </c>
      <c r="AM1905" s="13">
        <v>0</v>
      </c>
      <c r="AN1905" s="13">
        <v>0</v>
      </c>
      <c r="AO1905" s="14">
        <v>0</v>
      </c>
      <c r="AP1905" s="13">
        <v>3</v>
      </c>
      <c r="AQ1905" s="13">
        <v>11</v>
      </c>
      <c r="AR1905" s="15">
        <v>33</v>
      </c>
      <c r="AS1905" s="15">
        <v>35</v>
      </c>
    </row>
    <row r="1906" spans="1:45" x14ac:dyDescent="0.25">
      <c r="A1906">
        <v>529</v>
      </c>
      <c r="B1906" s="11">
        <f t="shared" si="29"/>
        <v>24683</v>
      </c>
      <c r="C1906" s="16">
        <v>246830</v>
      </c>
      <c r="D1906" s="17">
        <v>1</v>
      </c>
      <c r="E1906" s="17">
        <v>0</v>
      </c>
      <c r="F1906" s="17">
        <v>98</v>
      </c>
      <c r="G1906" s="17">
        <v>30</v>
      </c>
      <c r="H1906" s="13" t="str" cm="1">
        <f t="array" ref="H1906">_xlfn.IFS(G1906&lt;=20,"0-20",G1906&lt;=30,"20-30",G1906&lt;=40,"30-40",G1906&lt;=50,"50-60",G1906&lt;=60,"60-70",G1906&lt;=70,"70-80",G1906&lt;=80,"80-90")</f>
        <v>20-30</v>
      </c>
      <c r="I1906" s="17">
        <v>2272</v>
      </c>
      <c r="J1906" s="13" t="str" cm="1">
        <f t="array" ref="J1906">_xlfn.IFS(K1906=1,"Divorciado",L1906=1,"Casado",M1906=1,"Solteiro",N1906=1,"Juntos",O1906=1,"Viuvo")</f>
        <v>Casado</v>
      </c>
      <c r="K1906" s="17">
        <v>0</v>
      </c>
      <c r="L1906" s="17">
        <v>1</v>
      </c>
      <c r="M1906" s="17">
        <v>0</v>
      </c>
      <c r="N1906" s="17">
        <v>0</v>
      </c>
      <c r="O1906" s="17">
        <v>0</v>
      </c>
      <c r="P1906" s="17">
        <v>1</v>
      </c>
      <c r="Q1906" s="17">
        <v>0</v>
      </c>
      <c r="R1906" s="17">
        <v>0</v>
      </c>
      <c r="S1906" s="17">
        <v>0</v>
      </c>
      <c r="T1906" s="17">
        <v>0</v>
      </c>
      <c r="U1906" s="17">
        <v>8</v>
      </c>
      <c r="V1906" s="13" t="str" cm="1">
        <f t="array" ref="V1906">_xlfn.IFS(U1906&lt;=250,"0-R$250",U1906&lt;=500,"251-R$500",U1906&lt;=750,"501-R$750",U1906&lt;=1000,"751-R$1000",U1906&lt;=1250,"1001-R$1250",U1906&lt;=1500,"1251-R$1500")</f>
        <v>0-R$250</v>
      </c>
      <c r="W1906" s="17">
        <v>4</v>
      </c>
      <c r="X1906" s="13" t="str" cm="1">
        <f t="array" ref="X1906">_xlfn.IFS(W1906 = 0, "0", W1906&lt;=20, "até R$20",W1906&lt;=40, "21 - R$40",W1906&lt;=60, "41- R$60",W1906&lt;=80, "61 - R$80", W1906&lt;=100, "81 - R$100",W1906&lt;=120, "101 - R$120",W1906&lt;=140, "121 - R$140", W1906&lt;=160, "141- R$160", W1906&lt;=180, "161 - R$180", W1906&lt;=200, "181-R$194")</f>
        <v>até R$20</v>
      </c>
      <c r="Y1906" s="17">
        <v>10</v>
      </c>
      <c r="Z1906" s="17">
        <v>6</v>
      </c>
      <c r="AA1906" s="17">
        <v>7</v>
      </c>
      <c r="AB1906" s="17">
        <v>6</v>
      </c>
      <c r="AC1906" s="17">
        <v>2</v>
      </c>
      <c r="AD1906" s="17">
        <v>2</v>
      </c>
      <c r="AE1906" s="17">
        <v>0</v>
      </c>
      <c r="AF1906" s="17">
        <v>4</v>
      </c>
      <c r="AG1906" s="17">
        <v>5</v>
      </c>
      <c r="AH1906" s="17">
        <v>0</v>
      </c>
      <c r="AI1906" s="17">
        <v>0</v>
      </c>
      <c r="AJ1906" s="17">
        <v>0</v>
      </c>
      <c r="AK1906" s="17">
        <v>0</v>
      </c>
      <c r="AL1906" s="17">
        <v>0</v>
      </c>
      <c r="AM1906" s="17">
        <v>0</v>
      </c>
      <c r="AN1906" s="17">
        <v>0</v>
      </c>
      <c r="AO1906" s="18">
        <v>0</v>
      </c>
      <c r="AP1906" s="17">
        <v>3</v>
      </c>
      <c r="AQ1906" s="17">
        <v>11</v>
      </c>
      <c r="AR1906" s="19">
        <v>29</v>
      </c>
      <c r="AS1906" s="19">
        <v>35</v>
      </c>
    </row>
    <row r="1907" spans="1:45" x14ac:dyDescent="0.25">
      <c r="A1907">
        <v>597</v>
      </c>
      <c r="B1907" s="11">
        <f t="shared" si="29"/>
        <v>22574</v>
      </c>
      <c r="C1907" s="16">
        <v>225740</v>
      </c>
      <c r="D1907" s="17">
        <v>2</v>
      </c>
      <c r="E1907" s="17">
        <v>1</v>
      </c>
      <c r="F1907" s="17">
        <v>28</v>
      </c>
      <c r="G1907" s="17">
        <v>53</v>
      </c>
      <c r="H1907" s="13" t="str" cm="1">
        <f t="array" ref="H1907">_xlfn.IFS(G1907&lt;=20,"0-20",G1907&lt;=30,"20-30",G1907&lt;=40,"30-40",G1907&lt;=50,"50-60",G1907&lt;=60,"60-70",G1907&lt;=70,"70-80",G1907&lt;=80,"80-90")</f>
        <v>60-70</v>
      </c>
      <c r="I1907" s="17">
        <v>2403</v>
      </c>
      <c r="J1907" s="13" t="str" cm="1">
        <f t="array" ref="J1907">_xlfn.IFS(K1907=1,"Divorciado",L1907=1,"Casado",M1907=1,"Solteiro",N1907=1,"Juntos",O1907=1,"Viuvo")</f>
        <v>Casado</v>
      </c>
      <c r="K1907" s="17">
        <v>0</v>
      </c>
      <c r="L1907" s="17">
        <v>1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1</v>
      </c>
      <c r="S1907" s="17">
        <v>0</v>
      </c>
      <c r="T1907" s="17">
        <v>0</v>
      </c>
      <c r="U1907" s="17">
        <v>25</v>
      </c>
      <c r="V1907" s="13" t="str" cm="1">
        <f t="array" ref="V1907">_xlfn.IFS(U1907&lt;=250,"0-R$250",U1907&lt;=500,"251-R$500",U1907&lt;=750,"501-R$750",U1907&lt;=1000,"751-R$1000",U1907&lt;=1250,"1001-R$1250",U1907&lt;=1500,"1251-R$1500")</f>
        <v>0-R$250</v>
      </c>
      <c r="W1907" s="17">
        <v>0</v>
      </c>
      <c r="X1907" s="13" t="str" cm="1">
        <f t="array" ref="X1907">_xlfn.IFS(W1907 = 0, "0", W1907&lt;=20, "até R$20",W1907&lt;=40, "21 - R$40",W1907&lt;=60, "41- R$60",W1907&lt;=80, "61 - R$80", W1907&lt;=100, "81 - R$100",W1907&lt;=120, "101 - R$120",W1907&lt;=140, "121 - R$140", W1907&lt;=160, "141- R$160", W1907&lt;=180, "161 - R$180", W1907&lt;=200, "181-R$194")</f>
        <v>0</v>
      </c>
      <c r="Y1907" s="17">
        <v>8</v>
      </c>
      <c r="Z1907" s="17">
        <v>2</v>
      </c>
      <c r="AA1907" s="17">
        <v>0</v>
      </c>
      <c r="AB1907" s="17">
        <v>2</v>
      </c>
      <c r="AC1907" s="17">
        <v>2</v>
      </c>
      <c r="AD1907" s="17">
        <v>2</v>
      </c>
      <c r="AE1907" s="17">
        <v>0</v>
      </c>
      <c r="AF1907" s="17">
        <v>3</v>
      </c>
      <c r="AG1907" s="17">
        <v>7</v>
      </c>
      <c r="AH1907" s="17">
        <v>0</v>
      </c>
      <c r="AI1907" s="17">
        <v>0</v>
      </c>
      <c r="AJ1907" s="17">
        <v>0</v>
      </c>
      <c r="AK1907" s="17">
        <v>0</v>
      </c>
      <c r="AL1907" s="17">
        <v>0</v>
      </c>
      <c r="AM1907" s="17">
        <v>0</v>
      </c>
      <c r="AN1907" s="17">
        <v>0</v>
      </c>
      <c r="AO1907" s="18">
        <v>0</v>
      </c>
      <c r="AP1907" s="17">
        <v>3</v>
      </c>
      <c r="AQ1907" s="17">
        <v>11</v>
      </c>
      <c r="AR1907" s="19">
        <v>33</v>
      </c>
      <c r="AS1907" s="19">
        <v>35</v>
      </c>
    </row>
    <row r="1908" spans="1:45" x14ac:dyDescent="0.25">
      <c r="A1908">
        <v>765</v>
      </c>
      <c r="B1908" s="11">
        <f t="shared" si="29"/>
        <v>31590</v>
      </c>
      <c r="C1908" s="16">
        <v>315900</v>
      </c>
      <c r="D1908" s="17">
        <v>1</v>
      </c>
      <c r="E1908" s="17">
        <v>0</v>
      </c>
      <c r="F1908" s="17">
        <v>40</v>
      </c>
      <c r="G1908" s="17">
        <v>48</v>
      </c>
      <c r="H1908" s="13" t="str" cm="1">
        <f t="array" ref="H1908">_xlfn.IFS(G1908&lt;=20,"0-20",G1908&lt;=30,"20-30",G1908&lt;=40,"30-40",G1908&lt;=50,"50-60",G1908&lt;=60,"60-70",G1908&lt;=70,"70-80",G1908&lt;=80,"80-90")</f>
        <v>50-60</v>
      </c>
      <c r="I1908" s="17">
        <v>2535</v>
      </c>
      <c r="J1908" s="13" t="str" cm="1">
        <f t="array" ref="J1908">_xlfn.IFS(K1908=1,"Divorciado",L1908=1,"Casado",M1908=1,"Solteiro",N1908=1,"Juntos",O1908=1,"Viuvo")</f>
        <v>Juntos</v>
      </c>
      <c r="K1908" s="17">
        <v>0</v>
      </c>
      <c r="L1908" s="17">
        <v>0</v>
      </c>
      <c r="M1908" s="17">
        <v>0</v>
      </c>
      <c r="N1908" s="17">
        <v>1</v>
      </c>
      <c r="O1908" s="17">
        <v>0</v>
      </c>
      <c r="P1908" s="17">
        <v>0</v>
      </c>
      <c r="Q1908" s="17">
        <v>0</v>
      </c>
      <c r="R1908" s="17">
        <v>1</v>
      </c>
      <c r="S1908" s="17">
        <v>0</v>
      </c>
      <c r="T1908" s="17">
        <v>0</v>
      </c>
      <c r="U1908" s="17">
        <v>6</v>
      </c>
      <c r="V1908" s="13" t="str" cm="1">
        <f t="array" ref="V1908">_xlfn.IFS(U1908&lt;=250,"0-R$250",U1908&lt;=500,"251-R$500",U1908&lt;=750,"501-R$750",U1908&lt;=1000,"751-R$1000",U1908&lt;=1250,"1001-R$1250",U1908&lt;=1500,"1251-R$1500")</f>
        <v>0-R$250</v>
      </c>
      <c r="W1908" s="17">
        <v>2</v>
      </c>
      <c r="X1908" s="13" t="str" cm="1">
        <f t="array" ref="X1908">_xlfn.IFS(W1908 = 0, "0", W1908&lt;=20, "até R$20",W1908&lt;=40, "21 - R$40",W1908&lt;=60, "41- R$60",W1908&lt;=80, "61 - R$80", W1908&lt;=100, "81 - R$100",W1908&lt;=120, "101 - R$120",W1908&lt;=140, "121 - R$140", W1908&lt;=160, "141- R$160", W1908&lt;=180, "161 - R$180", W1908&lt;=200, "181-R$194")</f>
        <v>até R$20</v>
      </c>
      <c r="Y1908" s="17">
        <v>15</v>
      </c>
      <c r="Z1908" s="17">
        <v>6</v>
      </c>
      <c r="AA1908" s="17">
        <v>6</v>
      </c>
      <c r="AB1908" s="17">
        <v>3</v>
      </c>
      <c r="AC1908" s="17">
        <v>1</v>
      </c>
      <c r="AD1908" s="17">
        <v>1</v>
      </c>
      <c r="AE1908" s="17">
        <v>0</v>
      </c>
      <c r="AF1908" s="17">
        <v>3</v>
      </c>
      <c r="AG1908" s="17">
        <v>8</v>
      </c>
      <c r="AH1908" s="17">
        <v>0</v>
      </c>
      <c r="AI1908" s="17">
        <v>0</v>
      </c>
      <c r="AJ1908" s="17">
        <v>0</v>
      </c>
      <c r="AK1908" s="17">
        <v>0</v>
      </c>
      <c r="AL1908" s="17">
        <v>0</v>
      </c>
      <c r="AM1908" s="17">
        <v>0</v>
      </c>
      <c r="AN1908" s="17">
        <v>0</v>
      </c>
      <c r="AO1908" s="18">
        <v>0</v>
      </c>
      <c r="AP1908" s="17">
        <v>3</v>
      </c>
      <c r="AQ1908" s="17">
        <v>11</v>
      </c>
      <c r="AR1908" s="19">
        <v>32</v>
      </c>
      <c r="AS1908" s="19">
        <v>35</v>
      </c>
    </row>
    <row r="1909" spans="1:45" x14ac:dyDescent="0.25">
      <c r="A1909">
        <v>830</v>
      </c>
      <c r="B1909" s="11">
        <f t="shared" si="29"/>
        <v>15072</v>
      </c>
      <c r="C1909" s="12">
        <v>150720</v>
      </c>
      <c r="D1909" s="13">
        <v>2</v>
      </c>
      <c r="E1909" s="13">
        <v>0</v>
      </c>
      <c r="F1909" s="13">
        <v>96</v>
      </c>
      <c r="G1909" s="13">
        <v>40</v>
      </c>
      <c r="H1909" s="13" t="str" cm="1">
        <f t="array" ref="H1909">_xlfn.IFS(G1909&lt;=20,"0-20",G1909&lt;=30,"20-30",G1909&lt;=40,"30-40",G1909&lt;=50,"50-60",G1909&lt;=60,"60-70",G1909&lt;=70,"70-80",G1909&lt;=80,"80-90")</f>
        <v>30-40</v>
      </c>
      <c r="I1909" s="13">
        <v>2574</v>
      </c>
      <c r="J1909" s="13" t="str" cm="1">
        <f t="array" ref="J1909">_xlfn.IFS(K1909=1,"Divorciado",L1909=1,"Casado",M1909=1,"Solteiro",N1909=1,"Juntos",O1909=1,"Viuvo")</f>
        <v>Casado</v>
      </c>
      <c r="K1909" s="13">
        <v>0</v>
      </c>
      <c r="L1909" s="13">
        <v>1</v>
      </c>
      <c r="M1909" s="13">
        <v>0</v>
      </c>
      <c r="N1909" s="13">
        <v>0</v>
      </c>
      <c r="O1909" s="13">
        <v>0</v>
      </c>
      <c r="P1909" s="13">
        <v>0</v>
      </c>
      <c r="Q1909" s="13">
        <v>0</v>
      </c>
      <c r="R1909" s="13">
        <v>1</v>
      </c>
      <c r="S1909" s="13">
        <v>0</v>
      </c>
      <c r="T1909" s="13">
        <v>0</v>
      </c>
      <c r="U1909" s="13">
        <v>8</v>
      </c>
      <c r="V1909" s="13" t="str" cm="1">
        <f t="array" ref="V1909">_xlfn.IFS(U1909&lt;=250,"0-R$250",U1909&lt;=500,"251-R$500",U1909&lt;=750,"501-R$750",U1909&lt;=1000,"751-R$1000",U1909&lt;=1250,"1001-R$1250",U1909&lt;=1500,"1251-R$1500")</f>
        <v>0-R$250</v>
      </c>
      <c r="W1909" s="13">
        <v>2</v>
      </c>
      <c r="X1909" s="13" t="str" cm="1">
        <f t="array" ref="X1909">_xlfn.IFS(W1909 = 0, "0", W1909&lt;=20, "até R$20",W1909&lt;=40, "21 - R$40",W1909&lt;=60, "41- R$60",W1909&lt;=80, "61 - R$80", W1909&lt;=100, "81 - R$100",W1909&lt;=120, "101 - R$120",W1909&lt;=140, "121 - R$140", W1909&lt;=160, "141- R$160", W1909&lt;=180, "161 - R$180", W1909&lt;=200, "181-R$194")</f>
        <v>até R$20</v>
      </c>
      <c r="Y1909" s="13">
        <v>15</v>
      </c>
      <c r="Z1909" s="13">
        <v>0</v>
      </c>
      <c r="AA1909" s="13">
        <v>10</v>
      </c>
      <c r="AB1909" s="13">
        <v>18</v>
      </c>
      <c r="AC1909" s="13">
        <v>4</v>
      </c>
      <c r="AD1909" s="13">
        <v>3</v>
      </c>
      <c r="AE1909" s="13">
        <v>1</v>
      </c>
      <c r="AF1909" s="13">
        <v>3</v>
      </c>
      <c r="AG1909" s="13">
        <v>5</v>
      </c>
      <c r="AH1909" s="13">
        <v>0</v>
      </c>
      <c r="AI1909" s="13">
        <v>0</v>
      </c>
      <c r="AJ1909" s="13">
        <v>0</v>
      </c>
      <c r="AK1909" s="13">
        <v>0</v>
      </c>
      <c r="AL1909" s="13">
        <v>0</v>
      </c>
      <c r="AM1909" s="13">
        <v>0</v>
      </c>
      <c r="AN1909" s="13">
        <v>0</v>
      </c>
      <c r="AO1909" s="14">
        <v>0</v>
      </c>
      <c r="AP1909" s="13">
        <v>3</v>
      </c>
      <c r="AQ1909" s="13">
        <v>11</v>
      </c>
      <c r="AR1909" s="15">
        <v>17</v>
      </c>
      <c r="AS1909" s="15">
        <v>35</v>
      </c>
    </row>
    <row r="1910" spans="1:45" x14ac:dyDescent="0.25">
      <c r="A1910">
        <v>1448</v>
      </c>
      <c r="B1910" s="11">
        <f t="shared" si="29"/>
        <v>34704</v>
      </c>
      <c r="C1910" s="12">
        <v>347040</v>
      </c>
      <c r="D1910" s="13">
        <v>0</v>
      </c>
      <c r="E1910" s="13">
        <v>1</v>
      </c>
      <c r="F1910" s="13">
        <v>65</v>
      </c>
      <c r="G1910" s="13">
        <v>54</v>
      </c>
      <c r="H1910" s="13" t="str" cm="1">
        <f t="array" ref="H1910">_xlfn.IFS(G1910&lt;=20,"0-20",G1910&lt;=30,"20-30",G1910&lt;=40,"30-40",G1910&lt;=50,"50-60",G1910&lt;=60,"60-70",G1910&lt;=70,"70-80",G1910&lt;=80,"80-90")</f>
        <v>60-70</v>
      </c>
      <c r="I1910" s="13">
        <v>2587</v>
      </c>
      <c r="J1910" s="13" t="str" cm="1">
        <f t="array" ref="J1910">_xlfn.IFS(K1910=1,"Divorciado",L1910=1,"Casado",M1910=1,"Solteiro",N1910=1,"Juntos",O1910=1,"Viuvo")</f>
        <v>Solteiro</v>
      </c>
      <c r="K1910" s="13">
        <v>0</v>
      </c>
      <c r="L1910" s="13">
        <v>0</v>
      </c>
      <c r="M1910" s="13">
        <v>1</v>
      </c>
      <c r="N1910" s="13">
        <v>0</v>
      </c>
      <c r="O1910" s="13">
        <v>0</v>
      </c>
      <c r="P1910" s="13">
        <v>0</v>
      </c>
      <c r="Q1910" s="13">
        <v>0</v>
      </c>
      <c r="R1910" s="13">
        <v>1</v>
      </c>
      <c r="S1910" s="13">
        <v>0</v>
      </c>
      <c r="T1910" s="13">
        <v>0</v>
      </c>
      <c r="U1910" s="13">
        <v>29</v>
      </c>
      <c r="V1910" s="13" t="str" cm="1">
        <f t="array" ref="V1910">_xlfn.IFS(U1910&lt;=250,"0-R$250",U1910&lt;=500,"251-R$500",U1910&lt;=750,"501-R$750",U1910&lt;=1000,"751-R$1000",U1910&lt;=1250,"1001-R$1250",U1910&lt;=1500,"1251-R$1500")</f>
        <v>0-R$250</v>
      </c>
      <c r="W1910" s="13">
        <v>0</v>
      </c>
      <c r="X1910" s="13" t="str" cm="1">
        <f t="array" ref="X1910">_xlfn.IFS(W1910 = 0, "0", W1910&lt;=20, "até R$20",W1910&lt;=40, "21 - R$40",W1910&lt;=60, "41- R$60",W1910&lt;=80, "61 - R$80", W1910&lt;=100, "81 - R$100",W1910&lt;=120, "101 - R$120",W1910&lt;=140, "121 - R$140", W1910&lt;=160, "141- R$160", W1910&lt;=180, "161 - R$180", W1910&lt;=200, "181-R$194")</f>
        <v>0</v>
      </c>
      <c r="Y1910" s="13">
        <v>5</v>
      </c>
      <c r="Z1910" s="13">
        <v>0</v>
      </c>
      <c r="AA1910" s="13">
        <v>1</v>
      </c>
      <c r="AB1910" s="13">
        <v>5</v>
      </c>
      <c r="AC1910" s="13">
        <v>1</v>
      </c>
      <c r="AD1910" s="13">
        <v>1</v>
      </c>
      <c r="AE1910" s="13">
        <v>0</v>
      </c>
      <c r="AF1910" s="13">
        <v>3</v>
      </c>
      <c r="AG1910" s="13">
        <v>5</v>
      </c>
      <c r="AH1910" s="13">
        <v>0</v>
      </c>
      <c r="AI1910" s="13">
        <v>0</v>
      </c>
      <c r="AJ1910" s="13">
        <v>0</v>
      </c>
      <c r="AK1910" s="13">
        <v>0</v>
      </c>
      <c r="AL1910" s="13">
        <v>0</v>
      </c>
      <c r="AM1910" s="13">
        <v>0</v>
      </c>
      <c r="AN1910" s="13">
        <v>0</v>
      </c>
      <c r="AO1910" s="14">
        <v>0</v>
      </c>
      <c r="AP1910" s="13">
        <v>3</v>
      </c>
      <c r="AQ1910" s="13">
        <v>11</v>
      </c>
      <c r="AR1910" s="15">
        <v>30</v>
      </c>
      <c r="AS1910" s="15">
        <v>35</v>
      </c>
    </row>
    <row r="1911" spans="1:45" x14ac:dyDescent="0.25">
      <c r="A1911">
        <v>1505</v>
      </c>
      <c r="B1911" s="11">
        <f t="shared" si="29"/>
        <v>19740</v>
      </c>
      <c r="C1911" s="16">
        <v>197400</v>
      </c>
      <c r="D1911" s="17">
        <v>0</v>
      </c>
      <c r="E1911" s="17">
        <v>1</v>
      </c>
      <c r="F1911" s="17">
        <v>65</v>
      </c>
      <c r="G1911" s="17">
        <v>60</v>
      </c>
      <c r="H1911" s="13" t="str" cm="1">
        <f t="array" ref="H1911">_xlfn.IFS(G1911&lt;=20,"0-20",G1911&lt;=30,"20-30",G1911&lt;=40,"30-40",G1911&lt;=50,"50-60",G1911&lt;=60,"60-70",G1911&lt;=70,"70-80",G1911&lt;=80,"80-90")</f>
        <v>60-70</v>
      </c>
      <c r="I1911" s="17">
        <v>2621</v>
      </c>
      <c r="J1911" s="13" t="str" cm="1">
        <f t="array" ref="J1911">_xlfn.IFS(K1911=1,"Divorciado",L1911=1,"Casado",M1911=1,"Solteiro",N1911=1,"Juntos",O1911=1,"Viuvo")</f>
        <v>Juntos</v>
      </c>
      <c r="K1911" s="17">
        <v>0</v>
      </c>
      <c r="L1911" s="17">
        <v>0</v>
      </c>
      <c r="M1911" s="17">
        <v>0</v>
      </c>
      <c r="N1911" s="17">
        <v>1</v>
      </c>
      <c r="O1911" s="17">
        <v>0</v>
      </c>
      <c r="P1911" s="17">
        <v>0</v>
      </c>
      <c r="Q1911" s="17">
        <v>0</v>
      </c>
      <c r="R1911" s="17">
        <v>1</v>
      </c>
      <c r="S1911" s="17">
        <v>0</v>
      </c>
      <c r="T1911" s="17">
        <v>0</v>
      </c>
      <c r="U1911" s="17">
        <v>7</v>
      </c>
      <c r="V1911" s="13" t="str" cm="1">
        <f t="array" ref="V1911">_xlfn.IFS(U1911&lt;=250,"0-R$250",U1911&lt;=500,"251-R$500",U1911&lt;=750,"501-R$750",U1911&lt;=1000,"751-R$1000",U1911&lt;=1250,"1001-R$1250",U1911&lt;=1500,"1251-R$1500")</f>
        <v>0-R$250</v>
      </c>
      <c r="W1911" s="17">
        <v>11</v>
      </c>
      <c r="X1911" s="13" t="str" cm="1">
        <f t="array" ref="X1911">_xlfn.IFS(W1911 = 0, "0", W1911&lt;=20, "até R$20",W1911&lt;=40, "21 - R$40",W1911&lt;=60, "41- R$60",W1911&lt;=80, "61 - R$80", W1911&lt;=100, "81 - R$100",W1911&lt;=120, "101 - R$120",W1911&lt;=140, "121 - R$140", W1911&lt;=160, "141- R$160", W1911&lt;=180, "161 - R$180", W1911&lt;=200, "181-R$194")</f>
        <v>até R$20</v>
      </c>
      <c r="Y1911" s="17">
        <v>3</v>
      </c>
      <c r="Z1911" s="17">
        <v>10</v>
      </c>
      <c r="AA1911" s="17">
        <v>4</v>
      </c>
      <c r="AB1911" s="17">
        <v>20</v>
      </c>
      <c r="AC1911" s="17">
        <v>2</v>
      </c>
      <c r="AD1911" s="17">
        <v>1</v>
      </c>
      <c r="AE1911" s="17">
        <v>1</v>
      </c>
      <c r="AF1911" s="17">
        <v>3</v>
      </c>
      <c r="AG1911" s="17">
        <v>5</v>
      </c>
      <c r="AH1911" s="17">
        <v>0</v>
      </c>
      <c r="AI1911" s="17">
        <v>0</v>
      </c>
      <c r="AJ1911" s="17">
        <v>0</v>
      </c>
      <c r="AK1911" s="17">
        <v>0</v>
      </c>
      <c r="AL1911" s="17">
        <v>0</v>
      </c>
      <c r="AM1911" s="17">
        <v>0</v>
      </c>
      <c r="AN1911" s="17">
        <v>0</v>
      </c>
      <c r="AO1911" s="18">
        <v>0</v>
      </c>
      <c r="AP1911" s="17">
        <v>3</v>
      </c>
      <c r="AQ1911" s="17">
        <v>11</v>
      </c>
      <c r="AR1911" s="19">
        <v>15</v>
      </c>
      <c r="AS1911" s="19">
        <v>35</v>
      </c>
    </row>
    <row r="1912" spans="1:45" x14ac:dyDescent="0.25">
      <c r="A1912">
        <v>1910</v>
      </c>
      <c r="B1912" s="11">
        <f t="shared" si="29"/>
        <v>34984</v>
      </c>
      <c r="C1912" s="12">
        <v>349840</v>
      </c>
      <c r="D1912" s="13">
        <v>1</v>
      </c>
      <c r="E1912" s="13">
        <v>1</v>
      </c>
      <c r="F1912" s="13">
        <v>40</v>
      </c>
      <c r="G1912" s="13">
        <v>45</v>
      </c>
      <c r="H1912" s="13" t="str" cm="1">
        <f t="array" ref="H1912">_xlfn.IFS(G1912&lt;=20,"0-20",G1912&lt;=30,"20-30",G1912&lt;=40,"30-40",G1912&lt;=50,"50-60",G1912&lt;=60,"60-70",G1912&lt;=70,"70-80",G1912&lt;=80,"80-90")</f>
        <v>50-60</v>
      </c>
      <c r="I1912" s="13">
        <v>2820</v>
      </c>
      <c r="J1912" s="13" t="str" cm="1">
        <f t="array" ref="J1912">_xlfn.IFS(K1912=1,"Divorciado",L1912=1,"Casado",M1912=1,"Solteiro",N1912=1,"Juntos",O1912=1,"Viuvo")</f>
        <v>Juntos</v>
      </c>
      <c r="K1912" s="13">
        <v>0</v>
      </c>
      <c r="L1912" s="13">
        <v>0</v>
      </c>
      <c r="M1912" s="13">
        <v>0</v>
      </c>
      <c r="N1912" s="13">
        <v>1</v>
      </c>
      <c r="O1912" s="13">
        <v>0</v>
      </c>
      <c r="P1912" s="13">
        <v>1</v>
      </c>
      <c r="Q1912" s="13">
        <v>0</v>
      </c>
      <c r="R1912" s="13">
        <v>0</v>
      </c>
      <c r="S1912" s="13">
        <v>0</v>
      </c>
      <c r="T1912" s="13">
        <v>0</v>
      </c>
      <c r="U1912" s="13">
        <v>8</v>
      </c>
      <c r="V1912" s="13" t="str" cm="1">
        <f t="array" ref="V1912">_xlfn.IFS(U1912&lt;=250,"0-R$250",U1912&lt;=500,"251-R$500",U1912&lt;=750,"501-R$750",U1912&lt;=1000,"751-R$1000",U1912&lt;=1250,"1001-R$1250",U1912&lt;=1500,"1251-R$1500")</f>
        <v>0-R$250</v>
      </c>
      <c r="W1912" s="13">
        <v>4</v>
      </c>
      <c r="X1912" s="13" t="str" cm="1">
        <f t="array" ref="X1912">_xlfn.IFS(W1912 = 0, "0", W1912&lt;=20, "até R$20",W1912&lt;=40, "21 - R$40",W1912&lt;=60, "41- R$60",W1912&lt;=80, "61 - R$80", W1912&lt;=100, "81 - R$100",W1912&lt;=120, "101 - R$120",W1912&lt;=140, "121 - R$140", W1912&lt;=160, "141- R$160", W1912&lt;=180, "161 - R$180", W1912&lt;=200, "181-R$194")</f>
        <v>até R$20</v>
      </c>
      <c r="Y1912" s="13">
        <v>15</v>
      </c>
      <c r="Z1912" s="13">
        <v>3</v>
      </c>
      <c r="AA1912" s="13">
        <v>5</v>
      </c>
      <c r="AB1912" s="13">
        <v>3</v>
      </c>
      <c r="AC1912" s="13">
        <v>2</v>
      </c>
      <c r="AD1912" s="13">
        <v>1</v>
      </c>
      <c r="AE1912" s="13">
        <v>0</v>
      </c>
      <c r="AF1912" s="13">
        <v>3</v>
      </c>
      <c r="AG1912" s="13">
        <v>7</v>
      </c>
      <c r="AH1912" s="13">
        <v>0</v>
      </c>
      <c r="AI1912" s="13">
        <v>0</v>
      </c>
      <c r="AJ1912" s="13">
        <v>0</v>
      </c>
      <c r="AK1912" s="13">
        <v>0</v>
      </c>
      <c r="AL1912" s="13">
        <v>0</v>
      </c>
      <c r="AM1912" s="13">
        <v>0</v>
      </c>
      <c r="AN1912" s="13">
        <v>0</v>
      </c>
      <c r="AO1912" s="14">
        <v>0</v>
      </c>
      <c r="AP1912" s="13">
        <v>3</v>
      </c>
      <c r="AQ1912" s="13">
        <v>11</v>
      </c>
      <c r="AR1912" s="15">
        <v>32</v>
      </c>
      <c r="AS1912" s="15">
        <v>35</v>
      </c>
    </row>
    <row r="1913" spans="1:45" x14ac:dyDescent="0.25">
      <c r="A1913">
        <v>2071</v>
      </c>
      <c r="B1913" s="11">
        <f t="shared" si="29"/>
        <v>14796</v>
      </c>
      <c r="C1913" s="16">
        <v>147960</v>
      </c>
      <c r="D1913" s="17">
        <v>1</v>
      </c>
      <c r="E1913" s="17">
        <v>0</v>
      </c>
      <c r="F1913" s="17">
        <v>1</v>
      </c>
      <c r="G1913" s="17">
        <v>36</v>
      </c>
      <c r="H1913" s="13" t="str" cm="1">
        <f t="array" ref="H1913">_xlfn.IFS(G1913&lt;=20,"0-20",G1913&lt;=30,"20-30",G1913&lt;=40,"30-40",G1913&lt;=50,"50-60",G1913&lt;=60,"60-70",G1913&lt;=70,"70-80",G1913&lt;=80,"80-90")</f>
        <v>30-40</v>
      </c>
      <c r="I1913" s="17">
        <v>2809</v>
      </c>
      <c r="J1913" s="13" t="str" cm="1">
        <f t="array" ref="J1913">_xlfn.IFS(K1913=1,"Divorciado",L1913=1,"Casado",M1913=1,"Solteiro",N1913=1,"Juntos",O1913=1,"Viuvo")</f>
        <v>Casado</v>
      </c>
      <c r="K1913" s="17">
        <v>0</v>
      </c>
      <c r="L1913" s="17">
        <v>1</v>
      </c>
      <c r="M1913" s="17">
        <v>0</v>
      </c>
      <c r="N1913" s="17">
        <v>0</v>
      </c>
      <c r="O1913" s="17">
        <v>0</v>
      </c>
      <c r="P1913" s="17">
        <v>1</v>
      </c>
      <c r="Q1913" s="17">
        <v>0</v>
      </c>
      <c r="R1913" s="17">
        <v>0</v>
      </c>
      <c r="S1913" s="17">
        <v>0</v>
      </c>
      <c r="T1913" s="17">
        <v>0</v>
      </c>
      <c r="U1913" s="17">
        <v>13</v>
      </c>
      <c r="V1913" s="13" t="str" cm="1">
        <f t="array" ref="V1913">_xlfn.IFS(U1913&lt;=250,"0-R$250",U1913&lt;=500,"251-R$500",U1913&lt;=750,"501-R$750",U1913&lt;=1000,"751-R$1000",U1913&lt;=1250,"1001-R$1250",U1913&lt;=1500,"1251-R$1500")</f>
        <v>0-R$250</v>
      </c>
      <c r="W1913" s="17">
        <v>3</v>
      </c>
      <c r="X1913" s="13" t="str" cm="1">
        <f t="array" ref="X1913">_xlfn.IFS(W1913 = 0, "0", W1913&lt;=20, "até R$20",W1913&lt;=40, "21 - R$40",W1913&lt;=60, "41- R$60",W1913&lt;=80, "61 - R$80", W1913&lt;=100, "81 - R$100",W1913&lt;=120, "101 - R$120",W1913&lt;=140, "121 - R$140", W1913&lt;=160, "141- R$160", W1913&lt;=180, "161 - R$180", W1913&lt;=200, "181-R$194")</f>
        <v>até R$20</v>
      </c>
      <c r="Y1913" s="17">
        <v>8</v>
      </c>
      <c r="Z1913" s="17">
        <v>7</v>
      </c>
      <c r="AA1913" s="17">
        <v>4</v>
      </c>
      <c r="AB1913" s="17">
        <v>16</v>
      </c>
      <c r="AC1913" s="17">
        <v>2</v>
      </c>
      <c r="AD1913" s="17">
        <v>1</v>
      </c>
      <c r="AE1913" s="17">
        <v>0</v>
      </c>
      <c r="AF1913" s="17">
        <v>3</v>
      </c>
      <c r="AG1913" s="17">
        <v>9</v>
      </c>
      <c r="AH1913" s="17">
        <v>0</v>
      </c>
      <c r="AI1913" s="17">
        <v>0</v>
      </c>
      <c r="AJ1913" s="17">
        <v>0</v>
      </c>
      <c r="AK1913" s="17">
        <v>0</v>
      </c>
      <c r="AL1913" s="17">
        <v>0</v>
      </c>
      <c r="AM1913" s="17">
        <v>0</v>
      </c>
      <c r="AN1913" s="17">
        <v>1</v>
      </c>
      <c r="AO1913" s="18">
        <v>0</v>
      </c>
      <c r="AP1913" s="17">
        <v>3</v>
      </c>
      <c r="AQ1913" s="17">
        <v>11</v>
      </c>
      <c r="AR1913" s="19">
        <v>19</v>
      </c>
      <c r="AS1913" s="19">
        <v>35</v>
      </c>
    </row>
    <row r="1914" spans="1:45" x14ac:dyDescent="0.25">
      <c r="A1914">
        <v>2159</v>
      </c>
      <c r="B1914" s="11">
        <f t="shared" si="29"/>
        <v>40851</v>
      </c>
      <c r="C1914" s="16">
        <v>408510</v>
      </c>
      <c r="D1914" s="17">
        <v>1</v>
      </c>
      <c r="E1914" s="17">
        <v>1</v>
      </c>
      <c r="F1914" s="17">
        <v>63</v>
      </c>
      <c r="G1914" s="17">
        <v>49</v>
      </c>
      <c r="H1914" s="13" t="str" cm="1">
        <f t="array" ref="H1914">_xlfn.IFS(G1914&lt;=20,"0-20",G1914&lt;=30,"20-30",G1914&lt;=40,"30-40",G1914&lt;=50,"50-60",G1914&lt;=60,"60-70",G1914&lt;=70,"70-80",G1914&lt;=80,"80-90")</f>
        <v>50-60</v>
      </c>
      <c r="I1914" s="17">
        <v>2652</v>
      </c>
      <c r="J1914" s="13" t="str" cm="1">
        <f t="array" ref="J1914">_xlfn.IFS(K1914=1,"Divorciado",L1914=1,"Casado",M1914=1,"Solteiro",N1914=1,"Juntos",O1914=1,"Viuvo")</f>
        <v>Divorciado</v>
      </c>
      <c r="K1914" s="17">
        <v>1</v>
      </c>
      <c r="L1914" s="17">
        <v>0</v>
      </c>
      <c r="M1914" s="17">
        <v>0</v>
      </c>
      <c r="N1914" s="17">
        <v>0</v>
      </c>
      <c r="O1914" s="17">
        <v>0</v>
      </c>
      <c r="P1914" s="17">
        <v>0</v>
      </c>
      <c r="Q1914" s="17">
        <v>0</v>
      </c>
      <c r="R1914" s="17">
        <v>1</v>
      </c>
      <c r="S1914" s="17">
        <v>0</v>
      </c>
      <c r="T1914" s="17">
        <v>0</v>
      </c>
      <c r="U1914" s="17">
        <v>23</v>
      </c>
      <c r="V1914" s="13" t="str" cm="1">
        <f t="array" ref="V1914">_xlfn.IFS(U1914&lt;=250,"0-R$250",U1914&lt;=500,"251-R$500",U1914&lt;=750,"501-R$750",U1914&lt;=1000,"751-R$1000",U1914&lt;=1250,"1001-R$1250",U1914&lt;=1500,"1251-R$1500")</f>
        <v>0-R$250</v>
      </c>
      <c r="W1914" s="17">
        <v>1</v>
      </c>
      <c r="X1914" s="13" t="str" cm="1">
        <f t="array" ref="X1914">_xlfn.IFS(W1914 = 0, "0", W1914&lt;=20, "até R$20",W1914&lt;=40, "21 - R$40",W1914&lt;=60, "41- R$60",W1914&lt;=80, "61 - R$80", W1914&lt;=100, "81 - R$100",W1914&lt;=120, "101 - R$120",W1914&lt;=140, "121 - R$140", W1914&lt;=160, "141- R$160", W1914&lt;=180, "161 - R$180", W1914&lt;=200, "181-R$194")</f>
        <v>até R$20</v>
      </c>
      <c r="Y1914" s="17">
        <v>7</v>
      </c>
      <c r="Z1914" s="17">
        <v>0</v>
      </c>
      <c r="AA1914" s="17">
        <v>4</v>
      </c>
      <c r="AB1914" s="17">
        <v>24</v>
      </c>
      <c r="AC1914" s="17">
        <v>1</v>
      </c>
      <c r="AD1914" s="17">
        <v>1</v>
      </c>
      <c r="AE1914" s="17">
        <v>1</v>
      </c>
      <c r="AF1914" s="17">
        <v>2</v>
      </c>
      <c r="AG1914" s="17">
        <v>7</v>
      </c>
      <c r="AH1914" s="17">
        <v>0</v>
      </c>
      <c r="AI1914" s="17">
        <v>0</v>
      </c>
      <c r="AJ1914" s="17">
        <v>0</v>
      </c>
      <c r="AK1914" s="17">
        <v>0</v>
      </c>
      <c r="AL1914" s="17">
        <v>0</v>
      </c>
      <c r="AM1914" s="17">
        <v>0</v>
      </c>
      <c r="AN1914" s="17">
        <v>0</v>
      </c>
      <c r="AO1914" s="18">
        <v>0</v>
      </c>
      <c r="AP1914" s="17">
        <v>3</v>
      </c>
      <c r="AQ1914" s="17">
        <v>11</v>
      </c>
      <c r="AR1914" s="19">
        <v>11</v>
      </c>
      <c r="AS1914" s="19">
        <v>35</v>
      </c>
    </row>
    <row r="1915" spans="1:45" x14ac:dyDescent="0.25">
      <c r="A1915">
        <v>129</v>
      </c>
      <c r="B1915" s="11">
        <f t="shared" si="29"/>
        <v>36921</v>
      </c>
      <c r="C1915" s="16">
        <v>369210</v>
      </c>
      <c r="D1915" s="17">
        <v>1</v>
      </c>
      <c r="E1915" s="17">
        <v>1</v>
      </c>
      <c r="F1915" s="17">
        <v>74</v>
      </c>
      <c r="G1915" s="17">
        <v>55</v>
      </c>
      <c r="H1915" s="13" t="str" cm="1">
        <f t="array" ref="H1915">_xlfn.IFS(G1915&lt;=20,"0-20",G1915&lt;=30,"20-30",G1915&lt;=40,"30-40",G1915&lt;=50,"50-60",G1915&lt;=60,"60-70",G1915&lt;=70,"70-80",G1915&lt;=80,"80-90")</f>
        <v>60-70</v>
      </c>
      <c r="I1915" s="17">
        <v>2495</v>
      </c>
      <c r="J1915" s="13" t="str" cm="1">
        <f t="array" ref="J1915">_xlfn.IFS(K1915=1,"Divorciado",L1915=1,"Casado",M1915=1,"Solteiro",N1915=1,"Juntos",O1915=1,"Viuvo")</f>
        <v>Divorciado</v>
      </c>
      <c r="K1915" s="17">
        <v>1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1</v>
      </c>
      <c r="U1915" s="17">
        <v>17</v>
      </c>
      <c r="V1915" s="13" t="str" cm="1">
        <f t="array" ref="V1915">_xlfn.IFS(U1915&lt;=250,"0-R$250",U1915&lt;=500,"251-R$500",U1915&lt;=750,"501-R$750",U1915&lt;=1000,"751-R$1000",U1915&lt;=1250,"1001-R$1250",U1915&lt;=1500,"1251-R$1500")</f>
        <v>0-R$250</v>
      </c>
      <c r="W1915" s="17">
        <v>1</v>
      </c>
      <c r="X1915" s="13" t="str" cm="1">
        <f t="array" ref="X1915">_xlfn.IFS(W1915 = 0, "0", W1915&lt;=20, "até R$20",W1915&lt;=40, "21 - R$40",W1915&lt;=60, "41- R$60",W1915&lt;=80, "61 - R$80", W1915&lt;=100, "81 - R$100",W1915&lt;=120, "101 - R$120",W1915&lt;=140, "121 - R$140", W1915&lt;=160, "141- R$160", W1915&lt;=180, "161 - R$180", W1915&lt;=200, "181-R$194")</f>
        <v>até R$20</v>
      </c>
      <c r="Y1915" s="17">
        <v>12</v>
      </c>
      <c r="Z1915" s="17">
        <v>3</v>
      </c>
      <c r="AA1915" s="17">
        <v>1</v>
      </c>
      <c r="AB1915" s="17">
        <v>4</v>
      </c>
      <c r="AC1915" s="17">
        <v>2</v>
      </c>
      <c r="AD1915" s="17">
        <v>2</v>
      </c>
      <c r="AE1915" s="17">
        <v>0</v>
      </c>
      <c r="AF1915" s="17">
        <v>3</v>
      </c>
      <c r="AG1915" s="17">
        <v>7</v>
      </c>
      <c r="AH1915" s="17">
        <v>0</v>
      </c>
      <c r="AI1915" s="17">
        <v>0</v>
      </c>
      <c r="AJ1915" s="17">
        <v>0</v>
      </c>
      <c r="AK1915" s="17">
        <v>0</v>
      </c>
      <c r="AL1915" s="17">
        <v>0</v>
      </c>
      <c r="AM1915" s="17">
        <v>0</v>
      </c>
      <c r="AN1915" s="17">
        <v>0</v>
      </c>
      <c r="AO1915" s="18">
        <v>0</v>
      </c>
      <c r="AP1915" s="17">
        <v>3</v>
      </c>
      <c r="AQ1915" s="17">
        <v>11</v>
      </c>
      <c r="AR1915" s="19">
        <v>30</v>
      </c>
      <c r="AS1915" s="19">
        <v>34</v>
      </c>
    </row>
    <row r="1916" spans="1:45" x14ac:dyDescent="0.25">
      <c r="A1916">
        <v>245</v>
      </c>
      <c r="B1916" s="11">
        <f t="shared" si="29"/>
        <v>18701</v>
      </c>
      <c r="C1916" s="16">
        <v>187010</v>
      </c>
      <c r="D1916" s="17">
        <v>1</v>
      </c>
      <c r="E1916" s="17">
        <v>1</v>
      </c>
      <c r="F1916" s="17">
        <v>95</v>
      </c>
      <c r="G1916" s="17">
        <v>56</v>
      </c>
      <c r="H1916" s="13" t="str" cm="1">
        <f t="array" ref="H1916">_xlfn.IFS(G1916&lt;=20,"0-20",G1916&lt;=30,"20-30",G1916&lt;=40,"30-40",G1916&lt;=50,"50-60",G1916&lt;=60,"60-70",G1916&lt;=70,"70-80",G1916&lt;=80,"80-90")</f>
        <v>60-70</v>
      </c>
      <c r="I1916" s="17">
        <v>2549</v>
      </c>
      <c r="J1916" s="13" t="str" cm="1">
        <f t="array" ref="J1916">_xlfn.IFS(K1916=1,"Divorciado",L1916=1,"Casado",M1916=1,"Solteiro",N1916=1,"Juntos",O1916=1,"Viuvo")</f>
        <v>Solteiro</v>
      </c>
      <c r="K1916" s="17">
        <v>0</v>
      </c>
      <c r="L1916" s="17">
        <v>0</v>
      </c>
      <c r="M1916" s="17">
        <v>1</v>
      </c>
      <c r="N1916" s="17">
        <v>0</v>
      </c>
      <c r="O1916" s="17">
        <v>0</v>
      </c>
      <c r="P1916" s="17">
        <v>0</v>
      </c>
      <c r="Q1916" s="17">
        <v>0</v>
      </c>
      <c r="R1916" s="17">
        <v>1</v>
      </c>
      <c r="S1916" s="17">
        <v>0</v>
      </c>
      <c r="T1916" s="17">
        <v>0</v>
      </c>
      <c r="U1916" s="17">
        <v>12</v>
      </c>
      <c r="V1916" s="13" t="str" cm="1">
        <f t="array" ref="V1916">_xlfn.IFS(U1916&lt;=250,"0-R$250",U1916&lt;=500,"251-R$500",U1916&lt;=750,"501-R$750",U1916&lt;=1000,"751-R$1000",U1916&lt;=1250,"1001-R$1250",U1916&lt;=1500,"1251-R$1500")</f>
        <v>0-R$250</v>
      </c>
      <c r="W1916" s="17">
        <v>4</v>
      </c>
      <c r="X1916" s="13" t="str" cm="1">
        <f t="array" ref="X1916">_xlfn.IFS(W1916 = 0, "0", W1916&lt;=20, "até R$20",W1916&lt;=40, "21 - R$40",W1916&lt;=60, "41- R$60",W1916&lt;=80, "61 - R$80", W1916&lt;=100, "81 - R$100",W1916&lt;=120, "101 - R$120",W1916&lt;=140, "121 - R$140", W1916&lt;=160, "141- R$160", W1916&lt;=180, "161 - R$180", W1916&lt;=200, "181-R$194")</f>
        <v>até R$20</v>
      </c>
      <c r="Y1916" s="17">
        <v>2</v>
      </c>
      <c r="Z1916" s="17">
        <v>10</v>
      </c>
      <c r="AA1916" s="17">
        <v>6</v>
      </c>
      <c r="AB1916" s="17">
        <v>10</v>
      </c>
      <c r="AC1916" s="17">
        <v>4</v>
      </c>
      <c r="AD1916" s="17">
        <v>2</v>
      </c>
      <c r="AE1916" s="17">
        <v>0</v>
      </c>
      <c r="AF1916" s="17">
        <v>4</v>
      </c>
      <c r="AG1916" s="17">
        <v>5</v>
      </c>
      <c r="AH1916" s="17">
        <v>0</v>
      </c>
      <c r="AI1916" s="17">
        <v>0</v>
      </c>
      <c r="AJ1916" s="17">
        <v>0</v>
      </c>
      <c r="AK1916" s="17">
        <v>0</v>
      </c>
      <c r="AL1916" s="17">
        <v>0</v>
      </c>
      <c r="AM1916" s="17">
        <v>0</v>
      </c>
      <c r="AN1916" s="17">
        <v>0</v>
      </c>
      <c r="AO1916" s="18">
        <v>0</v>
      </c>
      <c r="AP1916" s="17">
        <v>3</v>
      </c>
      <c r="AQ1916" s="17">
        <v>11</v>
      </c>
      <c r="AR1916" s="19">
        <v>24</v>
      </c>
      <c r="AS1916" s="19">
        <v>34</v>
      </c>
    </row>
    <row r="1917" spans="1:45" x14ac:dyDescent="0.25">
      <c r="A1917">
        <v>271</v>
      </c>
      <c r="B1917" s="11">
        <f t="shared" si="29"/>
        <v>44319</v>
      </c>
      <c r="C1917" s="16">
        <v>443190</v>
      </c>
      <c r="D1917" s="17">
        <v>1</v>
      </c>
      <c r="E1917" s="17">
        <v>1</v>
      </c>
      <c r="F1917" s="17">
        <v>18</v>
      </c>
      <c r="G1917" s="17">
        <v>45</v>
      </c>
      <c r="H1917" s="13" t="str" cm="1">
        <f t="array" ref="H1917">_xlfn.IFS(G1917&lt;=20,"0-20",G1917&lt;=30,"20-30",G1917&lt;=40,"30-40",G1917&lt;=50,"50-60",G1917&lt;=60,"60-70",G1917&lt;=70,"70-80",G1917&lt;=80,"80-90")</f>
        <v>50-60</v>
      </c>
      <c r="I1917" s="17">
        <v>2232</v>
      </c>
      <c r="J1917" s="13" t="str" cm="1">
        <f t="array" ref="J1917">_xlfn.IFS(K1917=1,"Divorciado",L1917=1,"Casado",M1917=1,"Solteiro",N1917=1,"Juntos",O1917=1,"Viuvo")</f>
        <v>Casado</v>
      </c>
      <c r="K1917" s="17">
        <v>0</v>
      </c>
      <c r="L1917" s="17">
        <v>1</v>
      </c>
      <c r="M1917" s="17">
        <v>0</v>
      </c>
      <c r="N1917" s="17">
        <v>0</v>
      </c>
      <c r="O1917" s="17">
        <v>0</v>
      </c>
      <c r="P1917" s="17">
        <v>0</v>
      </c>
      <c r="Q1917" s="17">
        <v>0</v>
      </c>
      <c r="R1917" s="17">
        <v>0</v>
      </c>
      <c r="S1917" s="17">
        <v>1</v>
      </c>
      <c r="T1917" s="17">
        <v>0</v>
      </c>
      <c r="U1917" s="17">
        <v>26</v>
      </c>
      <c r="V1917" s="13" t="str" cm="1">
        <f t="array" ref="V1917">_xlfn.IFS(U1917&lt;=250,"0-R$250",U1917&lt;=500,"251-R$500",U1917&lt;=750,"501-R$750",U1917&lt;=1000,"751-R$1000",U1917&lt;=1250,"1001-R$1250",U1917&lt;=1500,"1251-R$1500")</f>
        <v>0-R$250</v>
      </c>
      <c r="W1917" s="17">
        <v>0</v>
      </c>
      <c r="X1917" s="13" t="str" cm="1">
        <f t="array" ref="X1917">_xlfn.IFS(W1917 = 0, "0", W1917&lt;=20, "até R$20",W1917&lt;=40, "21 - R$40",W1917&lt;=60, "41- R$60",W1917&lt;=80, "61 - R$80", W1917&lt;=100, "81 - R$100",W1917&lt;=120, "101 - R$120",W1917&lt;=140, "121 - R$140", W1917&lt;=160, "141- R$160", W1917&lt;=180, "161 - R$180", W1917&lt;=200, "181-R$194")</f>
        <v>0</v>
      </c>
      <c r="Y1917" s="17">
        <v>8</v>
      </c>
      <c r="Z1917" s="17">
        <v>0</v>
      </c>
      <c r="AA1917" s="17">
        <v>0</v>
      </c>
      <c r="AB1917" s="17">
        <v>3</v>
      </c>
      <c r="AC1917" s="17">
        <v>2</v>
      </c>
      <c r="AD1917" s="17">
        <v>2</v>
      </c>
      <c r="AE1917" s="17">
        <v>0</v>
      </c>
      <c r="AF1917" s="17">
        <v>3</v>
      </c>
      <c r="AG1917" s="17">
        <v>5</v>
      </c>
      <c r="AH1917" s="17">
        <v>0</v>
      </c>
      <c r="AI1917" s="17">
        <v>0</v>
      </c>
      <c r="AJ1917" s="17">
        <v>0</v>
      </c>
      <c r="AK1917" s="17">
        <v>0</v>
      </c>
      <c r="AL1917" s="17">
        <v>0</v>
      </c>
      <c r="AM1917" s="17">
        <v>0</v>
      </c>
      <c r="AN1917" s="17">
        <v>0</v>
      </c>
      <c r="AO1917" s="18">
        <v>0</v>
      </c>
      <c r="AP1917" s="17">
        <v>3</v>
      </c>
      <c r="AQ1917" s="17">
        <v>11</v>
      </c>
      <c r="AR1917" s="19">
        <v>31</v>
      </c>
      <c r="AS1917" s="19">
        <v>34</v>
      </c>
    </row>
    <row r="1918" spans="1:45" x14ac:dyDescent="0.25">
      <c r="A1918">
        <v>592</v>
      </c>
      <c r="B1918" s="11">
        <f t="shared" si="29"/>
        <v>30801</v>
      </c>
      <c r="C1918" s="12">
        <v>308010</v>
      </c>
      <c r="D1918" s="13">
        <v>0</v>
      </c>
      <c r="E1918" s="13">
        <v>1</v>
      </c>
      <c r="F1918" s="13">
        <v>23</v>
      </c>
      <c r="G1918" s="13">
        <v>45</v>
      </c>
      <c r="H1918" s="13" t="str" cm="1">
        <f t="array" ref="H1918">_xlfn.IFS(G1918&lt;=20,"0-20",G1918&lt;=30,"20-30",G1918&lt;=40,"30-40",G1918&lt;=50,"50-60",G1918&lt;=60,"60-70",G1918&lt;=70,"70-80",G1918&lt;=80,"80-90")</f>
        <v>50-60</v>
      </c>
      <c r="I1918" s="13">
        <v>2770</v>
      </c>
      <c r="J1918" s="13" t="str" cm="1">
        <f t="array" ref="J1918">_xlfn.IFS(K1918=1,"Divorciado",L1918=1,"Casado",M1918=1,"Solteiro",N1918=1,"Juntos",O1918=1,"Viuvo")</f>
        <v>Casado</v>
      </c>
      <c r="K1918" s="13">
        <v>0</v>
      </c>
      <c r="L1918" s="13">
        <v>1</v>
      </c>
      <c r="M1918" s="13">
        <v>0</v>
      </c>
      <c r="N1918" s="13">
        <v>0</v>
      </c>
      <c r="O1918" s="13">
        <v>0</v>
      </c>
      <c r="P1918" s="13">
        <v>0</v>
      </c>
      <c r="Q1918" s="13">
        <v>1</v>
      </c>
      <c r="R1918" s="13">
        <v>0</v>
      </c>
      <c r="S1918" s="13">
        <v>0</v>
      </c>
      <c r="T1918" s="13">
        <v>0</v>
      </c>
      <c r="U1918" s="13">
        <v>8</v>
      </c>
      <c r="V1918" s="13" t="str" cm="1">
        <f t="array" ref="V1918">_xlfn.IFS(U1918&lt;=250,"0-R$250",U1918&lt;=500,"251-R$500",U1918&lt;=750,"501-R$750",U1918&lt;=1000,"751-R$1000",U1918&lt;=1250,"1001-R$1250",U1918&lt;=1500,"1251-R$1500")</f>
        <v>0-R$250</v>
      </c>
      <c r="W1918" s="13">
        <v>4</v>
      </c>
      <c r="X1918" s="13" t="str" cm="1">
        <f t="array" ref="X1918">_xlfn.IFS(W1918 = 0, "0", W1918&lt;=20, "até R$20",W1918&lt;=40, "21 - R$40",W1918&lt;=60, "41- R$60",W1918&lt;=80, "61 - R$80", W1918&lt;=100, "81 - R$100",W1918&lt;=120, "101 - R$120",W1918&lt;=140, "121 - R$140", W1918&lt;=160, "141- R$160", W1918&lt;=180, "161 - R$180", W1918&lt;=200, "181-R$194")</f>
        <v>até R$20</v>
      </c>
      <c r="Y1918" s="13">
        <v>5</v>
      </c>
      <c r="Z1918" s="13">
        <v>15</v>
      </c>
      <c r="AA1918" s="13">
        <v>2</v>
      </c>
      <c r="AB1918" s="13">
        <v>11</v>
      </c>
      <c r="AC1918" s="13">
        <v>2</v>
      </c>
      <c r="AD1918" s="13">
        <v>1</v>
      </c>
      <c r="AE1918" s="13">
        <v>0</v>
      </c>
      <c r="AF1918" s="13">
        <v>3</v>
      </c>
      <c r="AG1918" s="13">
        <v>7</v>
      </c>
      <c r="AH1918" s="13">
        <v>0</v>
      </c>
      <c r="AI1918" s="13">
        <v>0</v>
      </c>
      <c r="AJ1918" s="13">
        <v>0</v>
      </c>
      <c r="AK1918" s="13">
        <v>0</v>
      </c>
      <c r="AL1918" s="13">
        <v>0</v>
      </c>
      <c r="AM1918" s="13">
        <v>0</v>
      </c>
      <c r="AN1918" s="13">
        <v>0</v>
      </c>
      <c r="AO1918" s="14">
        <v>0</v>
      </c>
      <c r="AP1918" s="13">
        <v>3</v>
      </c>
      <c r="AQ1918" s="13">
        <v>11</v>
      </c>
      <c r="AR1918" s="15">
        <v>23</v>
      </c>
      <c r="AS1918" s="15">
        <v>34</v>
      </c>
    </row>
    <row r="1919" spans="1:45" x14ac:dyDescent="0.25">
      <c r="A1919">
        <v>808</v>
      </c>
      <c r="B1919" s="11">
        <f t="shared" si="29"/>
        <v>37859</v>
      </c>
      <c r="C1919" s="12">
        <v>378590</v>
      </c>
      <c r="D1919" s="13">
        <v>1</v>
      </c>
      <c r="E1919" s="13">
        <v>2</v>
      </c>
      <c r="F1919" s="13">
        <v>75</v>
      </c>
      <c r="G1919" s="13">
        <v>58</v>
      </c>
      <c r="H1919" s="13" t="str" cm="1">
        <f t="array" ref="H1919">_xlfn.IFS(G1919&lt;=20,"0-20",G1919&lt;=30,"20-30",G1919&lt;=40,"30-40",G1919&lt;=50,"50-60",G1919&lt;=60,"60-70",G1919&lt;=70,"70-80",G1919&lt;=80,"80-90")</f>
        <v>60-70</v>
      </c>
      <c r="I1919" s="13">
        <v>2692</v>
      </c>
      <c r="J1919" s="13" t="str" cm="1">
        <f t="array" ref="J1919">_xlfn.IFS(K1919=1,"Divorciado",L1919=1,"Casado",M1919=1,"Solteiro",N1919=1,"Juntos",O1919=1,"Viuvo")</f>
        <v>Divorciado</v>
      </c>
      <c r="K1919" s="13">
        <v>1</v>
      </c>
      <c r="L1919" s="13">
        <v>0</v>
      </c>
      <c r="M1919" s="13">
        <v>0</v>
      </c>
      <c r="N1919" s="13">
        <v>0</v>
      </c>
      <c r="O1919" s="13">
        <v>0</v>
      </c>
      <c r="P1919" s="13">
        <v>0</v>
      </c>
      <c r="Q1919" s="13">
        <v>0</v>
      </c>
      <c r="R1919" s="13">
        <v>1</v>
      </c>
      <c r="S1919" s="13">
        <v>0</v>
      </c>
      <c r="T1919" s="13">
        <v>0</v>
      </c>
      <c r="U1919" s="13">
        <v>22</v>
      </c>
      <c r="V1919" s="13" t="str" cm="1">
        <f t="array" ref="V1919">_xlfn.IFS(U1919&lt;=250,"0-R$250",U1919&lt;=500,"251-R$500",U1919&lt;=750,"501-R$750",U1919&lt;=1000,"751-R$1000",U1919&lt;=1250,"1001-R$1250",U1919&lt;=1500,"1251-R$1500")</f>
        <v>0-R$250</v>
      </c>
      <c r="W1919" s="13">
        <v>1</v>
      </c>
      <c r="X1919" s="13" t="str" cm="1">
        <f t="array" ref="X1919">_xlfn.IFS(W1919 = 0, "0", W1919&lt;=20, "até R$20",W1919&lt;=40, "21 - R$40",W1919&lt;=60, "41- R$60",W1919&lt;=80, "61 - R$80", W1919&lt;=100, "81 - R$100",W1919&lt;=120, "101 - R$120",W1919&lt;=140, "121 - R$140", W1919&lt;=160, "141- R$160", W1919&lt;=180, "161 - R$180", W1919&lt;=200, "181-R$194")</f>
        <v>até R$20</v>
      </c>
      <c r="Y1919" s="13">
        <v>8</v>
      </c>
      <c r="Z1919" s="13">
        <v>2</v>
      </c>
      <c r="AA1919" s="13">
        <v>1</v>
      </c>
      <c r="AB1919" s="13">
        <v>2</v>
      </c>
      <c r="AC1919" s="13">
        <v>2</v>
      </c>
      <c r="AD1919" s="13">
        <v>1</v>
      </c>
      <c r="AE1919" s="13">
        <v>0</v>
      </c>
      <c r="AF1919" s="13">
        <v>3</v>
      </c>
      <c r="AG1919" s="13">
        <v>8</v>
      </c>
      <c r="AH1919" s="13">
        <v>0</v>
      </c>
      <c r="AI1919" s="13">
        <v>0</v>
      </c>
      <c r="AJ1919" s="13">
        <v>0</v>
      </c>
      <c r="AK1919" s="13">
        <v>0</v>
      </c>
      <c r="AL1919" s="13">
        <v>0</v>
      </c>
      <c r="AM1919" s="13">
        <v>0</v>
      </c>
      <c r="AN1919" s="13">
        <v>0</v>
      </c>
      <c r="AO1919" s="14">
        <v>0</v>
      </c>
      <c r="AP1919" s="13">
        <v>3</v>
      </c>
      <c r="AQ1919" s="13">
        <v>11</v>
      </c>
      <c r="AR1919" s="15">
        <v>32</v>
      </c>
      <c r="AS1919" s="15">
        <v>34</v>
      </c>
    </row>
    <row r="1920" spans="1:45" x14ac:dyDescent="0.25">
      <c r="A1920">
        <v>1208</v>
      </c>
      <c r="B1920" s="11">
        <f t="shared" si="29"/>
        <v>22518</v>
      </c>
      <c r="C1920" s="12">
        <v>225180</v>
      </c>
      <c r="D1920" s="13">
        <v>1</v>
      </c>
      <c r="E1920" s="13">
        <v>0</v>
      </c>
      <c r="F1920" s="13">
        <v>36</v>
      </c>
      <c r="G1920" s="13">
        <v>34</v>
      </c>
      <c r="H1920" s="13" t="str" cm="1">
        <f t="array" ref="H1920">_xlfn.IFS(G1920&lt;=20,"0-20",G1920&lt;=30,"20-30",G1920&lt;=40,"30-40",G1920&lt;=50,"50-60",G1920&lt;=60,"60-70",G1920&lt;=70,"70-80",G1920&lt;=80,"80-90")</f>
        <v>30-40</v>
      </c>
      <c r="I1920" s="13">
        <v>2774</v>
      </c>
      <c r="J1920" s="13" t="str" cm="1">
        <f t="array" ref="J1920">_xlfn.IFS(K1920=1,"Divorciado",L1920=1,"Casado",M1920=1,"Solteiro",N1920=1,"Juntos",O1920=1,"Viuvo")</f>
        <v>Casado</v>
      </c>
      <c r="K1920" s="13">
        <v>0</v>
      </c>
      <c r="L1920" s="13">
        <v>1</v>
      </c>
      <c r="M1920" s="13">
        <v>0</v>
      </c>
      <c r="N1920" s="13">
        <v>0</v>
      </c>
      <c r="O1920" s="13">
        <v>0</v>
      </c>
      <c r="P1920" s="13">
        <v>0</v>
      </c>
      <c r="Q1920" s="13">
        <v>0</v>
      </c>
      <c r="R1920" s="13">
        <v>1</v>
      </c>
      <c r="S1920" s="13">
        <v>0</v>
      </c>
      <c r="T1920" s="13">
        <v>0</v>
      </c>
      <c r="U1920" s="13">
        <v>11</v>
      </c>
      <c r="V1920" s="13" t="str" cm="1">
        <f t="array" ref="V1920">_xlfn.IFS(U1920&lt;=250,"0-R$250",U1920&lt;=500,"251-R$500",U1920&lt;=750,"501-R$750",U1920&lt;=1000,"751-R$1000",U1920&lt;=1250,"1001-R$1250",U1920&lt;=1500,"1251-R$1500")</f>
        <v>0-R$250</v>
      </c>
      <c r="W1920" s="13">
        <v>7</v>
      </c>
      <c r="X1920" s="13" t="str" cm="1">
        <f t="array" ref="X1920">_xlfn.IFS(W1920 = 0, "0", W1920&lt;=20, "até R$20",W1920&lt;=40, "21 - R$40",W1920&lt;=60, "41- R$60",W1920&lt;=80, "61 - R$80", W1920&lt;=100, "81 - R$100",W1920&lt;=120, "101 - R$120",W1920&lt;=140, "121 - R$140", W1920&lt;=160, "141- R$160", W1920&lt;=180, "161 - R$180", W1920&lt;=200, "181-R$194")</f>
        <v>até R$20</v>
      </c>
      <c r="Y1920" s="13">
        <v>12</v>
      </c>
      <c r="Z1920" s="13">
        <v>2</v>
      </c>
      <c r="AA1920" s="13">
        <v>2</v>
      </c>
      <c r="AB1920" s="13">
        <v>27</v>
      </c>
      <c r="AC1920" s="13">
        <v>2</v>
      </c>
      <c r="AD1920" s="13">
        <v>2</v>
      </c>
      <c r="AE1920" s="13">
        <v>1</v>
      </c>
      <c r="AF1920" s="13">
        <v>2</v>
      </c>
      <c r="AG1920" s="13">
        <v>5</v>
      </c>
      <c r="AH1920" s="13">
        <v>0</v>
      </c>
      <c r="AI1920" s="13">
        <v>1</v>
      </c>
      <c r="AJ1920" s="13">
        <v>0</v>
      </c>
      <c r="AK1920" s="13">
        <v>0</v>
      </c>
      <c r="AL1920" s="13">
        <v>0</v>
      </c>
      <c r="AM1920" s="13">
        <v>0</v>
      </c>
      <c r="AN1920" s="13">
        <v>1</v>
      </c>
      <c r="AO1920" s="14">
        <v>1</v>
      </c>
      <c r="AP1920" s="13">
        <v>3</v>
      </c>
      <c r="AQ1920" s="13">
        <v>11</v>
      </c>
      <c r="AR1920" s="15">
        <v>7</v>
      </c>
      <c r="AS1920" s="15">
        <v>34</v>
      </c>
    </row>
    <row r="1921" spans="1:45" x14ac:dyDescent="0.25">
      <c r="A1921">
        <v>1702</v>
      </c>
      <c r="B1921" s="11">
        <f t="shared" si="29"/>
        <v>23529</v>
      </c>
      <c r="C1921" s="12">
        <v>235290</v>
      </c>
      <c r="D1921" s="13">
        <v>0</v>
      </c>
      <c r="E1921" s="13">
        <v>1</v>
      </c>
      <c r="F1921" s="13">
        <v>67</v>
      </c>
      <c r="G1921" s="13">
        <v>55</v>
      </c>
      <c r="H1921" s="13" t="str" cm="1">
        <f t="array" ref="H1921">_xlfn.IFS(G1921&lt;=20,"0-20",G1921&lt;=30,"20-30",G1921&lt;=40,"30-40",G1921&lt;=50,"50-60",G1921&lt;=60,"60-70",G1921&lt;=70,"70-80",G1921&lt;=80,"80-90")</f>
        <v>60-70</v>
      </c>
      <c r="I1921" s="13">
        <v>2697</v>
      </c>
      <c r="J1921" s="13" t="str" cm="1">
        <f t="array" ref="J1921">_xlfn.IFS(K1921=1,"Divorciado",L1921=1,"Casado",M1921=1,"Solteiro",N1921=1,"Juntos",O1921=1,"Viuvo")</f>
        <v>Solteiro</v>
      </c>
      <c r="K1921" s="13">
        <v>0</v>
      </c>
      <c r="L1921" s="13">
        <v>0</v>
      </c>
      <c r="M1921" s="13">
        <v>1</v>
      </c>
      <c r="N1921" s="13">
        <v>0</v>
      </c>
      <c r="O1921" s="13">
        <v>0</v>
      </c>
      <c r="P1921" s="13">
        <v>0</v>
      </c>
      <c r="Q1921" s="13">
        <v>1</v>
      </c>
      <c r="R1921" s="13">
        <v>0</v>
      </c>
      <c r="S1921" s="13">
        <v>0</v>
      </c>
      <c r="T1921" s="13">
        <v>0</v>
      </c>
      <c r="U1921" s="13">
        <v>9</v>
      </c>
      <c r="V1921" s="13" t="str" cm="1">
        <f t="array" ref="V1921">_xlfn.IFS(U1921&lt;=250,"0-R$250",U1921&lt;=500,"251-R$500",U1921&lt;=750,"501-R$750",U1921&lt;=1000,"751-R$1000",U1921&lt;=1250,"1001-R$1250",U1921&lt;=1500,"1251-R$1500")</f>
        <v>0-R$250</v>
      </c>
      <c r="W1921" s="13">
        <v>7</v>
      </c>
      <c r="X1921" s="13" t="str" cm="1">
        <f t="array" ref="X1921">_xlfn.IFS(W1921 = 0, "0", W1921&lt;=20, "até R$20",W1921&lt;=40, "21 - R$40",W1921&lt;=60, "41- R$60",W1921&lt;=80, "61 - R$80", W1921&lt;=100, "81 - R$100",W1921&lt;=120, "101 - R$120",W1921&lt;=140, "121 - R$140", W1921&lt;=160, "141- R$160", W1921&lt;=180, "161 - R$180", W1921&lt;=200, "181-R$194")</f>
        <v>até R$20</v>
      </c>
      <c r="Y1921" s="13">
        <v>13</v>
      </c>
      <c r="Z1921" s="13">
        <v>3</v>
      </c>
      <c r="AA1921" s="13">
        <v>2</v>
      </c>
      <c r="AB1921" s="13">
        <v>20</v>
      </c>
      <c r="AC1921" s="13">
        <v>1</v>
      </c>
      <c r="AD1921" s="13">
        <v>1</v>
      </c>
      <c r="AE1921" s="13">
        <v>1</v>
      </c>
      <c r="AF1921" s="13">
        <v>2</v>
      </c>
      <c r="AG1921" s="13">
        <v>6</v>
      </c>
      <c r="AH1921" s="13">
        <v>0</v>
      </c>
      <c r="AI1921" s="13">
        <v>0</v>
      </c>
      <c r="AJ1921" s="13">
        <v>0</v>
      </c>
      <c r="AK1921" s="13">
        <v>0</v>
      </c>
      <c r="AL1921" s="13">
        <v>0</v>
      </c>
      <c r="AM1921" s="13">
        <v>0</v>
      </c>
      <c r="AN1921" s="13">
        <v>0</v>
      </c>
      <c r="AO1921" s="14">
        <v>0</v>
      </c>
      <c r="AP1921" s="13">
        <v>3</v>
      </c>
      <c r="AQ1921" s="13">
        <v>11</v>
      </c>
      <c r="AR1921" s="15">
        <v>14</v>
      </c>
      <c r="AS1921" s="15">
        <v>34</v>
      </c>
    </row>
    <row r="1922" spans="1:45" x14ac:dyDescent="0.25">
      <c r="A1922">
        <v>1782</v>
      </c>
      <c r="B1922" s="11">
        <f t="shared" ref="B1922:B1985" si="30">C1922/10</f>
        <v>18701</v>
      </c>
      <c r="C1922" s="12">
        <v>187010</v>
      </c>
      <c r="D1922" s="13">
        <v>1</v>
      </c>
      <c r="E1922" s="13">
        <v>1</v>
      </c>
      <c r="F1922" s="13">
        <v>95</v>
      </c>
      <c r="G1922" s="13">
        <v>56</v>
      </c>
      <c r="H1922" s="13" t="str" cm="1">
        <f t="array" ref="H1922">_xlfn.IFS(G1922&lt;=20,"0-20",G1922&lt;=30,"20-30",G1922&lt;=40,"30-40",G1922&lt;=50,"50-60",G1922&lt;=60,"60-70",G1922&lt;=70,"70-80",G1922&lt;=80,"80-90")</f>
        <v>60-70</v>
      </c>
      <c r="I1922" s="13">
        <v>2549</v>
      </c>
      <c r="J1922" s="13" t="str" cm="1">
        <f t="array" ref="J1922">_xlfn.IFS(K1922=1,"Divorciado",L1922=1,"Casado",M1922=1,"Solteiro",N1922=1,"Juntos",O1922=1,"Viuvo")</f>
        <v>Solteiro</v>
      </c>
      <c r="K1922" s="13">
        <v>0</v>
      </c>
      <c r="L1922" s="13">
        <v>0</v>
      </c>
      <c r="M1922" s="13">
        <v>1</v>
      </c>
      <c r="N1922" s="13">
        <v>0</v>
      </c>
      <c r="O1922" s="13">
        <v>0</v>
      </c>
      <c r="P1922" s="13">
        <v>0</v>
      </c>
      <c r="Q1922" s="13">
        <v>0</v>
      </c>
      <c r="R1922" s="13">
        <v>1</v>
      </c>
      <c r="S1922" s="13">
        <v>0</v>
      </c>
      <c r="T1922" s="13">
        <v>0</v>
      </c>
      <c r="U1922" s="13">
        <v>12</v>
      </c>
      <c r="V1922" s="13" t="str" cm="1">
        <f t="array" ref="V1922">_xlfn.IFS(U1922&lt;=250,"0-R$250",U1922&lt;=500,"251-R$500",U1922&lt;=750,"501-R$750",U1922&lt;=1000,"751-R$1000",U1922&lt;=1250,"1001-R$1250",U1922&lt;=1500,"1251-R$1500")</f>
        <v>0-R$250</v>
      </c>
      <c r="W1922" s="13">
        <v>4</v>
      </c>
      <c r="X1922" s="13" t="str" cm="1">
        <f t="array" ref="X1922">_xlfn.IFS(W1922 = 0, "0", W1922&lt;=20, "até R$20",W1922&lt;=40, "21 - R$40",W1922&lt;=60, "41- R$60",W1922&lt;=80, "61 - R$80", W1922&lt;=100, "81 - R$100",W1922&lt;=120, "101 - R$120",W1922&lt;=140, "121 - R$140", W1922&lt;=160, "141- R$160", W1922&lt;=180, "161 - R$180", W1922&lt;=200, "181-R$194")</f>
        <v>até R$20</v>
      </c>
      <c r="Y1922" s="13">
        <v>2</v>
      </c>
      <c r="Z1922" s="13">
        <v>10</v>
      </c>
      <c r="AA1922" s="13">
        <v>6</v>
      </c>
      <c r="AB1922" s="13">
        <v>10</v>
      </c>
      <c r="AC1922" s="13">
        <v>4</v>
      </c>
      <c r="AD1922" s="13">
        <v>2</v>
      </c>
      <c r="AE1922" s="13">
        <v>0</v>
      </c>
      <c r="AF1922" s="13">
        <v>4</v>
      </c>
      <c r="AG1922" s="13">
        <v>5</v>
      </c>
      <c r="AH1922" s="13">
        <v>0</v>
      </c>
      <c r="AI1922" s="13">
        <v>0</v>
      </c>
      <c r="AJ1922" s="13">
        <v>0</v>
      </c>
      <c r="AK1922" s="13">
        <v>0</v>
      </c>
      <c r="AL1922" s="13">
        <v>0</v>
      </c>
      <c r="AM1922" s="13">
        <v>0</v>
      </c>
      <c r="AN1922" s="13">
        <v>0</v>
      </c>
      <c r="AO1922" s="14">
        <v>0</v>
      </c>
      <c r="AP1922" s="13">
        <v>3</v>
      </c>
      <c r="AQ1922" s="13">
        <v>11</v>
      </c>
      <c r="AR1922" s="15">
        <v>24</v>
      </c>
      <c r="AS1922" s="15">
        <v>34</v>
      </c>
    </row>
    <row r="1923" spans="1:45" x14ac:dyDescent="0.25">
      <c r="A1923">
        <v>1845</v>
      </c>
      <c r="B1923" s="11">
        <f t="shared" si="30"/>
        <v>26642</v>
      </c>
      <c r="C1923" s="16">
        <v>266420</v>
      </c>
      <c r="D1923" s="17">
        <v>1</v>
      </c>
      <c r="E1923" s="17">
        <v>0</v>
      </c>
      <c r="F1923" s="17">
        <v>71</v>
      </c>
      <c r="G1923" s="17">
        <v>53</v>
      </c>
      <c r="H1923" s="13" t="str" cm="1">
        <f t="array" ref="H1923">_xlfn.IFS(G1923&lt;=20,"0-20",G1923&lt;=30,"20-30",G1923&lt;=40,"30-40",G1923&lt;=50,"50-60",G1923&lt;=60,"60-70",G1923&lt;=70,"70-80",G1923&lt;=80,"80-90")</f>
        <v>60-70</v>
      </c>
      <c r="I1923" s="17">
        <v>2279</v>
      </c>
      <c r="J1923" s="13" t="str" cm="1">
        <f t="array" ref="J1923">_xlfn.IFS(K1923=1,"Divorciado",L1923=1,"Casado",M1923=1,"Solteiro",N1923=1,"Juntos",O1923=1,"Viuvo")</f>
        <v>Divorciado</v>
      </c>
      <c r="K1923" s="17">
        <v>1</v>
      </c>
      <c r="L1923" s="17">
        <v>0</v>
      </c>
      <c r="M1923" s="17">
        <v>0</v>
      </c>
      <c r="N1923" s="17">
        <v>0</v>
      </c>
      <c r="O1923" s="17">
        <v>0</v>
      </c>
      <c r="P1923" s="17">
        <v>0</v>
      </c>
      <c r="Q1923" s="17">
        <v>0</v>
      </c>
      <c r="R1923" s="17">
        <v>0</v>
      </c>
      <c r="S1923" s="17">
        <v>0</v>
      </c>
      <c r="T1923" s="17">
        <v>1</v>
      </c>
      <c r="U1923" s="17">
        <v>13</v>
      </c>
      <c r="V1923" s="13" t="str" cm="1">
        <f t="array" ref="V1923">_xlfn.IFS(U1923&lt;=250,"0-R$250",U1923&lt;=500,"251-R$500",U1923&lt;=750,"501-R$750",U1923&lt;=1000,"751-R$1000",U1923&lt;=1250,"1001-R$1250",U1923&lt;=1500,"1251-R$1500")</f>
        <v>0-R$250</v>
      </c>
      <c r="W1923" s="17">
        <v>2</v>
      </c>
      <c r="X1923" s="13" t="str" cm="1">
        <f t="array" ref="X1923">_xlfn.IFS(W1923 = 0, "0", W1923&lt;=20, "até R$20",W1923&lt;=40, "21 - R$40",W1923&lt;=60, "41- R$60",W1923&lt;=80, "61 - R$80", W1923&lt;=100, "81 - R$100",W1923&lt;=120, "101 - R$120",W1923&lt;=140, "121 - R$140", W1923&lt;=160, "141- R$160", W1923&lt;=180, "161 - R$180", W1923&lt;=200, "181-R$194")</f>
        <v>até R$20</v>
      </c>
      <c r="Y1923" s="17">
        <v>15</v>
      </c>
      <c r="Z1923" s="17">
        <v>2</v>
      </c>
      <c r="AA1923" s="17">
        <v>2</v>
      </c>
      <c r="AB1923" s="17">
        <v>8</v>
      </c>
      <c r="AC1923" s="17">
        <v>2</v>
      </c>
      <c r="AD1923" s="17">
        <v>2</v>
      </c>
      <c r="AE1923" s="17">
        <v>0</v>
      </c>
      <c r="AF1923" s="17">
        <v>3</v>
      </c>
      <c r="AG1923" s="17">
        <v>6</v>
      </c>
      <c r="AH1923" s="17">
        <v>0</v>
      </c>
      <c r="AI1923" s="17">
        <v>0</v>
      </c>
      <c r="AJ1923" s="17">
        <v>0</v>
      </c>
      <c r="AK1923" s="17">
        <v>0</v>
      </c>
      <c r="AL1923" s="17">
        <v>0</v>
      </c>
      <c r="AM1923" s="17">
        <v>0</v>
      </c>
      <c r="AN1923" s="17">
        <v>0</v>
      </c>
      <c r="AO1923" s="18">
        <v>0</v>
      </c>
      <c r="AP1923" s="17">
        <v>3</v>
      </c>
      <c r="AQ1923" s="17">
        <v>11</v>
      </c>
      <c r="AR1923" s="19">
        <v>26</v>
      </c>
      <c r="AS1923" s="19">
        <v>34</v>
      </c>
    </row>
    <row r="1924" spans="1:45" x14ac:dyDescent="0.25">
      <c r="A1924">
        <v>1914</v>
      </c>
      <c r="B1924" s="11">
        <f t="shared" si="30"/>
        <v>25410</v>
      </c>
      <c r="C1924" s="12">
        <v>254100</v>
      </c>
      <c r="D1924" s="13">
        <v>1</v>
      </c>
      <c r="E1924" s="13">
        <v>0</v>
      </c>
      <c r="F1924" s="13">
        <v>48</v>
      </c>
      <c r="G1924" s="13">
        <v>47</v>
      </c>
      <c r="H1924" s="13" t="str" cm="1">
        <f t="array" ref="H1924">_xlfn.IFS(G1924&lt;=20,"0-20",G1924&lt;=30,"20-30",G1924&lt;=40,"30-40",G1924&lt;=50,"50-60",G1924&lt;=60,"60-70",G1924&lt;=70,"70-80",G1924&lt;=80,"80-90")</f>
        <v>50-60</v>
      </c>
      <c r="I1924" s="13">
        <v>2461</v>
      </c>
      <c r="J1924" s="13" t="str" cm="1">
        <f t="array" ref="J1924">_xlfn.IFS(K1924=1,"Divorciado",L1924=1,"Casado",M1924=1,"Solteiro",N1924=1,"Juntos",O1924=1,"Viuvo")</f>
        <v>Casado</v>
      </c>
      <c r="K1924" s="13">
        <v>0</v>
      </c>
      <c r="L1924" s="13">
        <v>1</v>
      </c>
      <c r="M1924" s="13">
        <v>0</v>
      </c>
      <c r="N1924" s="13">
        <v>0</v>
      </c>
      <c r="O1924" s="13">
        <v>0</v>
      </c>
      <c r="P1924" s="13">
        <v>0</v>
      </c>
      <c r="Q1924" s="13">
        <v>0</v>
      </c>
      <c r="R1924" s="13">
        <v>1</v>
      </c>
      <c r="S1924" s="13">
        <v>0</v>
      </c>
      <c r="T1924" s="13">
        <v>0</v>
      </c>
      <c r="U1924" s="13">
        <v>2</v>
      </c>
      <c r="V1924" s="13" t="str" cm="1">
        <f t="array" ref="V1924">_xlfn.IFS(U1924&lt;=250,"0-R$250",U1924&lt;=500,"251-R$500",U1924&lt;=750,"501-R$750",U1924&lt;=1000,"751-R$1000",U1924&lt;=1250,"1001-R$1250",U1924&lt;=1500,"1251-R$1500")</f>
        <v>0-R$250</v>
      </c>
      <c r="W1924" s="13">
        <v>2</v>
      </c>
      <c r="X1924" s="13" t="str" cm="1">
        <f t="array" ref="X1924">_xlfn.IFS(W1924 = 0, "0", W1924&lt;=20, "até R$20",W1924&lt;=40, "21 - R$40",W1924&lt;=60, "41- R$60",W1924&lt;=80, "61 - R$80", W1924&lt;=100, "81 - R$100",W1924&lt;=120, "101 - R$120",W1924&lt;=140, "121 - R$140", W1924&lt;=160, "141- R$160", W1924&lt;=180, "161 - R$180", W1924&lt;=200, "181-R$194")</f>
        <v>até R$20</v>
      </c>
      <c r="Y1924" s="13">
        <v>4</v>
      </c>
      <c r="Z1924" s="13">
        <v>13</v>
      </c>
      <c r="AA1924" s="13">
        <v>13</v>
      </c>
      <c r="AB1924" s="13">
        <v>4</v>
      </c>
      <c r="AC1924" s="13">
        <v>1</v>
      </c>
      <c r="AD1924" s="13">
        <v>1</v>
      </c>
      <c r="AE1924" s="13">
        <v>0</v>
      </c>
      <c r="AF1924" s="13">
        <v>4</v>
      </c>
      <c r="AG1924" s="13">
        <v>4</v>
      </c>
      <c r="AH1924" s="13">
        <v>0</v>
      </c>
      <c r="AI1924" s="13">
        <v>0</v>
      </c>
      <c r="AJ1924" s="13">
        <v>0</v>
      </c>
      <c r="AK1924" s="13">
        <v>0</v>
      </c>
      <c r="AL1924" s="13">
        <v>0</v>
      </c>
      <c r="AM1924" s="13">
        <v>0</v>
      </c>
      <c r="AN1924" s="13">
        <v>0</v>
      </c>
      <c r="AO1924" s="14">
        <v>0</v>
      </c>
      <c r="AP1924" s="13">
        <v>3</v>
      </c>
      <c r="AQ1924" s="13">
        <v>11</v>
      </c>
      <c r="AR1924" s="15">
        <v>30</v>
      </c>
      <c r="AS1924" s="15">
        <v>34</v>
      </c>
    </row>
    <row r="1925" spans="1:45" x14ac:dyDescent="0.25">
      <c r="A1925">
        <v>1992</v>
      </c>
      <c r="B1925" s="11">
        <f t="shared" si="30"/>
        <v>27943</v>
      </c>
      <c r="C1925" s="12">
        <v>279430</v>
      </c>
      <c r="D1925" s="13">
        <v>1</v>
      </c>
      <c r="E1925" s="13">
        <v>1</v>
      </c>
      <c r="F1925" s="13">
        <v>89</v>
      </c>
      <c r="G1925" s="13">
        <v>53</v>
      </c>
      <c r="H1925" s="13" t="str" cm="1">
        <f t="array" ref="H1925">_xlfn.IFS(G1925&lt;=20,"0-20",G1925&lt;=30,"20-30",G1925&lt;=40,"30-40",G1925&lt;=50,"50-60",G1925&lt;=60,"60-70",G1925&lt;=70,"70-80",G1925&lt;=80,"80-90")</f>
        <v>60-70</v>
      </c>
      <c r="I1925" s="13">
        <v>2599</v>
      </c>
      <c r="J1925" s="13" t="str" cm="1">
        <f t="array" ref="J1925">_xlfn.IFS(K1925=1,"Divorciado",L1925=1,"Casado",M1925=1,"Solteiro",N1925=1,"Juntos",O1925=1,"Viuvo")</f>
        <v>Juntos</v>
      </c>
      <c r="K1925" s="13">
        <v>0</v>
      </c>
      <c r="L1925" s="13">
        <v>0</v>
      </c>
      <c r="M1925" s="13">
        <v>0</v>
      </c>
      <c r="N1925" s="13">
        <v>1</v>
      </c>
      <c r="O1925" s="13">
        <v>0</v>
      </c>
      <c r="P1925" s="13">
        <v>0</v>
      </c>
      <c r="Q1925" s="13">
        <v>0</v>
      </c>
      <c r="R1925" s="13">
        <v>1</v>
      </c>
      <c r="S1925" s="13">
        <v>0</v>
      </c>
      <c r="T1925" s="13">
        <v>0</v>
      </c>
      <c r="U1925" s="13">
        <v>12</v>
      </c>
      <c r="V1925" s="13" t="str" cm="1">
        <f t="array" ref="V1925">_xlfn.IFS(U1925&lt;=250,"0-R$250",U1925&lt;=500,"251-R$500",U1925&lt;=750,"501-R$750",U1925&lt;=1000,"751-R$1000",U1925&lt;=1250,"1001-R$1250",U1925&lt;=1500,"1251-R$1500")</f>
        <v>0-R$250</v>
      </c>
      <c r="W1925" s="13">
        <v>1</v>
      </c>
      <c r="X1925" s="13" t="str" cm="1">
        <f t="array" ref="X1925">_xlfn.IFS(W1925 = 0, "0", W1925&lt;=20, "até R$20",W1925&lt;=40, "21 - R$40",W1925&lt;=60, "41- R$60",W1925&lt;=80, "61 - R$80", W1925&lt;=100, "81 - R$100",W1925&lt;=120, "101 - R$120",W1925&lt;=140, "121 - R$140", W1925&lt;=160, "141- R$160", W1925&lt;=180, "161 - R$180", W1925&lt;=200, "181-R$194")</f>
        <v>até R$20</v>
      </c>
      <c r="Y1925" s="13">
        <v>16</v>
      </c>
      <c r="Z1925" s="13">
        <v>4</v>
      </c>
      <c r="AA1925" s="13">
        <v>1</v>
      </c>
      <c r="AB1925" s="13">
        <v>3</v>
      </c>
      <c r="AC1925" s="13">
        <v>3</v>
      </c>
      <c r="AD1925" s="13">
        <v>2</v>
      </c>
      <c r="AE1925" s="13">
        <v>0</v>
      </c>
      <c r="AF1925" s="13">
        <v>3</v>
      </c>
      <c r="AG1925" s="13">
        <v>8</v>
      </c>
      <c r="AH1925" s="13">
        <v>0</v>
      </c>
      <c r="AI1925" s="13">
        <v>0</v>
      </c>
      <c r="AJ1925" s="13">
        <v>0</v>
      </c>
      <c r="AK1925" s="13">
        <v>0</v>
      </c>
      <c r="AL1925" s="13">
        <v>0</v>
      </c>
      <c r="AM1925" s="13">
        <v>0</v>
      </c>
      <c r="AN1925" s="13">
        <v>0</v>
      </c>
      <c r="AO1925" s="14">
        <v>0</v>
      </c>
      <c r="AP1925" s="13">
        <v>3</v>
      </c>
      <c r="AQ1925" s="13">
        <v>11</v>
      </c>
      <c r="AR1925" s="15">
        <v>31</v>
      </c>
      <c r="AS1925" s="15">
        <v>34</v>
      </c>
    </row>
    <row r="1926" spans="1:45" x14ac:dyDescent="0.25">
      <c r="A1926">
        <v>2002</v>
      </c>
      <c r="B1926" s="11">
        <f t="shared" si="30"/>
        <v>23272</v>
      </c>
      <c r="C1926" s="12">
        <v>232720</v>
      </c>
      <c r="D1926" s="13">
        <v>0</v>
      </c>
      <c r="E1926" s="13">
        <v>0</v>
      </c>
      <c r="F1926" s="13">
        <v>29</v>
      </c>
      <c r="G1926" s="13">
        <v>67</v>
      </c>
      <c r="H1926" s="13" t="str" cm="1">
        <f t="array" ref="H1926">_xlfn.IFS(G1926&lt;=20,"0-20",G1926&lt;=30,"20-30",G1926&lt;=40,"30-40",G1926&lt;=50,"50-60",G1926&lt;=60,"60-70",G1926&lt;=70,"70-80",G1926&lt;=80,"80-90")</f>
        <v>70-80</v>
      </c>
      <c r="I1926" s="13">
        <v>2414</v>
      </c>
      <c r="J1926" s="13" t="str" cm="1">
        <f t="array" ref="J1926">_xlfn.IFS(K1926=1,"Divorciado",L1926=1,"Casado",M1926=1,"Solteiro",N1926=1,"Juntos",O1926=1,"Viuvo")</f>
        <v>Divorciado</v>
      </c>
      <c r="K1926" s="13">
        <v>1</v>
      </c>
      <c r="L1926" s="13">
        <v>0</v>
      </c>
      <c r="M1926" s="13">
        <v>0</v>
      </c>
      <c r="N1926" s="13">
        <v>0</v>
      </c>
      <c r="O1926" s="13">
        <v>0</v>
      </c>
      <c r="P1926" s="13">
        <v>0</v>
      </c>
      <c r="Q1926" s="13">
        <v>0</v>
      </c>
      <c r="R1926" s="13">
        <v>1</v>
      </c>
      <c r="S1926" s="13">
        <v>0</v>
      </c>
      <c r="T1926" s="13">
        <v>0</v>
      </c>
      <c r="U1926" s="13">
        <v>19</v>
      </c>
      <c r="V1926" s="13" t="str" cm="1">
        <f t="array" ref="V1926">_xlfn.IFS(U1926&lt;=250,"0-R$250",U1926&lt;=500,"251-R$500",U1926&lt;=750,"501-R$750",U1926&lt;=1000,"751-R$1000",U1926&lt;=1250,"1001-R$1250",U1926&lt;=1500,"1251-R$1500")</f>
        <v>0-R$250</v>
      </c>
      <c r="W1926" s="13">
        <v>3</v>
      </c>
      <c r="X1926" s="13" t="str" cm="1">
        <f t="array" ref="X1926">_xlfn.IFS(W1926 = 0, "0", W1926&lt;=20, "até R$20",W1926&lt;=40, "21 - R$40",W1926&lt;=60, "41- R$60",W1926&lt;=80, "61 - R$80", W1926&lt;=100, "81 - R$100",W1926&lt;=120, "101 - R$120",W1926&lt;=140, "121 - R$140", W1926&lt;=160, "141- R$160", W1926&lt;=180, "161 - R$180", W1926&lt;=200, "181-R$194")</f>
        <v>até R$20</v>
      </c>
      <c r="Y1926" s="13">
        <v>6</v>
      </c>
      <c r="Z1926" s="13">
        <v>4</v>
      </c>
      <c r="AA1926" s="13">
        <v>2</v>
      </c>
      <c r="AB1926" s="13">
        <v>12</v>
      </c>
      <c r="AC1926" s="13">
        <v>1</v>
      </c>
      <c r="AD1926" s="13">
        <v>1</v>
      </c>
      <c r="AE1926" s="13">
        <v>0</v>
      </c>
      <c r="AF1926" s="13">
        <v>3</v>
      </c>
      <c r="AG1926" s="13">
        <v>4</v>
      </c>
      <c r="AH1926" s="13">
        <v>0</v>
      </c>
      <c r="AI1926" s="13">
        <v>0</v>
      </c>
      <c r="AJ1926" s="13">
        <v>0</v>
      </c>
      <c r="AK1926" s="13">
        <v>0</v>
      </c>
      <c r="AL1926" s="13">
        <v>0</v>
      </c>
      <c r="AM1926" s="13">
        <v>0</v>
      </c>
      <c r="AN1926" s="13">
        <v>0</v>
      </c>
      <c r="AO1926" s="14">
        <v>0</v>
      </c>
      <c r="AP1926" s="13">
        <v>3</v>
      </c>
      <c r="AQ1926" s="13">
        <v>11</v>
      </c>
      <c r="AR1926" s="15">
        <v>22</v>
      </c>
      <c r="AS1926" s="15">
        <v>34</v>
      </c>
    </row>
    <row r="1927" spans="1:45" x14ac:dyDescent="0.25">
      <c r="A1927">
        <v>2114</v>
      </c>
      <c r="B1927" s="11">
        <f t="shared" si="30"/>
        <v>29732</v>
      </c>
      <c r="C1927" s="12">
        <v>297320</v>
      </c>
      <c r="D1927" s="13">
        <v>1</v>
      </c>
      <c r="E1927" s="13">
        <v>0</v>
      </c>
      <c r="F1927" s="13">
        <v>23</v>
      </c>
      <c r="G1927" s="13">
        <v>49</v>
      </c>
      <c r="H1927" s="13" t="str" cm="1">
        <f t="array" ref="H1927">_xlfn.IFS(G1927&lt;=20,"0-20",G1927&lt;=30,"20-30",G1927&lt;=40,"30-40",G1927&lt;=50,"50-60",G1927&lt;=60,"60-70",G1927&lt;=70,"70-80",G1927&lt;=80,"80-90")</f>
        <v>50-60</v>
      </c>
      <c r="I1927" s="13">
        <v>2255</v>
      </c>
      <c r="J1927" s="13" t="str" cm="1">
        <f t="array" ref="J1927">_xlfn.IFS(K1927=1,"Divorciado",L1927=1,"Casado",M1927=1,"Solteiro",N1927=1,"Juntos",O1927=1,"Viuvo")</f>
        <v>Juntos</v>
      </c>
      <c r="K1927" s="13">
        <v>0</v>
      </c>
      <c r="L1927" s="13">
        <v>0</v>
      </c>
      <c r="M1927" s="13">
        <v>0</v>
      </c>
      <c r="N1927" s="13">
        <v>1</v>
      </c>
      <c r="O1927" s="13">
        <v>0</v>
      </c>
      <c r="P1927" s="13">
        <v>0</v>
      </c>
      <c r="Q1927" s="13">
        <v>0</v>
      </c>
      <c r="R1927" s="13">
        <v>0</v>
      </c>
      <c r="S1927" s="13">
        <v>0</v>
      </c>
      <c r="T1927" s="13">
        <v>1</v>
      </c>
      <c r="U1927" s="13">
        <v>25</v>
      </c>
      <c r="V1927" s="13" t="str" cm="1">
        <f t="array" ref="V1927">_xlfn.IFS(U1927&lt;=250,"0-R$250",U1927&lt;=500,"251-R$500",U1927&lt;=750,"501-R$750",U1927&lt;=1000,"751-R$1000",U1927&lt;=1250,"1001-R$1250",U1927&lt;=1500,"1251-R$1500")</f>
        <v>0-R$250</v>
      </c>
      <c r="W1927" s="13">
        <v>0</v>
      </c>
      <c r="X1927" s="13" t="str" cm="1">
        <f t="array" ref="X1927">_xlfn.IFS(W1927 = 0, "0", W1927&lt;=20, "até R$20",W1927&lt;=40, "21 - R$40",W1927&lt;=60, "41- R$60",W1927&lt;=80, "61 - R$80", W1927&lt;=100, "81 - R$100",W1927&lt;=120, "101 - R$120",W1927&lt;=140, "121 - R$140", W1927&lt;=160, "141- R$160", W1927&lt;=180, "161 - R$180", W1927&lt;=200, "181-R$194")</f>
        <v>0</v>
      </c>
      <c r="Y1927" s="13">
        <v>8</v>
      </c>
      <c r="Z1927" s="13">
        <v>0</v>
      </c>
      <c r="AA1927" s="13">
        <v>1</v>
      </c>
      <c r="AB1927" s="13">
        <v>4</v>
      </c>
      <c r="AC1927" s="13">
        <v>1</v>
      </c>
      <c r="AD1927" s="13">
        <v>2</v>
      </c>
      <c r="AE1927" s="13">
        <v>0</v>
      </c>
      <c r="AF1927" s="13">
        <v>2</v>
      </c>
      <c r="AG1927" s="13">
        <v>9</v>
      </c>
      <c r="AH1927" s="13">
        <v>0</v>
      </c>
      <c r="AI1927" s="13">
        <v>0</v>
      </c>
      <c r="AJ1927" s="13">
        <v>0</v>
      </c>
      <c r="AK1927" s="13">
        <v>0</v>
      </c>
      <c r="AL1927" s="13">
        <v>0</v>
      </c>
      <c r="AM1927" s="13">
        <v>0</v>
      </c>
      <c r="AN1927" s="13">
        <v>0</v>
      </c>
      <c r="AO1927" s="14">
        <v>0</v>
      </c>
      <c r="AP1927" s="13">
        <v>3</v>
      </c>
      <c r="AQ1927" s="13">
        <v>11</v>
      </c>
      <c r="AR1927" s="15">
        <v>30</v>
      </c>
      <c r="AS1927" s="15">
        <v>34</v>
      </c>
    </row>
    <row r="1928" spans="1:45" x14ac:dyDescent="0.25">
      <c r="A1928">
        <v>173</v>
      </c>
      <c r="B1928" s="11">
        <f t="shared" si="30"/>
        <v>28249</v>
      </c>
      <c r="C1928" s="16">
        <v>282490</v>
      </c>
      <c r="D1928" s="17">
        <v>0</v>
      </c>
      <c r="E1928" s="17">
        <v>0</v>
      </c>
      <c r="F1928" s="17">
        <v>80</v>
      </c>
      <c r="G1928" s="17">
        <v>59</v>
      </c>
      <c r="H1928" s="13" t="str" cm="1">
        <f t="array" ref="H1928">_xlfn.IFS(G1928&lt;=20,"0-20",G1928&lt;=30,"20-30",G1928&lt;=40,"30-40",G1928&lt;=50,"50-60",G1928&lt;=60,"60-70",G1928&lt;=70,"70-80",G1928&lt;=80,"80-90")</f>
        <v>60-70</v>
      </c>
      <c r="I1928" s="17">
        <v>2173</v>
      </c>
      <c r="J1928" s="13" t="str" cm="1">
        <f t="array" ref="J1928">_xlfn.IFS(K1928=1,"Divorciado",L1928=1,"Casado",M1928=1,"Solteiro",N1928=1,"Juntos",O1928=1,"Viuvo")</f>
        <v>Casado</v>
      </c>
      <c r="K1928" s="17">
        <v>0</v>
      </c>
      <c r="L1928" s="17">
        <v>1</v>
      </c>
      <c r="M1928" s="17">
        <v>0</v>
      </c>
      <c r="N1928" s="17">
        <v>0</v>
      </c>
      <c r="O1928" s="17">
        <v>0</v>
      </c>
      <c r="P1928" s="17">
        <v>0</v>
      </c>
      <c r="Q1928" s="17">
        <v>1</v>
      </c>
      <c r="R1928" s="17">
        <v>0</v>
      </c>
      <c r="S1928" s="17">
        <v>0</v>
      </c>
      <c r="T1928" s="17">
        <v>0</v>
      </c>
      <c r="U1928" s="17">
        <v>1</v>
      </c>
      <c r="V1928" s="13" t="str" cm="1">
        <f t="array" ref="V1928">_xlfn.IFS(U1928&lt;=250,"0-R$250",U1928&lt;=500,"251-R$500",U1928&lt;=750,"501-R$750",U1928&lt;=1000,"751-R$1000",U1928&lt;=1250,"1001-R$1250",U1928&lt;=1500,"1251-R$1500")</f>
        <v>0-R$250</v>
      </c>
      <c r="W1928" s="17">
        <v>9</v>
      </c>
      <c r="X1928" s="13" t="str" cm="1">
        <f t="array" ref="X1928">_xlfn.IFS(W1928 = 0, "0", W1928&lt;=20, "até R$20",W1928&lt;=40, "21 - R$40",W1928&lt;=60, "41- R$60",W1928&lt;=80, "61 - R$80", W1928&lt;=100, "81 - R$100",W1928&lt;=120, "101 - R$120",W1928&lt;=140, "121 - R$140", W1928&lt;=160, "141- R$160", W1928&lt;=180, "161 - R$180", W1928&lt;=200, "181-R$194")</f>
        <v>até R$20</v>
      </c>
      <c r="Y1928" s="17">
        <v>7</v>
      </c>
      <c r="Z1928" s="17">
        <v>2</v>
      </c>
      <c r="AA1928" s="17">
        <v>14</v>
      </c>
      <c r="AB1928" s="17">
        <v>10</v>
      </c>
      <c r="AC1928" s="17">
        <v>1</v>
      </c>
      <c r="AD1928" s="17">
        <v>2</v>
      </c>
      <c r="AE1928" s="17">
        <v>0</v>
      </c>
      <c r="AF1928" s="17">
        <v>3</v>
      </c>
      <c r="AG1928" s="17">
        <v>6</v>
      </c>
      <c r="AH1928" s="17">
        <v>0</v>
      </c>
      <c r="AI1928" s="17">
        <v>0</v>
      </c>
      <c r="AJ1928" s="17">
        <v>0</v>
      </c>
      <c r="AK1928" s="17">
        <v>0</v>
      </c>
      <c r="AL1928" s="17">
        <v>0</v>
      </c>
      <c r="AM1928" s="17">
        <v>0</v>
      </c>
      <c r="AN1928" s="17">
        <v>0</v>
      </c>
      <c r="AO1928" s="18">
        <v>0</v>
      </c>
      <c r="AP1928" s="17">
        <v>3</v>
      </c>
      <c r="AQ1928" s="17">
        <v>11</v>
      </c>
      <c r="AR1928" s="19">
        <v>23</v>
      </c>
      <c r="AS1928" s="19">
        <v>33</v>
      </c>
    </row>
    <row r="1929" spans="1:45" x14ac:dyDescent="0.25">
      <c r="A1929">
        <v>573</v>
      </c>
      <c r="B1929" s="11">
        <f t="shared" si="30"/>
        <v>24221</v>
      </c>
      <c r="C1929" s="16">
        <v>242210</v>
      </c>
      <c r="D1929" s="17">
        <v>0</v>
      </c>
      <c r="E1929" s="17">
        <v>0</v>
      </c>
      <c r="F1929" s="17">
        <v>94</v>
      </c>
      <c r="G1929" s="17">
        <v>61</v>
      </c>
      <c r="H1929" s="13" t="str" cm="1">
        <f t="array" ref="H1929">_xlfn.IFS(G1929&lt;=20,"0-20",G1929&lt;=30,"20-30",G1929&lt;=40,"30-40",G1929&lt;=50,"50-60",G1929&lt;=60,"60-70",G1929&lt;=70,"70-80",G1929&lt;=80,"80-90")</f>
        <v>70-80</v>
      </c>
      <c r="I1929" s="17">
        <v>2472</v>
      </c>
      <c r="J1929" s="13" t="str" cm="1">
        <f t="array" ref="J1929">_xlfn.IFS(K1929=1,"Divorciado",L1929=1,"Casado",M1929=1,"Solteiro",N1929=1,"Juntos",O1929=1,"Viuvo")</f>
        <v>Juntos</v>
      </c>
      <c r="K1929" s="17">
        <v>0</v>
      </c>
      <c r="L1929" s="17">
        <v>0</v>
      </c>
      <c r="M1929" s="17">
        <v>0</v>
      </c>
      <c r="N1929" s="17">
        <v>1</v>
      </c>
      <c r="O1929" s="17">
        <v>0</v>
      </c>
      <c r="P1929" s="17">
        <v>0</v>
      </c>
      <c r="Q1929" s="17">
        <v>0</v>
      </c>
      <c r="R1929" s="17">
        <v>1</v>
      </c>
      <c r="S1929" s="17">
        <v>0</v>
      </c>
      <c r="T1929" s="17">
        <v>0</v>
      </c>
      <c r="U1929" s="17">
        <v>8</v>
      </c>
      <c r="V1929" s="13" t="str" cm="1">
        <f t="array" ref="V1929">_xlfn.IFS(U1929&lt;=250,"0-R$250",U1929&lt;=500,"251-R$500",U1929&lt;=750,"501-R$750",U1929&lt;=1000,"751-R$1000",U1929&lt;=1250,"1001-R$1250",U1929&lt;=1500,"1251-R$1500")</f>
        <v>0-R$250</v>
      </c>
      <c r="W1929" s="17">
        <v>9</v>
      </c>
      <c r="X1929" s="13" t="str" cm="1">
        <f t="array" ref="X1929">_xlfn.IFS(W1929 = 0, "0", W1929&lt;=20, "até R$20",W1929&lt;=40, "21 - R$40",W1929&lt;=60, "41- R$60",W1929&lt;=80, "61 - R$80", W1929&lt;=100, "81 - R$100",W1929&lt;=120, "101 - R$120",W1929&lt;=140, "121 - R$140", W1929&lt;=160, "141- R$160", W1929&lt;=180, "161 - R$180", W1929&lt;=200, "181-R$194")</f>
        <v>até R$20</v>
      </c>
      <c r="Y1929" s="17">
        <v>9</v>
      </c>
      <c r="Z1929" s="17">
        <v>2</v>
      </c>
      <c r="AA1929" s="17">
        <v>5</v>
      </c>
      <c r="AB1929" s="17">
        <v>22</v>
      </c>
      <c r="AC1929" s="17">
        <v>1</v>
      </c>
      <c r="AD1929" s="17">
        <v>1</v>
      </c>
      <c r="AE1929" s="17">
        <v>1</v>
      </c>
      <c r="AF1929" s="17">
        <v>3</v>
      </c>
      <c r="AG1929" s="17">
        <v>4</v>
      </c>
      <c r="AH1929" s="17">
        <v>0</v>
      </c>
      <c r="AI1929" s="17">
        <v>0</v>
      </c>
      <c r="AJ1929" s="17">
        <v>0</v>
      </c>
      <c r="AK1929" s="17">
        <v>0</v>
      </c>
      <c r="AL1929" s="17">
        <v>0</v>
      </c>
      <c r="AM1929" s="17">
        <v>0</v>
      </c>
      <c r="AN1929" s="17">
        <v>0</v>
      </c>
      <c r="AO1929" s="18">
        <v>0</v>
      </c>
      <c r="AP1929" s="17">
        <v>3</v>
      </c>
      <c r="AQ1929" s="17">
        <v>11</v>
      </c>
      <c r="AR1929" s="19">
        <v>11</v>
      </c>
      <c r="AS1929" s="19">
        <v>33</v>
      </c>
    </row>
    <row r="1930" spans="1:45" x14ac:dyDescent="0.25">
      <c r="A1930">
        <v>577</v>
      </c>
      <c r="B1930" s="11">
        <f t="shared" si="30"/>
        <v>33178</v>
      </c>
      <c r="C1930" s="16">
        <v>331780</v>
      </c>
      <c r="D1930" s="17">
        <v>1</v>
      </c>
      <c r="E1930" s="17">
        <v>0</v>
      </c>
      <c r="F1930" s="17">
        <v>9</v>
      </c>
      <c r="G1930" s="17">
        <v>43</v>
      </c>
      <c r="H1930" s="13" t="str" cm="1">
        <f t="array" ref="H1930">_xlfn.IFS(G1930&lt;=20,"0-20",G1930&lt;=30,"20-30",G1930&lt;=40,"30-40",G1930&lt;=50,"50-60",G1930&lt;=60,"60-70",G1930&lt;=70,"70-80",G1930&lt;=80,"80-90")</f>
        <v>50-60</v>
      </c>
      <c r="I1930" s="17">
        <v>2309</v>
      </c>
      <c r="J1930" s="13" t="str" cm="1">
        <f t="array" ref="J1930">_xlfn.IFS(K1930=1,"Divorciado",L1930=1,"Casado",M1930=1,"Solteiro",N1930=1,"Juntos",O1930=1,"Viuvo")</f>
        <v>Juntos</v>
      </c>
      <c r="K1930" s="17">
        <v>0</v>
      </c>
      <c r="L1930" s="17">
        <v>0</v>
      </c>
      <c r="M1930" s="17">
        <v>0</v>
      </c>
      <c r="N1930" s="17">
        <v>1</v>
      </c>
      <c r="O1930" s="17">
        <v>0</v>
      </c>
      <c r="P1930" s="17">
        <v>0</v>
      </c>
      <c r="Q1930" s="17">
        <v>0</v>
      </c>
      <c r="R1930" s="17">
        <v>1</v>
      </c>
      <c r="S1930" s="17">
        <v>0</v>
      </c>
      <c r="T1930" s="17">
        <v>0</v>
      </c>
      <c r="U1930" s="17">
        <v>12</v>
      </c>
      <c r="V1930" s="13" t="str" cm="1">
        <f t="array" ref="V1930">_xlfn.IFS(U1930&lt;=250,"0-R$250",U1930&lt;=500,"251-R$500",U1930&lt;=750,"501-R$750",U1930&lt;=1000,"751-R$1000",U1930&lt;=1250,"1001-R$1250",U1930&lt;=1500,"1251-R$1500")</f>
        <v>0-R$250</v>
      </c>
      <c r="W1930" s="17">
        <v>6</v>
      </c>
      <c r="X1930" s="13" t="str" cm="1">
        <f t="array" ref="X1930">_xlfn.IFS(W1930 = 0, "0", W1930&lt;=20, "até R$20",W1930&lt;=40, "21 - R$40",W1930&lt;=60, "41- R$60",W1930&lt;=80, "61 - R$80", W1930&lt;=100, "81 - R$100",W1930&lt;=120, "101 - R$120",W1930&lt;=140, "121 - R$140", W1930&lt;=160, "141- R$160", W1930&lt;=180, "161 - R$180", W1930&lt;=200, "181-R$194")</f>
        <v>até R$20</v>
      </c>
      <c r="Y1930" s="17">
        <v>2</v>
      </c>
      <c r="Z1930" s="17">
        <v>11</v>
      </c>
      <c r="AA1930" s="17">
        <v>2</v>
      </c>
      <c r="AB1930" s="17">
        <v>16</v>
      </c>
      <c r="AC1930" s="17">
        <v>1</v>
      </c>
      <c r="AD1930" s="17">
        <v>1</v>
      </c>
      <c r="AE1930" s="17">
        <v>0</v>
      </c>
      <c r="AF1930" s="17">
        <v>3</v>
      </c>
      <c r="AG1930" s="17">
        <v>4</v>
      </c>
      <c r="AH1930" s="17">
        <v>0</v>
      </c>
      <c r="AI1930" s="17">
        <v>0</v>
      </c>
      <c r="AJ1930" s="17">
        <v>0</v>
      </c>
      <c r="AK1930" s="17">
        <v>0</v>
      </c>
      <c r="AL1930" s="17">
        <v>0</v>
      </c>
      <c r="AM1930" s="17">
        <v>0</v>
      </c>
      <c r="AN1930" s="17">
        <v>0</v>
      </c>
      <c r="AO1930" s="18">
        <v>0</v>
      </c>
      <c r="AP1930" s="17">
        <v>3</v>
      </c>
      <c r="AQ1930" s="17">
        <v>11</v>
      </c>
      <c r="AR1930" s="19">
        <v>17</v>
      </c>
      <c r="AS1930" s="19">
        <v>33</v>
      </c>
    </row>
    <row r="1931" spans="1:45" x14ac:dyDescent="0.25">
      <c r="A1931">
        <v>782</v>
      </c>
      <c r="B1931" s="11">
        <f t="shared" si="30"/>
        <v>46984</v>
      </c>
      <c r="C1931" s="12">
        <v>469840</v>
      </c>
      <c r="D1931" s="13">
        <v>1</v>
      </c>
      <c r="E1931" s="13">
        <v>1</v>
      </c>
      <c r="F1931" s="13">
        <v>71</v>
      </c>
      <c r="G1931" s="13">
        <v>64</v>
      </c>
      <c r="H1931" s="13" t="str" cm="1">
        <f t="array" ref="H1931">_xlfn.IFS(G1931&lt;=20,"0-20",G1931&lt;=30,"20-30",G1931&lt;=40,"30-40",G1931&lt;=50,"50-60",G1931&lt;=60,"60-70",G1931&lt;=70,"70-80",G1931&lt;=80,"80-90")</f>
        <v>70-80</v>
      </c>
      <c r="I1931" s="13">
        <v>2619</v>
      </c>
      <c r="J1931" s="13" t="str" cm="1">
        <f t="array" ref="J1931">_xlfn.IFS(K1931=1,"Divorciado",L1931=1,"Casado",M1931=1,"Solteiro",N1931=1,"Juntos",O1931=1,"Viuvo")</f>
        <v>Viuvo</v>
      </c>
      <c r="K1931" s="13">
        <v>0</v>
      </c>
      <c r="L1931" s="13">
        <v>0</v>
      </c>
      <c r="M1931" s="13">
        <v>0</v>
      </c>
      <c r="N1931" s="13">
        <v>0</v>
      </c>
      <c r="O1931" s="13">
        <v>1</v>
      </c>
      <c r="P1931" s="13">
        <v>0</v>
      </c>
      <c r="Q1931" s="13">
        <v>0</v>
      </c>
      <c r="R1931" s="13">
        <v>1</v>
      </c>
      <c r="S1931" s="13">
        <v>0</v>
      </c>
      <c r="T1931" s="13">
        <v>0</v>
      </c>
      <c r="U1931" s="13">
        <v>19</v>
      </c>
      <c r="V1931" s="13" t="str" cm="1">
        <f t="array" ref="V1931">_xlfn.IFS(U1931&lt;=250,"0-R$250",U1931&lt;=500,"251-R$500",U1931&lt;=750,"501-R$750",U1931&lt;=1000,"751-R$1000",U1931&lt;=1250,"1001-R$1250",U1931&lt;=1500,"1251-R$1500")</f>
        <v>0-R$250</v>
      </c>
      <c r="W1931" s="13">
        <v>1</v>
      </c>
      <c r="X1931" s="13" t="str" cm="1">
        <f t="array" ref="X1931">_xlfn.IFS(W1931 = 0, "0", W1931&lt;=20, "até R$20",W1931&lt;=40, "21 - R$40",W1931&lt;=60, "41- R$60",W1931&lt;=80, "61 - R$80", W1931&lt;=100, "81 - R$100",W1931&lt;=120, "101 - R$120",W1931&lt;=140, "121 - R$140", W1931&lt;=160, "141- R$160", W1931&lt;=180, "161 - R$180", W1931&lt;=200, "181-R$194")</f>
        <v>até R$20</v>
      </c>
      <c r="Y1931" s="13">
        <v>10</v>
      </c>
      <c r="Z1931" s="13">
        <v>2</v>
      </c>
      <c r="AA1931" s="13">
        <v>1</v>
      </c>
      <c r="AB1931" s="13">
        <v>8</v>
      </c>
      <c r="AC1931" s="13">
        <v>1</v>
      </c>
      <c r="AD1931" s="13">
        <v>1</v>
      </c>
      <c r="AE1931" s="13">
        <v>0</v>
      </c>
      <c r="AF1931" s="13">
        <v>3</v>
      </c>
      <c r="AG1931" s="13">
        <v>5</v>
      </c>
      <c r="AH1931" s="13">
        <v>0</v>
      </c>
      <c r="AI1931" s="13">
        <v>0</v>
      </c>
      <c r="AJ1931" s="13">
        <v>0</v>
      </c>
      <c r="AK1931" s="13">
        <v>0</v>
      </c>
      <c r="AL1931" s="13">
        <v>0</v>
      </c>
      <c r="AM1931" s="13">
        <v>0</v>
      </c>
      <c r="AN1931" s="13">
        <v>0</v>
      </c>
      <c r="AO1931" s="14">
        <v>0</v>
      </c>
      <c r="AP1931" s="13">
        <v>3</v>
      </c>
      <c r="AQ1931" s="13">
        <v>11</v>
      </c>
      <c r="AR1931" s="15">
        <v>25</v>
      </c>
      <c r="AS1931" s="15">
        <v>33</v>
      </c>
    </row>
    <row r="1932" spans="1:45" x14ac:dyDescent="0.25">
      <c r="A1932">
        <v>999</v>
      </c>
      <c r="B1932" s="11">
        <f t="shared" si="30"/>
        <v>32300</v>
      </c>
      <c r="C1932" s="16">
        <v>323000</v>
      </c>
      <c r="D1932" s="17">
        <v>1</v>
      </c>
      <c r="E1932" s="17">
        <v>0</v>
      </c>
      <c r="F1932" s="17">
        <v>1</v>
      </c>
      <c r="G1932" s="17">
        <v>47</v>
      </c>
      <c r="H1932" s="13" t="str" cm="1">
        <f t="array" ref="H1932">_xlfn.IFS(G1932&lt;=20,"0-20",G1932&lt;=30,"20-30",G1932&lt;=40,"30-40",G1932&lt;=50,"50-60",G1932&lt;=60,"60-70",G1932&lt;=70,"70-80",G1932&lt;=80,"80-90")</f>
        <v>50-60</v>
      </c>
      <c r="I1932" s="17">
        <v>2701</v>
      </c>
      <c r="J1932" s="13" t="str" cm="1">
        <f t="array" ref="J1932">_xlfn.IFS(K1932=1,"Divorciado",L1932=1,"Casado",M1932=1,"Solteiro",N1932=1,"Juntos",O1932=1,"Viuvo")</f>
        <v>Casado</v>
      </c>
      <c r="K1932" s="17">
        <v>0</v>
      </c>
      <c r="L1932" s="17">
        <v>1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1</v>
      </c>
      <c r="S1932" s="17">
        <v>0</v>
      </c>
      <c r="T1932" s="17">
        <v>0</v>
      </c>
      <c r="U1932" s="17">
        <v>13</v>
      </c>
      <c r="V1932" s="13" t="str" cm="1">
        <f t="array" ref="V1932">_xlfn.IFS(U1932&lt;=250,"0-R$250",U1932&lt;=500,"251-R$500",U1932&lt;=750,"501-R$750",U1932&lt;=1000,"751-R$1000",U1932&lt;=1250,"1001-R$1250",U1932&lt;=1500,"1251-R$1500")</f>
        <v>0-R$250</v>
      </c>
      <c r="W1932" s="17">
        <v>3</v>
      </c>
      <c r="X1932" s="13" t="str" cm="1">
        <f t="array" ref="X1932">_xlfn.IFS(W1932 = 0, "0", W1932&lt;=20, "até R$20",W1932&lt;=40, "21 - R$40",W1932&lt;=60, "41- R$60",W1932&lt;=80, "61 - R$80", W1932&lt;=100, "81 - R$100",W1932&lt;=120, "101 - R$120",W1932&lt;=140, "121 - R$140", W1932&lt;=160, "141- R$160", W1932&lt;=180, "161 - R$180", W1932&lt;=200, "181-R$194")</f>
        <v>até R$20</v>
      </c>
      <c r="Y1932" s="17">
        <v>6</v>
      </c>
      <c r="Z1932" s="17">
        <v>6</v>
      </c>
      <c r="AA1932" s="17">
        <v>5</v>
      </c>
      <c r="AB1932" s="17">
        <v>6</v>
      </c>
      <c r="AC1932" s="17">
        <v>1</v>
      </c>
      <c r="AD1932" s="17">
        <v>1</v>
      </c>
      <c r="AE1932" s="17">
        <v>0</v>
      </c>
      <c r="AF1932" s="17">
        <v>3</v>
      </c>
      <c r="AG1932" s="17">
        <v>8</v>
      </c>
      <c r="AH1932" s="17">
        <v>0</v>
      </c>
      <c r="AI1932" s="17">
        <v>0</v>
      </c>
      <c r="AJ1932" s="17">
        <v>0</v>
      </c>
      <c r="AK1932" s="17">
        <v>0</v>
      </c>
      <c r="AL1932" s="17">
        <v>0</v>
      </c>
      <c r="AM1932" s="17">
        <v>0</v>
      </c>
      <c r="AN1932" s="17">
        <v>0</v>
      </c>
      <c r="AO1932" s="18">
        <v>0</v>
      </c>
      <c r="AP1932" s="17">
        <v>3</v>
      </c>
      <c r="AQ1932" s="17">
        <v>11</v>
      </c>
      <c r="AR1932" s="19">
        <v>27</v>
      </c>
      <c r="AS1932" s="19">
        <v>33</v>
      </c>
    </row>
    <row r="1933" spans="1:45" x14ac:dyDescent="0.25">
      <c r="A1933">
        <v>1439</v>
      </c>
      <c r="B1933" s="11">
        <f t="shared" si="30"/>
        <v>16531</v>
      </c>
      <c r="C1933" s="16">
        <v>165310</v>
      </c>
      <c r="D1933" s="17">
        <v>1</v>
      </c>
      <c r="E1933" s="17">
        <v>0</v>
      </c>
      <c r="F1933" s="17">
        <v>43</v>
      </c>
      <c r="G1933" s="17">
        <v>42</v>
      </c>
      <c r="H1933" s="13" t="str" cm="1">
        <f t="array" ref="H1933">_xlfn.IFS(G1933&lt;=20,"0-20",G1933&lt;=30,"20-30",G1933&lt;=40,"30-40",G1933&lt;=50,"50-60",G1933&lt;=60,"60-70",G1933&lt;=70,"70-80",G1933&lt;=80,"80-90")</f>
        <v>50-60</v>
      </c>
      <c r="I1933" s="17">
        <v>2170</v>
      </c>
      <c r="J1933" s="13" t="str" cm="1">
        <f t="array" ref="J1933">_xlfn.IFS(K1933=1,"Divorciado",L1933=1,"Casado",M1933=1,"Solteiro",N1933=1,"Juntos",O1933=1,"Viuvo")</f>
        <v>Juntos</v>
      </c>
      <c r="K1933" s="17">
        <v>0</v>
      </c>
      <c r="L1933" s="17">
        <v>0</v>
      </c>
      <c r="M1933" s="17">
        <v>0</v>
      </c>
      <c r="N1933" s="17">
        <v>1</v>
      </c>
      <c r="O1933" s="17">
        <v>0</v>
      </c>
      <c r="P1933" s="17">
        <v>0</v>
      </c>
      <c r="Q1933" s="17">
        <v>0</v>
      </c>
      <c r="R1933" s="17">
        <v>1</v>
      </c>
      <c r="S1933" s="17">
        <v>0</v>
      </c>
      <c r="T1933" s="17">
        <v>0</v>
      </c>
      <c r="U1933" s="17">
        <v>2</v>
      </c>
      <c r="V1933" s="13" t="str" cm="1">
        <f t="array" ref="V1933">_xlfn.IFS(U1933&lt;=250,"0-R$250",U1933&lt;=500,"251-R$500",U1933&lt;=750,"501-R$750",U1933&lt;=1000,"751-R$1000",U1933&lt;=1250,"1001-R$1250",U1933&lt;=1500,"1251-R$1500")</f>
        <v>0-R$250</v>
      </c>
      <c r="W1933" s="17">
        <v>13</v>
      </c>
      <c r="X1933" s="13" t="str" cm="1">
        <f t="array" ref="X1933">_xlfn.IFS(W1933 = 0, "0", W1933&lt;=20, "até R$20",W1933&lt;=40, "21 - R$40",W1933&lt;=60, "41- R$60",W1933&lt;=80, "61 - R$80", W1933&lt;=100, "81 - R$100",W1933&lt;=120, "101 - R$120",W1933&lt;=140, "121 - R$140", W1933&lt;=160, "141- R$160", W1933&lt;=180, "161 - R$180", W1933&lt;=200, "181-R$194")</f>
        <v>até R$20</v>
      </c>
      <c r="Y1933" s="17">
        <v>6</v>
      </c>
      <c r="Z1933" s="17">
        <v>7</v>
      </c>
      <c r="AA1933" s="17">
        <v>5</v>
      </c>
      <c r="AB1933" s="17">
        <v>11</v>
      </c>
      <c r="AC1933" s="17">
        <v>3</v>
      </c>
      <c r="AD1933" s="17">
        <v>3</v>
      </c>
      <c r="AE1933" s="17">
        <v>0</v>
      </c>
      <c r="AF1933" s="17">
        <v>3</v>
      </c>
      <c r="AG1933" s="17">
        <v>7</v>
      </c>
      <c r="AH1933" s="17">
        <v>0</v>
      </c>
      <c r="AI1933" s="17">
        <v>0</v>
      </c>
      <c r="AJ1933" s="17">
        <v>0</v>
      </c>
      <c r="AK1933" s="17">
        <v>0</v>
      </c>
      <c r="AL1933" s="17">
        <v>0</v>
      </c>
      <c r="AM1933" s="17">
        <v>0</v>
      </c>
      <c r="AN1933" s="17">
        <v>0</v>
      </c>
      <c r="AO1933" s="18">
        <v>0</v>
      </c>
      <c r="AP1933" s="17">
        <v>3</v>
      </c>
      <c r="AQ1933" s="17">
        <v>11</v>
      </c>
      <c r="AR1933" s="19">
        <v>22</v>
      </c>
      <c r="AS1933" s="19">
        <v>33</v>
      </c>
    </row>
    <row r="1934" spans="1:45" x14ac:dyDescent="0.25">
      <c r="A1934">
        <v>1660</v>
      </c>
      <c r="B1934" s="11">
        <f t="shared" si="30"/>
        <v>42231</v>
      </c>
      <c r="C1934" s="12">
        <v>422310</v>
      </c>
      <c r="D1934" s="13">
        <v>1</v>
      </c>
      <c r="E1934" s="13">
        <v>1</v>
      </c>
      <c r="F1934" s="13">
        <v>99</v>
      </c>
      <c r="G1934" s="13">
        <v>51</v>
      </c>
      <c r="H1934" s="13" t="str" cm="1">
        <f t="array" ref="H1934">_xlfn.IFS(G1934&lt;=20,"0-20",G1934&lt;=30,"20-30",G1934&lt;=40,"30-40",G1934&lt;=50,"50-60",G1934&lt;=60,"60-70",G1934&lt;=70,"70-80",G1934&lt;=80,"80-90")</f>
        <v>60-70</v>
      </c>
      <c r="I1934" s="13">
        <v>2255</v>
      </c>
      <c r="J1934" s="13" t="str" cm="1">
        <f t="array" ref="J1934">_xlfn.IFS(K1934=1,"Divorciado",L1934=1,"Casado",M1934=1,"Solteiro",N1934=1,"Juntos",O1934=1,"Viuvo")</f>
        <v>Casado</v>
      </c>
      <c r="K1934" s="13">
        <v>0</v>
      </c>
      <c r="L1934" s="13">
        <v>1</v>
      </c>
      <c r="M1934" s="13">
        <v>0</v>
      </c>
      <c r="N1934" s="13">
        <v>0</v>
      </c>
      <c r="O1934" s="13">
        <v>0</v>
      </c>
      <c r="P1934" s="13">
        <v>0</v>
      </c>
      <c r="Q1934" s="13">
        <v>0</v>
      </c>
      <c r="R1934" s="13">
        <v>1</v>
      </c>
      <c r="S1934" s="13">
        <v>0</v>
      </c>
      <c r="T1934" s="13">
        <v>0</v>
      </c>
      <c r="U1934" s="13">
        <v>24</v>
      </c>
      <c r="V1934" s="13" t="str" cm="1">
        <f t="array" ref="V1934">_xlfn.IFS(U1934&lt;=250,"0-R$250",U1934&lt;=500,"251-R$500",U1934&lt;=750,"501-R$750",U1934&lt;=1000,"751-R$1000",U1934&lt;=1250,"1001-R$1250",U1934&lt;=1500,"1251-R$1500")</f>
        <v>0-R$250</v>
      </c>
      <c r="W1934" s="13">
        <v>0</v>
      </c>
      <c r="X1934" s="13" t="str" cm="1">
        <f t="array" ref="X1934">_xlfn.IFS(W1934 = 0, "0", W1934&lt;=20, "até R$20",W1934&lt;=40, "21 - R$40",W1934&lt;=60, "41- R$60",W1934&lt;=80, "61 - R$80", W1934&lt;=100, "81 - R$100",W1934&lt;=120, "101 - R$120",W1934&lt;=140, "121 - R$140", W1934&lt;=160, "141- R$160", W1934&lt;=180, "161 - R$180", W1934&lt;=200, "181-R$194")</f>
        <v>0</v>
      </c>
      <c r="Y1934" s="13">
        <v>8</v>
      </c>
      <c r="Z1934" s="13">
        <v>0</v>
      </c>
      <c r="AA1934" s="13">
        <v>1</v>
      </c>
      <c r="AB1934" s="13">
        <v>4</v>
      </c>
      <c r="AC1934" s="13">
        <v>1</v>
      </c>
      <c r="AD1934" s="13">
        <v>1</v>
      </c>
      <c r="AE1934" s="13">
        <v>0</v>
      </c>
      <c r="AF1934" s="13">
        <v>3</v>
      </c>
      <c r="AG1934" s="13">
        <v>5</v>
      </c>
      <c r="AH1934" s="13">
        <v>0</v>
      </c>
      <c r="AI1934" s="13">
        <v>0</v>
      </c>
      <c r="AJ1934" s="13">
        <v>0</v>
      </c>
      <c r="AK1934" s="13">
        <v>0</v>
      </c>
      <c r="AL1934" s="13">
        <v>0</v>
      </c>
      <c r="AM1934" s="13">
        <v>0</v>
      </c>
      <c r="AN1934" s="13">
        <v>0</v>
      </c>
      <c r="AO1934" s="14">
        <v>0</v>
      </c>
      <c r="AP1934" s="13">
        <v>3</v>
      </c>
      <c r="AQ1934" s="13">
        <v>11</v>
      </c>
      <c r="AR1934" s="15">
        <v>29</v>
      </c>
      <c r="AS1934" s="15">
        <v>33</v>
      </c>
    </row>
    <row r="1935" spans="1:45" x14ac:dyDescent="0.25">
      <c r="A1935">
        <v>1743</v>
      </c>
      <c r="B1935" s="11">
        <f t="shared" si="30"/>
        <v>28249</v>
      </c>
      <c r="C1935" s="16">
        <v>282490</v>
      </c>
      <c r="D1935" s="17">
        <v>0</v>
      </c>
      <c r="E1935" s="17">
        <v>0</v>
      </c>
      <c r="F1935" s="17">
        <v>80</v>
      </c>
      <c r="G1935" s="17">
        <v>59</v>
      </c>
      <c r="H1935" s="13" t="str" cm="1">
        <f t="array" ref="H1935">_xlfn.IFS(G1935&lt;=20,"0-20",G1935&lt;=30,"20-30",G1935&lt;=40,"30-40",G1935&lt;=50,"50-60",G1935&lt;=60,"60-70",G1935&lt;=70,"70-80",G1935&lt;=80,"80-90")</f>
        <v>60-70</v>
      </c>
      <c r="I1935" s="17">
        <v>2173</v>
      </c>
      <c r="J1935" s="13" t="str" cm="1">
        <f t="array" ref="J1935">_xlfn.IFS(K1935=1,"Divorciado",L1935=1,"Casado",M1935=1,"Solteiro",N1935=1,"Juntos",O1935=1,"Viuvo")</f>
        <v>Casado</v>
      </c>
      <c r="K1935" s="17">
        <v>0</v>
      </c>
      <c r="L1935" s="17">
        <v>1</v>
      </c>
      <c r="M1935" s="17">
        <v>0</v>
      </c>
      <c r="N1935" s="17">
        <v>0</v>
      </c>
      <c r="O1935" s="17">
        <v>0</v>
      </c>
      <c r="P1935" s="17">
        <v>0</v>
      </c>
      <c r="Q1935" s="17">
        <v>1</v>
      </c>
      <c r="R1935" s="17">
        <v>0</v>
      </c>
      <c r="S1935" s="17">
        <v>0</v>
      </c>
      <c r="T1935" s="17">
        <v>0</v>
      </c>
      <c r="U1935" s="17">
        <v>1</v>
      </c>
      <c r="V1935" s="13" t="str" cm="1">
        <f t="array" ref="V1935">_xlfn.IFS(U1935&lt;=250,"0-R$250",U1935&lt;=500,"251-R$500",U1935&lt;=750,"501-R$750",U1935&lt;=1000,"751-R$1000",U1935&lt;=1250,"1001-R$1250",U1935&lt;=1500,"1251-R$1500")</f>
        <v>0-R$250</v>
      </c>
      <c r="W1935" s="17">
        <v>9</v>
      </c>
      <c r="X1935" s="13" t="str" cm="1">
        <f t="array" ref="X1935">_xlfn.IFS(W1935 = 0, "0", W1935&lt;=20, "até R$20",W1935&lt;=40, "21 - R$40",W1935&lt;=60, "41- R$60",W1935&lt;=80, "61 - R$80", W1935&lt;=100, "81 - R$100",W1935&lt;=120, "101 - R$120",W1935&lt;=140, "121 - R$140", W1935&lt;=160, "141- R$160", W1935&lt;=180, "161 - R$180", W1935&lt;=200, "181-R$194")</f>
        <v>até R$20</v>
      </c>
      <c r="Y1935" s="17">
        <v>7</v>
      </c>
      <c r="Z1935" s="17">
        <v>2</v>
      </c>
      <c r="AA1935" s="17">
        <v>14</v>
      </c>
      <c r="AB1935" s="17">
        <v>10</v>
      </c>
      <c r="AC1935" s="17">
        <v>1</v>
      </c>
      <c r="AD1935" s="17">
        <v>2</v>
      </c>
      <c r="AE1935" s="17">
        <v>0</v>
      </c>
      <c r="AF1935" s="17">
        <v>3</v>
      </c>
      <c r="AG1935" s="17">
        <v>6</v>
      </c>
      <c r="AH1935" s="17">
        <v>0</v>
      </c>
      <c r="AI1935" s="17">
        <v>0</v>
      </c>
      <c r="AJ1935" s="17">
        <v>0</v>
      </c>
      <c r="AK1935" s="17">
        <v>0</v>
      </c>
      <c r="AL1935" s="17">
        <v>0</v>
      </c>
      <c r="AM1935" s="17">
        <v>0</v>
      </c>
      <c r="AN1935" s="17">
        <v>0</v>
      </c>
      <c r="AO1935" s="18">
        <v>0</v>
      </c>
      <c r="AP1935" s="17">
        <v>3</v>
      </c>
      <c r="AQ1935" s="17">
        <v>11</v>
      </c>
      <c r="AR1935" s="19">
        <v>23</v>
      </c>
      <c r="AS1935" s="19">
        <v>33</v>
      </c>
    </row>
    <row r="1936" spans="1:45" x14ac:dyDescent="0.25">
      <c r="A1936">
        <v>2196</v>
      </c>
      <c r="B1936" s="11">
        <f t="shared" si="30"/>
        <v>24434</v>
      </c>
      <c r="C1936" s="12">
        <v>244340</v>
      </c>
      <c r="D1936" s="13">
        <v>2</v>
      </c>
      <c r="E1936" s="13">
        <v>0</v>
      </c>
      <c r="F1936" s="13">
        <v>9</v>
      </c>
      <c r="G1936" s="13">
        <v>48</v>
      </c>
      <c r="H1936" s="13" t="str" cm="1">
        <f t="array" ref="H1936">_xlfn.IFS(G1936&lt;=20,"0-20",G1936&lt;=30,"20-30",G1936&lt;=40,"30-40",G1936&lt;=50,"50-60",G1936&lt;=60,"60-70",G1936&lt;=70,"70-80",G1936&lt;=80,"80-90")</f>
        <v>50-60</v>
      </c>
      <c r="I1936" s="13">
        <v>2201</v>
      </c>
      <c r="J1936" s="13" t="str" cm="1">
        <f t="array" ref="J1936">_xlfn.IFS(K1936=1,"Divorciado",L1936=1,"Casado",M1936=1,"Solteiro",N1936=1,"Juntos",O1936=1,"Viuvo")</f>
        <v>Casado</v>
      </c>
      <c r="K1936" s="13">
        <v>0</v>
      </c>
      <c r="L1936" s="13">
        <v>1</v>
      </c>
      <c r="M1936" s="13">
        <v>0</v>
      </c>
      <c r="N1936" s="13">
        <v>0</v>
      </c>
      <c r="O1936" s="13">
        <v>0</v>
      </c>
      <c r="P1936" s="13">
        <v>0</v>
      </c>
      <c r="Q1936" s="13">
        <v>0</v>
      </c>
      <c r="R1936" s="13">
        <v>1</v>
      </c>
      <c r="S1936" s="13">
        <v>0</v>
      </c>
      <c r="T1936" s="13">
        <v>0</v>
      </c>
      <c r="U1936" s="13">
        <v>3</v>
      </c>
      <c r="V1936" s="13" t="str" cm="1">
        <f t="array" ref="V1936">_xlfn.IFS(U1936&lt;=250,"0-R$250",U1936&lt;=500,"251-R$500",U1936&lt;=750,"501-R$750",U1936&lt;=1000,"751-R$1000",U1936&lt;=1250,"1001-R$1250",U1936&lt;=1500,"1251-R$1500")</f>
        <v>0-R$250</v>
      </c>
      <c r="W1936" s="13">
        <v>2</v>
      </c>
      <c r="X1936" s="13" t="str" cm="1">
        <f t="array" ref="X1936">_xlfn.IFS(W1936 = 0, "0", W1936&lt;=20, "até R$20",W1936&lt;=40, "21 - R$40",W1936&lt;=60, "41- R$60",W1936&lt;=80, "61 - R$80", W1936&lt;=100, "81 - R$100",W1936&lt;=120, "101 - R$120",W1936&lt;=140, "121 - R$140", W1936&lt;=160, "141- R$160", W1936&lt;=180, "161 - R$180", W1936&lt;=200, "181-R$194")</f>
        <v>até R$20</v>
      </c>
      <c r="Y1936" s="13">
        <v>8</v>
      </c>
      <c r="Z1936" s="13">
        <v>20</v>
      </c>
      <c r="AA1936" s="13">
        <v>0</v>
      </c>
      <c r="AB1936" s="13">
        <v>17</v>
      </c>
      <c r="AC1936" s="13">
        <v>2</v>
      </c>
      <c r="AD1936" s="13">
        <v>2</v>
      </c>
      <c r="AE1936" s="13">
        <v>1</v>
      </c>
      <c r="AF1936" s="13">
        <v>2</v>
      </c>
      <c r="AG1936" s="13">
        <v>7</v>
      </c>
      <c r="AH1936" s="13">
        <v>0</v>
      </c>
      <c r="AI1936" s="13">
        <v>0</v>
      </c>
      <c r="AJ1936" s="13">
        <v>0</v>
      </c>
      <c r="AK1936" s="13">
        <v>0</v>
      </c>
      <c r="AL1936" s="13">
        <v>0</v>
      </c>
      <c r="AM1936" s="13">
        <v>0</v>
      </c>
      <c r="AN1936" s="13">
        <v>0</v>
      </c>
      <c r="AO1936" s="14">
        <v>0</v>
      </c>
      <c r="AP1936" s="13">
        <v>3</v>
      </c>
      <c r="AQ1936" s="13">
        <v>11</v>
      </c>
      <c r="AR1936" s="15">
        <v>16</v>
      </c>
      <c r="AS1936" s="15">
        <v>33</v>
      </c>
    </row>
    <row r="1937" spans="1:45" x14ac:dyDescent="0.25">
      <c r="A1937">
        <v>242</v>
      </c>
      <c r="B1937" s="11">
        <f t="shared" si="30"/>
        <v>30899</v>
      </c>
      <c r="C1937" s="12">
        <v>308990</v>
      </c>
      <c r="D1937" s="13">
        <v>1</v>
      </c>
      <c r="E1937" s="13">
        <v>0</v>
      </c>
      <c r="F1937" s="13">
        <v>35</v>
      </c>
      <c r="G1937" s="13">
        <v>46</v>
      </c>
      <c r="H1937" s="13" t="str" cm="1">
        <f t="array" ref="H1937">_xlfn.IFS(G1937&lt;=20,"0-20",G1937&lt;=30,"20-30",G1937&lt;=40,"30-40",G1937&lt;=50,"50-60",G1937&lt;=60,"60-70",G1937&lt;=70,"70-80",G1937&lt;=80,"80-90")</f>
        <v>50-60</v>
      </c>
      <c r="I1937" s="13">
        <v>2783</v>
      </c>
      <c r="J1937" s="13" t="str" cm="1">
        <f t="array" ref="J1937">_xlfn.IFS(K1937=1,"Divorciado",L1937=1,"Casado",M1937=1,"Solteiro",N1937=1,"Juntos",O1937=1,"Viuvo")</f>
        <v>Solteiro</v>
      </c>
      <c r="K1937" s="13">
        <v>0</v>
      </c>
      <c r="L1937" s="13">
        <v>0</v>
      </c>
      <c r="M1937" s="13">
        <v>1</v>
      </c>
      <c r="N1937" s="13">
        <v>0</v>
      </c>
      <c r="O1937" s="13">
        <v>0</v>
      </c>
      <c r="P1937" s="13">
        <v>0</v>
      </c>
      <c r="Q1937" s="13">
        <v>0</v>
      </c>
      <c r="R1937" s="13">
        <v>0</v>
      </c>
      <c r="S1937" s="13">
        <v>0</v>
      </c>
      <c r="T1937" s="13">
        <v>1</v>
      </c>
      <c r="U1937" s="13">
        <v>24</v>
      </c>
      <c r="V1937" s="13" t="str" cm="1">
        <f t="array" ref="V1937">_xlfn.IFS(U1937&lt;=250,"0-R$250",U1937&lt;=500,"251-R$500",U1937&lt;=750,"501-R$750",U1937&lt;=1000,"751-R$1000",U1937&lt;=1250,"1001-R$1250",U1937&lt;=1500,"1251-R$1500")</f>
        <v>0-R$250</v>
      </c>
      <c r="W1937" s="13">
        <v>0</v>
      </c>
      <c r="X1937" s="13" t="str" cm="1">
        <f t="array" ref="X1937">_xlfn.IFS(W1937 = 0, "0", W1937&lt;=20, "até R$20",W1937&lt;=40, "21 - R$40",W1937&lt;=60, "41- R$60",W1937&lt;=80, "61 - R$80", W1937&lt;=100, "81 - R$100",W1937&lt;=120, "101 - R$120",W1937&lt;=140, "121 - R$140", W1937&lt;=160, "141- R$160", W1937&lt;=180, "161 - R$180", W1937&lt;=200, "181-R$194")</f>
        <v>0</v>
      </c>
      <c r="Y1937" s="13">
        <v>8</v>
      </c>
      <c r="Z1937" s="13">
        <v>0</v>
      </c>
      <c r="AA1937" s="13">
        <v>0</v>
      </c>
      <c r="AB1937" s="13">
        <v>1</v>
      </c>
      <c r="AC1937" s="13">
        <v>2</v>
      </c>
      <c r="AD1937" s="13">
        <v>1</v>
      </c>
      <c r="AE1937" s="13">
        <v>0</v>
      </c>
      <c r="AF1937" s="13">
        <v>3</v>
      </c>
      <c r="AG1937" s="13">
        <v>6</v>
      </c>
      <c r="AH1937" s="13">
        <v>0</v>
      </c>
      <c r="AI1937" s="13">
        <v>0</v>
      </c>
      <c r="AJ1937" s="13">
        <v>0</v>
      </c>
      <c r="AK1937" s="13">
        <v>0</v>
      </c>
      <c r="AL1937" s="13">
        <v>0</v>
      </c>
      <c r="AM1937" s="13">
        <v>0</v>
      </c>
      <c r="AN1937" s="13">
        <v>0</v>
      </c>
      <c r="AO1937" s="14">
        <v>0</v>
      </c>
      <c r="AP1937" s="13">
        <v>3</v>
      </c>
      <c r="AQ1937" s="13">
        <v>11</v>
      </c>
      <c r="AR1937" s="15">
        <v>31</v>
      </c>
      <c r="AS1937" s="15">
        <v>32</v>
      </c>
    </row>
    <row r="1938" spans="1:45" x14ac:dyDescent="0.25">
      <c r="A1938">
        <v>485</v>
      </c>
      <c r="B1938" s="11">
        <f t="shared" si="30"/>
        <v>48330</v>
      </c>
      <c r="C1938" s="16">
        <v>483300</v>
      </c>
      <c r="D1938" s="17">
        <v>0</v>
      </c>
      <c r="E1938" s="17">
        <v>1</v>
      </c>
      <c r="F1938" s="17">
        <v>2</v>
      </c>
      <c r="G1938" s="17">
        <v>59</v>
      </c>
      <c r="H1938" s="13" t="str" cm="1">
        <f t="array" ref="H1938">_xlfn.IFS(G1938&lt;=20,"0-20",G1938&lt;=30,"20-30",G1938&lt;=40,"30-40",G1938&lt;=50,"50-60",G1938&lt;=60,"60-70",G1938&lt;=70,"70-80",G1938&lt;=80,"80-90")</f>
        <v>60-70</v>
      </c>
      <c r="I1938" s="17">
        <v>2385</v>
      </c>
      <c r="J1938" s="13" t="str" cm="1">
        <f t="array" ref="J1938">_xlfn.IFS(K1938=1,"Divorciado",L1938=1,"Casado",M1938=1,"Solteiro",N1938=1,"Juntos",O1938=1,"Viuvo")</f>
        <v>Juntos</v>
      </c>
      <c r="K1938" s="17">
        <v>0</v>
      </c>
      <c r="L1938" s="17">
        <v>0</v>
      </c>
      <c r="M1938" s="17">
        <v>0</v>
      </c>
      <c r="N1938" s="17">
        <v>1</v>
      </c>
      <c r="O1938" s="17">
        <v>0</v>
      </c>
      <c r="P1938" s="17">
        <v>0</v>
      </c>
      <c r="Q1938" s="17">
        <v>0</v>
      </c>
      <c r="R1938" s="17">
        <v>0</v>
      </c>
      <c r="S1938" s="17">
        <v>1</v>
      </c>
      <c r="T1938" s="17">
        <v>0</v>
      </c>
      <c r="U1938" s="17">
        <v>28</v>
      </c>
      <c r="V1938" s="13" t="str" cm="1">
        <f t="array" ref="V1938">_xlfn.IFS(U1938&lt;=250,"0-R$250",U1938&lt;=500,"251-R$500",U1938&lt;=750,"501-R$750",U1938&lt;=1000,"751-R$1000",U1938&lt;=1250,"1001-R$1250",U1938&lt;=1500,"1251-R$1500")</f>
        <v>0-R$250</v>
      </c>
      <c r="W1938" s="17">
        <v>0</v>
      </c>
      <c r="X1938" s="13" t="str" cm="1">
        <f t="array" ref="X1938">_xlfn.IFS(W1938 = 0, "0", W1938&lt;=20, "até R$20",W1938&lt;=40, "21 - R$40",W1938&lt;=60, "41- R$60",W1938&lt;=80, "61 - R$80", W1938&lt;=100, "81 - R$100",W1938&lt;=120, "101 - R$120",W1938&lt;=140, "121 - R$140", W1938&lt;=160, "141- R$160", W1938&lt;=180, "161 - R$180", W1938&lt;=200, "181-R$194")</f>
        <v>0</v>
      </c>
      <c r="Y1938" s="17">
        <v>4</v>
      </c>
      <c r="Z1938" s="17">
        <v>0</v>
      </c>
      <c r="AA1938" s="17">
        <v>0</v>
      </c>
      <c r="AB1938" s="17">
        <v>0</v>
      </c>
      <c r="AC1938" s="17">
        <v>1</v>
      </c>
      <c r="AD1938" s="17">
        <v>1</v>
      </c>
      <c r="AE1938" s="17">
        <v>0</v>
      </c>
      <c r="AF1938" s="17">
        <v>3</v>
      </c>
      <c r="AG1938" s="17">
        <v>5</v>
      </c>
      <c r="AH1938" s="17">
        <v>0</v>
      </c>
      <c r="AI1938" s="17">
        <v>0</v>
      </c>
      <c r="AJ1938" s="17">
        <v>0</v>
      </c>
      <c r="AK1938" s="17">
        <v>0</v>
      </c>
      <c r="AL1938" s="17">
        <v>0</v>
      </c>
      <c r="AM1938" s="17">
        <v>0</v>
      </c>
      <c r="AN1938" s="17">
        <v>0</v>
      </c>
      <c r="AO1938" s="18">
        <v>0</v>
      </c>
      <c r="AP1938" s="17">
        <v>3</v>
      </c>
      <c r="AQ1938" s="17">
        <v>11</v>
      </c>
      <c r="AR1938" s="19">
        <v>32</v>
      </c>
      <c r="AS1938" s="19">
        <v>32</v>
      </c>
    </row>
    <row r="1939" spans="1:45" x14ac:dyDescent="0.25">
      <c r="A1939">
        <v>524</v>
      </c>
      <c r="B1939" s="11">
        <f t="shared" si="30"/>
        <v>25315</v>
      </c>
      <c r="C1939" s="12">
        <v>253150</v>
      </c>
      <c r="D1939" s="13">
        <v>1</v>
      </c>
      <c r="E1939" s="13">
        <v>0</v>
      </c>
      <c r="F1939" s="13">
        <v>46</v>
      </c>
      <c r="G1939" s="13">
        <v>43</v>
      </c>
      <c r="H1939" s="13" t="str" cm="1">
        <f t="array" ref="H1939">_xlfn.IFS(G1939&lt;=20,"0-20",G1939&lt;=30,"20-30",G1939&lt;=40,"30-40",G1939&lt;=50,"50-60",G1939&lt;=60,"60-70",G1939&lt;=70,"70-80",G1939&lt;=80,"80-90")</f>
        <v>50-60</v>
      </c>
      <c r="I1939" s="13">
        <v>2393</v>
      </c>
      <c r="J1939" s="13" t="str" cm="1">
        <f t="array" ref="J1939">_xlfn.IFS(K1939=1,"Divorciado",L1939=1,"Casado",M1939=1,"Solteiro",N1939=1,"Juntos",O1939=1,"Viuvo")</f>
        <v>Juntos</v>
      </c>
      <c r="K1939" s="13">
        <v>0</v>
      </c>
      <c r="L1939" s="13">
        <v>0</v>
      </c>
      <c r="M1939" s="13">
        <v>0</v>
      </c>
      <c r="N1939" s="13">
        <v>1</v>
      </c>
      <c r="O1939" s="13">
        <v>0</v>
      </c>
      <c r="P1939" s="13">
        <v>1</v>
      </c>
      <c r="Q1939" s="13">
        <v>0</v>
      </c>
      <c r="R1939" s="13">
        <v>0</v>
      </c>
      <c r="S1939" s="13">
        <v>0</v>
      </c>
      <c r="T1939" s="13">
        <v>0</v>
      </c>
      <c r="U1939" s="13">
        <v>1</v>
      </c>
      <c r="V1939" s="13" t="str" cm="1">
        <f t="array" ref="V1939">_xlfn.IFS(U1939&lt;=250,"0-R$250",U1939&lt;=500,"251-R$500",U1939&lt;=750,"501-R$750",U1939&lt;=1000,"751-R$1000",U1939&lt;=1250,"1001-R$1250",U1939&lt;=1500,"1251-R$1500")</f>
        <v>0-R$250</v>
      </c>
      <c r="W1939" s="13">
        <v>9</v>
      </c>
      <c r="X1939" s="13" t="str" cm="1">
        <f t="array" ref="X1939">_xlfn.IFS(W1939 = 0, "0", W1939&lt;=20, "até R$20",W1939&lt;=40, "21 - R$40",W1939&lt;=60, "41- R$60",W1939&lt;=80, "61 - R$80", W1939&lt;=100, "81 - R$100",W1939&lt;=120, "101 - R$120",W1939&lt;=140, "121 - R$140", W1939&lt;=160, "141- R$160", W1939&lt;=180, "161 - R$180", W1939&lt;=200, "181-R$194")</f>
        <v>até R$20</v>
      </c>
      <c r="Y1939" s="13">
        <v>8</v>
      </c>
      <c r="Z1939" s="13">
        <v>11</v>
      </c>
      <c r="AA1939" s="13">
        <v>3</v>
      </c>
      <c r="AB1939" s="13">
        <v>22</v>
      </c>
      <c r="AC1939" s="13">
        <v>3</v>
      </c>
      <c r="AD1939" s="13">
        <v>3</v>
      </c>
      <c r="AE1939" s="13">
        <v>0</v>
      </c>
      <c r="AF1939" s="13">
        <v>3</v>
      </c>
      <c r="AG1939" s="13">
        <v>8</v>
      </c>
      <c r="AH1939" s="13">
        <v>0</v>
      </c>
      <c r="AI1939" s="13">
        <v>0</v>
      </c>
      <c r="AJ1939" s="13">
        <v>0</v>
      </c>
      <c r="AK1939" s="13">
        <v>0</v>
      </c>
      <c r="AL1939" s="13">
        <v>0</v>
      </c>
      <c r="AM1939" s="13">
        <v>0</v>
      </c>
      <c r="AN1939" s="13">
        <v>0</v>
      </c>
      <c r="AO1939" s="14">
        <v>0</v>
      </c>
      <c r="AP1939" s="13">
        <v>3</v>
      </c>
      <c r="AQ1939" s="13">
        <v>11</v>
      </c>
      <c r="AR1939" s="15">
        <v>10</v>
      </c>
      <c r="AS1939" s="15">
        <v>32</v>
      </c>
    </row>
    <row r="1940" spans="1:45" x14ac:dyDescent="0.25">
      <c r="A1940">
        <v>600</v>
      </c>
      <c r="B1940" s="11">
        <f t="shared" si="30"/>
        <v>35791</v>
      </c>
      <c r="C1940" s="12">
        <v>357910</v>
      </c>
      <c r="D1940" s="13">
        <v>2</v>
      </c>
      <c r="E1940" s="13">
        <v>1</v>
      </c>
      <c r="F1940" s="13">
        <v>94</v>
      </c>
      <c r="G1940" s="13">
        <v>55</v>
      </c>
      <c r="H1940" s="13" t="str" cm="1">
        <f t="array" ref="H1940">_xlfn.IFS(G1940&lt;=20,"0-20",G1940&lt;=30,"20-30",G1940&lt;=40,"30-40",G1940&lt;=50,"50-60",G1940&lt;=60,"60-70",G1940&lt;=70,"70-80",G1940&lt;=80,"80-90")</f>
        <v>60-70</v>
      </c>
      <c r="I1940" s="13">
        <v>2578</v>
      </c>
      <c r="J1940" s="13" t="str" cm="1">
        <f t="array" ref="J1940">_xlfn.IFS(K1940=1,"Divorciado",L1940=1,"Casado",M1940=1,"Solteiro",N1940=1,"Juntos",O1940=1,"Viuvo")</f>
        <v>Solteiro</v>
      </c>
      <c r="K1940" s="13">
        <v>0</v>
      </c>
      <c r="L1940" s="13">
        <v>0</v>
      </c>
      <c r="M1940" s="13">
        <v>1</v>
      </c>
      <c r="N1940" s="13">
        <v>0</v>
      </c>
      <c r="O1940" s="13">
        <v>0</v>
      </c>
      <c r="P1940" s="13">
        <v>0</v>
      </c>
      <c r="Q1940" s="13">
        <v>0</v>
      </c>
      <c r="R1940" s="13">
        <v>0</v>
      </c>
      <c r="S1940" s="13">
        <v>1</v>
      </c>
      <c r="T1940" s="13">
        <v>0</v>
      </c>
      <c r="U1940" s="13">
        <v>27</v>
      </c>
      <c r="V1940" s="13" t="str" cm="1">
        <f t="array" ref="V1940">_xlfn.IFS(U1940&lt;=250,"0-R$250",U1940&lt;=500,"251-R$500",U1940&lt;=750,"501-R$750",U1940&lt;=1000,"751-R$1000",U1940&lt;=1250,"1001-R$1250",U1940&lt;=1500,"1251-R$1500")</f>
        <v>0-R$250</v>
      </c>
      <c r="W1940" s="13">
        <v>0</v>
      </c>
      <c r="X1940" s="13" t="str" cm="1">
        <f t="array" ref="X1940">_xlfn.IFS(W1940 = 0, "0", W1940&lt;=20, "até R$20",W1940&lt;=40, "21 - R$40",W1940&lt;=60, "41- R$60",W1940&lt;=80, "61 - R$80", W1940&lt;=100, "81 - R$100",W1940&lt;=120, "101 - R$120",W1940&lt;=140, "121 - R$140", W1940&lt;=160, "141- R$160", W1940&lt;=180, "161 - R$180", W1940&lt;=200, "181-R$194")</f>
        <v>0</v>
      </c>
      <c r="Y1940" s="13">
        <v>5</v>
      </c>
      <c r="Z1940" s="13">
        <v>0</v>
      </c>
      <c r="AA1940" s="13">
        <v>0</v>
      </c>
      <c r="AB1940" s="13">
        <v>3</v>
      </c>
      <c r="AC1940" s="13">
        <v>2</v>
      </c>
      <c r="AD1940" s="13">
        <v>1</v>
      </c>
      <c r="AE1940" s="13">
        <v>0</v>
      </c>
      <c r="AF1940" s="13">
        <v>3</v>
      </c>
      <c r="AG1940" s="13">
        <v>8</v>
      </c>
      <c r="AH1940" s="13">
        <v>0</v>
      </c>
      <c r="AI1940" s="13">
        <v>0</v>
      </c>
      <c r="AJ1940" s="13">
        <v>0</v>
      </c>
      <c r="AK1940" s="13">
        <v>0</v>
      </c>
      <c r="AL1940" s="13">
        <v>0</v>
      </c>
      <c r="AM1940" s="13">
        <v>0</v>
      </c>
      <c r="AN1940" s="13">
        <v>0</v>
      </c>
      <c r="AO1940" s="14">
        <v>0</v>
      </c>
      <c r="AP1940" s="13">
        <v>3</v>
      </c>
      <c r="AQ1940" s="13">
        <v>11</v>
      </c>
      <c r="AR1940" s="15">
        <v>29</v>
      </c>
      <c r="AS1940" s="15">
        <v>32</v>
      </c>
    </row>
    <row r="1941" spans="1:45" x14ac:dyDescent="0.25">
      <c r="A1941">
        <v>601</v>
      </c>
      <c r="B1941" s="11">
        <f t="shared" si="30"/>
        <v>54162</v>
      </c>
      <c r="C1941" s="16">
        <v>541620</v>
      </c>
      <c r="D1941" s="17">
        <v>1</v>
      </c>
      <c r="E1941" s="17">
        <v>1</v>
      </c>
      <c r="F1941" s="17">
        <v>31</v>
      </c>
      <c r="G1941" s="17">
        <v>42</v>
      </c>
      <c r="H1941" s="13" t="str" cm="1">
        <f t="array" ref="H1941">_xlfn.IFS(G1941&lt;=20,"0-20",G1941&lt;=30,"20-30",G1941&lt;=40,"30-40",G1941&lt;=50,"50-60",G1941&lt;=60,"60-70",G1941&lt;=70,"70-80",G1941&lt;=80,"80-90")</f>
        <v>50-60</v>
      </c>
      <c r="I1941" s="17">
        <v>2627</v>
      </c>
      <c r="J1941" s="13" t="str" cm="1">
        <f t="array" ref="J1941">_xlfn.IFS(K1941=1,"Divorciado",L1941=1,"Casado",M1941=1,"Solteiro",N1941=1,"Juntos",O1941=1,"Viuvo")</f>
        <v>Viuvo</v>
      </c>
      <c r="K1941" s="17">
        <v>0</v>
      </c>
      <c r="L1941" s="17">
        <v>0</v>
      </c>
      <c r="M1941" s="17">
        <v>0</v>
      </c>
      <c r="N1941" s="17">
        <v>0</v>
      </c>
      <c r="O1941" s="17">
        <v>1</v>
      </c>
      <c r="P1941" s="17">
        <v>0</v>
      </c>
      <c r="Q1941" s="17">
        <v>0</v>
      </c>
      <c r="R1941" s="17">
        <v>1</v>
      </c>
      <c r="S1941" s="17">
        <v>0</v>
      </c>
      <c r="T1941" s="17">
        <v>0</v>
      </c>
      <c r="U1941" s="17">
        <v>5</v>
      </c>
      <c r="V1941" s="13" t="str" cm="1">
        <f t="array" ref="V1941">_xlfn.IFS(U1941&lt;=250,"0-R$250",U1941&lt;=500,"251-R$500",U1941&lt;=750,"501-R$750",U1941&lt;=1000,"751-R$1000",U1941&lt;=1250,"1001-R$1250",U1941&lt;=1500,"1251-R$1500")</f>
        <v>0-R$250</v>
      </c>
      <c r="W1941" s="17">
        <v>6</v>
      </c>
      <c r="X1941" s="13" t="str" cm="1">
        <f t="array" ref="X1941">_xlfn.IFS(W1941 = 0, "0", W1941&lt;=20, "até R$20",W1941&lt;=40, "21 - R$40",W1941&lt;=60, "41- R$60",W1941&lt;=80, "61 - R$80", W1941&lt;=100, "81 - R$100",W1941&lt;=120, "101 - R$120",W1941&lt;=140, "121 - R$140", W1941&lt;=160, "141- R$160", W1941&lt;=180, "161 - R$180", W1941&lt;=200, "181-R$194")</f>
        <v>até R$20</v>
      </c>
      <c r="Y1941" s="17">
        <v>10</v>
      </c>
      <c r="Z1941" s="17">
        <v>6</v>
      </c>
      <c r="AA1941" s="17">
        <v>5</v>
      </c>
      <c r="AB1941" s="17">
        <v>10</v>
      </c>
      <c r="AC1941" s="17">
        <v>1</v>
      </c>
      <c r="AD1941" s="17">
        <v>1</v>
      </c>
      <c r="AE1941" s="17">
        <v>0</v>
      </c>
      <c r="AF1941" s="17">
        <v>3</v>
      </c>
      <c r="AG1941" s="17">
        <v>4</v>
      </c>
      <c r="AH1941" s="17">
        <v>0</v>
      </c>
      <c r="AI1941" s="17">
        <v>0</v>
      </c>
      <c r="AJ1941" s="17">
        <v>0</v>
      </c>
      <c r="AK1941" s="17">
        <v>0</v>
      </c>
      <c r="AL1941" s="17">
        <v>0</v>
      </c>
      <c r="AM1941" s="17">
        <v>0</v>
      </c>
      <c r="AN1941" s="17">
        <v>0</v>
      </c>
      <c r="AO1941" s="18">
        <v>0</v>
      </c>
      <c r="AP1941" s="17">
        <v>3</v>
      </c>
      <c r="AQ1941" s="17">
        <v>11</v>
      </c>
      <c r="AR1941" s="19">
        <v>22</v>
      </c>
      <c r="AS1941" s="19">
        <v>32</v>
      </c>
    </row>
    <row r="1942" spans="1:45" x14ac:dyDescent="0.25">
      <c r="A1942">
        <v>650</v>
      </c>
      <c r="B1942" s="11">
        <f t="shared" si="30"/>
        <v>29187</v>
      </c>
      <c r="C1942" s="12">
        <v>291870</v>
      </c>
      <c r="D1942" s="13">
        <v>1</v>
      </c>
      <c r="E1942" s="13">
        <v>0</v>
      </c>
      <c r="F1942" s="13">
        <v>43</v>
      </c>
      <c r="G1942" s="13">
        <v>52</v>
      </c>
      <c r="H1942" s="13" t="str" cm="1">
        <f t="array" ref="H1942">_xlfn.IFS(G1942&lt;=20,"0-20",G1942&lt;=30,"20-30",G1942&lt;=40,"30-40",G1942&lt;=50,"50-60",G1942&lt;=60,"60-70",G1942&lt;=70,"70-80",G1942&lt;=80,"80-90")</f>
        <v>60-70</v>
      </c>
      <c r="I1942" s="13">
        <v>2575</v>
      </c>
      <c r="J1942" s="13" t="str" cm="1">
        <f t="array" ref="J1942">_xlfn.IFS(K1942=1,"Divorciado",L1942=1,"Casado",M1942=1,"Solteiro",N1942=1,"Juntos",O1942=1,"Viuvo")</f>
        <v>Casado</v>
      </c>
      <c r="K1942" s="13">
        <v>0</v>
      </c>
      <c r="L1942" s="13">
        <v>1</v>
      </c>
      <c r="M1942" s="13">
        <v>0</v>
      </c>
      <c r="N1942" s="13">
        <v>0</v>
      </c>
      <c r="O1942" s="13">
        <v>0</v>
      </c>
      <c r="P1942" s="13">
        <v>0</v>
      </c>
      <c r="Q1942" s="13">
        <v>0</v>
      </c>
      <c r="R1942" s="13">
        <v>0</v>
      </c>
      <c r="S1942" s="13">
        <v>0</v>
      </c>
      <c r="T1942" s="13">
        <v>1</v>
      </c>
      <c r="U1942" s="13">
        <v>26</v>
      </c>
      <c r="V1942" s="13" t="str" cm="1">
        <f t="array" ref="V1942">_xlfn.IFS(U1942&lt;=250,"0-R$250",U1942&lt;=500,"251-R$500",U1942&lt;=750,"501-R$750",U1942&lt;=1000,"751-R$1000",U1942&lt;=1250,"1001-R$1250",U1942&lt;=1500,"1251-R$1500")</f>
        <v>0-R$250</v>
      </c>
      <c r="W1942" s="13">
        <v>0</v>
      </c>
      <c r="X1942" s="13" t="str" cm="1">
        <f t="array" ref="X1942">_xlfn.IFS(W1942 = 0, "0", W1942&lt;=20, "até R$20",W1942&lt;=40, "21 - R$40",W1942&lt;=60, "41- R$60",W1942&lt;=80, "61 - R$80", W1942&lt;=100, "81 - R$100",W1942&lt;=120, "101 - R$120",W1942&lt;=140, "121 - R$140", W1942&lt;=160, "141- R$160", W1942&lt;=180, "161 - R$180", W1942&lt;=200, "181-R$194")</f>
        <v>0</v>
      </c>
      <c r="Y1942" s="13">
        <v>6</v>
      </c>
      <c r="Z1942" s="13">
        <v>0</v>
      </c>
      <c r="AA1942" s="13">
        <v>0</v>
      </c>
      <c r="AB1942" s="13">
        <v>2</v>
      </c>
      <c r="AC1942" s="13">
        <v>1</v>
      </c>
      <c r="AD1942" s="13">
        <v>1</v>
      </c>
      <c r="AE1942" s="13">
        <v>0</v>
      </c>
      <c r="AF1942" s="13">
        <v>3</v>
      </c>
      <c r="AG1942" s="13">
        <v>8</v>
      </c>
      <c r="AH1942" s="13">
        <v>0</v>
      </c>
      <c r="AI1942" s="13">
        <v>0</v>
      </c>
      <c r="AJ1942" s="13">
        <v>0</v>
      </c>
      <c r="AK1942" s="13">
        <v>0</v>
      </c>
      <c r="AL1942" s="13">
        <v>0</v>
      </c>
      <c r="AM1942" s="13">
        <v>0</v>
      </c>
      <c r="AN1942" s="13">
        <v>0</v>
      </c>
      <c r="AO1942" s="14">
        <v>0</v>
      </c>
      <c r="AP1942" s="13">
        <v>3</v>
      </c>
      <c r="AQ1942" s="13">
        <v>11</v>
      </c>
      <c r="AR1942" s="15">
        <v>30</v>
      </c>
      <c r="AS1942" s="15">
        <v>32</v>
      </c>
    </row>
    <row r="1943" spans="1:45" x14ac:dyDescent="0.25">
      <c r="A1943">
        <v>814</v>
      </c>
      <c r="B1943" s="11">
        <f t="shared" si="30"/>
        <v>25130</v>
      </c>
      <c r="C1943" s="12">
        <v>251300</v>
      </c>
      <c r="D1943" s="13">
        <v>1</v>
      </c>
      <c r="E1943" s="13">
        <v>0</v>
      </c>
      <c r="F1943" s="13">
        <v>10</v>
      </c>
      <c r="G1943" s="13">
        <v>40</v>
      </c>
      <c r="H1943" s="13" t="str" cm="1">
        <f t="array" ref="H1943">_xlfn.IFS(G1943&lt;=20,"0-20",G1943&lt;=30,"20-30",G1943&lt;=40,"30-40",G1943&lt;=50,"50-60",G1943&lt;=60,"60-70",G1943&lt;=70,"70-80",G1943&lt;=80,"80-90")</f>
        <v>30-40</v>
      </c>
      <c r="I1943" s="13">
        <v>2429</v>
      </c>
      <c r="J1943" s="13" t="str" cm="1">
        <f t="array" ref="J1943">_xlfn.IFS(K1943=1,"Divorciado",L1943=1,"Casado",M1943=1,"Solteiro",N1943=1,"Juntos",O1943=1,"Viuvo")</f>
        <v>Juntos</v>
      </c>
      <c r="K1943" s="13">
        <v>0</v>
      </c>
      <c r="L1943" s="13">
        <v>0</v>
      </c>
      <c r="M1943" s="13">
        <v>0</v>
      </c>
      <c r="N1943" s="13">
        <v>1</v>
      </c>
      <c r="O1943" s="13">
        <v>0</v>
      </c>
      <c r="P1943" s="13">
        <v>1</v>
      </c>
      <c r="Q1943" s="13">
        <v>0</v>
      </c>
      <c r="R1943" s="13">
        <v>0</v>
      </c>
      <c r="S1943" s="13">
        <v>0</v>
      </c>
      <c r="T1943" s="13">
        <v>0</v>
      </c>
      <c r="U1943" s="13">
        <v>2</v>
      </c>
      <c r="V1943" s="13" t="str" cm="1">
        <f t="array" ref="V1943">_xlfn.IFS(U1943&lt;=250,"0-R$250",U1943&lt;=500,"251-R$500",U1943&lt;=750,"501-R$750",U1943&lt;=1000,"751-R$1000",U1943&lt;=1250,"1001-R$1250",U1943&lt;=1500,"1251-R$1500")</f>
        <v>0-R$250</v>
      </c>
      <c r="W1943" s="13">
        <v>5</v>
      </c>
      <c r="X1943" s="13" t="str" cm="1">
        <f t="array" ref="X1943">_xlfn.IFS(W1943 = 0, "0", W1943&lt;=20, "até R$20",W1943&lt;=40, "21 - R$40",W1943&lt;=60, "41- R$60",W1943&lt;=80, "61 - R$80", W1943&lt;=100, "81 - R$100",W1943&lt;=120, "101 - R$120",W1943&lt;=140, "121 - R$140", W1943&lt;=160, "141- R$160", W1943&lt;=180, "161 - R$180", W1943&lt;=200, "181-R$194")</f>
        <v>até R$20</v>
      </c>
      <c r="Y1943" s="13">
        <v>7</v>
      </c>
      <c r="Z1943" s="13">
        <v>0</v>
      </c>
      <c r="AA1943" s="13">
        <v>18</v>
      </c>
      <c r="AB1943" s="13">
        <v>18</v>
      </c>
      <c r="AC1943" s="13">
        <v>2</v>
      </c>
      <c r="AD1943" s="13">
        <v>2</v>
      </c>
      <c r="AE1943" s="13">
        <v>0</v>
      </c>
      <c r="AF1943" s="13">
        <v>3</v>
      </c>
      <c r="AG1943" s="13">
        <v>7</v>
      </c>
      <c r="AH1943" s="13">
        <v>0</v>
      </c>
      <c r="AI1943" s="13">
        <v>0</v>
      </c>
      <c r="AJ1943" s="13">
        <v>0</v>
      </c>
      <c r="AK1943" s="13">
        <v>0</v>
      </c>
      <c r="AL1943" s="13">
        <v>0</v>
      </c>
      <c r="AM1943" s="13">
        <v>0</v>
      </c>
      <c r="AN1943" s="13">
        <v>0</v>
      </c>
      <c r="AO1943" s="14">
        <v>0</v>
      </c>
      <c r="AP1943" s="13">
        <v>3</v>
      </c>
      <c r="AQ1943" s="13">
        <v>11</v>
      </c>
      <c r="AR1943" s="15">
        <v>14</v>
      </c>
      <c r="AS1943" s="15">
        <v>32</v>
      </c>
    </row>
    <row r="1944" spans="1:45" x14ac:dyDescent="0.25">
      <c r="A1944">
        <v>1280</v>
      </c>
      <c r="B1944" s="11">
        <f t="shared" si="30"/>
        <v>7500</v>
      </c>
      <c r="C1944" s="12">
        <v>75000</v>
      </c>
      <c r="D1944" s="13">
        <v>1</v>
      </c>
      <c r="E1944" s="13">
        <v>1</v>
      </c>
      <c r="F1944" s="13">
        <v>5</v>
      </c>
      <c r="G1944" s="13">
        <v>42</v>
      </c>
      <c r="H1944" s="13" t="str" cm="1">
        <f t="array" ref="H1944">_xlfn.IFS(G1944&lt;=20,"0-20",G1944&lt;=30,"20-30",G1944&lt;=40,"30-40",G1944&lt;=50,"50-60",G1944&lt;=60,"60-70",G1944&lt;=70,"70-80",G1944&lt;=80,"80-90")</f>
        <v>50-60</v>
      </c>
      <c r="I1944" s="13">
        <v>2708</v>
      </c>
      <c r="J1944" s="13" t="str" cm="1">
        <f t="array" ref="J1944">_xlfn.IFS(K1944=1,"Divorciado",L1944=1,"Casado",M1944=1,"Solteiro",N1944=1,"Juntos",O1944=1,"Viuvo")</f>
        <v>Solteiro</v>
      </c>
      <c r="K1944" s="13">
        <v>0</v>
      </c>
      <c r="L1944" s="13">
        <v>0</v>
      </c>
      <c r="M1944" s="13">
        <v>1</v>
      </c>
      <c r="N1944" s="13">
        <v>0</v>
      </c>
      <c r="O1944" s="13">
        <v>0</v>
      </c>
      <c r="P1944" s="13">
        <v>0</v>
      </c>
      <c r="Q1944" s="13">
        <v>0</v>
      </c>
      <c r="R1944" s="13">
        <v>1</v>
      </c>
      <c r="S1944" s="13">
        <v>0</v>
      </c>
      <c r="T1944" s="13">
        <v>0</v>
      </c>
      <c r="U1944" s="13">
        <v>6</v>
      </c>
      <c r="V1944" s="13" t="str" cm="1">
        <f t="array" ref="V1944">_xlfn.IFS(U1944&lt;=250,"0-R$250",U1944&lt;=500,"251-R$500",U1944&lt;=750,"501-R$750",U1944&lt;=1000,"751-R$1000",U1944&lt;=1250,"1001-R$1250",U1944&lt;=1500,"1251-R$1500")</f>
        <v>0-R$250</v>
      </c>
      <c r="W1944" s="13">
        <v>5</v>
      </c>
      <c r="X1944" s="13" t="str" cm="1">
        <f t="array" ref="X1944">_xlfn.IFS(W1944 = 0, "0", W1944&lt;=20, "até R$20",W1944&lt;=40, "21 - R$40",W1944&lt;=60, "41- R$60",W1944&lt;=80, "61 - R$80", W1944&lt;=100, "81 - R$100",W1944&lt;=120, "101 - R$120",W1944&lt;=140, "121 - R$140", W1944&lt;=160, "141- R$160", W1944&lt;=180, "161 - R$180", W1944&lt;=200, "181-R$194")</f>
        <v>até R$20</v>
      </c>
      <c r="Y1944" s="13">
        <v>4</v>
      </c>
      <c r="Z1944" s="13">
        <v>13</v>
      </c>
      <c r="AA1944" s="13">
        <v>4</v>
      </c>
      <c r="AB1944" s="13">
        <v>25</v>
      </c>
      <c r="AC1944" s="13">
        <v>4</v>
      </c>
      <c r="AD1944" s="13">
        <v>2</v>
      </c>
      <c r="AE1944" s="13">
        <v>1</v>
      </c>
      <c r="AF1944" s="13">
        <v>3</v>
      </c>
      <c r="AG1944" s="13">
        <v>6</v>
      </c>
      <c r="AH1944" s="13">
        <v>0</v>
      </c>
      <c r="AI1944" s="13">
        <v>0</v>
      </c>
      <c r="AJ1944" s="13">
        <v>0</v>
      </c>
      <c r="AK1944" s="13">
        <v>0</v>
      </c>
      <c r="AL1944" s="13">
        <v>0</v>
      </c>
      <c r="AM1944" s="13">
        <v>0</v>
      </c>
      <c r="AN1944" s="13">
        <v>0</v>
      </c>
      <c r="AO1944" s="14">
        <v>0</v>
      </c>
      <c r="AP1944" s="13">
        <v>3</v>
      </c>
      <c r="AQ1944" s="13">
        <v>11</v>
      </c>
      <c r="AR1944" s="15">
        <v>7</v>
      </c>
      <c r="AS1944" s="15">
        <v>32</v>
      </c>
    </row>
    <row r="1945" spans="1:45" x14ac:dyDescent="0.25">
      <c r="A1945">
        <v>1352</v>
      </c>
      <c r="B1945" s="11">
        <f t="shared" si="30"/>
        <v>35791</v>
      </c>
      <c r="C1945" s="12">
        <v>357910</v>
      </c>
      <c r="D1945" s="13">
        <v>2</v>
      </c>
      <c r="E1945" s="13">
        <v>1</v>
      </c>
      <c r="F1945" s="13">
        <v>94</v>
      </c>
      <c r="G1945" s="13">
        <v>55</v>
      </c>
      <c r="H1945" s="13" t="str" cm="1">
        <f t="array" ref="H1945">_xlfn.IFS(G1945&lt;=20,"0-20",G1945&lt;=30,"20-30",G1945&lt;=40,"30-40",G1945&lt;=50,"50-60",G1945&lt;=60,"60-70",G1945&lt;=70,"70-80",G1945&lt;=80,"80-90")</f>
        <v>60-70</v>
      </c>
      <c r="I1945" s="13">
        <v>2578</v>
      </c>
      <c r="J1945" s="13" t="str" cm="1">
        <f t="array" ref="J1945">_xlfn.IFS(K1945=1,"Divorciado",L1945=1,"Casado",M1945=1,"Solteiro",N1945=1,"Juntos",O1945=1,"Viuvo")</f>
        <v>Solteiro</v>
      </c>
      <c r="K1945" s="13">
        <v>0</v>
      </c>
      <c r="L1945" s="13">
        <v>0</v>
      </c>
      <c r="M1945" s="13">
        <v>1</v>
      </c>
      <c r="N1945" s="13">
        <v>0</v>
      </c>
      <c r="O1945" s="13">
        <v>0</v>
      </c>
      <c r="P1945" s="13">
        <v>0</v>
      </c>
      <c r="Q1945" s="13">
        <v>0</v>
      </c>
      <c r="R1945" s="13">
        <v>0</v>
      </c>
      <c r="S1945" s="13">
        <v>1</v>
      </c>
      <c r="T1945" s="13">
        <v>0</v>
      </c>
      <c r="U1945" s="13">
        <v>27</v>
      </c>
      <c r="V1945" s="13" t="str" cm="1">
        <f t="array" ref="V1945">_xlfn.IFS(U1945&lt;=250,"0-R$250",U1945&lt;=500,"251-R$500",U1945&lt;=750,"501-R$750",U1945&lt;=1000,"751-R$1000",U1945&lt;=1250,"1001-R$1250",U1945&lt;=1500,"1251-R$1500")</f>
        <v>0-R$250</v>
      </c>
      <c r="W1945" s="13">
        <v>0</v>
      </c>
      <c r="X1945" s="13" t="str" cm="1">
        <f t="array" ref="X1945">_xlfn.IFS(W1945 = 0, "0", W1945&lt;=20, "até R$20",W1945&lt;=40, "21 - R$40",W1945&lt;=60, "41- R$60",W1945&lt;=80, "61 - R$80", W1945&lt;=100, "81 - R$100",W1945&lt;=120, "101 - R$120",W1945&lt;=140, "121 - R$140", W1945&lt;=160, "141- R$160", W1945&lt;=180, "161 - R$180", W1945&lt;=200, "181-R$194")</f>
        <v>0</v>
      </c>
      <c r="Y1945" s="13">
        <v>5</v>
      </c>
      <c r="Z1945" s="13">
        <v>0</v>
      </c>
      <c r="AA1945" s="13">
        <v>0</v>
      </c>
      <c r="AB1945" s="13">
        <v>3</v>
      </c>
      <c r="AC1945" s="13">
        <v>2</v>
      </c>
      <c r="AD1945" s="13">
        <v>1</v>
      </c>
      <c r="AE1945" s="13">
        <v>0</v>
      </c>
      <c r="AF1945" s="13">
        <v>3</v>
      </c>
      <c r="AG1945" s="13">
        <v>8</v>
      </c>
      <c r="AH1945" s="13">
        <v>0</v>
      </c>
      <c r="AI1945" s="13">
        <v>0</v>
      </c>
      <c r="AJ1945" s="13">
        <v>0</v>
      </c>
      <c r="AK1945" s="13">
        <v>0</v>
      </c>
      <c r="AL1945" s="13">
        <v>0</v>
      </c>
      <c r="AM1945" s="13">
        <v>0</v>
      </c>
      <c r="AN1945" s="13">
        <v>0</v>
      </c>
      <c r="AO1945" s="14">
        <v>0</v>
      </c>
      <c r="AP1945" s="13">
        <v>3</v>
      </c>
      <c r="AQ1945" s="13">
        <v>11</v>
      </c>
      <c r="AR1945" s="15">
        <v>29</v>
      </c>
      <c r="AS1945" s="15">
        <v>32</v>
      </c>
    </row>
    <row r="1946" spans="1:45" x14ac:dyDescent="0.25">
      <c r="A1946">
        <v>1409</v>
      </c>
      <c r="B1946" s="11">
        <f t="shared" si="30"/>
        <v>34853</v>
      </c>
      <c r="C1946" s="16">
        <v>348530</v>
      </c>
      <c r="D1946" s="17">
        <v>1</v>
      </c>
      <c r="E1946" s="17">
        <v>1</v>
      </c>
      <c r="F1946" s="17">
        <v>75</v>
      </c>
      <c r="G1946" s="17">
        <v>47</v>
      </c>
      <c r="H1946" s="13" t="str" cm="1">
        <f t="array" ref="H1946">_xlfn.IFS(G1946&lt;=20,"0-20",G1946&lt;=30,"20-30",G1946&lt;=40,"30-40",G1946&lt;=50,"50-60",G1946&lt;=60,"60-70",G1946&lt;=70,"70-80",G1946&lt;=80,"80-90")</f>
        <v>50-60</v>
      </c>
      <c r="I1946" s="17">
        <v>2347</v>
      </c>
      <c r="J1946" s="13" t="str" cm="1">
        <f t="array" ref="J1946">_xlfn.IFS(K1946=1,"Divorciado",L1946=1,"Casado",M1946=1,"Solteiro",N1946=1,"Juntos",O1946=1,"Viuvo")</f>
        <v>Solteiro</v>
      </c>
      <c r="K1946" s="17">
        <v>0</v>
      </c>
      <c r="L1946" s="17">
        <v>0</v>
      </c>
      <c r="M1946" s="17">
        <v>1</v>
      </c>
      <c r="N1946" s="17">
        <v>0</v>
      </c>
      <c r="O1946" s="17">
        <v>0</v>
      </c>
      <c r="P1946" s="17">
        <v>0</v>
      </c>
      <c r="Q1946" s="17">
        <v>0</v>
      </c>
      <c r="R1946" s="17">
        <v>1</v>
      </c>
      <c r="S1946" s="17">
        <v>0</v>
      </c>
      <c r="T1946" s="17">
        <v>0</v>
      </c>
      <c r="U1946" s="17">
        <v>9</v>
      </c>
      <c r="V1946" s="13" t="str" cm="1">
        <f t="array" ref="V1946">_xlfn.IFS(U1946&lt;=250,"0-R$250",U1946&lt;=500,"251-R$500",U1946&lt;=750,"501-R$750",U1946&lt;=1000,"751-R$1000",U1946&lt;=1250,"1001-R$1250",U1946&lt;=1500,"1251-R$1500")</f>
        <v>0-R$250</v>
      </c>
      <c r="W1946" s="17">
        <v>3</v>
      </c>
      <c r="X1946" s="13" t="str" cm="1">
        <f t="array" ref="X1946">_xlfn.IFS(W1946 = 0, "0", W1946&lt;=20, "até R$20",W1946&lt;=40, "21 - R$40",W1946&lt;=60, "41- R$60",W1946&lt;=80, "61 - R$80", W1946&lt;=100, "81 - R$100",W1946&lt;=120, "101 - R$120",W1946&lt;=140, "121 - R$140", W1946&lt;=160, "141- R$160", W1946&lt;=180, "161 - R$180", W1946&lt;=200, "181-R$194")</f>
        <v>até R$20</v>
      </c>
      <c r="Y1946" s="17">
        <v>15</v>
      </c>
      <c r="Z1946" s="17">
        <v>2</v>
      </c>
      <c r="AA1946" s="17">
        <v>3</v>
      </c>
      <c r="AB1946" s="17">
        <v>2</v>
      </c>
      <c r="AC1946" s="17">
        <v>2</v>
      </c>
      <c r="AD1946" s="17">
        <v>2</v>
      </c>
      <c r="AE1946" s="17">
        <v>0</v>
      </c>
      <c r="AF1946" s="17">
        <v>3</v>
      </c>
      <c r="AG1946" s="17">
        <v>6</v>
      </c>
      <c r="AH1946" s="17">
        <v>0</v>
      </c>
      <c r="AI1946" s="17">
        <v>0</v>
      </c>
      <c r="AJ1946" s="17">
        <v>0</v>
      </c>
      <c r="AK1946" s="17">
        <v>0</v>
      </c>
      <c r="AL1946" s="17">
        <v>0</v>
      </c>
      <c r="AM1946" s="17">
        <v>0</v>
      </c>
      <c r="AN1946" s="17">
        <v>0</v>
      </c>
      <c r="AO1946" s="18">
        <v>0</v>
      </c>
      <c r="AP1946" s="17">
        <v>3</v>
      </c>
      <c r="AQ1946" s="17">
        <v>11</v>
      </c>
      <c r="AR1946" s="19">
        <v>30</v>
      </c>
      <c r="AS1946" s="19">
        <v>32</v>
      </c>
    </row>
    <row r="1947" spans="1:45" x14ac:dyDescent="0.25">
      <c r="A1947">
        <v>1411</v>
      </c>
      <c r="B1947" s="11">
        <f t="shared" si="30"/>
        <v>31086</v>
      </c>
      <c r="C1947" s="16">
        <v>310860</v>
      </c>
      <c r="D1947" s="17">
        <v>1</v>
      </c>
      <c r="E1947" s="17">
        <v>1</v>
      </c>
      <c r="F1947" s="17">
        <v>79</v>
      </c>
      <c r="G1947" s="17">
        <v>41</v>
      </c>
      <c r="H1947" s="13" t="str" cm="1">
        <f t="array" ref="H1947">_xlfn.IFS(G1947&lt;=20,"0-20",G1947&lt;=30,"20-30",G1947&lt;=40,"30-40",G1947&lt;=50,"50-60",G1947&lt;=60,"60-70",G1947&lt;=70,"70-80",G1947&lt;=80,"80-90")</f>
        <v>50-60</v>
      </c>
      <c r="I1947" s="17">
        <v>2580</v>
      </c>
      <c r="J1947" s="13" t="str" cm="1">
        <f t="array" ref="J1947">_xlfn.IFS(K1947=1,"Divorciado",L1947=1,"Casado",M1947=1,"Solteiro",N1947=1,"Juntos",O1947=1,"Viuvo")</f>
        <v>Casado</v>
      </c>
      <c r="K1947" s="17">
        <v>0</v>
      </c>
      <c r="L1947" s="17">
        <v>1</v>
      </c>
      <c r="M1947" s="17">
        <v>0</v>
      </c>
      <c r="N1947" s="17">
        <v>0</v>
      </c>
      <c r="O1947" s="17">
        <v>0</v>
      </c>
      <c r="P1947" s="17">
        <v>1</v>
      </c>
      <c r="Q1947" s="17">
        <v>0</v>
      </c>
      <c r="R1947" s="17">
        <v>0</v>
      </c>
      <c r="S1947" s="17">
        <v>0</v>
      </c>
      <c r="T1947" s="17">
        <v>0</v>
      </c>
      <c r="U1947" s="17">
        <v>16</v>
      </c>
      <c r="V1947" s="13" t="str" cm="1">
        <f t="array" ref="V1947">_xlfn.IFS(U1947&lt;=250,"0-R$250",U1947&lt;=500,"251-R$500",U1947&lt;=750,"501-R$750",U1947&lt;=1000,"751-R$1000",U1947&lt;=1250,"1001-R$1250",U1947&lt;=1500,"1251-R$1500")</f>
        <v>0-R$250</v>
      </c>
      <c r="W1947" s="17">
        <v>2</v>
      </c>
      <c r="X1947" s="13" t="str" cm="1">
        <f t="array" ref="X1947">_xlfn.IFS(W1947 = 0, "0", W1947&lt;=20, "até R$20",W1947&lt;=40, "21 - R$40",W1947&lt;=60, "41- R$60",W1947&lt;=80, "61 - R$80", W1947&lt;=100, "81 - R$100",W1947&lt;=120, "101 - R$120",W1947&lt;=140, "121 - R$140", W1947&lt;=160, "141- R$160", W1947&lt;=180, "161 - R$180", W1947&lt;=200, "181-R$194")</f>
        <v>até R$20</v>
      </c>
      <c r="Y1947" s="17">
        <v>11</v>
      </c>
      <c r="Z1947" s="17">
        <v>3</v>
      </c>
      <c r="AA1947" s="17">
        <v>0</v>
      </c>
      <c r="AB1947" s="17">
        <v>16</v>
      </c>
      <c r="AC1947" s="17">
        <v>2</v>
      </c>
      <c r="AD1947" s="17">
        <v>1</v>
      </c>
      <c r="AE1947" s="17">
        <v>1</v>
      </c>
      <c r="AF1947" s="17">
        <v>2</v>
      </c>
      <c r="AG1947" s="17">
        <v>8</v>
      </c>
      <c r="AH1947" s="17">
        <v>0</v>
      </c>
      <c r="AI1947" s="17">
        <v>1</v>
      </c>
      <c r="AJ1947" s="17">
        <v>0</v>
      </c>
      <c r="AK1947" s="17">
        <v>0</v>
      </c>
      <c r="AL1947" s="17">
        <v>0</v>
      </c>
      <c r="AM1947" s="17">
        <v>0</v>
      </c>
      <c r="AN1947" s="17">
        <v>0</v>
      </c>
      <c r="AO1947" s="18">
        <v>1</v>
      </c>
      <c r="AP1947" s="17">
        <v>3</v>
      </c>
      <c r="AQ1947" s="17">
        <v>11</v>
      </c>
      <c r="AR1947" s="19">
        <v>16</v>
      </c>
      <c r="AS1947" s="19">
        <v>32</v>
      </c>
    </row>
    <row r="1948" spans="1:45" x14ac:dyDescent="0.25">
      <c r="A1948">
        <v>1755</v>
      </c>
      <c r="B1948" s="11">
        <f t="shared" si="30"/>
        <v>20194</v>
      </c>
      <c r="C1948" s="16">
        <v>201940</v>
      </c>
      <c r="D1948" s="17">
        <v>1</v>
      </c>
      <c r="E1948" s="17">
        <v>0</v>
      </c>
      <c r="F1948" s="17">
        <v>64</v>
      </c>
      <c r="G1948" s="17">
        <v>41</v>
      </c>
      <c r="H1948" s="13" t="str" cm="1">
        <f t="array" ref="H1948">_xlfn.IFS(G1948&lt;=20,"0-20",G1948&lt;=30,"20-30",G1948&lt;=40,"30-40",G1948&lt;=50,"50-60",G1948&lt;=60,"60-70",G1948&lt;=70,"70-80",G1948&lt;=80,"80-90")</f>
        <v>50-60</v>
      </c>
      <c r="I1948" s="17">
        <v>2718</v>
      </c>
      <c r="J1948" s="13" t="str" cm="1">
        <f t="array" ref="J1948">_xlfn.IFS(K1948=1,"Divorciado",L1948=1,"Casado",M1948=1,"Solteiro",N1948=1,"Juntos",O1948=1,"Viuvo")</f>
        <v>Solteiro</v>
      </c>
      <c r="K1948" s="17">
        <v>0</v>
      </c>
      <c r="L1948" s="17">
        <v>0</v>
      </c>
      <c r="M1948" s="17">
        <v>1</v>
      </c>
      <c r="N1948" s="17">
        <v>0</v>
      </c>
      <c r="O1948" s="17">
        <v>0</v>
      </c>
      <c r="P1948" s="17">
        <v>0</v>
      </c>
      <c r="Q1948" s="17">
        <v>1</v>
      </c>
      <c r="R1948" s="17">
        <v>0</v>
      </c>
      <c r="S1948" s="17">
        <v>0</v>
      </c>
      <c r="T1948" s="17">
        <v>0</v>
      </c>
      <c r="U1948" s="17">
        <v>0</v>
      </c>
      <c r="V1948" s="13" t="str" cm="1">
        <f t="array" ref="V1948">_xlfn.IFS(U1948&lt;=250,"0-R$250",U1948&lt;=500,"251-R$500",U1948&lt;=750,"501-R$750",U1948&lt;=1000,"751-R$1000",U1948&lt;=1250,"1001-R$1250",U1948&lt;=1500,"1251-R$1500")</f>
        <v>0-R$250</v>
      </c>
      <c r="W1948" s="17">
        <v>4</v>
      </c>
      <c r="X1948" s="13" t="str" cm="1">
        <f t="array" ref="X1948">_xlfn.IFS(W1948 = 0, "0", W1948&lt;=20, "até R$20",W1948&lt;=40, "21 - R$40",W1948&lt;=60, "41- R$60",W1948&lt;=80, "61 - R$80", W1948&lt;=100, "81 - R$100",W1948&lt;=120, "101 - R$120",W1948&lt;=140, "121 - R$140", W1948&lt;=160, "141- R$160", W1948&lt;=180, "161 - R$180", W1948&lt;=200, "181-R$194")</f>
        <v>até R$20</v>
      </c>
      <c r="Y1948" s="17">
        <v>7</v>
      </c>
      <c r="Z1948" s="17">
        <v>11</v>
      </c>
      <c r="AA1948" s="17">
        <v>10</v>
      </c>
      <c r="AB1948" s="17">
        <v>15</v>
      </c>
      <c r="AC1948" s="17">
        <v>2</v>
      </c>
      <c r="AD1948" s="17">
        <v>2</v>
      </c>
      <c r="AE1948" s="17">
        <v>0</v>
      </c>
      <c r="AF1948" s="17">
        <v>3</v>
      </c>
      <c r="AG1948" s="17">
        <v>6</v>
      </c>
      <c r="AH1948" s="17">
        <v>0</v>
      </c>
      <c r="AI1948" s="17">
        <v>0</v>
      </c>
      <c r="AJ1948" s="17">
        <v>0</v>
      </c>
      <c r="AK1948" s="17">
        <v>0</v>
      </c>
      <c r="AL1948" s="17">
        <v>0</v>
      </c>
      <c r="AM1948" s="17">
        <v>0</v>
      </c>
      <c r="AN1948" s="17">
        <v>0</v>
      </c>
      <c r="AO1948" s="18">
        <v>0</v>
      </c>
      <c r="AP1948" s="17">
        <v>3</v>
      </c>
      <c r="AQ1948" s="17">
        <v>11</v>
      </c>
      <c r="AR1948" s="19">
        <v>17</v>
      </c>
      <c r="AS1948" s="19">
        <v>32</v>
      </c>
    </row>
    <row r="1949" spans="1:45" x14ac:dyDescent="0.25">
      <c r="A1949">
        <v>1817</v>
      </c>
      <c r="B1949" s="11">
        <f t="shared" si="30"/>
        <v>27071</v>
      </c>
      <c r="C1949" s="16">
        <v>270710</v>
      </c>
      <c r="D1949" s="17">
        <v>1</v>
      </c>
      <c r="E1949" s="17">
        <v>0</v>
      </c>
      <c r="F1949" s="17">
        <v>90</v>
      </c>
      <c r="G1949" s="17">
        <v>52</v>
      </c>
      <c r="H1949" s="13" t="str" cm="1">
        <f t="array" ref="H1949">_xlfn.IFS(G1949&lt;=20,"0-20",G1949&lt;=30,"20-30",G1949&lt;=40,"30-40",G1949&lt;=50,"50-60",G1949&lt;=60,"60-70",G1949&lt;=70,"70-80",G1949&lt;=80,"80-90")</f>
        <v>60-70</v>
      </c>
      <c r="I1949" s="17">
        <v>2226</v>
      </c>
      <c r="J1949" s="13" t="str" cm="1">
        <f t="array" ref="J1949">_xlfn.IFS(K1949=1,"Divorciado",L1949=1,"Casado",M1949=1,"Solteiro",N1949=1,"Juntos",O1949=1,"Viuvo")</f>
        <v>Divorciado</v>
      </c>
      <c r="K1949" s="17">
        <v>1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1</v>
      </c>
      <c r="T1949" s="17">
        <v>0</v>
      </c>
      <c r="U1949" s="17">
        <v>8</v>
      </c>
      <c r="V1949" s="13" t="str" cm="1">
        <f t="array" ref="V1949">_xlfn.IFS(U1949&lt;=250,"0-R$250",U1949&lt;=500,"251-R$500",U1949&lt;=750,"501-R$750",U1949&lt;=1000,"751-R$1000",U1949&lt;=1250,"1001-R$1250",U1949&lt;=1500,"1251-R$1500")</f>
        <v>0-R$250</v>
      </c>
      <c r="W1949" s="17">
        <v>3</v>
      </c>
      <c r="X1949" s="13" t="str" cm="1">
        <f t="array" ref="X1949">_xlfn.IFS(W1949 = 0, "0", W1949&lt;=20, "até R$20",W1949&lt;=40, "21 - R$40",W1949&lt;=60, "41- R$60",W1949&lt;=80, "61 - R$80", W1949&lt;=100, "81 - R$100",W1949&lt;=120, "101 - R$120",W1949&lt;=140, "121 - R$140", W1949&lt;=160, "141- R$160", W1949&lt;=180, "161 - R$180", W1949&lt;=200, "181-R$194")</f>
        <v>até R$20</v>
      </c>
      <c r="Y1949" s="17">
        <v>19</v>
      </c>
      <c r="Z1949" s="17">
        <v>0</v>
      </c>
      <c r="AA1949" s="17">
        <v>2</v>
      </c>
      <c r="AB1949" s="17">
        <v>3</v>
      </c>
      <c r="AC1949" s="17">
        <v>2</v>
      </c>
      <c r="AD1949" s="17">
        <v>2</v>
      </c>
      <c r="AE1949" s="17">
        <v>0</v>
      </c>
      <c r="AF1949" s="17">
        <v>3</v>
      </c>
      <c r="AG1949" s="17">
        <v>6</v>
      </c>
      <c r="AH1949" s="17">
        <v>0</v>
      </c>
      <c r="AI1949" s="17">
        <v>0</v>
      </c>
      <c r="AJ1949" s="17">
        <v>0</v>
      </c>
      <c r="AK1949" s="17">
        <v>0</v>
      </c>
      <c r="AL1949" s="17">
        <v>0</v>
      </c>
      <c r="AM1949" s="17">
        <v>0</v>
      </c>
      <c r="AN1949" s="17">
        <v>0</v>
      </c>
      <c r="AO1949" s="18">
        <v>0</v>
      </c>
      <c r="AP1949" s="17">
        <v>3</v>
      </c>
      <c r="AQ1949" s="17">
        <v>11</v>
      </c>
      <c r="AR1949" s="19">
        <v>29</v>
      </c>
      <c r="AS1949" s="19">
        <v>32</v>
      </c>
    </row>
    <row r="1950" spans="1:45" x14ac:dyDescent="0.25">
      <c r="A1950">
        <v>1861</v>
      </c>
      <c r="B1950" s="11">
        <f t="shared" si="30"/>
        <v>44155</v>
      </c>
      <c r="C1950" s="16">
        <v>441550</v>
      </c>
      <c r="D1950" s="17">
        <v>1</v>
      </c>
      <c r="E1950" s="17">
        <v>1</v>
      </c>
      <c r="F1950" s="17">
        <v>24</v>
      </c>
      <c r="G1950" s="17">
        <v>63</v>
      </c>
      <c r="H1950" s="13" t="str" cm="1">
        <f t="array" ref="H1950">_xlfn.IFS(G1950&lt;=20,"0-20",G1950&lt;=30,"20-30",G1950&lt;=40,"30-40",G1950&lt;=50,"50-60",G1950&lt;=60,"60-70",G1950&lt;=70,"70-80",G1950&lt;=80,"80-90")</f>
        <v>70-80</v>
      </c>
      <c r="I1950" s="17">
        <v>2320</v>
      </c>
      <c r="J1950" s="13" t="str" cm="1">
        <f t="array" ref="J1950">_xlfn.IFS(K1950=1,"Divorciado",L1950=1,"Casado",M1950=1,"Solteiro",N1950=1,"Juntos",O1950=1,"Viuvo")</f>
        <v>Casado</v>
      </c>
      <c r="K1950" s="17">
        <v>0</v>
      </c>
      <c r="L1950" s="17">
        <v>1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1</v>
      </c>
      <c r="U1950" s="17">
        <v>22</v>
      </c>
      <c r="V1950" s="13" t="str" cm="1">
        <f t="array" ref="V1950">_xlfn.IFS(U1950&lt;=250,"0-R$250",U1950&lt;=500,"251-R$500",U1950&lt;=750,"501-R$750",U1950&lt;=1000,"751-R$1000",U1950&lt;=1250,"1001-R$1250",U1950&lt;=1500,"1251-R$1500")</f>
        <v>0-R$250</v>
      </c>
      <c r="W1950" s="17">
        <v>1</v>
      </c>
      <c r="X1950" s="13" t="str" cm="1">
        <f t="array" ref="X1950">_xlfn.IFS(W1950 = 0, "0", W1950&lt;=20, "até R$20",W1950&lt;=40, "21 - R$40",W1950&lt;=60, "41- R$60",W1950&lt;=80, "61 - R$80", W1950&lt;=100, "81 - R$100",W1950&lt;=120, "101 - R$120",W1950&lt;=140, "121 - R$140", W1950&lt;=160, "141- R$160", W1950&lt;=180, "161 - R$180", W1950&lt;=200, "181-R$194")</f>
        <v>até R$20</v>
      </c>
      <c r="Y1950" s="17">
        <v>9</v>
      </c>
      <c r="Z1950" s="17">
        <v>0</v>
      </c>
      <c r="AA1950" s="17">
        <v>0</v>
      </c>
      <c r="AB1950" s="17">
        <v>14</v>
      </c>
      <c r="AC1950" s="17">
        <v>1</v>
      </c>
      <c r="AD1950" s="17">
        <v>1</v>
      </c>
      <c r="AE1950" s="17">
        <v>1</v>
      </c>
      <c r="AF1950" s="17">
        <v>2</v>
      </c>
      <c r="AG1950" s="17">
        <v>4</v>
      </c>
      <c r="AH1950" s="17">
        <v>0</v>
      </c>
      <c r="AI1950" s="17">
        <v>0</v>
      </c>
      <c r="AJ1950" s="17">
        <v>0</v>
      </c>
      <c r="AK1950" s="17">
        <v>0</v>
      </c>
      <c r="AL1950" s="17">
        <v>0</v>
      </c>
      <c r="AM1950" s="17">
        <v>0</v>
      </c>
      <c r="AN1950" s="17">
        <v>0</v>
      </c>
      <c r="AO1950" s="18">
        <v>0</v>
      </c>
      <c r="AP1950" s="17">
        <v>3</v>
      </c>
      <c r="AQ1950" s="17">
        <v>11</v>
      </c>
      <c r="AR1950" s="19">
        <v>18</v>
      </c>
      <c r="AS1950" s="19">
        <v>32</v>
      </c>
    </row>
    <row r="1951" spans="1:45" x14ac:dyDescent="0.25">
      <c r="A1951">
        <v>1884</v>
      </c>
      <c r="B1951" s="11">
        <f t="shared" si="30"/>
        <v>31535</v>
      </c>
      <c r="C1951" s="12">
        <v>315350</v>
      </c>
      <c r="D1951" s="13">
        <v>1</v>
      </c>
      <c r="E1951" s="13">
        <v>0</v>
      </c>
      <c r="F1951" s="13">
        <v>95</v>
      </c>
      <c r="G1951" s="13">
        <v>40</v>
      </c>
      <c r="H1951" s="13" t="str" cm="1">
        <f t="array" ref="H1951">_xlfn.IFS(G1951&lt;=20,"0-20",G1951&lt;=30,"20-30",G1951&lt;=40,"30-40",G1951&lt;=50,"50-60",G1951&lt;=60,"60-70",G1951&lt;=70,"70-80",G1951&lt;=80,"80-90")</f>
        <v>30-40</v>
      </c>
      <c r="I1951" s="13">
        <v>2435</v>
      </c>
      <c r="J1951" s="13" t="str" cm="1">
        <f t="array" ref="J1951">_xlfn.IFS(K1951=1,"Divorciado",L1951=1,"Casado",M1951=1,"Solteiro",N1951=1,"Juntos",O1951=1,"Viuvo")</f>
        <v>Casado</v>
      </c>
      <c r="K1951" s="13">
        <v>0</v>
      </c>
      <c r="L1951" s="13">
        <v>1</v>
      </c>
      <c r="M1951" s="13">
        <v>0</v>
      </c>
      <c r="N1951" s="13">
        <v>0</v>
      </c>
      <c r="O1951" s="13">
        <v>0</v>
      </c>
      <c r="P1951" s="13">
        <v>0</v>
      </c>
      <c r="Q1951" s="13">
        <v>0</v>
      </c>
      <c r="R1951" s="13">
        <v>0</v>
      </c>
      <c r="S1951" s="13">
        <v>1</v>
      </c>
      <c r="T1951" s="13">
        <v>0</v>
      </c>
      <c r="U1951" s="13">
        <v>15</v>
      </c>
      <c r="V1951" s="13" t="str" cm="1">
        <f t="array" ref="V1951">_xlfn.IFS(U1951&lt;=250,"0-R$250",U1951&lt;=500,"251-R$500",U1951&lt;=750,"501-R$750",U1951&lt;=1000,"751-R$1000",U1951&lt;=1250,"1001-R$1250",U1951&lt;=1500,"1251-R$1500")</f>
        <v>0-R$250</v>
      </c>
      <c r="W1951" s="13">
        <v>4</v>
      </c>
      <c r="X1951" s="13" t="str" cm="1">
        <f t="array" ref="X1951">_xlfn.IFS(W1951 = 0, "0", W1951&lt;=20, "até R$20",W1951&lt;=40, "21 - R$40",W1951&lt;=60, "41- R$60",W1951&lt;=80, "61 - R$80", W1951&lt;=100, "81 - R$100",W1951&lt;=120, "101 - R$120",W1951&lt;=140, "121 - R$140", W1951&lt;=160, "141- R$160", W1951&lt;=180, "161 - R$180", W1951&lt;=200, "181-R$194")</f>
        <v>até R$20</v>
      </c>
      <c r="Y1951" s="13">
        <v>13</v>
      </c>
      <c r="Z1951" s="13">
        <v>0</v>
      </c>
      <c r="AA1951" s="13">
        <v>0</v>
      </c>
      <c r="AB1951" s="13">
        <v>19</v>
      </c>
      <c r="AC1951" s="13">
        <v>1</v>
      </c>
      <c r="AD1951" s="13">
        <v>1</v>
      </c>
      <c r="AE1951" s="13">
        <v>1</v>
      </c>
      <c r="AF1951" s="13">
        <v>2</v>
      </c>
      <c r="AG1951" s="13">
        <v>7</v>
      </c>
      <c r="AH1951" s="13">
        <v>0</v>
      </c>
      <c r="AI1951" s="13">
        <v>1</v>
      </c>
      <c r="AJ1951" s="13">
        <v>0</v>
      </c>
      <c r="AK1951" s="13">
        <v>0</v>
      </c>
      <c r="AL1951" s="13">
        <v>0</v>
      </c>
      <c r="AM1951" s="13">
        <v>0</v>
      </c>
      <c r="AN1951" s="13">
        <v>0</v>
      </c>
      <c r="AO1951" s="14">
        <v>1</v>
      </c>
      <c r="AP1951" s="13">
        <v>3</v>
      </c>
      <c r="AQ1951" s="13">
        <v>11</v>
      </c>
      <c r="AR1951" s="15">
        <v>13</v>
      </c>
      <c r="AS1951" s="15">
        <v>32</v>
      </c>
    </row>
    <row r="1952" spans="1:45" x14ac:dyDescent="0.25">
      <c r="A1952">
        <v>1946</v>
      </c>
      <c r="B1952" s="11">
        <f t="shared" si="30"/>
        <v>39062</v>
      </c>
      <c r="C1952" s="12">
        <v>390620</v>
      </c>
      <c r="D1952" s="13">
        <v>1</v>
      </c>
      <c r="E1952" s="13">
        <v>0</v>
      </c>
      <c r="F1952" s="13">
        <v>28</v>
      </c>
      <c r="G1952" s="13">
        <v>37</v>
      </c>
      <c r="H1952" s="13" t="str" cm="1">
        <f t="array" ref="H1952">_xlfn.IFS(G1952&lt;=20,"0-20",G1952&lt;=30,"20-30",G1952&lt;=40,"30-40",G1952&lt;=50,"50-60",G1952&lt;=60,"60-70",G1952&lt;=70,"70-80",G1952&lt;=80,"80-90")</f>
        <v>30-40</v>
      </c>
      <c r="I1952" s="13">
        <v>2255</v>
      </c>
      <c r="J1952" s="13" t="str" cm="1">
        <f t="array" ref="J1952">_xlfn.IFS(K1952=1,"Divorciado",L1952=1,"Casado",M1952=1,"Solteiro",N1952=1,"Juntos",O1952=1,"Viuvo")</f>
        <v>Solteiro</v>
      </c>
      <c r="K1952" s="13">
        <v>0</v>
      </c>
      <c r="L1952" s="13">
        <v>0</v>
      </c>
      <c r="M1952" s="13">
        <v>1</v>
      </c>
      <c r="N1952" s="13">
        <v>0</v>
      </c>
      <c r="O1952" s="13">
        <v>0</v>
      </c>
      <c r="P1952" s="13">
        <v>0</v>
      </c>
      <c r="Q1952" s="13">
        <v>0</v>
      </c>
      <c r="R1952" s="13">
        <v>1</v>
      </c>
      <c r="S1952" s="13">
        <v>0</v>
      </c>
      <c r="T1952" s="13">
        <v>0</v>
      </c>
      <c r="U1952" s="13">
        <v>23</v>
      </c>
      <c r="V1952" s="13" t="str" cm="1">
        <f t="array" ref="V1952">_xlfn.IFS(U1952&lt;=250,"0-R$250",U1952&lt;=500,"251-R$500",U1952&lt;=750,"501-R$750",U1952&lt;=1000,"751-R$1000",U1952&lt;=1250,"1001-R$1250",U1952&lt;=1500,"1251-R$1500")</f>
        <v>0-R$250</v>
      </c>
      <c r="W1952" s="13">
        <v>0</v>
      </c>
      <c r="X1952" s="13" t="str" cm="1">
        <f t="array" ref="X1952">_xlfn.IFS(W1952 = 0, "0", W1952&lt;=20, "até R$20",W1952&lt;=40, "21 - R$40",W1952&lt;=60, "41- R$60",W1952&lt;=80, "61 - R$80", W1952&lt;=100, "81 - R$100",W1952&lt;=120, "101 - R$120",W1952&lt;=140, "121 - R$140", W1952&lt;=160, "141- R$160", W1952&lt;=180, "161 - R$180", W1952&lt;=200, "181-R$194")</f>
        <v>0</v>
      </c>
      <c r="Y1952" s="13">
        <v>9</v>
      </c>
      <c r="Z1952" s="13">
        <v>0</v>
      </c>
      <c r="AA1952" s="13">
        <v>0</v>
      </c>
      <c r="AB1952" s="13">
        <v>12</v>
      </c>
      <c r="AC1952" s="13">
        <v>1</v>
      </c>
      <c r="AD1952" s="13">
        <v>1</v>
      </c>
      <c r="AE1952" s="13">
        <v>0</v>
      </c>
      <c r="AF1952" s="13">
        <v>3</v>
      </c>
      <c r="AG1952" s="13">
        <v>4</v>
      </c>
      <c r="AH1952" s="13">
        <v>0</v>
      </c>
      <c r="AI1952" s="13">
        <v>1</v>
      </c>
      <c r="AJ1952" s="13">
        <v>0</v>
      </c>
      <c r="AK1952" s="13">
        <v>0</v>
      </c>
      <c r="AL1952" s="13">
        <v>0</v>
      </c>
      <c r="AM1952" s="13">
        <v>0</v>
      </c>
      <c r="AN1952" s="13">
        <v>0</v>
      </c>
      <c r="AO1952" s="14">
        <v>1</v>
      </c>
      <c r="AP1952" s="13">
        <v>3</v>
      </c>
      <c r="AQ1952" s="13">
        <v>11</v>
      </c>
      <c r="AR1952" s="15">
        <v>20</v>
      </c>
      <c r="AS1952" s="15">
        <v>32</v>
      </c>
    </row>
    <row r="1953" spans="1:45" x14ac:dyDescent="0.25">
      <c r="A1953">
        <v>2190</v>
      </c>
      <c r="B1953" s="11">
        <f t="shared" si="30"/>
        <v>7500</v>
      </c>
      <c r="C1953" s="12">
        <v>75000</v>
      </c>
      <c r="D1953" s="13">
        <v>1</v>
      </c>
      <c r="E1953" s="13">
        <v>0</v>
      </c>
      <c r="F1953" s="13">
        <v>7</v>
      </c>
      <c r="G1953" s="13">
        <v>41</v>
      </c>
      <c r="H1953" s="13" t="str" cm="1">
        <f t="array" ref="H1953">_xlfn.IFS(G1953&lt;=20,"0-20",G1953&lt;=30,"20-30",G1953&lt;=40,"30-40",G1953&lt;=50,"50-60",G1953&lt;=60,"60-70",G1953&lt;=70,"70-80",G1953&lt;=80,"80-90")</f>
        <v>50-60</v>
      </c>
      <c r="I1953" s="13">
        <v>2577</v>
      </c>
      <c r="J1953" s="13" t="str" cm="1">
        <f t="array" ref="J1953">_xlfn.IFS(K1953=1,"Divorciado",L1953=1,"Casado",M1953=1,"Solteiro",N1953=1,"Juntos",O1953=1,"Viuvo")</f>
        <v>Juntos</v>
      </c>
      <c r="K1953" s="13">
        <v>0</v>
      </c>
      <c r="L1953" s="13">
        <v>0</v>
      </c>
      <c r="M1953" s="13">
        <v>0</v>
      </c>
      <c r="N1953" s="13">
        <v>1</v>
      </c>
      <c r="O1953" s="13">
        <v>0</v>
      </c>
      <c r="P1953" s="13">
        <v>1</v>
      </c>
      <c r="Q1953" s="13">
        <v>0</v>
      </c>
      <c r="R1953" s="13">
        <v>0</v>
      </c>
      <c r="S1953" s="13">
        <v>0</v>
      </c>
      <c r="T1953" s="13">
        <v>0</v>
      </c>
      <c r="U1953" s="13">
        <v>2</v>
      </c>
      <c r="V1953" s="13" t="str" cm="1">
        <f t="array" ref="V1953">_xlfn.IFS(U1953&lt;=250,"0-R$250",U1953&lt;=500,"251-R$500",U1953&lt;=750,"501-R$750",U1953&lt;=1000,"751-R$1000",U1953&lt;=1250,"1001-R$1250",U1953&lt;=1500,"1251-R$1500")</f>
        <v>0-R$250</v>
      </c>
      <c r="W1953" s="13">
        <v>8</v>
      </c>
      <c r="X1953" s="13" t="str" cm="1">
        <f t="array" ref="X1953">_xlfn.IFS(W1953 = 0, "0", W1953&lt;=20, "até R$20",W1953&lt;=40, "21 - R$40",W1953&lt;=60, "41- R$60",W1953&lt;=80, "61 - R$80", W1953&lt;=100, "81 - R$100",W1953&lt;=120, "101 - R$120",W1953&lt;=140, "121 - R$140", W1953&lt;=160, "141- R$160", W1953&lt;=180, "161 - R$180", W1953&lt;=200, "181-R$194")</f>
        <v>até R$20</v>
      </c>
      <c r="Y1953" s="13">
        <v>11</v>
      </c>
      <c r="Z1953" s="13">
        <v>3</v>
      </c>
      <c r="AA1953" s="13">
        <v>8</v>
      </c>
      <c r="AB1953" s="13">
        <v>21</v>
      </c>
      <c r="AC1953" s="13">
        <v>4</v>
      </c>
      <c r="AD1953" s="13">
        <v>3</v>
      </c>
      <c r="AE1953" s="13">
        <v>2</v>
      </c>
      <c r="AF1953" s="13">
        <v>2</v>
      </c>
      <c r="AG1953" s="13">
        <v>7</v>
      </c>
      <c r="AH1953" s="13">
        <v>0</v>
      </c>
      <c r="AI1953" s="13">
        <v>0</v>
      </c>
      <c r="AJ1953" s="13">
        <v>0</v>
      </c>
      <c r="AK1953" s="13">
        <v>0</v>
      </c>
      <c r="AL1953" s="13">
        <v>0</v>
      </c>
      <c r="AM1953" s="13">
        <v>0</v>
      </c>
      <c r="AN1953" s="13">
        <v>0</v>
      </c>
      <c r="AO1953" s="14">
        <v>0</v>
      </c>
      <c r="AP1953" s="13">
        <v>3</v>
      </c>
      <c r="AQ1953" s="13">
        <v>11</v>
      </c>
      <c r="AR1953" s="15">
        <v>11</v>
      </c>
      <c r="AS1953" s="15">
        <v>32</v>
      </c>
    </row>
    <row r="1954" spans="1:45" x14ac:dyDescent="0.25">
      <c r="A1954">
        <v>301</v>
      </c>
      <c r="B1954" s="11">
        <f t="shared" si="30"/>
        <v>28839</v>
      </c>
      <c r="C1954" s="16">
        <v>288390</v>
      </c>
      <c r="D1954" s="17">
        <v>1</v>
      </c>
      <c r="E1954" s="17">
        <v>1</v>
      </c>
      <c r="F1954" s="17">
        <v>86</v>
      </c>
      <c r="G1954" s="17">
        <v>64</v>
      </c>
      <c r="H1954" s="13" t="str" cm="1">
        <f t="array" ref="H1954">_xlfn.IFS(G1954&lt;=20,"0-20",G1954&lt;=30,"20-30",G1954&lt;=40,"30-40",G1954&lt;=50,"50-60",G1954&lt;=60,"60-70",G1954&lt;=70,"70-80",G1954&lt;=80,"80-90")</f>
        <v>70-80</v>
      </c>
      <c r="I1954" s="17">
        <v>2269</v>
      </c>
      <c r="J1954" s="13" t="str" cm="1">
        <f t="array" ref="J1954">_xlfn.IFS(K1954=1,"Divorciado",L1954=1,"Casado",M1954=1,"Solteiro",N1954=1,"Juntos",O1954=1,"Viuvo")</f>
        <v>Juntos</v>
      </c>
      <c r="K1954" s="17">
        <v>0</v>
      </c>
      <c r="L1954" s="17">
        <v>0</v>
      </c>
      <c r="M1954" s="17">
        <v>0</v>
      </c>
      <c r="N1954" s="17">
        <v>1</v>
      </c>
      <c r="O1954" s="17">
        <v>0</v>
      </c>
      <c r="P1954" s="17">
        <v>0</v>
      </c>
      <c r="Q1954" s="17">
        <v>0</v>
      </c>
      <c r="R1954" s="17">
        <v>0</v>
      </c>
      <c r="S1954" s="17">
        <v>1</v>
      </c>
      <c r="T1954" s="17">
        <v>0</v>
      </c>
      <c r="U1954" s="17">
        <v>24</v>
      </c>
      <c r="V1954" s="13" t="str" cm="1">
        <f t="array" ref="V1954">_xlfn.IFS(U1954&lt;=250,"0-R$250",U1954&lt;=500,"251-R$500",U1954&lt;=750,"501-R$750",U1954&lt;=1000,"751-R$1000",U1954&lt;=1250,"1001-R$1250",U1954&lt;=1500,"1251-R$1500")</f>
        <v>0-R$250</v>
      </c>
      <c r="W1954" s="17">
        <v>0</v>
      </c>
      <c r="X1954" s="13" t="str" cm="1">
        <f t="array" ref="X1954">_xlfn.IFS(W1954 = 0, "0", W1954&lt;=20, "até R$20",W1954&lt;=40, "21 - R$40",W1954&lt;=60, "41- R$60",W1954&lt;=80, "61 - R$80", W1954&lt;=100, "81 - R$100",W1954&lt;=120, "101 - R$120",W1954&lt;=140, "121 - R$140", W1954&lt;=160, "141- R$160", W1954&lt;=180, "161 - R$180", W1954&lt;=200, "181-R$194")</f>
        <v>0</v>
      </c>
      <c r="Y1954" s="17">
        <v>7</v>
      </c>
      <c r="Z1954" s="17">
        <v>0</v>
      </c>
      <c r="AA1954" s="17">
        <v>0</v>
      </c>
      <c r="AB1954" s="17">
        <v>1</v>
      </c>
      <c r="AC1954" s="17">
        <v>2</v>
      </c>
      <c r="AD1954" s="17">
        <v>2</v>
      </c>
      <c r="AE1954" s="17">
        <v>0</v>
      </c>
      <c r="AF1954" s="17">
        <v>3</v>
      </c>
      <c r="AG1954" s="17">
        <v>5</v>
      </c>
      <c r="AH1954" s="17">
        <v>0</v>
      </c>
      <c r="AI1954" s="17">
        <v>0</v>
      </c>
      <c r="AJ1954" s="17">
        <v>0</v>
      </c>
      <c r="AK1954" s="17">
        <v>0</v>
      </c>
      <c r="AL1954" s="17">
        <v>0</v>
      </c>
      <c r="AM1954" s="17">
        <v>0</v>
      </c>
      <c r="AN1954" s="17">
        <v>0</v>
      </c>
      <c r="AO1954" s="18">
        <v>0</v>
      </c>
      <c r="AP1954" s="17">
        <v>3</v>
      </c>
      <c r="AQ1954" s="17">
        <v>11</v>
      </c>
      <c r="AR1954" s="19">
        <v>30</v>
      </c>
      <c r="AS1954" s="19">
        <v>31</v>
      </c>
    </row>
    <row r="1955" spans="1:45" x14ac:dyDescent="0.25">
      <c r="A1955">
        <v>412</v>
      </c>
      <c r="B1955" s="11">
        <f t="shared" si="30"/>
        <v>10404</v>
      </c>
      <c r="C1955" s="12">
        <v>104040</v>
      </c>
      <c r="D1955" s="13">
        <v>1</v>
      </c>
      <c r="E1955" s="13">
        <v>0</v>
      </c>
      <c r="F1955" s="13">
        <v>52</v>
      </c>
      <c r="G1955" s="13">
        <v>31</v>
      </c>
      <c r="H1955" s="13" t="str" cm="1">
        <f t="array" ref="H1955">_xlfn.IFS(G1955&lt;=20,"0-20",G1955&lt;=30,"20-30",G1955&lt;=40,"30-40",G1955&lt;=50,"50-60",G1955&lt;=60,"60-70",G1955&lt;=70,"70-80",G1955&lt;=80,"80-90")</f>
        <v>30-40</v>
      </c>
      <c r="I1955" s="13">
        <v>2215</v>
      </c>
      <c r="J1955" s="13" t="str" cm="1">
        <f t="array" ref="J1955">_xlfn.IFS(K1955=1,"Divorciado",L1955=1,"Casado",M1955=1,"Solteiro",N1955=1,"Juntos",O1955=1,"Viuvo")</f>
        <v>Juntos</v>
      </c>
      <c r="K1955" s="13">
        <v>0</v>
      </c>
      <c r="L1955" s="13">
        <v>0</v>
      </c>
      <c r="M1955" s="13">
        <v>0</v>
      </c>
      <c r="N1955" s="13">
        <v>1</v>
      </c>
      <c r="O1955" s="13">
        <v>0</v>
      </c>
      <c r="P1955" s="13">
        <v>1</v>
      </c>
      <c r="Q1955" s="13">
        <v>0</v>
      </c>
      <c r="R1955" s="13">
        <v>0</v>
      </c>
      <c r="S1955" s="13">
        <v>0</v>
      </c>
      <c r="T1955" s="13">
        <v>0</v>
      </c>
      <c r="U1955" s="13">
        <v>2</v>
      </c>
      <c r="V1955" s="13" t="str" cm="1">
        <f t="array" ref="V1955">_xlfn.IFS(U1955&lt;=250,"0-R$250",U1955&lt;=500,"251-R$500",U1955&lt;=750,"501-R$750",U1955&lt;=1000,"751-R$1000",U1955&lt;=1250,"1001-R$1250",U1955&lt;=1500,"1251-R$1500")</f>
        <v>0-R$250</v>
      </c>
      <c r="W1955" s="13">
        <v>2</v>
      </c>
      <c r="X1955" s="13" t="str" cm="1">
        <f t="array" ref="X1955">_xlfn.IFS(W1955 = 0, "0", W1955&lt;=20, "até R$20",W1955&lt;=40, "21 - R$40",W1955&lt;=60, "41- R$60",W1955&lt;=80, "61 - R$80", W1955&lt;=100, "81 - R$100",W1955&lt;=120, "101 - R$120",W1955&lt;=140, "121 - R$140", W1955&lt;=160, "141- R$160", W1955&lt;=180, "161 - R$180", W1955&lt;=200, "181-R$194")</f>
        <v>até R$20</v>
      </c>
      <c r="Y1955" s="13">
        <v>11</v>
      </c>
      <c r="Z1955" s="13">
        <v>10</v>
      </c>
      <c r="AA1955" s="13">
        <v>6</v>
      </c>
      <c r="AB1955" s="13">
        <v>12</v>
      </c>
      <c r="AC1955" s="13">
        <v>2</v>
      </c>
      <c r="AD1955" s="13">
        <v>1</v>
      </c>
      <c r="AE1955" s="13">
        <v>0</v>
      </c>
      <c r="AF1955" s="13">
        <v>4</v>
      </c>
      <c r="AG1955" s="13">
        <v>5</v>
      </c>
      <c r="AH1955" s="13">
        <v>0</v>
      </c>
      <c r="AI1955" s="13">
        <v>0</v>
      </c>
      <c r="AJ1955" s="13">
        <v>0</v>
      </c>
      <c r="AK1955" s="13">
        <v>0</v>
      </c>
      <c r="AL1955" s="13">
        <v>0</v>
      </c>
      <c r="AM1955" s="13">
        <v>0</v>
      </c>
      <c r="AN1955" s="13">
        <v>0</v>
      </c>
      <c r="AO1955" s="14">
        <v>0</v>
      </c>
      <c r="AP1955" s="13">
        <v>3</v>
      </c>
      <c r="AQ1955" s="13">
        <v>11</v>
      </c>
      <c r="AR1955" s="15">
        <v>19</v>
      </c>
      <c r="AS1955" s="15">
        <v>31</v>
      </c>
    </row>
    <row r="1956" spans="1:45" x14ac:dyDescent="0.25">
      <c r="A1956">
        <v>501</v>
      </c>
      <c r="B1956" s="11">
        <f t="shared" si="30"/>
        <v>26095</v>
      </c>
      <c r="C1956" s="16">
        <v>260950</v>
      </c>
      <c r="D1956" s="17">
        <v>1</v>
      </c>
      <c r="E1956" s="17">
        <v>0</v>
      </c>
      <c r="F1956" s="17">
        <v>77</v>
      </c>
      <c r="G1956" s="17">
        <v>30</v>
      </c>
      <c r="H1956" s="13" t="str" cm="1">
        <f t="array" ref="H1956">_xlfn.IFS(G1956&lt;=20,"0-20",G1956&lt;=30,"20-30",G1956&lt;=40,"30-40",G1956&lt;=50,"50-60",G1956&lt;=60,"60-70",G1956&lt;=70,"70-80",G1956&lt;=80,"80-90")</f>
        <v>20-30</v>
      </c>
      <c r="I1956" s="17">
        <v>2523</v>
      </c>
      <c r="J1956" s="13" t="str" cm="1">
        <f t="array" ref="J1956">_xlfn.IFS(K1956=1,"Divorciado",L1956=1,"Casado",M1956=1,"Solteiro",N1956=1,"Juntos",O1956=1,"Viuvo")</f>
        <v>Solteiro</v>
      </c>
      <c r="K1956" s="17">
        <v>0</v>
      </c>
      <c r="L1956" s="17">
        <v>0</v>
      </c>
      <c r="M1956" s="17">
        <v>1</v>
      </c>
      <c r="N1956" s="17">
        <v>0</v>
      </c>
      <c r="O1956" s="17">
        <v>0</v>
      </c>
      <c r="P1956" s="17">
        <v>0</v>
      </c>
      <c r="Q1956" s="17">
        <v>0</v>
      </c>
      <c r="R1956" s="17">
        <v>1</v>
      </c>
      <c r="S1956" s="17">
        <v>0</v>
      </c>
      <c r="T1956" s="17">
        <v>0</v>
      </c>
      <c r="U1956" s="17">
        <v>11</v>
      </c>
      <c r="V1956" s="13" t="str" cm="1">
        <f t="array" ref="V1956">_xlfn.IFS(U1956&lt;=250,"0-R$250",U1956&lt;=500,"251-R$500",U1956&lt;=750,"501-R$750",U1956&lt;=1000,"751-R$1000",U1956&lt;=1250,"1001-R$1250",U1956&lt;=1500,"1251-R$1500")</f>
        <v>0-R$250</v>
      </c>
      <c r="W1956" s="17">
        <v>7</v>
      </c>
      <c r="X1956" s="13" t="str" cm="1">
        <f t="array" ref="X1956">_xlfn.IFS(W1956 = 0, "0", W1956&lt;=20, "até R$20",W1956&lt;=40, "21 - R$40",W1956&lt;=60, "41- R$60",W1956&lt;=80, "61 - R$80", W1956&lt;=100, "81 - R$100",W1956&lt;=120, "101 - R$120",W1956&lt;=140, "121 - R$140", W1956&lt;=160, "141- R$160", W1956&lt;=180, "161 - R$180", W1956&lt;=200, "181-R$194")</f>
        <v>até R$20</v>
      </c>
      <c r="Y1956" s="17">
        <v>9</v>
      </c>
      <c r="Z1956" s="17">
        <v>3</v>
      </c>
      <c r="AA1956" s="17">
        <v>1</v>
      </c>
      <c r="AB1956" s="17">
        <v>11</v>
      </c>
      <c r="AC1956" s="17">
        <v>1</v>
      </c>
      <c r="AD1956" s="17">
        <v>1</v>
      </c>
      <c r="AE1956" s="17">
        <v>0</v>
      </c>
      <c r="AF1956" s="17">
        <v>3</v>
      </c>
      <c r="AG1956" s="17">
        <v>7</v>
      </c>
      <c r="AH1956" s="17">
        <v>0</v>
      </c>
      <c r="AI1956" s="17">
        <v>0</v>
      </c>
      <c r="AJ1956" s="17">
        <v>0</v>
      </c>
      <c r="AK1956" s="17">
        <v>0</v>
      </c>
      <c r="AL1956" s="17">
        <v>0</v>
      </c>
      <c r="AM1956" s="17">
        <v>0</v>
      </c>
      <c r="AN1956" s="17">
        <v>0</v>
      </c>
      <c r="AO1956" s="18">
        <v>0</v>
      </c>
      <c r="AP1956" s="17">
        <v>3</v>
      </c>
      <c r="AQ1956" s="17">
        <v>11</v>
      </c>
      <c r="AR1956" s="19">
        <v>20</v>
      </c>
      <c r="AS1956" s="19">
        <v>31</v>
      </c>
    </row>
    <row r="1957" spans="1:45" x14ac:dyDescent="0.25">
      <c r="A1957">
        <v>606</v>
      </c>
      <c r="B1957" s="11">
        <f t="shared" si="30"/>
        <v>36975</v>
      </c>
      <c r="C1957" s="12">
        <v>369750</v>
      </c>
      <c r="D1957" s="13">
        <v>1</v>
      </c>
      <c r="E1957" s="13">
        <v>0</v>
      </c>
      <c r="F1957" s="13">
        <v>50</v>
      </c>
      <c r="G1957" s="13">
        <v>42</v>
      </c>
      <c r="H1957" s="13" t="str" cm="1">
        <f t="array" ref="H1957">_xlfn.IFS(G1957&lt;=20,"0-20",G1957&lt;=30,"20-30",G1957&lt;=40,"30-40",G1957&lt;=50,"50-60",G1957&lt;=60,"60-70",G1957&lt;=70,"70-80",G1957&lt;=80,"80-90")</f>
        <v>50-60</v>
      </c>
      <c r="I1957" s="13">
        <v>2342</v>
      </c>
      <c r="J1957" s="13" t="str" cm="1">
        <f t="array" ref="J1957">_xlfn.IFS(K1957=1,"Divorciado",L1957=1,"Casado",M1957=1,"Solteiro",N1957=1,"Juntos",O1957=1,"Viuvo")</f>
        <v>Solteiro</v>
      </c>
      <c r="K1957" s="13">
        <v>0</v>
      </c>
      <c r="L1957" s="13">
        <v>0</v>
      </c>
      <c r="M1957" s="13">
        <v>1</v>
      </c>
      <c r="N1957" s="13">
        <v>0</v>
      </c>
      <c r="O1957" s="13">
        <v>0</v>
      </c>
      <c r="P1957" s="13">
        <v>1</v>
      </c>
      <c r="Q1957" s="13">
        <v>0</v>
      </c>
      <c r="R1957" s="13">
        <v>0</v>
      </c>
      <c r="S1957" s="13">
        <v>0</v>
      </c>
      <c r="T1957" s="13">
        <v>0</v>
      </c>
      <c r="U1957" s="13">
        <v>10</v>
      </c>
      <c r="V1957" s="13" t="str" cm="1">
        <f t="array" ref="V1957">_xlfn.IFS(U1957&lt;=250,"0-R$250",U1957&lt;=500,"251-R$500",U1957&lt;=750,"501-R$750",U1957&lt;=1000,"751-R$1000",U1957&lt;=1250,"1001-R$1250",U1957&lt;=1500,"1251-R$1500")</f>
        <v>0-R$250</v>
      </c>
      <c r="W1957" s="13">
        <v>6</v>
      </c>
      <c r="X1957" s="13" t="str" cm="1">
        <f t="array" ref="X1957">_xlfn.IFS(W1957 = 0, "0", W1957&lt;=20, "até R$20",W1957&lt;=40, "21 - R$40",W1957&lt;=60, "41- R$60",W1957&lt;=80, "61 - R$80", W1957&lt;=100, "81 - R$100",W1957&lt;=120, "101 - R$120",W1957&lt;=140, "121 - R$140", W1957&lt;=160, "141- R$160", W1957&lt;=180, "161 - R$180", W1957&lt;=200, "181-R$194")</f>
        <v>até R$20</v>
      </c>
      <c r="Y1957" s="13">
        <v>11</v>
      </c>
      <c r="Z1957" s="13">
        <v>0</v>
      </c>
      <c r="AA1957" s="13">
        <v>4</v>
      </c>
      <c r="AB1957" s="13">
        <v>2</v>
      </c>
      <c r="AC1957" s="13">
        <v>1</v>
      </c>
      <c r="AD1957" s="13">
        <v>1</v>
      </c>
      <c r="AE1957" s="13">
        <v>0</v>
      </c>
      <c r="AF1957" s="13">
        <v>3</v>
      </c>
      <c r="AG1957" s="13">
        <v>7</v>
      </c>
      <c r="AH1957" s="13">
        <v>0</v>
      </c>
      <c r="AI1957" s="13">
        <v>0</v>
      </c>
      <c r="AJ1957" s="13">
        <v>0</v>
      </c>
      <c r="AK1957" s="13">
        <v>0</v>
      </c>
      <c r="AL1957" s="13">
        <v>0</v>
      </c>
      <c r="AM1957" s="13">
        <v>0</v>
      </c>
      <c r="AN1957" s="13">
        <v>0</v>
      </c>
      <c r="AO1957" s="14">
        <v>0</v>
      </c>
      <c r="AP1957" s="13">
        <v>3</v>
      </c>
      <c r="AQ1957" s="13">
        <v>11</v>
      </c>
      <c r="AR1957" s="15">
        <v>29</v>
      </c>
      <c r="AS1957" s="15">
        <v>31</v>
      </c>
    </row>
    <row r="1958" spans="1:45" x14ac:dyDescent="0.25">
      <c r="A1958">
        <v>727</v>
      </c>
      <c r="B1958" s="11">
        <f t="shared" si="30"/>
        <v>17003</v>
      </c>
      <c r="C1958" s="16">
        <v>170030</v>
      </c>
      <c r="D1958" s="17">
        <v>1</v>
      </c>
      <c r="E1958" s="17">
        <v>0</v>
      </c>
      <c r="F1958" s="17">
        <v>37</v>
      </c>
      <c r="G1958" s="17">
        <v>45</v>
      </c>
      <c r="H1958" s="13" t="str" cm="1">
        <f t="array" ref="H1958">_xlfn.IFS(G1958&lt;=20,"0-20",G1958&lt;=30,"20-30",G1958&lt;=40,"30-40",G1958&lt;=50,"50-60",G1958&lt;=60,"60-70",G1958&lt;=70,"70-80",G1958&lt;=80,"80-90")</f>
        <v>50-60</v>
      </c>
      <c r="I1958" s="17">
        <v>2361</v>
      </c>
      <c r="J1958" s="13" t="str" cm="1">
        <f t="array" ref="J1958">_xlfn.IFS(K1958=1,"Divorciado",L1958=1,"Casado",M1958=1,"Solteiro",N1958=1,"Juntos",O1958=1,"Viuvo")</f>
        <v>Casado</v>
      </c>
      <c r="K1958" s="17">
        <v>0</v>
      </c>
      <c r="L1958" s="17">
        <v>1</v>
      </c>
      <c r="M1958" s="17">
        <v>0</v>
      </c>
      <c r="N1958" s="17">
        <v>0</v>
      </c>
      <c r="O1958" s="17">
        <v>0</v>
      </c>
      <c r="P1958" s="17">
        <v>1</v>
      </c>
      <c r="Q1958" s="17">
        <v>0</v>
      </c>
      <c r="R1958" s="17">
        <v>0</v>
      </c>
      <c r="S1958" s="17">
        <v>0</v>
      </c>
      <c r="T1958" s="17">
        <v>0</v>
      </c>
      <c r="U1958" s="17">
        <v>2</v>
      </c>
      <c r="V1958" s="13" t="str" cm="1">
        <f t="array" ref="V1958">_xlfn.IFS(U1958&lt;=250,"0-R$250",U1958&lt;=500,"251-R$500",U1958&lt;=750,"501-R$750",U1958&lt;=1000,"751-R$1000",U1958&lt;=1250,"1001-R$1250",U1958&lt;=1500,"1251-R$1500")</f>
        <v>0-R$250</v>
      </c>
      <c r="W1958" s="17">
        <v>5</v>
      </c>
      <c r="X1958" s="13" t="str" cm="1">
        <f t="array" ref="X1958">_xlfn.IFS(W1958 = 0, "0", W1958&lt;=20, "até R$20",W1958&lt;=40, "21 - R$40",W1958&lt;=60, "41- R$60",W1958&lt;=80, "61 - R$80", W1958&lt;=100, "81 - R$100",W1958&lt;=120, "101 - R$120",W1958&lt;=140, "121 - R$140", W1958&lt;=160, "141- R$160", W1958&lt;=180, "161 - R$180", W1958&lt;=200, "181-R$194")</f>
        <v>até R$20</v>
      </c>
      <c r="Y1958" s="17">
        <v>12</v>
      </c>
      <c r="Z1958" s="17">
        <v>4</v>
      </c>
      <c r="AA1958" s="17">
        <v>8</v>
      </c>
      <c r="AB1958" s="17">
        <v>7</v>
      </c>
      <c r="AC1958" s="17">
        <v>3</v>
      </c>
      <c r="AD1958" s="17">
        <v>2</v>
      </c>
      <c r="AE1958" s="17">
        <v>0</v>
      </c>
      <c r="AF1958" s="17">
        <v>4</v>
      </c>
      <c r="AG1958" s="17">
        <v>5</v>
      </c>
      <c r="AH1958" s="17">
        <v>0</v>
      </c>
      <c r="AI1958" s="17">
        <v>0</v>
      </c>
      <c r="AJ1958" s="17">
        <v>0</v>
      </c>
      <c r="AK1958" s="17">
        <v>0</v>
      </c>
      <c r="AL1958" s="17">
        <v>0</v>
      </c>
      <c r="AM1958" s="17">
        <v>0</v>
      </c>
      <c r="AN1958" s="17">
        <v>0</v>
      </c>
      <c r="AO1958" s="18">
        <v>0</v>
      </c>
      <c r="AP1958" s="17">
        <v>3</v>
      </c>
      <c r="AQ1958" s="17">
        <v>11</v>
      </c>
      <c r="AR1958" s="19">
        <v>24</v>
      </c>
      <c r="AS1958" s="19">
        <v>31</v>
      </c>
    </row>
    <row r="1959" spans="1:45" x14ac:dyDescent="0.25">
      <c r="A1959">
        <v>1568</v>
      </c>
      <c r="B1959" s="11">
        <f t="shared" si="30"/>
        <v>13724</v>
      </c>
      <c r="C1959" s="12">
        <v>137240</v>
      </c>
      <c r="D1959" s="13">
        <v>1</v>
      </c>
      <c r="E1959" s="13">
        <v>0</v>
      </c>
      <c r="F1959" s="13">
        <v>43</v>
      </c>
      <c r="G1959" s="13">
        <v>32</v>
      </c>
      <c r="H1959" s="13" t="str" cm="1">
        <f t="array" ref="H1959">_xlfn.IFS(G1959&lt;=20,"0-20",G1959&lt;=30,"20-30",G1959&lt;=40,"30-40",G1959&lt;=50,"50-60",G1959&lt;=60,"60-70",G1959&lt;=70,"70-80",G1959&lt;=80,"80-90")</f>
        <v>30-40</v>
      </c>
      <c r="I1959" s="13">
        <v>2826</v>
      </c>
      <c r="J1959" s="13" t="str" cm="1">
        <f t="array" ref="J1959">_xlfn.IFS(K1959=1,"Divorciado",L1959=1,"Casado",M1959=1,"Solteiro",N1959=1,"Juntos",O1959=1,"Viuvo")</f>
        <v>Juntos</v>
      </c>
      <c r="K1959" s="13">
        <v>0</v>
      </c>
      <c r="L1959" s="13">
        <v>0</v>
      </c>
      <c r="M1959" s="13">
        <v>0</v>
      </c>
      <c r="N1959" s="13">
        <v>1</v>
      </c>
      <c r="O1959" s="13">
        <v>0</v>
      </c>
      <c r="P1959" s="13">
        <v>0</v>
      </c>
      <c r="Q1959" s="13">
        <v>1</v>
      </c>
      <c r="R1959" s="13">
        <v>0</v>
      </c>
      <c r="S1959" s="13">
        <v>0</v>
      </c>
      <c r="T1959" s="13">
        <v>0</v>
      </c>
      <c r="U1959" s="13">
        <v>2</v>
      </c>
      <c r="V1959" s="13" t="str" cm="1">
        <f t="array" ref="V1959">_xlfn.IFS(U1959&lt;=250,"0-R$250",U1959&lt;=500,"251-R$500",U1959&lt;=750,"501-R$750",U1959&lt;=1000,"751-R$1000",U1959&lt;=1250,"1001-R$1250",U1959&lt;=1500,"1251-R$1500")</f>
        <v>0-R$250</v>
      </c>
      <c r="W1959" s="13">
        <v>7</v>
      </c>
      <c r="X1959" s="13" t="str" cm="1">
        <f t="array" ref="X1959">_xlfn.IFS(W1959 = 0, "0", W1959&lt;=20, "até R$20",W1959&lt;=40, "21 - R$40",W1959&lt;=60, "41- R$60",W1959&lt;=80, "61 - R$80", W1959&lt;=100, "81 - R$100",W1959&lt;=120, "101 - R$120",W1959&lt;=140, "121 - R$140", W1959&lt;=160, "141- R$160", W1959&lt;=180, "161 - R$180", W1959&lt;=200, "181-R$194")</f>
        <v>até R$20</v>
      </c>
      <c r="Y1959" s="13">
        <v>5</v>
      </c>
      <c r="Z1959" s="13">
        <v>2</v>
      </c>
      <c r="AA1959" s="13">
        <v>15</v>
      </c>
      <c r="AB1959" s="13">
        <v>27</v>
      </c>
      <c r="AC1959" s="13">
        <v>1</v>
      </c>
      <c r="AD1959" s="13">
        <v>2</v>
      </c>
      <c r="AE1959" s="13">
        <v>0</v>
      </c>
      <c r="AF1959" s="13">
        <v>2</v>
      </c>
      <c r="AG1959" s="13">
        <v>9</v>
      </c>
      <c r="AH1959" s="13">
        <v>0</v>
      </c>
      <c r="AI1959" s="13">
        <v>1</v>
      </c>
      <c r="AJ1959" s="13">
        <v>0</v>
      </c>
      <c r="AK1959" s="13">
        <v>0</v>
      </c>
      <c r="AL1959" s="13">
        <v>0</v>
      </c>
      <c r="AM1959" s="13">
        <v>0</v>
      </c>
      <c r="AN1959" s="13">
        <v>0</v>
      </c>
      <c r="AO1959" s="14">
        <v>1</v>
      </c>
      <c r="AP1959" s="13">
        <v>3</v>
      </c>
      <c r="AQ1959" s="13">
        <v>11</v>
      </c>
      <c r="AR1959" s="15">
        <v>4</v>
      </c>
      <c r="AS1959" s="15">
        <v>31</v>
      </c>
    </row>
    <row r="1960" spans="1:45" x14ac:dyDescent="0.25">
      <c r="A1960">
        <v>1673</v>
      </c>
      <c r="B1960" s="11">
        <f t="shared" si="30"/>
        <v>41437</v>
      </c>
      <c r="C1960" s="16">
        <v>414370</v>
      </c>
      <c r="D1960" s="17">
        <v>1</v>
      </c>
      <c r="E1960" s="17">
        <v>1</v>
      </c>
      <c r="F1960" s="17">
        <v>5</v>
      </c>
      <c r="G1960" s="17">
        <v>63</v>
      </c>
      <c r="H1960" s="13" t="str" cm="1">
        <f t="array" ref="H1960">_xlfn.IFS(G1960&lt;=20,"0-20",G1960&lt;=30,"20-30",G1960&lt;=40,"30-40",G1960&lt;=50,"50-60",G1960&lt;=60,"60-70",G1960&lt;=70,"70-80",G1960&lt;=80,"80-90")</f>
        <v>70-80</v>
      </c>
      <c r="I1960" s="17">
        <v>2804</v>
      </c>
      <c r="J1960" s="13" t="str" cm="1">
        <f t="array" ref="J1960">_xlfn.IFS(K1960=1,"Divorciado",L1960=1,"Casado",M1960=1,"Solteiro",N1960=1,"Juntos",O1960=1,"Viuvo")</f>
        <v>Divorciado</v>
      </c>
      <c r="K1960" s="17">
        <v>1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1</v>
      </c>
      <c r="U1960" s="17">
        <v>29</v>
      </c>
      <c r="V1960" s="13" t="str" cm="1">
        <f t="array" ref="V1960">_xlfn.IFS(U1960&lt;=250,"0-R$250",U1960&lt;=500,"251-R$500",U1960&lt;=750,"501-R$750",U1960&lt;=1000,"751-R$1000",U1960&lt;=1250,"1001-R$1250",U1960&lt;=1500,"1251-R$1500")</f>
        <v>0-R$250</v>
      </c>
      <c r="W1960" s="17">
        <v>0</v>
      </c>
      <c r="X1960" s="13" t="str" cm="1">
        <f t="array" ref="X1960">_xlfn.IFS(W1960 = 0, "0", W1960&lt;=20, "até R$20",W1960&lt;=40, "21 - R$40",W1960&lt;=60, "41- R$60",W1960&lt;=80, "61 - R$80", W1960&lt;=100, "81 - R$100",W1960&lt;=120, "101 - R$120",W1960&lt;=140, "121 - R$140", W1960&lt;=160, "141- R$160", W1960&lt;=180, "161 - R$180", W1960&lt;=200, "181-R$194")</f>
        <v>0</v>
      </c>
      <c r="Y1960" s="17">
        <v>2</v>
      </c>
      <c r="Z1960" s="17">
        <v>0</v>
      </c>
      <c r="AA1960" s="17">
        <v>0</v>
      </c>
      <c r="AB1960" s="17">
        <v>1</v>
      </c>
      <c r="AC1960" s="17">
        <v>1</v>
      </c>
      <c r="AD1960" s="17">
        <v>1</v>
      </c>
      <c r="AE1960" s="17">
        <v>0</v>
      </c>
      <c r="AF1960" s="17">
        <v>3</v>
      </c>
      <c r="AG1960" s="17">
        <v>7</v>
      </c>
      <c r="AH1960" s="17">
        <v>0</v>
      </c>
      <c r="AI1960" s="17">
        <v>0</v>
      </c>
      <c r="AJ1960" s="17">
        <v>0</v>
      </c>
      <c r="AK1960" s="17">
        <v>0</v>
      </c>
      <c r="AL1960" s="17">
        <v>0</v>
      </c>
      <c r="AM1960" s="17">
        <v>0</v>
      </c>
      <c r="AN1960" s="17">
        <v>0</v>
      </c>
      <c r="AO1960" s="18">
        <v>0</v>
      </c>
      <c r="AP1960" s="17">
        <v>3</v>
      </c>
      <c r="AQ1960" s="17">
        <v>11</v>
      </c>
      <c r="AR1960" s="19">
        <v>30</v>
      </c>
      <c r="AS1960" s="19">
        <v>31</v>
      </c>
    </row>
    <row r="1961" spans="1:45" x14ac:dyDescent="0.25">
      <c r="A1961">
        <v>1730</v>
      </c>
      <c r="B1961" s="11">
        <f t="shared" si="30"/>
        <v>16014</v>
      </c>
      <c r="C1961" s="12">
        <v>160140</v>
      </c>
      <c r="D1961" s="13">
        <v>1</v>
      </c>
      <c r="E1961" s="13">
        <v>1</v>
      </c>
      <c r="F1961" s="13">
        <v>42</v>
      </c>
      <c r="G1961" s="13">
        <v>41</v>
      </c>
      <c r="H1961" s="13" t="str" cm="1">
        <f t="array" ref="H1961">_xlfn.IFS(G1961&lt;=20,"0-20",G1961&lt;=30,"20-30",G1961&lt;=40,"30-40",G1961&lt;=50,"50-60",G1961&lt;=60,"60-70",G1961&lt;=70,"70-80",G1961&lt;=80,"80-90")</f>
        <v>50-60</v>
      </c>
      <c r="I1961" s="13">
        <v>2628</v>
      </c>
      <c r="J1961" s="13" t="str" cm="1">
        <f t="array" ref="J1961">_xlfn.IFS(K1961=1,"Divorciado",L1961=1,"Casado",M1961=1,"Solteiro",N1961=1,"Juntos",O1961=1,"Viuvo")</f>
        <v>Solteiro</v>
      </c>
      <c r="K1961" s="13">
        <v>0</v>
      </c>
      <c r="L1961" s="13">
        <v>0</v>
      </c>
      <c r="M1961" s="13">
        <v>1</v>
      </c>
      <c r="N1961" s="13">
        <v>0</v>
      </c>
      <c r="O1961" s="13">
        <v>0</v>
      </c>
      <c r="P1961" s="13">
        <v>0</v>
      </c>
      <c r="Q1961" s="13">
        <v>1</v>
      </c>
      <c r="R1961" s="13">
        <v>0</v>
      </c>
      <c r="S1961" s="13">
        <v>0</v>
      </c>
      <c r="T1961" s="13">
        <v>0</v>
      </c>
      <c r="U1961" s="13">
        <v>3</v>
      </c>
      <c r="V1961" s="13" t="str" cm="1">
        <f t="array" ref="V1961">_xlfn.IFS(U1961&lt;=250,"0-R$250",U1961&lt;=500,"251-R$500",U1961&lt;=750,"501-R$750",U1961&lt;=1000,"751-R$1000",U1961&lt;=1250,"1001-R$1250",U1961&lt;=1500,"1251-R$1500")</f>
        <v>0-R$250</v>
      </c>
      <c r="W1961" s="13">
        <v>9</v>
      </c>
      <c r="X1961" s="13" t="str" cm="1">
        <f t="array" ref="X1961">_xlfn.IFS(W1961 = 0, "0", W1961&lt;=20, "até R$20",W1961&lt;=40, "21 - R$40",W1961&lt;=60, "41- R$60",W1961&lt;=80, "61 - R$80", W1961&lt;=100, "81 - R$100",W1961&lt;=120, "101 - R$120",W1961&lt;=140, "121 - R$140", W1961&lt;=160, "141- R$160", W1961&lt;=180, "161 - R$180", W1961&lt;=200, "181-R$194")</f>
        <v>até R$20</v>
      </c>
      <c r="Y1961" s="13">
        <v>4</v>
      </c>
      <c r="Z1961" s="13">
        <v>7</v>
      </c>
      <c r="AA1961" s="13">
        <v>8</v>
      </c>
      <c r="AB1961" s="13">
        <v>7</v>
      </c>
      <c r="AC1961" s="13">
        <v>4</v>
      </c>
      <c r="AD1961" s="13">
        <v>1</v>
      </c>
      <c r="AE1961" s="13">
        <v>1</v>
      </c>
      <c r="AF1961" s="13">
        <v>4</v>
      </c>
      <c r="AG1961" s="13">
        <v>3</v>
      </c>
      <c r="AH1961" s="13">
        <v>0</v>
      </c>
      <c r="AI1961" s="13">
        <v>0</v>
      </c>
      <c r="AJ1961" s="13">
        <v>0</v>
      </c>
      <c r="AK1961" s="13">
        <v>0</v>
      </c>
      <c r="AL1961" s="13">
        <v>0</v>
      </c>
      <c r="AM1961" s="13">
        <v>0</v>
      </c>
      <c r="AN1961" s="13">
        <v>0</v>
      </c>
      <c r="AO1961" s="14">
        <v>0</v>
      </c>
      <c r="AP1961" s="13">
        <v>3</v>
      </c>
      <c r="AQ1961" s="13">
        <v>11</v>
      </c>
      <c r="AR1961" s="15">
        <v>24</v>
      </c>
      <c r="AS1961" s="15">
        <v>31</v>
      </c>
    </row>
    <row r="1962" spans="1:45" x14ac:dyDescent="0.25">
      <c r="A1962">
        <v>1736</v>
      </c>
      <c r="B1962" s="11">
        <f t="shared" si="30"/>
        <v>13533</v>
      </c>
      <c r="C1962" s="12">
        <v>135330</v>
      </c>
      <c r="D1962" s="13">
        <v>1</v>
      </c>
      <c r="E1962" s="13">
        <v>0</v>
      </c>
      <c r="F1962" s="13">
        <v>45</v>
      </c>
      <c r="G1962" s="13">
        <v>41</v>
      </c>
      <c r="H1962" s="13" t="str" cm="1">
        <f t="array" ref="H1962">_xlfn.IFS(G1962&lt;=20,"0-20",G1962&lt;=30,"20-30",G1962&lt;=40,"30-40",G1962&lt;=50,"50-60",G1962&lt;=60,"60-70",G1962&lt;=70,"70-80",G1962&lt;=80,"80-90")</f>
        <v>50-60</v>
      </c>
      <c r="I1962" s="13">
        <v>2635</v>
      </c>
      <c r="J1962" s="13" t="str" cm="1">
        <f t="array" ref="J1962">_xlfn.IFS(K1962=1,"Divorciado",L1962=1,"Casado",M1962=1,"Solteiro",N1962=1,"Juntos",O1962=1,"Viuvo")</f>
        <v>Divorciado</v>
      </c>
      <c r="K1962" s="13">
        <v>1</v>
      </c>
      <c r="L1962" s="13">
        <v>0</v>
      </c>
      <c r="M1962" s="13">
        <v>0</v>
      </c>
      <c r="N1962" s="13">
        <v>0</v>
      </c>
      <c r="O1962" s="13">
        <v>0</v>
      </c>
      <c r="P1962" s="13">
        <v>1</v>
      </c>
      <c r="Q1962" s="13">
        <v>0</v>
      </c>
      <c r="R1962" s="13">
        <v>0</v>
      </c>
      <c r="S1962" s="13">
        <v>0</v>
      </c>
      <c r="T1962" s="13">
        <v>0</v>
      </c>
      <c r="U1962" s="13">
        <v>12</v>
      </c>
      <c r="V1962" s="13" t="str" cm="1">
        <f t="array" ref="V1962">_xlfn.IFS(U1962&lt;=250,"0-R$250",U1962&lt;=500,"251-R$500",U1962&lt;=750,"501-R$750",U1962&lt;=1000,"751-R$1000",U1962&lt;=1250,"1001-R$1250",U1962&lt;=1500,"1251-R$1500")</f>
        <v>0-R$250</v>
      </c>
      <c r="W1962" s="13">
        <v>3</v>
      </c>
      <c r="X1962" s="13" t="str" cm="1">
        <f t="array" ref="X1962">_xlfn.IFS(W1962 = 0, "0", W1962&lt;=20, "até R$20",W1962&lt;=40, "21 - R$40",W1962&lt;=60, "41- R$60",W1962&lt;=80, "61 - R$80", W1962&lt;=100, "81 - R$100",W1962&lt;=120, "101 - R$120",W1962&lt;=140, "121 - R$140", W1962&lt;=160, "141- R$160", W1962&lt;=180, "161 - R$180", W1962&lt;=200, "181-R$194")</f>
        <v>até R$20</v>
      </c>
      <c r="Y1962" s="13">
        <v>8</v>
      </c>
      <c r="Z1962" s="13">
        <v>8</v>
      </c>
      <c r="AA1962" s="13">
        <v>0</v>
      </c>
      <c r="AB1962" s="13">
        <v>17</v>
      </c>
      <c r="AC1962" s="13">
        <v>2</v>
      </c>
      <c r="AD1962" s="13">
        <v>2</v>
      </c>
      <c r="AE1962" s="13">
        <v>0</v>
      </c>
      <c r="AF1962" s="13">
        <v>3</v>
      </c>
      <c r="AG1962" s="13">
        <v>7</v>
      </c>
      <c r="AH1962" s="13">
        <v>0</v>
      </c>
      <c r="AI1962" s="13">
        <v>0</v>
      </c>
      <c r="AJ1962" s="13">
        <v>0</v>
      </c>
      <c r="AK1962" s="13">
        <v>0</v>
      </c>
      <c r="AL1962" s="13">
        <v>0</v>
      </c>
      <c r="AM1962" s="13">
        <v>0</v>
      </c>
      <c r="AN1962" s="13">
        <v>0</v>
      </c>
      <c r="AO1962" s="14">
        <v>0</v>
      </c>
      <c r="AP1962" s="13">
        <v>3</v>
      </c>
      <c r="AQ1962" s="13">
        <v>11</v>
      </c>
      <c r="AR1962" s="15">
        <v>14</v>
      </c>
      <c r="AS1962" s="15">
        <v>31</v>
      </c>
    </row>
    <row r="1963" spans="1:45" x14ac:dyDescent="0.25">
      <c r="A1963">
        <v>2163</v>
      </c>
      <c r="B1963" s="11">
        <f t="shared" si="30"/>
        <v>8820</v>
      </c>
      <c r="C1963" s="16">
        <v>88200</v>
      </c>
      <c r="D1963" s="17">
        <v>1</v>
      </c>
      <c r="E1963" s="17">
        <v>1</v>
      </c>
      <c r="F1963" s="17">
        <v>52</v>
      </c>
      <c r="G1963" s="17">
        <v>68</v>
      </c>
      <c r="H1963" s="13" t="str" cm="1">
        <f t="array" ref="H1963">_xlfn.IFS(G1963&lt;=20,"0-20",G1963&lt;=30,"20-30",G1963&lt;=40,"30-40",G1963&lt;=50,"50-60",G1963&lt;=60,"60-70",G1963&lt;=70,"70-80",G1963&lt;=80,"80-90")</f>
        <v>70-80</v>
      </c>
      <c r="I1963" s="17">
        <v>2623</v>
      </c>
      <c r="J1963" s="13" t="str" cm="1">
        <f t="array" ref="J1963">_xlfn.IFS(K1963=1,"Divorciado",L1963=1,"Casado",M1963=1,"Solteiro",N1963=1,"Juntos",O1963=1,"Viuvo")</f>
        <v>Solteiro</v>
      </c>
      <c r="K1963" s="17">
        <v>0</v>
      </c>
      <c r="L1963" s="17">
        <v>0</v>
      </c>
      <c r="M1963" s="17">
        <v>1</v>
      </c>
      <c r="N1963" s="17">
        <v>0</v>
      </c>
      <c r="O1963" s="17">
        <v>0</v>
      </c>
      <c r="P1963" s="17">
        <v>0</v>
      </c>
      <c r="Q1963" s="17">
        <v>0</v>
      </c>
      <c r="R1963" s="17">
        <v>0</v>
      </c>
      <c r="S1963" s="17">
        <v>1</v>
      </c>
      <c r="T1963" s="17">
        <v>0</v>
      </c>
      <c r="U1963" s="17">
        <v>12</v>
      </c>
      <c r="V1963" s="13" t="str" cm="1">
        <f t="array" ref="V1963">_xlfn.IFS(U1963&lt;=250,"0-R$250",U1963&lt;=500,"251-R$500",U1963&lt;=750,"501-R$750",U1963&lt;=1000,"751-R$1000",U1963&lt;=1250,"1001-R$1250",U1963&lt;=1500,"1251-R$1500")</f>
        <v>0-R$250</v>
      </c>
      <c r="W1963" s="17">
        <v>0</v>
      </c>
      <c r="X1963" s="13" t="str" cm="1">
        <f t="array" ref="X1963">_xlfn.IFS(W1963 = 0, "0", W1963&lt;=20, "até R$20",W1963&lt;=40, "21 - R$40",W1963&lt;=60, "41- R$60",W1963&lt;=80, "61 - R$80", W1963&lt;=100, "81 - R$100",W1963&lt;=120, "101 - R$120",W1963&lt;=140, "121 - R$140", W1963&lt;=160, "141- R$160", W1963&lt;=180, "161 - R$180", W1963&lt;=200, "181-R$194")</f>
        <v>0</v>
      </c>
      <c r="Y1963" s="17">
        <v>13</v>
      </c>
      <c r="Z1963" s="17">
        <v>4</v>
      </c>
      <c r="AA1963" s="17">
        <v>2</v>
      </c>
      <c r="AB1963" s="17">
        <v>4</v>
      </c>
      <c r="AC1963" s="17">
        <v>4</v>
      </c>
      <c r="AD1963" s="17">
        <v>3</v>
      </c>
      <c r="AE1963" s="17">
        <v>0</v>
      </c>
      <c r="AF1963" s="17">
        <v>3</v>
      </c>
      <c r="AG1963" s="17">
        <v>8</v>
      </c>
      <c r="AH1963" s="17">
        <v>0</v>
      </c>
      <c r="AI1963" s="17">
        <v>0</v>
      </c>
      <c r="AJ1963" s="17">
        <v>0</v>
      </c>
      <c r="AK1963" s="17">
        <v>0</v>
      </c>
      <c r="AL1963" s="17">
        <v>0</v>
      </c>
      <c r="AM1963" s="17">
        <v>0</v>
      </c>
      <c r="AN1963" s="17">
        <v>0</v>
      </c>
      <c r="AO1963" s="18">
        <v>0</v>
      </c>
      <c r="AP1963" s="17">
        <v>3</v>
      </c>
      <c r="AQ1963" s="17">
        <v>11</v>
      </c>
      <c r="AR1963" s="19">
        <v>27</v>
      </c>
      <c r="AS1963" s="19">
        <v>31</v>
      </c>
    </row>
    <row r="1964" spans="1:45" x14ac:dyDescent="0.25">
      <c r="A1964">
        <v>111</v>
      </c>
      <c r="B1964" s="11">
        <f t="shared" si="30"/>
        <v>21918</v>
      </c>
      <c r="C1964" s="16">
        <v>219180</v>
      </c>
      <c r="D1964" s="17">
        <v>1</v>
      </c>
      <c r="E1964" s="17">
        <v>0</v>
      </c>
      <c r="F1964" s="17">
        <v>37</v>
      </c>
      <c r="G1964" s="17">
        <v>51</v>
      </c>
      <c r="H1964" s="13" t="str" cm="1">
        <f t="array" ref="H1964">_xlfn.IFS(G1964&lt;=20,"0-20",G1964&lt;=30,"20-30",G1964&lt;=40,"30-40",G1964&lt;=50,"50-60",G1964&lt;=60,"60-70",G1964&lt;=70,"70-80",G1964&lt;=80,"80-90")</f>
        <v>60-70</v>
      </c>
      <c r="I1964" s="17">
        <v>2386</v>
      </c>
      <c r="J1964" s="13" t="str" cm="1">
        <f t="array" ref="J1964">_xlfn.IFS(K1964=1,"Divorciado",L1964=1,"Casado",M1964=1,"Solteiro",N1964=1,"Juntos",O1964=1,"Viuvo")</f>
        <v>Juntos</v>
      </c>
      <c r="K1964" s="17">
        <v>0</v>
      </c>
      <c r="L1964" s="17">
        <v>0</v>
      </c>
      <c r="M1964" s="17">
        <v>0</v>
      </c>
      <c r="N1964" s="17">
        <v>1</v>
      </c>
      <c r="O1964" s="17">
        <v>0</v>
      </c>
      <c r="P1964" s="17">
        <v>0</v>
      </c>
      <c r="Q1964" s="17">
        <v>0</v>
      </c>
      <c r="R1964" s="17">
        <v>1</v>
      </c>
      <c r="S1964" s="17">
        <v>0</v>
      </c>
      <c r="T1964" s="17">
        <v>0</v>
      </c>
      <c r="U1964" s="17">
        <v>1</v>
      </c>
      <c r="V1964" s="13" t="str" cm="1">
        <f t="array" ref="V1964">_xlfn.IFS(U1964&lt;=250,"0-R$250",U1964&lt;=500,"251-R$500",U1964&lt;=750,"501-R$750",U1964&lt;=1000,"751-R$1000",U1964&lt;=1250,"1001-R$1250",U1964&lt;=1500,"1251-R$1500")</f>
        <v>0-R$250</v>
      </c>
      <c r="W1964" s="17">
        <v>6</v>
      </c>
      <c r="X1964" s="13" t="str" cm="1">
        <f t="array" ref="X1964">_xlfn.IFS(W1964 = 0, "0", W1964&lt;=20, "até R$20",W1964&lt;=40, "21 - R$40",W1964&lt;=60, "41- R$60",W1964&lt;=80, "61 - R$80", W1964&lt;=100, "81 - R$100",W1964&lt;=120, "101 - R$120",W1964&lt;=140, "121 - R$140", W1964&lt;=160, "141- R$160", W1964&lt;=180, "161 - R$180", W1964&lt;=200, "181-R$194")</f>
        <v>até R$20</v>
      </c>
      <c r="Y1964" s="17">
        <v>7</v>
      </c>
      <c r="Z1964" s="17">
        <v>11</v>
      </c>
      <c r="AA1964" s="17">
        <v>5</v>
      </c>
      <c r="AB1964" s="17">
        <v>3</v>
      </c>
      <c r="AC1964" s="17">
        <v>2</v>
      </c>
      <c r="AD1964" s="17">
        <v>2</v>
      </c>
      <c r="AE1964" s="17">
        <v>0</v>
      </c>
      <c r="AF1964" s="17">
        <v>3</v>
      </c>
      <c r="AG1964" s="17">
        <v>6</v>
      </c>
      <c r="AH1964" s="17">
        <v>0</v>
      </c>
      <c r="AI1964" s="17">
        <v>0</v>
      </c>
      <c r="AJ1964" s="17">
        <v>0</v>
      </c>
      <c r="AK1964" s="17">
        <v>0</v>
      </c>
      <c r="AL1964" s="17">
        <v>0</v>
      </c>
      <c r="AM1964" s="17">
        <v>0</v>
      </c>
      <c r="AN1964" s="17">
        <v>0</v>
      </c>
      <c r="AO1964" s="18">
        <v>0</v>
      </c>
      <c r="AP1964" s="17">
        <v>3</v>
      </c>
      <c r="AQ1964" s="17">
        <v>11</v>
      </c>
      <c r="AR1964" s="19">
        <v>27</v>
      </c>
      <c r="AS1964" s="19">
        <v>30</v>
      </c>
    </row>
    <row r="1965" spans="1:45" x14ac:dyDescent="0.25">
      <c r="A1965">
        <v>424</v>
      </c>
      <c r="B1965" s="11">
        <f t="shared" si="30"/>
        <v>28691</v>
      </c>
      <c r="C1965" s="12">
        <v>286910</v>
      </c>
      <c r="D1965" s="13">
        <v>1</v>
      </c>
      <c r="E1965" s="13">
        <v>0</v>
      </c>
      <c r="F1965" s="13">
        <v>56</v>
      </c>
      <c r="G1965" s="13">
        <v>31</v>
      </c>
      <c r="H1965" s="13" t="str" cm="1">
        <f t="array" ref="H1965">_xlfn.IFS(G1965&lt;=20,"0-20",G1965&lt;=30,"20-30",G1965&lt;=40,"30-40",G1965&lt;=50,"50-60",G1965&lt;=60,"60-70",G1965&lt;=70,"70-80",G1965&lt;=80,"80-90")</f>
        <v>30-40</v>
      </c>
      <c r="I1965" s="13">
        <v>2519</v>
      </c>
      <c r="J1965" s="13" t="str" cm="1">
        <f t="array" ref="J1965">_xlfn.IFS(K1965=1,"Divorciado",L1965=1,"Casado",M1965=1,"Solteiro",N1965=1,"Juntos",O1965=1,"Viuvo")</f>
        <v>Casado</v>
      </c>
      <c r="K1965" s="13">
        <v>0</v>
      </c>
      <c r="L1965" s="13">
        <v>1</v>
      </c>
      <c r="M1965" s="13">
        <v>0</v>
      </c>
      <c r="N1965" s="13">
        <v>0</v>
      </c>
      <c r="O1965" s="13">
        <v>0</v>
      </c>
      <c r="P1965" s="13">
        <v>0</v>
      </c>
      <c r="Q1965" s="13">
        <v>0</v>
      </c>
      <c r="R1965" s="13">
        <v>1</v>
      </c>
      <c r="S1965" s="13">
        <v>0</v>
      </c>
      <c r="T1965" s="13">
        <v>0</v>
      </c>
      <c r="U1965" s="13">
        <v>5</v>
      </c>
      <c r="V1965" s="13" t="str" cm="1">
        <f t="array" ref="V1965">_xlfn.IFS(U1965&lt;=250,"0-R$250",U1965&lt;=500,"251-R$500",U1965&lt;=750,"501-R$750",U1965&lt;=1000,"751-R$1000",U1965&lt;=1250,"1001-R$1250",U1965&lt;=1500,"1251-R$1500")</f>
        <v>0-R$250</v>
      </c>
      <c r="W1965" s="13">
        <v>4</v>
      </c>
      <c r="X1965" s="13" t="str" cm="1">
        <f t="array" ref="X1965">_xlfn.IFS(W1965 = 0, "0", W1965&lt;=20, "até R$20",W1965&lt;=40, "21 - R$40",W1965&lt;=60, "41- R$60",W1965&lt;=80, "61 - R$80", W1965&lt;=100, "81 - R$100",W1965&lt;=120, "101 - R$120",W1965&lt;=140, "121 - R$140", W1965&lt;=160, "141- R$160", W1965&lt;=180, "161 - R$180", W1965&lt;=200, "181-R$194")</f>
        <v>até R$20</v>
      </c>
      <c r="Y1965" s="13">
        <v>13</v>
      </c>
      <c r="Z1965" s="13">
        <v>8</v>
      </c>
      <c r="AA1965" s="13">
        <v>0</v>
      </c>
      <c r="AB1965" s="13">
        <v>4</v>
      </c>
      <c r="AC1965" s="13">
        <v>1</v>
      </c>
      <c r="AD1965" s="13">
        <v>1</v>
      </c>
      <c r="AE1965" s="13">
        <v>0</v>
      </c>
      <c r="AF1965" s="13">
        <v>3</v>
      </c>
      <c r="AG1965" s="13">
        <v>8</v>
      </c>
      <c r="AH1965" s="13">
        <v>0</v>
      </c>
      <c r="AI1965" s="13">
        <v>0</v>
      </c>
      <c r="AJ1965" s="13">
        <v>0</v>
      </c>
      <c r="AK1965" s="13">
        <v>0</v>
      </c>
      <c r="AL1965" s="13">
        <v>0</v>
      </c>
      <c r="AM1965" s="13">
        <v>0</v>
      </c>
      <c r="AN1965" s="13">
        <v>0</v>
      </c>
      <c r="AO1965" s="14">
        <v>0</v>
      </c>
      <c r="AP1965" s="13">
        <v>3</v>
      </c>
      <c r="AQ1965" s="13">
        <v>11</v>
      </c>
      <c r="AR1965" s="15">
        <v>26</v>
      </c>
      <c r="AS1965" s="15">
        <v>30</v>
      </c>
    </row>
    <row r="1966" spans="1:45" x14ac:dyDescent="0.25">
      <c r="A1966">
        <v>608</v>
      </c>
      <c r="B1966" s="11">
        <f t="shared" si="30"/>
        <v>13624</v>
      </c>
      <c r="C1966" s="12">
        <v>136240</v>
      </c>
      <c r="D1966" s="13">
        <v>1</v>
      </c>
      <c r="E1966" s="13">
        <v>0</v>
      </c>
      <c r="F1966" s="13">
        <v>93</v>
      </c>
      <c r="G1966" s="13">
        <v>44</v>
      </c>
      <c r="H1966" s="13" t="str" cm="1">
        <f t="array" ref="H1966">_xlfn.IFS(G1966&lt;=20,"0-20",G1966&lt;=30,"20-30",G1966&lt;=40,"30-40",G1966&lt;=50,"50-60",G1966&lt;=60,"60-70",G1966&lt;=70,"70-80",G1966&lt;=80,"80-90")</f>
        <v>50-60</v>
      </c>
      <c r="I1966" s="13">
        <v>2684</v>
      </c>
      <c r="J1966" s="13" t="str" cm="1">
        <f t="array" ref="J1966">_xlfn.IFS(K1966=1,"Divorciado",L1966=1,"Casado",M1966=1,"Solteiro",N1966=1,"Juntos",O1966=1,"Viuvo")</f>
        <v>Casado</v>
      </c>
      <c r="K1966" s="13">
        <v>0</v>
      </c>
      <c r="L1966" s="13">
        <v>1</v>
      </c>
      <c r="M1966" s="13">
        <v>0</v>
      </c>
      <c r="N1966" s="13">
        <v>0</v>
      </c>
      <c r="O1966" s="13">
        <v>0</v>
      </c>
      <c r="P1966" s="13">
        <v>0</v>
      </c>
      <c r="Q1966" s="13">
        <v>0</v>
      </c>
      <c r="R1966" s="13">
        <v>1</v>
      </c>
      <c r="S1966" s="13">
        <v>0</v>
      </c>
      <c r="T1966" s="13">
        <v>0</v>
      </c>
      <c r="U1966" s="13">
        <v>10</v>
      </c>
      <c r="V1966" s="13" t="str" cm="1">
        <f t="array" ref="V1966">_xlfn.IFS(U1966&lt;=250,"0-R$250",U1966&lt;=500,"251-R$500",U1966&lt;=750,"501-R$750",U1966&lt;=1000,"751-R$1000",U1966&lt;=1250,"1001-R$1250",U1966&lt;=1500,"1251-R$1500")</f>
        <v>0-R$250</v>
      </c>
      <c r="W1966" s="13">
        <v>2</v>
      </c>
      <c r="X1966" s="13" t="str" cm="1">
        <f t="array" ref="X1966">_xlfn.IFS(W1966 = 0, "0", W1966&lt;=20, "até R$20",W1966&lt;=40, "21 - R$40",W1966&lt;=60, "41- R$60",W1966&lt;=80, "61 - R$80", W1966&lt;=100, "81 - R$100",W1966&lt;=120, "101 - R$120",W1966&lt;=140, "121 - R$140", W1966&lt;=160, "141- R$160", W1966&lt;=180, "161 - R$180", W1966&lt;=200, "181-R$194")</f>
        <v>até R$20</v>
      </c>
      <c r="Y1966" s="13">
        <v>15</v>
      </c>
      <c r="Z1966" s="13">
        <v>2</v>
      </c>
      <c r="AA1966" s="13">
        <v>1</v>
      </c>
      <c r="AB1966" s="13">
        <v>6</v>
      </c>
      <c r="AC1966" s="13">
        <v>2</v>
      </c>
      <c r="AD1966" s="13">
        <v>2</v>
      </c>
      <c r="AE1966" s="13">
        <v>0</v>
      </c>
      <c r="AF1966" s="13">
        <v>3</v>
      </c>
      <c r="AG1966" s="13">
        <v>6</v>
      </c>
      <c r="AH1966" s="13">
        <v>0</v>
      </c>
      <c r="AI1966" s="13">
        <v>0</v>
      </c>
      <c r="AJ1966" s="13">
        <v>0</v>
      </c>
      <c r="AK1966" s="13">
        <v>0</v>
      </c>
      <c r="AL1966" s="13">
        <v>0</v>
      </c>
      <c r="AM1966" s="13">
        <v>0</v>
      </c>
      <c r="AN1966" s="13">
        <v>0</v>
      </c>
      <c r="AO1966" s="14">
        <v>0</v>
      </c>
      <c r="AP1966" s="13">
        <v>3</v>
      </c>
      <c r="AQ1966" s="13">
        <v>11</v>
      </c>
      <c r="AR1966" s="15">
        <v>24</v>
      </c>
      <c r="AS1966" s="15">
        <v>30</v>
      </c>
    </row>
    <row r="1967" spans="1:45" x14ac:dyDescent="0.25">
      <c r="A1967">
        <v>931</v>
      </c>
      <c r="B1967" s="11">
        <f t="shared" si="30"/>
        <v>27922</v>
      </c>
      <c r="C1967" s="16">
        <v>279220</v>
      </c>
      <c r="D1967" s="17">
        <v>1</v>
      </c>
      <c r="E1967" s="17">
        <v>0</v>
      </c>
      <c r="F1967" s="17">
        <v>80</v>
      </c>
      <c r="G1967" s="17">
        <v>41</v>
      </c>
      <c r="H1967" s="13" t="str" cm="1">
        <f t="array" ref="H1967">_xlfn.IFS(G1967&lt;=20,"0-20",G1967&lt;=30,"20-30",G1967&lt;=40,"30-40",G1967&lt;=50,"50-60",G1967&lt;=60,"60-70",G1967&lt;=70,"70-80",G1967&lt;=80,"80-90")</f>
        <v>50-60</v>
      </c>
      <c r="I1967" s="17">
        <v>2209</v>
      </c>
      <c r="J1967" s="13" t="str" cm="1">
        <f t="array" ref="J1967">_xlfn.IFS(K1967=1,"Divorciado",L1967=1,"Casado",M1967=1,"Solteiro",N1967=1,"Juntos",O1967=1,"Viuvo")</f>
        <v>Juntos</v>
      </c>
      <c r="K1967" s="17">
        <v>0</v>
      </c>
      <c r="L1967" s="17">
        <v>0</v>
      </c>
      <c r="M1967" s="17">
        <v>0</v>
      </c>
      <c r="N1967" s="17">
        <v>1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1</v>
      </c>
      <c r="U1967" s="17">
        <v>11</v>
      </c>
      <c r="V1967" s="13" t="str" cm="1">
        <f t="array" ref="V1967">_xlfn.IFS(U1967&lt;=250,"0-R$250",U1967&lt;=500,"251-R$500",U1967&lt;=750,"501-R$750",U1967&lt;=1000,"751-R$1000",U1967&lt;=1250,"1001-R$1250",U1967&lt;=1500,"1251-R$1500")</f>
        <v>0-R$250</v>
      </c>
      <c r="W1967" s="17">
        <v>0</v>
      </c>
      <c r="X1967" s="13" t="str" cm="1">
        <f t="array" ref="X1967">_xlfn.IFS(W1967 = 0, "0", W1967&lt;=20, "até R$20",W1967&lt;=40, "21 - R$40",W1967&lt;=60, "41- R$60",W1967&lt;=80, "61 - R$80", W1967&lt;=100, "81 - R$100",W1967&lt;=120, "101 - R$120",W1967&lt;=140, "121 - R$140", W1967&lt;=160, "141- R$160", W1967&lt;=180, "161 - R$180", W1967&lt;=200, "181-R$194")</f>
        <v>0</v>
      </c>
      <c r="Y1967" s="17">
        <v>13</v>
      </c>
      <c r="Z1967" s="17">
        <v>2</v>
      </c>
      <c r="AA1967" s="17">
        <v>4</v>
      </c>
      <c r="AB1967" s="17">
        <v>11</v>
      </c>
      <c r="AC1967" s="17">
        <v>1</v>
      </c>
      <c r="AD1967" s="17">
        <v>2</v>
      </c>
      <c r="AE1967" s="17">
        <v>0</v>
      </c>
      <c r="AF1967" s="17">
        <v>3</v>
      </c>
      <c r="AG1967" s="17">
        <v>4</v>
      </c>
      <c r="AH1967" s="17">
        <v>0</v>
      </c>
      <c r="AI1967" s="17">
        <v>0</v>
      </c>
      <c r="AJ1967" s="17">
        <v>0</v>
      </c>
      <c r="AK1967" s="17">
        <v>0</v>
      </c>
      <c r="AL1967" s="17">
        <v>0</v>
      </c>
      <c r="AM1967" s="17">
        <v>0</v>
      </c>
      <c r="AN1967" s="17">
        <v>0</v>
      </c>
      <c r="AO1967" s="18">
        <v>0</v>
      </c>
      <c r="AP1967" s="17">
        <v>3</v>
      </c>
      <c r="AQ1967" s="17">
        <v>11</v>
      </c>
      <c r="AR1967" s="19">
        <v>19</v>
      </c>
      <c r="AS1967" s="19">
        <v>30</v>
      </c>
    </row>
    <row r="1968" spans="1:45" x14ac:dyDescent="0.25">
      <c r="A1968">
        <v>1025</v>
      </c>
      <c r="B1968" s="11">
        <f t="shared" si="30"/>
        <v>34728</v>
      </c>
      <c r="C1968" s="16">
        <v>347280</v>
      </c>
      <c r="D1968" s="17">
        <v>1</v>
      </c>
      <c r="E1968" s="17">
        <v>0</v>
      </c>
      <c r="F1968" s="17">
        <v>2</v>
      </c>
      <c r="G1968" s="17">
        <v>34</v>
      </c>
      <c r="H1968" s="13" t="str" cm="1">
        <f t="array" ref="H1968">_xlfn.IFS(G1968&lt;=20,"0-20",G1968&lt;=30,"20-30",G1968&lt;=40,"30-40",G1968&lt;=50,"50-60",G1968&lt;=60,"60-70",G1968&lt;=70,"70-80",G1968&lt;=80,"80-90")</f>
        <v>30-40</v>
      </c>
      <c r="I1968" s="17">
        <v>2493</v>
      </c>
      <c r="J1968" s="13" t="str" cm="1">
        <f t="array" ref="J1968">_xlfn.IFS(K1968=1,"Divorciado",L1968=1,"Casado",M1968=1,"Solteiro",N1968=1,"Juntos",O1968=1,"Viuvo")</f>
        <v>Juntos</v>
      </c>
      <c r="K1968" s="17">
        <v>0</v>
      </c>
      <c r="L1968" s="17">
        <v>0</v>
      </c>
      <c r="M1968" s="17">
        <v>0</v>
      </c>
      <c r="N1968" s="17">
        <v>1</v>
      </c>
      <c r="O1968" s="17">
        <v>0</v>
      </c>
      <c r="P1968" s="17">
        <v>0</v>
      </c>
      <c r="Q1968" s="17">
        <v>0</v>
      </c>
      <c r="R1968" s="17">
        <v>1</v>
      </c>
      <c r="S1968" s="17">
        <v>0</v>
      </c>
      <c r="T1968" s="17">
        <v>0</v>
      </c>
      <c r="U1968" s="17">
        <v>14</v>
      </c>
      <c r="V1968" s="13" t="str" cm="1">
        <f t="array" ref="V1968">_xlfn.IFS(U1968&lt;=250,"0-R$250",U1968&lt;=500,"251-R$500",U1968&lt;=750,"501-R$750",U1968&lt;=1000,"751-R$1000",U1968&lt;=1250,"1001-R$1250",U1968&lt;=1500,"1251-R$1500")</f>
        <v>0-R$250</v>
      </c>
      <c r="W1968" s="17">
        <v>0</v>
      </c>
      <c r="X1968" s="13" t="str" cm="1">
        <f t="array" ref="X1968">_xlfn.IFS(W1968 = 0, "0", W1968&lt;=20, "até R$20",W1968&lt;=40, "21 - R$40",W1968&lt;=60, "41- R$60",W1968&lt;=80, "61 - R$80", W1968&lt;=100, "81 - R$100",W1968&lt;=120, "101 - R$120",W1968&lt;=140, "121 - R$140", W1968&lt;=160, "141- R$160", W1968&lt;=180, "161 - R$180", W1968&lt;=200, "181-R$194")</f>
        <v>0</v>
      </c>
      <c r="Y1968" s="17">
        <v>16</v>
      </c>
      <c r="Z1968" s="17">
        <v>0</v>
      </c>
      <c r="AA1968" s="17">
        <v>0</v>
      </c>
      <c r="AB1968" s="17">
        <v>6</v>
      </c>
      <c r="AC1968" s="17">
        <v>1</v>
      </c>
      <c r="AD1968" s="17">
        <v>1</v>
      </c>
      <c r="AE1968" s="17">
        <v>1</v>
      </c>
      <c r="AF1968" s="17">
        <v>2</v>
      </c>
      <c r="AG1968" s="17">
        <v>6</v>
      </c>
      <c r="AH1968" s="17">
        <v>0</v>
      </c>
      <c r="AI1968" s="17">
        <v>0</v>
      </c>
      <c r="AJ1968" s="17">
        <v>0</v>
      </c>
      <c r="AK1968" s="17">
        <v>0</v>
      </c>
      <c r="AL1968" s="17">
        <v>0</v>
      </c>
      <c r="AM1968" s="17">
        <v>0</v>
      </c>
      <c r="AN1968" s="17">
        <v>1</v>
      </c>
      <c r="AO1968" s="18">
        <v>0</v>
      </c>
      <c r="AP1968" s="17">
        <v>3</v>
      </c>
      <c r="AQ1968" s="17">
        <v>11</v>
      </c>
      <c r="AR1968" s="19">
        <v>24</v>
      </c>
      <c r="AS1968" s="19">
        <v>30</v>
      </c>
    </row>
    <row r="1969" spans="1:45" x14ac:dyDescent="0.25">
      <c r="A1969">
        <v>1034</v>
      </c>
      <c r="B1969" s="11">
        <f t="shared" si="30"/>
        <v>25959</v>
      </c>
      <c r="C1969" s="12">
        <v>259590</v>
      </c>
      <c r="D1969" s="13">
        <v>1</v>
      </c>
      <c r="E1969" s="13">
        <v>1</v>
      </c>
      <c r="F1969" s="13">
        <v>1</v>
      </c>
      <c r="G1969" s="13">
        <v>50</v>
      </c>
      <c r="H1969" s="13" t="str" cm="1">
        <f t="array" ref="H1969">_xlfn.IFS(G1969&lt;=20,"0-20",G1969&lt;=30,"20-30",G1969&lt;=40,"30-40",G1969&lt;=50,"50-60",G1969&lt;=60,"60-70",G1969&lt;=70,"70-80",G1969&lt;=80,"80-90")</f>
        <v>50-60</v>
      </c>
      <c r="I1969" s="13">
        <v>2659</v>
      </c>
      <c r="J1969" s="13" t="str" cm="1">
        <f t="array" ref="J1969">_xlfn.IFS(K1969=1,"Divorciado",L1969=1,"Casado",M1969=1,"Solteiro",N1969=1,"Juntos",O1969=1,"Viuvo")</f>
        <v>Divorciado</v>
      </c>
      <c r="K1969" s="13">
        <v>1</v>
      </c>
      <c r="L1969" s="13">
        <v>0</v>
      </c>
      <c r="M1969" s="13">
        <v>0</v>
      </c>
      <c r="N1969" s="13">
        <v>0</v>
      </c>
      <c r="O1969" s="13">
        <v>0</v>
      </c>
      <c r="P1969" s="13">
        <v>1</v>
      </c>
      <c r="Q1969" s="13">
        <v>0</v>
      </c>
      <c r="R1969" s="13">
        <v>0</v>
      </c>
      <c r="S1969" s="13">
        <v>0</v>
      </c>
      <c r="T1969" s="13">
        <v>0</v>
      </c>
      <c r="U1969" s="13">
        <v>4</v>
      </c>
      <c r="V1969" s="13" t="str" cm="1">
        <f t="array" ref="V1969">_xlfn.IFS(U1969&lt;=250,"0-R$250",U1969&lt;=500,"251-R$500",U1969&lt;=750,"501-R$750",U1969&lt;=1000,"751-R$1000",U1969&lt;=1250,"1001-R$1250",U1969&lt;=1500,"1251-R$1500")</f>
        <v>0-R$250</v>
      </c>
      <c r="W1969" s="13">
        <v>2</v>
      </c>
      <c r="X1969" s="13" t="str" cm="1">
        <f t="array" ref="X1969">_xlfn.IFS(W1969 = 0, "0", W1969&lt;=20, "até R$20",W1969&lt;=40, "21 - R$40",W1969&lt;=60, "41- R$60",W1969&lt;=80, "61 - R$80", W1969&lt;=100, "81 - R$100",W1969&lt;=120, "101 - R$120",W1969&lt;=140, "121 - R$140", W1969&lt;=160, "141- R$160", W1969&lt;=180, "161 - R$180", W1969&lt;=200, "181-R$194")</f>
        <v>até R$20</v>
      </c>
      <c r="Y1969" s="13">
        <v>12</v>
      </c>
      <c r="Z1969" s="13">
        <v>7</v>
      </c>
      <c r="AA1969" s="13">
        <v>5</v>
      </c>
      <c r="AB1969" s="13">
        <v>26</v>
      </c>
      <c r="AC1969" s="13">
        <v>2</v>
      </c>
      <c r="AD1969" s="13">
        <v>1</v>
      </c>
      <c r="AE1969" s="13">
        <v>2</v>
      </c>
      <c r="AF1969" s="13">
        <v>2</v>
      </c>
      <c r="AG1969" s="13">
        <v>6</v>
      </c>
      <c r="AH1969" s="13">
        <v>0</v>
      </c>
      <c r="AI1969" s="13">
        <v>0</v>
      </c>
      <c r="AJ1969" s="13">
        <v>0</v>
      </c>
      <c r="AK1969" s="13">
        <v>0</v>
      </c>
      <c r="AL1969" s="13">
        <v>0</v>
      </c>
      <c r="AM1969" s="13">
        <v>0</v>
      </c>
      <c r="AN1969" s="13">
        <v>1</v>
      </c>
      <c r="AO1969" s="14">
        <v>0</v>
      </c>
      <c r="AP1969" s="13">
        <v>3</v>
      </c>
      <c r="AQ1969" s="13">
        <v>11</v>
      </c>
      <c r="AR1969" s="15">
        <v>4</v>
      </c>
      <c r="AS1969" s="15">
        <v>30</v>
      </c>
    </row>
    <row r="1970" spans="1:45" x14ac:dyDescent="0.25">
      <c r="A1970">
        <v>1219</v>
      </c>
      <c r="B1970" s="11">
        <f t="shared" si="30"/>
        <v>28691</v>
      </c>
      <c r="C1970" s="16">
        <v>286910</v>
      </c>
      <c r="D1970" s="17">
        <v>1</v>
      </c>
      <c r="E1970" s="17">
        <v>0</v>
      </c>
      <c r="F1970" s="17">
        <v>56</v>
      </c>
      <c r="G1970" s="17">
        <v>31</v>
      </c>
      <c r="H1970" s="13" t="str" cm="1">
        <f t="array" ref="H1970">_xlfn.IFS(G1970&lt;=20,"0-20",G1970&lt;=30,"20-30",G1970&lt;=40,"30-40",G1970&lt;=50,"50-60",G1970&lt;=60,"60-70",G1970&lt;=70,"70-80",G1970&lt;=80,"80-90")</f>
        <v>30-40</v>
      </c>
      <c r="I1970" s="17">
        <v>2519</v>
      </c>
      <c r="J1970" s="13" t="str" cm="1">
        <f t="array" ref="J1970">_xlfn.IFS(K1970=1,"Divorciado",L1970=1,"Casado",M1970=1,"Solteiro",N1970=1,"Juntos",O1970=1,"Viuvo")</f>
        <v>Casado</v>
      </c>
      <c r="K1970" s="17">
        <v>0</v>
      </c>
      <c r="L1970" s="17">
        <v>1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1</v>
      </c>
      <c r="S1970" s="17">
        <v>0</v>
      </c>
      <c r="T1970" s="17">
        <v>0</v>
      </c>
      <c r="U1970" s="17">
        <v>5</v>
      </c>
      <c r="V1970" s="13" t="str" cm="1">
        <f t="array" ref="V1970">_xlfn.IFS(U1970&lt;=250,"0-R$250",U1970&lt;=500,"251-R$500",U1970&lt;=750,"501-R$750",U1970&lt;=1000,"751-R$1000",U1970&lt;=1250,"1001-R$1250",U1970&lt;=1500,"1251-R$1500")</f>
        <v>0-R$250</v>
      </c>
      <c r="W1970" s="17">
        <v>4</v>
      </c>
      <c r="X1970" s="13" t="str" cm="1">
        <f t="array" ref="X1970">_xlfn.IFS(W1970 = 0, "0", W1970&lt;=20, "até R$20",W1970&lt;=40, "21 - R$40",W1970&lt;=60, "41- R$60",W1970&lt;=80, "61 - R$80", W1970&lt;=100, "81 - R$100",W1970&lt;=120, "101 - R$120",W1970&lt;=140, "121 - R$140", W1970&lt;=160, "141- R$160", W1970&lt;=180, "161 - R$180", W1970&lt;=200, "181-R$194")</f>
        <v>até R$20</v>
      </c>
      <c r="Y1970" s="17">
        <v>13</v>
      </c>
      <c r="Z1970" s="17">
        <v>8</v>
      </c>
      <c r="AA1970" s="17">
        <v>0</v>
      </c>
      <c r="AB1970" s="17">
        <v>4</v>
      </c>
      <c r="AC1970" s="17">
        <v>1</v>
      </c>
      <c r="AD1970" s="17">
        <v>1</v>
      </c>
      <c r="AE1970" s="17">
        <v>0</v>
      </c>
      <c r="AF1970" s="17">
        <v>3</v>
      </c>
      <c r="AG1970" s="17">
        <v>8</v>
      </c>
      <c r="AH1970" s="17">
        <v>0</v>
      </c>
      <c r="AI1970" s="17">
        <v>0</v>
      </c>
      <c r="AJ1970" s="17">
        <v>0</v>
      </c>
      <c r="AK1970" s="17">
        <v>0</v>
      </c>
      <c r="AL1970" s="17">
        <v>0</v>
      </c>
      <c r="AM1970" s="17">
        <v>0</v>
      </c>
      <c r="AN1970" s="17">
        <v>0</v>
      </c>
      <c r="AO1970" s="18">
        <v>0</v>
      </c>
      <c r="AP1970" s="17">
        <v>3</v>
      </c>
      <c r="AQ1970" s="17">
        <v>11</v>
      </c>
      <c r="AR1970" s="19">
        <v>26</v>
      </c>
      <c r="AS1970" s="19">
        <v>30</v>
      </c>
    </row>
    <row r="1971" spans="1:45" x14ac:dyDescent="0.25">
      <c r="A1971">
        <v>1459</v>
      </c>
      <c r="B1971" s="11">
        <f t="shared" si="30"/>
        <v>19107</v>
      </c>
      <c r="C1971" s="16">
        <v>191070</v>
      </c>
      <c r="D1971" s="17">
        <v>1</v>
      </c>
      <c r="E1971" s="17">
        <v>0</v>
      </c>
      <c r="F1971" s="17">
        <v>49</v>
      </c>
      <c r="G1971" s="17">
        <v>40</v>
      </c>
      <c r="H1971" s="13" t="str" cm="1">
        <f t="array" ref="H1971">_xlfn.IFS(G1971&lt;=20,"0-20",G1971&lt;=30,"20-30",G1971&lt;=40,"30-40",G1971&lt;=50,"50-60",G1971&lt;=60,"60-70",G1971&lt;=70,"70-80",G1971&lt;=80,"80-90")</f>
        <v>30-40</v>
      </c>
      <c r="I1971" s="17">
        <v>2470</v>
      </c>
      <c r="J1971" s="13" t="str" cm="1">
        <f t="array" ref="J1971">_xlfn.IFS(K1971=1,"Divorciado",L1971=1,"Casado",M1971=1,"Solteiro",N1971=1,"Juntos",O1971=1,"Viuvo")</f>
        <v>Casado</v>
      </c>
      <c r="K1971" s="17">
        <v>0</v>
      </c>
      <c r="L1971" s="17">
        <v>1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1</v>
      </c>
      <c r="S1971" s="17">
        <v>0</v>
      </c>
      <c r="T1971" s="17">
        <v>0</v>
      </c>
      <c r="U1971" s="17">
        <v>2</v>
      </c>
      <c r="V1971" s="13" t="str" cm="1">
        <f t="array" ref="V1971">_xlfn.IFS(U1971&lt;=250,"0-R$250",U1971&lt;=500,"251-R$500",U1971&lt;=750,"501-R$750",U1971&lt;=1000,"751-R$1000",U1971&lt;=1250,"1001-R$1250",U1971&lt;=1500,"1251-R$1500")</f>
        <v>0-R$250</v>
      </c>
      <c r="W1971" s="17">
        <v>4</v>
      </c>
      <c r="X1971" s="13" t="str" cm="1">
        <f t="array" ref="X1971">_xlfn.IFS(W1971 = 0, "0", W1971&lt;=20, "até R$20",W1971&lt;=40, "21 - R$40",W1971&lt;=60, "41- R$60",W1971&lt;=80, "61 - R$80", W1971&lt;=100, "81 - R$100",W1971&lt;=120, "101 - R$120",W1971&lt;=140, "121 - R$140", W1971&lt;=160, "141- R$160", W1971&lt;=180, "161 - R$180", W1971&lt;=200, "181-R$194")</f>
        <v>até R$20</v>
      </c>
      <c r="Y1971" s="17">
        <v>9</v>
      </c>
      <c r="Z1971" s="17">
        <v>10</v>
      </c>
      <c r="AA1971" s="17">
        <v>5</v>
      </c>
      <c r="AB1971" s="17">
        <v>16</v>
      </c>
      <c r="AC1971" s="17">
        <v>2</v>
      </c>
      <c r="AD1971" s="17">
        <v>1</v>
      </c>
      <c r="AE1971" s="17">
        <v>0</v>
      </c>
      <c r="AF1971" s="17">
        <v>3</v>
      </c>
      <c r="AG1971" s="17">
        <v>7</v>
      </c>
      <c r="AH1971" s="17">
        <v>0</v>
      </c>
      <c r="AI1971" s="17">
        <v>0</v>
      </c>
      <c r="AJ1971" s="17">
        <v>0</v>
      </c>
      <c r="AK1971" s="17">
        <v>0</v>
      </c>
      <c r="AL1971" s="17">
        <v>0</v>
      </c>
      <c r="AM1971" s="17">
        <v>0</v>
      </c>
      <c r="AN1971" s="17">
        <v>0</v>
      </c>
      <c r="AO1971" s="18">
        <v>0</v>
      </c>
      <c r="AP1971" s="17">
        <v>3</v>
      </c>
      <c r="AQ1971" s="17">
        <v>11</v>
      </c>
      <c r="AR1971" s="19">
        <v>14</v>
      </c>
      <c r="AS1971" s="19">
        <v>30</v>
      </c>
    </row>
    <row r="1972" spans="1:45" x14ac:dyDescent="0.25">
      <c r="A1972">
        <v>1575</v>
      </c>
      <c r="B1972" s="11">
        <f t="shared" si="30"/>
        <v>36663</v>
      </c>
      <c r="C1972" s="16">
        <v>366630</v>
      </c>
      <c r="D1972" s="17">
        <v>1</v>
      </c>
      <c r="E1972" s="17">
        <v>0</v>
      </c>
      <c r="F1972" s="17">
        <v>40</v>
      </c>
      <c r="G1972" s="17">
        <v>45</v>
      </c>
      <c r="H1972" s="13" t="str" cm="1">
        <f t="array" ref="H1972">_xlfn.IFS(G1972&lt;=20,"0-20",G1972&lt;=30,"20-30",G1972&lt;=40,"30-40",G1972&lt;=50,"50-60",G1972&lt;=60,"60-70",G1972&lt;=70,"70-80",G1972&lt;=80,"80-90")</f>
        <v>50-60</v>
      </c>
      <c r="I1972" s="17">
        <v>2224</v>
      </c>
      <c r="J1972" s="13" t="str" cm="1">
        <f t="array" ref="J1972">_xlfn.IFS(K1972=1,"Divorciado",L1972=1,"Casado",M1972=1,"Solteiro",N1972=1,"Juntos",O1972=1,"Viuvo")</f>
        <v>Casado</v>
      </c>
      <c r="K1972" s="17">
        <v>0</v>
      </c>
      <c r="L1972" s="17">
        <v>1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1</v>
      </c>
      <c r="U1972" s="17">
        <v>18</v>
      </c>
      <c r="V1972" s="13" t="str" cm="1">
        <f t="array" ref="V1972">_xlfn.IFS(U1972&lt;=250,"0-R$250",U1972&lt;=500,"251-R$500",U1972&lt;=750,"501-R$750",U1972&lt;=1000,"751-R$1000",U1972&lt;=1250,"1001-R$1250",U1972&lt;=1500,"1251-R$1500")</f>
        <v>0-R$250</v>
      </c>
      <c r="W1972" s="17">
        <v>0</v>
      </c>
      <c r="X1972" s="13" t="str" cm="1">
        <f t="array" ref="X1972">_xlfn.IFS(W1972 = 0, "0", W1972&lt;=20, "até R$20",W1972&lt;=40, "21 - R$40",W1972&lt;=60, "41- R$60",W1972&lt;=80, "61 - R$80", W1972&lt;=100, "81 - R$100",W1972&lt;=120, "101 - R$120",W1972&lt;=140, "121 - R$140", W1972&lt;=160, "141- R$160", W1972&lt;=180, "161 - R$180", W1972&lt;=200, "181-R$194")</f>
        <v>0</v>
      </c>
      <c r="Y1972" s="17">
        <v>6</v>
      </c>
      <c r="Z1972" s="17">
        <v>3</v>
      </c>
      <c r="AA1972" s="17">
        <v>3</v>
      </c>
      <c r="AB1972" s="17">
        <v>5</v>
      </c>
      <c r="AC1972" s="17">
        <v>1</v>
      </c>
      <c r="AD1972" s="17">
        <v>1</v>
      </c>
      <c r="AE1972" s="17">
        <v>1</v>
      </c>
      <c r="AF1972" s="17">
        <v>3</v>
      </c>
      <c r="AG1972" s="17">
        <v>2</v>
      </c>
      <c r="AH1972" s="17">
        <v>0</v>
      </c>
      <c r="AI1972" s="17">
        <v>0</v>
      </c>
      <c r="AJ1972" s="17">
        <v>0</v>
      </c>
      <c r="AK1972" s="17">
        <v>0</v>
      </c>
      <c r="AL1972" s="17">
        <v>0</v>
      </c>
      <c r="AM1972" s="17">
        <v>0</v>
      </c>
      <c r="AN1972" s="17">
        <v>0</v>
      </c>
      <c r="AO1972" s="18">
        <v>0</v>
      </c>
      <c r="AP1972" s="17">
        <v>3</v>
      </c>
      <c r="AQ1972" s="17">
        <v>11</v>
      </c>
      <c r="AR1972" s="19">
        <v>25</v>
      </c>
      <c r="AS1972" s="19">
        <v>30</v>
      </c>
    </row>
    <row r="1973" spans="1:45" x14ac:dyDescent="0.25">
      <c r="A1973">
        <v>1579</v>
      </c>
      <c r="B1973" s="11">
        <f t="shared" si="30"/>
        <v>44512</v>
      </c>
      <c r="C1973" s="16">
        <v>445120</v>
      </c>
      <c r="D1973" s="17">
        <v>1</v>
      </c>
      <c r="E1973" s="17">
        <v>1</v>
      </c>
      <c r="F1973" s="17">
        <v>57</v>
      </c>
      <c r="G1973" s="17">
        <v>60</v>
      </c>
      <c r="H1973" s="13" t="str" cm="1">
        <f t="array" ref="H1973">_xlfn.IFS(G1973&lt;=20,"0-20",G1973&lt;=30,"20-30",G1973&lt;=40,"30-40",G1973&lt;=50,"50-60",G1973&lt;=60,"60-70",G1973&lt;=70,"70-80",G1973&lt;=80,"80-90")</f>
        <v>60-70</v>
      </c>
      <c r="I1973" s="17">
        <v>2462</v>
      </c>
      <c r="J1973" s="13" t="str" cm="1">
        <f t="array" ref="J1973">_xlfn.IFS(K1973=1,"Divorciado",L1973=1,"Casado",M1973=1,"Solteiro",N1973=1,"Juntos",O1973=1,"Viuvo")</f>
        <v>Juntos</v>
      </c>
      <c r="K1973" s="17">
        <v>0</v>
      </c>
      <c r="L1973" s="17">
        <v>0</v>
      </c>
      <c r="M1973" s="17">
        <v>0</v>
      </c>
      <c r="N1973" s="17">
        <v>1</v>
      </c>
      <c r="O1973" s="17">
        <v>0</v>
      </c>
      <c r="P1973" s="17">
        <v>0</v>
      </c>
      <c r="Q1973" s="17">
        <v>0</v>
      </c>
      <c r="R1973" s="17">
        <v>1</v>
      </c>
      <c r="S1973" s="17">
        <v>0</v>
      </c>
      <c r="T1973" s="17">
        <v>0</v>
      </c>
      <c r="U1973" s="17">
        <v>23</v>
      </c>
      <c r="V1973" s="13" t="str" cm="1">
        <f t="array" ref="V1973">_xlfn.IFS(U1973&lt;=250,"0-R$250",U1973&lt;=500,"251-R$500",U1973&lt;=750,"501-R$750",U1973&lt;=1000,"751-R$1000",U1973&lt;=1250,"1001-R$1250",U1973&lt;=1500,"1251-R$1500")</f>
        <v>0-R$250</v>
      </c>
      <c r="W1973" s="17">
        <v>1</v>
      </c>
      <c r="X1973" s="13" t="str" cm="1">
        <f t="array" ref="X1973">_xlfn.IFS(W1973 = 0, "0", W1973&lt;=20, "até R$20",W1973&lt;=40, "21 - R$40",W1973&lt;=60, "41- R$60",W1973&lt;=80, "61 - R$80", W1973&lt;=100, "81 - R$100",W1973&lt;=120, "101 - R$120",W1973&lt;=140, "121 - R$140", W1973&lt;=160, "141- R$160", W1973&lt;=180, "161 - R$180", W1973&lt;=200, "181-R$194")</f>
        <v>até R$20</v>
      </c>
      <c r="Y1973" s="17">
        <v>6</v>
      </c>
      <c r="Z1973" s="17">
        <v>0</v>
      </c>
      <c r="AA1973" s="17">
        <v>0</v>
      </c>
      <c r="AB1973" s="17">
        <v>2</v>
      </c>
      <c r="AC1973" s="17">
        <v>2</v>
      </c>
      <c r="AD1973" s="17">
        <v>1</v>
      </c>
      <c r="AE1973" s="17">
        <v>0</v>
      </c>
      <c r="AF1973" s="17">
        <v>3</v>
      </c>
      <c r="AG1973" s="17">
        <v>4</v>
      </c>
      <c r="AH1973" s="17">
        <v>0</v>
      </c>
      <c r="AI1973" s="17">
        <v>0</v>
      </c>
      <c r="AJ1973" s="17">
        <v>0</v>
      </c>
      <c r="AK1973" s="17">
        <v>0</v>
      </c>
      <c r="AL1973" s="17">
        <v>0</v>
      </c>
      <c r="AM1973" s="17">
        <v>0</v>
      </c>
      <c r="AN1973" s="17">
        <v>0</v>
      </c>
      <c r="AO1973" s="18">
        <v>0</v>
      </c>
      <c r="AP1973" s="17">
        <v>3</v>
      </c>
      <c r="AQ1973" s="17">
        <v>11</v>
      </c>
      <c r="AR1973" s="19">
        <v>28</v>
      </c>
      <c r="AS1973" s="19">
        <v>30</v>
      </c>
    </row>
    <row r="1974" spans="1:45" x14ac:dyDescent="0.25">
      <c r="A1974">
        <v>1707</v>
      </c>
      <c r="B1974" s="11">
        <f t="shared" si="30"/>
        <v>37244</v>
      </c>
      <c r="C1974" s="16">
        <v>372440</v>
      </c>
      <c r="D1974" s="17">
        <v>1</v>
      </c>
      <c r="E1974" s="17">
        <v>1</v>
      </c>
      <c r="F1974" s="17">
        <v>90</v>
      </c>
      <c r="G1974" s="17">
        <v>65</v>
      </c>
      <c r="H1974" s="13" t="str" cm="1">
        <f t="array" ref="H1974">_xlfn.IFS(G1974&lt;=20,"0-20",G1974&lt;=30,"20-30",G1974&lt;=40,"30-40",G1974&lt;=50,"50-60",G1974&lt;=60,"60-70",G1974&lt;=70,"70-80",G1974&lt;=80,"80-90")</f>
        <v>70-80</v>
      </c>
      <c r="I1974" s="17">
        <v>2587</v>
      </c>
      <c r="J1974" s="13" t="str" cm="1">
        <f t="array" ref="J1974">_xlfn.IFS(K1974=1,"Divorciado",L1974=1,"Casado",M1974=1,"Solteiro",N1974=1,"Juntos",O1974=1,"Viuvo")</f>
        <v>Divorciado</v>
      </c>
      <c r="K1974" s="17">
        <v>1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1</v>
      </c>
      <c r="S1974" s="17">
        <v>0</v>
      </c>
      <c r="T1974" s="17">
        <v>0</v>
      </c>
      <c r="U1974" s="17">
        <v>18</v>
      </c>
      <c r="V1974" s="13" t="str" cm="1">
        <f t="array" ref="V1974">_xlfn.IFS(U1974&lt;=250,"0-R$250",U1974&lt;=500,"251-R$500",U1974&lt;=750,"501-R$750",U1974&lt;=1000,"751-R$1000",U1974&lt;=1250,"1001-R$1250",U1974&lt;=1500,"1251-R$1500")</f>
        <v>0-R$250</v>
      </c>
      <c r="W1974" s="17">
        <v>2</v>
      </c>
      <c r="X1974" s="13" t="str" cm="1">
        <f t="array" ref="X1974">_xlfn.IFS(W1974 = 0, "0", W1974&lt;=20, "até R$20",W1974&lt;=40, "21 - R$40",W1974&lt;=60, "41- R$60",W1974&lt;=80, "61 - R$80", W1974&lt;=100, "81 - R$100",W1974&lt;=120, "101 - R$120",W1974&lt;=140, "121 - R$140", W1974&lt;=160, "141- R$160", W1974&lt;=180, "161 - R$180", W1974&lt;=200, "181-R$194")</f>
        <v>até R$20</v>
      </c>
      <c r="Y1974" s="17">
        <v>10</v>
      </c>
      <c r="Z1974" s="17">
        <v>0</v>
      </c>
      <c r="AA1974" s="17">
        <v>0</v>
      </c>
      <c r="AB1974" s="17">
        <v>25</v>
      </c>
      <c r="AC1974" s="17">
        <v>1</v>
      </c>
      <c r="AD1974" s="17">
        <v>1</v>
      </c>
      <c r="AE1974" s="17">
        <v>1</v>
      </c>
      <c r="AF1974" s="17">
        <v>2</v>
      </c>
      <c r="AG1974" s="17">
        <v>7</v>
      </c>
      <c r="AH1974" s="17">
        <v>0</v>
      </c>
      <c r="AI1974" s="17">
        <v>1</v>
      </c>
      <c r="AJ1974" s="17">
        <v>0</v>
      </c>
      <c r="AK1974" s="17">
        <v>0</v>
      </c>
      <c r="AL1974" s="17">
        <v>0</v>
      </c>
      <c r="AM1974" s="17">
        <v>0</v>
      </c>
      <c r="AN1974" s="17">
        <v>0</v>
      </c>
      <c r="AO1974" s="18">
        <v>1</v>
      </c>
      <c r="AP1974" s="17">
        <v>3</v>
      </c>
      <c r="AQ1974" s="17">
        <v>11</v>
      </c>
      <c r="AR1974" s="19">
        <v>5</v>
      </c>
      <c r="AS1974" s="19">
        <v>30</v>
      </c>
    </row>
    <row r="1975" spans="1:45" x14ac:dyDescent="0.25">
      <c r="A1975">
        <v>128</v>
      </c>
      <c r="B1975" s="11">
        <f t="shared" si="30"/>
        <v>35860</v>
      </c>
      <c r="C1975" s="12">
        <v>358600</v>
      </c>
      <c r="D1975" s="13">
        <v>1</v>
      </c>
      <c r="E1975" s="13">
        <v>1</v>
      </c>
      <c r="F1975" s="13">
        <v>37</v>
      </c>
      <c r="G1975" s="13">
        <v>47</v>
      </c>
      <c r="H1975" s="13" t="str" cm="1">
        <f t="array" ref="H1975">_xlfn.IFS(G1975&lt;=20,"0-20",G1975&lt;=30,"20-30",G1975&lt;=40,"30-40",G1975&lt;=50,"50-60",G1975&lt;=60,"60-70",G1975&lt;=70,"70-80",G1975&lt;=80,"80-90")</f>
        <v>50-60</v>
      </c>
      <c r="I1975" s="13">
        <v>2200</v>
      </c>
      <c r="J1975" s="13" t="str" cm="1">
        <f t="array" ref="J1975">_xlfn.IFS(K1975=1,"Divorciado",L1975=1,"Casado",M1975=1,"Solteiro",N1975=1,"Juntos",O1975=1,"Viuvo")</f>
        <v>Solteiro</v>
      </c>
      <c r="K1975" s="13">
        <v>0</v>
      </c>
      <c r="L1975" s="13">
        <v>0</v>
      </c>
      <c r="M1975" s="13">
        <v>1</v>
      </c>
      <c r="N1975" s="13">
        <v>0</v>
      </c>
      <c r="O1975" s="13">
        <v>0</v>
      </c>
      <c r="P1975" s="13">
        <v>0</v>
      </c>
      <c r="Q1975" s="13">
        <v>0</v>
      </c>
      <c r="R1975" s="13">
        <v>0</v>
      </c>
      <c r="S1975" s="13">
        <v>0</v>
      </c>
      <c r="T1975" s="13">
        <v>1</v>
      </c>
      <c r="U1975" s="13">
        <v>15</v>
      </c>
      <c r="V1975" s="13" t="str" cm="1">
        <f t="array" ref="V1975">_xlfn.IFS(U1975&lt;=250,"0-R$250",U1975&lt;=500,"251-R$500",U1975&lt;=750,"501-R$750",U1975&lt;=1000,"751-R$1000",U1975&lt;=1250,"1001-R$1250",U1975&lt;=1500,"1251-R$1500")</f>
        <v>0-R$250</v>
      </c>
      <c r="W1975" s="13">
        <v>0</v>
      </c>
      <c r="X1975" s="13" t="str" cm="1">
        <f t="array" ref="X1975">_xlfn.IFS(W1975 = 0, "0", W1975&lt;=20, "até R$20",W1975&lt;=40, "21 - R$40",W1975&lt;=60, "41- R$60",W1975&lt;=80, "61 - R$80", W1975&lt;=100, "81 - R$100",W1975&lt;=120, "101 - R$120",W1975&lt;=140, "121 - R$140", W1975&lt;=160, "141- R$160", W1975&lt;=180, "161 - R$180", W1975&lt;=200, "181-R$194")</f>
        <v>0</v>
      </c>
      <c r="Y1975" s="13">
        <v>8</v>
      </c>
      <c r="Z1975" s="13">
        <v>4</v>
      </c>
      <c r="AA1975" s="13">
        <v>2</v>
      </c>
      <c r="AB1975" s="13">
        <v>20</v>
      </c>
      <c r="AC1975" s="13">
        <v>2</v>
      </c>
      <c r="AD1975" s="13">
        <v>1</v>
      </c>
      <c r="AE1975" s="13">
        <v>1</v>
      </c>
      <c r="AF1975" s="13">
        <v>2</v>
      </c>
      <c r="AG1975" s="13">
        <v>5</v>
      </c>
      <c r="AH1975" s="13">
        <v>0</v>
      </c>
      <c r="AI1975" s="13">
        <v>1</v>
      </c>
      <c r="AJ1975" s="13">
        <v>0</v>
      </c>
      <c r="AK1975" s="13">
        <v>0</v>
      </c>
      <c r="AL1975" s="13">
        <v>0</v>
      </c>
      <c r="AM1975" s="13">
        <v>0</v>
      </c>
      <c r="AN1975" s="13">
        <v>1</v>
      </c>
      <c r="AO1975" s="14">
        <v>1</v>
      </c>
      <c r="AP1975" s="13">
        <v>3</v>
      </c>
      <c r="AQ1975" s="13">
        <v>11</v>
      </c>
      <c r="AR1975" s="15">
        <v>9</v>
      </c>
      <c r="AS1975" s="15">
        <v>29</v>
      </c>
    </row>
    <row r="1976" spans="1:45" x14ac:dyDescent="0.25">
      <c r="A1976">
        <v>159</v>
      </c>
      <c r="B1976" s="11">
        <f t="shared" si="30"/>
        <v>33456</v>
      </c>
      <c r="C1976" s="16">
        <v>334560</v>
      </c>
      <c r="D1976" s="17">
        <v>1</v>
      </c>
      <c r="E1976" s="17">
        <v>1</v>
      </c>
      <c r="F1976" s="17">
        <v>58</v>
      </c>
      <c r="G1976" s="17">
        <v>55</v>
      </c>
      <c r="H1976" s="13" t="str" cm="1">
        <f t="array" ref="H1976">_xlfn.IFS(G1976&lt;=20,"0-20",G1976&lt;=30,"20-30",G1976&lt;=40,"30-40",G1976&lt;=50,"50-60",G1976&lt;=60,"60-70",G1976&lt;=70,"70-80",G1976&lt;=80,"80-90")</f>
        <v>60-70</v>
      </c>
      <c r="I1976" s="17">
        <v>2228</v>
      </c>
      <c r="J1976" s="13" t="str" cm="1">
        <f t="array" ref="J1976">_xlfn.IFS(K1976=1,"Divorciado",L1976=1,"Casado",M1976=1,"Solteiro",N1976=1,"Juntos",O1976=1,"Viuvo")</f>
        <v>Juntos</v>
      </c>
      <c r="K1976" s="17">
        <v>0</v>
      </c>
      <c r="L1976" s="17">
        <v>0</v>
      </c>
      <c r="M1976" s="17">
        <v>0</v>
      </c>
      <c r="N1976" s="17">
        <v>1</v>
      </c>
      <c r="O1976" s="17">
        <v>0</v>
      </c>
      <c r="P1976" s="17">
        <v>0</v>
      </c>
      <c r="Q1976" s="17">
        <v>0</v>
      </c>
      <c r="R1976" s="17">
        <v>1</v>
      </c>
      <c r="S1976" s="17">
        <v>0</v>
      </c>
      <c r="T1976" s="17">
        <v>0</v>
      </c>
      <c r="U1976" s="17">
        <v>7</v>
      </c>
      <c r="V1976" s="13" t="str" cm="1">
        <f t="array" ref="V1976">_xlfn.IFS(U1976&lt;=250,"0-R$250",U1976&lt;=500,"251-R$500",U1976&lt;=750,"501-R$750",U1976&lt;=1000,"751-R$1000",U1976&lt;=1250,"1001-R$1250",U1976&lt;=1500,"1251-R$1500")</f>
        <v>0-R$250</v>
      </c>
      <c r="W1976" s="17">
        <v>3</v>
      </c>
      <c r="X1976" s="13" t="str" cm="1">
        <f t="array" ref="X1976">_xlfn.IFS(W1976 = 0, "0", W1976&lt;=20, "até R$20",W1976&lt;=40, "21 - R$40",W1976&lt;=60, "41- R$60",W1976&lt;=80, "61 - R$80", W1976&lt;=100, "81 - R$100",W1976&lt;=120, "101 - R$120",W1976&lt;=140, "121 - R$140", W1976&lt;=160, "141- R$160", W1976&lt;=180, "161 - R$180", W1976&lt;=200, "181-R$194")</f>
        <v>até R$20</v>
      </c>
      <c r="Y1976" s="17">
        <v>10</v>
      </c>
      <c r="Z1976" s="17">
        <v>8</v>
      </c>
      <c r="AA1976" s="17">
        <v>1</v>
      </c>
      <c r="AB1976" s="17">
        <v>7</v>
      </c>
      <c r="AC1976" s="17">
        <v>2</v>
      </c>
      <c r="AD1976" s="17">
        <v>1</v>
      </c>
      <c r="AE1976" s="17">
        <v>0</v>
      </c>
      <c r="AF1976" s="17">
        <v>3</v>
      </c>
      <c r="AG1976" s="17">
        <v>7</v>
      </c>
      <c r="AH1976" s="17">
        <v>0</v>
      </c>
      <c r="AI1976" s="17">
        <v>0</v>
      </c>
      <c r="AJ1976" s="17">
        <v>0</v>
      </c>
      <c r="AK1976" s="17">
        <v>0</v>
      </c>
      <c r="AL1976" s="17">
        <v>0</v>
      </c>
      <c r="AM1976" s="17">
        <v>0</v>
      </c>
      <c r="AN1976" s="17">
        <v>0</v>
      </c>
      <c r="AO1976" s="18">
        <v>0</v>
      </c>
      <c r="AP1976" s="17">
        <v>3</v>
      </c>
      <c r="AQ1976" s="17">
        <v>11</v>
      </c>
      <c r="AR1976" s="19">
        <v>22</v>
      </c>
      <c r="AS1976" s="19">
        <v>29</v>
      </c>
    </row>
    <row r="1977" spans="1:45" x14ac:dyDescent="0.25">
      <c r="A1977">
        <v>460</v>
      </c>
      <c r="B1977" s="11">
        <f t="shared" si="30"/>
        <v>41644</v>
      </c>
      <c r="C1977" s="12">
        <v>416440</v>
      </c>
      <c r="D1977" s="13">
        <v>1</v>
      </c>
      <c r="E1977" s="13">
        <v>1</v>
      </c>
      <c r="F1977" s="13">
        <v>67</v>
      </c>
      <c r="G1977" s="13">
        <v>48</v>
      </c>
      <c r="H1977" s="13" t="str" cm="1">
        <f t="array" ref="H1977">_xlfn.IFS(G1977&lt;=20,"0-20",G1977&lt;=30,"20-30",G1977&lt;=40,"30-40",G1977&lt;=50,"50-60",G1977&lt;=60,"60-70",G1977&lt;=70,"70-80",G1977&lt;=80,"80-90")</f>
        <v>50-60</v>
      </c>
      <c r="I1977" s="13">
        <v>2210</v>
      </c>
      <c r="J1977" s="13" t="str" cm="1">
        <f t="array" ref="J1977">_xlfn.IFS(K1977=1,"Divorciado",L1977=1,"Casado",M1977=1,"Solteiro",N1977=1,"Juntos",O1977=1,"Viuvo")</f>
        <v>Solteiro</v>
      </c>
      <c r="K1977" s="13">
        <v>0</v>
      </c>
      <c r="L1977" s="13">
        <v>0</v>
      </c>
      <c r="M1977" s="13">
        <v>1</v>
      </c>
      <c r="N1977" s="13">
        <v>0</v>
      </c>
      <c r="O1977" s="13">
        <v>0</v>
      </c>
      <c r="P1977" s="13">
        <v>0</v>
      </c>
      <c r="Q1977" s="13">
        <v>0</v>
      </c>
      <c r="R1977" s="13">
        <v>0</v>
      </c>
      <c r="S1977" s="13">
        <v>0</v>
      </c>
      <c r="T1977" s="13">
        <v>1</v>
      </c>
      <c r="U1977" s="13">
        <v>20</v>
      </c>
      <c r="V1977" s="13" t="str" cm="1">
        <f t="array" ref="V1977">_xlfn.IFS(U1977&lt;=250,"0-R$250",U1977&lt;=500,"251-R$500",U1977&lt;=750,"501-R$750",U1977&lt;=1000,"751-R$1000",U1977&lt;=1250,"1001-R$1250",U1977&lt;=1500,"1251-R$1500")</f>
        <v>0-R$250</v>
      </c>
      <c r="W1977" s="13">
        <v>3</v>
      </c>
      <c r="X1977" s="13" t="str" cm="1">
        <f t="array" ref="X1977">_xlfn.IFS(W1977 = 0, "0", W1977&lt;=20, "até R$20",W1977&lt;=40, "21 - R$40",W1977&lt;=60, "41- R$60",W1977&lt;=80, "61 - R$80", W1977&lt;=100, "81 - R$100",W1977&lt;=120, "101 - R$120",W1977&lt;=140, "121 - R$140", W1977&lt;=160, "141- R$160", W1977&lt;=180, "161 - R$180", W1977&lt;=200, "181-R$194")</f>
        <v>até R$20</v>
      </c>
      <c r="Y1977" s="13">
        <v>4</v>
      </c>
      <c r="Z1977" s="13">
        <v>2</v>
      </c>
      <c r="AA1977" s="13">
        <v>0</v>
      </c>
      <c r="AB1977" s="13">
        <v>2</v>
      </c>
      <c r="AC1977" s="13">
        <v>2</v>
      </c>
      <c r="AD1977" s="13">
        <v>1</v>
      </c>
      <c r="AE1977" s="13">
        <v>0</v>
      </c>
      <c r="AF1977" s="13">
        <v>3</v>
      </c>
      <c r="AG1977" s="13">
        <v>3</v>
      </c>
      <c r="AH1977" s="13">
        <v>0</v>
      </c>
      <c r="AI1977" s="13">
        <v>0</v>
      </c>
      <c r="AJ1977" s="13">
        <v>0</v>
      </c>
      <c r="AK1977" s="13">
        <v>0</v>
      </c>
      <c r="AL1977" s="13">
        <v>0</v>
      </c>
      <c r="AM1977" s="13">
        <v>0</v>
      </c>
      <c r="AN1977" s="13">
        <v>0</v>
      </c>
      <c r="AO1977" s="14">
        <v>0</v>
      </c>
      <c r="AP1977" s="13">
        <v>3</v>
      </c>
      <c r="AQ1977" s="13">
        <v>11</v>
      </c>
      <c r="AR1977" s="15">
        <v>27</v>
      </c>
      <c r="AS1977" s="15">
        <v>29</v>
      </c>
    </row>
    <row r="1978" spans="1:45" x14ac:dyDescent="0.25">
      <c r="A1978">
        <v>1044</v>
      </c>
      <c r="B1978" s="11">
        <f t="shared" si="30"/>
        <v>35860</v>
      </c>
      <c r="C1978" s="12">
        <v>358600</v>
      </c>
      <c r="D1978" s="13">
        <v>1</v>
      </c>
      <c r="E1978" s="13">
        <v>1</v>
      </c>
      <c r="F1978" s="13">
        <v>37</v>
      </c>
      <c r="G1978" s="13">
        <v>47</v>
      </c>
      <c r="H1978" s="13" t="str" cm="1">
        <f t="array" ref="H1978">_xlfn.IFS(G1978&lt;=20,"0-20",G1978&lt;=30,"20-30",G1978&lt;=40,"30-40",G1978&lt;=50,"50-60",G1978&lt;=60,"60-70",G1978&lt;=70,"70-80",G1978&lt;=80,"80-90")</f>
        <v>50-60</v>
      </c>
      <c r="I1978" s="13">
        <v>2200</v>
      </c>
      <c r="J1978" s="13" t="str" cm="1">
        <f t="array" ref="J1978">_xlfn.IFS(K1978=1,"Divorciado",L1978=1,"Casado",M1978=1,"Solteiro",N1978=1,"Juntos",O1978=1,"Viuvo")</f>
        <v>Divorciado</v>
      </c>
      <c r="K1978" s="13">
        <v>1</v>
      </c>
      <c r="L1978" s="13">
        <v>0</v>
      </c>
      <c r="M1978" s="13">
        <v>0</v>
      </c>
      <c r="N1978" s="13">
        <v>0</v>
      </c>
      <c r="O1978" s="13">
        <v>0</v>
      </c>
      <c r="P1978" s="13">
        <v>0</v>
      </c>
      <c r="Q1978" s="13">
        <v>0</v>
      </c>
      <c r="R1978" s="13">
        <v>0</v>
      </c>
      <c r="S1978" s="13">
        <v>0</v>
      </c>
      <c r="T1978" s="13">
        <v>1</v>
      </c>
      <c r="U1978" s="13">
        <v>15</v>
      </c>
      <c r="V1978" s="13" t="str" cm="1">
        <f t="array" ref="V1978">_xlfn.IFS(U1978&lt;=250,"0-R$250",U1978&lt;=500,"251-R$500",U1978&lt;=750,"501-R$750",U1978&lt;=1000,"751-R$1000",U1978&lt;=1250,"1001-R$1250",U1978&lt;=1500,"1251-R$1500")</f>
        <v>0-R$250</v>
      </c>
      <c r="W1978" s="13">
        <v>0</v>
      </c>
      <c r="X1978" s="13" t="str" cm="1">
        <f t="array" ref="X1978">_xlfn.IFS(W1978 = 0, "0", W1978&lt;=20, "até R$20",W1978&lt;=40, "21 - R$40",W1978&lt;=60, "41- R$60",W1978&lt;=80, "61 - R$80", W1978&lt;=100, "81 - R$100",W1978&lt;=120, "101 - R$120",W1978&lt;=140, "121 - R$140", W1978&lt;=160, "141- R$160", W1978&lt;=180, "161 - R$180", W1978&lt;=200, "181-R$194")</f>
        <v>0</v>
      </c>
      <c r="Y1978" s="13">
        <v>8</v>
      </c>
      <c r="Z1978" s="13">
        <v>4</v>
      </c>
      <c r="AA1978" s="13">
        <v>2</v>
      </c>
      <c r="AB1978" s="13">
        <v>20</v>
      </c>
      <c r="AC1978" s="13">
        <v>2</v>
      </c>
      <c r="AD1978" s="13">
        <v>1</v>
      </c>
      <c r="AE1978" s="13">
        <v>1</v>
      </c>
      <c r="AF1978" s="13">
        <v>2</v>
      </c>
      <c r="AG1978" s="13">
        <v>5</v>
      </c>
      <c r="AH1978" s="13">
        <v>0</v>
      </c>
      <c r="AI1978" s="13">
        <v>1</v>
      </c>
      <c r="AJ1978" s="13">
        <v>0</v>
      </c>
      <c r="AK1978" s="13">
        <v>0</v>
      </c>
      <c r="AL1978" s="13">
        <v>0</v>
      </c>
      <c r="AM1978" s="13">
        <v>0</v>
      </c>
      <c r="AN1978" s="13">
        <v>0</v>
      </c>
      <c r="AO1978" s="14">
        <v>1</v>
      </c>
      <c r="AP1978" s="13">
        <v>3</v>
      </c>
      <c r="AQ1978" s="13">
        <v>11</v>
      </c>
      <c r="AR1978" s="15">
        <v>9</v>
      </c>
      <c r="AS1978" s="15">
        <v>29</v>
      </c>
    </row>
    <row r="1979" spans="1:45" x14ac:dyDescent="0.25">
      <c r="A1979">
        <v>1241</v>
      </c>
      <c r="B1979" s="11">
        <f t="shared" si="30"/>
        <v>35860</v>
      </c>
      <c r="C1979" s="16">
        <v>358600</v>
      </c>
      <c r="D1979" s="17">
        <v>1</v>
      </c>
      <c r="E1979" s="17">
        <v>1</v>
      </c>
      <c r="F1979" s="17">
        <v>37</v>
      </c>
      <c r="G1979" s="17">
        <v>47</v>
      </c>
      <c r="H1979" s="13" t="str" cm="1">
        <f t="array" ref="H1979">_xlfn.IFS(G1979&lt;=20,"0-20",G1979&lt;=30,"20-30",G1979&lt;=40,"30-40",G1979&lt;=50,"50-60",G1979&lt;=60,"60-70",G1979&lt;=70,"70-80",G1979&lt;=80,"80-90")</f>
        <v>50-60</v>
      </c>
      <c r="I1979" s="17">
        <v>2200</v>
      </c>
      <c r="J1979" s="13" t="str" cm="1">
        <f t="array" ref="J1979">_xlfn.IFS(K1979=1,"Divorciado",L1979=1,"Casado",M1979=1,"Solteiro",N1979=1,"Juntos",O1979=1,"Viuvo")</f>
        <v>Divorciado</v>
      </c>
      <c r="K1979" s="17">
        <v>1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1</v>
      </c>
      <c r="U1979" s="17">
        <v>15</v>
      </c>
      <c r="V1979" s="13" t="str" cm="1">
        <f t="array" ref="V1979">_xlfn.IFS(U1979&lt;=250,"0-R$250",U1979&lt;=500,"251-R$500",U1979&lt;=750,"501-R$750",U1979&lt;=1000,"751-R$1000",U1979&lt;=1250,"1001-R$1250",U1979&lt;=1500,"1251-R$1500")</f>
        <v>0-R$250</v>
      </c>
      <c r="W1979" s="17">
        <v>0</v>
      </c>
      <c r="X1979" s="13" t="str" cm="1">
        <f t="array" ref="X1979">_xlfn.IFS(W1979 = 0, "0", W1979&lt;=20, "até R$20",W1979&lt;=40, "21 - R$40",W1979&lt;=60, "41- R$60",W1979&lt;=80, "61 - R$80", W1979&lt;=100, "81 - R$100",W1979&lt;=120, "101 - R$120",W1979&lt;=140, "121 - R$140", W1979&lt;=160, "141- R$160", W1979&lt;=180, "161 - R$180", W1979&lt;=200, "181-R$194")</f>
        <v>0</v>
      </c>
      <c r="Y1979" s="17">
        <v>8</v>
      </c>
      <c r="Z1979" s="17">
        <v>4</v>
      </c>
      <c r="AA1979" s="17">
        <v>2</v>
      </c>
      <c r="AB1979" s="17">
        <v>20</v>
      </c>
      <c r="AC1979" s="17">
        <v>2</v>
      </c>
      <c r="AD1979" s="17">
        <v>1</v>
      </c>
      <c r="AE1979" s="17">
        <v>1</v>
      </c>
      <c r="AF1979" s="17">
        <v>2</v>
      </c>
      <c r="AG1979" s="17">
        <v>5</v>
      </c>
      <c r="AH1979" s="17">
        <v>0</v>
      </c>
      <c r="AI1979" s="17">
        <v>1</v>
      </c>
      <c r="AJ1979" s="17">
        <v>0</v>
      </c>
      <c r="AK1979" s="17">
        <v>0</v>
      </c>
      <c r="AL1979" s="17">
        <v>0</v>
      </c>
      <c r="AM1979" s="17">
        <v>0</v>
      </c>
      <c r="AN1979" s="17">
        <v>0</v>
      </c>
      <c r="AO1979" s="18">
        <v>1</v>
      </c>
      <c r="AP1979" s="17">
        <v>3</v>
      </c>
      <c r="AQ1979" s="17">
        <v>11</v>
      </c>
      <c r="AR1979" s="19">
        <v>9</v>
      </c>
      <c r="AS1979" s="19">
        <v>29</v>
      </c>
    </row>
    <row r="1980" spans="1:45" x14ac:dyDescent="0.25">
      <c r="A1980">
        <v>1318</v>
      </c>
      <c r="B1980" s="11">
        <f t="shared" si="30"/>
        <v>40049</v>
      </c>
      <c r="C1980" s="12">
        <v>400490</v>
      </c>
      <c r="D1980" s="13">
        <v>0</v>
      </c>
      <c r="E1980" s="13">
        <v>1</v>
      </c>
      <c r="F1980" s="13">
        <v>23</v>
      </c>
      <c r="G1980" s="13">
        <v>68</v>
      </c>
      <c r="H1980" s="13" t="str" cm="1">
        <f t="array" ref="H1980">_xlfn.IFS(G1980&lt;=20,"0-20",G1980&lt;=30,"20-30",G1980&lt;=40,"30-40",G1980&lt;=50,"50-60",G1980&lt;=60,"60-70",G1980&lt;=70,"70-80",G1980&lt;=80,"80-90")</f>
        <v>70-80</v>
      </c>
      <c r="I1980" s="13">
        <v>2415</v>
      </c>
      <c r="J1980" s="13" t="str" cm="1">
        <f t="array" ref="J1980">_xlfn.IFS(K1980=1,"Divorciado",L1980=1,"Casado",M1980=1,"Solteiro",N1980=1,"Juntos",O1980=1,"Viuvo")</f>
        <v>Viuvo</v>
      </c>
      <c r="K1980" s="13">
        <v>0</v>
      </c>
      <c r="L1980" s="13">
        <v>0</v>
      </c>
      <c r="M1980" s="13">
        <v>0</v>
      </c>
      <c r="N1980" s="13">
        <v>0</v>
      </c>
      <c r="O1980" s="13">
        <v>1</v>
      </c>
      <c r="P1980" s="13">
        <v>0</v>
      </c>
      <c r="Q1980" s="13">
        <v>0</v>
      </c>
      <c r="R1980" s="13">
        <v>1</v>
      </c>
      <c r="S1980" s="13">
        <v>0</v>
      </c>
      <c r="T1980" s="13">
        <v>0</v>
      </c>
      <c r="U1980" s="13">
        <v>13</v>
      </c>
      <c r="V1980" s="13" t="str" cm="1">
        <f t="array" ref="V1980">_xlfn.IFS(U1980&lt;=250,"0-R$250",U1980&lt;=500,"251-R$500",U1980&lt;=750,"501-R$750",U1980&lt;=1000,"751-R$1000",U1980&lt;=1250,"1001-R$1250",U1980&lt;=1500,"1251-R$1500")</f>
        <v>0-R$250</v>
      </c>
      <c r="W1980" s="13">
        <v>6</v>
      </c>
      <c r="X1980" s="13" t="str" cm="1">
        <f t="array" ref="X1980">_xlfn.IFS(W1980 = 0, "0", W1980&lt;=20, "até R$20",W1980&lt;=40, "21 - R$40",W1980&lt;=60, "41- R$60",W1980&lt;=80, "61 - R$80", W1980&lt;=100, "81 - R$100",W1980&lt;=120, "101 - R$120",W1980&lt;=140, "121 - R$140", W1980&lt;=160, "141- R$160", W1980&lt;=180, "161 - R$180", W1980&lt;=200, "181-R$194")</f>
        <v>até R$20</v>
      </c>
      <c r="Y1980" s="13">
        <v>7</v>
      </c>
      <c r="Z1980" s="13">
        <v>0</v>
      </c>
      <c r="AA1980" s="13">
        <v>3</v>
      </c>
      <c r="AB1980" s="13">
        <v>3</v>
      </c>
      <c r="AC1980" s="13">
        <v>1</v>
      </c>
      <c r="AD1980" s="13">
        <v>1</v>
      </c>
      <c r="AE1980" s="13">
        <v>0</v>
      </c>
      <c r="AF1980" s="13">
        <v>3</v>
      </c>
      <c r="AG1980" s="13">
        <v>6</v>
      </c>
      <c r="AH1980" s="13">
        <v>0</v>
      </c>
      <c r="AI1980" s="13">
        <v>0</v>
      </c>
      <c r="AJ1980" s="13">
        <v>0</v>
      </c>
      <c r="AK1980" s="13">
        <v>0</v>
      </c>
      <c r="AL1980" s="13">
        <v>0</v>
      </c>
      <c r="AM1980" s="13">
        <v>0</v>
      </c>
      <c r="AN1980" s="13">
        <v>0</v>
      </c>
      <c r="AO1980" s="14">
        <v>0</v>
      </c>
      <c r="AP1980" s="13">
        <v>3</v>
      </c>
      <c r="AQ1980" s="13">
        <v>11</v>
      </c>
      <c r="AR1980" s="15">
        <v>26</v>
      </c>
      <c r="AS1980" s="15">
        <v>29</v>
      </c>
    </row>
    <row r="1981" spans="1:45" x14ac:dyDescent="0.25">
      <c r="A1981">
        <v>1561</v>
      </c>
      <c r="B1981" s="11">
        <f t="shared" si="30"/>
        <v>35860</v>
      </c>
      <c r="C1981" s="16">
        <v>358600</v>
      </c>
      <c r="D1981" s="17">
        <v>1</v>
      </c>
      <c r="E1981" s="17">
        <v>1</v>
      </c>
      <c r="F1981" s="17">
        <v>37</v>
      </c>
      <c r="G1981" s="17">
        <v>47</v>
      </c>
      <c r="H1981" s="13" t="str" cm="1">
        <f t="array" ref="H1981">_xlfn.IFS(G1981&lt;=20,"0-20",G1981&lt;=30,"20-30",G1981&lt;=40,"30-40",G1981&lt;=50,"50-60",G1981&lt;=60,"60-70",G1981&lt;=70,"70-80",G1981&lt;=80,"80-90")</f>
        <v>50-60</v>
      </c>
      <c r="I1981" s="17">
        <v>2200</v>
      </c>
      <c r="J1981" s="13" t="str" cm="1">
        <f t="array" ref="J1981">_xlfn.IFS(K1981=1,"Divorciado",L1981=1,"Casado",M1981=1,"Solteiro",N1981=1,"Juntos",O1981=1,"Viuvo")</f>
        <v>Divorciado</v>
      </c>
      <c r="K1981" s="17">
        <v>1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1</v>
      </c>
      <c r="U1981" s="17">
        <v>15</v>
      </c>
      <c r="V1981" s="13" t="str" cm="1">
        <f t="array" ref="V1981">_xlfn.IFS(U1981&lt;=250,"0-R$250",U1981&lt;=500,"251-R$500",U1981&lt;=750,"501-R$750",U1981&lt;=1000,"751-R$1000",U1981&lt;=1250,"1001-R$1250",U1981&lt;=1500,"1251-R$1500")</f>
        <v>0-R$250</v>
      </c>
      <c r="W1981" s="17">
        <v>0</v>
      </c>
      <c r="X1981" s="13" t="str" cm="1">
        <f t="array" ref="X1981">_xlfn.IFS(W1981 = 0, "0", W1981&lt;=20, "até R$20",W1981&lt;=40, "21 - R$40",W1981&lt;=60, "41- R$60",W1981&lt;=80, "61 - R$80", W1981&lt;=100, "81 - R$100",W1981&lt;=120, "101 - R$120",W1981&lt;=140, "121 - R$140", W1981&lt;=160, "141- R$160", W1981&lt;=180, "161 - R$180", W1981&lt;=200, "181-R$194")</f>
        <v>0</v>
      </c>
      <c r="Y1981" s="17">
        <v>8</v>
      </c>
      <c r="Z1981" s="17">
        <v>4</v>
      </c>
      <c r="AA1981" s="17">
        <v>2</v>
      </c>
      <c r="AB1981" s="17">
        <v>20</v>
      </c>
      <c r="AC1981" s="17">
        <v>2</v>
      </c>
      <c r="AD1981" s="17">
        <v>1</v>
      </c>
      <c r="AE1981" s="17">
        <v>1</v>
      </c>
      <c r="AF1981" s="17">
        <v>2</v>
      </c>
      <c r="AG1981" s="17">
        <v>5</v>
      </c>
      <c r="AH1981" s="17">
        <v>0</v>
      </c>
      <c r="AI1981" s="17">
        <v>1</v>
      </c>
      <c r="AJ1981" s="17">
        <v>0</v>
      </c>
      <c r="AK1981" s="17">
        <v>0</v>
      </c>
      <c r="AL1981" s="17">
        <v>0</v>
      </c>
      <c r="AM1981" s="17">
        <v>0</v>
      </c>
      <c r="AN1981" s="17">
        <v>1</v>
      </c>
      <c r="AO1981" s="18">
        <v>1</v>
      </c>
      <c r="AP1981" s="17">
        <v>3</v>
      </c>
      <c r="AQ1981" s="17">
        <v>11</v>
      </c>
      <c r="AR1981" s="19">
        <v>9</v>
      </c>
      <c r="AS1981" s="19">
        <v>29</v>
      </c>
    </row>
    <row r="1982" spans="1:45" x14ac:dyDescent="0.25">
      <c r="A1982">
        <v>85</v>
      </c>
      <c r="B1982" s="11">
        <f t="shared" si="30"/>
        <v>42394</v>
      </c>
      <c r="C1982" s="16">
        <v>423940</v>
      </c>
      <c r="D1982" s="17">
        <v>1</v>
      </c>
      <c r="E1982" s="17">
        <v>0</v>
      </c>
      <c r="F1982" s="17">
        <v>69</v>
      </c>
      <c r="G1982" s="17">
        <v>48</v>
      </c>
      <c r="H1982" s="13" t="str" cm="1">
        <f t="array" ref="H1982">_xlfn.IFS(G1982&lt;=20,"0-20",G1982&lt;=30,"20-30",G1982&lt;=40,"30-40",G1982&lt;=50,"50-60",G1982&lt;=60,"60-70",G1982&lt;=70,"70-80",G1982&lt;=80,"80-90")</f>
        <v>50-60</v>
      </c>
      <c r="I1982" s="17">
        <v>2257</v>
      </c>
      <c r="J1982" s="13" t="str" cm="1">
        <f t="array" ref="J1982">_xlfn.IFS(K1982=1,"Divorciado",L1982=1,"Casado",M1982=1,"Solteiro",N1982=1,"Juntos",O1982=1,"Viuvo")</f>
        <v>Solteiro</v>
      </c>
      <c r="K1982" s="17">
        <v>0</v>
      </c>
      <c r="L1982" s="17">
        <v>0</v>
      </c>
      <c r="M1982" s="17">
        <v>1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1</v>
      </c>
      <c r="T1982" s="17">
        <v>0</v>
      </c>
      <c r="U1982" s="17">
        <v>15</v>
      </c>
      <c r="V1982" s="13" t="str" cm="1">
        <f t="array" ref="V1982">_xlfn.IFS(U1982&lt;=250,"0-R$250",U1982&lt;=500,"251-R$500",U1982&lt;=750,"501-R$750",U1982&lt;=1000,"751-R$1000",U1982&lt;=1250,"1001-R$1250",U1982&lt;=1500,"1251-R$1500")</f>
        <v>0-R$250</v>
      </c>
      <c r="W1982" s="17">
        <v>2</v>
      </c>
      <c r="X1982" s="13" t="str" cm="1">
        <f t="array" ref="X1982">_xlfn.IFS(W1982 = 0, "0", W1982&lt;=20, "até R$20",W1982&lt;=40, "21 - R$40",W1982&lt;=60, "41- R$60",W1982&lt;=80, "61 - R$80", W1982&lt;=100, "81 - R$100",W1982&lt;=120, "101 - R$120",W1982&lt;=140, "121 - R$140", W1982&lt;=160, "141- R$160", W1982&lt;=180, "161 - R$180", W1982&lt;=200, "181-R$194")</f>
        <v>até R$20</v>
      </c>
      <c r="Y1982" s="17">
        <v>10</v>
      </c>
      <c r="Z1982" s="17">
        <v>0</v>
      </c>
      <c r="AA1982" s="17">
        <v>1</v>
      </c>
      <c r="AB1982" s="17">
        <v>4</v>
      </c>
      <c r="AC1982" s="17">
        <v>1</v>
      </c>
      <c r="AD1982" s="17">
        <v>1</v>
      </c>
      <c r="AE1982" s="17">
        <v>0</v>
      </c>
      <c r="AF1982" s="17">
        <v>3</v>
      </c>
      <c r="AG1982" s="17">
        <v>7</v>
      </c>
      <c r="AH1982" s="17">
        <v>0</v>
      </c>
      <c r="AI1982" s="17">
        <v>0</v>
      </c>
      <c r="AJ1982" s="17">
        <v>0</v>
      </c>
      <c r="AK1982" s="17">
        <v>0</v>
      </c>
      <c r="AL1982" s="17">
        <v>0</v>
      </c>
      <c r="AM1982" s="17">
        <v>0</v>
      </c>
      <c r="AN1982" s="17">
        <v>0</v>
      </c>
      <c r="AO1982" s="18">
        <v>0</v>
      </c>
      <c r="AP1982" s="17">
        <v>3</v>
      </c>
      <c r="AQ1982" s="17">
        <v>11</v>
      </c>
      <c r="AR1982" s="19">
        <v>24</v>
      </c>
      <c r="AS1982" s="19">
        <v>28</v>
      </c>
    </row>
    <row r="1983" spans="1:45" x14ac:dyDescent="0.25">
      <c r="A1983">
        <v>369</v>
      </c>
      <c r="B1983" s="11">
        <f t="shared" si="30"/>
        <v>10245</v>
      </c>
      <c r="C1983" s="16">
        <v>102450</v>
      </c>
      <c r="D1983" s="17">
        <v>1</v>
      </c>
      <c r="E1983" s="17">
        <v>0</v>
      </c>
      <c r="F1983" s="17">
        <v>32</v>
      </c>
      <c r="G1983" s="17">
        <v>49</v>
      </c>
      <c r="H1983" s="13" t="str" cm="1">
        <f t="array" ref="H1983">_xlfn.IFS(G1983&lt;=20,"0-20",G1983&lt;=30,"20-30",G1983&lt;=40,"30-40",G1983&lt;=50,"50-60",G1983&lt;=60,"60-70",G1983&lt;=70,"70-80",G1983&lt;=80,"80-90")</f>
        <v>50-60</v>
      </c>
      <c r="I1983" s="17">
        <v>2569</v>
      </c>
      <c r="J1983" s="13" t="str" cm="1">
        <f t="array" ref="J1983">_xlfn.IFS(K1983=1,"Divorciado",L1983=1,"Casado",M1983=1,"Solteiro",N1983=1,"Juntos",O1983=1,"Viuvo")</f>
        <v>Solteiro</v>
      </c>
      <c r="K1983" s="17">
        <v>0</v>
      </c>
      <c r="L1983" s="17">
        <v>0</v>
      </c>
      <c r="M1983" s="17">
        <v>1</v>
      </c>
      <c r="N1983" s="17">
        <v>0</v>
      </c>
      <c r="O1983" s="17">
        <v>0</v>
      </c>
      <c r="P1983" s="17">
        <v>0</v>
      </c>
      <c r="Q1983" s="17">
        <v>0</v>
      </c>
      <c r="R1983" s="17">
        <v>1</v>
      </c>
      <c r="S1983" s="17">
        <v>0</v>
      </c>
      <c r="T1983" s="17">
        <v>0</v>
      </c>
      <c r="U1983" s="17">
        <v>4</v>
      </c>
      <c r="V1983" s="13" t="str" cm="1">
        <f t="array" ref="V1983">_xlfn.IFS(U1983&lt;=250,"0-R$250",U1983&lt;=500,"251-R$500",U1983&lt;=750,"501-R$750",U1983&lt;=1000,"751-R$1000",U1983&lt;=1250,"1001-R$1250",U1983&lt;=1500,"1251-R$1500")</f>
        <v>0-R$250</v>
      </c>
      <c r="W1983" s="17">
        <v>7</v>
      </c>
      <c r="X1983" s="13" t="str" cm="1">
        <f t="array" ref="X1983">_xlfn.IFS(W1983 = 0, "0", W1983&lt;=20, "até R$20",W1983&lt;=40, "21 - R$40",W1983&lt;=60, "41- R$60",W1983&lt;=80, "61 - R$80", W1983&lt;=100, "81 - R$100",W1983&lt;=120, "101 - R$120",W1983&lt;=140, "121 - R$140", W1983&lt;=160, "141- R$160", W1983&lt;=180, "161 - R$180", W1983&lt;=200, "181-R$194")</f>
        <v>até R$20</v>
      </c>
      <c r="Y1983" s="17">
        <v>7</v>
      </c>
      <c r="Z1983" s="17">
        <v>6</v>
      </c>
      <c r="AA1983" s="17">
        <v>4</v>
      </c>
      <c r="AB1983" s="17">
        <v>13</v>
      </c>
      <c r="AC1983" s="17">
        <v>3</v>
      </c>
      <c r="AD1983" s="17">
        <v>1</v>
      </c>
      <c r="AE1983" s="17">
        <v>2</v>
      </c>
      <c r="AF1983" s="17">
        <v>2</v>
      </c>
      <c r="AG1983" s="17">
        <v>5</v>
      </c>
      <c r="AH1983" s="17">
        <v>0</v>
      </c>
      <c r="AI1983" s="17">
        <v>0</v>
      </c>
      <c r="AJ1983" s="17">
        <v>0</v>
      </c>
      <c r="AK1983" s="17">
        <v>0</v>
      </c>
      <c r="AL1983" s="17">
        <v>0</v>
      </c>
      <c r="AM1983" s="17">
        <v>0</v>
      </c>
      <c r="AN1983" s="17">
        <v>0</v>
      </c>
      <c r="AO1983" s="18">
        <v>0</v>
      </c>
      <c r="AP1983" s="17">
        <v>3</v>
      </c>
      <c r="AQ1983" s="17">
        <v>11</v>
      </c>
      <c r="AR1983" s="19">
        <v>15</v>
      </c>
      <c r="AS1983" s="19">
        <v>28</v>
      </c>
    </row>
    <row r="1984" spans="1:45" x14ac:dyDescent="0.25">
      <c r="A1984">
        <v>381</v>
      </c>
      <c r="B1984" s="11">
        <f t="shared" si="30"/>
        <v>15345</v>
      </c>
      <c r="C1984" s="16">
        <v>153450</v>
      </c>
      <c r="D1984" s="17">
        <v>1</v>
      </c>
      <c r="E1984" s="17">
        <v>0</v>
      </c>
      <c r="F1984" s="17">
        <v>51</v>
      </c>
      <c r="G1984" s="17">
        <v>36</v>
      </c>
      <c r="H1984" s="13" t="str" cm="1">
        <f t="array" ref="H1984">_xlfn.IFS(G1984&lt;=20,"0-20",G1984&lt;=30,"20-30",G1984&lt;=40,"30-40",G1984&lt;=50,"50-60",G1984&lt;=60,"60-70",G1984&lt;=70,"70-80",G1984&lt;=80,"80-90")</f>
        <v>30-40</v>
      </c>
      <c r="I1984" s="17">
        <v>2826</v>
      </c>
      <c r="J1984" s="13" t="str" cm="1">
        <f t="array" ref="J1984">_xlfn.IFS(K1984=1,"Divorciado",L1984=1,"Casado",M1984=1,"Solteiro",N1984=1,"Juntos",O1984=1,"Viuvo")</f>
        <v>Juntos</v>
      </c>
      <c r="K1984" s="17">
        <v>0</v>
      </c>
      <c r="L1984" s="17">
        <v>0</v>
      </c>
      <c r="M1984" s="17">
        <v>0</v>
      </c>
      <c r="N1984" s="17">
        <v>1</v>
      </c>
      <c r="O1984" s="17">
        <v>0</v>
      </c>
      <c r="P1984" s="17">
        <v>0</v>
      </c>
      <c r="Q1984" s="17">
        <v>0</v>
      </c>
      <c r="R1984" s="17">
        <v>1</v>
      </c>
      <c r="S1984" s="17">
        <v>0</v>
      </c>
      <c r="T1984" s="17">
        <v>0</v>
      </c>
      <c r="U1984" s="17">
        <v>5</v>
      </c>
      <c r="V1984" s="13" t="str" cm="1">
        <f t="array" ref="V1984">_xlfn.IFS(U1984&lt;=250,"0-R$250",U1984&lt;=500,"251-R$500",U1984&lt;=750,"501-R$750",U1984&lt;=1000,"751-R$1000",U1984&lt;=1250,"1001-R$1250",U1984&lt;=1500,"1251-R$1500")</f>
        <v>0-R$250</v>
      </c>
      <c r="W1984" s="17">
        <v>2</v>
      </c>
      <c r="X1984" s="13" t="str" cm="1">
        <f t="array" ref="X1984">_xlfn.IFS(W1984 = 0, "0", W1984&lt;=20, "até R$20",W1984&lt;=40, "21 - R$40",W1984&lt;=60, "41- R$60",W1984&lt;=80, "61 - R$80", W1984&lt;=100, "81 - R$100",W1984&lt;=120, "101 - R$120",W1984&lt;=140, "121 - R$140", W1984&lt;=160, "141- R$160", W1984&lt;=180, "161 - R$180", W1984&lt;=200, "181-R$194")</f>
        <v>até R$20</v>
      </c>
      <c r="Y1984" s="17">
        <v>16</v>
      </c>
      <c r="Z1984" s="17">
        <v>3</v>
      </c>
      <c r="AA1984" s="17">
        <v>2</v>
      </c>
      <c r="AB1984" s="17">
        <v>19</v>
      </c>
      <c r="AC1984" s="17">
        <v>2</v>
      </c>
      <c r="AD1984" s="17">
        <v>1</v>
      </c>
      <c r="AE1984" s="17">
        <v>1</v>
      </c>
      <c r="AF1984" s="17">
        <v>2</v>
      </c>
      <c r="AG1984" s="17">
        <v>8</v>
      </c>
      <c r="AH1984" s="17">
        <v>0</v>
      </c>
      <c r="AI1984" s="17">
        <v>0</v>
      </c>
      <c r="AJ1984" s="17">
        <v>0</v>
      </c>
      <c r="AK1984" s="17">
        <v>0</v>
      </c>
      <c r="AL1984" s="17">
        <v>0</v>
      </c>
      <c r="AM1984" s="17">
        <v>0</v>
      </c>
      <c r="AN1984" s="17">
        <v>1</v>
      </c>
      <c r="AO1984" s="18">
        <v>0</v>
      </c>
      <c r="AP1984" s="17">
        <v>3</v>
      </c>
      <c r="AQ1984" s="17">
        <v>11</v>
      </c>
      <c r="AR1984" s="19">
        <v>9</v>
      </c>
      <c r="AS1984" s="19">
        <v>28</v>
      </c>
    </row>
    <row r="1985" spans="1:45" x14ac:dyDescent="0.25">
      <c r="A1985">
        <v>581</v>
      </c>
      <c r="B1985" s="11">
        <f t="shared" si="30"/>
        <v>42169</v>
      </c>
      <c r="C1985" s="16">
        <v>421690</v>
      </c>
      <c r="D1985" s="17">
        <v>1</v>
      </c>
      <c r="E1985" s="17">
        <v>1</v>
      </c>
      <c r="F1985" s="17">
        <v>20</v>
      </c>
      <c r="G1985" s="17">
        <v>51</v>
      </c>
      <c r="H1985" s="13" t="str" cm="1">
        <f t="array" ref="H1985">_xlfn.IFS(G1985&lt;=20,"0-20",G1985&lt;=30,"20-30",G1985&lt;=40,"30-40",G1985&lt;=50,"50-60",G1985&lt;=60,"60-70",G1985&lt;=70,"70-80",G1985&lt;=80,"80-90")</f>
        <v>60-70</v>
      </c>
      <c r="I1985" s="17">
        <v>2412</v>
      </c>
      <c r="J1985" s="13" t="str" cm="1">
        <f t="array" ref="J1985">_xlfn.IFS(K1985=1,"Divorciado",L1985=1,"Casado",M1985=1,"Solteiro",N1985=1,"Juntos",O1985=1,"Viuvo")</f>
        <v>Casado</v>
      </c>
      <c r="K1985" s="17">
        <v>0</v>
      </c>
      <c r="L1985" s="17">
        <v>1</v>
      </c>
      <c r="M1985" s="17">
        <v>0</v>
      </c>
      <c r="N1985" s="17">
        <v>0</v>
      </c>
      <c r="O1985" s="17">
        <v>0</v>
      </c>
      <c r="P1985" s="17">
        <v>0</v>
      </c>
      <c r="Q1985" s="17">
        <v>0</v>
      </c>
      <c r="R1985" s="17">
        <v>0</v>
      </c>
      <c r="S1985" s="17">
        <v>1</v>
      </c>
      <c r="T1985" s="17">
        <v>0</v>
      </c>
      <c r="U1985" s="17">
        <v>19</v>
      </c>
      <c r="V1985" s="13" t="str" cm="1">
        <f t="array" ref="V1985">_xlfn.IFS(U1985&lt;=250,"0-R$250",U1985&lt;=500,"251-R$500",U1985&lt;=750,"501-R$750",U1985&lt;=1000,"751-R$1000",U1985&lt;=1250,"1001-R$1250",U1985&lt;=1500,"1251-R$1500")</f>
        <v>0-R$250</v>
      </c>
      <c r="W1985" s="17">
        <v>0</v>
      </c>
      <c r="X1985" s="13" t="str" cm="1">
        <f t="array" ref="X1985">_xlfn.IFS(W1985 = 0, "0", W1985&lt;=20, "até R$20",W1985&lt;=40, "21 - R$40",W1985&lt;=60, "41- R$60",W1985&lt;=80, "61 - R$80", W1985&lt;=100, "81 - R$100",W1985&lt;=120, "101 - R$120",W1985&lt;=140, "121 - R$140", W1985&lt;=160, "141- R$160", W1985&lt;=180, "161 - R$180", W1985&lt;=200, "181-R$194")</f>
        <v>0</v>
      </c>
      <c r="Y1985" s="17">
        <v>9</v>
      </c>
      <c r="Z1985" s="17">
        <v>0</v>
      </c>
      <c r="AA1985" s="17">
        <v>0</v>
      </c>
      <c r="AB1985" s="17">
        <v>2</v>
      </c>
      <c r="AC1985" s="17">
        <v>2</v>
      </c>
      <c r="AD1985" s="17">
        <v>1</v>
      </c>
      <c r="AE1985" s="17">
        <v>0</v>
      </c>
      <c r="AF1985" s="17">
        <v>3</v>
      </c>
      <c r="AG1985" s="17">
        <v>8</v>
      </c>
      <c r="AH1985" s="17">
        <v>0</v>
      </c>
      <c r="AI1985" s="17">
        <v>0</v>
      </c>
      <c r="AJ1985" s="17">
        <v>0</v>
      </c>
      <c r="AK1985" s="17">
        <v>0</v>
      </c>
      <c r="AL1985" s="17">
        <v>0</v>
      </c>
      <c r="AM1985" s="17">
        <v>0</v>
      </c>
      <c r="AN1985" s="17">
        <v>0</v>
      </c>
      <c r="AO1985" s="18">
        <v>0</v>
      </c>
      <c r="AP1985" s="17">
        <v>3</v>
      </c>
      <c r="AQ1985" s="17">
        <v>11</v>
      </c>
      <c r="AR1985" s="19">
        <v>26</v>
      </c>
      <c r="AS1985" s="19">
        <v>28</v>
      </c>
    </row>
    <row r="1986" spans="1:45" x14ac:dyDescent="0.25">
      <c r="A1986">
        <v>1215</v>
      </c>
      <c r="B1986" s="11">
        <f t="shared" ref="B1986:B2049" si="31">C1986/10</f>
        <v>37395</v>
      </c>
      <c r="C1986" s="16">
        <v>373950</v>
      </c>
      <c r="D1986" s="17">
        <v>1</v>
      </c>
      <c r="E1986" s="17">
        <v>0</v>
      </c>
      <c r="F1986" s="17">
        <v>47</v>
      </c>
      <c r="G1986" s="17">
        <v>44</v>
      </c>
      <c r="H1986" s="13" t="str" cm="1">
        <f t="array" ref="H1986">_xlfn.IFS(G1986&lt;=20,"0-20",G1986&lt;=30,"20-30",G1986&lt;=40,"30-40",G1986&lt;=50,"50-60",G1986&lt;=60,"60-70",G1986&lt;=70,"70-80",G1986&lt;=80,"80-90")</f>
        <v>50-60</v>
      </c>
      <c r="I1986" s="17">
        <v>2217</v>
      </c>
      <c r="J1986" s="13" t="str" cm="1">
        <f t="array" ref="J1986">_xlfn.IFS(K1986=1,"Divorciado",L1986=1,"Casado",M1986=1,"Solteiro",N1986=1,"Juntos",O1986=1,"Viuvo")</f>
        <v>Juntos</v>
      </c>
      <c r="K1986" s="17">
        <v>0</v>
      </c>
      <c r="L1986" s="17">
        <v>0</v>
      </c>
      <c r="M1986" s="17">
        <v>0</v>
      </c>
      <c r="N1986" s="17">
        <v>1</v>
      </c>
      <c r="O1986" s="17">
        <v>0</v>
      </c>
      <c r="P1986" s="17">
        <v>0</v>
      </c>
      <c r="Q1986" s="17">
        <v>0</v>
      </c>
      <c r="R1986" s="17">
        <v>0</v>
      </c>
      <c r="S1986" s="17">
        <v>0</v>
      </c>
      <c r="T1986" s="17">
        <v>1</v>
      </c>
      <c r="U1986" s="17">
        <v>18</v>
      </c>
      <c r="V1986" s="13" t="str" cm="1">
        <f t="array" ref="V1986">_xlfn.IFS(U1986&lt;=250,"0-R$250",U1986&lt;=500,"251-R$500",U1986&lt;=750,"501-R$750",U1986&lt;=1000,"751-R$1000",U1986&lt;=1250,"1001-R$1250",U1986&lt;=1500,"1251-R$1500")</f>
        <v>0-R$250</v>
      </c>
      <c r="W1986" s="17">
        <v>0</v>
      </c>
      <c r="X1986" s="13" t="str" cm="1">
        <f t="array" ref="X1986">_xlfn.IFS(W1986 = 0, "0", W1986&lt;=20, "até R$20",W1986&lt;=40, "21 - R$40",W1986&lt;=60, "41- R$60",W1986&lt;=80, "61 - R$80", W1986&lt;=100, "81 - R$100",W1986&lt;=120, "101 - R$120",W1986&lt;=140, "121 - R$140", W1986&lt;=160, "141- R$160", W1986&lt;=180, "161 - R$180", W1986&lt;=200, "181-R$194")</f>
        <v>0</v>
      </c>
      <c r="Y1986" s="17">
        <v>9</v>
      </c>
      <c r="Z1986" s="17">
        <v>0</v>
      </c>
      <c r="AA1986" s="17">
        <v>1</v>
      </c>
      <c r="AB1986" s="17">
        <v>11</v>
      </c>
      <c r="AC1986" s="17">
        <v>1</v>
      </c>
      <c r="AD1986" s="17">
        <v>1</v>
      </c>
      <c r="AE1986" s="17">
        <v>0</v>
      </c>
      <c r="AF1986" s="17">
        <v>3</v>
      </c>
      <c r="AG1986" s="17">
        <v>6</v>
      </c>
      <c r="AH1986" s="17">
        <v>0</v>
      </c>
      <c r="AI1986" s="17">
        <v>0</v>
      </c>
      <c r="AJ1986" s="17">
        <v>0</v>
      </c>
      <c r="AK1986" s="17">
        <v>0</v>
      </c>
      <c r="AL1986" s="17">
        <v>0</v>
      </c>
      <c r="AM1986" s="17">
        <v>0</v>
      </c>
      <c r="AN1986" s="17">
        <v>0</v>
      </c>
      <c r="AO1986" s="18">
        <v>0</v>
      </c>
      <c r="AP1986" s="17">
        <v>3</v>
      </c>
      <c r="AQ1986" s="17">
        <v>11</v>
      </c>
      <c r="AR1986" s="19">
        <v>17</v>
      </c>
      <c r="AS1986" s="19">
        <v>28</v>
      </c>
    </row>
    <row r="1987" spans="1:45" x14ac:dyDescent="0.25">
      <c r="A1987">
        <v>1407</v>
      </c>
      <c r="B1987" s="11">
        <f t="shared" si="31"/>
        <v>31163</v>
      </c>
      <c r="C1987" s="16">
        <v>311630</v>
      </c>
      <c r="D1987" s="17">
        <v>1</v>
      </c>
      <c r="E1987" s="17">
        <v>0</v>
      </c>
      <c r="F1987" s="17">
        <v>54</v>
      </c>
      <c r="G1987" s="17">
        <v>47</v>
      </c>
      <c r="H1987" s="13" t="str" cm="1">
        <f t="array" ref="H1987">_xlfn.IFS(G1987&lt;=20,"0-20",G1987&lt;=30,"20-30",G1987&lt;=40,"30-40",G1987&lt;=50,"50-60",G1987&lt;=60,"60-70",G1987&lt;=70,"70-80",G1987&lt;=80,"80-90")</f>
        <v>50-60</v>
      </c>
      <c r="I1987" s="17">
        <v>2295</v>
      </c>
      <c r="J1987" s="13" t="str" cm="1">
        <f t="array" ref="J1987">_xlfn.IFS(K1987=1,"Divorciado",L1987=1,"Casado",M1987=1,"Solteiro",N1987=1,"Juntos",O1987=1,"Viuvo")</f>
        <v>Divorciado</v>
      </c>
      <c r="K1987" s="17">
        <v>1</v>
      </c>
      <c r="L1987" s="17">
        <v>0</v>
      </c>
      <c r="M1987" s="17">
        <v>0</v>
      </c>
      <c r="N1987" s="17">
        <v>0</v>
      </c>
      <c r="O1987" s="17">
        <v>0</v>
      </c>
      <c r="P1987" s="17">
        <v>1</v>
      </c>
      <c r="Q1987" s="17">
        <v>0</v>
      </c>
      <c r="R1987" s="17">
        <v>0</v>
      </c>
      <c r="S1987" s="17">
        <v>0</v>
      </c>
      <c r="T1987" s="17">
        <v>0</v>
      </c>
      <c r="U1987" s="17">
        <v>2</v>
      </c>
      <c r="V1987" s="13" t="str" cm="1">
        <f t="array" ref="V1987">_xlfn.IFS(U1987&lt;=250,"0-R$250",U1987&lt;=500,"251-R$500",U1987&lt;=750,"501-R$750",U1987&lt;=1000,"751-R$1000",U1987&lt;=1250,"1001-R$1250",U1987&lt;=1500,"1251-R$1500")</f>
        <v>0-R$250</v>
      </c>
      <c r="W1987" s="17">
        <v>3</v>
      </c>
      <c r="X1987" s="13" t="str" cm="1">
        <f t="array" ref="X1987">_xlfn.IFS(W1987 = 0, "0", W1987&lt;=20, "até R$20",W1987&lt;=40, "21 - R$40",W1987&lt;=60, "41- R$60",W1987&lt;=80, "61 - R$80", W1987&lt;=100, "81 - R$100",W1987&lt;=120, "101 - R$120",W1987&lt;=140, "121 - R$140", W1987&lt;=160, "141- R$160", W1987&lt;=180, "161 - R$180", W1987&lt;=200, "181-R$194")</f>
        <v>até R$20</v>
      </c>
      <c r="Y1987" s="17">
        <v>10</v>
      </c>
      <c r="Z1987" s="17">
        <v>11</v>
      </c>
      <c r="AA1987" s="17">
        <v>2</v>
      </c>
      <c r="AB1987" s="17">
        <v>10</v>
      </c>
      <c r="AC1987" s="17">
        <v>1</v>
      </c>
      <c r="AD1987" s="17">
        <v>1</v>
      </c>
      <c r="AE1987" s="17">
        <v>0</v>
      </c>
      <c r="AF1987" s="17">
        <v>3</v>
      </c>
      <c r="AG1987" s="17">
        <v>6</v>
      </c>
      <c r="AH1987" s="17">
        <v>0</v>
      </c>
      <c r="AI1987" s="17">
        <v>0</v>
      </c>
      <c r="AJ1987" s="17">
        <v>0</v>
      </c>
      <c r="AK1987" s="17">
        <v>0</v>
      </c>
      <c r="AL1987" s="17">
        <v>0</v>
      </c>
      <c r="AM1987" s="17">
        <v>0</v>
      </c>
      <c r="AN1987" s="17">
        <v>0</v>
      </c>
      <c r="AO1987" s="18">
        <v>0</v>
      </c>
      <c r="AP1987" s="17">
        <v>3</v>
      </c>
      <c r="AQ1987" s="17">
        <v>11</v>
      </c>
      <c r="AR1987" s="19">
        <v>18</v>
      </c>
      <c r="AS1987" s="19">
        <v>28</v>
      </c>
    </row>
    <row r="1988" spans="1:45" x14ac:dyDescent="0.25">
      <c r="A1988">
        <v>1477</v>
      </c>
      <c r="B1988" s="11">
        <f t="shared" si="31"/>
        <v>31163</v>
      </c>
      <c r="C1988" s="16">
        <v>311630</v>
      </c>
      <c r="D1988" s="17">
        <v>1</v>
      </c>
      <c r="E1988" s="17">
        <v>0</v>
      </c>
      <c r="F1988" s="17">
        <v>54</v>
      </c>
      <c r="G1988" s="17">
        <v>47</v>
      </c>
      <c r="H1988" s="13" t="str" cm="1">
        <f t="array" ref="H1988">_xlfn.IFS(G1988&lt;=20,"0-20",G1988&lt;=30,"20-30",G1988&lt;=40,"30-40",G1988&lt;=50,"50-60",G1988&lt;=60,"60-70",G1988&lt;=70,"70-80",G1988&lt;=80,"80-90")</f>
        <v>50-60</v>
      </c>
      <c r="I1988" s="17">
        <v>2295</v>
      </c>
      <c r="J1988" s="13" t="str" cm="1">
        <f t="array" ref="J1988">_xlfn.IFS(K1988=1,"Divorciado",L1988=1,"Casado",M1988=1,"Solteiro",N1988=1,"Juntos",O1988=1,"Viuvo")</f>
        <v>Divorciado</v>
      </c>
      <c r="K1988" s="17">
        <v>1</v>
      </c>
      <c r="L1988" s="17">
        <v>0</v>
      </c>
      <c r="M1988" s="17">
        <v>0</v>
      </c>
      <c r="N1988" s="17">
        <v>0</v>
      </c>
      <c r="O1988" s="17">
        <v>0</v>
      </c>
      <c r="P1988" s="17">
        <v>1</v>
      </c>
      <c r="Q1988" s="17">
        <v>0</v>
      </c>
      <c r="R1988" s="17">
        <v>0</v>
      </c>
      <c r="S1988" s="17">
        <v>0</v>
      </c>
      <c r="T1988" s="17">
        <v>0</v>
      </c>
      <c r="U1988" s="17">
        <v>2</v>
      </c>
      <c r="V1988" s="13" t="str" cm="1">
        <f t="array" ref="V1988">_xlfn.IFS(U1988&lt;=250,"0-R$250",U1988&lt;=500,"251-R$500",U1988&lt;=750,"501-R$750",U1988&lt;=1000,"751-R$1000",U1988&lt;=1250,"1001-R$1250",U1988&lt;=1500,"1251-R$1500")</f>
        <v>0-R$250</v>
      </c>
      <c r="W1988" s="17">
        <v>3</v>
      </c>
      <c r="X1988" s="13" t="str" cm="1">
        <f t="array" ref="X1988">_xlfn.IFS(W1988 = 0, "0", W1988&lt;=20, "até R$20",W1988&lt;=40, "21 - R$40",W1988&lt;=60, "41- R$60",W1988&lt;=80, "61 - R$80", W1988&lt;=100, "81 - R$100",W1988&lt;=120, "101 - R$120",W1988&lt;=140, "121 - R$140", W1988&lt;=160, "141- R$160", W1988&lt;=180, "161 - R$180", W1988&lt;=200, "181-R$194")</f>
        <v>até R$20</v>
      </c>
      <c r="Y1988" s="17">
        <v>10</v>
      </c>
      <c r="Z1988" s="17">
        <v>11</v>
      </c>
      <c r="AA1988" s="17">
        <v>2</v>
      </c>
      <c r="AB1988" s="17">
        <v>10</v>
      </c>
      <c r="AC1988" s="17">
        <v>1</v>
      </c>
      <c r="AD1988" s="17">
        <v>1</v>
      </c>
      <c r="AE1988" s="17">
        <v>0</v>
      </c>
      <c r="AF1988" s="17">
        <v>3</v>
      </c>
      <c r="AG1988" s="17">
        <v>6</v>
      </c>
      <c r="AH1988" s="17">
        <v>0</v>
      </c>
      <c r="AI1988" s="17">
        <v>0</v>
      </c>
      <c r="AJ1988" s="17">
        <v>0</v>
      </c>
      <c r="AK1988" s="17">
        <v>0</v>
      </c>
      <c r="AL1988" s="17">
        <v>0</v>
      </c>
      <c r="AM1988" s="17">
        <v>0</v>
      </c>
      <c r="AN1988" s="17">
        <v>0</v>
      </c>
      <c r="AO1988" s="18">
        <v>0</v>
      </c>
      <c r="AP1988" s="17">
        <v>3</v>
      </c>
      <c r="AQ1988" s="17">
        <v>11</v>
      </c>
      <c r="AR1988" s="19">
        <v>18</v>
      </c>
      <c r="AS1988" s="19">
        <v>28</v>
      </c>
    </row>
    <row r="1989" spans="1:45" x14ac:dyDescent="0.25">
      <c r="A1989">
        <v>1800</v>
      </c>
      <c r="B1989" s="11">
        <f t="shared" si="31"/>
        <v>25293</v>
      </c>
      <c r="C1989" s="12">
        <v>252930</v>
      </c>
      <c r="D1989" s="13">
        <v>1</v>
      </c>
      <c r="E1989" s="13">
        <v>0</v>
      </c>
      <c r="F1989" s="13">
        <v>51</v>
      </c>
      <c r="G1989" s="13">
        <v>51</v>
      </c>
      <c r="H1989" s="13" t="str" cm="1">
        <f t="array" ref="H1989">_xlfn.IFS(G1989&lt;=20,"0-20",G1989&lt;=30,"20-30",G1989&lt;=40,"30-40",G1989&lt;=50,"50-60",G1989&lt;=60,"60-70",G1989&lt;=70,"70-80",G1989&lt;=80,"80-90")</f>
        <v>60-70</v>
      </c>
      <c r="I1989" s="13">
        <v>2446</v>
      </c>
      <c r="J1989" s="13" t="str" cm="1">
        <f t="array" ref="J1989">_xlfn.IFS(K1989=1,"Divorciado",L1989=1,"Casado",M1989=1,"Solteiro",N1989=1,"Juntos",O1989=1,"Viuvo")</f>
        <v>Casado</v>
      </c>
      <c r="K1989" s="13">
        <v>0</v>
      </c>
      <c r="L1989" s="13">
        <v>1</v>
      </c>
      <c r="M1989" s="13">
        <v>0</v>
      </c>
      <c r="N1989" s="13">
        <v>0</v>
      </c>
      <c r="O1989" s="13">
        <v>0</v>
      </c>
      <c r="P1989" s="13">
        <v>0</v>
      </c>
      <c r="Q1989" s="13">
        <v>0</v>
      </c>
      <c r="R1989" s="13">
        <v>1</v>
      </c>
      <c r="S1989" s="13">
        <v>0</v>
      </c>
      <c r="T1989" s="13">
        <v>0</v>
      </c>
      <c r="U1989" s="13">
        <v>15</v>
      </c>
      <c r="V1989" s="13" t="str" cm="1">
        <f t="array" ref="V1989">_xlfn.IFS(U1989&lt;=250,"0-R$250",U1989&lt;=500,"251-R$500",U1989&lt;=750,"501-R$750",U1989&lt;=1000,"751-R$1000",U1989&lt;=1250,"1001-R$1250",U1989&lt;=1500,"1251-R$1500")</f>
        <v>0-R$250</v>
      </c>
      <c r="W1989" s="13">
        <v>0</v>
      </c>
      <c r="X1989" s="13" t="str" cm="1">
        <f t="array" ref="X1989">_xlfn.IFS(W1989 = 0, "0", W1989&lt;=20, "até R$20",W1989&lt;=40, "21 - R$40",W1989&lt;=60, "41- R$60",W1989&lt;=80, "61 - R$80", W1989&lt;=100, "81 - R$100",W1989&lt;=120, "101 - R$120",W1989&lt;=140, "121 - R$140", W1989&lt;=160, "141- R$160", W1989&lt;=180, "161 - R$180", W1989&lt;=200, "181-R$194")</f>
        <v>0</v>
      </c>
      <c r="Y1989" s="13">
        <v>11</v>
      </c>
      <c r="Z1989" s="13">
        <v>0</v>
      </c>
      <c r="AA1989" s="13">
        <v>2</v>
      </c>
      <c r="AB1989" s="13">
        <v>9</v>
      </c>
      <c r="AC1989" s="13">
        <v>1</v>
      </c>
      <c r="AD1989" s="13">
        <v>1</v>
      </c>
      <c r="AE1989" s="13">
        <v>1</v>
      </c>
      <c r="AF1989" s="13">
        <v>2</v>
      </c>
      <c r="AG1989" s="13">
        <v>8</v>
      </c>
      <c r="AH1989" s="13">
        <v>0</v>
      </c>
      <c r="AI1989" s="13">
        <v>0</v>
      </c>
      <c r="AJ1989" s="13">
        <v>0</v>
      </c>
      <c r="AK1989" s="13">
        <v>0</v>
      </c>
      <c r="AL1989" s="13">
        <v>0</v>
      </c>
      <c r="AM1989" s="13">
        <v>0</v>
      </c>
      <c r="AN1989" s="13">
        <v>0</v>
      </c>
      <c r="AO1989" s="14">
        <v>0</v>
      </c>
      <c r="AP1989" s="13">
        <v>3</v>
      </c>
      <c r="AQ1989" s="13">
        <v>11</v>
      </c>
      <c r="AR1989" s="15">
        <v>19</v>
      </c>
      <c r="AS1989" s="15">
        <v>28</v>
      </c>
    </row>
    <row r="1990" spans="1:45" x14ac:dyDescent="0.25">
      <c r="A1990">
        <v>1859</v>
      </c>
      <c r="B1990" s="11">
        <f t="shared" si="31"/>
        <v>30298</v>
      </c>
      <c r="C1990" s="16">
        <v>302980</v>
      </c>
      <c r="D1990" s="17">
        <v>0</v>
      </c>
      <c r="E1990" s="17">
        <v>0</v>
      </c>
      <c r="F1990" s="17">
        <v>48</v>
      </c>
      <c r="G1990" s="17">
        <v>35</v>
      </c>
      <c r="H1990" s="13" t="str" cm="1">
        <f t="array" ref="H1990">_xlfn.IFS(G1990&lt;=20,"0-20",G1990&lt;=30,"20-30",G1990&lt;=40,"30-40",G1990&lt;=50,"50-60",G1990&lt;=60,"60-70",G1990&lt;=70,"70-80",G1990&lt;=80,"80-90")</f>
        <v>30-40</v>
      </c>
      <c r="I1990" s="17">
        <v>2200</v>
      </c>
      <c r="J1990" s="13" t="str" cm="1">
        <f t="array" ref="J1990">_xlfn.IFS(K1990=1,"Divorciado",L1990=1,"Casado",M1990=1,"Solteiro",N1990=1,"Juntos",O1990=1,"Viuvo")</f>
        <v>Solteiro</v>
      </c>
      <c r="K1990" s="17">
        <v>0</v>
      </c>
      <c r="L1990" s="17">
        <v>0</v>
      </c>
      <c r="M1990" s="17">
        <v>1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1</v>
      </c>
      <c r="U1990" s="17">
        <v>6</v>
      </c>
      <c r="V1990" s="13" t="str" cm="1">
        <f t="array" ref="V1990">_xlfn.IFS(U1990&lt;=250,"0-R$250",U1990&lt;=500,"251-R$500",U1990&lt;=750,"501-R$750",U1990&lt;=1000,"751-R$1000",U1990&lt;=1250,"1001-R$1250",U1990&lt;=1500,"1251-R$1500")</f>
        <v>0-R$250</v>
      </c>
      <c r="W1990" s="17">
        <v>3</v>
      </c>
      <c r="X1990" s="13" t="str" cm="1">
        <f t="array" ref="X1990">_xlfn.IFS(W1990 = 0, "0", W1990&lt;=20, "até R$20",W1990&lt;=40, "21 - R$40",W1990&lt;=60, "41- R$60",W1990&lt;=80, "61 - R$80", W1990&lt;=100, "81 - R$100",W1990&lt;=120, "101 - R$120",W1990&lt;=140, "121 - R$140", W1990&lt;=160, "141- R$160", W1990&lt;=180, "161 - R$180", W1990&lt;=200, "181-R$194")</f>
        <v>até R$20</v>
      </c>
      <c r="Y1990" s="17">
        <v>12</v>
      </c>
      <c r="Z1990" s="17">
        <v>6</v>
      </c>
      <c r="AA1990" s="17">
        <v>1</v>
      </c>
      <c r="AB1990" s="17">
        <v>0</v>
      </c>
      <c r="AC1990" s="17">
        <v>1</v>
      </c>
      <c r="AD1990" s="17">
        <v>1</v>
      </c>
      <c r="AE1990" s="17">
        <v>1</v>
      </c>
      <c r="AF1990" s="17">
        <v>3</v>
      </c>
      <c r="AG1990" s="17">
        <v>3</v>
      </c>
      <c r="AH1990" s="17">
        <v>0</v>
      </c>
      <c r="AI1990" s="17">
        <v>0</v>
      </c>
      <c r="AJ1990" s="17">
        <v>0</v>
      </c>
      <c r="AK1990" s="17">
        <v>0</v>
      </c>
      <c r="AL1990" s="17">
        <v>0</v>
      </c>
      <c r="AM1990" s="17">
        <v>0</v>
      </c>
      <c r="AN1990" s="17">
        <v>0</v>
      </c>
      <c r="AO1990" s="18">
        <v>0</v>
      </c>
      <c r="AP1990" s="17">
        <v>3</v>
      </c>
      <c r="AQ1990" s="17">
        <v>11</v>
      </c>
      <c r="AR1990" s="19">
        <v>28</v>
      </c>
      <c r="AS1990" s="19">
        <v>28</v>
      </c>
    </row>
    <row r="1991" spans="1:45" x14ac:dyDescent="0.25">
      <c r="A1991">
        <v>2045</v>
      </c>
      <c r="B1991" s="11">
        <f t="shared" si="31"/>
        <v>25293</v>
      </c>
      <c r="C1991" s="16">
        <v>252930</v>
      </c>
      <c r="D1991" s="17">
        <v>1</v>
      </c>
      <c r="E1991" s="17">
        <v>0</v>
      </c>
      <c r="F1991" s="17">
        <v>51</v>
      </c>
      <c r="G1991" s="17">
        <v>51</v>
      </c>
      <c r="H1991" s="13" t="str" cm="1">
        <f t="array" ref="H1991">_xlfn.IFS(G1991&lt;=20,"0-20",G1991&lt;=30,"20-30",G1991&lt;=40,"30-40",G1991&lt;=50,"50-60",G1991&lt;=60,"60-70",G1991&lt;=70,"70-80",G1991&lt;=80,"80-90")</f>
        <v>60-70</v>
      </c>
      <c r="I1991" s="17">
        <v>2446</v>
      </c>
      <c r="J1991" s="13" t="str" cm="1">
        <f t="array" ref="J1991">_xlfn.IFS(K1991=1,"Divorciado",L1991=1,"Casado",M1991=1,"Solteiro",N1991=1,"Juntos",O1991=1,"Viuvo")</f>
        <v>Casado</v>
      </c>
      <c r="K1991" s="17">
        <v>0</v>
      </c>
      <c r="L1991" s="17">
        <v>1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1</v>
      </c>
      <c r="S1991" s="17">
        <v>0</v>
      </c>
      <c r="T1991" s="17">
        <v>0</v>
      </c>
      <c r="U1991" s="17">
        <v>15</v>
      </c>
      <c r="V1991" s="13" t="str" cm="1">
        <f t="array" ref="V1991">_xlfn.IFS(U1991&lt;=250,"0-R$250",U1991&lt;=500,"251-R$500",U1991&lt;=750,"501-R$750",U1991&lt;=1000,"751-R$1000",U1991&lt;=1250,"1001-R$1250",U1991&lt;=1500,"1251-R$1500")</f>
        <v>0-R$250</v>
      </c>
      <c r="W1991" s="17">
        <v>0</v>
      </c>
      <c r="X1991" s="13" t="str" cm="1">
        <f t="array" ref="X1991">_xlfn.IFS(W1991 = 0, "0", W1991&lt;=20, "até R$20",W1991&lt;=40, "21 - R$40",W1991&lt;=60, "41- R$60",W1991&lt;=80, "61 - R$80", W1991&lt;=100, "81 - R$100",W1991&lt;=120, "101 - R$120",W1991&lt;=140, "121 - R$140", W1991&lt;=160, "141- R$160", W1991&lt;=180, "161 - R$180", W1991&lt;=200, "181-R$194")</f>
        <v>0</v>
      </c>
      <c r="Y1991" s="17">
        <v>11</v>
      </c>
      <c r="Z1991" s="17">
        <v>0</v>
      </c>
      <c r="AA1991" s="17">
        <v>2</v>
      </c>
      <c r="AB1991" s="17">
        <v>9</v>
      </c>
      <c r="AC1991" s="17">
        <v>1</v>
      </c>
      <c r="AD1991" s="17">
        <v>1</v>
      </c>
      <c r="AE1991" s="17">
        <v>1</v>
      </c>
      <c r="AF1991" s="17">
        <v>2</v>
      </c>
      <c r="AG1991" s="17">
        <v>8</v>
      </c>
      <c r="AH1991" s="17">
        <v>0</v>
      </c>
      <c r="AI1991" s="17">
        <v>0</v>
      </c>
      <c r="AJ1991" s="17">
        <v>0</v>
      </c>
      <c r="AK1991" s="17">
        <v>0</v>
      </c>
      <c r="AL1991" s="17">
        <v>0</v>
      </c>
      <c r="AM1991" s="17">
        <v>0</v>
      </c>
      <c r="AN1991" s="17">
        <v>0</v>
      </c>
      <c r="AO1991" s="18">
        <v>0</v>
      </c>
      <c r="AP1991" s="17">
        <v>3</v>
      </c>
      <c r="AQ1991" s="17">
        <v>11</v>
      </c>
      <c r="AR1991" s="19">
        <v>19</v>
      </c>
      <c r="AS1991" s="19">
        <v>28</v>
      </c>
    </row>
    <row r="1992" spans="1:45" x14ac:dyDescent="0.25">
      <c r="A1992">
        <v>2176</v>
      </c>
      <c r="B1992" s="11">
        <f t="shared" si="31"/>
        <v>14918</v>
      </c>
      <c r="C1992" s="12">
        <v>149180</v>
      </c>
      <c r="D1992" s="13">
        <v>0</v>
      </c>
      <c r="E1992" s="13">
        <v>1</v>
      </c>
      <c r="F1992" s="13">
        <v>52</v>
      </c>
      <c r="G1992" s="13">
        <v>57</v>
      </c>
      <c r="H1992" s="13" t="str" cm="1">
        <f t="array" ref="H1992">_xlfn.IFS(G1992&lt;=20,"0-20",G1992&lt;=30,"20-30",G1992&lt;=40,"30-40",G1992&lt;=50,"50-60",G1992&lt;=60,"60-70",G1992&lt;=70,"70-80",G1992&lt;=80,"80-90")</f>
        <v>60-70</v>
      </c>
      <c r="I1992" s="13">
        <v>2728</v>
      </c>
      <c r="J1992" s="13" t="str" cm="1">
        <f t="array" ref="J1992">_xlfn.IFS(K1992=1,"Divorciado",L1992=1,"Casado",M1992=1,"Solteiro",N1992=1,"Juntos",O1992=1,"Viuvo")</f>
        <v>Juntos</v>
      </c>
      <c r="K1992" s="13">
        <v>0</v>
      </c>
      <c r="L1992" s="13">
        <v>0</v>
      </c>
      <c r="M1992" s="13">
        <v>0</v>
      </c>
      <c r="N1992" s="13">
        <v>1</v>
      </c>
      <c r="O1992" s="13">
        <v>0</v>
      </c>
      <c r="P1992" s="13">
        <v>0</v>
      </c>
      <c r="Q1992" s="13">
        <v>1</v>
      </c>
      <c r="R1992" s="13">
        <v>0</v>
      </c>
      <c r="S1992" s="13">
        <v>0</v>
      </c>
      <c r="T1992" s="13">
        <v>0</v>
      </c>
      <c r="U1992" s="13">
        <v>3</v>
      </c>
      <c r="V1992" s="13" t="str" cm="1">
        <f t="array" ref="V1992">_xlfn.IFS(U1992&lt;=250,"0-R$250",U1992&lt;=500,"251-R$500",U1992&lt;=750,"501-R$750",U1992&lt;=1000,"751-R$1000",U1992&lt;=1250,"1001-R$1250",U1992&lt;=1500,"1251-R$1500")</f>
        <v>0-R$250</v>
      </c>
      <c r="W1992" s="13">
        <v>3</v>
      </c>
      <c r="X1992" s="13" t="str" cm="1">
        <f t="array" ref="X1992">_xlfn.IFS(W1992 = 0, "0", W1992&lt;=20, "até R$20",W1992&lt;=40, "21 - R$40",W1992&lt;=60, "41- R$60",W1992&lt;=80, "61 - R$80", W1992&lt;=100, "81 - R$100",W1992&lt;=120, "101 - R$120",W1992&lt;=140, "121 - R$140", W1992&lt;=160, "141- R$160", W1992&lt;=180, "161 - R$180", W1992&lt;=200, "181-R$194")</f>
        <v>até R$20</v>
      </c>
      <c r="Y1992" s="13">
        <v>3</v>
      </c>
      <c r="Z1992" s="13">
        <v>15</v>
      </c>
      <c r="AA1992" s="13">
        <v>4</v>
      </c>
      <c r="AB1992" s="13">
        <v>15</v>
      </c>
      <c r="AC1992" s="13">
        <v>1</v>
      </c>
      <c r="AD1992" s="13">
        <v>1</v>
      </c>
      <c r="AE1992" s="13">
        <v>0</v>
      </c>
      <c r="AF1992" s="13">
        <v>3</v>
      </c>
      <c r="AG1992" s="13">
        <v>6</v>
      </c>
      <c r="AH1992" s="13">
        <v>0</v>
      </c>
      <c r="AI1992" s="13">
        <v>0</v>
      </c>
      <c r="AJ1992" s="13">
        <v>0</v>
      </c>
      <c r="AK1992" s="13">
        <v>0</v>
      </c>
      <c r="AL1992" s="13">
        <v>0</v>
      </c>
      <c r="AM1992" s="13">
        <v>0</v>
      </c>
      <c r="AN1992" s="13">
        <v>0</v>
      </c>
      <c r="AO1992" s="14">
        <v>0</v>
      </c>
      <c r="AP1992" s="13">
        <v>3</v>
      </c>
      <c r="AQ1992" s="13">
        <v>11</v>
      </c>
      <c r="AR1992" s="15">
        <v>13</v>
      </c>
      <c r="AS1992" s="15">
        <v>28</v>
      </c>
    </row>
    <row r="1993" spans="1:45" x14ac:dyDescent="0.25">
      <c r="A1993">
        <v>354</v>
      </c>
      <c r="B1993" s="11">
        <f t="shared" si="31"/>
        <v>35684</v>
      </c>
      <c r="C1993" s="12">
        <v>356840</v>
      </c>
      <c r="D1993" s="13">
        <v>1</v>
      </c>
      <c r="E1993" s="13">
        <v>0</v>
      </c>
      <c r="F1993" s="13">
        <v>66</v>
      </c>
      <c r="G1993" s="13">
        <v>36</v>
      </c>
      <c r="H1993" s="13" t="str" cm="1">
        <f t="array" ref="H1993">_xlfn.IFS(G1993&lt;=20,"0-20",G1993&lt;=30,"20-30",G1993&lt;=40,"30-40",G1993&lt;=50,"50-60",G1993&lt;=60,"60-70",G1993&lt;=70,"70-80",G1993&lt;=80,"80-90")</f>
        <v>30-40</v>
      </c>
      <c r="I1993" s="13">
        <v>2227</v>
      </c>
      <c r="J1993" s="13" t="str" cm="1">
        <f t="array" ref="J1993">_xlfn.IFS(K1993=1,"Divorciado",L1993=1,"Casado",M1993=1,"Solteiro",N1993=1,"Juntos",O1993=1,"Viuvo")</f>
        <v>Casado</v>
      </c>
      <c r="K1993" s="13">
        <v>0</v>
      </c>
      <c r="L1993" s="13">
        <v>1</v>
      </c>
      <c r="M1993" s="13">
        <v>0</v>
      </c>
      <c r="N1993" s="13">
        <v>0</v>
      </c>
      <c r="O1993" s="13">
        <v>0</v>
      </c>
      <c r="P1993" s="13">
        <v>1</v>
      </c>
      <c r="Q1993" s="13">
        <v>0</v>
      </c>
      <c r="R1993" s="13">
        <v>0</v>
      </c>
      <c r="S1993" s="13">
        <v>0</v>
      </c>
      <c r="T1993" s="13">
        <v>0</v>
      </c>
      <c r="U1993" s="13">
        <v>10</v>
      </c>
      <c r="V1993" s="13" t="str" cm="1">
        <f t="array" ref="V1993">_xlfn.IFS(U1993&lt;=250,"0-R$250",U1993&lt;=500,"251-R$500",U1993&lt;=750,"501-R$750",U1993&lt;=1000,"751-R$1000",U1993&lt;=1250,"1001-R$1250",U1993&lt;=1500,"1251-R$1500")</f>
        <v>0-R$250</v>
      </c>
      <c r="W1993" s="13">
        <v>4</v>
      </c>
      <c r="X1993" s="13" t="str" cm="1">
        <f t="array" ref="X1993">_xlfn.IFS(W1993 = 0, "0", W1993&lt;=20, "até R$20",W1993&lt;=40, "21 - R$40",W1993&lt;=60, "41- R$60",W1993&lt;=80, "61 - R$80", W1993&lt;=100, "81 - R$100",W1993&lt;=120, "101 - R$120",W1993&lt;=140, "121 - R$140", W1993&lt;=160, "141- R$160", W1993&lt;=180, "161 - R$180", W1993&lt;=200, "181-R$194")</f>
        <v>até R$20</v>
      </c>
      <c r="Y1993" s="13">
        <v>7</v>
      </c>
      <c r="Z1993" s="13">
        <v>0</v>
      </c>
      <c r="AA1993" s="13">
        <v>6</v>
      </c>
      <c r="AB1993" s="13">
        <v>3</v>
      </c>
      <c r="AC1993" s="13">
        <v>1</v>
      </c>
      <c r="AD1993" s="13">
        <v>1</v>
      </c>
      <c r="AE1993" s="13">
        <v>0</v>
      </c>
      <c r="AF1993" s="13">
        <v>3</v>
      </c>
      <c r="AG1993" s="13">
        <v>6</v>
      </c>
      <c r="AH1993" s="13">
        <v>0</v>
      </c>
      <c r="AI1993" s="13">
        <v>0</v>
      </c>
      <c r="AJ1993" s="13">
        <v>0</v>
      </c>
      <c r="AK1993" s="13">
        <v>0</v>
      </c>
      <c r="AL1993" s="13">
        <v>0</v>
      </c>
      <c r="AM1993" s="13">
        <v>0</v>
      </c>
      <c r="AN1993" s="13">
        <v>0</v>
      </c>
      <c r="AO1993" s="14">
        <v>0</v>
      </c>
      <c r="AP1993" s="13">
        <v>3</v>
      </c>
      <c r="AQ1993" s="13">
        <v>11</v>
      </c>
      <c r="AR1993" s="15">
        <v>24</v>
      </c>
      <c r="AS1993" s="15">
        <v>27</v>
      </c>
    </row>
    <row r="1994" spans="1:45" x14ac:dyDescent="0.25">
      <c r="A1994">
        <v>423</v>
      </c>
      <c r="B1994" s="11">
        <f t="shared" si="31"/>
        <v>7500</v>
      </c>
      <c r="C1994" s="16">
        <v>75000</v>
      </c>
      <c r="D1994" s="17">
        <v>1</v>
      </c>
      <c r="E1994" s="17">
        <v>0</v>
      </c>
      <c r="F1994" s="17">
        <v>96</v>
      </c>
      <c r="G1994" s="17">
        <v>34</v>
      </c>
      <c r="H1994" s="13" t="str" cm="1">
        <f t="array" ref="H1994">_xlfn.IFS(G1994&lt;=20,"0-20",G1994&lt;=30,"20-30",G1994&lt;=40,"30-40",G1994&lt;=50,"50-60",G1994&lt;=60,"60-70",G1994&lt;=70,"70-80",G1994&lt;=80,"80-90")</f>
        <v>30-40</v>
      </c>
      <c r="I1994" s="17">
        <v>2666</v>
      </c>
      <c r="J1994" s="13" t="str" cm="1">
        <f t="array" ref="J1994">_xlfn.IFS(K1994=1,"Divorciado",L1994=1,"Casado",M1994=1,"Solteiro",N1994=1,"Juntos",O1994=1,"Viuvo")</f>
        <v>Casado</v>
      </c>
      <c r="K1994" s="17">
        <v>0</v>
      </c>
      <c r="L1994" s="17">
        <v>1</v>
      </c>
      <c r="M1994" s="17">
        <v>0</v>
      </c>
      <c r="N1994" s="17">
        <v>0</v>
      </c>
      <c r="O1994" s="17">
        <v>0</v>
      </c>
      <c r="P1994" s="17">
        <v>1</v>
      </c>
      <c r="Q1994" s="17">
        <v>0</v>
      </c>
      <c r="R1994" s="17">
        <v>0</v>
      </c>
      <c r="S1994" s="17">
        <v>0</v>
      </c>
      <c r="T1994" s="17">
        <v>0</v>
      </c>
      <c r="U1994" s="17">
        <v>1</v>
      </c>
      <c r="V1994" s="13" t="str" cm="1">
        <f t="array" ref="V1994">_xlfn.IFS(U1994&lt;=250,"0-R$250",U1994&lt;=500,"251-R$500",U1994&lt;=750,"501-R$750",U1994&lt;=1000,"751-R$1000",U1994&lt;=1250,"1001-R$1250",U1994&lt;=1500,"1251-R$1500")</f>
        <v>0-R$250</v>
      </c>
      <c r="W1994" s="17">
        <v>11</v>
      </c>
      <c r="X1994" s="13" t="str" cm="1">
        <f t="array" ref="X1994">_xlfn.IFS(W1994 = 0, "0", W1994&lt;=20, "até R$20",W1994&lt;=40, "21 - R$40",W1994&lt;=60, "41- R$60",W1994&lt;=80, "61 - R$80", W1994&lt;=100, "81 - R$100",W1994&lt;=120, "101 - R$120",W1994&lt;=140, "121 - R$140", W1994&lt;=160, "141- R$160", W1994&lt;=180, "161 - R$180", W1994&lt;=200, "181-R$194")</f>
        <v>até R$20</v>
      </c>
      <c r="Y1994" s="17">
        <v>5</v>
      </c>
      <c r="Z1994" s="17">
        <v>4</v>
      </c>
      <c r="AA1994" s="17">
        <v>6</v>
      </c>
      <c r="AB1994" s="17">
        <v>9</v>
      </c>
      <c r="AC1994" s="17">
        <v>2</v>
      </c>
      <c r="AD1994" s="17">
        <v>2</v>
      </c>
      <c r="AE1994" s="17">
        <v>0</v>
      </c>
      <c r="AF1994" s="17">
        <v>3</v>
      </c>
      <c r="AG1994" s="17">
        <v>8</v>
      </c>
      <c r="AH1994" s="17">
        <v>0</v>
      </c>
      <c r="AI1994" s="17">
        <v>0</v>
      </c>
      <c r="AJ1994" s="17">
        <v>0</v>
      </c>
      <c r="AK1994" s="17">
        <v>0</v>
      </c>
      <c r="AL1994" s="17">
        <v>0</v>
      </c>
      <c r="AM1994" s="17">
        <v>0</v>
      </c>
      <c r="AN1994" s="17">
        <v>0</v>
      </c>
      <c r="AO1994" s="18">
        <v>0</v>
      </c>
      <c r="AP1994" s="17">
        <v>3</v>
      </c>
      <c r="AQ1994" s="17">
        <v>11</v>
      </c>
      <c r="AR1994" s="19">
        <v>18</v>
      </c>
      <c r="AS1994" s="19">
        <v>27</v>
      </c>
    </row>
    <row r="1995" spans="1:45" x14ac:dyDescent="0.25">
      <c r="A1995">
        <v>591</v>
      </c>
      <c r="B1995" s="11">
        <f t="shared" si="31"/>
        <v>26150</v>
      </c>
      <c r="C1995" s="16">
        <v>261500</v>
      </c>
      <c r="D1995" s="17">
        <v>2</v>
      </c>
      <c r="E1995" s="17">
        <v>1</v>
      </c>
      <c r="F1995" s="17">
        <v>61</v>
      </c>
      <c r="G1995" s="17">
        <v>64</v>
      </c>
      <c r="H1995" s="13" t="str" cm="1">
        <f t="array" ref="H1995">_xlfn.IFS(G1995&lt;=20,"0-20",G1995&lt;=30,"20-30",G1995&lt;=40,"30-40",G1995&lt;=50,"50-60",G1995&lt;=60,"60-70",G1995&lt;=70,"70-80",G1995&lt;=80,"80-90")</f>
        <v>70-80</v>
      </c>
      <c r="I1995" s="17">
        <v>2634</v>
      </c>
      <c r="J1995" s="13" t="str" cm="1">
        <f t="array" ref="J1995">_xlfn.IFS(K1995=1,"Divorciado",L1995=1,"Casado",M1995=1,"Solteiro",N1995=1,"Juntos",O1995=1,"Viuvo")</f>
        <v>Divorciado</v>
      </c>
      <c r="K1995" s="17">
        <v>1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1</v>
      </c>
      <c r="S1995" s="17">
        <v>0</v>
      </c>
      <c r="T1995" s="17">
        <v>0</v>
      </c>
      <c r="U1995" s="17">
        <v>5</v>
      </c>
      <c r="V1995" s="13" t="str" cm="1">
        <f t="array" ref="V1995">_xlfn.IFS(U1995&lt;=250,"0-R$250",U1995&lt;=500,"251-R$500",U1995&lt;=750,"501-R$750",U1995&lt;=1000,"751-R$1000",U1995&lt;=1250,"1001-R$1250",U1995&lt;=1500,"1251-R$1500")</f>
        <v>0-R$250</v>
      </c>
      <c r="W1995" s="17">
        <v>1</v>
      </c>
      <c r="X1995" s="13" t="str" cm="1">
        <f t="array" ref="X1995">_xlfn.IFS(W1995 = 0, "0", W1995&lt;=20, "até R$20",W1995&lt;=40, "21 - R$40",W1995&lt;=60, "41- R$60",W1995&lt;=80, "61 - R$80", W1995&lt;=100, "81 - R$100",W1995&lt;=120, "101 - R$120",W1995&lt;=140, "121 - R$140", W1995&lt;=160, "141- R$160", W1995&lt;=180, "161 - R$180", W1995&lt;=200, "181-R$194")</f>
        <v>até R$20</v>
      </c>
      <c r="Y1995" s="17">
        <v>13</v>
      </c>
      <c r="Z1995" s="17">
        <v>3</v>
      </c>
      <c r="AA1995" s="17">
        <v>5</v>
      </c>
      <c r="AB1995" s="17">
        <v>1</v>
      </c>
      <c r="AC1995" s="17">
        <v>1</v>
      </c>
      <c r="AD1995" s="17">
        <v>1</v>
      </c>
      <c r="AE1995" s="17">
        <v>0</v>
      </c>
      <c r="AF1995" s="17">
        <v>3</v>
      </c>
      <c r="AG1995" s="17">
        <v>7</v>
      </c>
      <c r="AH1995" s="17">
        <v>0</v>
      </c>
      <c r="AI1995" s="17">
        <v>0</v>
      </c>
      <c r="AJ1995" s="17">
        <v>0</v>
      </c>
      <c r="AK1995" s="17">
        <v>0</v>
      </c>
      <c r="AL1995" s="17">
        <v>0</v>
      </c>
      <c r="AM1995" s="17">
        <v>0</v>
      </c>
      <c r="AN1995" s="17">
        <v>0</v>
      </c>
      <c r="AO1995" s="18">
        <v>0</v>
      </c>
      <c r="AP1995" s="17">
        <v>3</v>
      </c>
      <c r="AQ1995" s="17">
        <v>11</v>
      </c>
      <c r="AR1995" s="19">
        <v>26</v>
      </c>
      <c r="AS1995" s="19">
        <v>27</v>
      </c>
    </row>
    <row r="1996" spans="1:45" x14ac:dyDescent="0.25">
      <c r="A1996">
        <v>1035</v>
      </c>
      <c r="B1996" s="11">
        <f t="shared" si="31"/>
        <v>27100</v>
      </c>
      <c r="C1996" s="16">
        <v>271000</v>
      </c>
      <c r="D1996" s="17">
        <v>1</v>
      </c>
      <c r="E1996" s="17">
        <v>0</v>
      </c>
      <c r="F1996" s="17">
        <v>64</v>
      </c>
      <c r="G1996" s="17">
        <v>37</v>
      </c>
      <c r="H1996" s="13" t="str" cm="1">
        <f t="array" ref="H1996">_xlfn.IFS(G1996&lt;=20,"0-20",G1996&lt;=30,"20-30",G1996&lt;=40,"30-40",G1996&lt;=50,"50-60",G1996&lt;=60,"60-70",G1996&lt;=70,"70-80",G1996&lt;=80,"80-90")</f>
        <v>30-40</v>
      </c>
      <c r="I1996" s="17">
        <v>2609</v>
      </c>
      <c r="J1996" s="13" t="str" cm="1">
        <f t="array" ref="J1996">_xlfn.IFS(K1996=1,"Divorciado",L1996=1,"Casado",M1996=1,"Solteiro",N1996=1,"Juntos",O1996=1,"Viuvo")</f>
        <v>Casado</v>
      </c>
      <c r="K1996" s="17">
        <v>0</v>
      </c>
      <c r="L1996" s="17">
        <v>1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1</v>
      </c>
      <c r="T1996" s="17">
        <v>0</v>
      </c>
      <c r="U1996" s="17">
        <v>12</v>
      </c>
      <c r="V1996" s="13" t="str" cm="1">
        <f t="array" ref="V1996">_xlfn.IFS(U1996&lt;=250,"0-R$250",U1996&lt;=500,"251-R$500",U1996&lt;=750,"501-R$750",U1996&lt;=1000,"751-R$1000",U1996&lt;=1250,"1001-R$1250",U1996&lt;=1500,"1251-R$1500")</f>
        <v>0-R$250</v>
      </c>
      <c r="W1996" s="17">
        <v>0</v>
      </c>
      <c r="X1996" s="13" t="str" cm="1">
        <f t="array" ref="X1996">_xlfn.IFS(W1996 = 0, "0", W1996&lt;=20, "até R$20",W1996&lt;=40, "21 - R$40",W1996&lt;=60, "41- R$60",W1996&lt;=80, "61 - R$80", W1996&lt;=100, "81 - R$100",W1996&lt;=120, "101 - R$120",W1996&lt;=140, "121 - R$140", W1996&lt;=160, "141- R$160", W1996&lt;=180, "161 - R$180", W1996&lt;=200, "181-R$194")</f>
        <v>0</v>
      </c>
      <c r="Y1996" s="17">
        <v>13</v>
      </c>
      <c r="Z1996" s="17">
        <v>2</v>
      </c>
      <c r="AA1996" s="17">
        <v>0</v>
      </c>
      <c r="AB1996" s="17">
        <v>10</v>
      </c>
      <c r="AC1996" s="17">
        <v>1</v>
      </c>
      <c r="AD1996" s="17">
        <v>1</v>
      </c>
      <c r="AE1996" s="17">
        <v>0</v>
      </c>
      <c r="AF1996" s="17">
        <v>3</v>
      </c>
      <c r="AG1996" s="17">
        <v>7</v>
      </c>
      <c r="AH1996" s="17">
        <v>0</v>
      </c>
      <c r="AI1996" s="17">
        <v>0</v>
      </c>
      <c r="AJ1996" s="17">
        <v>0</v>
      </c>
      <c r="AK1996" s="17">
        <v>0</v>
      </c>
      <c r="AL1996" s="17">
        <v>0</v>
      </c>
      <c r="AM1996" s="17">
        <v>0</v>
      </c>
      <c r="AN1996" s="17">
        <v>0</v>
      </c>
      <c r="AO1996" s="18">
        <v>0</v>
      </c>
      <c r="AP1996" s="17">
        <v>3</v>
      </c>
      <c r="AQ1996" s="17">
        <v>11</v>
      </c>
      <c r="AR1996" s="19">
        <v>17</v>
      </c>
      <c r="AS1996" s="19">
        <v>27</v>
      </c>
    </row>
    <row r="1997" spans="1:45" x14ac:dyDescent="0.25">
      <c r="A1997">
        <v>1282</v>
      </c>
      <c r="B1997" s="11">
        <f t="shared" si="31"/>
        <v>23148</v>
      </c>
      <c r="C1997" s="12">
        <v>231480</v>
      </c>
      <c r="D1997" s="13">
        <v>0</v>
      </c>
      <c r="E1997" s="13">
        <v>0</v>
      </c>
      <c r="F1997" s="13">
        <v>83</v>
      </c>
      <c r="G1997" s="13">
        <v>35</v>
      </c>
      <c r="H1997" s="13" t="str" cm="1">
        <f t="array" ref="H1997">_xlfn.IFS(G1997&lt;=20,"0-20",G1997&lt;=30,"20-30",G1997&lt;=40,"30-40",G1997&lt;=50,"50-60",G1997&lt;=60,"60-70",G1997&lt;=70,"70-80",G1997&lt;=80,"80-90")</f>
        <v>30-40</v>
      </c>
      <c r="I1997" s="13">
        <v>2290</v>
      </c>
      <c r="J1997" s="13" t="str" cm="1">
        <f t="array" ref="J1997">_xlfn.IFS(K1997=1,"Divorciado",L1997=1,"Casado",M1997=1,"Solteiro",N1997=1,"Juntos",O1997=1,"Viuvo")</f>
        <v>Casado</v>
      </c>
      <c r="K1997" s="13">
        <v>0</v>
      </c>
      <c r="L1997" s="13">
        <v>1</v>
      </c>
      <c r="M1997" s="13">
        <v>0</v>
      </c>
      <c r="N1997" s="13">
        <v>0</v>
      </c>
      <c r="O1997" s="13">
        <v>0</v>
      </c>
      <c r="P1997" s="13">
        <v>1</v>
      </c>
      <c r="Q1997" s="13">
        <v>0</v>
      </c>
      <c r="R1997" s="13">
        <v>0</v>
      </c>
      <c r="S1997" s="13">
        <v>0</v>
      </c>
      <c r="T1997" s="13">
        <v>0</v>
      </c>
      <c r="U1997" s="13">
        <v>4</v>
      </c>
      <c r="V1997" s="13" t="str" cm="1">
        <f t="array" ref="V1997">_xlfn.IFS(U1997&lt;=250,"0-R$250",U1997&lt;=500,"251-R$500",U1997&lt;=750,"501-R$750",U1997&lt;=1000,"751-R$1000",U1997&lt;=1250,"1001-R$1250",U1997&lt;=1500,"1251-R$1500")</f>
        <v>0-R$250</v>
      </c>
      <c r="W1997" s="13">
        <v>6</v>
      </c>
      <c r="X1997" s="13" t="str" cm="1">
        <f t="array" ref="X1997">_xlfn.IFS(W1997 = 0, "0", W1997&lt;=20, "até R$20",W1997&lt;=40, "21 - R$40",W1997&lt;=60, "41- R$60",W1997&lt;=80, "61 - R$80", W1997&lt;=100, "81 - R$100",W1997&lt;=120, "101 - R$120",W1997&lt;=140, "121 - R$140", W1997&lt;=160, "141- R$160", W1997&lt;=180, "161 - R$180", W1997&lt;=200, "181-R$194")</f>
        <v>até R$20</v>
      </c>
      <c r="Y1997" s="13">
        <v>8</v>
      </c>
      <c r="Z1997" s="13">
        <v>6</v>
      </c>
      <c r="AA1997" s="13">
        <v>3</v>
      </c>
      <c r="AB1997" s="13">
        <v>10</v>
      </c>
      <c r="AC1997" s="13">
        <v>1</v>
      </c>
      <c r="AD1997" s="13">
        <v>2</v>
      </c>
      <c r="AE1997" s="13">
        <v>0</v>
      </c>
      <c r="AF1997" s="13">
        <v>3</v>
      </c>
      <c r="AG1997" s="13">
        <v>7</v>
      </c>
      <c r="AH1997" s="13">
        <v>0</v>
      </c>
      <c r="AI1997" s="13">
        <v>0</v>
      </c>
      <c r="AJ1997" s="13">
        <v>0</v>
      </c>
      <c r="AK1997" s="13">
        <v>0</v>
      </c>
      <c r="AL1997" s="13">
        <v>0</v>
      </c>
      <c r="AM1997" s="13">
        <v>0</v>
      </c>
      <c r="AN1997" s="13">
        <v>0</v>
      </c>
      <c r="AO1997" s="14">
        <v>0</v>
      </c>
      <c r="AP1997" s="13">
        <v>3</v>
      </c>
      <c r="AQ1997" s="13">
        <v>11</v>
      </c>
      <c r="AR1997" s="15">
        <v>17</v>
      </c>
      <c r="AS1997" s="15">
        <v>27</v>
      </c>
    </row>
    <row r="1998" spans="1:45" x14ac:dyDescent="0.25">
      <c r="A1998">
        <v>1406</v>
      </c>
      <c r="B1998" s="11">
        <f t="shared" si="31"/>
        <v>27100</v>
      </c>
      <c r="C1998" s="12">
        <v>271000</v>
      </c>
      <c r="D1998" s="13">
        <v>1</v>
      </c>
      <c r="E1998" s="13">
        <v>0</v>
      </c>
      <c r="F1998" s="13">
        <v>64</v>
      </c>
      <c r="G1998" s="13">
        <v>37</v>
      </c>
      <c r="H1998" s="13" t="str" cm="1">
        <f t="array" ref="H1998">_xlfn.IFS(G1998&lt;=20,"0-20",G1998&lt;=30,"20-30",G1998&lt;=40,"30-40",G1998&lt;=50,"50-60",G1998&lt;=60,"60-70",G1998&lt;=70,"70-80",G1998&lt;=80,"80-90")</f>
        <v>30-40</v>
      </c>
      <c r="I1998" s="13">
        <v>2609</v>
      </c>
      <c r="J1998" s="13" t="str" cm="1">
        <f t="array" ref="J1998">_xlfn.IFS(K1998=1,"Divorciado",L1998=1,"Casado",M1998=1,"Solteiro",N1998=1,"Juntos",O1998=1,"Viuvo")</f>
        <v>Casado</v>
      </c>
      <c r="K1998" s="13">
        <v>0</v>
      </c>
      <c r="L1998" s="13">
        <v>1</v>
      </c>
      <c r="M1998" s="13">
        <v>0</v>
      </c>
      <c r="N1998" s="13">
        <v>0</v>
      </c>
      <c r="O1998" s="13">
        <v>0</v>
      </c>
      <c r="P1998" s="13">
        <v>0</v>
      </c>
      <c r="Q1998" s="13">
        <v>0</v>
      </c>
      <c r="R1998" s="13">
        <v>0</v>
      </c>
      <c r="S1998" s="13">
        <v>1</v>
      </c>
      <c r="T1998" s="13">
        <v>0</v>
      </c>
      <c r="U1998" s="13">
        <v>12</v>
      </c>
      <c r="V1998" s="13" t="str" cm="1">
        <f t="array" ref="V1998">_xlfn.IFS(U1998&lt;=250,"0-R$250",U1998&lt;=500,"251-R$500",U1998&lt;=750,"501-R$750",U1998&lt;=1000,"751-R$1000",U1998&lt;=1250,"1001-R$1250",U1998&lt;=1500,"1251-R$1500")</f>
        <v>0-R$250</v>
      </c>
      <c r="W1998" s="13">
        <v>0</v>
      </c>
      <c r="X1998" s="13" t="str" cm="1">
        <f t="array" ref="X1998">_xlfn.IFS(W1998 = 0, "0", W1998&lt;=20, "até R$20",W1998&lt;=40, "21 - R$40",W1998&lt;=60, "41- R$60",W1998&lt;=80, "61 - R$80", W1998&lt;=100, "81 - R$100",W1998&lt;=120, "101 - R$120",W1998&lt;=140, "121 - R$140", W1998&lt;=160, "141- R$160", W1998&lt;=180, "161 - R$180", W1998&lt;=200, "181-R$194")</f>
        <v>0</v>
      </c>
      <c r="Y1998" s="13">
        <v>13</v>
      </c>
      <c r="Z1998" s="13">
        <v>2</v>
      </c>
      <c r="AA1998" s="13">
        <v>0</v>
      </c>
      <c r="AB1998" s="13">
        <v>10</v>
      </c>
      <c r="AC1998" s="13">
        <v>1</v>
      </c>
      <c r="AD1998" s="13">
        <v>1</v>
      </c>
      <c r="AE1998" s="13">
        <v>0</v>
      </c>
      <c r="AF1998" s="13">
        <v>3</v>
      </c>
      <c r="AG1998" s="13">
        <v>7</v>
      </c>
      <c r="AH1998" s="13">
        <v>0</v>
      </c>
      <c r="AI1998" s="13">
        <v>0</v>
      </c>
      <c r="AJ1998" s="13">
        <v>0</v>
      </c>
      <c r="AK1998" s="13">
        <v>0</v>
      </c>
      <c r="AL1998" s="13">
        <v>0</v>
      </c>
      <c r="AM1998" s="13">
        <v>0</v>
      </c>
      <c r="AN1998" s="13">
        <v>0</v>
      </c>
      <c r="AO1998" s="14">
        <v>0</v>
      </c>
      <c r="AP1998" s="13">
        <v>3</v>
      </c>
      <c r="AQ1998" s="13">
        <v>11</v>
      </c>
      <c r="AR1998" s="15">
        <v>17</v>
      </c>
      <c r="AS1998" s="15">
        <v>27</v>
      </c>
    </row>
    <row r="1999" spans="1:45" x14ac:dyDescent="0.25">
      <c r="A1999">
        <v>1616</v>
      </c>
      <c r="B1999" s="11">
        <f t="shared" si="31"/>
        <v>35924</v>
      </c>
      <c r="C1999" s="12">
        <v>359240</v>
      </c>
      <c r="D1999" s="13">
        <v>1</v>
      </c>
      <c r="E1999" s="13">
        <v>1</v>
      </c>
      <c r="F1999" s="13">
        <v>56</v>
      </c>
      <c r="G1999" s="13">
        <v>51</v>
      </c>
      <c r="H1999" s="13" t="str" cm="1">
        <f t="array" ref="H1999">_xlfn.IFS(G1999&lt;=20,"0-20",G1999&lt;=30,"20-30",G1999&lt;=40,"30-40",G1999&lt;=50,"50-60",G1999&lt;=60,"60-70",G1999&lt;=70,"70-80",G1999&lt;=80,"80-90")</f>
        <v>60-70</v>
      </c>
      <c r="I1999" s="13">
        <v>2257</v>
      </c>
      <c r="J1999" s="13" t="str" cm="1">
        <f t="array" ref="J1999">_xlfn.IFS(K1999=1,"Divorciado",L1999=1,"Casado",M1999=1,"Solteiro",N1999=1,"Juntos",O1999=1,"Viuvo")</f>
        <v>Juntos</v>
      </c>
      <c r="K1999" s="13">
        <v>0</v>
      </c>
      <c r="L1999" s="13">
        <v>0</v>
      </c>
      <c r="M1999" s="13">
        <v>0</v>
      </c>
      <c r="N1999" s="13">
        <v>1</v>
      </c>
      <c r="O1999" s="13">
        <v>0</v>
      </c>
      <c r="P1999" s="13">
        <v>0</v>
      </c>
      <c r="Q1999" s="13">
        <v>0</v>
      </c>
      <c r="R1999" s="13">
        <v>0</v>
      </c>
      <c r="S1999" s="13">
        <v>1</v>
      </c>
      <c r="T1999" s="13">
        <v>0</v>
      </c>
      <c r="U1999" s="13">
        <v>8</v>
      </c>
      <c r="V1999" s="13" t="str" cm="1">
        <f t="array" ref="V1999">_xlfn.IFS(U1999&lt;=250,"0-R$250",U1999&lt;=500,"251-R$500",U1999&lt;=750,"501-R$750",U1999&lt;=1000,"751-R$1000",U1999&lt;=1250,"1001-R$1250",U1999&lt;=1500,"1251-R$1500")</f>
        <v>0-R$250</v>
      </c>
      <c r="W1999" s="13">
        <v>0</v>
      </c>
      <c r="X1999" s="13" t="str" cm="1">
        <f t="array" ref="X1999">_xlfn.IFS(W1999 = 0, "0", W1999&lt;=20, "até R$20",W1999&lt;=40, "21 - R$40",W1999&lt;=60, "41- R$60",W1999&lt;=80, "61 - R$80", W1999&lt;=100, "81 - R$100",W1999&lt;=120, "101 - R$120",W1999&lt;=140, "121 - R$140", W1999&lt;=160, "141- R$160", W1999&lt;=180, "161 - R$180", W1999&lt;=200, "181-R$194")</f>
        <v>0</v>
      </c>
      <c r="Y1999" s="13">
        <v>14</v>
      </c>
      <c r="Z1999" s="13">
        <v>2</v>
      </c>
      <c r="AA1999" s="13">
        <v>3</v>
      </c>
      <c r="AB1999" s="13">
        <v>7</v>
      </c>
      <c r="AC1999" s="13">
        <v>1</v>
      </c>
      <c r="AD1999" s="13">
        <v>1</v>
      </c>
      <c r="AE1999" s="13">
        <v>0</v>
      </c>
      <c r="AF1999" s="13">
        <v>3</v>
      </c>
      <c r="AG1999" s="13">
        <v>5</v>
      </c>
      <c r="AH1999" s="13">
        <v>0</v>
      </c>
      <c r="AI1999" s="13">
        <v>0</v>
      </c>
      <c r="AJ1999" s="13">
        <v>0</v>
      </c>
      <c r="AK1999" s="13">
        <v>0</v>
      </c>
      <c r="AL1999" s="13">
        <v>0</v>
      </c>
      <c r="AM1999" s="13">
        <v>0</v>
      </c>
      <c r="AN1999" s="13">
        <v>0</v>
      </c>
      <c r="AO1999" s="14">
        <v>0</v>
      </c>
      <c r="AP1999" s="13">
        <v>3</v>
      </c>
      <c r="AQ1999" s="13">
        <v>11</v>
      </c>
      <c r="AR1999" s="15">
        <v>20</v>
      </c>
      <c r="AS1999" s="15">
        <v>27</v>
      </c>
    </row>
    <row r="2000" spans="1:45" x14ac:dyDescent="0.25">
      <c r="A2000">
        <v>1850</v>
      </c>
      <c r="B2000" s="11">
        <f t="shared" si="31"/>
        <v>23830</v>
      </c>
      <c r="C2000" s="12">
        <v>238300</v>
      </c>
      <c r="D2000" s="13">
        <v>0</v>
      </c>
      <c r="E2000" s="13">
        <v>0</v>
      </c>
      <c r="F2000" s="13">
        <v>3</v>
      </c>
      <c r="G2000" s="13">
        <v>33</v>
      </c>
      <c r="H2000" s="13" t="str" cm="1">
        <f t="array" ref="H2000">_xlfn.IFS(G2000&lt;=20,"0-20",G2000&lt;=30,"20-30",G2000&lt;=40,"30-40",G2000&lt;=50,"50-60",G2000&lt;=60,"60-70",G2000&lt;=70,"70-80",G2000&lt;=80,"80-90")</f>
        <v>30-40</v>
      </c>
      <c r="I2000" s="13">
        <v>2301</v>
      </c>
      <c r="J2000" s="13" t="str" cm="1">
        <f t="array" ref="J2000">_xlfn.IFS(K2000=1,"Divorciado",L2000=1,"Casado",M2000=1,"Solteiro",N2000=1,"Juntos",O2000=1,"Viuvo")</f>
        <v>Solteiro</v>
      </c>
      <c r="K2000" s="13">
        <v>0</v>
      </c>
      <c r="L2000" s="13">
        <v>0</v>
      </c>
      <c r="M2000" s="13">
        <v>1</v>
      </c>
      <c r="N2000" s="13">
        <v>0</v>
      </c>
      <c r="O2000" s="13">
        <v>0</v>
      </c>
      <c r="P2000" s="13">
        <v>1</v>
      </c>
      <c r="Q2000" s="13">
        <v>0</v>
      </c>
      <c r="R2000" s="13">
        <v>0</v>
      </c>
      <c r="S2000" s="13">
        <v>0</v>
      </c>
      <c r="T2000" s="13">
        <v>0</v>
      </c>
      <c r="U2000" s="13">
        <v>1</v>
      </c>
      <c r="V2000" s="13" t="str" cm="1">
        <f t="array" ref="V2000">_xlfn.IFS(U2000&lt;=250,"0-R$250",U2000&lt;=500,"251-R$500",U2000&lt;=750,"501-R$750",U2000&lt;=1000,"751-R$1000",U2000&lt;=1250,"1001-R$1250",U2000&lt;=1500,"1251-R$1500")</f>
        <v>0-R$250</v>
      </c>
      <c r="W2000" s="13">
        <v>8</v>
      </c>
      <c r="X2000" s="13" t="str" cm="1">
        <f t="array" ref="X2000">_xlfn.IFS(W2000 = 0, "0", W2000&lt;=20, "até R$20",W2000&lt;=40, "21 - R$40",W2000&lt;=60, "41- R$60",W2000&lt;=80, "61 - R$80", W2000&lt;=100, "81 - R$100",W2000&lt;=120, "101 - R$120",W2000&lt;=140, "121 - R$140", W2000&lt;=160, "141- R$160", W2000&lt;=180, "161 - R$180", W2000&lt;=200, "181-R$194")</f>
        <v>até R$20</v>
      </c>
      <c r="Y2000" s="13">
        <v>6</v>
      </c>
      <c r="Z2000" s="13">
        <v>4</v>
      </c>
      <c r="AA2000" s="13">
        <v>8</v>
      </c>
      <c r="AB2000" s="13">
        <v>16</v>
      </c>
      <c r="AC2000" s="13">
        <v>1</v>
      </c>
      <c r="AD2000" s="13">
        <v>1</v>
      </c>
      <c r="AE2000" s="13">
        <v>0</v>
      </c>
      <c r="AF2000" s="13">
        <v>3</v>
      </c>
      <c r="AG2000" s="13">
        <v>7</v>
      </c>
      <c r="AH2000" s="13">
        <v>0</v>
      </c>
      <c r="AI2000" s="13">
        <v>0</v>
      </c>
      <c r="AJ2000" s="13">
        <v>0</v>
      </c>
      <c r="AK2000" s="13">
        <v>0</v>
      </c>
      <c r="AL2000" s="13">
        <v>0</v>
      </c>
      <c r="AM2000" s="13">
        <v>0</v>
      </c>
      <c r="AN2000" s="13">
        <v>0</v>
      </c>
      <c r="AO2000" s="14">
        <v>0</v>
      </c>
      <c r="AP2000" s="13">
        <v>3</v>
      </c>
      <c r="AQ2000" s="13">
        <v>11</v>
      </c>
      <c r="AR2000" s="15">
        <v>11</v>
      </c>
      <c r="AS2000" s="15">
        <v>27</v>
      </c>
    </row>
    <row r="2001" spans="1:45" x14ac:dyDescent="0.25">
      <c r="A2001">
        <v>2182</v>
      </c>
      <c r="B2001" s="11">
        <f t="shared" si="31"/>
        <v>5305</v>
      </c>
      <c r="C2001" s="12">
        <v>53050</v>
      </c>
      <c r="D2001" s="13">
        <v>0</v>
      </c>
      <c r="E2001" s="13">
        <v>1</v>
      </c>
      <c r="F2001" s="13">
        <v>12</v>
      </c>
      <c r="G2001" s="13">
        <v>44</v>
      </c>
      <c r="H2001" s="13" t="str" cm="1">
        <f t="array" ref="H2001">_xlfn.IFS(G2001&lt;=20,"0-20",G2001&lt;=30,"20-30",G2001&lt;=40,"30-40",G2001&lt;=50,"50-60",G2001&lt;=60,"60-70",G2001&lt;=70,"70-80",G2001&lt;=80,"80-90")</f>
        <v>50-60</v>
      </c>
      <c r="I2001" s="13">
        <v>2493</v>
      </c>
      <c r="J2001" s="13" t="str" cm="1">
        <f t="array" ref="J2001">_xlfn.IFS(K2001=1,"Divorciado",L2001=1,"Casado",M2001=1,"Solteiro",N2001=1,"Juntos",O2001=1,"Viuvo")</f>
        <v>Casado</v>
      </c>
      <c r="K2001" s="13">
        <v>0</v>
      </c>
      <c r="L2001" s="13">
        <v>1</v>
      </c>
      <c r="M2001" s="13">
        <v>0</v>
      </c>
      <c r="N2001" s="13">
        <v>0</v>
      </c>
      <c r="O2001" s="13">
        <v>0</v>
      </c>
      <c r="P2001" s="13">
        <v>0</v>
      </c>
      <c r="Q2001" s="13">
        <v>0</v>
      </c>
      <c r="R2001" s="13">
        <v>1</v>
      </c>
      <c r="S2001" s="13">
        <v>0</v>
      </c>
      <c r="T2001" s="13">
        <v>0</v>
      </c>
      <c r="U2001" s="13">
        <v>12</v>
      </c>
      <c r="V2001" s="13" t="str" cm="1">
        <f t="array" ref="V2001">_xlfn.IFS(U2001&lt;=250,"0-R$250",U2001&lt;=500,"251-R$500",U2001&lt;=750,"501-R$750",U2001&lt;=1000,"751-R$1000",U2001&lt;=1250,"1001-R$1250",U2001&lt;=1500,"1251-R$1500")</f>
        <v>0-R$250</v>
      </c>
      <c r="W2001" s="13">
        <v>4</v>
      </c>
      <c r="X2001" s="13" t="str" cm="1">
        <f t="array" ref="X2001">_xlfn.IFS(W2001 = 0, "0", W2001&lt;=20, "até R$20",W2001&lt;=40, "21 - R$40",W2001&lt;=60, "41- R$60",W2001&lt;=80, "61 - R$80", W2001&lt;=100, "81 - R$100",W2001&lt;=120, "101 - R$120",W2001&lt;=140, "121 - R$140", W2001&lt;=160, "141- R$160", W2001&lt;=180, "161 - R$180", W2001&lt;=200, "181-R$194")</f>
        <v>até R$20</v>
      </c>
      <c r="Y2001" s="13">
        <v>7</v>
      </c>
      <c r="Z2001" s="13">
        <v>1</v>
      </c>
      <c r="AA2001" s="13">
        <v>3</v>
      </c>
      <c r="AB2001" s="13">
        <v>5</v>
      </c>
      <c r="AC2001" s="13">
        <v>0</v>
      </c>
      <c r="AD2001" s="13">
        <v>1</v>
      </c>
      <c r="AE2001" s="13">
        <v>0</v>
      </c>
      <c r="AF2001" s="13">
        <v>0</v>
      </c>
      <c r="AG2001" s="13">
        <v>13</v>
      </c>
      <c r="AH2001" s="13">
        <v>0</v>
      </c>
      <c r="AI2001" s="13">
        <v>0</v>
      </c>
      <c r="AJ2001" s="13">
        <v>0</v>
      </c>
      <c r="AK2001" s="13">
        <v>0</v>
      </c>
      <c r="AL2001" s="13">
        <v>0</v>
      </c>
      <c r="AM2001" s="13">
        <v>0</v>
      </c>
      <c r="AN2001" s="13">
        <v>0</v>
      </c>
      <c r="AO2001" s="14">
        <v>0</v>
      </c>
      <c r="AP2001" s="13">
        <v>3</v>
      </c>
      <c r="AQ2001" s="13">
        <v>11</v>
      </c>
      <c r="AR2001" s="15">
        <v>22</v>
      </c>
      <c r="AS2001" s="15">
        <v>27</v>
      </c>
    </row>
    <row r="2002" spans="1:45" x14ac:dyDescent="0.25">
      <c r="A2002">
        <v>29</v>
      </c>
      <c r="B2002" s="11">
        <f t="shared" si="31"/>
        <v>10979</v>
      </c>
      <c r="C2002" s="16">
        <v>109790</v>
      </c>
      <c r="D2002" s="17">
        <v>0</v>
      </c>
      <c r="E2002" s="17">
        <v>0</v>
      </c>
      <c r="F2002" s="17">
        <v>34</v>
      </c>
      <c r="G2002" s="17">
        <v>31</v>
      </c>
      <c r="H2002" s="13" t="str" cm="1">
        <f t="array" ref="H2002">_xlfn.IFS(G2002&lt;=20,"0-20",G2002&lt;=30,"20-30",G2002&lt;=40,"30-40",G2002&lt;=50,"50-60",G2002&lt;=60,"60-70",G2002&lt;=70,"70-80",G2002&lt;=80,"80-90")</f>
        <v>30-40</v>
      </c>
      <c r="I2002" s="17">
        <v>2197</v>
      </c>
      <c r="J2002" s="13" t="str" cm="1">
        <f t="array" ref="J2002">_xlfn.IFS(K2002=1,"Divorciado",L2002=1,"Casado",M2002=1,"Solteiro",N2002=1,"Juntos",O2002=1,"Viuvo")</f>
        <v>Divorciado</v>
      </c>
      <c r="K2002" s="17">
        <v>1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1</v>
      </c>
      <c r="T2002" s="17">
        <v>0</v>
      </c>
      <c r="U2002" s="17">
        <v>8</v>
      </c>
      <c r="V2002" s="13" t="str" cm="1">
        <f t="array" ref="V2002">_xlfn.IFS(U2002&lt;=250,"0-R$250",U2002&lt;=500,"251-R$500",U2002&lt;=750,"501-R$750",U2002&lt;=1000,"751-R$1000",U2002&lt;=1250,"1001-R$1250",U2002&lt;=1500,"1251-R$1500")</f>
        <v>0-R$250</v>
      </c>
      <c r="W2002" s="17">
        <v>4</v>
      </c>
      <c r="X2002" s="13" t="str" cm="1">
        <f t="array" ref="X2002">_xlfn.IFS(W2002 = 0, "0", W2002&lt;=20, "até R$20",W2002&lt;=40, "21 - R$40",W2002&lt;=60, "41- R$60",W2002&lt;=80, "61 - R$80", W2002&lt;=100, "81 - R$100",W2002&lt;=120, "101 - R$120",W2002&lt;=140, "121 - R$140", W2002&lt;=160, "141- R$160", W2002&lt;=180, "161 - R$180", W2002&lt;=200, "181-R$194")</f>
        <v>até R$20</v>
      </c>
      <c r="Y2002" s="17">
        <v>10</v>
      </c>
      <c r="Z2002" s="17">
        <v>2</v>
      </c>
      <c r="AA2002" s="17">
        <v>2</v>
      </c>
      <c r="AB2002" s="17">
        <v>4</v>
      </c>
      <c r="AC2002" s="17">
        <v>2</v>
      </c>
      <c r="AD2002" s="17">
        <v>3</v>
      </c>
      <c r="AE2002" s="17">
        <v>0</v>
      </c>
      <c r="AF2002" s="17">
        <v>3</v>
      </c>
      <c r="AG2002" s="17">
        <v>5</v>
      </c>
      <c r="AH2002" s="17">
        <v>0</v>
      </c>
      <c r="AI2002" s="17">
        <v>0</v>
      </c>
      <c r="AJ2002" s="17">
        <v>0</v>
      </c>
      <c r="AK2002" s="17">
        <v>0</v>
      </c>
      <c r="AL2002" s="17">
        <v>0</v>
      </c>
      <c r="AM2002" s="17">
        <v>0</v>
      </c>
      <c r="AN2002" s="17">
        <v>0</v>
      </c>
      <c r="AO2002" s="18">
        <v>0</v>
      </c>
      <c r="AP2002" s="17">
        <v>3</v>
      </c>
      <c r="AQ2002" s="17">
        <v>11</v>
      </c>
      <c r="AR2002" s="19">
        <v>22</v>
      </c>
      <c r="AS2002" s="19">
        <v>26</v>
      </c>
    </row>
    <row r="2003" spans="1:45" x14ac:dyDescent="0.25">
      <c r="A2003">
        <v>834</v>
      </c>
      <c r="B2003" s="11">
        <f t="shared" si="31"/>
        <v>30843</v>
      </c>
      <c r="C2003" s="12">
        <v>308430</v>
      </c>
      <c r="D2003" s="13">
        <v>1</v>
      </c>
      <c r="E2003" s="13">
        <v>1</v>
      </c>
      <c r="F2003" s="13">
        <v>43</v>
      </c>
      <c r="G2003" s="13">
        <v>54</v>
      </c>
      <c r="H2003" s="13" t="str" cm="1">
        <f t="array" ref="H2003">_xlfn.IFS(G2003&lt;=20,"0-20",G2003&lt;=30,"20-30",G2003&lt;=40,"30-40",G2003&lt;=50,"50-60",G2003&lt;=60,"60-70",G2003&lt;=70,"70-80",G2003&lt;=80,"80-90")</f>
        <v>60-70</v>
      </c>
      <c r="I2003" s="13">
        <v>2193</v>
      </c>
      <c r="J2003" s="13" t="str" cm="1">
        <f t="array" ref="J2003">_xlfn.IFS(K2003=1,"Divorciado",L2003=1,"Casado",M2003=1,"Solteiro",N2003=1,"Juntos",O2003=1,"Viuvo")</f>
        <v>Juntos</v>
      </c>
      <c r="K2003" s="13">
        <v>0</v>
      </c>
      <c r="L2003" s="13">
        <v>0</v>
      </c>
      <c r="M2003" s="13">
        <v>0</v>
      </c>
      <c r="N2003" s="13">
        <v>1</v>
      </c>
      <c r="O2003" s="13">
        <v>0</v>
      </c>
      <c r="P2003" s="13">
        <v>0</v>
      </c>
      <c r="Q2003" s="13">
        <v>0</v>
      </c>
      <c r="R2003" s="13">
        <v>0</v>
      </c>
      <c r="S2003" s="13">
        <v>0</v>
      </c>
      <c r="T2003" s="13">
        <v>1</v>
      </c>
      <c r="U2003" s="13">
        <v>24</v>
      </c>
      <c r="V2003" s="13" t="str" cm="1">
        <f t="array" ref="V2003">_xlfn.IFS(U2003&lt;=250,"0-R$250",U2003&lt;=500,"251-R$500",U2003&lt;=750,"501-R$750",U2003&lt;=1000,"751-R$1000",U2003&lt;=1250,"1001-R$1250",U2003&lt;=1500,"1251-R$1500")</f>
        <v>0-R$250</v>
      </c>
      <c r="W2003" s="13">
        <v>0</v>
      </c>
      <c r="X2003" s="13" t="str" cm="1">
        <f t="array" ref="X2003">_xlfn.IFS(W2003 = 0, "0", W2003&lt;=20, "até R$20",W2003&lt;=40, "21 - R$40",W2003&lt;=60, "41- R$60",W2003&lt;=80, "61 - R$80", W2003&lt;=100, "81 - R$100",W2003&lt;=120, "101 - R$120",W2003&lt;=140, "121 - R$140", W2003&lt;=160, "141- R$160", W2003&lt;=180, "161 - R$180", W2003&lt;=200, "181-R$194")</f>
        <v>0</v>
      </c>
      <c r="Y2003" s="13">
        <v>2</v>
      </c>
      <c r="Z2003" s="13">
        <v>0</v>
      </c>
      <c r="AA2003" s="13">
        <v>0</v>
      </c>
      <c r="AB2003" s="13">
        <v>9</v>
      </c>
      <c r="AC2003" s="13">
        <v>2</v>
      </c>
      <c r="AD2003" s="13">
        <v>1</v>
      </c>
      <c r="AE2003" s="13">
        <v>1</v>
      </c>
      <c r="AF2003" s="13">
        <v>2</v>
      </c>
      <c r="AG2003" s="13">
        <v>5</v>
      </c>
      <c r="AH2003" s="13">
        <v>0</v>
      </c>
      <c r="AI2003" s="13">
        <v>1</v>
      </c>
      <c r="AJ2003" s="13">
        <v>0</v>
      </c>
      <c r="AK2003" s="13">
        <v>0</v>
      </c>
      <c r="AL2003" s="13">
        <v>0</v>
      </c>
      <c r="AM2003" s="13">
        <v>0</v>
      </c>
      <c r="AN2003" s="13">
        <v>0</v>
      </c>
      <c r="AO2003" s="14">
        <v>1</v>
      </c>
      <c r="AP2003" s="13">
        <v>3</v>
      </c>
      <c r="AQ2003" s="13">
        <v>11</v>
      </c>
      <c r="AR2003" s="15">
        <v>17</v>
      </c>
      <c r="AS2003" s="15">
        <v>26</v>
      </c>
    </row>
    <row r="2004" spans="1:45" x14ac:dyDescent="0.25">
      <c r="A2004">
        <v>1119</v>
      </c>
      <c r="B2004" s="11">
        <f t="shared" si="31"/>
        <v>10979</v>
      </c>
      <c r="C2004" s="16">
        <v>109790</v>
      </c>
      <c r="D2004" s="17">
        <v>0</v>
      </c>
      <c r="E2004" s="17">
        <v>0</v>
      </c>
      <c r="F2004" s="17">
        <v>34</v>
      </c>
      <c r="G2004" s="17">
        <v>31</v>
      </c>
      <c r="H2004" s="13" t="str" cm="1">
        <f t="array" ref="H2004">_xlfn.IFS(G2004&lt;=20,"0-20",G2004&lt;=30,"20-30",G2004&lt;=40,"30-40",G2004&lt;=50,"50-60",G2004&lt;=60,"60-70",G2004&lt;=70,"70-80",G2004&lt;=80,"80-90")</f>
        <v>30-40</v>
      </c>
      <c r="I2004" s="17">
        <v>2197</v>
      </c>
      <c r="J2004" s="13" t="str" cm="1">
        <f t="array" ref="J2004">_xlfn.IFS(K2004=1,"Divorciado",L2004=1,"Casado",M2004=1,"Solteiro",N2004=1,"Juntos",O2004=1,"Viuvo")</f>
        <v>Divorciado</v>
      </c>
      <c r="K2004" s="17">
        <v>1</v>
      </c>
      <c r="L2004" s="17">
        <v>0</v>
      </c>
      <c r="M2004" s="17">
        <v>0</v>
      </c>
      <c r="N2004" s="17">
        <v>0</v>
      </c>
      <c r="O2004" s="17">
        <v>0</v>
      </c>
      <c r="P2004" s="17">
        <v>0</v>
      </c>
      <c r="Q2004" s="17">
        <v>0</v>
      </c>
      <c r="R2004" s="17">
        <v>0</v>
      </c>
      <c r="S2004" s="17">
        <v>1</v>
      </c>
      <c r="T2004" s="17">
        <v>0</v>
      </c>
      <c r="U2004" s="17">
        <v>8</v>
      </c>
      <c r="V2004" s="13" t="str" cm="1">
        <f t="array" ref="V2004">_xlfn.IFS(U2004&lt;=250,"0-R$250",U2004&lt;=500,"251-R$500",U2004&lt;=750,"501-R$750",U2004&lt;=1000,"751-R$1000",U2004&lt;=1250,"1001-R$1250",U2004&lt;=1500,"1251-R$1500")</f>
        <v>0-R$250</v>
      </c>
      <c r="W2004" s="17">
        <v>4</v>
      </c>
      <c r="X2004" s="13" t="str" cm="1">
        <f t="array" ref="X2004">_xlfn.IFS(W2004 = 0, "0", W2004&lt;=20, "até R$20",W2004&lt;=40, "21 - R$40",W2004&lt;=60, "41- R$60",W2004&lt;=80, "61 - R$80", W2004&lt;=100, "81 - R$100",W2004&lt;=120, "101 - R$120",W2004&lt;=140, "121 - R$140", W2004&lt;=160, "141- R$160", W2004&lt;=180, "161 - R$180", W2004&lt;=200, "181-R$194")</f>
        <v>até R$20</v>
      </c>
      <c r="Y2004" s="17">
        <v>10</v>
      </c>
      <c r="Z2004" s="17">
        <v>2</v>
      </c>
      <c r="AA2004" s="17">
        <v>2</v>
      </c>
      <c r="AB2004" s="17">
        <v>4</v>
      </c>
      <c r="AC2004" s="17">
        <v>2</v>
      </c>
      <c r="AD2004" s="17">
        <v>3</v>
      </c>
      <c r="AE2004" s="17">
        <v>0</v>
      </c>
      <c r="AF2004" s="17">
        <v>3</v>
      </c>
      <c r="AG2004" s="17">
        <v>5</v>
      </c>
      <c r="AH2004" s="17">
        <v>0</v>
      </c>
      <c r="AI2004" s="17">
        <v>0</v>
      </c>
      <c r="AJ2004" s="17">
        <v>0</v>
      </c>
      <c r="AK2004" s="17">
        <v>0</v>
      </c>
      <c r="AL2004" s="17">
        <v>0</v>
      </c>
      <c r="AM2004" s="17">
        <v>0</v>
      </c>
      <c r="AN2004" s="17">
        <v>0</v>
      </c>
      <c r="AO2004" s="18">
        <v>0</v>
      </c>
      <c r="AP2004" s="17">
        <v>3</v>
      </c>
      <c r="AQ2004" s="17">
        <v>11</v>
      </c>
      <c r="AR2004" s="19">
        <v>22</v>
      </c>
      <c r="AS2004" s="19">
        <v>26</v>
      </c>
    </row>
    <row r="2005" spans="1:45" x14ac:dyDescent="0.25">
      <c r="A2005">
        <v>1123</v>
      </c>
      <c r="B2005" s="11">
        <f t="shared" si="31"/>
        <v>21282</v>
      </c>
      <c r="C2005" s="16">
        <v>212820</v>
      </c>
      <c r="D2005" s="17">
        <v>1</v>
      </c>
      <c r="E2005" s="17">
        <v>0</v>
      </c>
      <c r="F2005" s="17">
        <v>76</v>
      </c>
      <c r="G2005" s="17">
        <v>42</v>
      </c>
      <c r="H2005" s="13" t="str" cm="1">
        <f t="array" ref="H2005">_xlfn.IFS(G2005&lt;=20,"0-20",G2005&lt;=30,"20-30",G2005&lt;=40,"30-40",G2005&lt;=50,"50-60",G2005&lt;=60,"60-70",G2005&lt;=70,"70-80",G2005&lt;=80,"80-90")</f>
        <v>50-60</v>
      </c>
      <c r="I2005" s="17">
        <v>2208</v>
      </c>
      <c r="J2005" s="13" t="str" cm="1">
        <f t="array" ref="J2005">_xlfn.IFS(K2005=1,"Divorciado",L2005=1,"Casado",M2005=1,"Solteiro",N2005=1,"Juntos",O2005=1,"Viuvo")</f>
        <v>Divorciado</v>
      </c>
      <c r="K2005" s="17">
        <v>1</v>
      </c>
      <c r="L2005" s="17">
        <v>0</v>
      </c>
      <c r="M2005" s="17">
        <v>0</v>
      </c>
      <c r="N2005" s="17">
        <v>0</v>
      </c>
      <c r="O2005" s="17">
        <v>0</v>
      </c>
      <c r="P2005" s="17">
        <v>1</v>
      </c>
      <c r="Q2005" s="17">
        <v>0</v>
      </c>
      <c r="R2005" s="17">
        <v>0</v>
      </c>
      <c r="S2005" s="17">
        <v>0</v>
      </c>
      <c r="T2005" s="17">
        <v>0</v>
      </c>
      <c r="U2005" s="17">
        <v>1</v>
      </c>
      <c r="V2005" s="13" t="str" cm="1">
        <f t="array" ref="V2005">_xlfn.IFS(U2005&lt;=250,"0-R$250",U2005&lt;=500,"251-R$500",U2005&lt;=750,"501-R$750",U2005&lt;=1000,"751-R$1000",U2005&lt;=1250,"1001-R$1250",U2005&lt;=1500,"1251-R$1500")</f>
        <v>0-R$250</v>
      </c>
      <c r="W2005" s="17">
        <v>5</v>
      </c>
      <c r="X2005" s="13" t="str" cm="1">
        <f t="array" ref="X2005">_xlfn.IFS(W2005 = 0, "0", W2005&lt;=20, "até R$20",W2005&lt;=40, "21 - R$40",W2005&lt;=60, "41- R$60",W2005&lt;=80, "61 - R$80", W2005&lt;=100, "81 - R$100",W2005&lt;=120, "101 - R$120",W2005&lt;=140, "121 - R$140", W2005&lt;=160, "141- R$160", W2005&lt;=180, "161 - R$180", W2005&lt;=200, "181-R$194")</f>
        <v>até R$20</v>
      </c>
      <c r="Y2005" s="17">
        <v>8</v>
      </c>
      <c r="Z2005" s="17">
        <v>4</v>
      </c>
      <c r="AA2005" s="17">
        <v>8</v>
      </c>
      <c r="AB2005" s="17">
        <v>20</v>
      </c>
      <c r="AC2005" s="17">
        <v>2</v>
      </c>
      <c r="AD2005" s="17">
        <v>2</v>
      </c>
      <c r="AE2005" s="17">
        <v>1</v>
      </c>
      <c r="AF2005" s="17">
        <v>2</v>
      </c>
      <c r="AG2005" s="17">
        <v>6</v>
      </c>
      <c r="AH2005" s="17">
        <v>0</v>
      </c>
      <c r="AI2005" s="17">
        <v>0</v>
      </c>
      <c r="AJ2005" s="17">
        <v>0</v>
      </c>
      <c r="AK2005" s="17">
        <v>0</v>
      </c>
      <c r="AL2005" s="17">
        <v>0</v>
      </c>
      <c r="AM2005" s="17">
        <v>0</v>
      </c>
      <c r="AN2005" s="17">
        <v>0</v>
      </c>
      <c r="AO2005" s="18">
        <v>0</v>
      </c>
      <c r="AP2005" s="17">
        <v>3</v>
      </c>
      <c r="AQ2005" s="17">
        <v>11</v>
      </c>
      <c r="AR2005" s="19">
        <v>6</v>
      </c>
      <c r="AS2005" s="19">
        <v>26</v>
      </c>
    </row>
    <row r="2006" spans="1:45" x14ac:dyDescent="0.25">
      <c r="A2006">
        <v>1652</v>
      </c>
      <c r="B2006" s="11">
        <f t="shared" si="31"/>
        <v>15862</v>
      </c>
      <c r="C2006" s="12">
        <v>158620</v>
      </c>
      <c r="D2006" s="13">
        <v>1</v>
      </c>
      <c r="E2006" s="13">
        <v>0</v>
      </c>
      <c r="F2006" s="13">
        <v>26</v>
      </c>
      <c r="G2006" s="13">
        <v>41</v>
      </c>
      <c r="H2006" s="13" t="str" cm="1">
        <f t="array" ref="H2006">_xlfn.IFS(G2006&lt;=20,"0-20",G2006&lt;=30,"20-30",G2006&lt;=40,"30-40",G2006&lt;=50,"50-60",G2006&lt;=60,"60-70",G2006&lt;=70,"70-80",G2006&lt;=80,"80-90")</f>
        <v>50-60</v>
      </c>
      <c r="I2006" s="13">
        <v>2526</v>
      </c>
      <c r="J2006" s="13" t="str" cm="1">
        <f t="array" ref="J2006">_xlfn.IFS(K2006=1,"Divorciado",L2006=1,"Casado",M2006=1,"Solteiro",N2006=1,"Juntos",O2006=1,"Viuvo")</f>
        <v>Solteiro</v>
      </c>
      <c r="K2006" s="13">
        <v>0</v>
      </c>
      <c r="L2006" s="13">
        <v>0</v>
      </c>
      <c r="M2006" s="13">
        <v>1</v>
      </c>
      <c r="N2006" s="13">
        <v>0</v>
      </c>
      <c r="O2006" s="13">
        <v>0</v>
      </c>
      <c r="P2006" s="13">
        <v>0</v>
      </c>
      <c r="Q2006" s="13">
        <v>1</v>
      </c>
      <c r="R2006" s="13">
        <v>0</v>
      </c>
      <c r="S2006" s="13">
        <v>0</v>
      </c>
      <c r="T2006" s="13">
        <v>0</v>
      </c>
      <c r="U2006" s="13">
        <v>1</v>
      </c>
      <c r="V2006" s="13" t="str" cm="1">
        <f t="array" ref="V2006">_xlfn.IFS(U2006&lt;=250,"0-R$250",U2006&lt;=500,"251-R$500",U2006&lt;=750,"501-R$750",U2006&lt;=1000,"751-R$1000",U2006&lt;=1250,"1001-R$1250",U2006&lt;=1500,"1251-R$1500")</f>
        <v>0-R$250</v>
      </c>
      <c r="W2006" s="13">
        <v>1</v>
      </c>
      <c r="X2006" s="13" t="str" cm="1">
        <f t="array" ref="X2006">_xlfn.IFS(W2006 = 0, "0", W2006&lt;=20, "até R$20",W2006&lt;=40, "21 - R$40",W2006&lt;=60, "41- R$60",W2006&lt;=80, "61 - R$80", W2006&lt;=100, "81 - R$100",W2006&lt;=120, "101 - R$120",W2006&lt;=140, "121 - R$140", W2006&lt;=160, "141- R$160", W2006&lt;=180, "161 - R$180", W2006&lt;=200, "181-R$194")</f>
        <v>até R$20</v>
      </c>
      <c r="Y2006" s="13">
        <v>4</v>
      </c>
      <c r="Z2006" s="13">
        <v>11</v>
      </c>
      <c r="AA2006" s="13">
        <v>9</v>
      </c>
      <c r="AB2006" s="13">
        <v>10</v>
      </c>
      <c r="AC2006" s="13">
        <v>1</v>
      </c>
      <c r="AD2006" s="13">
        <v>1</v>
      </c>
      <c r="AE2006" s="13">
        <v>0</v>
      </c>
      <c r="AF2006" s="13">
        <v>3</v>
      </c>
      <c r="AG2006" s="13">
        <v>8</v>
      </c>
      <c r="AH2006" s="13">
        <v>0</v>
      </c>
      <c r="AI2006" s="13">
        <v>0</v>
      </c>
      <c r="AJ2006" s="13">
        <v>0</v>
      </c>
      <c r="AK2006" s="13">
        <v>0</v>
      </c>
      <c r="AL2006" s="13">
        <v>0</v>
      </c>
      <c r="AM2006" s="13">
        <v>0</v>
      </c>
      <c r="AN2006" s="13">
        <v>0</v>
      </c>
      <c r="AO2006" s="14">
        <v>0</v>
      </c>
      <c r="AP2006" s="13">
        <v>3</v>
      </c>
      <c r="AQ2006" s="13">
        <v>11</v>
      </c>
      <c r="AR2006" s="15">
        <v>16</v>
      </c>
      <c r="AS2006" s="15">
        <v>26</v>
      </c>
    </row>
    <row r="2007" spans="1:45" x14ac:dyDescent="0.25">
      <c r="A2007">
        <v>1790</v>
      </c>
      <c r="B2007" s="11">
        <f t="shared" si="31"/>
        <v>21840</v>
      </c>
      <c r="C2007" s="12">
        <v>218400</v>
      </c>
      <c r="D2007" s="13">
        <v>1</v>
      </c>
      <c r="E2007" s="13">
        <v>0</v>
      </c>
      <c r="F2007" s="13">
        <v>80</v>
      </c>
      <c r="G2007" s="13">
        <v>37</v>
      </c>
      <c r="H2007" s="13" t="str" cm="1">
        <f t="array" ref="H2007">_xlfn.IFS(G2007&lt;=20,"0-20",G2007&lt;=30,"20-30",G2007&lt;=40,"30-40",G2007&lt;=50,"50-60",G2007&lt;=60,"60-70",G2007&lt;=70,"70-80",G2007&lt;=80,"80-90")</f>
        <v>30-40</v>
      </c>
      <c r="I2007" s="13">
        <v>2502</v>
      </c>
      <c r="J2007" s="13" t="str" cm="1">
        <f t="array" ref="J2007">_xlfn.IFS(K2007=1,"Divorciado",L2007=1,"Casado",M2007=1,"Solteiro",N2007=1,"Juntos",O2007=1,"Viuvo")</f>
        <v>Juntos</v>
      </c>
      <c r="K2007" s="13">
        <v>0</v>
      </c>
      <c r="L2007" s="13">
        <v>0</v>
      </c>
      <c r="M2007" s="13">
        <v>0</v>
      </c>
      <c r="N2007" s="13">
        <v>1</v>
      </c>
      <c r="O2007" s="13">
        <v>0</v>
      </c>
      <c r="P2007" s="13">
        <v>0</v>
      </c>
      <c r="Q2007" s="13">
        <v>0</v>
      </c>
      <c r="R2007" s="13">
        <v>0</v>
      </c>
      <c r="S2007" s="13">
        <v>0</v>
      </c>
      <c r="T2007" s="13">
        <v>1</v>
      </c>
      <c r="U2007" s="13">
        <v>17</v>
      </c>
      <c r="V2007" s="13" t="str" cm="1">
        <f t="array" ref="V2007">_xlfn.IFS(U2007&lt;=250,"0-R$250",U2007&lt;=500,"251-R$500",U2007&lt;=750,"501-R$750",U2007&lt;=1000,"751-R$1000",U2007&lt;=1250,"1001-R$1250",U2007&lt;=1500,"1251-R$1500")</f>
        <v>0-R$250</v>
      </c>
      <c r="W2007" s="13">
        <v>0</v>
      </c>
      <c r="X2007" s="13" t="str" cm="1">
        <f t="array" ref="X2007">_xlfn.IFS(W2007 = 0, "0", W2007&lt;=20, "até R$20",W2007&lt;=40, "21 - R$40",W2007&lt;=60, "41- R$60",W2007&lt;=80, "61 - R$80", W2007&lt;=100, "81 - R$100",W2007&lt;=120, "101 - R$120",W2007&lt;=140, "121 - R$140", W2007&lt;=160, "141- R$160", W2007&lt;=180, "161 - R$180", W2007&lt;=200, "181-R$194")</f>
        <v>0</v>
      </c>
      <c r="Y2007" s="13">
        <v>9</v>
      </c>
      <c r="Z2007" s="13">
        <v>0</v>
      </c>
      <c r="AA2007" s="13">
        <v>0</v>
      </c>
      <c r="AB2007" s="13">
        <v>1</v>
      </c>
      <c r="AC2007" s="13">
        <v>1</v>
      </c>
      <c r="AD2007" s="13">
        <v>1</v>
      </c>
      <c r="AE2007" s="13">
        <v>0</v>
      </c>
      <c r="AF2007" s="13">
        <v>3</v>
      </c>
      <c r="AG2007" s="13">
        <v>9</v>
      </c>
      <c r="AH2007" s="13">
        <v>0</v>
      </c>
      <c r="AI2007" s="13">
        <v>0</v>
      </c>
      <c r="AJ2007" s="13">
        <v>0</v>
      </c>
      <c r="AK2007" s="13">
        <v>0</v>
      </c>
      <c r="AL2007" s="13">
        <v>0</v>
      </c>
      <c r="AM2007" s="13">
        <v>0</v>
      </c>
      <c r="AN2007" s="13">
        <v>0</v>
      </c>
      <c r="AO2007" s="14">
        <v>0</v>
      </c>
      <c r="AP2007" s="13">
        <v>3</v>
      </c>
      <c r="AQ2007" s="13">
        <v>11</v>
      </c>
      <c r="AR2007" s="15">
        <v>25</v>
      </c>
      <c r="AS2007" s="15">
        <v>26</v>
      </c>
    </row>
    <row r="2008" spans="1:45" x14ac:dyDescent="0.25">
      <c r="A2008">
        <v>2125</v>
      </c>
      <c r="B2008" s="11">
        <f t="shared" si="31"/>
        <v>34176</v>
      </c>
      <c r="C2008" s="16">
        <v>341760</v>
      </c>
      <c r="D2008" s="17">
        <v>0</v>
      </c>
      <c r="E2008" s="17">
        <v>1</v>
      </c>
      <c r="F2008" s="17">
        <v>9</v>
      </c>
      <c r="G2008" s="17">
        <v>45</v>
      </c>
      <c r="H2008" s="13" t="str" cm="1">
        <f t="array" ref="H2008">_xlfn.IFS(G2008&lt;=20,"0-20",G2008&lt;=30,"20-30",G2008&lt;=40,"30-40",G2008&lt;=50,"50-60",G2008&lt;=60,"60-70",G2008&lt;=70,"70-80",G2008&lt;=80,"80-90")</f>
        <v>50-60</v>
      </c>
      <c r="I2008" s="17">
        <v>2317</v>
      </c>
      <c r="J2008" s="13" t="str" cm="1">
        <f t="array" ref="J2008">_xlfn.IFS(K2008=1,"Divorciado",L2008=1,"Casado",M2008=1,"Solteiro",N2008=1,"Juntos",O2008=1,"Viuvo")</f>
        <v>Juntos</v>
      </c>
      <c r="K2008" s="17">
        <v>0</v>
      </c>
      <c r="L2008" s="17">
        <v>0</v>
      </c>
      <c r="M2008" s="17">
        <v>0</v>
      </c>
      <c r="N2008" s="17">
        <v>1</v>
      </c>
      <c r="O2008" s="17">
        <v>0</v>
      </c>
      <c r="P2008" s="17">
        <v>0</v>
      </c>
      <c r="Q2008" s="17">
        <v>0</v>
      </c>
      <c r="R2008" s="17">
        <v>0</v>
      </c>
      <c r="S2008" s="17">
        <v>1</v>
      </c>
      <c r="T2008" s="17">
        <v>0</v>
      </c>
      <c r="U2008" s="17">
        <v>11</v>
      </c>
      <c r="V2008" s="13" t="str" cm="1">
        <f t="array" ref="V2008">_xlfn.IFS(U2008&lt;=250,"0-R$250",U2008&lt;=500,"251-R$500",U2008&lt;=750,"501-R$750",U2008&lt;=1000,"751-R$1000",U2008&lt;=1250,"1001-R$1250",U2008&lt;=1500,"1251-R$1500")</f>
        <v>0-R$250</v>
      </c>
      <c r="W2008" s="17">
        <v>2</v>
      </c>
      <c r="X2008" s="13" t="str" cm="1">
        <f t="array" ref="X2008">_xlfn.IFS(W2008 = 0, "0", W2008&lt;=20, "até R$20",W2008&lt;=40, "21 - R$40",W2008&lt;=60, "41- R$60",W2008&lt;=80, "61 - R$80", W2008&lt;=100, "81 - R$100",W2008&lt;=120, "101 - R$120",W2008&lt;=140, "121 - R$140", W2008&lt;=160, "141- R$160", W2008&lt;=180, "161 - R$180", W2008&lt;=200, "181-R$194")</f>
        <v>até R$20</v>
      </c>
      <c r="Y2008" s="17">
        <v>7</v>
      </c>
      <c r="Z2008" s="17">
        <v>4</v>
      </c>
      <c r="AA2008" s="17">
        <v>2</v>
      </c>
      <c r="AB2008" s="17">
        <v>2</v>
      </c>
      <c r="AC2008" s="17">
        <v>1</v>
      </c>
      <c r="AD2008" s="17">
        <v>1</v>
      </c>
      <c r="AE2008" s="17">
        <v>0</v>
      </c>
      <c r="AF2008" s="17">
        <v>3</v>
      </c>
      <c r="AG2008" s="17">
        <v>3</v>
      </c>
      <c r="AH2008" s="17">
        <v>0</v>
      </c>
      <c r="AI2008" s="17">
        <v>0</v>
      </c>
      <c r="AJ2008" s="17">
        <v>0</v>
      </c>
      <c r="AK2008" s="17">
        <v>0</v>
      </c>
      <c r="AL2008" s="17">
        <v>0</v>
      </c>
      <c r="AM2008" s="17">
        <v>0</v>
      </c>
      <c r="AN2008" s="17">
        <v>0</v>
      </c>
      <c r="AO2008" s="18">
        <v>0</v>
      </c>
      <c r="AP2008" s="17">
        <v>3</v>
      </c>
      <c r="AQ2008" s="17">
        <v>11</v>
      </c>
      <c r="AR2008" s="19">
        <v>24</v>
      </c>
      <c r="AS2008" s="19">
        <v>26</v>
      </c>
    </row>
    <row r="2009" spans="1:45" x14ac:dyDescent="0.25">
      <c r="A2009">
        <v>229</v>
      </c>
      <c r="B2009" s="11">
        <f t="shared" si="31"/>
        <v>22804</v>
      </c>
      <c r="C2009" s="16">
        <v>228040</v>
      </c>
      <c r="D2009" s="17">
        <v>1</v>
      </c>
      <c r="E2009" s="17">
        <v>0</v>
      </c>
      <c r="F2009" s="17">
        <v>75</v>
      </c>
      <c r="G2009" s="17">
        <v>49</v>
      </c>
      <c r="H2009" s="13" t="str" cm="1">
        <f t="array" ref="H2009">_xlfn.IFS(G2009&lt;=20,"0-20",G2009&lt;=30,"20-30",G2009&lt;=40,"30-40",G2009&lt;=50,"50-60",G2009&lt;=60,"60-70",G2009&lt;=70,"70-80",G2009&lt;=80,"80-90")</f>
        <v>50-60</v>
      </c>
      <c r="I2009" s="17">
        <v>2492</v>
      </c>
      <c r="J2009" s="13" t="str" cm="1">
        <f t="array" ref="J2009">_xlfn.IFS(K2009=1,"Divorciado",L2009=1,"Casado",M2009=1,"Solteiro",N2009=1,"Juntos",O2009=1,"Viuvo")</f>
        <v>Solteiro</v>
      </c>
      <c r="K2009" s="17">
        <v>0</v>
      </c>
      <c r="L2009" s="17">
        <v>0</v>
      </c>
      <c r="M2009" s="17">
        <v>1</v>
      </c>
      <c r="N2009" s="17">
        <v>0</v>
      </c>
      <c r="O2009" s="17">
        <v>0</v>
      </c>
      <c r="P2009" s="17">
        <v>0</v>
      </c>
      <c r="Q2009" s="17">
        <v>0</v>
      </c>
      <c r="R2009" s="17">
        <v>1</v>
      </c>
      <c r="S2009" s="17">
        <v>0</v>
      </c>
      <c r="T2009" s="17">
        <v>0</v>
      </c>
      <c r="U2009" s="17">
        <v>14</v>
      </c>
      <c r="V2009" s="13" t="str" cm="1">
        <f t="array" ref="V2009">_xlfn.IFS(U2009&lt;=250,"0-R$250",U2009&lt;=500,"251-R$500",U2009&lt;=750,"501-R$750",U2009&lt;=1000,"751-R$1000",U2009&lt;=1250,"1001-R$1250",U2009&lt;=1500,"1251-R$1500")</f>
        <v>0-R$250</v>
      </c>
      <c r="W2009" s="17">
        <v>1</v>
      </c>
      <c r="X2009" s="13" t="str" cm="1">
        <f t="array" ref="X2009">_xlfn.IFS(W2009 = 0, "0", W2009&lt;=20, "até R$20",W2009&lt;=40, "21 - R$40",W2009&lt;=60, "41- R$60",W2009&lt;=80, "61 - R$80", W2009&lt;=100, "81 - R$100",W2009&lt;=120, "101 - R$120",W2009&lt;=140, "121 - R$140", W2009&lt;=160, "141- R$160", W2009&lt;=180, "161 - R$180", W2009&lt;=200, "181-R$194")</f>
        <v>até R$20</v>
      </c>
      <c r="Y2009" s="17">
        <v>7</v>
      </c>
      <c r="Z2009" s="17">
        <v>2</v>
      </c>
      <c r="AA2009" s="17">
        <v>1</v>
      </c>
      <c r="AB2009" s="17">
        <v>1</v>
      </c>
      <c r="AC2009" s="17">
        <v>1</v>
      </c>
      <c r="AD2009" s="17">
        <v>2</v>
      </c>
      <c r="AE2009" s="17">
        <v>0</v>
      </c>
      <c r="AF2009" s="17">
        <v>2</v>
      </c>
      <c r="AG2009" s="17">
        <v>9</v>
      </c>
      <c r="AH2009" s="17">
        <v>0</v>
      </c>
      <c r="AI2009" s="17">
        <v>0</v>
      </c>
      <c r="AJ2009" s="17">
        <v>0</v>
      </c>
      <c r="AK2009" s="17">
        <v>0</v>
      </c>
      <c r="AL2009" s="17">
        <v>0</v>
      </c>
      <c r="AM2009" s="17">
        <v>0</v>
      </c>
      <c r="AN2009" s="17">
        <v>0</v>
      </c>
      <c r="AO2009" s="18">
        <v>0</v>
      </c>
      <c r="AP2009" s="17">
        <v>3</v>
      </c>
      <c r="AQ2009" s="17">
        <v>11</v>
      </c>
      <c r="AR2009" s="19">
        <v>24</v>
      </c>
      <c r="AS2009" s="19">
        <v>25</v>
      </c>
    </row>
    <row r="2010" spans="1:45" x14ac:dyDescent="0.25">
      <c r="A2010">
        <v>319</v>
      </c>
      <c r="B2010" s="11">
        <f t="shared" si="31"/>
        <v>22010</v>
      </c>
      <c r="C2010" s="16">
        <v>220100</v>
      </c>
      <c r="D2010" s="17">
        <v>1</v>
      </c>
      <c r="E2010" s="17">
        <v>0</v>
      </c>
      <c r="F2010" s="17">
        <v>51</v>
      </c>
      <c r="G2010" s="17">
        <v>37</v>
      </c>
      <c r="H2010" s="13" t="str" cm="1">
        <f t="array" ref="H2010">_xlfn.IFS(G2010&lt;=20,"0-20",G2010&lt;=30,"20-30",G2010&lt;=40,"30-40",G2010&lt;=50,"50-60",G2010&lt;=60,"60-70",G2010&lt;=70,"70-80",G2010&lt;=80,"80-90")</f>
        <v>30-40</v>
      </c>
      <c r="I2010" s="17">
        <v>2523</v>
      </c>
      <c r="J2010" s="13" t="str" cm="1">
        <f t="array" ref="J2010">_xlfn.IFS(K2010=1,"Divorciado",L2010=1,"Casado",M2010=1,"Solteiro",N2010=1,"Juntos",O2010=1,"Viuvo")</f>
        <v>Juntos</v>
      </c>
      <c r="K2010" s="17">
        <v>0</v>
      </c>
      <c r="L2010" s="17">
        <v>0</v>
      </c>
      <c r="M2010" s="17">
        <v>0</v>
      </c>
      <c r="N2010" s="17">
        <v>1</v>
      </c>
      <c r="O2010" s="17">
        <v>0</v>
      </c>
      <c r="P2010" s="17">
        <v>0</v>
      </c>
      <c r="Q2010" s="17">
        <v>0</v>
      </c>
      <c r="R2010" s="17">
        <v>1</v>
      </c>
      <c r="S2010" s="17">
        <v>0</v>
      </c>
      <c r="T2010" s="17">
        <v>0</v>
      </c>
      <c r="U2010" s="17">
        <v>11</v>
      </c>
      <c r="V2010" s="13" t="str" cm="1">
        <f t="array" ref="V2010">_xlfn.IFS(U2010&lt;=250,"0-R$250",U2010&lt;=500,"251-R$500",U2010&lt;=750,"501-R$750",U2010&lt;=1000,"751-R$1000",U2010&lt;=1250,"1001-R$1250",U2010&lt;=1500,"1251-R$1500")</f>
        <v>0-R$250</v>
      </c>
      <c r="W2010" s="17">
        <v>2</v>
      </c>
      <c r="X2010" s="13" t="str" cm="1">
        <f t="array" ref="X2010">_xlfn.IFS(W2010 = 0, "0", W2010&lt;=20, "até R$20",W2010&lt;=40, "21 - R$40",W2010&lt;=60, "41- R$60",W2010&lt;=80, "61 - R$80", W2010&lt;=100, "81 - R$100",W2010&lt;=120, "101 - R$120",W2010&lt;=140, "121 - R$140", W2010&lt;=160, "141- R$160", W2010&lt;=180, "161 - R$180", W2010&lt;=200, "181-R$194")</f>
        <v>até R$20</v>
      </c>
      <c r="Y2010" s="17">
        <v>9</v>
      </c>
      <c r="Z2010" s="17">
        <v>3</v>
      </c>
      <c r="AA2010" s="17">
        <v>0</v>
      </c>
      <c r="AB2010" s="17">
        <v>8</v>
      </c>
      <c r="AC2010" s="17">
        <v>2</v>
      </c>
      <c r="AD2010" s="17">
        <v>2</v>
      </c>
      <c r="AE2010" s="17">
        <v>0</v>
      </c>
      <c r="AF2010" s="17">
        <v>3</v>
      </c>
      <c r="AG2010" s="17">
        <v>8</v>
      </c>
      <c r="AH2010" s="17">
        <v>0</v>
      </c>
      <c r="AI2010" s="17">
        <v>0</v>
      </c>
      <c r="AJ2010" s="17">
        <v>0</v>
      </c>
      <c r="AK2010" s="17">
        <v>0</v>
      </c>
      <c r="AL2010" s="17">
        <v>0</v>
      </c>
      <c r="AM2010" s="17">
        <v>0</v>
      </c>
      <c r="AN2010" s="17">
        <v>0</v>
      </c>
      <c r="AO2010" s="18">
        <v>0</v>
      </c>
      <c r="AP2010" s="17">
        <v>3</v>
      </c>
      <c r="AQ2010" s="17">
        <v>11</v>
      </c>
      <c r="AR2010" s="19">
        <v>17</v>
      </c>
      <c r="AS2010" s="19">
        <v>25</v>
      </c>
    </row>
    <row r="2011" spans="1:45" x14ac:dyDescent="0.25">
      <c r="A2011">
        <v>914</v>
      </c>
      <c r="B2011" s="11">
        <f t="shared" si="31"/>
        <v>25443</v>
      </c>
      <c r="C2011" s="12">
        <v>254430</v>
      </c>
      <c r="D2011" s="13">
        <v>1</v>
      </c>
      <c r="E2011" s="13">
        <v>0</v>
      </c>
      <c r="F2011" s="13">
        <v>82</v>
      </c>
      <c r="G2011" s="13">
        <v>31</v>
      </c>
      <c r="H2011" s="13" t="str" cm="1">
        <f t="array" ref="H2011">_xlfn.IFS(G2011&lt;=20,"0-20",G2011&lt;=30,"20-30",G2011&lt;=40,"30-40",G2011&lt;=50,"50-60",G2011&lt;=60,"60-70",G2011&lt;=70,"70-80",G2011&lt;=80,"80-90")</f>
        <v>30-40</v>
      </c>
      <c r="I2011" s="13">
        <v>2713</v>
      </c>
      <c r="J2011" s="13" t="str" cm="1">
        <f t="array" ref="J2011">_xlfn.IFS(K2011=1,"Divorciado",L2011=1,"Casado",M2011=1,"Solteiro",N2011=1,"Juntos",O2011=1,"Viuvo")</f>
        <v>Casado</v>
      </c>
      <c r="K2011" s="13">
        <v>0</v>
      </c>
      <c r="L2011" s="13">
        <v>1</v>
      </c>
      <c r="M2011" s="13">
        <v>0</v>
      </c>
      <c r="N2011" s="13">
        <v>0</v>
      </c>
      <c r="O2011" s="13">
        <v>0</v>
      </c>
      <c r="P2011" s="13">
        <v>0</v>
      </c>
      <c r="Q2011" s="13">
        <v>1</v>
      </c>
      <c r="R2011" s="13">
        <v>0</v>
      </c>
      <c r="S2011" s="13">
        <v>0</v>
      </c>
      <c r="T2011" s="13">
        <v>0</v>
      </c>
      <c r="U2011" s="13">
        <v>1</v>
      </c>
      <c r="V2011" s="13" t="str" cm="1">
        <f t="array" ref="V2011">_xlfn.IFS(U2011&lt;=250,"0-R$250",U2011&lt;=500,"251-R$500",U2011&lt;=750,"501-R$750",U2011&lt;=1000,"751-R$1000",U2011&lt;=1250,"1001-R$1250",U2011&lt;=1500,"1251-R$1500")</f>
        <v>0-R$250</v>
      </c>
      <c r="W2011" s="13">
        <v>4</v>
      </c>
      <c r="X2011" s="13" t="str" cm="1">
        <f t="array" ref="X2011">_xlfn.IFS(W2011 = 0, "0", W2011&lt;=20, "até R$20",W2011&lt;=40, "21 - R$40",W2011&lt;=60, "41- R$60",W2011&lt;=80, "61 - R$80", W2011&lt;=100, "81 - R$100",W2011&lt;=120, "101 - R$120",W2011&lt;=140, "121 - R$140", W2011&lt;=160, "141- R$160", W2011&lt;=180, "161 - R$180", W2011&lt;=200, "181-R$194")</f>
        <v>até R$20</v>
      </c>
      <c r="Y2011" s="13">
        <v>3</v>
      </c>
      <c r="Z2011" s="13">
        <v>8</v>
      </c>
      <c r="AA2011" s="13">
        <v>9</v>
      </c>
      <c r="AB2011" s="13">
        <v>7</v>
      </c>
      <c r="AC2011" s="13">
        <v>1</v>
      </c>
      <c r="AD2011" s="13">
        <v>1</v>
      </c>
      <c r="AE2011" s="13">
        <v>0</v>
      </c>
      <c r="AF2011" s="13">
        <v>3</v>
      </c>
      <c r="AG2011" s="13">
        <v>8</v>
      </c>
      <c r="AH2011" s="13">
        <v>0</v>
      </c>
      <c r="AI2011" s="13">
        <v>0</v>
      </c>
      <c r="AJ2011" s="13">
        <v>0</v>
      </c>
      <c r="AK2011" s="13">
        <v>0</v>
      </c>
      <c r="AL2011" s="13">
        <v>0</v>
      </c>
      <c r="AM2011" s="13">
        <v>0</v>
      </c>
      <c r="AN2011" s="13">
        <v>0</v>
      </c>
      <c r="AO2011" s="14">
        <v>0</v>
      </c>
      <c r="AP2011" s="13">
        <v>3</v>
      </c>
      <c r="AQ2011" s="13">
        <v>11</v>
      </c>
      <c r="AR2011" s="15">
        <v>18</v>
      </c>
      <c r="AS2011" s="15">
        <v>25</v>
      </c>
    </row>
    <row r="2012" spans="1:45" x14ac:dyDescent="0.25">
      <c r="A2012">
        <v>1272</v>
      </c>
      <c r="B2012" s="11">
        <f t="shared" si="31"/>
        <v>22804</v>
      </c>
      <c r="C2012" s="12">
        <v>228040</v>
      </c>
      <c r="D2012" s="13">
        <v>1</v>
      </c>
      <c r="E2012" s="13">
        <v>0</v>
      </c>
      <c r="F2012" s="13">
        <v>75</v>
      </c>
      <c r="G2012" s="13">
        <v>49</v>
      </c>
      <c r="H2012" s="13" t="str" cm="1">
        <f t="array" ref="H2012">_xlfn.IFS(G2012&lt;=20,"0-20",G2012&lt;=30,"20-30",G2012&lt;=40,"30-40",G2012&lt;=50,"50-60",G2012&lt;=60,"60-70",G2012&lt;=70,"70-80",G2012&lt;=80,"80-90")</f>
        <v>50-60</v>
      </c>
      <c r="I2012" s="13">
        <v>2492</v>
      </c>
      <c r="J2012" s="13" t="str" cm="1">
        <f t="array" ref="J2012">_xlfn.IFS(K2012=1,"Divorciado",L2012=1,"Casado",M2012=1,"Solteiro",N2012=1,"Juntos",O2012=1,"Viuvo")</f>
        <v>Solteiro</v>
      </c>
      <c r="K2012" s="13">
        <v>0</v>
      </c>
      <c r="L2012" s="13">
        <v>0</v>
      </c>
      <c r="M2012" s="13">
        <v>1</v>
      </c>
      <c r="N2012" s="13">
        <v>0</v>
      </c>
      <c r="O2012" s="13">
        <v>0</v>
      </c>
      <c r="P2012" s="13">
        <v>0</v>
      </c>
      <c r="Q2012" s="13">
        <v>0</v>
      </c>
      <c r="R2012" s="13">
        <v>1</v>
      </c>
      <c r="S2012" s="13">
        <v>0</v>
      </c>
      <c r="T2012" s="13">
        <v>0</v>
      </c>
      <c r="U2012" s="13">
        <v>14</v>
      </c>
      <c r="V2012" s="13" t="str" cm="1">
        <f t="array" ref="V2012">_xlfn.IFS(U2012&lt;=250,"0-R$250",U2012&lt;=500,"251-R$500",U2012&lt;=750,"501-R$750",U2012&lt;=1000,"751-R$1000",U2012&lt;=1250,"1001-R$1250",U2012&lt;=1500,"1251-R$1500")</f>
        <v>0-R$250</v>
      </c>
      <c r="W2012" s="13">
        <v>1</v>
      </c>
      <c r="X2012" s="13" t="str" cm="1">
        <f t="array" ref="X2012">_xlfn.IFS(W2012 = 0, "0", W2012&lt;=20, "até R$20",W2012&lt;=40, "21 - R$40",W2012&lt;=60, "41- R$60",W2012&lt;=80, "61 - R$80", W2012&lt;=100, "81 - R$100",W2012&lt;=120, "101 - R$120",W2012&lt;=140, "121 - R$140", W2012&lt;=160, "141- R$160", W2012&lt;=180, "161 - R$180", W2012&lt;=200, "181-R$194")</f>
        <v>até R$20</v>
      </c>
      <c r="Y2012" s="13">
        <v>7</v>
      </c>
      <c r="Z2012" s="13">
        <v>2</v>
      </c>
      <c r="AA2012" s="13">
        <v>1</v>
      </c>
      <c r="AB2012" s="13">
        <v>1</v>
      </c>
      <c r="AC2012" s="13">
        <v>1</v>
      </c>
      <c r="AD2012" s="13">
        <v>2</v>
      </c>
      <c r="AE2012" s="13">
        <v>0</v>
      </c>
      <c r="AF2012" s="13">
        <v>2</v>
      </c>
      <c r="AG2012" s="13">
        <v>9</v>
      </c>
      <c r="AH2012" s="13">
        <v>0</v>
      </c>
      <c r="AI2012" s="13">
        <v>0</v>
      </c>
      <c r="AJ2012" s="13">
        <v>0</v>
      </c>
      <c r="AK2012" s="13">
        <v>0</v>
      </c>
      <c r="AL2012" s="13">
        <v>0</v>
      </c>
      <c r="AM2012" s="13">
        <v>0</v>
      </c>
      <c r="AN2012" s="13">
        <v>0</v>
      </c>
      <c r="AO2012" s="14">
        <v>0</v>
      </c>
      <c r="AP2012" s="13">
        <v>3</v>
      </c>
      <c r="AQ2012" s="13">
        <v>11</v>
      </c>
      <c r="AR2012" s="15">
        <v>24</v>
      </c>
      <c r="AS2012" s="15">
        <v>25</v>
      </c>
    </row>
    <row r="2013" spans="1:45" x14ac:dyDescent="0.25">
      <c r="A2013">
        <v>1458</v>
      </c>
      <c r="B2013" s="11">
        <f t="shared" si="31"/>
        <v>19414</v>
      </c>
      <c r="C2013" s="12">
        <v>194140</v>
      </c>
      <c r="D2013" s="13">
        <v>1</v>
      </c>
      <c r="E2013" s="13">
        <v>0</v>
      </c>
      <c r="F2013" s="13">
        <v>32</v>
      </c>
      <c r="G2013" s="13">
        <v>39</v>
      </c>
      <c r="H2013" s="13" t="str" cm="1">
        <f t="array" ref="H2013">_xlfn.IFS(G2013&lt;=20,"0-20",G2013&lt;=30,"20-30",G2013&lt;=40,"30-40",G2013&lt;=50,"50-60",G2013&lt;=60,"60-70",G2013&lt;=70,"70-80",G2013&lt;=80,"80-90")</f>
        <v>30-40</v>
      </c>
      <c r="I2013" s="13">
        <v>2415</v>
      </c>
      <c r="J2013" s="13" t="str" cm="1">
        <f t="array" ref="J2013">_xlfn.IFS(K2013=1,"Divorciado",L2013=1,"Casado",M2013=1,"Solteiro",N2013=1,"Juntos",O2013=1,"Viuvo")</f>
        <v>Juntos</v>
      </c>
      <c r="K2013" s="13">
        <v>0</v>
      </c>
      <c r="L2013" s="13">
        <v>0</v>
      </c>
      <c r="M2013" s="13">
        <v>0</v>
      </c>
      <c r="N2013" s="13">
        <v>1</v>
      </c>
      <c r="O2013" s="13">
        <v>0</v>
      </c>
      <c r="P2013" s="13">
        <v>1</v>
      </c>
      <c r="Q2013" s="13">
        <v>0</v>
      </c>
      <c r="R2013" s="13">
        <v>0</v>
      </c>
      <c r="S2013" s="13">
        <v>0</v>
      </c>
      <c r="T2013" s="13">
        <v>0</v>
      </c>
      <c r="U2013" s="13">
        <v>2</v>
      </c>
      <c r="V2013" s="13" t="str" cm="1">
        <f t="array" ref="V2013">_xlfn.IFS(U2013&lt;=250,"0-R$250",U2013&lt;=500,"251-R$500",U2013&lt;=750,"501-R$750",U2013&lt;=1000,"751-R$1000",U2013&lt;=1250,"1001-R$1250",U2013&lt;=1500,"1251-R$1500")</f>
        <v>0-R$250</v>
      </c>
      <c r="W2013" s="13">
        <v>3</v>
      </c>
      <c r="X2013" s="13" t="str" cm="1">
        <f t="array" ref="X2013">_xlfn.IFS(W2013 = 0, "0", W2013&lt;=20, "até R$20",W2013&lt;=40, "21 - R$40",W2013&lt;=60, "41- R$60",W2013&lt;=80, "61 - R$80", W2013&lt;=100, "81 - R$100",W2013&lt;=120, "101 - R$120",W2013&lt;=140, "121 - R$140", W2013&lt;=160, "141- R$160", W2013&lt;=180, "161 - R$180", W2013&lt;=200, "181-R$194")</f>
        <v>até R$20</v>
      </c>
      <c r="Y2013" s="13">
        <v>12</v>
      </c>
      <c r="Z2013" s="13">
        <v>3</v>
      </c>
      <c r="AA2013" s="13">
        <v>5</v>
      </c>
      <c r="AB2013" s="13">
        <v>7</v>
      </c>
      <c r="AC2013" s="13">
        <v>1</v>
      </c>
      <c r="AD2013" s="13">
        <v>1</v>
      </c>
      <c r="AE2013" s="13">
        <v>0</v>
      </c>
      <c r="AF2013" s="13">
        <v>3</v>
      </c>
      <c r="AG2013" s="13">
        <v>8</v>
      </c>
      <c r="AH2013" s="13">
        <v>0</v>
      </c>
      <c r="AI2013" s="13">
        <v>0</v>
      </c>
      <c r="AJ2013" s="13">
        <v>0</v>
      </c>
      <c r="AK2013" s="13">
        <v>0</v>
      </c>
      <c r="AL2013" s="13">
        <v>0</v>
      </c>
      <c r="AM2013" s="13">
        <v>0</v>
      </c>
      <c r="AN2013" s="13">
        <v>0</v>
      </c>
      <c r="AO2013" s="14">
        <v>0</v>
      </c>
      <c r="AP2013" s="13">
        <v>3</v>
      </c>
      <c r="AQ2013" s="13">
        <v>11</v>
      </c>
      <c r="AR2013" s="15">
        <v>18</v>
      </c>
      <c r="AS2013" s="15">
        <v>25</v>
      </c>
    </row>
    <row r="2014" spans="1:45" x14ac:dyDescent="0.25">
      <c r="A2014">
        <v>1692</v>
      </c>
      <c r="B2014" s="11">
        <f t="shared" si="31"/>
        <v>22108</v>
      </c>
      <c r="C2014" s="12">
        <v>221080</v>
      </c>
      <c r="D2014" s="13">
        <v>1</v>
      </c>
      <c r="E2014" s="13">
        <v>1</v>
      </c>
      <c r="F2014" s="13">
        <v>46</v>
      </c>
      <c r="G2014" s="13">
        <v>43</v>
      </c>
      <c r="H2014" s="13" t="str" cm="1">
        <f t="array" ref="H2014">_xlfn.IFS(G2014&lt;=20,"0-20",G2014&lt;=30,"20-30",G2014&lt;=40,"30-40",G2014&lt;=50,"50-60",G2014&lt;=60,"60-70",G2014&lt;=70,"70-80",G2014&lt;=80,"80-90")</f>
        <v>50-60</v>
      </c>
      <c r="I2014" s="13">
        <v>2211</v>
      </c>
      <c r="J2014" s="13" t="str" cm="1">
        <f t="array" ref="J2014">_xlfn.IFS(K2014=1,"Divorciado",L2014=1,"Casado",M2014=1,"Solteiro",N2014=1,"Juntos",O2014=1,"Viuvo")</f>
        <v>Casado</v>
      </c>
      <c r="K2014" s="13">
        <v>0</v>
      </c>
      <c r="L2014" s="13">
        <v>1</v>
      </c>
      <c r="M2014" s="13">
        <v>0</v>
      </c>
      <c r="N2014" s="13">
        <v>0</v>
      </c>
      <c r="O2014" s="13">
        <v>0</v>
      </c>
      <c r="P2014" s="13">
        <v>0</v>
      </c>
      <c r="Q2014" s="13">
        <v>0</v>
      </c>
      <c r="R2014" s="13">
        <v>1</v>
      </c>
      <c r="S2014" s="13">
        <v>0</v>
      </c>
      <c r="T2014" s="13">
        <v>0</v>
      </c>
      <c r="U2014" s="13">
        <v>5</v>
      </c>
      <c r="V2014" s="13" t="str" cm="1">
        <f t="array" ref="V2014">_xlfn.IFS(U2014&lt;=250,"0-R$250",U2014&lt;=500,"251-R$500",U2014&lt;=750,"501-R$750",U2014&lt;=1000,"751-R$1000",U2014&lt;=1250,"1001-R$1250",U2014&lt;=1500,"1251-R$1500")</f>
        <v>0-R$250</v>
      </c>
      <c r="W2014" s="13">
        <v>3</v>
      </c>
      <c r="X2014" s="13" t="str" cm="1">
        <f t="array" ref="X2014">_xlfn.IFS(W2014 = 0, "0", W2014&lt;=20, "até R$20",W2014&lt;=40, "21 - R$40",W2014&lt;=60, "41- R$60",W2014&lt;=80, "61 - R$80", W2014&lt;=100, "81 - R$100",W2014&lt;=120, "101 - R$120",W2014&lt;=140, "121 - R$140", W2014&lt;=160, "141- R$160", W2014&lt;=180, "161 - R$180", W2014&lt;=200, "181-R$194")</f>
        <v>até R$20</v>
      </c>
      <c r="Y2014" s="13">
        <v>9</v>
      </c>
      <c r="Z2014" s="13">
        <v>6</v>
      </c>
      <c r="AA2014" s="13">
        <v>2</v>
      </c>
      <c r="AB2014" s="13">
        <v>6</v>
      </c>
      <c r="AC2014" s="13">
        <v>2</v>
      </c>
      <c r="AD2014" s="13">
        <v>2</v>
      </c>
      <c r="AE2014" s="13">
        <v>0</v>
      </c>
      <c r="AF2014" s="13">
        <v>3</v>
      </c>
      <c r="AG2014" s="13">
        <v>7</v>
      </c>
      <c r="AH2014" s="13">
        <v>0</v>
      </c>
      <c r="AI2014" s="13">
        <v>0</v>
      </c>
      <c r="AJ2014" s="13">
        <v>0</v>
      </c>
      <c r="AK2014" s="13">
        <v>0</v>
      </c>
      <c r="AL2014" s="13">
        <v>0</v>
      </c>
      <c r="AM2014" s="13">
        <v>0</v>
      </c>
      <c r="AN2014" s="13">
        <v>0</v>
      </c>
      <c r="AO2014" s="14">
        <v>0</v>
      </c>
      <c r="AP2014" s="13">
        <v>3</v>
      </c>
      <c r="AQ2014" s="13">
        <v>11</v>
      </c>
      <c r="AR2014" s="15">
        <v>19</v>
      </c>
      <c r="AS2014" s="15">
        <v>25</v>
      </c>
    </row>
    <row r="2015" spans="1:45" x14ac:dyDescent="0.25">
      <c r="A2015">
        <v>1824</v>
      </c>
      <c r="B2015" s="11">
        <f t="shared" si="31"/>
        <v>25008</v>
      </c>
      <c r="C2015" s="12">
        <v>250080</v>
      </c>
      <c r="D2015" s="13">
        <v>1</v>
      </c>
      <c r="E2015" s="13">
        <v>0</v>
      </c>
      <c r="F2015" s="13">
        <v>72</v>
      </c>
      <c r="G2015" s="13">
        <v>32</v>
      </c>
      <c r="H2015" s="13" t="str" cm="1">
        <f t="array" ref="H2015">_xlfn.IFS(G2015&lt;=20,"0-20",G2015&lt;=30,"20-30",G2015&lt;=40,"30-40",G2015&lt;=50,"50-60",G2015&lt;=60,"60-70",G2015&lt;=70,"70-80",G2015&lt;=80,"80-90")</f>
        <v>30-40</v>
      </c>
      <c r="I2015" s="13">
        <v>2306</v>
      </c>
      <c r="J2015" s="13" t="str" cm="1">
        <f t="array" ref="J2015">_xlfn.IFS(K2015=1,"Divorciado",L2015=1,"Casado",M2015=1,"Solteiro",N2015=1,"Juntos",O2015=1,"Viuvo")</f>
        <v>Solteiro</v>
      </c>
      <c r="K2015" s="13">
        <v>0</v>
      </c>
      <c r="L2015" s="13">
        <v>0</v>
      </c>
      <c r="M2015" s="13">
        <v>1</v>
      </c>
      <c r="N2015" s="13">
        <v>0</v>
      </c>
      <c r="O2015" s="13">
        <v>0</v>
      </c>
      <c r="P2015" s="13">
        <v>0</v>
      </c>
      <c r="Q2015" s="13">
        <v>0</v>
      </c>
      <c r="R2015" s="13">
        <v>1</v>
      </c>
      <c r="S2015" s="13">
        <v>0</v>
      </c>
      <c r="T2015" s="13">
        <v>0</v>
      </c>
      <c r="U2015" s="13">
        <v>2</v>
      </c>
      <c r="V2015" s="13" t="str" cm="1">
        <f t="array" ref="V2015">_xlfn.IFS(U2015&lt;=250,"0-R$250",U2015&lt;=500,"251-R$500",U2015&lt;=750,"501-R$750",U2015&lt;=1000,"751-R$1000",U2015&lt;=1250,"1001-R$1250",U2015&lt;=1500,"1251-R$1500")</f>
        <v>0-R$250</v>
      </c>
      <c r="W2015" s="13">
        <v>8</v>
      </c>
      <c r="X2015" s="13" t="str" cm="1">
        <f t="array" ref="X2015">_xlfn.IFS(W2015 = 0, "0", W2015&lt;=20, "até R$20",W2015&lt;=40, "21 - R$40",W2015&lt;=60, "41- R$60",W2015&lt;=80, "61 - R$80", W2015&lt;=100, "81 - R$100",W2015&lt;=120, "101 - R$120",W2015&lt;=140, "121 - R$140", W2015&lt;=160, "141- R$160", W2015&lt;=180, "161 - R$180", W2015&lt;=200, "181-R$194")</f>
        <v>até R$20</v>
      </c>
      <c r="Y2015" s="13">
        <v>8</v>
      </c>
      <c r="Z2015" s="13">
        <v>6</v>
      </c>
      <c r="AA2015" s="13">
        <v>1</v>
      </c>
      <c r="AB2015" s="13">
        <v>9</v>
      </c>
      <c r="AC2015" s="13">
        <v>2</v>
      </c>
      <c r="AD2015" s="13">
        <v>1</v>
      </c>
      <c r="AE2015" s="13">
        <v>0</v>
      </c>
      <c r="AF2015" s="13">
        <v>3</v>
      </c>
      <c r="AG2015" s="13">
        <v>8</v>
      </c>
      <c r="AH2015" s="13">
        <v>0</v>
      </c>
      <c r="AI2015" s="13">
        <v>0</v>
      </c>
      <c r="AJ2015" s="13">
        <v>0</v>
      </c>
      <c r="AK2015" s="13">
        <v>0</v>
      </c>
      <c r="AL2015" s="13">
        <v>0</v>
      </c>
      <c r="AM2015" s="13">
        <v>0</v>
      </c>
      <c r="AN2015" s="13">
        <v>0</v>
      </c>
      <c r="AO2015" s="14">
        <v>0</v>
      </c>
      <c r="AP2015" s="13">
        <v>3</v>
      </c>
      <c r="AQ2015" s="13">
        <v>11</v>
      </c>
      <c r="AR2015" s="15">
        <v>16</v>
      </c>
      <c r="AS2015" s="15">
        <v>25</v>
      </c>
    </row>
    <row r="2016" spans="1:45" x14ac:dyDescent="0.25">
      <c r="A2016">
        <v>54</v>
      </c>
      <c r="B2016" s="11">
        <f t="shared" si="31"/>
        <v>27938</v>
      </c>
      <c r="C2016" s="12">
        <v>279380</v>
      </c>
      <c r="D2016" s="13">
        <v>1</v>
      </c>
      <c r="E2016" s="13">
        <v>0</v>
      </c>
      <c r="F2016" s="13">
        <v>31</v>
      </c>
      <c r="G2016" s="13">
        <v>32</v>
      </c>
      <c r="H2016" s="13" t="str" cm="1">
        <f t="array" ref="H2016">_xlfn.IFS(G2016&lt;=20,"0-20",G2016&lt;=30,"20-30",G2016&lt;=40,"30-40",G2016&lt;=50,"50-60",G2016&lt;=60,"60-70",G2016&lt;=70,"70-80",G2016&lt;=80,"80-90")</f>
        <v>30-40</v>
      </c>
      <c r="I2016" s="13">
        <v>2221</v>
      </c>
      <c r="J2016" s="13" t="str" cm="1">
        <f t="array" ref="J2016">_xlfn.IFS(K2016=1,"Divorciado",L2016=1,"Casado",M2016=1,"Solteiro",N2016=1,"Juntos",O2016=1,"Viuvo")</f>
        <v>Solteiro</v>
      </c>
      <c r="K2016" s="13">
        <v>0</v>
      </c>
      <c r="L2016" s="13">
        <v>0</v>
      </c>
      <c r="M2016" s="13">
        <v>1</v>
      </c>
      <c r="N2016" s="13">
        <v>0</v>
      </c>
      <c r="O2016" s="13">
        <v>0</v>
      </c>
      <c r="P2016" s="13">
        <v>0</v>
      </c>
      <c r="Q2016" s="13">
        <v>0</v>
      </c>
      <c r="R2016" s="13">
        <v>1</v>
      </c>
      <c r="S2016" s="13">
        <v>0</v>
      </c>
      <c r="T2016" s="13">
        <v>0</v>
      </c>
      <c r="U2016" s="13">
        <v>13</v>
      </c>
      <c r="V2016" s="13" t="str" cm="1">
        <f t="array" ref="V2016">_xlfn.IFS(U2016&lt;=250,"0-R$250",U2016&lt;=500,"251-R$500",U2016&lt;=750,"501-R$750",U2016&lt;=1000,"751-R$1000",U2016&lt;=1250,"1001-R$1250",U2016&lt;=1500,"1251-R$1500")</f>
        <v>0-R$250</v>
      </c>
      <c r="W2016" s="13">
        <v>0</v>
      </c>
      <c r="X2016" s="13" t="str" cm="1">
        <f t="array" ref="X2016">_xlfn.IFS(W2016 = 0, "0", W2016&lt;=20, "até R$20",W2016&lt;=40, "21 - R$40",W2016&lt;=60, "41- R$60",W2016&lt;=80, "61 - R$80", W2016&lt;=100, "81 - R$100",W2016&lt;=120, "101 - R$120",W2016&lt;=140, "121 - R$140", W2016&lt;=160, "141- R$160", W2016&lt;=180, "161 - R$180", W2016&lt;=200, "181-R$194")</f>
        <v>0</v>
      </c>
      <c r="Y2016" s="13">
        <v>8</v>
      </c>
      <c r="Z2016" s="13">
        <v>2</v>
      </c>
      <c r="AA2016" s="13">
        <v>1</v>
      </c>
      <c r="AB2016" s="13">
        <v>5</v>
      </c>
      <c r="AC2016" s="13">
        <v>1</v>
      </c>
      <c r="AD2016" s="13">
        <v>1</v>
      </c>
      <c r="AE2016" s="13">
        <v>0</v>
      </c>
      <c r="AF2016" s="13">
        <v>4</v>
      </c>
      <c r="AG2016" s="13">
        <v>3</v>
      </c>
      <c r="AH2016" s="13">
        <v>0</v>
      </c>
      <c r="AI2016" s="13">
        <v>0</v>
      </c>
      <c r="AJ2016" s="13">
        <v>0</v>
      </c>
      <c r="AK2016" s="13">
        <v>0</v>
      </c>
      <c r="AL2016" s="13">
        <v>0</v>
      </c>
      <c r="AM2016" s="13">
        <v>0</v>
      </c>
      <c r="AN2016" s="13">
        <v>0</v>
      </c>
      <c r="AO2016" s="14">
        <v>0</v>
      </c>
      <c r="AP2016" s="13">
        <v>3</v>
      </c>
      <c r="AQ2016" s="13">
        <v>11</v>
      </c>
      <c r="AR2016" s="15">
        <v>19</v>
      </c>
      <c r="AS2016" s="15">
        <v>24</v>
      </c>
    </row>
    <row r="2017" spans="1:45" x14ac:dyDescent="0.25">
      <c r="A2017">
        <v>183</v>
      </c>
      <c r="B2017" s="11">
        <f t="shared" si="31"/>
        <v>31353</v>
      </c>
      <c r="C2017" s="16">
        <v>313530</v>
      </c>
      <c r="D2017" s="17">
        <v>1</v>
      </c>
      <c r="E2017" s="17">
        <v>1</v>
      </c>
      <c r="F2017" s="17">
        <v>24</v>
      </c>
      <c r="G2017" s="17">
        <v>43</v>
      </c>
      <c r="H2017" s="13" t="str" cm="1">
        <f t="array" ref="H2017">_xlfn.IFS(G2017&lt;=20,"0-20",G2017&lt;=30,"20-30",G2017&lt;=40,"30-40",G2017&lt;=50,"50-60",G2017&lt;=60,"60-70",G2017&lt;=70,"70-80",G2017&lt;=80,"80-90")</f>
        <v>50-60</v>
      </c>
      <c r="I2017" s="17">
        <v>2341</v>
      </c>
      <c r="J2017" s="13" t="str" cm="1">
        <f t="array" ref="J2017">_xlfn.IFS(K2017=1,"Divorciado",L2017=1,"Casado",M2017=1,"Solteiro",N2017=1,"Juntos",O2017=1,"Viuvo")</f>
        <v>Casado</v>
      </c>
      <c r="K2017" s="17">
        <v>0</v>
      </c>
      <c r="L2017" s="17">
        <v>1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1</v>
      </c>
      <c r="S2017" s="17">
        <v>0</v>
      </c>
      <c r="T2017" s="17">
        <v>0</v>
      </c>
      <c r="U2017" s="17">
        <v>10</v>
      </c>
      <c r="V2017" s="13" t="str" cm="1">
        <f t="array" ref="V2017">_xlfn.IFS(U2017&lt;=250,"0-R$250",U2017&lt;=500,"251-R$500",U2017&lt;=750,"501-R$750",U2017&lt;=1000,"751-R$1000",U2017&lt;=1250,"1001-R$1250",U2017&lt;=1500,"1251-R$1500")</f>
        <v>0-R$250</v>
      </c>
      <c r="W2017" s="17">
        <v>0</v>
      </c>
      <c r="X2017" s="13" t="str" cm="1">
        <f t="array" ref="X2017">_xlfn.IFS(W2017 = 0, "0", W2017&lt;=20, "até R$20",W2017&lt;=40, "21 - R$40",W2017&lt;=60, "41- R$60",W2017&lt;=80, "61 - R$80", W2017&lt;=100, "81 - R$100",W2017&lt;=120, "101 - R$120",W2017&lt;=140, "121 - R$140", W2017&lt;=160, "141- R$160", W2017&lt;=180, "161 - R$180", W2017&lt;=200, "181-R$194")</f>
        <v>0</v>
      </c>
      <c r="Y2017" s="17">
        <v>10</v>
      </c>
      <c r="Z2017" s="17">
        <v>3</v>
      </c>
      <c r="AA2017" s="17">
        <v>1</v>
      </c>
      <c r="AB2017" s="17">
        <v>7</v>
      </c>
      <c r="AC2017" s="17">
        <v>2</v>
      </c>
      <c r="AD2017" s="17">
        <v>1</v>
      </c>
      <c r="AE2017" s="17">
        <v>1</v>
      </c>
      <c r="AF2017" s="17">
        <v>2</v>
      </c>
      <c r="AG2017" s="17">
        <v>8</v>
      </c>
      <c r="AH2017" s="17">
        <v>0</v>
      </c>
      <c r="AI2017" s="17">
        <v>0</v>
      </c>
      <c r="AJ2017" s="17">
        <v>0</v>
      </c>
      <c r="AK2017" s="17">
        <v>0</v>
      </c>
      <c r="AL2017" s="17">
        <v>0</v>
      </c>
      <c r="AM2017" s="17">
        <v>0</v>
      </c>
      <c r="AN2017" s="17">
        <v>0</v>
      </c>
      <c r="AO2017" s="18">
        <v>0</v>
      </c>
      <c r="AP2017" s="17">
        <v>3</v>
      </c>
      <c r="AQ2017" s="17">
        <v>11</v>
      </c>
      <c r="AR2017" s="19">
        <v>17</v>
      </c>
      <c r="AS2017" s="19">
        <v>24</v>
      </c>
    </row>
    <row r="2018" spans="1:45" x14ac:dyDescent="0.25">
      <c r="A2018">
        <v>283</v>
      </c>
      <c r="B2018" s="11">
        <f t="shared" si="31"/>
        <v>35388</v>
      </c>
      <c r="C2018" s="16">
        <v>353880</v>
      </c>
      <c r="D2018" s="17">
        <v>1</v>
      </c>
      <c r="E2018" s="17">
        <v>0</v>
      </c>
      <c r="F2018" s="17">
        <v>20</v>
      </c>
      <c r="G2018" s="17">
        <v>32</v>
      </c>
      <c r="H2018" s="13" t="str" cm="1">
        <f t="array" ref="H2018">_xlfn.IFS(G2018&lt;=20,"0-20",G2018&lt;=30,"20-30",G2018&lt;=40,"30-40",G2018&lt;=50,"50-60",G2018&lt;=60,"60-70",G2018&lt;=70,"70-80",G2018&lt;=80,"80-90")</f>
        <v>30-40</v>
      </c>
      <c r="I2018" s="17">
        <v>2638</v>
      </c>
      <c r="J2018" s="13" t="str" cm="1">
        <f t="array" ref="J2018">_xlfn.IFS(K2018=1,"Divorciado",L2018=1,"Casado",M2018=1,"Solteiro",N2018=1,"Juntos",O2018=1,"Viuvo")</f>
        <v>Divorciado</v>
      </c>
      <c r="K2018" s="17">
        <v>1</v>
      </c>
      <c r="L2018" s="17">
        <v>0</v>
      </c>
      <c r="M2018" s="17">
        <v>0</v>
      </c>
      <c r="N2018" s="17">
        <v>0</v>
      </c>
      <c r="O2018" s="17">
        <v>0</v>
      </c>
      <c r="P2018" s="17">
        <v>1</v>
      </c>
      <c r="Q2018" s="17">
        <v>0</v>
      </c>
      <c r="R2018" s="17">
        <v>0</v>
      </c>
      <c r="S2018" s="17">
        <v>0</v>
      </c>
      <c r="T2018" s="17">
        <v>0</v>
      </c>
      <c r="U2018" s="17">
        <v>6</v>
      </c>
      <c r="V2018" s="13" t="str" cm="1">
        <f t="array" ref="V2018">_xlfn.IFS(U2018&lt;=250,"0-R$250",U2018&lt;=500,"251-R$500",U2018&lt;=750,"501-R$750",U2018&lt;=1000,"751-R$1000",U2018&lt;=1250,"1001-R$1250",U2018&lt;=1500,"1251-R$1500")</f>
        <v>0-R$250</v>
      </c>
      <c r="W2018" s="17">
        <v>4</v>
      </c>
      <c r="X2018" s="13" t="str" cm="1">
        <f t="array" ref="X2018">_xlfn.IFS(W2018 = 0, "0", W2018&lt;=20, "até R$20",W2018&lt;=40, "21 - R$40",W2018&lt;=60, "41- R$60",W2018&lt;=80, "61 - R$80", W2018&lt;=100, "81 - R$100",W2018&lt;=120, "101 - R$120",W2018&lt;=140, "121 - R$140", W2018&lt;=160, "141- R$160", W2018&lt;=180, "161 - R$180", W2018&lt;=200, "181-R$194")</f>
        <v>até R$20</v>
      </c>
      <c r="Y2018" s="17">
        <v>7</v>
      </c>
      <c r="Z2018" s="17">
        <v>4</v>
      </c>
      <c r="AA2018" s="17">
        <v>3</v>
      </c>
      <c r="AB2018" s="17">
        <v>8</v>
      </c>
      <c r="AC2018" s="17">
        <v>1</v>
      </c>
      <c r="AD2018" s="17">
        <v>1</v>
      </c>
      <c r="AE2018" s="17">
        <v>0</v>
      </c>
      <c r="AF2018" s="17">
        <v>3</v>
      </c>
      <c r="AG2018" s="17">
        <v>7</v>
      </c>
      <c r="AH2018" s="17">
        <v>0</v>
      </c>
      <c r="AI2018" s="17">
        <v>0</v>
      </c>
      <c r="AJ2018" s="17">
        <v>0</v>
      </c>
      <c r="AK2018" s="17">
        <v>0</v>
      </c>
      <c r="AL2018" s="17">
        <v>0</v>
      </c>
      <c r="AM2018" s="17">
        <v>0</v>
      </c>
      <c r="AN2018" s="17">
        <v>0</v>
      </c>
      <c r="AO2018" s="18">
        <v>0</v>
      </c>
      <c r="AP2018" s="17">
        <v>3</v>
      </c>
      <c r="AQ2018" s="17">
        <v>11</v>
      </c>
      <c r="AR2018" s="19">
        <v>16</v>
      </c>
      <c r="AS2018" s="19">
        <v>24</v>
      </c>
    </row>
    <row r="2019" spans="1:45" x14ac:dyDescent="0.25">
      <c r="A2019">
        <v>646</v>
      </c>
      <c r="B2019" s="11">
        <f t="shared" si="31"/>
        <v>14661</v>
      </c>
      <c r="C2019" s="12">
        <v>146610</v>
      </c>
      <c r="D2019" s="13">
        <v>0</v>
      </c>
      <c r="E2019" s="13">
        <v>0</v>
      </c>
      <c r="F2019" s="13">
        <v>88</v>
      </c>
      <c r="G2019" s="13">
        <v>64</v>
      </c>
      <c r="H2019" s="13" t="str" cm="1">
        <f t="array" ref="H2019">_xlfn.IFS(G2019&lt;=20,"0-20",G2019&lt;=30,"20-30",G2019&lt;=40,"30-40",G2019&lt;=50,"50-60",G2019&lt;=60,"60-70",G2019&lt;=70,"70-80",G2019&lt;=80,"80-90")</f>
        <v>70-80</v>
      </c>
      <c r="I2019" s="13">
        <v>2703</v>
      </c>
      <c r="J2019" s="13" t="str" cm="1">
        <f t="array" ref="J2019">_xlfn.IFS(K2019=1,"Divorciado",L2019=1,"Casado",M2019=1,"Solteiro",N2019=1,"Juntos",O2019=1,"Viuvo")</f>
        <v>Juntos</v>
      </c>
      <c r="K2019" s="13">
        <v>0</v>
      </c>
      <c r="L2019" s="13">
        <v>0</v>
      </c>
      <c r="M2019" s="13">
        <v>0</v>
      </c>
      <c r="N2019" s="13">
        <v>1</v>
      </c>
      <c r="O2019" s="13">
        <v>0</v>
      </c>
      <c r="P2019" s="13">
        <v>0</v>
      </c>
      <c r="Q2019" s="13">
        <v>0</v>
      </c>
      <c r="R2019" s="13">
        <v>0</v>
      </c>
      <c r="S2019" s="13">
        <v>1</v>
      </c>
      <c r="T2019" s="13">
        <v>0</v>
      </c>
      <c r="U2019" s="13">
        <v>4</v>
      </c>
      <c r="V2019" s="13" t="str" cm="1">
        <f t="array" ref="V2019">_xlfn.IFS(U2019&lt;=250,"0-R$250",U2019&lt;=500,"251-R$500",U2019&lt;=750,"501-R$750",U2019&lt;=1000,"751-R$1000",U2019&lt;=1250,"1001-R$1250",U2019&lt;=1500,"1251-R$1500")</f>
        <v>0-R$250</v>
      </c>
      <c r="W2019" s="13">
        <v>1</v>
      </c>
      <c r="X2019" s="13" t="str" cm="1">
        <f t="array" ref="X2019">_xlfn.IFS(W2019 = 0, "0", W2019&lt;=20, "até R$20",W2019&lt;=40, "21 - R$40",W2019&lt;=60, "41- R$60",W2019&lt;=80, "61 - R$80", W2019&lt;=100, "81 - R$100",W2019&lt;=120, "101 - R$120",W2019&lt;=140, "121 - R$140", W2019&lt;=160, "141- R$160", W2019&lt;=180, "161 - R$180", W2019&lt;=200, "181-R$194")</f>
        <v>até R$20</v>
      </c>
      <c r="Y2019" s="13">
        <v>11</v>
      </c>
      <c r="Z2019" s="13">
        <v>6</v>
      </c>
      <c r="AA2019" s="13">
        <v>2</v>
      </c>
      <c r="AB2019" s="13">
        <v>2</v>
      </c>
      <c r="AC2019" s="13">
        <v>1</v>
      </c>
      <c r="AD2019" s="13">
        <v>1</v>
      </c>
      <c r="AE2019" s="13">
        <v>0</v>
      </c>
      <c r="AF2019" s="13">
        <v>3</v>
      </c>
      <c r="AG2019" s="13">
        <v>6</v>
      </c>
      <c r="AH2019" s="13">
        <v>0</v>
      </c>
      <c r="AI2019" s="13">
        <v>0</v>
      </c>
      <c r="AJ2019" s="13">
        <v>0</v>
      </c>
      <c r="AK2019" s="13">
        <v>0</v>
      </c>
      <c r="AL2019" s="13">
        <v>0</v>
      </c>
      <c r="AM2019" s="13">
        <v>0</v>
      </c>
      <c r="AN2019" s="13">
        <v>0</v>
      </c>
      <c r="AO2019" s="14">
        <v>0</v>
      </c>
      <c r="AP2019" s="13">
        <v>3</v>
      </c>
      <c r="AQ2019" s="13">
        <v>11</v>
      </c>
      <c r="AR2019" s="15">
        <v>22</v>
      </c>
      <c r="AS2019" s="15">
        <v>24</v>
      </c>
    </row>
    <row r="2020" spans="1:45" x14ac:dyDescent="0.25">
      <c r="A2020">
        <v>762</v>
      </c>
      <c r="B2020" s="11">
        <f t="shared" si="31"/>
        <v>36283</v>
      </c>
      <c r="C2020" s="12">
        <v>362830</v>
      </c>
      <c r="D2020" s="13">
        <v>1</v>
      </c>
      <c r="E2020" s="13">
        <v>1</v>
      </c>
      <c r="F2020" s="13">
        <v>42</v>
      </c>
      <c r="G2020" s="13">
        <v>44</v>
      </c>
      <c r="H2020" s="13" t="str" cm="1">
        <f t="array" ref="H2020">_xlfn.IFS(G2020&lt;=20,"0-20",G2020&lt;=30,"20-30",G2020&lt;=40,"30-40",G2020&lt;=50,"50-60",G2020&lt;=60,"60-70",G2020&lt;=70,"70-80",G2020&lt;=80,"80-90")</f>
        <v>50-60</v>
      </c>
      <c r="I2020" s="13">
        <v>2235</v>
      </c>
      <c r="J2020" s="13" t="str" cm="1">
        <f t="array" ref="J2020">_xlfn.IFS(K2020=1,"Divorciado",L2020=1,"Casado",M2020=1,"Solteiro",N2020=1,"Juntos",O2020=1,"Viuvo")</f>
        <v>Juntos</v>
      </c>
      <c r="K2020" s="13">
        <v>0</v>
      </c>
      <c r="L2020" s="13">
        <v>0</v>
      </c>
      <c r="M2020" s="13">
        <v>0</v>
      </c>
      <c r="N2020" s="13">
        <v>1</v>
      </c>
      <c r="O2020" s="13">
        <v>0</v>
      </c>
      <c r="P2020" s="13">
        <v>0</v>
      </c>
      <c r="Q2020" s="13">
        <v>0</v>
      </c>
      <c r="R2020" s="13">
        <v>1</v>
      </c>
      <c r="S2020" s="13">
        <v>0</v>
      </c>
      <c r="T2020" s="13">
        <v>0</v>
      </c>
      <c r="U2020" s="13">
        <v>6</v>
      </c>
      <c r="V2020" s="13" t="str" cm="1">
        <f t="array" ref="V2020">_xlfn.IFS(U2020&lt;=250,"0-R$250",U2020&lt;=500,"251-R$500",U2020&lt;=750,"501-R$750",U2020&lt;=1000,"751-R$1000",U2020&lt;=1250,"1001-R$1250",U2020&lt;=1500,"1251-R$1500")</f>
        <v>0-R$250</v>
      </c>
      <c r="W2020" s="13">
        <v>5</v>
      </c>
      <c r="X2020" s="13" t="str" cm="1">
        <f t="array" ref="X2020">_xlfn.IFS(W2020 = 0, "0", W2020&lt;=20, "até R$20",W2020&lt;=40, "21 - R$40",W2020&lt;=60, "41- R$60",W2020&lt;=80, "61 - R$80", W2020&lt;=100, "81 - R$100",W2020&lt;=120, "101 - R$120",W2020&lt;=140, "121 - R$140", W2020&lt;=160, "141- R$160", W2020&lt;=180, "161 - R$180", W2020&lt;=200, "181-R$194")</f>
        <v>até R$20</v>
      </c>
      <c r="Y2020" s="13">
        <v>5</v>
      </c>
      <c r="Z2020" s="13">
        <v>8</v>
      </c>
      <c r="AA2020" s="13">
        <v>0</v>
      </c>
      <c r="AB2020" s="13">
        <v>5</v>
      </c>
      <c r="AC2020" s="13">
        <v>2</v>
      </c>
      <c r="AD2020" s="13">
        <v>1</v>
      </c>
      <c r="AE2020" s="13">
        <v>0</v>
      </c>
      <c r="AF2020" s="13">
        <v>3</v>
      </c>
      <c r="AG2020" s="13">
        <v>4</v>
      </c>
      <c r="AH2020" s="13">
        <v>0</v>
      </c>
      <c r="AI2020" s="13">
        <v>0</v>
      </c>
      <c r="AJ2020" s="13">
        <v>0</v>
      </c>
      <c r="AK2020" s="13">
        <v>0</v>
      </c>
      <c r="AL2020" s="13">
        <v>0</v>
      </c>
      <c r="AM2020" s="13">
        <v>0</v>
      </c>
      <c r="AN2020" s="13">
        <v>0</v>
      </c>
      <c r="AO2020" s="14">
        <v>0</v>
      </c>
      <c r="AP2020" s="13">
        <v>3</v>
      </c>
      <c r="AQ2020" s="13">
        <v>11</v>
      </c>
      <c r="AR2020" s="15">
        <v>19</v>
      </c>
      <c r="AS2020" s="15">
        <v>24</v>
      </c>
    </row>
    <row r="2021" spans="1:45" x14ac:dyDescent="0.25">
      <c r="A2021">
        <v>1046</v>
      </c>
      <c r="B2021" s="11">
        <f t="shared" si="31"/>
        <v>16860</v>
      </c>
      <c r="C2021" s="12">
        <v>168600</v>
      </c>
      <c r="D2021" s="13">
        <v>1</v>
      </c>
      <c r="E2021" s="13">
        <v>1</v>
      </c>
      <c r="F2021" s="13">
        <v>19</v>
      </c>
      <c r="G2021" s="13">
        <v>59</v>
      </c>
      <c r="H2021" s="13" t="str" cm="1">
        <f t="array" ref="H2021">_xlfn.IFS(G2021&lt;=20,"0-20",G2021&lt;=30,"20-30",G2021&lt;=40,"30-40",G2021&lt;=50,"50-60",G2021&lt;=60,"60-70",G2021&lt;=70,"70-80",G2021&lt;=80,"80-90")</f>
        <v>60-70</v>
      </c>
      <c r="I2021" s="13">
        <v>2814</v>
      </c>
      <c r="J2021" s="13" t="str" cm="1">
        <f t="array" ref="J2021">_xlfn.IFS(K2021=1,"Divorciado",L2021=1,"Casado",M2021=1,"Solteiro",N2021=1,"Juntos",O2021=1,"Viuvo")</f>
        <v>Casado</v>
      </c>
      <c r="K2021" s="13">
        <v>0</v>
      </c>
      <c r="L2021" s="13">
        <v>1</v>
      </c>
      <c r="M2021" s="13">
        <v>0</v>
      </c>
      <c r="N2021" s="13">
        <v>0</v>
      </c>
      <c r="O2021" s="13">
        <v>0</v>
      </c>
      <c r="P2021" s="13">
        <v>0</v>
      </c>
      <c r="Q2021" s="13">
        <v>0</v>
      </c>
      <c r="R2021" s="13">
        <v>1</v>
      </c>
      <c r="S2021" s="13">
        <v>0</v>
      </c>
      <c r="T2021" s="13">
        <v>0</v>
      </c>
      <c r="U2021" s="13">
        <v>10</v>
      </c>
      <c r="V2021" s="13" t="str" cm="1">
        <f t="array" ref="V2021">_xlfn.IFS(U2021&lt;=250,"0-R$250",U2021&lt;=500,"251-R$500",U2021&lt;=750,"501-R$750",U2021&lt;=1000,"751-R$1000",U2021&lt;=1250,"1001-R$1250",U2021&lt;=1500,"1251-R$1500")</f>
        <v>0-R$250</v>
      </c>
      <c r="W2021" s="13">
        <v>4</v>
      </c>
      <c r="X2021" s="13" t="str" cm="1">
        <f t="array" ref="X2021">_xlfn.IFS(W2021 = 0, "0", W2021&lt;=20, "até R$20",W2021&lt;=40, "21 - R$40",W2021&lt;=60, "41- R$60",W2021&lt;=80, "61 - R$80", W2021&lt;=100, "81 - R$100",W2021&lt;=120, "101 - R$120",W2021&lt;=140, "121 - R$140", W2021&lt;=160, "141- R$160", W2021&lt;=180, "161 - R$180", W2021&lt;=200, "181-R$194")</f>
        <v>até R$20</v>
      </c>
      <c r="Y2021" s="13">
        <v>4</v>
      </c>
      <c r="Z2021" s="13">
        <v>3</v>
      </c>
      <c r="AA2021" s="13">
        <v>3</v>
      </c>
      <c r="AB2021" s="13">
        <v>14</v>
      </c>
      <c r="AC2021" s="13">
        <v>3</v>
      </c>
      <c r="AD2021" s="13">
        <v>1</v>
      </c>
      <c r="AE2021" s="13">
        <v>1</v>
      </c>
      <c r="AF2021" s="13">
        <v>3</v>
      </c>
      <c r="AG2021" s="13">
        <v>7</v>
      </c>
      <c r="AH2021" s="13">
        <v>0</v>
      </c>
      <c r="AI2021" s="13">
        <v>0</v>
      </c>
      <c r="AJ2021" s="13">
        <v>0</v>
      </c>
      <c r="AK2021" s="13">
        <v>0</v>
      </c>
      <c r="AL2021" s="13">
        <v>0</v>
      </c>
      <c r="AM2021" s="13">
        <v>0</v>
      </c>
      <c r="AN2021" s="13">
        <v>0</v>
      </c>
      <c r="AO2021" s="14">
        <v>0</v>
      </c>
      <c r="AP2021" s="13">
        <v>3</v>
      </c>
      <c r="AQ2021" s="13">
        <v>11</v>
      </c>
      <c r="AR2021" s="15">
        <v>10</v>
      </c>
      <c r="AS2021" s="15">
        <v>24</v>
      </c>
    </row>
    <row r="2022" spans="1:45" x14ac:dyDescent="0.25">
      <c r="A2022">
        <v>1326</v>
      </c>
      <c r="B2022" s="11">
        <f t="shared" si="31"/>
        <v>26887</v>
      </c>
      <c r="C2022" s="12">
        <v>268870</v>
      </c>
      <c r="D2022" s="13">
        <v>0</v>
      </c>
      <c r="E2022" s="13">
        <v>1</v>
      </c>
      <c r="F2022" s="13">
        <v>27</v>
      </c>
      <c r="G2022" s="13">
        <v>61</v>
      </c>
      <c r="H2022" s="13" t="str" cm="1">
        <f t="array" ref="H2022">_xlfn.IFS(G2022&lt;=20,"0-20",G2022&lt;=30,"20-30",G2022&lt;=40,"30-40",G2022&lt;=50,"50-60",G2022&lt;=60,"60-70",G2022&lt;=70,"70-80",G2022&lt;=80,"80-90")</f>
        <v>70-80</v>
      </c>
      <c r="I2022" s="13">
        <v>2663</v>
      </c>
      <c r="J2022" s="13" t="str" cm="1">
        <f t="array" ref="J2022">_xlfn.IFS(K2022=1,"Divorciado",L2022=1,"Casado",M2022=1,"Solteiro",N2022=1,"Juntos",O2022=1,"Viuvo")</f>
        <v>Casado</v>
      </c>
      <c r="K2022" s="13">
        <v>0</v>
      </c>
      <c r="L2022" s="13">
        <v>1</v>
      </c>
      <c r="M2022" s="13">
        <v>0</v>
      </c>
      <c r="N2022" s="13">
        <v>0</v>
      </c>
      <c r="O2022" s="13">
        <v>0</v>
      </c>
      <c r="P2022" s="13">
        <v>1</v>
      </c>
      <c r="Q2022" s="13">
        <v>0</v>
      </c>
      <c r="R2022" s="13">
        <v>0</v>
      </c>
      <c r="S2022" s="13">
        <v>0</v>
      </c>
      <c r="T2022" s="13">
        <v>0</v>
      </c>
      <c r="U2022" s="13">
        <v>6</v>
      </c>
      <c r="V2022" s="13" t="str" cm="1">
        <f t="array" ref="V2022">_xlfn.IFS(U2022&lt;=250,"0-R$250",U2022&lt;=500,"251-R$500",U2022&lt;=750,"501-R$750",U2022&lt;=1000,"751-R$1000",U2022&lt;=1250,"1001-R$1250",U2022&lt;=1500,"1251-R$1500")</f>
        <v>0-R$250</v>
      </c>
      <c r="W2022" s="13">
        <v>7</v>
      </c>
      <c r="X2022" s="13" t="str" cm="1">
        <f t="array" ref="X2022">_xlfn.IFS(W2022 = 0, "0", W2022&lt;=20, "até R$20",W2022&lt;=40, "21 - R$40",W2022&lt;=60, "41- R$60",W2022&lt;=80, "61 - R$80", W2022&lt;=100, "81 - R$100",W2022&lt;=120, "101 - R$120",W2022&lt;=140, "121 - R$140", W2022&lt;=160, "141- R$160", W2022&lt;=180, "161 - R$180", W2022&lt;=200, "181-R$194")</f>
        <v>até R$20</v>
      </c>
      <c r="Y2022" s="13">
        <v>4</v>
      </c>
      <c r="Z2022" s="13">
        <v>3</v>
      </c>
      <c r="AA2022" s="13">
        <v>4</v>
      </c>
      <c r="AB2022" s="13">
        <v>6</v>
      </c>
      <c r="AC2022" s="13">
        <v>1</v>
      </c>
      <c r="AD2022" s="13">
        <v>1</v>
      </c>
      <c r="AE2022" s="13">
        <v>0</v>
      </c>
      <c r="AF2022" s="13">
        <v>3</v>
      </c>
      <c r="AG2022" s="13">
        <v>6</v>
      </c>
      <c r="AH2022" s="13">
        <v>0</v>
      </c>
      <c r="AI2022" s="13">
        <v>0</v>
      </c>
      <c r="AJ2022" s="13">
        <v>0</v>
      </c>
      <c r="AK2022" s="13">
        <v>0</v>
      </c>
      <c r="AL2022" s="13">
        <v>0</v>
      </c>
      <c r="AM2022" s="13">
        <v>0</v>
      </c>
      <c r="AN2022" s="13">
        <v>0</v>
      </c>
      <c r="AO2022" s="14">
        <v>0</v>
      </c>
      <c r="AP2022" s="13">
        <v>3</v>
      </c>
      <c r="AQ2022" s="13">
        <v>11</v>
      </c>
      <c r="AR2022" s="15">
        <v>18</v>
      </c>
      <c r="AS2022" s="15">
        <v>24</v>
      </c>
    </row>
    <row r="2023" spans="1:45" x14ac:dyDescent="0.25">
      <c r="A2023">
        <v>1590</v>
      </c>
      <c r="B2023" s="11">
        <f t="shared" si="31"/>
        <v>31353</v>
      </c>
      <c r="C2023" s="12">
        <v>313530</v>
      </c>
      <c r="D2023" s="13">
        <v>1</v>
      </c>
      <c r="E2023" s="13">
        <v>1</v>
      </c>
      <c r="F2023" s="13">
        <v>24</v>
      </c>
      <c r="G2023" s="13">
        <v>43</v>
      </c>
      <c r="H2023" s="13" t="str" cm="1">
        <f t="array" ref="H2023">_xlfn.IFS(G2023&lt;=20,"0-20",G2023&lt;=30,"20-30",G2023&lt;=40,"30-40",G2023&lt;=50,"50-60",G2023&lt;=60,"60-70",G2023&lt;=70,"70-80",G2023&lt;=80,"80-90")</f>
        <v>50-60</v>
      </c>
      <c r="I2023" s="13">
        <v>2341</v>
      </c>
      <c r="J2023" s="13" t="str" cm="1">
        <f t="array" ref="J2023">_xlfn.IFS(K2023=1,"Divorciado",L2023=1,"Casado",M2023=1,"Solteiro",N2023=1,"Juntos",O2023=1,"Viuvo")</f>
        <v>Casado</v>
      </c>
      <c r="K2023" s="13">
        <v>0</v>
      </c>
      <c r="L2023" s="13">
        <v>1</v>
      </c>
      <c r="M2023" s="13">
        <v>0</v>
      </c>
      <c r="N2023" s="13">
        <v>0</v>
      </c>
      <c r="O2023" s="13">
        <v>0</v>
      </c>
      <c r="P2023" s="13">
        <v>0</v>
      </c>
      <c r="Q2023" s="13">
        <v>0</v>
      </c>
      <c r="R2023" s="13">
        <v>1</v>
      </c>
      <c r="S2023" s="13">
        <v>0</v>
      </c>
      <c r="T2023" s="13">
        <v>0</v>
      </c>
      <c r="U2023" s="13">
        <v>10</v>
      </c>
      <c r="V2023" s="13" t="str" cm="1">
        <f t="array" ref="V2023">_xlfn.IFS(U2023&lt;=250,"0-R$250",U2023&lt;=500,"251-R$500",U2023&lt;=750,"501-R$750",U2023&lt;=1000,"751-R$1000",U2023&lt;=1250,"1001-R$1250",U2023&lt;=1500,"1251-R$1500")</f>
        <v>0-R$250</v>
      </c>
      <c r="W2023" s="13">
        <v>0</v>
      </c>
      <c r="X2023" s="13" t="str" cm="1">
        <f t="array" ref="X2023">_xlfn.IFS(W2023 = 0, "0", W2023&lt;=20, "até R$20",W2023&lt;=40, "21 - R$40",W2023&lt;=60, "41- R$60",W2023&lt;=80, "61 - R$80", W2023&lt;=100, "81 - R$100",W2023&lt;=120, "101 - R$120",W2023&lt;=140, "121 - R$140", W2023&lt;=160, "141- R$160", W2023&lt;=180, "161 - R$180", W2023&lt;=200, "181-R$194")</f>
        <v>0</v>
      </c>
      <c r="Y2023" s="13">
        <v>10</v>
      </c>
      <c r="Z2023" s="13">
        <v>3</v>
      </c>
      <c r="AA2023" s="13">
        <v>1</v>
      </c>
      <c r="AB2023" s="13">
        <v>7</v>
      </c>
      <c r="AC2023" s="13">
        <v>2</v>
      </c>
      <c r="AD2023" s="13">
        <v>1</v>
      </c>
      <c r="AE2023" s="13">
        <v>1</v>
      </c>
      <c r="AF2023" s="13">
        <v>2</v>
      </c>
      <c r="AG2023" s="13">
        <v>8</v>
      </c>
      <c r="AH2023" s="13">
        <v>0</v>
      </c>
      <c r="AI2023" s="13">
        <v>0</v>
      </c>
      <c r="AJ2023" s="13">
        <v>0</v>
      </c>
      <c r="AK2023" s="13">
        <v>0</v>
      </c>
      <c r="AL2023" s="13">
        <v>0</v>
      </c>
      <c r="AM2023" s="13">
        <v>0</v>
      </c>
      <c r="AN2023" s="13">
        <v>1</v>
      </c>
      <c r="AO2023" s="14">
        <v>0</v>
      </c>
      <c r="AP2023" s="13">
        <v>3</v>
      </c>
      <c r="AQ2023" s="13">
        <v>11</v>
      </c>
      <c r="AR2023" s="15">
        <v>17</v>
      </c>
      <c r="AS2023" s="15">
        <v>24</v>
      </c>
    </row>
    <row r="2024" spans="1:45" x14ac:dyDescent="0.25">
      <c r="A2024">
        <v>1615</v>
      </c>
      <c r="B2024" s="11">
        <f t="shared" si="31"/>
        <v>30560</v>
      </c>
      <c r="C2024" s="16">
        <v>305600</v>
      </c>
      <c r="D2024" s="17">
        <v>1</v>
      </c>
      <c r="E2024" s="17">
        <v>0</v>
      </c>
      <c r="F2024" s="17">
        <v>6</v>
      </c>
      <c r="G2024" s="17">
        <v>44</v>
      </c>
      <c r="H2024" s="13" t="str" cm="1">
        <f t="array" ref="H2024">_xlfn.IFS(G2024&lt;=20,"0-20",G2024&lt;=30,"20-30",G2024&lt;=40,"30-40",G2024&lt;=50,"50-60",G2024&lt;=60,"60-70",G2024&lt;=70,"70-80",G2024&lt;=80,"80-90")</f>
        <v>50-60</v>
      </c>
      <c r="I2024" s="17">
        <v>2526</v>
      </c>
      <c r="J2024" s="13" t="str" cm="1">
        <f t="array" ref="J2024">_xlfn.IFS(K2024=1,"Divorciado",L2024=1,"Casado",M2024=1,"Solteiro",N2024=1,"Juntos",O2024=1,"Viuvo")</f>
        <v>Juntos</v>
      </c>
      <c r="K2024" s="17">
        <v>0</v>
      </c>
      <c r="L2024" s="17">
        <v>0</v>
      </c>
      <c r="M2024" s="17">
        <v>0</v>
      </c>
      <c r="N2024" s="17">
        <v>1</v>
      </c>
      <c r="O2024" s="17">
        <v>0</v>
      </c>
      <c r="P2024" s="17">
        <v>0</v>
      </c>
      <c r="Q2024" s="17">
        <v>0</v>
      </c>
      <c r="R2024" s="17">
        <v>0</v>
      </c>
      <c r="S2024" s="17">
        <v>1</v>
      </c>
      <c r="T2024" s="17">
        <v>0</v>
      </c>
      <c r="U2024" s="17">
        <v>9</v>
      </c>
      <c r="V2024" s="13" t="str" cm="1">
        <f t="array" ref="V2024">_xlfn.IFS(U2024&lt;=250,"0-R$250",U2024&lt;=500,"251-R$500",U2024&lt;=750,"501-R$750",U2024&lt;=1000,"751-R$1000",U2024&lt;=1250,"1001-R$1250",U2024&lt;=1500,"1251-R$1500")</f>
        <v>0-R$250</v>
      </c>
      <c r="W2024" s="17">
        <v>1</v>
      </c>
      <c r="X2024" s="13" t="str" cm="1">
        <f t="array" ref="X2024">_xlfn.IFS(W2024 = 0, "0", W2024&lt;=20, "até R$20",W2024&lt;=40, "21 - R$40",W2024&lt;=60, "41- R$60",W2024&lt;=80, "61 - R$80", W2024&lt;=100, "81 - R$100",W2024&lt;=120, "101 - R$120",W2024&lt;=140, "121 - R$140", W2024&lt;=160, "141- R$160", W2024&lt;=180, "161 - R$180", W2024&lt;=200, "181-R$194")</f>
        <v>até R$20</v>
      </c>
      <c r="Y2024" s="17">
        <v>5</v>
      </c>
      <c r="Z2024" s="17">
        <v>4</v>
      </c>
      <c r="AA2024" s="17">
        <v>5</v>
      </c>
      <c r="AB2024" s="17">
        <v>7</v>
      </c>
      <c r="AC2024" s="17">
        <v>1</v>
      </c>
      <c r="AD2024" s="17">
        <v>1</v>
      </c>
      <c r="AE2024" s="17">
        <v>0</v>
      </c>
      <c r="AF2024" s="17">
        <v>3</v>
      </c>
      <c r="AG2024" s="17">
        <v>7</v>
      </c>
      <c r="AH2024" s="17">
        <v>0</v>
      </c>
      <c r="AI2024" s="17">
        <v>0</v>
      </c>
      <c r="AJ2024" s="17">
        <v>0</v>
      </c>
      <c r="AK2024" s="17">
        <v>0</v>
      </c>
      <c r="AL2024" s="17">
        <v>0</v>
      </c>
      <c r="AM2024" s="17">
        <v>0</v>
      </c>
      <c r="AN2024" s="17">
        <v>0</v>
      </c>
      <c r="AO2024" s="18">
        <v>0</v>
      </c>
      <c r="AP2024" s="17">
        <v>3</v>
      </c>
      <c r="AQ2024" s="17">
        <v>11</v>
      </c>
      <c r="AR2024" s="19">
        <v>17</v>
      </c>
      <c r="AS2024" s="19">
        <v>24</v>
      </c>
    </row>
    <row r="2025" spans="1:45" x14ac:dyDescent="0.25">
      <c r="A2025">
        <v>1629</v>
      </c>
      <c r="B2025" s="11">
        <f t="shared" si="31"/>
        <v>25358</v>
      </c>
      <c r="C2025" s="16">
        <v>253580</v>
      </c>
      <c r="D2025" s="17">
        <v>0</v>
      </c>
      <c r="E2025" s="17">
        <v>1</v>
      </c>
      <c r="F2025" s="17">
        <v>57</v>
      </c>
      <c r="G2025" s="17">
        <v>73</v>
      </c>
      <c r="H2025" s="13" t="str" cm="1">
        <f t="array" ref="H2025">_xlfn.IFS(G2025&lt;=20,"0-20",G2025&lt;=30,"20-30",G2025&lt;=40,"30-40",G2025&lt;=50,"50-60",G2025&lt;=60,"60-70",G2025&lt;=70,"70-80",G2025&lt;=80,"80-90")</f>
        <v>80-90</v>
      </c>
      <c r="I2025" s="17">
        <v>2501</v>
      </c>
      <c r="J2025" s="13" t="str" cm="1">
        <f t="array" ref="J2025">_xlfn.IFS(K2025=1,"Divorciado",L2025=1,"Casado",M2025=1,"Solteiro",N2025=1,"Juntos",O2025=1,"Viuvo")</f>
        <v>Viuvo</v>
      </c>
      <c r="K2025" s="17">
        <v>0</v>
      </c>
      <c r="L2025" s="17">
        <v>0</v>
      </c>
      <c r="M2025" s="17">
        <v>0</v>
      </c>
      <c r="N2025" s="17">
        <v>0</v>
      </c>
      <c r="O2025" s="17">
        <v>1</v>
      </c>
      <c r="P2025" s="17">
        <v>0</v>
      </c>
      <c r="Q2025" s="17">
        <v>0</v>
      </c>
      <c r="R2025" s="17">
        <v>0</v>
      </c>
      <c r="S2025" s="17">
        <v>0</v>
      </c>
      <c r="T2025" s="17">
        <v>1</v>
      </c>
      <c r="U2025" s="17">
        <v>19</v>
      </c>
      <c r="V2025" s="13" t="str" cm="1">
        <f t="array" ref="V2025">_xlfn.IFS(U2025&lt;=250,"0-R$250",U2025&lt;=500,"251-R$500",U2025&lt;=750,"501-R$750",U2025&lt;=1000,"751-R$1000",U2025&lt;=1250,"1001-R$1250",U2025&lt;=1500,"1251-R$1500")</f>
        <v>0-R$250</v>
      </c>
      <c r="W2025" s="17">
        <v>0</v>
      </c>
      <c r="X2025" s="13" t="str" cm="1">
        <f t="array" ref="X2025">_xlfn.IFS(W2025 = 0, "0", W2025&lt;=20, "até R$20",W2025&lt;=40, "21 - R$40",W2025&lt;=60, "41- R$60",W2025&lt;=80, "61 - R$80", W2025&lt;=100, "81 - R$100",W2025&lt;=120, "101 - R$120",W2025&lt;=140, "121 - R$140", W2025&lt;=160, "141- R$160", W2025&lt;=180, "161 - R$180", W2025&lt;=200, "181-R$194")</f>
        <v>0</v>
      </c>
      <c r="Y2025" s="17">
        <v>5</v>
      </c>
      <c r="Z2025" s="17">
        <v>0</v>
      </c>
      <c r="AA2025" s="17">
        <v>0</v>
      </c>
      <c r="AB2025" s="17">
        <v>8</v>
      </c>
      <c r="AC2025" s="17">
        <v>2</v>
      </c>
      <c r="AD2025" s="17">
        <v>1</v>
      </c>
      <c r="AE2025" s="17">
        <v>0</v>
      </c>
      <c r="AF2025" s="17">
        <v>3</v>
      </c>
      <c r="AG2025" s="17">
        <v>6</v>
      </c>
      <c r="AH2025" s="17">
        <v>0</v>
      </c>
      <c r="AI2025" s="17">
        <v>0</v>
      </c>
      <c r="AJ2025" s="17">
        <v>0</v>
      </c>
      <c r="AK2025" s="17">
        <v>0</v>
      </c>
      <c r="AL2025" s="17">
        <v>0</v>
      </c>
      <c r="AM2025" s="17">
        <v>0</v>
      </c>
      <c r="AN2025" s="17">
        <v>0</v>
      </c>
      <c r="AO2025" s="18">
        <v>0</v>
      </c>
      <c r="AP2025" s="17">
        <v>3</v>
      </c>
      <c r="AQ2025" s="17">
        <v>11</v>
      </c>
      <c r="AR2025" s="19">
        <v>16</v>
      </c>
      <c r="AS2025" s="19">
        <v>24</v>
      </c>
    </row>
    <row r="2026" spans="1:45" x14ac:dyDescent="0.25">
      <c r="A2026">
        <v>1749</v>
      </c>
      <c r="B2026" s="11">
        <f t="shared" si="31"/>
        <v>42664</v>
      </c>
      <c r="C2026" s="16">
        <v>426640</v>
      </c>
      <c r="D2026" s="17">
        <v>0</v>
      </c>
      <c r="E2026" s="17">
        <v>1</v>
      </c>
      <c r="F2026" s="17">
        <v>44</v>
      </c>
      <c r="G2026" s="17">
        <v>53</v>
      </c>
      <c r="H2026" s="13" t="str" cm="1">
        <f t="array" ref="H2026">_xlfn.IFS(G2026&lt;=20,"0-20",G2026&lt;=30,"20-30",G2026&lt;=40,"30-40",G2026&lt;=50,"50-60",G2026&lt;=60,"60-70",G2026&lt;=70,"70-80",G2026&lt;=80,"80-90")</f>
        <v>60-70</v>
      </c>
      <c r="I2026" s="17">
        <v>2262</v>
      </c>
      <c r="J2026" s="13" t="str" cm="1">
        <f t="array" ref="J2026">_xlfn.IFS(K2026=1,"Divorciado",L2026=1,"Casado",M2026=1,"Solteiro",N2026=1,"Juntos",O2026=1,"Viuvo")</f>
        <v>Casado</v>
      </c>
      <c r="K2026" s="17">
        <v>0</v>
      </c>
      <c r="L2026" s="17">
        <v>1</v>
      </c>
      <c r="M2026" s="17">
        <v>0</v>
      </c>
      <c r="N2026" s="17">
        <v>0</v>
      </c>
      <c r="O2026" s="17">
        <v>0</v>
      </c>
      <c r="P2026" s="17">
        <v>0</v>
      </c>
      <c r="Q2026" s="17">
        <v>0</v>
      </c>
      <c r="R2026" s="17">
        <v>1</v>
      </c>
      <c r="S2026" s="17">
        <v>0</v>
      </c>
      <c r="T2026" s="17">
        <v>0</v>
      </c>
      <c r="U2026" s="17">
        <v>21</v>
      </c>
      <c r="V2026" s="13" t="str" cm="1">
        <f t="array" ref="V2026">_xlfn.IFS(U2026&lt;=250,"0-R$250",U2026&lt;=500,"251-R$500",U2026&lt;=750,"501-R$750",U2026&lt;=1000,"751-R$1000",U2026&lt;=1250,"1001-R$1250",U2026&lt;=1500,"1251-R$1500")</f>
        <v>0-R$250</v>
      </c>
      <c r="W2026" s="17">
        <v>0</v>
      </c>
      <c r="X2026" s="13" t="str" cm="1">
        <f t="array" ref="X2026">_xlfn.IFS(W2026 = 0, "0", W2026&lt;=20, "até R$20",W2026&lt;=40, "21 - R$40",W2026&lt;=60, "41- R$60",W2026&lt;=80, "61 - R$80", W2026&lt;=100, "81 - R$100",W2026&lt;=120, "101 - R$120",W2026&lt;=140, "121 - R$140", W2026&lt;=160, "141- R$160", W2026&lt;=180, "161 - R$180", W2026&lt;=200, "181-R$194")</f>
        <v>0</v>
      </c>
      <c r="Y2026" s="17">
        <v>3</v>
      </c>
      <c r="Z2026" s="17">
        <v>0</v>
      </c>
      <c r="AA2026" s="17">
        <v>0</v>
      </c>
      <c r="AB2026" s="17">
        <v>0</v>
      </c>
      <c r="AC2026" s="17">
        <v>1</v>
      </c>
      <c r="AD2026" s="17">
        <v>1</v>
      </c>
      <c r="AE2026" s="17">
        <v>0</v>
      </c>
      <c r="AF2026" s="17">
        <v>3</v>
      </c>
      <c r="AG2026" s="17">
        <v>6</v>
      </c>
      <c r="AH2026" s="17">
        <v>0</v>
      </c>
      <c r="AI2026" s="17">
        <v>0</v>
      </c>
      <c r="AJ2026" s="17">
        <v>0</v>
      </c>
      <c r="AK2026" s="17">
        <v>0</v>
      </c>
      <c r="AL2026" s="17">
        <v>0</v>
      </c>
      <c r="AM2026" s="17">
        <v>0</v>
      </c>
      <c r="AN2026" s="17">
        <v>0</v>
      </c>
      <c r="AO2026" s="18">
        <v>0</v>
      </c>
      <c r="AP2026" s="17">
        <v>3</v>
      </c>
      <c r="AQ2026" s="17">
        <v>11</v>
      </c>
      <c r="AR2026" s="19">
        <v>24</v>
      </c>
      <c r="AS2026" s="19">
        <v>24</v>
      </c>
    </row>
    <row r="2027" spans="1:45" x14ac:dyDescent="0.25">
      <c r="A2027">
        <v>2122</v>
      </c>
      <c r="B2027" s="11">
        <f t="shared" si="31"/>
        <v>30560</v>
      </c>
      <c r="C2027" s="12">
        <v>305600</v>
      </c>
      <c r="D2027" s="13">
        <v>1</v>
      </c>
      <c r="E2027" s="13">
        <v>0</v>
      </c>
      <c r="F2027" s="13">
        <v>6</v>
      </c>
      <c r="G2027" s="13">
        <v>44</v>
      </c>
      <c r="H2027" s="13" t="str" cm="1">
        <f t="array" ref="H2027">_xlfn.IFS(G2027&lt;=20,"0-20",G2027&lt;=30,"20-30",G2027&lt;=40,"30-40",G2027&lt;=50,"50-60",G2027&lt;=60,"60-70",G2027&lt;=70,"70-80",G2027&lt;=80,"80-90")</f>
        <v>50-60</v>
      </c>
      <c r="I2027" s="13">
        <v>2526</v>
      </c>
      <c r="J2027" s="13" t="str" cm="1">
        <f t="array" ref="J2027">_xlfn.IFS(K2027=1,"Divorciado",L2027=1,"Casado",M2027=1,"Solteiro",N2027=1,"Juntos",O2027=1,"Viuvo")</f>
        <v>Juntos</v>
      </c>
      <c r="K2027" s="13">
        <v>0</v>
      </c>
      <c r="L2027" s="13">
        <v>0</v>
      </c>
      <c r="M2027" s="13">
        <v>0</v>
      </c>
      <c r="N2027" s="13">
        <v>1</v>
      </c>
      <c r="O2027" s="13">
        <v>0</v>
      </c>
      <c r="P2027" s="13">
        <v>0</v>
      </c>
      <c r="Q2027" s="13">
        <v>0</v>
      </c>
      <c r="R2027" s="13">
        <v>0</v>
      </c>
      <c r="S2027" s="13">
        <v>1</v>
      </c>
      <c r="T2027" s="13">
        <v>0</v>
      </c>
      <c r="U2027" s="13">
        <v>9</v>
      </c>
      <c r="V2027" s="13" t="str" cm="1">
        <f t="array" ref="V2027">_xlfn.IFS(U2027&lt;=250,"0-R$250",U2027&lt;=500,"251-R$500",U2027&lt;=750,"501-R$750",U2027&lt;=1000,"751-R$1000",U2027&lt;=1250,"1001-R$1250",U2027&lt;=1500,"1251-R$1500")</f>
        <v>0-R$250</v>
      </c>
      <c r="W2027" s="13">
        <v>1</v>
      </c>
      <c r="X2027" s="13" t="str" cm="1">
        <f t="array" ref="X2027">_xlfn.IFS(W2027 = 0, "0", W2027&lt;=20, "até R$20",W2027&lt;=40, "21 - R$40",W2027&lt;=60, "41- R$60",W2027&lt;=80, "61 - R$80", W2027&lt;=100, "81 - R$100",W2027&lt;=120, "101 - R$120",W2027&lt;=140, "121 - R$140", W2027&lt;=160, "141- R$160", W2027&lt;=180, "161 - R$180", W2027&lt;=200, "181-R$194")</f>
        <v>até R$20</v>
      </c>
      <c r="Y2027" s="13">
        <v>5</v>
      </c>
      <c r="Z2027" s="13">
        <v>4</v>
      </c>
      <c r="AA2027" s="13">
        <v>5</v>
      </c>
      <c r="AB2027" s="13">
        <v>7</v>
      </c>
      <c r="AC2027" s="13">
        <v>1</v>
      </c>
      <c r="AD2027" s="13">
        <v>1</v>
      </c>
      <c r="AE2027" s="13">
        <v>0</v>
      </c>
      <c r="AF2027" s="13">
        <v>3</v>
      </c>
      <c r="AG2027" s="13">
        <v>7</v>
      </c>
      <c r="AH2027" s="13">
        <v>0</v>
      </c>
      <c r="AI2027" s="13">
        <v>0</v>
      </c>
      <c r="AJ2027" s="13">
        <v>0</v>
      </c>
      <c r="AK2027" s="13">
        <v>0</v>
      </c>
      <c r="AL2027" s="13">
        <v>0</v>
      </c>
      <c r="AM2027" s="13">
        <v>0</v>
      </c>
      <c r="AN2027" s="13">
        <v>0</v>
      </c>
      <c r="AO2027" s="14">
        <v>0</v>
      </c>
      <c r="AP2027" s="13">
        <v>3</v>
      </c>
      <c r="AQ2027" s="13">
        <v>11</v>
      </c>
      <c r="AR2027" s="15">
        <v>17</v>
      </c>
      <c r="AS2027" s="15">
        <v>24</v>
      </c>
    </row>
    <row r="2028" spans="1:45" x14ac:dyDescent="0.25">
      <c r="A2028">
        <v>114</v>
      </c>
      <c r="B2028" s="11">
        <f t="shared" si="31"/>
        <v>19510</v>
      </c>
      <c r="C2028" s="12">
        <v>195100</v>
      </c>
      <c r="D2028" s="13">
        <v>2</v>
      </c>
      <c r="E2028" s="13">
        <v>0</v>
      </c>
      <c r="F2028" s="13">
        <v>63</v>
      </c>
      <c r="G2028" s="13">
        <v>35</v>
      </c>
      <c r="H2028" s="13" t="str" cm="1">
        <f t="array" ref="H2028">_xlfn.IFS(G2028&lt;=20,"0-20",G2028&lt;=30,"20-30",G2028&lt;=40,"30-40",G2028&lt;=50,"50-60",G2028&lt;=60,"60-70",G2028&lt;=70,"70-80",G2028&lt;=80,"80-90")</f>
        <v>30-40</v>
      </c>
      <c r="I2028" s="13">
        <v>2457</v>
      </c>
      <c r="J2028" s="13" t="str" cm="1">
        <f t="array" ref="J2028">_xlfn.IFS(K2028=1,"Divorciado",L2028=1,"Casado",M2028=1,"Solteiro",N2028=1,"Juntos",O2028=1,"Viuvo")</f>
        <v>Casado</v>
      </c>
      <c r="K2028" s="13">
        <v>0</v>
      </c>
      <c r="L2028" s="13">
        <v>1</v>
      </c>
      <c r="M2028" s="13">
        <v>0</v>
      </c>
      <c r="N2028" s="13">
        <v>0</v>
      </c>
      <c r="O2028" s="13">
        <v>0</v>
      </c>
      <c r="P2028" s="13">
        <v>0</v>
      </c>
      <c r="Q2028" s="13">
        <v>0</v>
      </c>
      <c r="R2028" s="13">
        <v>0</v>
      </c>
      <c r="S2028" s="13">
        <v>1</v>
      </c>
      <c r="T2028" s="13">
        <v>0</v>
      </c>
      <c r="U2028" s="13">
        <v>9</v>
      </c>
      <c r="V2028" s="13" t="str" cm="1">
        <f t="array" ref="V2028">_xlfn.IFS(U2028&lt;=250,"0-R$250",U2028&lt;=500,"251-R$500",U2028&lt;=750,"501-R$750",U2028&lt;=1000,"751-R$1000",U2028&lt;=1250,"1001-R$1250",U2028&lt;=1500,"1251-R$1500")</f>
        <v>0-R$250</v>
      </c>
      <c r="W2028" s="13">
        <v>0</v>
      </c>
      <c r="X2028" s="13" t="str" cm="1">
        <f t="array" ref="X2028">_xlfn.IFS(W2028 = 0, "0", W2028&lt;=20, "até R$20",W2028&lt;=40, "21 - R$40",W2028&lt;=60, "41- R$60",W2028&lt;=80, "61 - R$80", W2028&lt;=100, "81 - R$100",W2028&lt;=120, "101 - R$120",W2028&lt;=140, "121 - R$140", W2028&lt;=160, "141- R$160", W2028&lt;=180, "161 - R$180", W2028&lt;=200, "181-R$194")</f>
        <v>0</v>
      </c>
      <c r="Y2028" s="13">
        <v>7</v>
      </c>
      <c r="Z2028" s="13">
        <v>3</v>
      </c>
      <c r="AA2028" s="13">
        <v>4</v>
      </c>
      <c r="AB2028" s="13">
        <v>7</v>
      </c>
      <c r="AC2028" s="13">
        <v>2</v>
      </c>
      <c r="AD2028" s="13">
        <v>1</v>
      </c>
      <c r="AE2028" s="13">
        <v>0</v>
      </c>
      <c r="AF2028" s="13">
        <v>3</v>
      </c>
      <c r="AG2028" s="13">
        <v>7</v>
      </c>
      <c r="AH2028" s="13">
        <v>0</v>
      </c>
      <c r="AI2028" s="13">
        <v>0</v>
      </c>
      <c r="AJ2028" s="13">
        <v>0</v>
      </c>
      <c r="AK2028" s="13">
        <v>0</v>
      </c>
      <c r="AL2028" s="13">
        <v>0</v>
      </c>
      <c r="AM2028" s="13">
        <v>0</v>
      </c>
      <c r="AN2028" s="13">
        <v>0</v>
      </c>
      <c r="AO2028" s="14">
        <v>0</v>
      </c>
      <c r="AP2028" s="13">
        <v>3</v>
      </c>
      <c r="AQ2028" s="13">
        <v>11</v>
      </c>
      <c r="AR2028" s="15">
        <v>16</v>
      </c>
      <c r="AS2028" s="15">
        <v>23</v>
      </c>
    </row>
    <row r="2029" spans="1:45" x14ac:dyDescent="0.25">
      <c r="A2029">
        <v>1347</v>
      </c>
      <c r="B2029" s="11">
        <f t="shared" si="31"/>
        <v>37971</v>
      </c>
      <c r="C2029" s="16">
        <v>379710</v>
      </c>
      <c r="D2029" s="17">
        <v>1</v>
      </c>
      <c r="E2029" s="17">
        <v>0</v>
      </c>
      <c r="F2029" s="17">
        <v>97</v>
      </c>
      <c r="G2029" s="17">
        <v>47</v>
      </c>
      <c r="H2029" s="13" t="str" cm="1">
        <f t="array" ref="H2029">_xlfn.IFS(G2029&lt;=20,"0-20",G2029&lt;=30,"20-30",G2029&lt;=40,"30-40",G2029&lt;=50,"50-60",G2029&lt;=60,"60-70",G2029&lt;=70,"70-80",G2029&lt;=80,"80-90")</f>
        <v>50-60</v>
      </c>
      <c r="I2029" s="17">
        <v>2375</v>
      </c>
      <c r="J2029" s="13" t="str" cm="1">
        <f t="array" ref="J2029">_xlfn.IFS(K2029=1,"Divorciado",L2029=1,"Casado",M2029=1,"Solteiro",N2029=1,"Juntos",O2029=1,"Viuvo")</f>
        <v>Casado</v>
      </c>
      <c r="K2029" s="17">
        <v>0</v>
      </c>
      <c r="L2029" s="17">
        <v>1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1</v>
      </c>
      <c r="S2029" s="17">
        <v>0</v>
      </c>
      <c r="T2029" s="17">
        <v>0</v>
      </c>
      <c r="U2029" s="17">
        <v>5</v>
      </c>
      <c r="V2029" s="13" t="str" cm="1">
        <f t="array" ref="V2029">_xlfn.IFS(U2029&lt;=250,"0-R$250",U2029&lt;=500,"251-R$500",U2029&lt;=750,"501-R$750",U2029&lt;=1000,"751-R$1000",U2029&lt;=1250,"1001-R$1250",U2029&lt;=1500,"1251-R$1500")</f>
        <v>0-R$250</v>
      </c>
      <c r="W2029" s="17">
        <v>4</v>
      </c>
      <c r="X2029" s="13" t="str" cm="1">
        <f t="array" ref="X2029">_xlfn.IFS(W2029 = 0, "0", W2029&lt;=20, "até R$20",W2029&lt;=40, "21 - R$40",W2029&lt;=60, "41- R$60",W2029&lt;=80, "61 - R$80", W2029&lt;=100, "81 - R$100",W2029&lt;=120, "101 - R$120",W2029&lt;=140, "121 - R$140", W2029&lt;=160, "141- R$160", W2029&lt;=180, "161 - R$180", W2029&lt;=200, "181-R$194")</f>
        <v>até R$20</v>
      </c>
      <c r="Y2029" s="17">
        <v>10</v>
      </c>
      <c r="Z2029" s="17">
        <v>2</v>
      </c>
      <c r="AA2029" s="17">
        <v>2</v>
      </c>
      <c r="AB2029" s="17">
        <v>7</v>
      </c>
      <c r="AC2029" s="17">
        <v>1</v>
      </c>
      <c r="AD2029" s="17">
        <v>1</v>
      </c>
      <c r="AE2029" s="17">
        <v>0</v>
      </c>
      <c r="AF2029" s="17">
        <v>3</v>
      </c>
      <c r="AG2029" s="17">
        <v>8</v>
      </c>
      <c r="AH2029" s="17">
        <v>0</v>
      </c>
      <c r="AI2029" s="17">
        <v>0</v>
      </c>
      <c r="AJ2029" s="17">
        <v>0</v>
      </c>
      <c r="AK2029" s="17">
        <v>0</v>
      </c>
      <c r="AL2029" s="17">
        <v>0</v>
      </c>
      <c r="AM2029" s="17">
        <v>0</v>
      </c>
      <c r="AN2029" s="17">
        <v>0</v>
      </c>
      <c r="AO2029" s="18">
        <v>0</v>
      </c>
      <c r="AP2029" s="17">
        <v>3</v>
      </c>
      <c r="AQ2029" s="17">
        <v>11</v>
      </c>
      <c r="AR2029" s="19">
        <v>16</v>
      </c>
      <c r="AS2029" s="19">
        <v>23</v>
      </c>
    </row>
    <row r="2030" spans="1:45" x14ac:dyDescent="0.25">
      <c r="A2030">
        <v>1770</v>
      </c>
      <c r="B2030" s="11">
        <f t="shared" si="31"/>
        <v>28520</v>
      </c>
      <c r="C2030" s="12">
        <v>285200</v>
      </c>
      <c r="D2030" s="13">
        <v>1</v>
      </c>
      <c r="E2030" s="13">
        <v>1</v>
      </c>
      <c r="F2030" s="13">
        <v>55</v>
      </c>
      <c r="G2030" s="13">
        <v>60</v>
      </c>
      <c r="H2030" s="13" t="str" cm="1">
        <f t="array" ref="H2030">_xlfn.IFS(G2030&lt;=20,"0-20",G2030&lt;=30,"20-30",G2030&lt;=40,"30-40",G2030&lt;=50,"50-60",G2030&lt;=60,"60-70",G2030&lt;=70,"70-80",G2030&lt;=80,"80-90")</f>
        <v>60-70</v>
      </c>
      <c r="I2030" s="13">
        <v>2539</v>
      </c>
      <c r="J2030" s="13" t="str" cm="1">
        <f t="array" ref="J2030">_xlfn.IFS(K2030=1,"Divorciado",L2030=1,"Casado",M2030=1,"Solteiro",N2030=1,"Juntos",O2030=1,"Viuvo")</f>
        <v>Casado</v>
      </c>
      <c r="K2030" s="13">
        <v>0</v>
      </c>
      <c r="L2030" s="13">
        <v>1</v>
      </c>
      <c r="M2030" s="13">
        <v>0</v>
      </c>
      <c r="N2030" s="13">
        <v>0</v>
      </c>
      <c r="O2030" s="13">
        <v>0</v>
      </c>
      <c r="P2030" s="13">
        <v>0</v>
      </c>
      <c r="Q2030" s="13">
        <v>0</v>
      </c>
      <c r="R2030" s="13">
        <v>0</v>
      </c>
      <c r="S2030" s="13">
        <v>1</v>
      </c>
      <c r="T2030" s="13">
        <v>0</v>
      </c>
      <c r="U2030" s="13">
        <v>11</v>
      </c>
      <c r="V2030" s="13" t="str" cm="1">
        <f t="array" ref="V2030">_xlfn.IFS(U2030&lt;=250,"0-R$250",U2030&lt;=500,"251-R$500",U2030&lt;=750,"501-R$750",U2030&lt;=1000,"751-R$1000",U2030&lt;=1250,"1001-R$1250",U2030&lt;=1500,"1251-R$1500")</f>
        <v>0-R$250</v>
      </c>
      <c r="W2030" s="13">
        <v>0</v>
      </c>
      <c r="X2030" s="13" t="str" cm="1">
        <f t="array" ref="X2030">_xlfn.IFS(W2030 = 0, "0", W2030&lt;=20, "até R$20",W2030&lt;=40, "21 - R$40",W2030&lt;=60, "41- R$60",W2030&lt;=80, "61 - R$80", W2030&lt;=100, "81 - R$100",W2030&lt;=120, "101 - R$120",W2030&lt;=140, "121 - R$140", W2030&lt;=160, "141- R$160", W2030&lt;=180, "161 - R$180", W2030&lt;=200, "181-R$194")</f>
        <v>0</v>
      </c>
      <c r="Y2030" s="13">
        <v>10</v>
      </c>
      <c r="Z2030" s="13">
        <v>0</v>
      </c>
      <c r="AA2030" s="13">
        <v>2</v>
      </c>
      <c r="AB2030" s="13">
        <v>20</v>
      </c>
      <c r="AC2030" s="13">
        <v>1</v>
      </c>
      <c r="AD2030" s="13">
        <v>1</v>
      </c>
      <c r="AE2030" s="13">
        <v>1</v>
      </c>
      <c r="AF2030" s="13">
        <v>2</v>
      </c>
      <c r="AG2030" s="13">
        <v>6</v>
      </c>
      <c r="AH2030" s="13">
        <v>0</v>
      </c>
      <c r="AI2030" s="13">
        <v>0</v>
      </c>
      <c r="AJ2030" s="13">
        <v>0</v>
      </c>
      <c r="AK2030" s="13">
        <v>0</v>
      </c>
      <c r="AL2030" s="13">
        <v>0</v>
      </c>
      <c r="AM2030" s="13">
        <v>0</v>
      </c>
      <c r="AN2030" s="13">
        <v>0</v>
      </c>
      <c r="AO2030" s="14">
        <v>0</v>
      </c>
      <c r="AP2030" s="13">
        <v>3</v>
      </c>
      <c r="AQ2030" s="13">
        <v>11</v>
      </c>
      <c r="AR2030" s="15">
        <v>3</v>
      </c>
      <c r="AS2030" s="15">
        <v>23</v>
      </c>
    </row>
    <row r="2031" spans="1:45" x14ac:dyDescent="0.25">
      <c r="A2031">
        <v>1779</v>
      </c>
      <c r="B2031" s="11">
        <f t="shared" si="31"/>
        <v>44689</v>
      </c>
      <c r="C2031" s="16">
        <v>446890</v>
      </c>
      <c r="D2031" s="17">
        <v>1</v>
      </c>
      <c r="E2031" s="17">
        <v>1</v>
      </c>
      <c r="F2031" s="17">
        <v>82</v>
      </c>
      <c r="G2031" s="17">
        <v>69</v>
      </c>
      <c r="H2031" s="13" t="str" cm="1">
        <f t="array" ref="H2031">_xlfn.IFS(G2031&lt;=20,"0-20",G2031&lt;=30,"20-30",G2031&lt;=40,"30-40",G2031&lt;=50,"50-60",G2031&lt;=60,"60-70",G2031&lt;=70,"70-80",G2031&lt;=80,"80-90")</f>
        <v>70-80</v>
      </c>
      <c r="I2031" s="17">
        <v>2329</v>
      </c>
      <c r="J2031" s="13" t="str" cm="1">
        <f t="array" ref="J2031">_xlfn.IFS(K2031=1,"Divorciado",L2031=1,"Casado",M2031=1,"Solteiro",N2031=1,"Juntos",O2031=1,"Viuvo")</f>
        <v>Casado</v>
      </c>
      <c r="K2031" s="17">
        <v>0</v>
      </c>
      <c r="L2031" s="17">
        <v>1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1</v>
      </c>
      <c r="S2031" s="17">
        <v>0</v>
      </c>
      <c r="T2031" s="17">
        <v>0</v>
      </c>
      <c r="U2031" s="17">
        <v>18</v>
      </c>
      <c r="V2031" s="13" t="str" cm="1">
        <f t="array" ref="V2031">_xlfn.IFS(U2031&lt;=250,"0-R$250",U2031&lt;=500,"251-R$500",U2031&lt;=750,"501-R$750",U2031&lt;=1000,"751-R$1000",U2031&lt;=1250,"1001-R$1250",U2031&lt;=1500,"1251-R$1500")</f>
        <v>0-R$250</v>
      </c>
      <c r="W2031" s="17">
        <v>0</v>
      </c>
      <c r="X2031" s="13" t="str" cm="1">
        <f t="array" ref="X2031">_xlfn.IFS(W2031 = 0, "0", W2031&lt;=20, "até R$20",W2031&lt;=40, "21 - R$40",W2031&lt;=60, "41- R$60",W2031&lt;=80, "61 - R$80", W2031&lt;=100, "81 - R$100",W2031&lt;=120, "101 - R$120",W2031&lt;=140, "121 - R$140", W2031&lt;=160, "141- R$160", W2031&lt;=180, "161 - R$180", W2031&lt;=200, "181-R$194")</f>
        <v>0</v>
      </c>
      <c r="Y2031" s="17">
        <v>5</v>
      </c>
      <c r="Z2031" s="17">
        <v>0</v>
      </c>
      <c r="AA2031" s="17">
        <v>0</v>
      </c>
      <c r="AB2031" s="17">
        <v>11</v>
      </c>
      <c r="AC2031" s="17">
        <v>2</v>
      </c>
      <c r="AD2031" s="17">
        <v>1</v>
      </c>
      <c r="AE2031" s="17">
        <v>1</v>
      </c>
      <c r="AF2031" s="17">
        <v>2</v>
      </c>
      <c r="AG2031" s="17">
        <v>7</v>
      </c>
      <c r="AH2031" s="17">
        <v>0</v>
      </c>
      <c r="AI2031" s="17">
        <v>1</v>
      </c>
      <c r="AJ2031" s="17">
        <v>0</v>
      </c>
      <c r="AK2031" s="17">
        <v>0</v>
      </c>
      <c r="AL2031" s="17">
        <v>0</v>
      </c>
      <c r="AM2031" s="17">
        <v>0</v>
      </c>
      <c r="AN2031" s="17">
        <v>0</v>
      </c>
      <c r="AO2031" s="18">
        <v>1</v>
      </c>
      <c r="AP2031" s="17">
        <v>3</v>
      </c>
      <c r="AQ2031" s="17">
        <v>11</v>
      </c>
      <c r="AR2031" s="19">
        <v>12</v>
      </c>
      <c r="AS2031" s="19">
        <v>23</v>
      </c>
    </row>
    <row r="2032" spans="1:45" x14ac:dyDescent="0.25">
      <c r="A2032">
        <v>224</v>
      </c>
      <c r="B2032" s="11">
        <f t="shared" si="31"/>
        <v>23661</v>
      </c>
      <c r="C2032" s="12">
        <v>236610</v>
      </c>
      <c r="D2032" s="13">
        <v>1</v>
      </c>
      <c r="E2032" s="13">
        <v>0</v>
      </c>
      <c r="F2032" s="13">
        <v>46</v>
      </c>
      <c r="G2032" s="13">
        <v>38</v>
      </c>
      <c r="H2032" s="13" t="str" cm="1">
        <f t="array" ref="H2032">_xlfn.IFS(G2032&lt;=20,"0-20",G2032&lt;=30,"20-30",G2032&lt;=40,"30-40",G2032&lt;=50,"50-60",G2032&lt;=60,"60-70",G2032&lt;=70,"70-80",G2032&lt;=80,"80-90")</f>
        <v>30-40</v>
      </c>
      <c r="I2032" s="13">
        <v>2366</v>
      </c>
      <c r="J2032" s="13" t="str" cm="1">
        <f t="array" ref="J2032">_xlfn.IFS(K2032=1,"Divorciado",L2032=1,"Casado",M2032=1,"Solteiro",N2032=1,"Juntos",O2032=1,"Viuvo")</f>
        <v>Juntos</v>
      </c>
      <c r="K2032" s="13">
        <v>0</v>
      </c>
      <c r="L2032" s="13">
        <v>0</v>
      </c>
      <c r="M2032" s="13">
        <v>0</v>
      </c>
      <c r="N2032" s="13">
        <v>1</v>
      </c>
      <c r="O2032" s="13">
        <v>0</v>
      </c>
      <c r="P2032" s="13">
        <v>0</v>
      </c>
      <c r="Q2032" s="13">
        <v>0</v>
      </c>
      <c r="R2032" s="13">
        <v>0</v>
      </c>
      <c r="S2032" s="13">
        <v>1</v>
      </c>
      <c r="T2032" s="13">
        <v>0</v>
      </c>
      <c r="U2032" s="13">
        <v>18</v>
      </c>
      <c r="V2032" s="13" t="str" cm="1">
        <f t="array" ref="V2032">_xlfn.IFS(U2032&lt;=250,"0-R$250",U2032&lt;=500,"251-R$500",U2032&lt;=750,"501-R$750",U2032&lt;=1000,"751-R$1000",U2032&lt;=1250,"1001-R$1250",U2032&lt;=1500,"1251-R$1500")</f>
        <v>0-R$250</v>
      </c>
      <c r="W2032" s="13">
        <v>0</v>
      </c>
      <c r="X2032" s="13" t="str" cm="1">
        <f t="array" ref="X2032">_xlfn.IFS(W2032 = 0, "0", W2032&lt;=20, "até R$20",W2032&lt;=40, "21 - R$40",W2032&lt;=60, "41- R$60",W2032&lt;=80, "61 - R$80", W2032&lt;=100, "81 - R$100",W2032&lt;=120, "101 - R$120",W2032&lt;=140, "121 - R$140", W2032&lt;=160, "141- R$160", W2032&lt;=180, "161 - R$180", W2032&lt;=200, "181-R$194")</f>
        <v>0</v>
      </c>
      <c r="Y2032" s="13">
        <v>4</v>
      </c>
      <c r="Z2032" s="13">
        <v>0</v>
      </c>
      <c r="AA2032" s="13">
        <v>0</v>
      </c>
      <c r="AB2032" s="13">
        <v>1</v>
      </c>
      <c r="AC2032" s="13">
        <v>1</v>
      </c>
      <c r="AD2032" s="13">
        <v>1</v>
      </c>
      <c r="AE2032" s="13">
        <v>0</v>
      </c>
      <c r="AF2032" s="13">
        <v>3</v>
      </c>
      <c r="AG2032" s="13">
        <v>7</v>
      </c>
      <c r="AH2032" s="13">
        <v>0</v>
      </c>
      <c r="AI2032" s="13">
        <v>0</v>
      </c>
      <c r="AJ2032" s="13">
        <v>0</v>
      </c>
      <c r="AK2032" s="13">
        <v>0</v>
      </c>
      <c r="AL2032" s="13">
        <v>0</v>
      </c>
      <c r="AM2032" s="13">
        <v>0</v>
      </c>
      <c r="AN2032" s="13">
        <v>0</v>
      </c>
      <c r="AO2032" s="14">
        <v>0</v>
      </c>
      <c r="AP2032" s="13">
        <v>3</v>
      </c>
      <c r="AQ2032" s="13">
        <v>11</v>
      </c>
      <c r="AR2032" s="15">
        <v>21</v>
      </c>
      <c r="AS2032" s="15">
        <v>22</v>
      </c>
    </row>
    <row r="2033" spans="1:45" x14ac:dyDescent="0.25">
      <c r="A2033">
        <v>304</v>
      </c>
      <c r="B2033" s="11">
        <f t="shared" si="31"/>
        <v>30833</v>
      </c>
      <c r="C2033" s="12">
        <v>308330</v>
      </c>
      <c r="D2033" s="13">
        <v>1</v>
      </c>
      <c r="E2033" s="13">
        <v>1</v>
      </c>
      <c r="F2033" s="13">
        <v>33</v>
      </c>
      <c r="G2033" s="13">
        <v>69</v>
      </c>
      <c r="H2033" s="13" t="str" cm="1">
        <f t="array" ref="H2033">_xlfn.IFS(G2033&lt;=20,"0-20",G2033&lt;=30,"20-30",G2033&lt;=40,"30-40",G2033&lt;=50,"50-60",G2033&lt;=60,"60-70",G2033&lt;=70,"70-80",G2033&lt;=80,"80-90")</f>
        <v>70-80</v>
      </c>
      <c r="I2033" s="13">
        <v>2507</v>
      </c>
      <c r="J2033" s="13" t="str" cm="1">
        <f t="array" ref="J2033">_xlfn.IFS(K2033=1,"Divorciado",L2033=1,"Casado",M2033=1,"Solteiro",N2033=1,"Juntos",O2033=1,"Viuvo")</f>
        <v>Casado</v>
      </c>
      <c r="K2033" s="13">
        <v>0</v>
      </c>
      <c r="L2033" s="13">
        <v>1</v>
      </c>
      <c r="M2033" s="13">
        <v>0</v>
      </c>
      <c r="N2033" s="13">
        <v>0</v>
      </c>
      <c r="O2033" s="13">
        <v>0</v>
      </c>
      <c r="P2033" s="13">
        <v>0</v>
      </c>
      <c r="Q2033" s="13">
        <v>0</v>
      </c>
      <c r="R2033" s="13">
        <v>1</v>
      </c>
      <c r="S2033" s="13">
        <v>0</v>
      </c>
      <c r="T2033" s="13">
        <v>0</v>
      </c>
      <c r="U2033" s="13">
        <v>11</v>
      </c>
      <c r="V2033" s="13" t="str" cm="1">
        <f t="array" ref="V2033">_xlfn.IFS(U2033&lt;=250,"0-R$250",U2033&lt;=500,"251-R$500",U2033&lt;=750,"501-R$750",U2033&lt;=1000,"751-R$1000",U2033&lt;=1250,"1001-R$1250",U2033&lt;=1500,"1251-R$1500")</f>
        <v>0-R$250</v>
      </c>
      <c r="W2033" s="13">
        <v>0</v>
      </c>
      <c r="X2033" s="13" t="str" cm="1">
        <f t="array" ref="X2033">_xlfn.IFS(W2033 = 0, "0", W2033&lt;=20, "até R$20",W2033&lt;=40, "21 - R$40",W2033&lt;=60, "41- R$60",W2033&lt;=80, "61 - R$80", W2033&lt;=100, "81 - R$100",W2033&lt;=120, "101 - R$120",W2033&lt;=140, "121 - R$140", W2033&lt;=160, "141- R$160", W2033&lt;=180, "161 - R$180", W2033&lt;=200, "181-R$194")</f>
        <v>0</v>
      </c>
      <c r="Y2033" s="13">
        <v>7</v>
      </c>
      <c r="Z2033" s="13">
        <v>3</v>
      </c>
      <c r="AA2033" s="13">
        <v>1</v>
      </c>
      <c r="AB2033" s="13">
        <v>6</v>
      </c>
      <c r="AC2033" s="13">
        <v>2</v>
      </c>
      <c r="AD2033" s="13">
        <v>1</v>
      </c>
      <c r="AE2033" s="13">
        <v>0</v>
      </c>
      <c r="AF2033" s="13">
        <v>3</v>
      </c>
      <c r="AG2033" s="13">
        <v>5</v>
      </c>
      <c r="AH2033" s="13">
        <v>0</v>
      </c>
      <c r="AI2033" s="13">
        <v>0</v>
      </c>
      <c r="AJ2033" s="13">
        <v>0</v>
      </c>
      <c r="AK2033" s="13">
        <v>0</v>
      </c>
      <c r="AL2033" s="13">
        <v>0</v>
      </c>
      <c r="AM2033" s="13">
        <v>0</v>
      </c>
      <c r="AN2033" s="13">
        <v>0</v>
      </c>
      <c r="AO2033" s="14">
        <v>0</v>
      </c>
      <c r="AP2033" s="13">
        <v>3</v>
      </c>
      <c r="AQ2033" s="13">
        <v>11</v>
      </c>
      <c r="AR2033" s="15">
        <v>16</v>
      </c>
      <c r="AS2033" s="15">
        <v>22</v>
      </c>
    </row>
    <row r="2034" spans="1:45" x14ac:dyDescent="0.25">
      <c r="A2034">
        <v>382</v>
      </c>
      <c r="B2034" s="11">
        <f t="shared" si="31"/>
        <v>23442</v>
      </c>
      <c r="C2034" s="12">
        <v>234420</v>
      </c>
      <c r="D2034" s="13">
        <v>1</v>
      </c>
      <c r="E2034" s="13">
        <v>0</v>
      </c>
      <c r="F2034" s="13">
        <v>71</v>
      </c>
      <c r="G2034" s="13">
        <v>33</v>
      </c>
      <c r="H2034" s="13" t="str" cm="1">
        <f t="array" ref="H2034">_xlfn.IFS(G2034&lt;=20,"0-20",G2034&lt;=30,"20-30",G2034&lt;=40,"30-40",G2034&lt;=50,"50-60",G2034&lt;=60,"60-70",G2034&lt;=70,"70-80",G2034&lt;=80,"80-90")</f>
        <v>30-40</v>
      </c>
      <c r="I2034" s="13">
        <v>2711</v>
      </c>
      <c r="J2034" s="13" t="str" cm="1">
        <f t="array" ref="J2034">_xlfn.IFS(K2034=1,"Divorciado",L2034=1,"Casado",M2034=1,"Solteiro",N2034=1,"Juntos",O2034=1,"Viuvo")</f>
        <v>Solteiro</v>
      </c>
      <c r="K2034" s="13">
        <v>0</v>
      </c>
      <c r="L2034" s="13">
        <v>0</v>
      </c>
      <c r="M2034" s="13">
        <v>1</v>
      </c>
      <c r="N2034" s="13">
        <v>0</v>
      </c>
      <c r="O2034" s="13">
        <v>0</v>
      </c>
      <c r="P2034" s="13">
        <v>0</v>
      </c>
      <c r="Q2034" s="13">
        <v>0</v>
      </c>
      <c r="R2034" s="13">
        <v>1</v>
      </c>
      <c r="S2034" s="13">
        <v>0</v>
      </c>
      <c r="T2034" s="13">
        <v>0</v>
      </c>
      <c r="U2034" s="13">
        <v>2</v>
      </c>
      <c r="V2034" s="13" t="str" cm="1">
        <f t="array" ref="V2034">_xlfn.IFS(U2034&lt;=250,"0-R$250",U2034&lt;=500,"251-R$500",U2034&lt;=750,"501-R$750",U2034&lt;=1000,"751-R$1000",U2034&lt;=1250,"1001-R$1250",U2034&lt;=1500,"1251-R$1500")</f>
        <v>0-R$250</v>
      </c>
      <c r="W2034" s="13">
        <v>0</v>
      </c>
      <c r="X2034" s="13" t="str" cm="1">
        <f t="array" ref="X2034">_xlfn.IFS(W2034 = 0, "0", W2034&lt;=20, "até R$20",W2034&lt;=40, "21 - R$40",W2034&lt;=60, "41- R$60",W2034&lt;=80, "61 - R$80", W2034&lt;=100, "81 - R$100",W2034&lt;=120, "101 - R$120",W2034&lt;=140, "121 - R$140", W2034&lt;=160, "141- R$160", W2034&lt;=180, "161 - R$180", W2034&lt;=200, "181-R$194")</f>
        <v>0</v>
      </c>
      <c r="Y2034" s="13">
        <v>6</v>
      </c>
      <c r="Z2034" s="13">
        <v>8</v>
      </c>
      <c r="AA2034" s="13">
        <v>6</v>
      </c>
      <c r="AB2034" s="13">
        <v>5</v>
      </c>
      <c r="AC2034" s="13">
        <v>1</v>
      </c>
      <c r="AD2034" s="13">
        <v>1</v>
      </c>
      <c r="AE2034" s="13">
        <v>0</v>
      </c>
      <c r="AF2034" s="13">
        <v>3</v>
      </c>
      <c r="AG2034" s="13">
        <v>7</v>
      </c>
      <c r="AH2034" s="13">
        <v>0</v>
      </c>
      <c r="AI2034" s="13">
        <v>0</v>
      </c>
      <c r="AJ2034" s="13">
        <v>0</v>
      </c>
      <c r="AK2034" s="13">
        <v>0</v>
      </c>
      <c r="AL2034" s="13">
        <v>0</v>
      </c>
      <c r="AM2034" s="13">
        <v>0</v>
      </c>
      <c r="AN2034" s="13">
        <v>0</v>
      </c>
      <c r="AO2034" s="14">
        <v>0</v>
      </c>
      <c r="AP2034" s="13">
        <v>3</v>
      </c>
      <c r="AQ2034" s="13">
        <v>11</v>
      </c>
      <c r="AR2034" s="15">
        <v>17</v>
      </c>
      <c r="AS2034" s="15">
        <v>22</v>
      </c>
    </row>
    <row r="2035" spans="1:45" x14ac:dyDescent="0.25">
      <c r="A2035">
        <v>428</v>
      </c>
      <c r="B2035" s="11">
        <f t="shared" si="31"/>
        <v>20130</v>
      </c>
      <c r="C2035" s="12">
        <v>201300</v>
      </c>
      <c r="D2035" s="13">
        <v>0</v>
      </c>
      <c r="E2035" s="13">
        <v>0</v>
      </c>
      <c r="F2035" s="13">
        <v>99</v>
      </c>
      <c r="G2035" s="13">
        <v>46</v>
      </c>
      <c r="H2035" s="13" t="str" cm="1">
        <f t="array" ref="H2035">_xlfn.IFS(G2035&lt;=20,"0-20",G2035&lt;=30,"20-30",G2035&lt;=40,"30-40",G2035&lt;=50,"50-60",G2035&lt;=60,"60-70",G2035&lt;=70,"70-80",G2035&lt;=80,"80-90")</f>
        <v>50-60</v>
      </c>
      <c r="I2035" s="13">
        <v>2263</v>
      </c>
      <c r="J2035" s="13" t="str" cm="1">
        <f t="array" ref="J2035">_xlfn.IFS(K2035=1,"Divorciado",L2035=1,"Casado",M2035=1,"Solteiro",N2035=1,"Juntos",O2035=1,"Viuvo")</f>
        <v>Casado</v>
      </c>
      <c r="K2035" s="13">
        <v>0</v>
      </c>
      <c r="L2035" s="13">
        <v>1</v>
      </c>
      <c r="M2035" s="13">
        <v>0</v>
      </c>
      <c r="N2035" s="13">
        <v>0</v>
      </c>
      <c r="O2035" s="13">
        <v>0</v>
      </c>
      <c r="P2035" s="13">
        <v>1</v>
      </c>
      <c r="Q2035" s="13">
        <v>0</v>
      </c>
      <c r="R2035" s="13">
        <v>0</v>
      </c>
      <c r="S2035" s="13">
        <v>0</v>
      </c>
      <c r="T2035" s="13">
        <v>0</v>
      </c>
      <c r="U2035" s="13">
        <v>0</v>
      </c>
      <c r="V2035" s="13" t="str" cm="1">
        <f t="array" ref="V2035">_xlfn.IFS(U2035&lt;=250,"0-R$250",U2035&lt;=500,"251-R$500",U2035&lt;=750,"501-R$750",U2035&lt;=1000,"751-R$1000",U2035&lt;=1250,"1001-R$1250",U2035&lt;=1500,"1251-R$1500")</f>
        <v>0-R$250</v>
      </c>
      <c r="W2035" s="13">
        <v>6</v>
      </c>
      <c r="X2035" s="13" t="str" cm="1">
        <f t="array" ref="X2035">_xlfn.IFS(W2035 = 0, "0", W2035&lt;=20, "até R$20",W2035&lt;=40, "21 - R$40",W2035&lt;=60, "41- R$60",W2035&lt;=80, "61 - R$80", W2035&lt;=100, "81 - R$100",W2035&lt;=120, "101 - R$120",W2035&lt;=140, "121 - R$140", W2035&lt;=160, "141- R$160", W2035&lt;=180, "161 - R$180", W2035&lt;=200, "181-R$194")</f>
        <v>até R$20</v>
      </c>
      <c r="Y2035" s="13">
        <v>3</v>
      </c>
      <c r="Z2035" s="13">
        <v>7</v>
      </c>
      <c r="AA2035" s="13">
        <v>6</v>
      </c>
      <c r="AB2035" s="13">
        <v>12</v>
      </c>
      <c r="AC2035" s="13">
        <v>1</v>
      </c>
      <c r="AD2035" s="13">
        <v>1</v>
      </c>
      <c r="AE2035" s="13">
        <v>0</v>
      </c>
      <c r="AF2035" s="13">
        <v>3</v>
      </c>
      <c r="AG2035" s="13">
        <v>8</v>
      </c>
      <c r="AH2035" s="13">
        <v>0</v>
      </c>
      <c r="AI2035" s="13">
        <v>0</v>
      </c>
      <c r="AJ2035" s="13">
        <v>0</v>
      </c>
      <c r="AK2035" s="13">
        <v>0</v>
      </c>
      <c r="AL2035" s="13">
        <v>0</v>
      </c>
      <c r="AM2035" s="13">
        <v>0</v>
      </c>
      <c r="AN2035" s="13">
        <v>0</v>
      </c>
      <c r="AO2035" s="14">
        <v>0</v>
      </c>
      <c r="AP2035" s="13">
        <v>3</v>
      </c>
      <c r="AQ2035" s="13">
        <v>11</v>
      </c>
      <c r="AR2035" s="15">
        <v>10</v>
      </c>
      <c r="AS2035" s="15">
        <v>22</v>
      </c>
    </row>
    <row r="2036" spans="1:45" x14ac:dyDescent="0.25">
      <c r="A2036">
        <v>596</v>
      </c>
      <c r="B2036" s="11">
        <f t="shared" si="31"/>
        <v>18978</v>
      </c>
      <c r="C2036" s="12">
        <v>189780</v>
      </c>
      <c r="D2036" s="13">
        <v>1</v>
      </c>
      <c r="E2036" s="13">
        <v>0</v>
      </c>
      <c r="F2036" s="13">
        <v>41</v>
      </c>
      <c r="G2036" s="13">
        <v>47</v>
      </c>
      <c r="H2036" s="13" t="str" cm="1">
        <f t="array" ref="H2036">_xlfn.IFS(G2036&lt;=20,"0-20",G2036&lt;=30,"20-30",G2036&lt;=40,"30-40",G2036&lt;=50,"50-60",G2036&lt;=60,"60-70",G2036&lt;=70,"70-80",G2036&lt;=80,"80-90")</f>
        <v>50-60</v>
      </c>
      <c r="I2036" s="13">
        <v>2724</v>
      </c>
      <c r="J2036" s="13" t="str" cm="1">
        <f t="array" ref="J2036">_xlfn.IFS(K2036=1,"Divorciado",L2036=1,"Casado",M2036=1,"Solteiro",N2036=1,"Juntos",O2036=1,"Viuvo")</f>
        <v>Casado</v>
      </c>
      <c r="K2036" s="13">
        <v>0</v>
      </c>
      <c r="L2036" s="13">
        <v>1</v>
      </c>
      <c r="M2036" s="13">
        <v>0</v>
      </c>
      <c r="N2036" s="13">
        <v>0</v>
      </c>
      <c r="O2036" s="13">
        <v>0</v>
      </c>
      <c r="P2036" s="13">
        <v>0</v>
      </c>
      <c r="Q2036" s="13">
        <v>1</v>
      </c>
      <c r="R2036" s="13">
        <v>0</v>
      </c>
      <c r="S2036" s="13">
        <v>0</v>
      </c>
      <c r="T2036" s="13">
        <v>0</v>
      </c>
      <c r="U2036" s="13">
        <v>2</v>
      </c>
      <c r="V2036" s="13" t="str" cm="1">
        <f t="array" ref="V2036">_xlfn.IFS(U2036&lt;=250,"0-R$250",U2036&lt;=500,"251-R$500",U2036&lt;=750,"501-R$750",U2036&lt;=1000,"751-R$1000",U2036&lt;=1250,"1001-R$1250",U2036&lt;=1500,"1251-R$1500")</f>
        <v>0-R$250</v>
      </c>
      <c r="W2036" s="13">
        <v>8</v>
      </c>
      <c r="X2036" s="13" t="str" cm="1">
        <f t="array" ref="X2036">_xlfn.IFS(W2036 = 0, "0", W2036&lt;=20, "até R$20",W2036&lt;=40, "21 - R$40",W2036&lt;=60, "41- R$60",W2036&lt;=80, "61 - R$80", W2036&lt;=100, "81 - R$100",W2036&lt;=120, "101 - R$120",W2036&lt;=140, "121 - R$140", W2036&lt;=160, "141- R$160", W2036&lt;=180, "161 - R$180", W2036&lt;=200, "181-R$194")</f>
        <v>até R$20</v>
      </c>
      <c r="Y2036" s="13">
        <v>1</v>
      </c>
      <c r="Z2036" s="13">
        <v>4</v>
      </c>
      <c r="AA2036" s="13">
        <v>7</v>
      </c>
      <c r="AB2036" s="13">
        <v>15</v>
      </c>
      <c r="AC2036" s="13">
        <v>1</v>
      </c>
      <c r="AD2036" s="13">
        <v>1</v>
      </c>
      <c r="AE2036" s="13">
        <v>0</v>
      </c>
      <c r="AF2036" s="13">
        <v>3</v>
      </c>
      <c r="AG2036" s="13">
        <v>8</v>
      </c>
      <c r="AH2036" s="13">
        <v>0</v>
      </c>
      <c r="AI2036" s="13">
        <v>0</v>
      </c>
      <c r="AJ2036" s="13">
        <v>0</v>
      </c>
      <c r="AK2036" s="13">
        <v>0</v>
      </c>
      <c r="AL2036" s="13">
        <v>0</v>
      </c>
      <c r="AM2036" s="13">
        <v>0</v>
      </c>
      <c r="AN2036" s="13">
        <v>0</v>
      </c>
      <c r="AO2036" s="14">
        <v>0</v>
      </c>
      <c r="AP2036" s="13">
        <v>3</v>
      </c>
      <c r="AQ2036" s="13">
        <v>11</v>
      </c>
      <c r="AR2036" s="15">
        <v>7</v>
      </c>
      <c r="AS2036" s="15">
        <v>22</v>
      </c>
    </row>
    <row r="2037" spans="1:45" x14ac:dyDescent="0.25">
      <c r="A2037">
        <v>1152</v>
      </c>
      <c r="B2037" s="11">
        <f t="shared" si="31"/>
        <v>20130</v>
      </c>
      <c r="C2037" s="12">
        <v>201300</v>
      </c>
      <c r="D2037" s="13">
        <v>0</v>
      </c>
      <c r="E2037" s="13">
        <v>0</v>
      </c>
      <c r="F2037" s="13">
        <v>99</v>
      </c>
      <c r="G2037" s="13">
        <v>46</v>
      </c>
      <c r="H2037" s="13" t="str" cm="1">
        <f t="array" ref="H2037">_xlfn.IFS(G2037&lt;=20,"0-20",G2037&lt;=30,"20-30",G2037&lt;=40,"30-40",G2037&lt;=50,"50-60",G2037&lt;=60,"60-70",G2037&lt;=70,"70-80",G2037&lt;=80,"80-90")</f>
        <v>50-60</v>
      </c>
      <c r="I2037" s="13">
        <v>2263</v>
      </c>
      <c r="J2037" s="13" t="str" cm="1">
        <f t="array" ref="J2037">_xlfn.IFS(K2037=1,"Divorciado",L2037=1,"Casado",M2037=1,"Solteiro",N2037=1,"Juntos",O2037=1,"Viuvo")</f>
        <v>Casado</v>
      </c>
      <c r="K2037" s="13">
        <v>0</v>
      </c>
      <c r="L2037" s="13">
        <v>1</v>
      </c>
      <c r="M2037" s="13">
        <v>0</v>
      </c>
      <c r="N2037" s="13">
        <v>0</v>
      </c>
      <c r="O2037" s="13">
        <v>0</v>
      </c>
      <c r="P2037" s="13">
        <v>1</v>
      </c>
      <c r="Q2037" s="13">
        <v>0</v>
      </c>
      <c r="R2037" s="13">
        <v>0</v>
      </c>
      <c r="S2037" s="13">
        <v>0</v>
      </c>
      <c r="T2037" s="13">
        <v>0</v>
      </c>
      <c r="U2037" s="13">
        <v>0</v>
      </c>
      <c r="V2037" s="13" t="str" cm="1">
        <f t="array" ref="V2037">_xlfn.IFS(U2037&lt;=250,"0-R$250",U2037&lt;=500,"251-R$500",U2037&lt;=750,"501-R$750",U2037&lt;=1000,"751-R$1000",U2037&lt;=1250,"1001-R$1250",U2037&lt;=1500,"1251-R$1500")</f>
        <v>0-R$250</v>
      </c>
      <c r="W2037" s="13">
        <v>6</v>
      </c>
      <c r="X2037" s="13" t="str" cm="1">
        <f t="array" ref="X2037">_xlfn.IFS(W2037 = 0, "0", W2037&lt;=20, "até R$20",W2037&lt;=40, "21 - R$40",W2037&lt;=60, "41- R$60",W2037&lt;=80, "61 - R$80", W2037&lt;=100, "81 - R$100",W2037&lt;=120, "101 - R$120",W2037&lt;=140, "121 - R$140", W2037&lt;=160, "141- R$160", W2037&lt;=180, "161 - R$180", W2037&lt;=200, "181-R$194")</f>
        <v>até R$20</v>
      </c>
      <c r="Y2037" s="13">
        <v>3</v>
      </c>
      <c r="Z2037" s="13">
        <v>7</v>
      </c>
      <c r="AA2037" s="13">
        <v>6</v>
      </c>
      <c r="AB2037" s="13">
        <v>12</v>
      </c>
      <c r="AC2037" s="13">
        <v>1</v>
      </c>
      <c r="AD2037" s="13">
        <v>1</v>
      </c>
      <c r="AE2037" s="13">
        <v>0</v>
      </c>
      <c r="AF2037" s="13">
        <v>3</v>
      </c>
      <c r="AG2037" s="13">
        <v>8</v>
      </c>
      <c r="AH2037" s="13">
        <v>0</v>
      </c>
      <c r="AI2037" s="13">
        <v>0</v>
      </c>
      <c r="AJ2037" s="13">
        <v>0</v>
      </c>
      <c r="AK2037" s="13">
        <v>0</v>
      </c>
      <c r="AL2037" s="13">
        <v>0</v>
      </c>
      <c r="AM2037" s="13">
        <v>0</v>
      </c>
      <c r="AN2037" s="13">
        <v>0</v>
      </c>
      <c r="AO2037" s="14">
        <v>0</v>
      </c>
      <c r="AP2037" s="13">
        <v>3</v>
      </c>
      <c r="AQ2037" s="13">
        <v>11</v>
      </c>
      <c r="AR2037" s="15">
        <v>10</v>
      </c>
      <c r="AS2037" s="15">
        <v>22</v>
      </c>
    </row>
    <row r="2038" spans="1:45" x14ac:dyDescent="0.25">
      <c r="A2038">
        <v>1856</v>
      </c>
      <c r="B2038" s="11">
        <f t="shared" si="31"/>
        <v>30396</v>
      </c>
      <c r="C2038" s="12">
        <v>303960</v>
      </c>
      <c r="D2038" s="13">
        <v>1</v>
      </c>
      <c r="E2038" s="13">
        <v>0</v>
      </c>
      <c r="F2038" s="13">
        <v>22</v>
      </c>
      <c r="G2038" s="13">
        <v>51</v>
      </c>
      <c r="H2038" s="13" t="str" cm="1">
        <f t="array" ref="H2038">_xlfn.IFS(G2038&lt;=20,"0-20",G2038&lt;=30,"20-30",G2038&lt;=40,"30-40",G2038&lt;=50,"50-60",G2038&lt;=60,"60-70",G2038&lt;=70,"70-80",G2038&lt;=80,"80-90")</f>
        <v>60-70</v>
      </c>
      <c r="I2038" s="13">
        <v>2219</v>
      </c>
      <c r="J2038" s="13" t="str" cm="1">
        <f t="array" ref="J2038">_xlfn.IFS(K2038=1,"Divorciado",L2038=1,"Casado",M2038=1,"Solteiro",N2038=1,"Juntos",O2038=1,"Viuvo")</f>
        <v>Casado</v>
      </c>
      <c r="K2038" s="13">
        <v>0</v>
      </c>
      <c r="L2038" s="13">
        <v>1</v>
      </c>
      <c r="M2038" s="13">
        <v>0</v>
      </c>
      <c r="N2038" s="13">
        <v>0</v>
      </c>
      <c r="O2038" s="13">
        <v>0</v>
      </c>
      <c r="P2038" s="13">
        <v>0</v>
      </c>
      <c r="Q2038" s="13">
        <v>0</v>
      </c>
      <c r="R2038" s="13">
        <v>0</v>
      </c>
      <c r="S2038" s="13">
        <v>0</v>
      </c>
      <c r="T2038" s="13">
        <v>1</v>
      </c>
      <c r="U2038" s="13">
        <v>15</v>
      </c>
      <c r="V2038" s="13" t="str" cm="1">
        <f t="array" ref="V2038">_xlfn.IFS(U2038&lt;=250,"0-R$250",U2038&lt;=500,"251-R$500",U2038&lt;=750,"501-R$750",U2038&lt;=1000,"751-R$1000",U2038&lt;=1250,"1001-R$1250",U2038&lt;=1500,"1251-R$1500")</f>
        <v>0-R$250</v>
      </c>
      <c r="W2038" s="13">
        <v>0</v>
      </c>
      <c r="X2038" s="13" t="str" cm="1">
        <f t="array" ref="X2038">_xlfn.IFS(W2038 = 0, "0", W2038&lt;=20, "até R$20",W2038&lt;=40, "21 - R$40",W2038&lt;=60, "41- R$60",W2038&lt;=80, "61 - R$80", W2038&lt;=100, "81 - R$100",W2038&lt;=120, "101 - R$120",W2038&lt;=140, "121 - R$140", W2038&lt;=160, "141- R$160", W2038&lt;=180, "161 - R$180", W2038&lt;=200, "181-R$194")</f>
        <v>0</v>
      </c>
      <c r="Y2038" s="13">
        <v>6</v>
      </c>
      <c r="Z2038" s="13">
        <v>0</v>
      </c>
      <c r="AA2038" s="13">
        <v>1</v>
      </c>
      <c r="AB2038" s="13">
        <v>12</v>
      </c>
      <c r="AC2038" s="13">
        <v>2</v>
      </c>
      <c r="AD2038" s="13">
        <v>1</v>
      </c>
      <c r="AE2038" s="13">
        <v>1</v>
      </c>
      <c r="AF2038" s="13">
        <v>2</v>
      </c>
      <c r="AG2038" s="13">
        <v>7</v>
      </c>
      <c r="AH2038" s="13">
        <v>0</v>
      </c>
      <c r="AI2038" s="13">
        <v>1</v>
      </c>
      <c r="AJ2038" s="13">
        <v>0</v>
      </c>
      <c r="AK2038" s="13">
        <v>0</v>
      </c>
      <c r="AL2038" s="13">
        <v>0</v>
      </c>
      <c r="AM2038" s="13">
        <v>0</v>
      </c>
      <c r="AN2038" s="13">
        <v>1</v>
      </c>
      <c r="AO2038" s="14">
        <v>1</v>
      </c>
      <c r="AP2038" s="13">
        <v>3</v>
      </c>
      <c r="AQ2038" s="13">
        <v>11</v>
      </c>
      <c r="AR2038" s="15">
        <v>10</v>
      </c>
      <c r="AS2038" s="15">
        <v>22</v>
      </c>
    </row>
    <row r="2039" spans="1:45" x14ac:dyDescent="0.25">
      <c r="A2039">
        <v>1975</v>
      </c>
      <c r="B2039" s="11">
        <f t="shared" si="31"/>
        <v>24206</v>
      </c>
      <c r="C2039" s="16">
        <v>242060</v>
      </c>
      <c r="D2039" s="17">
        <v>1</v>
      </c>
      <c r="E2039" s="17">
        <v>0</v>
      </c>
      <c r="F2039" s="17">
        <v>66</v>
      </c>
      <c r="G2039" s="17">
        <v>50</v>
      </c>
      <c r="H2039" s="13" t="str" cm="1">
        <f t="array" ref="H2039">_xlfn.IFS(G2039&lt;=20,"0-20",G2039&lt;=30,"20-30",G2039&lt;=40,"30-40",G2039&lt;=50,"50-60",G2039&lt;=60,"60-70",G2039&lt;=70,"70-80",G2039&lt;=80,"80-90")</f>
        <v>50-60</v>
      </c>
      <c r="I2039" s="17">
        <v>2637</v>
      </c>
      <c r="J2039" s="13" t="str" cm="1">
        <f t="array" ref="J2039">_xlfn.IFS(K2039=1,"Divorciado",L2039=1,"Casado",M2039=1,"Solteiro",N2039=1,"Juntos",O2039=1,"Viuvo")</f>
        <v>Solteiro</v>
      </c>
      <c r="K2039" s="17">
        <v>0</v>
      </c>
      <c r="L2039" s="17">
        <v>0</v>
      </c>
      <c r="M2039" s="17">
        <v>1</v>
      </c>
      <c r="N2039" s="17">
        <v>0</v>
      </c>
      <c r="O2039" s="17">
        <v>0</v>
      </c>
      <c r="P2039" s="17">
        <v>0</v>
      </c>
      <c r="Q2039" s="17">
        <v>0</v>
      </c>
      <c r="R2039" s="17">
        <v>1</v>
      </c>
      <c r="S2039" s="17">
        <v>0</v>
      </c>
      <c r="T2039" s="17">
        <v>0</v>
      </c>
      <c r="U2039" s="17">
        <v>7</v>
      </c>
      <c r="V2039" s="13" t="str" cm="1">
        <f t="array" ref="V2039">_xlfn.IFS(U2039&lt;=250,"0-R$250",U2039&lt;=500,"251-R$500",U2039&lt;=750,"501-R$750",U2039&lt;=1000,"751-R$1000",U2039&lt;=1250,"1001-R$1250",U2039&lt;=1500,"1251-R$1500")</f>
        <v>0-R$250</v>
      </c>
      <c r="W2039" s="17">
        <v>2</v>
      </c>
      <c r="X2039" s="13" t="str" cm="1">
        <f t="array" ref="X2039">_xlfn.IFS(W2039 = 0, "0", W2039&lt;=20, "até R$20",W2039&lt;=40, "21 - R$40",W2039&lt;=60, "41- R$60",W2039&lt;=80, "61 - R$80", W2039&lt;=100, "81 - R$100",W2039&lt;=120, "101 - R$120",W2039&lt;=140, "121 - R$140", W2039&lt;=160, "141- R$160", W2039&lt;=180, "161 - R$180", W2039&lt;=200, "181-R$194")</f>
        <v>até R$20</v>
      </c>
      <c r="Y2039" s="17">
        <v>8</v>
      </c>
      <c r="Z2039" s="17">
        <v>3</v>
      </c>
      <c r="AA2039" s="17">
        <v>2</v>
      </c>
      <c r="AB2039" s="17">
        <v>3</v>
      </c>
      <c r="AC2039" s="17">
        <v>1</v>
      </c>
      <c r="AD2039" s="17">
        <v>1</v>
      </c>
      <c r="AE2039" s="17">
        <v>0</v>
      </c>
      <c r="AF2039" s="17">
        <v>3</v>
      </c>
      <c r="AG2039" s="17">
        <v>6</v>
      </c>
      <c r="AH2039" s="17">
        <v>0</v>
      </c>
      <c r="AI2039" s="17">
        <v>0</v>
      </c>
      <c r="AJ2039" s="17">
        <v>0</v>
      </c>
      <c r="AK2039" s="17">
        <v>0</v>
      </c>
      <c r="AL2039" s="17">
        <v>0</v>
      </c>
      <c r="AM2039" s="17">
        <v>0</v>
      </c>
      <c r="AN2039" s="17">
        <v>0</v>
      </c>
      <c r="AO2039" s="18">
        <v>0</v>
      </c>
      <c r="AP2039" s="17">
        <v>3</v>
      </c>
      <c r="AQ2039" s="17">
        <v>11</v>
      </c>
      <c r="AR2039" s="19">
        <v>19</v>
      </c>
      <c r="AS2039" s="19">
        <v>22</v>
      </c>
    </row>
    <row r="2040" spans="1:45" x14ac:dyDescent="0.25">
      <c r="A2040">
        <v>2</v>
      </c>
      <c r="B2040" s="11">
        <f t="shared" si="31"/>
        <v>46344</v>
      </c>
      <c r="C2040" s="12">
        <v>463440</v>
      </c>
      <c r="D2040" s="13">
        <v>1</v>
      </c>
      <c r="E2040" s="13">
        <v>1</v>
      </c>
      <c r="F2040" s="13">
        <v>38</v>
      </c>
      <c r="G2040" s="13">
        <v>66</v>
      </c>
      <c r="H2040" s="13" t="str" cm="1">
        <f t="array" ref="H2040">_xlfn.IFS(G2040&lt;=20,"0-20",G2040&lt;=30,"20-30",G2040&lt;=40,"30-40",G2040&lt;=50,"50-60",G2040&lt;=60,"60-70",G2040&lt;=70,"70-80",G2040&lt;=80,"80-90")</f>
        <v>70-80</v>
      </c>
      <c r="I2040" s="13">
        <v>2272</v>
      </c>
      <c r="J2040" s="13" t="str" cm="1">
        <f t="array" ref="J2040">_xlfn.IFS(K2040=1,"Divorciado",L2040=1,"Casado",M2040=1,"Solteiro",N2040=1,"Juntos",O2040=1,"Viuvo")</f>
        <v>Solteiro</v>
      </c>
      <c r="K2040" s="13">
        <v>0</v>
      </c>
      <c r="L2040" s="13">
        <v>0</v>
      </c>
      <c r="M2040" s="13">
        <v>1</v>
      </c>
      <c r="N2040" s="13">
        <v>0</v>
      </c>
      <c r="O2040" s="13">
        <v>0</v>
      </c>
      <c r="P2040" s="13">
        <v>0</v>
      </c>
      <c r="Q2040" s="13">
        <v>0</v>
      </c>
      <c r="R2040" s="13">
        <v>1</v>
      </c>
      <c r="S2040" s="13">
        <v>0</v>
      </c>
      <c r="T2040" s="13">
        <v>0</v>
      </c>
      <c r="U2040" s="13">
        <v>11</v>
      </c>
      <c r="V2040" s="13" t="str" cm="1">
        <f t="array" ref="V2040">_xlfn.IFS(U2040&lt;=250,"0-R$250",U2040&lt;=500,"251-R$500",U2040&lt;=750,"501-R$750",U2040&lt;=1000,"751-R$1000",U2040&lt;=1250,"1001-R$1250",U2040&lt;=1500,"1251-R$1500")</f>
        <v>0-R$250</v>
      </c>
      <c r="W2040" s="13">
        <v>1</v>
      </c>
      <c r="X2040" s="13" t="str" cm="1">
        <f t="array" ref="X2040">_xlfn.IFS(W2040 = 0, "0", W2040&lt;=20, "até R$20",W2040&lt;=40, "21 - R$40",W2040&lt;=60, "41- R$60",W2040&lt;=80, "61 - R$80", W2040&lt;=100, "81 - R$100",W2040&lt;=120, "101 - R$120",W2040&lt;=140, "121 - R$140", W2040&lt;=160, "141- R$160", W2040&lt;=180, "161 - R$180", W2040&lt;=200, "181-R$194")</f>
        <v>até R$20</v>
      </c>
      <c r="Y2040" s="13">
        <v>6</v>
      </c>
      <c r="Z2040" s="13">
        <v>2</v>
      </c>
      <c r="AA2040" s="13">
        <v>1</v>
      </c>
      <c r="AB2040" s="13">
        <v>6</v>
      </c>
      <c r="AC2040" s="13">
        <v>2</v>
      </c>
      <c r="AD2040" s="13">
        <v>1</v>
      </c>
      <c r="AE2040" s="13">
        <v>1</v>
      </c>
      <c r="AF2040" s="13">
        <v>2</v>
      </c>
      <c r="AG2040" s="13">
        <v>5</v>
      </c>
      <c r="AH2040" s="13">
        <v>0</v>
      </c>
      <c r="AI2040" s="13">
        <v>0</v>
      </c>
      <c r="AJ2040" s="13">
        <v>0</v>
      </c>
      <c r="AK2040" s="13">
        <v>0</v>
      </c>
      <c r="AL2040" s="13">
        <v>0</v>
      </c>
      <c r="AM2040" s="13">
        <v>0</v>
      </c>
      <c r="AN2040" s="13">
        <v>0</v>
      </c>
      <c r="AO2040" s="14">
        <v>0</v>
      </c>
      <c r="AP2040" s="13">
        <v>3</v>
      </c>
      <c r="AQ2040" s="13">
        <v>11</v>
      </c>
      <c r="AR2040" s="15">
        <v>15</v>
      </c>
      <c r="AS2040" s="15">
        <v>21</v>
      </c>
    </row>
    <row r="2041" spans="1:45" x14ac:dyDescent="0.25">
      <c r="A2041">
        <v>306</v>
      </c>
      <c r="B2041" s="11">
        <f t="shared" si="31"/>
        <v>34421</v>
      </c>
      <c r="C2041" s="12">
        <v>344210</v>
      </c>
      <c r="D2041" s="13">
        <v>1</v>
      </c>
      <c r="E2041" s="13">
        <v>0</v>
      </c>
      <c r="F2041" s="13">
        <v>81</v>
      </c>
      <c r="G2041" s="13">
        <v>46</v>
      </c>
      <c r="H2041" s="13" t="str" cm="1">
        <f t="array" ref="H2041">_xlfn.IFS(G2041&lt;=20,"0-20",G2041&lt;=30,"20-30",G2041&lt;=40,"30-40",G2041&lt;=50,"50-60",G2041&lt;=60,"60-70",G2041&lt;=70,"70-80",G2041&lt;=80,"80-90")</f>
        <v>50-60</v>
      </c>
      <c r="I2041" s="13">
        <v>2522</v>
      </c>
      <c r="J2041" s="13" t="str" cm="1">
        <f t="array" ref="J2041">_xlfn.IFS(K2041=1,"Divorciado",L2041=1,"Casado",M2041=1,"Solteiro",N2041=1,"Juntos",O2041=1,"Viuvo")</f>
        <v>Casado</v>
      </c>
      <c r="K2041" s="13">
        <v>0</v>
      </c>
      <c r="L2041" s="13">
        <v>1</v>
      </c>
      <c r="M2041" s="13">
        <v>0</v>
      </c>
      <c r="N2041" s="13">
        <v>0</v>
      </c>
      <c r="O2041" s="13">
        <v>0</v>
      </c>
      <c r="P2041" s="13">
        <v>0</v>
      </c>
      <c r="Q2041" s="13">
        <v>0</v>
      </c>
      <c r="R2041" s="13">
        <v>1</v>
      </c>
      <c r="S2041" s="13">
        <v>0</v>
      </c>
      <c r="T2041" s="13">
        <v>0</v>
      </c>
      <c r="U2041" s="13">
        <v>3</v>
      </c>
      <c r="V2041" s="13" t="str" cm="1">
        <f t="array" ref="V2041">_xlfn.IFS(U2041&lt;=250,"0-R$250",U2041&lt;=500,"251-R$500",U2041&lt;=750,"501-R$750",U2041&lt;=1000,"751-R$1000",U2041&lt;=1250,"1001-R$1250",U2041&lt;=1500,"1251-R$1500")</f>
        <v>0-R$250</v>
      </c>
      <c r="W2041" s="13">
        <v>3</v>
      </c>
      <c r="X2041" s="13" t="str" cm="1">
        <f t="array" ref="X2041">_xlfn.IFS(W2041 = 0, "0", W2041&lt;=20, "até R$20",W2041&lt;=40, "21 - R$40",W2041&lt;=60, "41- R$60",W2041&lt;=80, "61 - R$80", W2041&lt;=100, "81 - R$100",W2041&lt;=120, "101 - R$120",W2041&lt;=140, "121 - R$140", W2041&lt;=160, "141- R$160", W2041&lt;=180, "161 - R$180", W2041&lt;=200, "181-R$194")</f>
        <v>até R$20</v>
      </c>
      <c r="Y2041" s="13">
        <v>7</v>
      </c>
      <c r="Z2041" s="13">
        <v>6</v>
      </c>
      <c r="AA2041" s="13">
        <v>2</v>
      </c>
      <c r="AB2041" s="13">
        <v>9</v>
      </c>
      <c r="AC2041" s="13">
        <v>1</v>
      </c>
      <c r="AD2041" s="13">
        <v>1</v>
      </c>
      <c r="AE2041" s="13">
        <v>0</v>
      </c>
      <c r="AF2041" s="13">
        <v>2</v>
      </c>
      <c r="AG2041" s="13">
        <v>7</v>
      </c>
      <c r="AH2041" s="13">
        <v>0</v>
      </c>
      <c r="AI2041" s="13">
        <v>0</v>
      </c>
      <c r="AJ2041" s="13">
        <v>0</v>
      </c>
      <c r="AK2041" s="13">
        <v>0</v>
      </c>
      <c r="AL2041" s="13">
        <v>0</v>
      </c>
      <c r="AM2041" s="13">
        <v>0</v>
      </c>
      <c r="AN2041" s="13">
        <v>0</v>
      </c>
      <c r="AO2041" s="14">
        <v>0</v>
      </c>
      <c r="AP2041" s="13">
        <v>3</v>
      </c>
      <c r="AQ2041" s="13">
        <v>11</v>
      </c>
      <c r="AR2041" s="15">
        <v>12</v>
      </c>
      <c r="AS2041" s="15">
        <v>21</v>
      </c>
    </row>
    <row r="2042" spans="1:45" x14ac:dyDescent="0.25">
      <c r="A2042">
        <v>810</v>
      </c>
      <c r="B2042" s="11">
        <f t="shared" si="31"/>
        <v>16529</v>
      </c>
      <c r="C2042" s="12">
        <v>165290</v>
      </c>
      <c r="D2042" s="13">
        <v>1</v>
      </c>
      <c r="E2042" s="13">
        <v>0</v>
      </c>
      <c r="F2042" s="13">
        <v>23</v>
      </c>
      <c r="G2042" s="13">
        <v>36</v>
      </c>
      <c r="H2042" s="13" t="str" cm="1">
        <f t="array" ref="H2042">_xlfn.IFS(G2042&lt;=20,"0-20",G2042&lt;=30,"20-30",G2042&lt;=40,"30-40",G2042&lt;=50,"50-60",G2042&lt;=60,"60-70",G2042&lt;=70,"70-80",G2042&lt;=80,"80-90")</f>
        <v>30-40</v>
      </c>
      <c r="I2042" s="13">
        <v>2279</v>
      </c>
      <c r="J2042" s="13" t="str" cm="1">
        <f t="array" ref="J2042">_xlfn.IFS(K2042=1,"Divorciado",L2042=1,"Casado",M2042=1,"Solteiro",N2042=1,"Juntos",O2042=1,"Viuvo")</f>
        <v>Juntos</v>
      </c>
      <c r="K2042" s="13">
        <v>0</v>
      </c>
      <c r="L2042" s="13">
        <v>0</v>
      </c>
      <c r="M2042" s="13">
        <v>0</v>
      </c>
      <c r="N2042" s="13">
        <v>1</v>
      </c>
      <c r="O2042" s="13">
        <v>0</v>
      </c>
      <c r="P2042" s="13">
        <v>0</v>
      </c>
      <c r="Q2042" s="13">
        <v>0</v>
      </c>
      <c r="R2042" s="13">
        <v>1</v>
      </c>
      <c r="S2042" s="13">
        <v>0</v>
      </c>
      <c r="T2042" s="13">
        <v>0</v>
      </c>
      <c r="U2042" s="13">
        <v>3</v>
      </c>
      <c r="V2042" s="13" t="str" cm="1">
        <f t="array" ref="V2042">_xlfn.IFS(U2042&lt;=250,"0-R$250",U2042&lt;=500,"251-R$500",U2042&lt;=750,"501-R$750",U2042&lt;=1000,"751-R$1000",U2042&lt;=1250,"1001-R$1250",U2042&lt;=1500,"1251-R$1500")</f>
        <v>0-R$250</v>
      </c>
      <c r="W2042" s="13">
        <v>0</v>
      </c>
      <c r="X2042" s="13" t="str" cm="1">
        <f t="array" ref="X2042">_xlfn.IFS(W2042 = 0, "0", W2042&lt;=20, "até R$20",W2042&lt;=40, "21 - R$40",W2042&lt;=60, "41- R$60",W2042&lt;=80, "61 - R$80", W2042&lt;=100, "81 - R$100",W2042&lt;=120, "101 - R$120",W2042&lt;=140, "121 - R$140", W2042&lt;=160, "141- R$160", W2042&lt;=180, "161 - R$180", W2042&lt;=200, "181-R$194")</f>
        <v>0</v>
      </c>
      <c r="Y2042" s="13">
        <v>5</v>
      </c>
      <c r="Z2042" s="13">
        <v>13</v>
      </c>
      <c r="AA2042" s="13">
        <v>0</v>
      </c>
      <c r="AB2042" s="13">
        <v>1</v>
      </c>
      <c r="AC2042" s="13">
        <v>1</v>
      </c>
      <c r="AD2042" s="13">
        <v>1</v>
      </c>
      <c r="AE2042" s="13">
        <v>0</v>
      </c>
      <c r="AF2042" s="13">
        <v>3</v>
      </c>
      <c r="AG2042" s="13">
        <v>6</v>
      </c>
      <c r="AH2042" s="13">
        <v>0</v>
      </c>
      <c r="AI2042" s="13">
        <v>0</v>
      </c>
      <c r="AJ2042" s="13">
        <v>0</v>
      </c>
      <c r="AK2042" s="13">
        <v>0</v>
      </c>
      <c r="AL2042" s="13">
        <v>0</v>
      </c>
      <c r="AM2042" s="13">
        <v>0</v>
      </c>
      <c r="AN2042" s="13">
        <v>0</v>
      </c>
      <c r="AO2042" s="14">
        <v>0</v>
      </c>
      <c r="AP2042" s="13">
        <v>3</v>
      </c>
      <c r="AQ2042" s="13">
        <v>11</v>
      </c>
      <c r="AR2042" s="15">
        <v>20</v>
      </c>
      <c r="AS2042" s="15">
        <v>21</v>
      </c>
    </row>
    <row r="2043" spans="1:45" x14ac:dyDescent="0.25">
      <c r="A2043">
        <v>888</v>
      </c>
      <c r="B2043" s="11">
        <f t="shared" si="31"/>
        <v>45684</v>
      </c>
      <c r="C2043" s="12">
        <v>456840</v>
      </c>
      <c r="D2043" s="13">
        <v>1</v>
      </c>
      <c r="E2043" s="13">
        <v>0</v>
      </c>
      <c r="F2043" s="13">
        <v>37</v>
      </c>
      <c r="G2043" s="13">
        <v>49</v>
      </c>
      <c r="H2043" s="13" t="str" cm="1">
        <f t="array" ref="H2043">_xlfn.IFS(G2043&lt;=20,"0-20",G2043&lt;=30,"20-30",G2043&lt;=40,"30-40",G2043&lt;=50,"50-60",G2043&lt;=60,"60-70",G2043&lt;=70,"70-80",G2043&lt;=80,"80-90")</f>
        <v>50-60</v>
      </c>
      <c r="I2043" s="13">
        <v>2368</v>
      </c>
      <c r="J2043" s="13" t="str" cm="1">
        <f t="array" ref="J2043">_xlfn.IFS(K2043=1,"Divorciado",L2043=1,"Casado",M2043=1,"Solteiro",N2043=1,"Juntos",O2043=1,"Viuvo")</f>
        <v>Viuvo</v>
      </c>
      <c r="K2043" s="13">
        <v>0</v>
      </c>
      <c r="L2043" s="13">
        <v>0</v>
      </c>
      <c r="M2043" s="13">
        <v>0</v>
      </c>
      <c r="N2043" s="13">
        <v>0</v>
      </c>
      <c r="O2043" s="13">
        <v>1</v>
      </c>
      <c r="P2043" s="13">
        <v>0</v>
      </c>
      <c r="Q2043" s="13">
        <v>0</v>
      </c>
      <c r="R2043" s="13">
        <v>1</v>
      </c>
      <c r="S2043" s="13">
        <v>0</v>
      </c>
      <c r="T2043" s="13">
        <v>0</v>
      </c>
      <c r="U2043" s="13">
        <v>5</v>
      </c>
      <c r="V2043" s="13" t="str" cm="1">
        <f t="array" ref="V2043">_xlfn.IFS(U2043&lt;=250,"0-R$250",U2043&lt;=500,"251-R$500",U2043&lt;=750,"501-R$750",U2043&lt;=1000,"751-R$1000",U2043&lt;=1250,"1001-R$1250",U2043&lt;=1500,"1251-R$1500")</f>
        <v>0-R$250</v>
      </c>
      <c r="W2043" s="13">
        <v>1</v>
      </c>
      <c r="X2043" s="13" t="str" cm="1">
        <f t="array" ref="X2043">_xlfn.IFS(W2043 = 0, "0", W2043&lt;=20, "até R$20",W2043&lt;=40, "21 - R$40",W2043&lt;=60, "41- R$60",W2043&lt;=80, "61 - R$80", W2043&lt;=100, "81 - R$100",W2043&lt;=120, "101 - R$120",W2043&lt;=140, "121 - R$140", W2043&lt;=160, "141- R$160", W2043&lt;=180, "161 - R$180", W2043&lt;=200, "181-R$194")</f>
        <v>até R$20</v>
      </c>
      <c r="Y2043" s="13">
        <v>5</v>
      </c>
      <c r="Z2043" s="13">
        <v>10</v>
      </c>
      <c r="AA2043" s="13">
        <v>0</v>
      </c>
      <c r="AB2043" s="13">
        <v>7</v>
      </c>
      <c r="AC2043" s="13">
        <v>1</v>
      </c>
      <c r="AD2043" s="13">
        <v>1</v>
      </c>
      <c r="AE2043" s="13">
        <v>0</v>
      </c>
      <c r="AF2043" s="13">
        <v>2</v>
      </c>
      <c r="AG2043" s="13">
        <v>7</v>
      </c>
      <c r="AH2043" s="13">
        <v>0</v>
      </c>
      <c r="AI2043" s="13">
        <v>0</v>
      </c>
      <c r="AJ2043" s="13">
        <v>0</v>
      </c>
      <c r="AK2043" s="13">
        <v>0</v>
      </c>
      <c r="AL2043" s="13">
        <v>0</v>
      </c>
      <c r="AM2043" s="13">
        <v>0</v>
      </c>
      <c r="AN2043" s="13">
        <v>0</v>
      </c>
      <c r="AO2043" s="14">
        <v>0</v>
      </c>
      <c r="AP2043" s="13">
        <v>3</v>
      </c>
      <c r="AQ2043" s="13">
        <v>11</v>
      </c>
      <c r="AR2043" s="15">
        <v>14</v>
      </c>
      <c r="AS2043" s="15">
        <v>21</v>
      </c>
    </row>
    <row r="2044" spans="1:45" x14ac:dyDescent="0.25">
      <c r="A2044">
        <v>2060</v>
      </c>
      <c r="B2044" s="11">
        <f t="shared" si="31"/>
        <v>22390</v>
      </c>
      <c r="C2044" s="12">
        <v>223900</v>
      </c>
      <c r="D2044" s="13">
        <v>0</v>
      </c>
      <c r="E2044" s="13">
        <v>0</v>
      </c>
      <c r="F2044" s="13">
        <v>49</v>
      </c>
      <c r="G2044" s="13">
        <v>51</v>
      </c>
      <c r="H2044" s="13" t="str" cm="1">
        <f t="array" ref="H2044">_xlfn.IFS(G2044&lt;=20,"0-20",G2044&lt;=30,"20-30",G2044&lt;=40,"30-40",G2044&lt;=50,"50-60",G2044&lt;=60,"60-70",G2044&lt;=70,"70-80",G2044&lt;=80,"80-90")</f>
        <v>60-70</v>
      </c>
      <c r="I2044" s="13">
        <v>2410</v>
      </c>
      <c r="J2044" s="13" t="str" cm="1">
        <f t="array" ref="J2044">_xlfn.IFS(K2044=1,"Divorciado",L2044=1,"Casado",M2044=1,"Solteiro",N2044=1,"Juntos",O2044=1,"Viuvo")</f>
        <v>Juntos</v>
      </c>
      <c r="K2044" s="13">
        <v>0</v>
      </c>
      <c r="L2044" s="13">
        <v>0</v>
      </c>
      <c r="M2044" s="13">
        <v>0</v>
      </c>
      <c r="N2044" s="13">
        <v>1</v>
      </c>
      <c r="O2044" s="13">
        <v>0</v>
      </c>
      <c r="P2044" s="13">
        <v>0</v>
      </c>
      <c r="Q2044" s="13">
        <v>1</v>
      </c>
      <c r="R2044" s="13">
        <v>0</v>
      </c>
      <c r="S2044" s="13">
        <v>0</v>
      </c>
      <c r="T2044" s="13">
        <v>0</v>
      </c>
      <c r="U2044" s="13">
        <v>0</v>
      </c>
      <c r="V2044" s="13" t="str" cm="1">
        <f t="array" ref="V2044">_xlfn.IFS(U2044&lt;=250,"0-R$250",U2044&lt;=500,"251-R$500",U2044&lt;=750,"501-R$750",U2044&lt;=1000,"751-R$1000",U2044&lt;=1250,"1001-R$1250",U2044&lt;=1500,"1251-R$1500")</f>
        <v>0-R$250</v>
      </c>
      <c r="W2044" s="13">
        <v>1</v>
      </c>
      <c r="X2044" s="13" t="str" cm="1">
        <f t="array" ref="X2044">_xlfn.IFS(W2044 = 0, "0", W2044&lt;=20, "até R$20",W2044&lt;=40, "21 - R$40",W2044&lt;=60, "41- R$60",W2044&lt;=80, "61 - R$80", W2044&lt;=100, "81 - R$100",W2044&lt;=120, "101 - R$120",W2044&lt;=140, "121 - R$140", W2044&lt;=160, "141- R$160", W2044&lt;=180, "161 - R$180", W2044&lt;=200, "181-R$194")</f>
        <v>até R$20</v>
      </c>
      <c r="Y2044" s="13">
        <v>4</v>
      </c>
      <c r="Z2044" s="13">
        <v>15</v>
      </c>
      <c r="AA2044" s="13">
        <v>1</v>
      </c>
      <c r="AB2044" s="13">
        <v>5</v>
      </c>
      <c r="AC2044" s="13">
        <v>1</v>
      </c>
      <c r="AD2044" s="13">
        <v>1</v>
      </c>
      <c r="AE2044" s="13">
        <v>0</v>
      </c>
      <c r="AF2044" s="13">
        <v>2</v>
      </c>
      <c r="AG2044" s="13">
        <v>7</v>
      </c>
      <c r="AH2044" s="13">
        <v>0</v>
      </c>
      <c r="AI2044" s="13">
        <v>0</v>
      </c>
      <c r="AJ2044" s="13">
        <v>0</v>
      </c>
      <c r="AK2044" s="13">
        <v>0</v>
      </c>
      <c r="AL2044" s="13">
        <v>0</v>
      </c>
      <c r="AM2044" s="13">
        <v>0</v>
      </c>
      <c r="AN2044" s="13">
        <v>0</v>
      </c>
      <c r="AO2044" s="14">
        <v>0</v>
      </c>
      <c r="AP2044" s="13">
        <v>3</v>
      </c>
      <c r="AQ2044" s="13">
        <v>11</v>
      </c>
      <c r="AR2044" s="15">
        <v>16</v>
      </c>
      <c r="AS2044" s="15">
        <v>21</v>
      </c>
    </row>
    <row r="2045" spans="1:45" x14ac:dyDescent="0.25">
      <c r="A2045">
        <v>2200</v>
      </c>
      <c r="B2045" s="11">
        <f t="shared" si="31"/>
        <v>34421</v>
      </c>
      <c r="C2045" s="12">
        <v>344210</v>
      </c>
      <c r="D2045" s="13">
        <v>1</v>
      </c>
      <c r="E2045" s="13">
        <v>0</v>
      </c>
      <c r="F2045" s="13">
        <v>81</v>
      </c>
      <c r="G2045" s="13">
        <v>46</v>
      </c>
      <c r="H2045" s="13" t="str" cm="1">
        <f t="array" ref="H2045">_xlfn.IFS(G2045&lt;=20,"0-20",G2045&lt;=30,"20-30",G2045&lt;=40,"30-40",G2045&lt;=50,"50-60",G2045&lt;=60,"60-70",G2045&lt;=70,"70-80",G2045&lt;=80,"80-90")</f>
        <v>50-60</v>
      </c>
      <c r="I2045" s="13">
        <v>2522</v>
      </c>
      <c r="J2045" s="13" t="str" cm="1">
        <f t="array" ref="J2045">_xlfn.IFS(K2045=1,"Divorciado",L2045=1,"Casado",M2045=1,"Solteiro",N2045=1,"Juntos",O2045=1,"Viuvo")</f>
        <v>Casado</v>
      </c>
      <c r="K2045" s="13">
        <v>0</v>
      </c>
      <c r="L2045" s="13">
        <v>1</v>
      </c>
      <c r="M2045" s="13">
        <v>0</v>
      </c>
      <c r="N2045" s="13">
        <v>0</v>
      </c>
      <c r="O2045" s="13">
        <v>0</v>
      </c>
      <c r="P2045" s="13">
        <v>0</v>
      </c>
      <c r="Q2045" s="13">
        <v>0</v>
      </c>
      <c r="R2045" s="13">
        <v>1</v>
      </c>
      <c r="S2045" s="13">
        <v>0</v>
      </c>
      <c r="T2045" s="13">
        <v>0</v>
      </c>
      <c r="U2045" s="13">
        <v>3</v>
      </c>
      <c r="V2045" s="13" t="str" cm="1">
        <f t="array" ref="V2045">_xlfn.IFS(U2045&lt;=250,"0-R$250",U2045&lt;=500,"251-R$500",U2045&lt;=750,"501-R$750",U2045&lt;=1000,"751-R$1000",U2045&lt;=1250,"1001-R$1250",U2045&lt;=1500,"1251-R$1500")</f>
        <v>0-R$250</v>
      </c>
      <c r="W2045" s="13">
        <v>3</v>
      </c>
      <c r="X2045" s="13" t="str" cm="1">
        <f t="array" ref="X2045">_xlfn.IFS(W2045 = 0, "0", W2045&lt;=20, "até R$20",W2045&lt;=40, "21 - R$40",W2045&lt;=60, "41- R$60",W2045&lt;=80, "61 - R$80", W2045&lt;=100, "81 - R$100",W2045&lt;=120, "101 - R$120",W2045&lt;=140, "121 - R$140", W2045&lt;=160, "141- R$160", W2045&lt;=180, "161 - R$180", W2045&lt;=200, "181-R$194")</f>
        <v>até R$20</v>
      </c>
      <c r="Y2045" s="13">
        <v>7</v>
      </c>
      <c r="Z2045" s="13">
        <v>6</v>
      </c>
      <c r="AA2045" s="13">
        <v>2</v>
      </c>
      <c r="AB2045" s="13">
        <v>9</v>
      </c>
      <c r="AC2045" s="13">
        <v>1</v>
      </c>
      <c r="AD2045" s="13">
        <v>1</v>
      </c>
      <c r="AE2045" s="13">
        <v>0</v>
      </c>
      <c r="AF2045" s="13">
        <v>2</v>
      </c>
      <c r="AG2045" s="13">
        <v>7</v>
      </c>
      <c r="AH2045" s="13">
        <v>0</v>
      </c>
      <c r="AI2045" s="13">
        <v>0</v>
      </c>
      <c r="AJ2045" s="13">
        <v>0</v>
      </c>
      <c r="AK2045" s="13">
        <v>0</v>
      </c>
      <c r="AL2045" s="13">
        <v>0</v>
      </c>
      <c r="AM2045" s="13">
        <v>0</v>
      </c>
      <c r="AN2045" s="13">
        <v>0</v>
      </c>
      <c r="AO2045" s="14">
        <v>0</v>
      </c>
      <c r="AP2045" s="13">
        <v>3</v>
      </c>
      <c r="AQ2045" s="13">
        <v>11</v>
      </c>
      <c r="AR2045" s="15">
        <v>12</v>
      </c>
      <c r="AS2045" s="15">
        <v>21</v>
      </c>
    </row>
    <row r="2046" spans="1:45" x14ac:dyDescent="0.25">
      <c r="A2046">
        <v>97</v>
      </c>
      <c r="B2046" s="11">
        <f t="shared" si="31"/>
        <v>24594</v>
      </c>
      <c r="C2046" s="16">
        <v>245940</v>
      </c>
      <c r="D2046" s="17">
        <v>1</v>
      </c>
      <c r="E2046" s="17">
        <v>0</v>
      </c>
      <c r="F2046" s="17">
        <v>94</v>
      </c>
      <c r="G2046" s="17">
        <v>41</v>
      </c>
      <c r="H2046" s="13" t="str" cm="1">
        <f t="array" ref="H2046">_xlfn.IFS(G2046&lt;=20,"0-20",G2046&lt;=30,"20-30",G2046&lt;=40,"30-40",G2046&lt;=50,"50-60",G2046&lt;=60,"60-70",G2046&lt;=70,"70-80",G2046&lt;=80,"80-90")</f>
        <v>50-60</v>
      </c>
      <c r="I2046" s="17">
        <v>2360</v>
      </c>
      <c r="J2046" s="13" t="str" cm="1">
        <f t="array" ref="J2046">_xlfn.IFS(K2046=1,"Divorciado",L2046=1,"Casado",M2046=1,"Solteiro",N2046=1,"Juntos",O2046=1,"Viuvo")</f>
        <v>Juntos</v>
      </c>
      <c r="K2046" s="17">
        <v>0</v>
      </c>
      <c r="L2046" s="17">
        <v>0</v>
      </c>
      <c r="M2046" s="17">
        <v>0</v>
      </c>
      <c r="N2046" s="17">
        <v>1</v>
      </c>
      <c r="O2046" s="17">
        <v>0</v>
      </c>
      <c r="P2046" s="17">
        <v>0</v>
      </c>
      <c r="Q2046" s="17">
        <v>1</v>
      </c>
      <c r="R2046" s="17">
        <v>0</v>
      </c>
      <c r="S2046" s="17">
        <v>0</v>
      </c>
      <c r="T2046" s="17">
        <v>0</v>
      </c>
      <c r="U2046" s="17">
        <v>1</v>
      </c>
      <c r="V2046" s="13" t="str" cm="1">
        <f t="array" ref="V2046">_xlfn.IFS(U2046&lt;=250,"0-R$250",U2046&lt;=500,"251-R$500",U2046&lt;=750,"501-R$750",U2046&lt;=1000,"751-R$1000",U2046&lt;=1250,"1001-R$1250",U2046&lt;=1500,"1251-R$1500")</f>
        <v>0-R$250</v>
      </c>
      <c r="W2046" s="17">
        <v>3</v>
      </c>
      <c r="X2046" s="13" t="str" cm="1">
        <f t="array" ref="X2046">_xlfn.IFS(W2046 = 0, "0", W2046&lt;=20, "até R$20",W2046&lt;=40, "21 - R$40",W2046&lt;=60, "41- R$60",W2046&lt;=80, "61 - R$80", W2046&lt;=100, "81 - R$100",W2046&lt;=120, "101 - R$120",W2046&lt;=140, "121 - R$140", W2046&lt;=160, "141- R$160", W2046&lt;=180, "161 - R$180", W2046&lt;=200, "181-R$194")</f>
        <v>até R$20</v>
      </c>
      <c r="Y2046" s="17">
        <v>6</v>
      </c>
      <c r="Z2046" s="17">
        <v>10</v>
      </c>
      <c r="AA2046" s="17">
        <v>0</v>
      </c>
      <c r="AB2046" s="17">
        <v>9</v>
      </c>
      <c r="AC2046" s="17">
        <v>1</v>
      </c>
      <c r="AD2046" s="17">
        <v>1</v>
      </c>
      <c r="AE2046" s="17">
        <v>0</v>
      </c>
      <c r="AF2046" s="17">
        <v>3</v>
      </c>
      <c r="AG2046" s="17">
        <v>5</v>
      </c>
      <c r="AH2046" s="17">
        <v>0</v>
      </c>
      <c r="AI2046" s="17">
        <v>0</v>
      </c>
      <c r="AJ2046" s="17">
        <v>0</v>
      </c>
      <c r="AK2046" s="17">
        <v>0</v>
      </c>
      <c r="AL2046" s="17">
        <v>0</v>
      </c>
      <c r="AM2046" s="17">
        <v>0</v>
      </c>
      <c r="AN2046" s="17">
        <v>0</v>
      </c>
      <c r="AO2046" s="18">
        <v>0</v>
      </c>
      <c r="AP2046" s="17">
        <v>3</v>
      </c>
      <c r="AQ2046" s="17">
        <v>11</v>
      </c>
      <c r="AR2046" s="19">
        <v>11</v>
      </c>
      <c r="AS2046" s="19">
        <v>20</v>
      </c>
    </row>
    <row r="2047" spans="1:45" x14ac:dyDescent="0.25">
      <c r="A2047">
        <v>126</v>
      </c>
      <c r="B2047" s="11">
        <f t="shared" si="31"/>
        <v>9548</v>
      </c>
      <c r="C2047" s="12">
        <v>95480</v>
      </c>
      <c r="D2047" s="13">
        <v>1</v>
      </c>
      <c r="E2047" s="13">
        <v>0</v>
      </c>
      <c r="F2047" s="13">
        <v>31</v>
      </c>
      <c r="G2047" s="13">
        <v>44</v>
      </c>
      <c r="H2047" s="13" t="str" cm="1">
        <f t="array" ref="H2047">_xlfn.IFS(G2047&lt;=20,"0-20",G2047&lt;=30,"20-30",G2047&lt;=40,"30-40",G2047&lt;=50,"50-60",G2047&lt;=60,"60-70",G2047&lt;=70,"70-80",G2047&lt;=80,"80-90")</f>
        <v>50-60</v>
      </c>
      <c r="I2047" s="13">
        <v>2849</v>
      </c>
      <c r="J2047" s="13" t="str" cm="1">
        <f t="array" ref="J2047">_xlfn.IFS(K2047=1,"Divorciado",L2047=1,"Casado",M2047=1,"Solteiro",N2047=1,"Juntos",O2047=1,"Viuvo")</f>
        <v>Divorciado</v>
      </c>
      <c r="K2047" s="13">
        <v>1</v>
      </c>
      <c r="L2047" s="13">
        <v>0</v>
      </c>
      <c r="M2047" s="13">
        <v>0</v>
      </c>
      <c r="N2047" s="13">
        <v>0</v>
      </c>
      <c r="O2047" s="13">
        <v>0</v>
      </c>
      <c r="P2047" s="13">
        <v>0</v>
      </c>
      <c r="Q2047" s="13">
        <v>1</v>
      </c>
      <c r="R2047" s="13">
        <v>0</v>
      </c>
      <c r="S2047" s="13">
        <v>0</v>
      </c>
      <c r="T2047" s="13">
        <v>0</v>
      </c>
      <c r="U2047" s="13">
        <v>0</v>
      </c>
      <c r="V2047" s="13" t="str" cm="1">
        <f t="array" ref="V2047">_xlfn.IFS(U2047&lt;=250,"0-R$250",U2047&lt;=500,"251-R$500",U2047&lt;=750,"501-R$750",U2047&lt;=1000,"751-R$1000",U2047&lt;=1250,"1001-R$1250",U2047&lt;=1500,"1251-R$1500")</f>
        <v>0-R$250</v>
      </c>
      <c r="W2047" s="13">
        <v>1</v>
      </c>
      <c r="X2047" s="13" t="str" cm="1">
        <f t="array" ref="X2047">_xlfn.IFS(W2047 = 0, "0", W2047&lt;=20, "até R$20",W2047&lt;=40, "21 - R$40",W2047&lt;=60, "41- R$60",W2047&lt;=80, "61 - R$80", W2047&lt;=100, "81 - R$100",W2047&lt;=120, "101 - R$120",W2047&lt;=140, "121 - R$140", W2047&lt;=160, "141- R$160", W2047&lt;=180, "161 - R$180", W2047&lt;=200, "181-R$194")</f>
        <v>até R$20</v>
      </c>
      <c r="Y2047" s="13">
        <v>3</v>
      </c>
      <c r="Z2047" s="13">
        <v>10</v>
      </c>
      <c r="AA2047" s="13">
        <v>6</v>
      </c>
      <c r="AB2047" s="13">
        <v>9</v>
      </c>
      <c r="AC2047" s="13">
        <v>2</v>
      </c>
      <c r="AD2047" s="13">
        <v>1</v>
      </c>
      <c r="AE2047" s="13">
        <v>0</v>
      </c>
      <c r="AF2047" s="13">
        <v>3</v>
      </c>
      <c r="AG2047" s="13">
        <v>8</v>
      </c>
      <c r="AH2047" s="13">
        <v>0</v>
      </c>
      <c r="AI2047" s="13">
        <v>0</v>
      </c>
      <c r="AJ2047" s="13">
        <v>0</v>
      </c>
      <c r="AK2047" s="13">
        <v>0</v>
      </c>
      <c r="AL2047" s="13">
        <v>0</v>
      </c>
      <c r="AM2047" s="13">
        <v>0</v>
      </c>
      <c r="AN2047" s="13">
        <v>0</v>
      </c>
      <c r="AO2047" s="14">
        <v>0</v>
      </c>
      <c r="AP2047" s="13">
        <v>3</v>
      </c>
      <c r="AQ2047" s="13">
        <v>11</v>
      </c>
      <c r="AR2047" s="15">
        <v>11</v>
      </c>
      <c r="AS2047" s="15">
        <v>20</v>
      </c>
    </row>
    <row r="2048" spans="1:45" x14ac:dyDescent="0.25">
      <c r="A2048">
        <v>193</v>
      </c>
      <c r="B2048" s="11">
        <f t="shared" si="31"/>
        <v>18890</v>
      </c>
      <c r="C2048" s="16">
        <v>188900</v>
      </c>
      <c r="D2048" s="17">
        <v>0</v>
      </c>
      <c r="E2048" s="17">
        <v>0</v>
      </c>
      <c r="F2048" s="17">
        <v>5</v>
      </c>
      <c r="G2048" s="17">
        <v>36</v>
      </c>
      <c r="H2048" s="13" t="str" cm="1">
        <f t="array" ref="H2048">_xlfn.IFS(G2048&lt;=20,"0-20",G2048&lt;=30,"20-30",G2048&lt;=40,"30-40",G2048&lt;=50,"50-60",G2048&lt;=60,"60-70",G2048&lt;=70,"70-80",G2048&lt;=80,"80-90")</f>
        <v>30-40</v>
      </c>
      <c r="I2048" s="17">
        <v>2755</v>
      </c>
      <c r="J2048" s="13" t="str" cm="1">
        <f t="array" ref="J2048">_xlfn.IFS(K2048=1,"Divorciado",L2048=1,"Casado",M2048=1,"Solteiro",N2048=1,"Juntos",O2048=1,"Viuvo")</f>
        <v>Solteiro</v>
      </c>
      <c r="K2048" s="17">
        <v>0</v>
      </c>
      <c r="L2048" s="17">
        <v>0</v>
      </c>
      <c r="M2048" s="17">
        <v>1</v>
      </c>
      <c r="N2048" s="17">
        <v>0</v>
      </c>
      <c r="O2048" s="17">
        <v>0</v>
      </c>
      <c r="P2048" s="17">
        <v>0</v>
      </c>
      <c r="Q2048" s="17">
        <v>0</v>
      </c>
      <c r="R2048" s="17">
        <v>0</v>
      </c>
      <c r="S2048" s="17">
        <v>1</v>
      </c>
      <c r="T2048" s="17">
        <v>0</v>
      </c>
      <c r="U2048" s="17">
        <v>6</v>
      </c>
      <c r="V2048" s="13" t="str" cm="1">
        <f t="array" ref="V2048">_xlfn.IFS(U2048&lt;=250,"0-R$250",U2048&lt;=500,"251-R$500",U2048&lt;=750,"501-R$750",U2048&lt;=1000,"751-R$1000",U2048&lt;=1250,"1001-R$1250",U2048&lt;=1500,"1251-R$1500")</f>
        <v>0-R$250</v>
      </c>
      <c r="W2048" s="17">
        <v>4</v>
      </c>
      <c r="X2048" s="13" t="str" cm="1">
        <f t="array" ref="X2048">_xlfn.IFS(W2048 = 0, "0", W2048&lt;=20, "até R$20",W2048&lt;=40, "21 - R$40",W2048&lt;=60, "41- R$60",W2048&lt;=80, "61 - R$80", W2048&lt;=100, "81 - R$100",W2048&lt;=120, "101 - R$120",W2048&lt;=140, "121 - R$140", W2048&lt;=160, "141- R$160", W2048&lt;=180, "161 - R$180", W2048&lt;=200, "181-R$194")</f>
        <v>até R$20</v>
      </c>
      <c r="Y2048" s="17">
        <v>1</v>
      </c>
      <c r="Z2048" s="17">
        <v>7</v>
      </c>
      <c r="AA2048" s="17">
        <v>2</v>
      </c>
      <c r="AB2048" s="17">
        <v>15</v>
      </c>
      <c r="AC2048" s="17">
        <v>1</v>
      </c>
      <c r="AD2048" s="17">
        <v>0</v>
      </c>
      <c r="AE2048" s="17">
        <v>1</v>
      </c>
      <c r="AF2048" s="17">
        <v>2</v>
      </c>
      <c r="AG2048" s="17">
        <v>6</v>
      </c>
      <c r="AH2048" s="17">
        <v>0</v>
      </c>
      <c r="AI2048" s="17">
        <v>1</v>
      </c>
      <c r="AJ2048" s="17">
        <v>0</v>
      </c>
      <c r="AK2048" s="17">
        <v>0</v>
      </c>
      <c r="AL2048" s="17">
        <v>0</v>
      </c>
      <c r="AM2048" s="17">
        <v>0</v>
      </c>
      <c r="AN2048" s="17">
        <v>1</v>
      </c>
      <c r="AO2048" s="18">
        <v>1</v>
      </c>
      <c r="AP2048" s="17">
        <v>3</v>
      </c>
      <c r="AQ2048" s="17">
        <v>11</v>
      </c>
      <c r="AR2048" s="19">
        <v>5</v>
      </c>
      <c r="AS2048" s="19">
        <v>20</v>
      </c>
    </row>
    <row r="2049" spans="1:45" x14ac:dyDescent="0.25">
      <c r="A2049">
        <v>250</v>
      </c>
      <c r="B2049" s="11">
        <f t="shared" si="31"/>
        <v>37717</v>
      </c>
      <c r="C2049" s="12">
        <v>377170</v>
      </c>
      <c r="D2049" s="13">
        <v>1</v>
      </c>
      <c r="E2049" s="13">
        <v>0</v>
      </c>
      <c r="F2049" s="13">
        <v>31</v>
      </c>
      <c r="G2049" s="13">
        <v>42</v>
      </c>
      <c r="H2049" s="13" t="str" cm="1">
        <f t="array" ref="H2049">_xlfn.IFS(G2049&lt;=20,"0-20",G2049&lt;=30,"20-30",G2049&lt;=40,"30-40",G2049&lt;=50,"50-60",G2049&lt;=60,"60-70",G2049&lt;=70,"70-80",G2049&lt;=80,"80-90")</f>
        <v>50-60</v>
      </c>
      <c r="I2049" s="13">
        <v>2742</v>
      </c>
      <c r="J2049" s="13" t="str" cm="1">
        <f t="array" ref="J2049">_xlfn.IFS(K2049=1,"Divorciado",L2049=1,"Casado",M2049=1,"Solteiro",N2049=1,"Juntos",O2049=1,"Viuvo")</f>
        <v>Casado</v>
      </c>
      <c r="K2049" s="13">
        <v>0</v>
      </c>
      <c r="L2049" s="13">
        <v>1</v>
      </c>
      <c r="M2049" s="13">
        <v>0</v>
      </c>
      <c r="N2049" s="13">
        <v>0</v>
      </c>
      <c r="O2049" s="13">
        <v>0</v>
      </c>
      <c r="P2049" s="13">
        <v>0</v>
      </c>
      <c r="Q2049" s="13">
        <v>0</v>
      </c>
      <c r="R2049" s="13">
        <v>0</v>
      </c>
      <c r="S2049" s="13">
        <v>0</v>
      </c>
      <c r="T2049" s="13">
        <v>1</v>
      </c>
      <c r="U2049" s="13">
        <v>9</v>
      </c>
      <c r="V2049" s="13" t="str" cm="1">
        <f t="array" ref="V2049">_xlfn.IFS(U2049&lt;=250,"0-R$250",U2049&lt;=500,"251-R$500",U2049&lt;=750,"501-R$750",U2049&lt;=1000,"751-R$1000",U2049&lt;=1250,"1001-R$1250",U2049&lt;=1500,"1251-R$1500")</f>
        <v>0-R$250</v>
      </c>
      <c r="W2049" s="13">
        <v>0</v>
      </c>
      <c r="X2049" s="13" t="str" cm="1">
        <f t="array" ref="X2049">_xlfn.IFS(W2049 = 0, "0", W2049&lt;=20, "até R$20",W2049&lt;=40, "21 - R$40",W2049&lt;=60, "41- R$60",W2049&lt;=80, "61 - R$80", W2049&lt;=100, "81 - R$100",W2049&lt;=120, "101 - R$120",W2049&lt;=140, "121 - R$140", W2049&lt;=160, "141- R$160", W2049&lt;=180, "161 - R$180", W2049&lt;=200, "181-R$194")</f>
        <v>0</v>
      </c>
      <c r="Y2049" s="13">
        <v>6</v>
      </c>
      <c r="Z2049" s="13">
        <v>4</v>
      </c>
      <c r="AA2049" s="13">
        <v>1</v>
      </c>
      <c r="AB2049" s="13">
        <v>5</v>
      </c>
      <c r="AC2049" s="13">
        <v>1</v>
      </c>
      <c r="AD2049" s="13">
        <v>1</v>
      </c>
      <c r="AE2049" s="13">
        <v>0</v>
      </c>
      <c r="AF2049" s="13">
        <v>2</v>
      </c>
      <c r="AG2049" s="13">
        <v>9</v>
      </c>
      <c r="AH2049" s="13">
        <v>0</v>
      </c>
      <c r="AI2049" s="13">
        <v>0</v>
      </c>
      <c r="AJ2049" s="13">
        <v>0</v>
      </c>
      <c r="AK2049" s="13">
        <v>0</v>
      </c>
      <c r="AL2049" s="13">
        <v>0</v>
      </c>
      <c r="AM2049" s="13">
        <v>0</v>
      </c>
      <c r="AN2049" s="13">
        <v>0</v>
      </c>
      <c r="AO2049" s="14">
        <v>0</v>
      </c>
      <c r="AP2049" s="13">
        <v>3</v>
      </c>
      <c r="AQ2049" s="13">
        <v>11</v>
      </c>
      <c r="AR2049" s="15">
        <v>15</v>
      </c>
      <c r="AS2049" s="15">
        <v>20</v>
      </c>
    </row>
    <row r="2050" spans="1:45" x14ac:dyDescent="0.25">
      <c r="A2050">
        <v>347</v>
      </c>
      <c r="B2050" s="11">
        <f t="shared" ref="B2050:B2113" si="32">C2050/10</f>
        <v>37717</v>
      </c>
      <c r="C2050" s="16">
        <v>377170</v>
      </c>
      <c r="D2050" s="17">
        <v>1</v>
      </c>
      <c r="E2050" s="17">
        <v>0</v>
      </c>
      <c r="F2050" s="17">
        <v>31</v>
      </c>
      <c r="G2050" s="17">
        <v>42</v>
      </c>
      <c r="H2050" s="13" t="str" cm="1">
        <f t="array" ref="H2050">_xlfn.IFS(G2050&lt;=20,"0-20",G2050&lt;=30,"20-30",G2050&lt;=40,"30-40",G2050&lt;=50,"50-60",G2050&lt;=60,"60-70",G2050&lt;=70,"70-80",G2050&lt;=80,"80-90")</f>
        <v>50-60</v>
      </c>
      <c r="I2050" s="17">
        <v>2742</v>
      </c>
      <c r="J2050" s="13" t="str" cm="1">
        <f t="array" ref="J2050">_xlfn.IFS(K2050=1,"Divorciado",L2050=1,"Casado",M2050=1,"Solteiro",N2050=1,"Juntos",O2050=1,"Viuvo")</f>
        <v>Casado</v>
      </c>
      <c r="K2050" s="17">
        <v>0</v>
      </c>
      <c r="L2050" s="17">
        <v>1</v>
      </c>
      <c r="M2050" s="17">
        <v>0</v>
      </c>
      <c r="N2050" s="17">
        <v>0</v>
      </c>
      <c r="O2050" s="17">
        <v>0</v>
      </c>
      <c r="P2050" s="17">
        <v>0</v>
      </c>
      <c r="Q2050" s="17">
        <v>0</v>
      </c>
      <c r="R2050" s="17">
        <v>0</v>
      </c>
      <c r="S2050" s="17">
        <v>0</v>
      </c>
      <c r="T2050" s="17">
        <v>1</v>
      </c>
      <c r="U2050" s="17">
        <v>9</v>
      </c>
      <c r="V2050" s="13" t="str" cm="1">
        <f t="array" ref="V2050">_xlfn.IFS(U2050&lt;=250,"0-R$250",U2050&lt;=500,"251-R$500",U2050&lt;=750,"501-R$750",U2050&lt;=1000,"751-R$1000",U2050&lt;=1250,"1001-R$1250",U2050&lt;=1500,"1251-R$1500")</f>
        <v>0-R$250</v>
      </c>
      <c r="W2050" s="17">
        <v>0</v>
      </c>
      <c r="X2050" s="13" t="str" cm="1">
        <f t="array" ref="X2050">_xlfn.IFS(W2050 = 0, "0", W2050&lt;=20, "até R$20",W2050&lt;=40, "21 - R$40",W2050&lt;=60, "41- R$60",W2050&lt;=80, "61 - R$80", W2050&lt;=100, "81 - R$100",W2050&lt;=120, "101 - R$120",W2050&lt;=140, "121 - R$140", W2050&lt;=160, "141- R$160", W2050&lt;=180, "161 - R$180", W2050&lt;=200, "181-R$194")</f>
        <v>0</v>
      </c>
      <c r="Y2050" s="17">
        <v>6</v>
      </c>
      <c r="Z2050" s="17">
        <v>4</v>
      </c>
      <c r="AA2050" s="17">
        <v>1</v>
      </c>
      <c r="AB2050" s="17">
        <v>5</v>
      </c>
      <c r="AC2050" s="17">
        <v>1</v>
      </c>
      <c r="AD2050" s="17">
        <v>1</v>
      </c>
      <c r="AE2050" s="17">
        <v>0</v>
      </c>
      <c r="AF2050" s="17">
        <v>2</v>
      </c>
      <c r="AG2050" s="17">
        <v>9</v>
      </c>
      <c r="AH2050" s="17">
        <v>0</v>
      </c>
      <c r="AI2050" s="17">
        <v>0</v>
      </c>
      <c r="AJ2050" s="17">
        <v>0</v>
      </c>
      <c r="AK2050" s="17">
        <v>0</v>
      </c>
      <c r="AL2050" s="17">
        <v>0</v>
      </c>
      <c r="AM2050" s="17">
        <v>0</v>
      </c>
      <c r="AN2050" s="17">
        <v>0</v>
      </c>
      <c r="AO2050" s="18">
        <v>0</v>
      </c>
      <c r="AP2050" s="17">
        <v>3</v>
      </c>
      <c r="AQ2050" s="17">
        <v>11</v>
      </c>
      <c r="AR2050" s="19">
        <v>15</v>
      </c>
      <c r="AS2050" s="19">
        <v>20</v>
      </c>
    </row>
    <row r="2051" spans="1:45" x14ac:dyDescent="0.25">
      <c r="A2051">
        <v>533</v>
      </c>
      <c r="B2051" s="11">
        <f t="shared" si="32"/>
        <v>27159</v>
      </c>
      <c r="C2051" s="16">
        <v>271590</v>
      </c>
      <c r="D2051" s="17">
        <v>1</v>
      </c>
      <c r="E2051" s="17">
        <v>1</v>
      </c>
      <c r="F2051" s="17">
        <v>33</v>
      </c>
      <c r="G2051" s="17">
        <v>47</v>
      </c>
      <c r="H2051" s="13" t="str" cm="1">
        <f t="array" ref="H2051">_xlfn.IFS(G2051&lt;=20,"0-20",G2051&lt;=30,"20-30",G2051&lt;=40,"30-40",G2051&lt;=50,"50-60",G2051&lt;=60,"60-70",G2051&lt;=70,"70-80",G2051&lt;=80,"80-90")</f>
        <v>50-60</v>
      </c>
      <c r="I2051" s="17">
        <v>2251</v>
      </c>
      <c r="J2051" s="13" t="str" cm="1">
        <f t="array" ref="J2051">_xlfn.IFS(K2051=1,"Divorciado",L2051=1,"Casado",M2051=1,"Solteiro",N2051=1,"Juntos",O2051=1,"Viuvo")</f>
        <v>Casado</v>
      </c>
      <c r="K2051" s="17">
        <v>0</v>
      </c>
      <c r="L2051" s="17">
        <v>1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1</v>
      </c>
      <c r="T2051" s="17">
        <v>0</v>
      </c>
      <c r="U2051" s="17">
        <v>17</v>
      </c>
      <c r="V2051" s="13" t="str" cm="1">
        <f t="array" ref="V2051">_xlfn.IFS(U2051&lt;=250,"0-R$250",U2051&lt;=500,"251-R$500",U2051&lt;=750,"501-R$750",U2051&lt;=1000,"751-R$1000",U2051&lt;=1250,"1001-R$1250",U2051&lt;=1500,"1251-R$1500")</f>
        <v>0-R$250</v>
      </c>
      <c r="W2051" s="17">
        <v>0</v>
      </c>
      <c r="X2051" s="13" t="str" cm="1">
        <f t="array" ref="X2051">_xlfn.IFS(W2051 = 0, "0", W2051&lt;=20, "até R$20",W2051&lt;=40, "21 - R$40",W2051&lt;=60, "41- R$60",W2051&lt;=80, "61 - R$80", W2051&lt;=100, "81 - R$100",W2051&lt;=120, "101 - R$120",W2051&lt;=140, "121 - R$140", W2051&lt;=160, "141- R$160", W2051&lt;=180, "161 - R$180", W2051&lt;=200, "181-R$194")</f>
        <v>0</v>
      </c>
      <c r="Y2051" s="17">
        <v>3</v>
      </c>
      <c r="Z2051" s="17">
        <v>0</v>
      </c>
      <c r="AA2051" s="17">
        <v>0</v>
      </c>
      <c r="AB2051" s="17">
        <v>1</v>
      </c>
      <c r="AC2051" s="17">
        <v>2</v>
      </c>
      <c r="AD2051" s="17">
        <v>1</v>
      </c>
      <c r="AE2051" s="17">
        <v>0</v>
      </c>
      <c r="AF2051" s="17">
        <v>3</v>
      </c>
      <c r="AG2051" s="17">
        <v>6</v>
      </c>
      <c r="AH2051" s="17">
        <v>0</v>
      </c>
      <c r="AI2051" s="17">
        <v>0</v>
      </c>
      <c r="AJ2051" s="17">
        <v>0</v>
      </c>
      <c r="AK2051" s="17">
        <v>0</v>
      </c>
      <c r="AL2051" s="17">
        <v>0</v>
      </c>
      <c r="AM2051" s="17">
        <v>0</v>
      </c>
      <c r="AN2051" s="17">
        <v>0</v>
      </c>
      <c r="AO2051" s="18">
        <v>0</v>
      </c>
      <c r="AP2051" s="17">
        <v>3</v>
      </c>
      <c r="AQ2051" s="17">
        <v>11</v>
      </c>
      <c r="AR2051" s="19">
        <v>19</v>
      </c>
      <c r="AS2051" s="19">
        <v>20</v>
      </c>
    </row>
    <row r="2052" spans="1:45" x14ac:dyDescent="0.25">
      <c r="A2052">
        <v>1009</v>
      </c>
      <c r="B2052" s="11">
        <f t="shared" si="32"/>
        <v>32173</v>
      </c>
      <c r="C2052" s="16">
        <v>321730</v>
      </c>
      <c r="D2052" s="17">
        <v>0</v>
      </c>
      <c r="E2052" s="17">
        <v>1</v>
      </c>
      <c r="F2052" s="17">
        <v>0</v>
      </c>
      <c r="G2052" s="17">
        <v>62</v>
      </c>
      <c r="H2052" s="13" t="str" cm="1">
        <f t="array" ref="H2052">_xlfn.IFS(G2052&lt;=20,"0-20",G2052&lt;=30,"20-30",G2052&lt;=40,"30-40",G2052&lt;=50,"50-60",G2052&lt;=60,"60-70",G2052&lt;=70,"70-80",G2052&lt;=80,"80-90")</f>
        <v>70-80</v>
      </c>
      <c r="I2052" s="17">
        <v>2491</v>
      </c>
      <c r="J2052" s="13" t="str" cm="1">
        <f t="array" ref="J2052">_xlfn.IFS(K2052=1,"Divorciado",L2052=1,"Casado",M2052=1,"Solteiro",N2052=1,"Juntos",O2052=1,"Viuvo")</f>
        <v>Divorciado</v>
      </c>
      <c r="K2052" s="17">
        <v>1</v>
      </c>
      <c r="L2052" s="17">
        <v>0</v>
      </c>
      <c r="M2052" s="17">
        <v>0</v>
      </c>
      <c r="N2052" s="17">
        <v>0</v>
      </c>
      <c r="O2052" s="17">
        <v>0</v>
      </c>
      <c r="P2052" s="17">
        <v>0</v>
      </c>
      <c r="Q2052" s="17">
        <v>0</v>
      </c>
      <c r="R2052" s="17">
        <v>0</v>
      </c>
      <c r="S2052" s="17">
        <v>0</v>
      </c>
      <c r="T2052" s="17">
        <v>1</v>
      </c>
      <c r="U2052" s="17">
        <v>18</v>
      </c>
      <c r="V2052" s="13" t="str" cm="1">
        <f t="array" ref="V2052">_xlfn.IFS(U2052&lt;=250,"0-R$250",U2052&lt;=500,"251-R$500",U2052&lt;=750,"501-R$750",U2052&lt;=1000,"751-R$1000",U2052&lt;=1250,"1001-R$1250",U2052&lt;=1500,"1251-R$1500")</f>
        <v>0-R$250</v>
      </c>
      <c r="W2052" s="17">
        <v>0</v>
      </c>
      <c r="X2052" s="13" t="str" cm="1">
        <f t="array" ref="X2052">_xlfn.IFS(W2052 = 0, "0", W2052&lt;=20, "até R$20",W2052&lt;=40, "21 - R$40",W2052&lt;=60, "41- R$60",W2052&lt;=80, "61 - R$80", W2052&lt;=100, "81 - R$100",W2052&lt;=120, "101 - R$120",W2052&lt;=140, "121 - R$140", W2052&lt;=160, "141- R$160", W2052&lt;=180, "161 - R$180", W2052&lt;=200, "181-R$194")</f>
        <v>0</v>
      </c>
      <c r="Y2052" s="17">
        <v>2</v>
      </c>
      <c r="Z2052" s="17">
        <v>0</v>
      </c>
      <c r="AA2052" s="17">
        <v>0</v>
      </c>
      <c r="AB2052" s="17">
        <v>2</v>
      </c>
      <c r="AC2052" s="17">
        <v>1</v>
      </c>
      <c r="AD2052" s="17">
        <v>1</v>
      </c>
      <c r="AE2052" s="17">
        <v>0</v>
      </c>
      <c r="AF2052" s="17">
        <v>3</v>
      </c>
      <c r="AG2052" s="17">
        <v>4</v>
      </c>
      <c r="AH2052" s="17">
        <v>0</v>
      </c>
      <c r="AI2052" s="17">
        <v>0</v>
      </c>
      <c r="AJ2052" s="17">
        <v>0</v>
      </c>
      <c r="AK2052" s="17">
        <v>0</v>
      </c>
      <c r="AL2052" s="17">
        <v>0</v>
      </c>
      <c r="AM2052" s="17">
        <v>0</v>
      </c>
      <c r="AN2052" s="17">
        <v>0</v>
      </c>
      <c r="AO2052" s="18">
        <v>0</v>
      </c>
      <c r="AP2052" s="17">
        <v>3</v>
      </c>
      <c r="AQ2052" s="17">
        <v>11</v>
      </c>
      <c r="AR2052" s="19">
        <v>18</v>
      </c>
      <c r="AS2052" s="19">
        <v>20</v>
      </c>
    </row>
    <row r="2053" spans="1:45" x14ac:dyDescent="0.25">
      <c r="A2053">
        <v>1058</v>
      </c>
      <c r="B2053" s="11">
        <f t="shared" si="32"/>
        <v>26907</v>
      </c>
      <c r="C2053" s="12">
        <v>269070</v>
      </c>
      <c r="D2053" s="13">
        <v>1</v>
      </c>
      <c r="E2053" s="13">
        <v>1</v>
      </c>
      <c r="F2053" s="13">
        <v>10</v>
      </c>
      <c r="G2053" s="13">
        <v>44</v>
      </c>
      <c r="H2053" s="13" t="str" cm="1">
        <f t="array" ref="H2053">_xlfn.IFS(G2053&lt;=20,"0-20",G2053&lt;=30,"20-30",G2053&lt;=40,"30-40",G2053&lt;=50,"50-60",G2053&lt;=60,"60-70",G2053&lt;=70,"70-80",G2053&lt;=80,"80-90")</f>
        <v>50-60</v>
      </c>
      <c r="I2053" s="13">
        <v>2472</v>
      </c>
      <c r="J2053" s="13" t="str" cm="1">
        <f t="array" ref="J2053">_xlfn.IFS(K2053=1,"Divorciado",L2053=1,"Casado",M2053=1,"Solteiro",N2053=1,"Juntos",O2053=1,"Viuvo")</f>
        <v>Juntos</v>
      </c>
      <c r="K2053" s="13">
        <v>0</v>
      </c>
      <c r="L2053" s="13">
        <v>0</v>
      </c>
      <c r="M2053" s="13">
        <v>0</v>
      </c>
      <c r="N2053" s="13">
        <v>1</v>
      </c>
      <c r="O2053" s="13">
        <v>0</v>
      </c>
      <c r="P2053" s="13">
        <v>1</v>
      </c>
      <c r="Q2053" s="13">
        <v>0</v>
      </c>
      <c r="R2053" s="13">
        <v>0</v>
      </c>
      <c r="S2053" s="13">
        <v>0</v>
      </c>
      <c r="T2053" s="13">
        <v>0</v>
      </c>
      <c r="U2053" s="13">
        <v>9</v>
      </c>
      <c r="V2053" s="13" t="str" cm="1">
        <f t="array" ref="V2053">_xlfn.IFS(U2053&lt;=250,"0-R$250",U2053&lt;=500,"251-R$500",U2053&lt;=750,"501-R$750",U2053&lt;=1000,"751-R$1000",U2053&lt;=1250,"1001-R$1250",U2053&lt;=1500,"1251-R$1500")</f>
        <v>0-R$250</v>
      </c>
      <c r="W2053" s="13">
        <v>1</v>
      </c>
      <c r="X2053" s="13" t="str" cm="1">
        <f t="array" ref="X2053">_xlfn.IFS(W2053 = 0, "0", W2053&lt;=20, "até R$20",W2053&lt;=40, "21 - R$40",W2053&lt;=60, "41- R$60",W2053&lt;=80, "61 - R$80", W2053&lt;=100, "81 - R$100",W2053&lt;=120, "101 - R$120",W2053&lt;=140, "121 - R$140", W2053&lt;=160, "141- R$160", W2053&lt;=180, "161 - R$180", W2053&lt;=200, "181-R$194")</f>
        <v>até R$20</v>
      </c>
      <c r="Y2053" s="13">
        <v>7</v>
      </c>
      <c r="Z2053" s="13">
        <v>0</v>
      </c>
      <c r="AA2053" s="13">
        <v>3</v>
      </c>
      <c r="AB2053" s="13">
        <v>2</v>
      </c>
      <c r="AC2053" s="13">
        <v>2</v>
      </c>
      <c r="AD2053" s="13">
        <v>1</v>
      </c>
      <c r="AE2053" s="13">
        <v>0</v>
      </c>
      <c r="AF2053" s="13">
        <v>3</v>
      </c>
      <c r="AG2053" s="13">
        <v>7</v>
      </c>
      <c r="AH2053" s="13">
        <v>0</v>
      </c>
      <c r="AI2053" s="13">
        <v>0</v>
      </c>
      <c r="AJ2053" s="13">
        <v>0</v>
      </c>
      <c r="AK2053" s="13">
        <v>0</v>
      </c>
      <c r="AL2053" s="13">
        <v>0</v>
      </c>
      <c r="AM2053" s="13">
        <v>0</v>
      </c>
      <c r="AN2053" s="13">
        <v>0</v>
      </c>
      <c r="AO2053" s="14">
        <v>0</v>
      </c>
      <c r="AP2053" s="13">
        <v>3</v>
      </c>
      <c r="AQ2053" s="13">
        <v>11</v>
      </c>
      <c r="AR2053" s="15">
        <v>18</v>
      </c>
      <c r="AS2053" s="15">
        <v>20</v>
      </c>
    </row>
    <row r="2054" spans="1:45" x14ac:dyDescent="0.25">
      <c r="A2054">
        <v>1069</v>
      </c>
      <c r="B2054" s="11">
        <f t="shared" si="32"/>
        <v>43776</v>
      </c>
      <c r="C2054" s="16">
        <v>437760</v>
      </c>
      <c r="D2054" s="17">
        <v>1</v>
      </c>
      <c r="E2054" s="17">
        <v>0</v>
      </c>
      <c r="F2054" s="17">
        <v>77</v>
      </c>
      <c r="G2054" s="17">
        <v>37</v>
      </c>
      <c r="H2054" s="13" t="str" cm="1">
        <f t="array" ref="H2054">_xlfn.IFS(G2054&lt;=20,"0-20",G2054&lt;=30,"20-30",G2054&lt;=40,"30-40",G2054&lt;=50,"50-60",G2054&lt;=60,"60-70",G2054&lt;=70,"70-80",G2054&lt;=80,"80-90")</f>
        <v>30-40</v>
      </c>
      <c r="I2054" s="17">
        <v>2216</v>
      </c>
      <c r="J2054" s="13" t="str" cm="1">
        <f t="array" ref="J2054">_xlfn.IFS(K2054=1,"Divorciado",L2054=1,"Casado",M2054=1,"Solteiro",N2054=1,"Juntos",O2054=1,"Viuvo")</f>
        <v>Juntos</v>
      </c>
      <c r="K2054" s="17">
        <v>0</v>
      </c>
      <c r="L2054" s="17">
        <v>0</v>
      </c>
      <c r="M2054" s="17">
        <v>0</v>
      </c>
      <c r="N2054" s="17">
        <v>1</v>
      </c>
      <c r="O2054" s="17">
        <v>0</v>
      </c>
      <c r="P2054" s="17">
        <v>0</v>
      </c>
      <c r="Q2054" s="17">
        <v>0</v>
      </c>
      <c r="R2054" s="17">
        <v>1</v>
      </c>
      <c r="S2054" s="17">
        <v>0</v>
      </c>
      <c r="T2054" s="17">
        <v>0</v>
      </c>
      <c r="U2054" s="17">
        <v>8</v>
      </c>
      <c r="V2054" s="13" t="str" cm="1">
        <f t="array" ref="V2054">_xlfn.IFS(U2054&lt;=250,"0-R$250",U2054&lt;=500,"251-R$500",U2054&lt;=750,"501-R$750",U2054&lt;=1000,"751-R$1000",U2054&lt;=1250,"1001-R$1250",U2054&lt;=1500,"1251-R$1500")</f>
        <v>0-R$250</v>
      </c>
      <c r="W2054" s="17">
        <v>0</v>
      </c>
      <c r="X2054" s="13" t="str" cm="1">
        <f t="array" ref="X2054">_xlfn.IFS(W2054 = 0, "0", W2054&lt;=20, "até R$20",W2054&lt;=40, "21 - R$40",W2054&lt;=60, "41- R$60",W2054&lt;=80, "61 - R$80", W2054&lt;=100, "81 - R$100",W2054&lt;=120, "101 - R$120",W2054&lt;=140, "121 - R$140", W2054&lt;=160, "141- R$160", W2054&lt;=180, "161 - R$180", W2054&lt;=200, "181-R$194")</f>
        <v>0</v>
      </c>
      <c r="Y2054" s="17">
        <v>9</v>
      </c>
      <c r="Z2054" s="17">
        <v>2</v>
      </c>
      <c r="AA2054" s="17">
        <v>1</v>
      </c>
      <c r="AB2054" s="17">
        <v>3</v>
      </c>
      <c r="AC2054" s="17">
        <v>1</v>
      </c>
      <c r="AD2054" s="17">
        <v>1</v>
      </c>
      <c r="AE2054" s="17">
        <v>0</v>
      </c>
      <c r="AF2054" s="17">
        <v>2</v>
      </c>
      <c r="AG2054" s="17">
        <v>6</v>
      </c>
      <c r="AH2054" s="17">
        <v>0</v>
      </c>
      <c r="AI2054" s="17">
        <v>0</v>
      </c>
      <c r="AJ2054" s="17">
        <v>0</v>
      </c>
      <c r="AK2054" s="17">
        <v>0</v>
      </c>
      <c r="AL2054" s="17">
        <v>0</v>
      </c>
      <c r="AM2054" s="17">
        <v>0</v>
      </c>
      <c r="AN2054" s="17">
        <v>0</v>
      </c>
      <c r="AO2054" s="18">
        <v>0</v>
      </c>
      <c r="AP2054" s="17">
        <v>3</v>
      </c>
      <c r="AQ2054" s="17">
        <v>11</v>
      </c>
      <c r="AR2054" s="19">
        <v>17</v>
      </c>
      <c r="AS2054" s="19">
        <v>20</v>
      </c>
    </row>
    <row r="2055" spans="1:45" x14ac:dyDescent="0.25">
      <c r="A2055">
        <v>1257</v>
      </c>
      <c r="B2055" s="11">
        <f t="shared" si="32"/>
        <v>37368</v>
      </c>
      <c r="C2055" s="16">
        <v>373680</v>
      </c>
      <c r="D2055" s="17">
        <v>1</v>
      </c>
      <c r="E2055" s="17">
        <v>0</v>
      </c>
      <c r="F2055" s="17">
        <v>4</v>
      </c>
      <c r="G2055" s="17">
        <v>45</v>
      </c>
      <c r="H2055" s="13" t="str" cm="1">
        <f t="array" ref="H2055">_xlfn.IFS(G2055&lt;=20,"0-20",G2055&lt;=30,"20-30",G2055&lt;=40,"30-40",G2055&lt;=50,"50-60",G2055&lt;=60,"60-70",G2055&lt;=70,"70-80",G2055&lt;=80,"80-90")</f>
        <v>50-60</v>
      </c>
      <c r="I2055" s="17">
        <v>2354</v>
      </c>
      <c r="J2055" s="13" t="str" cm="1">
        <f t="array" ref="J2055">_xlfn.IFS(K2055=1,"Divorciado",L2055=1,"Casado",M2055=1,"Solteiro",N2055=1,"Juntos",O2055=1,"Viuvo")</f>
        <v>Casado</v>
      </c>
      <c r="K2055" s="17">
        <v>0</v>
      </c>
      <c r="L2055" s="17">
        <v>1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1</v>
      </c>
      <c r="T2055" s="17">
        <v>0</v>
      </c>
      <c r="U2055" s="17">
        <v>3</v>
      </c>
      <c r="V2055" s="13" t="str" cm="1">
        <f t="array" ref="V2055">_xlfn.IFS(U2055&lt;=250,"0-R$250",U2055&lt;=500,"251-R$500",U2055&lt;=750,"501-R$750",U2055&lt;=1000,"751-R$1000",U2055&lt;=1250,"1001-R$1250",U2055&lt;=1500,"1251-R$1500")</f>
        <v>0-R$250</v>
      </c>
      <c r="W2055" s="17">
        <v>2</v>
      </c>
      <c r="X2055" s="13" t="str" cm="1">
        <f t="array" ref="X2055">_xlfn.IFS(W2055 = 0, "0", W2055&lt;=20, "até R$20",W2055&lt;=40, "21 - R$40",W2055&lt;=60, "41- R$60",W2055&lt;=80, "61 - R$80", W2055&lt;=100, "81 - R$100",W2055&lt;=120, "101 - R$120",W2055&lt;=140, "121 - R$140", W2055&lt;=160, "141- R$160", W2055&lt;=180, "161 - R$180", W2055&lt;=200, "181-R$194")</f>
        <v>até R$20</v>
      </c>
      <c r="Y2055" s="17">
        <v>11</v>
      </c>
      <c r="Z2055" s="17">
        <v>2</v>
      </c>
      <c r="AA2055" s="17">
        <v>2</v>
      </c>
      <c r="AB2055" s="17">
        <v>10</v>
      </c>
      <c r="AC2055" s="17">
        <v>1</v>
      </c>
      <c r="AD2055" s="17">
        <v>1</v>
      </c>
      <c r="AE2055" s="17">
        <v>0</v>
      </c>
      <c r="AF2055" s="17">
        <v>2</v>
      </c>
      <c r="AG2055" s="17">
        <v>6</v>
      </c>
      <c r="AH2055" s="17">
        <v>0</v>
      </c>
      <c r="AI2055" s="17">
        <v>1</v>
      </c>
      <c r="AJ2055" s="17">
        <v>0</v>
      </c>
      <c r="AK2055" s="17">
        <v>0</v>
      </c>
      <c r="AL2055" s="17">
        <v>0</v>
      </c>
      <c r="AM2055" s="17">
        <v>0</v>
      </c>
      <c r="AN2055" s="17">
        <v>0</v>
      </c>
      <c r="AO2055" s="18">
        <v>1</v>
      </c>
      <c r="AP2055" s="17">
        <v>3</v>
      </c>
      <c r="AQ2055" s="17">
        <v>11</v>
      </c>
      <c r="AR2055" s="19">
        <v>10</v>
      </c>
      <c r="AS2055" s="19">
        <v>20</v>
      </c>
    </row>
    <row r="2056" spans="1:45" x14ac:dyDescent="0.25">
      <c r="A2056">
        <v>1363</v>
      </c>
      <c r="B2056" s="11">
        <f t="shared" si="32"/>
        <v>26907</v>
      </c>
      <c r="C2056" s="16">
        <v>269070</v>
      </c>
      <c r="D2056" s="17">
        <v>1</v>
      </c>
      <c r="E2056" s="17">
        <v>1</v>
      </c>
      <c r="F2056" s="17">
        <v>10</v>
      </c>
      <c r="G2056" s="17">
        <v>44</v>
      </c>
      <c r="H2056" s="13" t="str" cm="1">
        <f t="array" ref="H2056">_xlfn.IFS(G2056&lt;=20,"0-20",G2056&lt;=30,"20-30",G2056&lt;=40,"30-40",G2056&lt;=50,"50-60",G2056&lt;=60,"60-70",G2056&lt;=70,"70-80",G2056&lt;=80,"80-90")</f>
        <v>50-60</v>
      </c>
      <c r="I2056" s="17">
        <v>2472</v>
      </c>
      <c r="J2056" s="13" t="str" cm="1">
        <f t="array" ref="J2056">_xlfn.IFS(K2056=1,"Divorciado",L2056=1,"Casado",M2056=1,"Solteiro",N2056=1,"Juntos",O2056=1,"Viuvo")</f>
        <v>Juntos</v>
      </c>
      <c r="K2056" s="17">
        <v>0</v>
      </c>
      <c r="L2056" s="17">
        <v>0</v>
      </c>
      <c r="M2056" s="17">
        <v>0</v>
      </c>
      <c r="N2056" s="17">
        <v>1</v>
      </c>
      <c r="O2056" s="17">
        <v>0</v>
      </c>
      <c r="P2056" s="17">
        <v>1</v>
      </c>
      <c r="Q2056" s="17">
        <v>0</v>
      </c>
      <c r="R2056" s="17">
        <v>0</v>
      </c>
      <c r="S2056" s="17">
        <v>0</v>
      </c>
      <c r="T2056" s="17">
        <v>0</v>
      </c>
      <c r="U2056" s="17">
        <v>9</v>
      </c>
      <c r="V2056" s="13" t="str" cm="1">
        <f t="array" ref="V2056">_xlfn.IFS(U2056&lt;=250,"0-R$250",U2056&lt;=500,"251-R$500",U2056&lt;=750,"501-R$750",U2056&lt;=1000,"751-R$1000",U2056&lt;=1250,"1001-R$1250",U2056&lt;=1500,"1251-R$1500")</f>
        <v>0-R$250</v>
      </c>
      <c r="W2056" s="17">
        <v>1</v>
      </c>
      <c r="X2056" s="13" t="str" cm="1">
        <f t="array" ref="X2056">_xlfn.IFS(W2056 = 0, "0", W2056&lt;=20, "até R$20",W2056&lt;=40, "21 - R$40",W2056&lt;=60, "41- R$60",W2056&lt;=80, "61 - R$80", W2056&lt;=100, "81 - R$100",W2056&lt;=120, "101 - R$120",W2056&lt;=140, "121 - R$140", W2056&lt;=160, "141- R$160", W2056&lt;=180, "161 - R$180", W2056&lt;=200, "181-R$194")</f>
        <v>até R$20</v>
      </c>
      <c r="Y2056" s="17">
        <v>7</v>
      </c>
      <c r="Z2056" s="17">
        <v>0</v>
      </c>
      <c r="AA2056" s="17">
        <v>3</v>
      </c>
      <c r="AB2056" s="17">
        <v>2</v>
      </c>
      <c r="AC2056" s="17">
        <v>2</v>
      </c>
      <c r="AD2056" s="17">
        <v>1</v>
      </c>
      <c r="AE2056" s="17">
        <v>0</v>
      </c>
      <c r="AF2056" s="17">
        <v>3</v>
      </c>
      <c r="AG2056" s="17">
        <v>7</v>
      </c>
      <c r="AH2056" s="17">
        <v>0</v>
      </c>
      <c r="AI2056" s="17">
        <v>0</v>
      </c>
      <c r="AJ2056" s="17">
        <v>0</v>
      </c>
      <c r="AK2056" s="17">
        <v>0</v>
      </c>
      <c r="AL2056" s="17">
        <v>0</v>
      </c>
      <c r="AM2056" s="17">
        <v>0</v>
      </c>
      <c r="AN2056" s="17">
        <v>0</v>
      </c>
      <c r="AO2056" s="18">
        <v>0</v>
      </c>
      <c r="AP2056" s="17">
        <v>3</v>
      </c>
      <c r="AQ2056" s="17">
        <v>11</v>
      </c>
      <c r="AR2056" s="19">
        <v>18</v>
      </c>
      <c r="AS2056" s="19">
        <v>20</v>
      </c>
    </row>
    <row r="2057" spans="1:45" x14ac:dyDescent="0.25">
      <c r="A2057">
        <v>1370</v>
      </c>
      <c r="B2057" s="11">
        <f t="shared" si="32"/>
        <v>29791</v>
      </c>
      <c r="C2057" s="12">
        <v>297910</v>
      </c>
      <c r="D2057" s="13">
        <v>1</v>
      </c>
      <c r="E2057" s="13">
        <v>0</v>
      </c>
      <c r="F2057" s="13">
        <v>21</v>
      </c>
      <c r="G2057" s="13">
        <v>48</v>
      </c>
      <c r="H2057" s="13" t="str" cm="1">
        <f t="array" ref="H2057">_xlfn.IFS(G2057&lt;=20,"0-20",G2057&lt;=30,"20-30",G2057&lt;=40,"30-40",G2057&lt;=50,"50-60",G2057&lt;=60,"60-70",G2057&lt;=70,"70-80",G2057&lt;=80,"80-90")</f>
        <v>50-60</v>
      </c>
      <c r="I2057" s="13">
        <v>2204</v>
      </c>
      <c r="J2057" s="13" t="str" cm="1">
        <f t="array" ref="J2057">_xlfn.IFS(K2057=1,"Divorciado",L2057=1,"Casado",M2057=1,"Solteiro",N2057=1,"Juntos",O2057=1,"Viuvo")</f>
        <v>Casado</v>
      </c>
      <c r="K2057" s="13">
        <v>0</v>
      </c>
      <c r="L2057" s="13">
        <v>1</v>
      </c>
      <c r="M2057" s="13">
        <v>0</v>
      </c>
      <c r="N2057" s="13">
        <v>0</v>
      </c>
      <c r="O2057" s="13">
        <v>0</v>
      </c>
      <c r="P2057" s="13">
        <v>0</v>
      </c>
      <c r="Q2057" s="13">
        <v>0</v>
      </c>
      <c r="R2057" s="13">
        <v>0</v>
      </c>
      <c r="S2057" s="13">
        <v>0</v>
      </c>
      <c r="T2057" s="13">
        <v>1</v>
      </c>
      <c r="U2057" s="13">
        <v>14</v>
      </c>
      <c r="V2057" s="13" t="str" cm="1">
        <f t="array" ref="V2057">_xlfn.IFS(U2057&lt;=250,"0-R$250",U2057&lt;=500,"251-R$500",U2057&lt;=750,"501-R$750",U2057&lt;=1000,"751-R$1000",U2057&lt;=1250,"1001-R$1250",U2057&lt;=1500,"1251-R$1500")</f>
        <v>0-R$250</v>
      </c>
      <c r="W2057" s="13">
        <v>0</v>
      </c>
      <c r="X2057" s="13" t="str" cm="1">
        <f t="array" ref="X2057">_xlfn.IFS(W2057 = 0, "0", W2057&lt;=20, "até R$20",W2057&lt;=40, "21 - R$40",W2057&lt;=60, "41- R$60",W2057&lt;=80, "61 - R$80", W2057&lt;=100, "81 - R$100",W2057&lt;=120, "101 - R$120",W2057&lt;=140, "121 - R$140", W2057&lt;=160, "141- R$160", W2057&lt;=180, "161 - R$180", W2057&lt;=200, "181-R$194")</f>
        <v>0</v>
      </c>
      <c r="Y2057" s="13">
        <v>6</v>
      </c>
      <c r="Z2057" s="13">
        <v>0</v>
      </c>
      <c r="AA2057" s="13">
        <v>0</v>
      </c>
      <c r="AB2057" s="13">
        <v>0</v>
      </c>
      <c r="AC2057" s="13">
        <v>2</v>
      </c>
      <c r="AD2057" s="13">
        <v>2</v>
      </c>
      <c r="AE2057" s="13">
        <v>0</v>
      </c>
      <c r="AF2057" s="13">
        <v>3</v>
      </c>
      <c r="AG2057" s="13">
        <v>5</v>
      </c>
      <c r="AH2057" s="13">
        <v>0</v>
      </c>
      <c r="AI2057" s="13">
        <v>0</v>
      </c>
      <c r="AJ2057" s="13">
        <v>0</v>
      </c>
      <c r="AK2057" s="13">
        <v>0</v>
      </c>
      <c r="AL2057" s="13">
        <v>0</v>
      </c>
      <c r="AM2057" s="13">
        <v>0</v>
      </c>
      <c r="AN2057" s="13">
        <v>0</v>
      </c>
      <c r="AO2057" s="14">
        <v>0</v>
      </c>
      <c r="AP2057" s="13">
        <v>3</v>
      </c>
      <c r="AQ2057" s="13">
        <v>11</v>
      </c>
      <c r="AR2057" s="15">
        <v>20</v>
      </c>
      <c r="AS2057" s="15">
        <v>20</v>
      </c>
    </row>
    <row r="2058" spans="1:45" x14ac:dyDescent="0.25">
      <c r="A2058">
        <v>1413</v>
      </c>
      <c r="B2058" s="11">
        <f t="shared" si="32"/>
        <v>20491</v>
      </c>
      <c r="C2058" s="16">
        <v>204910</v>
      </c>
      <c r="D2058" s="17">
        <v>0</v>
      </c>
      <c r="E2058" s="17">
        <v>0</v>
      </c>
      <c r="F2058" s="17">
        <v>16</v>
      </c>
      <c r="G2058" s="17">
        <v>34</v>
      </c>
      <c r="H2058" s="13" t="str" cm="1">
        <f t="array" ref="H2058">_xlfn.IFS(G2058&lt;=20,"0-20",G2058&lt;=30,"20-30",G2058&lt;=40,"30-40",G2058&lt;=50,"50-60",G2058&lt;=60,"60-70",G2058&lt;=70,"70-80",G2058&lt;=80,"80-90")</f>
        <v>30-40</v>
      </c>
      <c r="I2058" s="17">
        <v>2679</v>
      </c>
      <c r="J2058" s="13" t="str" cm="1">
        <f t="array" ref="J2058">_xlfn.IFS(K2058=1,"Divorciado",L2058=1,"Casado",M2058=1,"Solteiro",N2058=1,"Juntos",O2058=1,"Viuvo")</f>
        <v>Juntos</v>
      </c>
      <c r="K2058" s="17">
        <v>0</v>
      </c>
      <c r="L2058" s="17">
        <v>0</v>
      </c>
      <c r="M2058" s="17">
        <v>0</v>
      </c>
      <c r="N2058" s="17">
        <v>1</v>
      </c>
      <c r="O2058" s="17">
        <v>0</v>
      </c>
      <c r="P2058" s="17">
        <v>1</v>
      </c>
      <c r="Q2058" s="17">
        <v>0</v>
      </c>
      <c r="R2058" s="17">
        <v>0</v>
      </c>
      <c r="S2058" s="17">
        <v>0</v>
      </c>
      <c r="T2058" s="17">
        <v>0</v>
      </c>
      <c r="U2058" s="17">
        <v>5</v>
      </c>
      <c r="V2058" s="13" t="str" cm="1">
        <f t="array" ref="V2058">_xlfn.IFS(U2058&lt;=250,"0-R$250",U2058&lt;=500,"251-R$500",U2058&lt;=750,"501-R$750",U2058&lt;=1000,"751-R$1000",U2058&lt;=1250,"1001-R$1250",U2058&lt;=1500,"1251-R$1500")</f>
        <v>0-R$250</v>
      </c>
      <c r="W2058" s="17">
        <v>4</v>
      </c>
      <c r="X2058" s="13" t="str" cm="1">
        <f t="array" ref="X2058">_xlfn.IFS(W2058 = 0, "0", W2058&lt;=20, "até R$20",W2058&lt;=40, "21 - R$40",W2058&lt;=60, "41- R$60",W2058&lt;=80, "61 - R$80", W2058&lt;=100, "81 - R$100",W2058&lt;=120, "101 - R$120",W2058&lt;=140, "121 - R$140", W2058&lt;=160, "141- R$160", W2058&lt;=180, "161 - R$180", W2058&lt;=200, "181-R$194")</f>
        <v>até R$20</v>
      </c>
      <c r="Y2058" s="17">
        <v>5</v>
      </c>
      <c r="Z2058" s="17">
        <v>4</v>
      </c>
      <c r="AA2058" s="17">
        <v>2</v>
      </c>
      <c r="AB2058" s="17">
        <v>10</v>
      </c>
      <c r="AC2058" s="17">
        <v>1</v>
      </c>
      <c r="AD2058" s="17">
        <v>0</v>
      </c>
      <c r="AE2058" s="17">
        <v>1</v>
      </c>
      <c r="AF2058" s="17">
        <v>2</v>
      </c>
      <c r="AG2058" s="17">
        <v>7</v>
      </c>
      <c r="AH2058" s="17">
        <v>0</v>
      </c>
      <c r="AI2058" s="17">
        <v>0</v>
      </c>
      <c r="AJ2058" s="17">
        <v>0</v>
      </c>
      <c r="AK2058" s="17">
        <v>0</v>
      </c>
      <c r="AL2058" s="17">
        <v>0</v>
      </c>
      <c r="AM2058" s="17">
        <v>0</v>
      </c>
      <c r="AN2058" s="17">
        <v>0</v>
      </c>
      <c r="AO2058" s="18">
        <v>0</v>
      </c>
      <c r="AP2058" s="17">
        <v>3</v>
      </c>
      <c r="AQ2058" s="17">
        <v>11</v>
      </c>
      <c r="AR2058" s="19">
        <v>10</v>
      </c>
      <c r="AS2058" s="19">
        <v>20</v>
      </c>
    </row>
    <row r="2059" spans="1:45" x14ac:dyDescent="0.25">
      <c r="A2059">
        <v>1531</v>
      </c>
      <c r="B2059" s="11">
        <f t="shared" si="32"/>
        <v>37054</v>
      </c>
      <c r="C2059" s="16">
        <v>370540</v>
      </c>
      <c r="D2059" s="17">
        <v>1</v>
      </c>
      <c r="E2059" s="17">
        <v>1</v>
      </c>
      <c r="F2059" s="17">
        <v>89</v>
      </c>
      <c r="G2059" s="17">
        <v>53</v>
      </c>
      <c r="H2059" s="13" t="str" cm="1">
        <f t="array" ref="H2059">_xlfn.IFS(G2059&lt;=20,"0-20",G2059&lt;=30,"20-30",G2059&lt;=40,"30-40",G2059&lt;=50,"50-60",G2059&lt;=60,"60-70",G2059&lt;=70,"70-80",G2059&lt;=80,"80-90")</f>
        <v>60-70</v>
      </c>
      <c r="I2059" s="17">
        <v>2446</v>
      </c>
      <c r="J2059" s="13" t="str" cm="1">
        <f t="array" ref="J2059">_xlfn.IFS(K2059=1,"Divorciado",L2059=1,"Casado",M2059=1,"Solteiro",N2059=1,"Juntos",O2059=1,"Viuvo")</f>
        <v>Casado</v>
      </c>
      <c r="K2059" s="17">
        <v>0</v>
      </c>
      <c r="L2059" s="17">
        <v>1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1</v>
      </c>
      <c r="T2059" s="17">
        <v>0</v>
      </c>
      <c r="U2059" s="17">
        <v>12</v>
      </c>
      <c r="V2059" s="13" t="str" cm="1">
        <f t="array" ref="V2059">_xlfn.IFS(U2059&lt;=250,"0-R$250",U2059&lt;=500,"251-R$500",U2059&lt;=750,"501-R$750",U2059&lt;=1000,"751-R$1000",U2059&lt;=1250,"1001-R$1250",U2059&lt;=1500,"1251-R$1500")</f>
        <v>0-R$250</v>
      </c>
      <c r="W2059" s="17">
        <v>1</v>
      </c>
      <c r="X2059" s="13" t="str" cm="1">
        <f t="array" ref="X2059">_xlfn.IFS(W2059 = 0, "0", W2059&lt;=20, "até R$20",W2059&lt;=40, "21 - R$40",W2059&lt;=60, "41- R$60",W2059&lt;=80, "61 - R$80", W2059&lt;=100, "81 - R$100",W2059&lt;=120, "101 - R$120",W2059&lt;=140, "121 - R$140", W2059&lt;=160, "141- R$160", W2059&lt;=180, "161 - R$180", W2059&lt;=200, "181-R$194")</f>
        <v>até R$20</v>
      </c>
      <c r="Y2059" s="17">
        <v>6</v>
      </c>
      <c r="Z2059" s="17">
        <v>0</v>
      </c>
      <c r="AA2059" s="17">
        <v>1</v>
      </c>
      <c r="AB2059" s="17">
        <v>5</v>
      </c>
      <c r="AC2059" s="17">
        <v>2</v>
      </c>
      <c r="AD2059" s="17">
        <v>1</v>
      </c>
      <c r="AE2059" s="17">
        <v>0</v>
      </c>
      <c r="AF2059" s="17">
        <v>3</v>
      </c>
      <c r="AG2059" s="17">
        <v>7</v>
      </c>
      <c r="AH2059" s="17">
        <v>0</v>
      </c>
      <c r="AI2059" s="17">
        <v>0</v>
      </c>
      <c r="AJ2059" s="17">
        <v>0</v>
      </c>
      <c r="AK2059" s="17">
        <v>0</v>
      </c>
      <c r="AL2059" s="17">
        <v>0</v>
      </c>
      <c r="AM2059" s="17">
        <v>0</v>
      </c>
      <c r="AN2059" s="17">
        <v>0</v>
      </c>
      <c r="AO2059" s="18">
        <v>0</v>
      </c>
      <c r="AP2059" s="17">
        <v>3</v>
      </c>
      <c r="AQ2059" s="17">
        <v>11</v>
      </c>
      <c r="AR2059" s="19">
        <v>15</v>
      </c>
      <c r="AS2059" s="19">
        <v>20</v>
      </c>
    </row>
    <row r="2060" spans="1:45" x14ac:dyDescent="0.25">
      <c r="A2060">
        <v>1619</v>
      </c>
      <c r="B2060" s="11">
        <f t="shared" si="32"/>
        <v>24594</v>
      </c>
      <c r="C2060" s="16">
        <v>245940</v>
      </c>
      <c r="D2060" s="17">
        <v>1</v>
      </c>
      <c r="E2060" s="17">
        <v>0</v>
      </c>
      <c r="F2060" s="17">
        <v>94</v>
      </c>
      <c r="G2060" s="17">
        <v>41</v>
      </c>
      <c r="H2060" s="13" t="str" cm="1">
        <f t="array" ref="H2060">_xlfn.IFS(G2060&lt;=20,"0-20",G2060&lt;=30,"20-30",G2060&lt;=40,"30-40",G2060&lt;=50,"50-60",G2060&lt;=60,"60-70",G2060&lt;=70,"70-80",G2060&lt;=80,"80-90")</f>
        <v>50-60</v>
      </c>
      <c r="I2060" s="17">
        <v>2360</v>
      </c>
      <c r="J2060" s="13" t="str" cm="1">
        <f t="array" ref="J2060">_xlfn.IFS(K2060=1,"Divorciado",L2060=1,"Casado",M2060=1,"Solteiro",N2060=1,"Juntos",O2060=1,"Viuvo")</f>
        <v>Juntos</v>
      </c>
      <c r="K2060" s="17">
        <v>0</v>
      </c>
      <c r="L2060" s="17">
        <v>0</v>
      </c>
      <c r="M2060" s="17">
        <v>0</v>
      </c>
      <c r="N2060" s="17">
        <v>1</v>
      </c>
      <c r="O2060" s="17">
        <v>0</v>
      </c>
      <c r="P2060" s="17">
        <v>0</v>
      </c>
      <c r="Q2060" s="17">
        <v>1</v>
      </c>
      <c r="R2060" s="17">
        <v>0</v>
      </c>
      <c r="S2060" s="17">
        <v>0</v>
      </c>
      <c r="T2060" s="17">
        <v>0</v>
      </c>
      <c r="U2060" s="17">
        <v>1</v>
      </c>
      <c r="V2060" s="13" t="str" cm="1">
        <f t="array" ref="V2060">_xlfn.IFS(U2060&lt;=250,"0-R$250",U2060&lt;=500,"251-R$500",U2060&lt;=750,"501-R$750",U2060&lt;=1000,"751-R$1000",U2060&lt;=1250,"1001-R$1250",U2060&lt;=1500,"1251-R$1500")</f>
        <v>0-R$250</v>
      </c>
      <c r="W2060" s="17">
        <v>3</v>
      </c>
      <c r="X2060" s="13" t="str" cm="1">
        <f t="array" ref="X2060">_xlfn.IFS(W2060 = 0, "0", W2060&lt;=20, "até R$20",W2060&lt;=40, "21 - R$40",W2060&lt;=60, "41- R$60",W2060&lt;=80, "61 - R$80", W2060&lt;=100, "81 - R$100",W2060&lt;=120, "101 - R$120",W2060&lt;=140, "121 - R$140", W2060&lt;=160, "141- R$160", W2060&lt;=180, "161 - R$180", W2060&lt;=200, "181-R$194")</f>
        <v>até R$20</v>
      </c>
      <c r="Y2060" s="17">
        <v>6</v>
      </c>
      <c r="Z2060" s="17">
        <v>10</v>
      </c>
      <c r="AA2060" s="17">
        <v>0</v>
      </c>
      <c r="AB2060" s="17">
        <v>9</v>
      </c>
      <c r="AC2060" s="17">
        <v>1</v>
      </c>
      <c r="AD2060" s="17">
        <v>1</v>
      </c>
      <c r="AE2060" s="17">
        <v>0</v>
      </c>
      <c r="AF2060" s="17">
        <v>3</v>
      </c>
      <c r="AG2060" s="17">
        <v>5</v>
      </c>
      <c r="AH2060" s="17">
        <v>0</v>
      </c>
      <c r="AI2060" s="17">
        <v>0</v>
      </c>
      <c r="AJ2060" s="17">
        <v>0</v>
      </c>
      <c r="AK2060" s="17">
        <v>0</v>
      </c>
      <c r="AL2060" s="17">
        <v>0</v>
      </c>
      <c r="AM2060" s="17">
        <v>0</v>
      </c>
      <c r="AN2060" s="17">
        <v>0</v>
      </c>
      <c r="AO2060" s="18">
        <v>0</v>
      </c>
      <c r="AP2060" s="17">
        <v>3</v>
      </c>
      <c r="AQ2060" s="17">
        <v>11</v>
      </c>
      <c r="AR2060" s="19">
        <v>11</v>
      </c>
      <c r="AS2060" s="19">
        <v>20</v>
      </c>
    </row>
    <row r="2061" spans="1:45" x14ac:dyDescent="0.25">
      <c r="A2061">
        <v>1721</v>
      </c>
      <c r="B2061" s="11">
        <f t="shared" si="32"/>
        <v>28389</v>
      </c>
      <c r="C2061" s="16">
        <v>283890</v>
      </c>
      <c r="D2061" s="17">
        <v>0</v>
      </c>
      <c r="E2061" s="17">
        <v>0</v>
      </c>
      <c r="F2061" s="17">
        <v>49</v>
      </c>
      <c r="G2061" s="17">
        <v>73</v>
      </c>
      <c r="H2061" s="13" t="str" cm="1">
        <f t="array" ref="H2061">_xlfn.IFS(G2061&lt;=20,"0-20",G2061&lt;=30,"20-30",G2061&lt;=40,"30-40",G2061&lt;=50,"50-60",G2061&lt;=60,"60-70",G2061&lt;=70,"70-80",G2061&lt;=80,"80-90")</f>
        <v>80-90</v>
      </c>
      <c r="I2061" s="17">
        <v>2745</v>
      </c>
      <c r="J2061" s="13" t="str" cm="1">
        <f t="array" ref="J2061">_xlfn.IFS(K2061=1,"Divorciado",L2061=1,"Casado",M2061=1,"Solteiro",N2061=1,"Juntos",O2061=1,"Viuvo")</f>
        <v>Juntos</v>
      </c>
      <c r="K2061" s="17">
        <v>0</v>
      </c>
      <c r="L2061" s="17">
        <v>0</v>
      </c>
      <c r="M2061" s="17">
        <v>0</v>
      </c>
      <c r="N2061" s="17">
        <v>1</v>
      </c>
      <c r="O2061" s="17">
        <v>0</v>
      </c>
      <c r="P2061" s="17">
        <v>0</v>
      </c>
      <c r="Q2061" s="17">
        <v>1</v>
      </c>
      <c r="R2061" s="17">
        <v>0</v>
      </c>
      <c r="S2061" s="17">
        <v>0</v>
      </c>
      <c r="T2061" s="17">
        <v>0</v>
      </c>
      <c r="U2061" s="17">
        <v>1</v>
      </c>
      <c r="V2061" s="13" t="str" cm="1">
        <f t="array" ref="V2061">_xlfn.IFS(U2061&lt;=250,"0-R$250",U2061&lt;=500,"251-R$500",U2061&lt;=750,"501-R$750",U2061&lt;=1000,"751-R$1000",U2061&lt;=1250,"1001-R$1250",U2061&lt;=1500,"1251-R$1500")</f>
        <v>0-R$250</v>
      </c>
      <c r="W2061" s="17">
        <v>5</v>
      </c>
      <c r="X2061" s="13" t="str" cm="1">
        <f t="array" ref="X2061">_xlfn.IFS(W2061 = 0, "0", W2061&lt;=20, "até R$20",W2061&lt;=40, "21 - R$40",W2061&lt;=60, "41- R$60",W2061&lt;=80, "61 - R$80", W2061&lt;=100, "81 - R$100",W2061&lt;=120, "101 - R$120",W2061&lt;=140, "121 - R$140", W2061&lt;=160, "141- R$160", W2061&lt;=180, "161 - R$180", W2061&lt;=200, "181-R$194")</f>
        <v>até R$20</v>
      </c>
      <c r="Y2061" s="17">
        <v>3</v>
      </c>
      <c r="Z2061" s="17">
        <v>7</v>
      </c>
      <c r="AA2061" s="17">
        <v>4</v>
      </c>
      <c r="AB2061" s="17">
        <v>8</v>
      </c>
      <c r="AC2061" s="17">
        <v>1</v>
      </c>
      <c r="AD2061" s="17">
        <v>1</v>
      </c>
      <c r="AE2061" s="17">
        <v>0</v>
      </c>
      <c r="AF2061" s="17">
        <v>2</v>
      </c>
      <c r="AG2061" s="17">
        <v>7</v>
      </c>
      <c r="AH2061" s="17">
        <v>0</v>
      </c>
      <c r="AI2061" s="17">
        <v>0</v>
      </c>
      <c r="AJ2061" s="17">
        <v>0</v>
      </c>
      <c r="AK2061" s="17">
        <v>0</v>
      </c>
      <c r="AL2061" s="17">
        <v>0</v>
      </c>
      <c r="AM2061" s="17">
        <v>0</v>
      </c>
      <c r="AN2061" s="17">
        <v>0</v>
      </c>
      <c r="AO2061" s="18">
        <v>0</v>
      </c>
      <c r="AP2061" s="17">
        <v>3</v>
      </c>
      <c r="AQ2061" s="17">
        <v>11</v>
      </c>
      <c r="AR2061" s="19">
        <v>12</v>
      </c>
      <c r="AS2061" s="19">
        <v>20</v>
      </c>
    </row>
    <row r="2062" spans="1:45" x14ac:dyDescent="0.25">
      <c r="A2062">
        <v>1969</v>
      </c>
      <c r="B2062" s="11">
        <f t="shared" si="32"/>
        <v>13672</v>
      </c>
      <c r="C2062" s="16">
        <v>136720</v>
      </c>
      <c r="D2062" s="17">
        <v>1</v>
      </c>
      <c r="E2062" s="17">
        <v>1</v>
      </c>
      <c r="F2062" s="17">
        <v>86</v>
      </c>
      <c r="G2062" s="17">
        <v>60</v>
      </c>
      <c r="H2062" s="13" t="str" cm="1">
        <f t="array" ref="H2062">_xlfn.IFS(G2062&lt;=20,"0-20",G2062&lt;=30,"20-30",G2062&lt;=40,"30-40",G2062&lt;=50,"50-60",G2062&lt;=60,"60-70",G2062&lt;=70,"70-80",G2062&lt;=80,"80-90")</f>
        <v>60-70</v>
      </c>
      <c r="I2062" s="17">
        <v>2597</v>
      </c>
      <c r="J2062" s="13" t="str" cm="1">
        <f t="array" ref="J2062">_xlfn.IFS(K2062=1,"Divorciado",L2062=1,"Casado",M2062=1,"Solteiro",N2062=1,"Juntos",O2062=1,"Viuvo")</f>
        <v>Juntos</v>
      </c>
      <c r="K2062" s="17">
        <v>0</v>
      </c>
      <c r="L2062" s="17">
        <v>0</v>
      </c>
      <c r="M2062" s="17">
        <v>0</v>
      </c>
      <c r="N2062" s="17">
        <v>1</v>
      </c>
      <c r="O2062" s="17">
        <v>0</v>
      </c>
      <c r="P2062" s="17">
        <v>0</v>
      </c>
      <c r="Q2062" s="17">
        <v>0</v>
      </c>
      <c r="R2062" s="17">
        <v>1</v>
      </c>
      <c r="S2062" s="17">
        <v>0</v>
      </c>
      <c r="T2062" s="17">
        <v>0</v>
      </c>
      <c r="U2062" s="17">
        <v>6</v>
      </c>
      <c r="V2062" s="13" t="str" cm="1">
        <f t="array" ref="V2062">_xlfn.IFS(U2062&lt;=250,"0-R$250",U2062&lt;=500,"251-R$500",U2062&lt;=750,"501-R$750",U2062&lt;=1000,"751-R$1000",U2062&lt;=1250,"1001-R$1250",U2062&lt;=1500,"1251-R$1500")</f>
        <v>0-R$250</v>
      </c>
      <c r="W2062" s="17">
        <v>2</v>
      </c>
      <c r="X2062" s="13" t="str" cm="1">
        <f t="array" ref="X2062">_xlfn.IFS(W2062 = 0, "0", W2062&lt;=20, "até R$20",W2062&lt;=40, "21 - R$40",W2062&lt;=60, "41- R$60",W2062&lt;=80, "61 - R$80", W2062&lt;=100, "81 - R$100",W2062&lt;=120, "101 - R$120",W2062&lt;=140, "121 - R$140", W2062&lt;=160, "141- R$160", W2062&lt;=180, "161 - R$180", W2062&lt;=200, "181-R$194")</f>
        <v>até R$20</v>
      </c>
      <c r="Y2062" s="17">
        <v>9</v>
      </c>
      <c r="Z2062" s="17">
        <v>2</v>
      </c>
      <c r="AA2062" s="17">
        <v>1</v>
      </c>
      <c r="AB2062" s="17">
        <v>5</v>
      </c>
      <c r="AC2062" s="17">
        <v>2</v>
      </c>
      <c r="AD2062" s="17">
        <v>1</v>
      </c>
      <c r="AE2062" s="17">
        <v>0</v>
      </c>
      <c r="AF2062" s="17">
        <v>3</v>
      </c>
      <c r="AG2062" s="17">
        <v>8</v>
      </c>
      <c r="AH2062" s="17">
        <v>0</v>
      </c>
      <c r="AI2062" s="17">
        <v>0</v>
      </c>
      <c r="AJ2062" s="17">
        <v>0</v>
      </c>
      <c r="AK2062" s="17">
        <v>0</v>
      </c>
      <c r="AL2062" s="17">
        <v>0</v>
      </c>
      <c r="AM2062" s="17">
        <v>0</v>
      </c>
      <c r="AN2062" s="17">
        <v>0</v>
      </c>
      <c r="AO2062" s="18">
        <v>0</v>
      </c>
      <c r="AP2062" s="17">
        <v>3</v>
      </c>
      <c r="AQ2062" s="17">
        <v>11</v>
      </c>
      <c r="AR2062" s="19">
        <v>15</v>
      </c>
      <c r="AS2062" s="19">
        <v>20</v>
      </c>
    </row>
    <row r="2063" spans="1:45" x14ac:dyDescent="0.25">
      <c r="A2063">
        <v>2081</v>
      </c>
      <c r="B2063" s="11">
        <f t="shared" si="32"/>
        <v>34587</v>
      </c>
      <c r="C2063" s="16">
        <v>345870</v>
      </c>
      <c r="D2063" s="17">
        <v>1</v>
      </c>
      <c r="E2063" s="17">
        <v>1</v>
      </c>
      <c r="F2063" s="17">
        <v>68</v>
      </c>
      <c r="G2063" s="17">
        <v>67</v>
      </c>
      <c r="H2063" s="13" t="str" cm="1">
        <f t="array" ref="H2063">_xlfn.IFS(G2063&lt;=20,"0-20",G2063&lt;=30,"20-30",G2063&lt;=40,"30-40",G2063&lt;=50,"50-60",G2063&lt;=60,"60-70",G2063&lt;=70,"70-80",G2063&lt;=80,"80-90")</f>
        <v>70-80</v>
      </c>
      <c r="I2063" s="17">
        <v>2203</v>
      </c>
      <c r="J2063" s="13" t="str" cm="1">
        <f t="array" ref="J2063">_xlfn.IFS(K2063=1,"Divorciado",L2063=1,"Casado",M2063=1,"Solteiro",N2063=1,"Juntos",O2063=1,"Viuvo")</f>
        <v>Juntos</v>
      </c>
      <c r="K2063" s="17">
        <v>0</v>
      </c>
      <c r="L2063" s="17">
        <v>0</v>
      </c>
      <c r="M2063" s="17">
        <v>0</v>
      </c>
      <c r="N2063" s="17">
        <v>1</v>
      </c>
      <c r="O2063" s="17">
        <v>0</v>
      </c>
      <c r="P2063" s="17">
        <v>0</v>
      </c>
      <c r="Q2063" s="17">
        <v>0</v>
      </c>
      <c r="R2063" s="17">
        <v>1</v>
      </c>
      <c r="S2063" s="17">
        <v>0</v>
      </c>
      <c r="T2063" s="17">
        <v>0</v>
      </c>
      <c r="U2063" s="17">
        <v>7</v>
      </c>
      <c r="V2063" s="13" t="str" cm="1">
        <f t="array" ref="V2063">_xlfn.IFS(U2063&lt;=250,"0-R$250",U2063&lt;=500,"251-R$500",U2063&lt;=750,"501-R$750",U2063&lt;=1000,"751-R$1000",U2063&lt;=1250,"1001-R$1250",U2063&lt;=1500,"1251-R$1500")</f>
        <v>0-R$250</v>
      </c>
      <c r="W2063" s="17">
        <v>2</v>
      </c>
      <c r="X2063" s="13" t="str" cm="1">
        <f t="array" ref="X2063">_xlfn.IFS(W2063 = 0, "0", W2063&lt;=20, "até R$20",W2063&lt;=40, "21 - R$40",W2063&lt;=60, "41- R$60",W2063&lt;=80, "61 - R$80", W2063&lt;=100, "81 - R$100",W2063&lt;=120, "101 - R$120",W2063&lt;=140, "121 - R$140", W2063&lt;=160, "141- R$160", W2063&lt;=180, "161 - R$180", W2063&lt;=200, "181-R$194")</f>
        <v>até R$20</v>
      </c>
      <c r="Y2063" s="17">
        <v>9</v>
      </c>
      <c r="Z2063" s="17">
        <v>2</v>
      </c>
      <c r="AA2063" s="17">
        <v>0</v>
      </c>
      <c r="AB2063" s="17">
        <v>2</v>
      </c>
      <c r="AC2063" s="17">
        <v>2</v>
      </c>
      <c r="AD2063" s="17">
        <v>1</v>
      </c>
      <c r="AE2063" s="17">
        <v>0</v>
      </c>
      <c r="AF2063" s="17">
        <v>3</v>
      </c>
      <c r="AG2063" s="17">
        <v>4</v>
      </c>
      <c r="AH2063" s="17">
        <v>0</v>
      </c>
      <c r="AI2063" s="17">
        <v>0</v>
      </c>
      <c r="AJ2063" s="17">
        <v>0</v>
      </c>
      <c r="AK2063" s="17">
        <v>0</v>
      </c>
      <c r="AL2063" s="17">
        <v>0</v>
      </c>
      <c r="AM2063" s="17">
        <v>0</v>
      </c>
      <c r="AN2063" s="17">
        <v>0</v>
      </c>
      <c r="AO2063" s="18">
        <v>0</v>
      </c>
      <c r="AP2063" s="17">
        <v>3</v>
      </c>
      <c r="AQ2063" s="17">
        <v>11</v>
      </c>
      <c r="AR2063" s="19">
        <v>18</v>
      </c>
      <c r="AS2063" s="19">
        <v>20</v>
      </c>
    </row>
    <row r="2064" spans="1:45" x14ac:dyDescent="0.25">
      <c r="A2064">
        <v>2108</v>
      </c>
      <c r="B2064" s="11">
        <f t="shared" si="32"/>
        <v>19346</v>
      </c>
      <c r="C2064" s="12">
        <v>193460</v>
      </c>
      <c r="D2064" s="13">
        <v>1</v>
      </c>
      <c r="E2064" s="13">
        <v>0</v>
      </c>
      <c r="F2064" s="13">
        <v>26</v>
      </c>
      <c r="G2064" s="13">
        <v>46</v>
      </c>
      <c r="H2064" s="13" t="str" cm="1">
        <f t="array" ref="H2064">_xlfn.IFS(G2064&lt;=20,"0-20",G2064&lt;=30,"20-30",G2064&lt;=40,"30-40",G2064&lt;=50,"50-60",G2064&lt;=60,"60-70",G2064&lt;=70,"70-80",G2064&lt;=80,"80-90")</f>
        <v>50-60</v>
      </c>
      <c r="I2064" s="13">
        <v>2309</v>
      </c>
      <c r="J2064" s="13" t="str" cm="1">
        <f t="array" ref="J2064">_xlfn.IFS(K2064=1,"Divorciado",L2064=1,"Casado",M2064=1,"Solteiro",N2064=1,"Juntos",O2064=1,"Viuvo")</f>
        <v>Divorciado</v>
      </c>
      <c r="K2064" s="13">
        <v>1</v>
      </c>
      <c r="L2064" s="13">
        <v>0</v>
      </c>
      <c r="M2064" s="13">
        <v>0</v>
      </c>
      <c r="N2064" s="13">
        <v>0</v>
      </c>
      <c r="O2064" s="13">
        <v>0</v>
      </c>
      <c r="P2064" s="13">
        <v>0</v>
      </c>
      <c r="Q2064" s="13">
        <v>0</v>
      </c>
      <c r="R2064" s="13">
        <v>1</v>
      </c>
      <c r="S2064" s="13">
        <v>0</v>
      </c>
      <c r="T2064" s="13">
        <v>0</v>
      </c>
      <c r="U2064" s="13">
        <v>2</v>
      </c>
      <c r="V2064" s="13" t="str" cm="1">
        <f t="array" ref="V2064">_xlfn.IFS(U2064&lt;=250,"0-R$250",U2064&lt;=500,"251-R$500",U2064&lt;=750,"501-R$750",U2064&lt;=1000,"751-R$1000",U2064&lt;=1250,"1001-R$1250",U2064&lt;=1500,"1251-R$1500")</f>
        <v>0-R$250</v>
      </c>
      <c r="W2064" s="13">
        <v>0</v>
      </c>
      <c r="X2064" s="13" t="str" cm="1">
        <f t="array" ref="X2064">_xlfn.IFS(W2064 = 0, "0", W2064&lt;=20, "até R$20",W2064&lt;=40, "21 - R$40",W2064&lt;=60, "41- R$60",W2064&lt;=80, "61 - R$80", W2064&lt;=100, "81 - R$100",W2064&lt;=120, "101 - R$120",W2064&lt;=140, "121 - R$140", W2064&lt;=160, "141- R$160", W2064&lt;=180, "161 - R$180", W2064&lt;=200, "181-R$194")</f>
        <v>0</v>
      </c>
      <c r="Y2064" s="13">
        <v>9</v>
      </c>
      <c r="Z2064" s="13">
        <v>3</v>
      </c>
      <c r="AA2064" s="13">
        <v>6</v>
      </c>
      <c r="AB2064" s="13">
        <v>2</v>
      </c>
      <c r="AC2064" s="13">
        <v>1</v>
      </c>
      <c r="AD2064" s="13">
        <v>1</v>
      </c>
      <c r="AE2064" s="13">
        <v>0</v>
      </c>
      <c r="AF2064" s="13">
        <v>3</v>
      </c>
      <c r="AG2064" s="13">
        <v>8</v>
      </c>
      <c r="AH2064" s="13">
        <v>0</v>
      </c>
      <c r="AI2064" s="13">
        <v>0</v>
      </c>
      <c r="AJ2064" s="13">
        <v>0</v>
      </c>
      <c r="AK2064" s="13">
        <v>0</v>
      </c>
      <c r="AL2064" s="13">
        <v>0</v>
      </c>
      <c r="AM2064" s="13">
        <v>0</v>
      </c>
      <c r="AN2064" s="13">
        <v>0</v>
      </c>
      <c r="AO2064" s="14">
        <v>0</v>
      </c>
      <c r="AP2064" s="13">
        <v>3</v>
      </c>
      <c r="AQ2064" s="13">
        <v>11</v>
      </c>
      <c r="AR2064" s="15">
        <v>18</v>
      </c>
      <c r="AS2064" s="15">
        <v>20</v>
      </c>
    </row>
    <row r="2065" spans="1:45" x14ac:dyDescent="0.25">
      <c r="A2065">
        <v>41</v>
      </c>
      <c r="B2065" s="11">
        <f t="shared" si="32"/>
        <v>21994</v>
      </c>
      <c r="C2065" s="16">
        <v>219940</v>
      </c>
      <c r="D2065" s="17">
        <v>0</v>
      </c>
      <c r="E2065" s="17">
        <v>1</v>
      </c>
      <c r="F2065" s="17">
        <v>4</v>
      </c>
      <c r="G2065" s="17">
        <v>63</v>
      </c>
      <c r="H2065" s="13" t="str" cm="1">
        <f t="array" ref="H2065">_xlfn.IFS(G2065&lt;=20,"0-20",G2065&lt;=30,"20-30",G2065&lt;=40,"30-40",G2065&lt;=50,"50-60",G2065&lt;=60,"60-70",G2065&lt;=70,"70-80",G2065&lt;=80,"80-90")</f>
        <v>70-80</v>
      </c>
      <c r="I2065" s="17">
        <v>2711</v>
      </c>
      <c r="J2065" s="13" t="str" cm="1">
        <f t="array" ref="J2065">_xlfn.IFS(K2065=1,"Divorciado",L2065=1,"Casado",M2065=1,"Solteiro",N2065=1,"Juntos",O2065=1,"Viuvo")</f>
        <v>Juntos</v>
      </c>
      <c r="K2065" s="17">
        <v>0</v>
      </c>
      <c r="L2065" s="17">
        <v>0</v>
      </c>
      <c r="M2065" s="17">
        <v>0</v>
      </c>
      <c r="N2065" s="17">
        <v>1</v>
      </c>
      <c r="O2065" s="17">
        <v>0</v>
      </c>
      <c r="P2065" s="17">
        <v>0</v>
      </c>
      <c r="Q2065" s="17">
        <v>0</v>
      </c>
      <c r="R2065" s="17">
        <v>1</v>
      </c>
      <c r="S2065" s="17">
        <v>0</v>
      </c>
      <c r="T2065" s="17">
        <v>0</v>
      </c>
      <c r="U2065" s="17">
        <v>9</v>
      </c>
      <c r="V2065" s="13" t="str" cm="1">
        <f t="array" ref="V2065">_xlfn.IFS(U2065&lt;=250,"0-R$250",U2065&lt;=500,"251-R$500",U2065&lt;=750,"501-R$750",U2065&lt;=1000,"751-R$1000",U2065&lt;=1250,"1001-R$1250",U2065&lt;=1500,"1251-R$1500")</f>
        <v>0-R$250</v>
      </c>
      <c r="W2065" s="17">
        <v>0</v>
      </c>
      <c r="X2065" s="13" t="str" cm="1">
        <f t="array" ref="X2065">_xlfn.IFS(W2065 = 0, "0", W2065&lt;=20, "até R$20",W2065&lt;=40, "21 - R$40",W2065&lt;=60, "41- R$60",W2065&lt;=80, "61 - R$80", W2065&lt;=100, "81 - R$100",W2065&lt;=120, "101 - R$120",W2065&lt;=140, "121 - R$140", W2065&lt;=160, "141- R$160", W2065&lt;=180, "161 - R$180", W2065&lt;=200, "181-R$194")</f>
        <v>0</v>
      </c>
      <c r="Y2065" s="17">
        <v>6</v>
      </c>
      <c r="Z2065" s="17">
        <v>3</v>
      </c>
      <c r="AA2065" s="17">
        <v>1</v>
      </c>
      <c r="AB2065" s="17">
        <v>3</v>
      </c>
      <c r="AC2065" s="17">
        <v>1</v>
      </c>
      <c r="AD2065" s="17">
        <v>0</v>
      </c>
      <c r="AE2065" s="17">
        <v>0</v>
      </c>
      <c r="AF2065" s="17">
        <v>3</v>
      </c>
      <c r="AG2065" s="17">
        <v>5</v>
      </c>
      <c r="AH2065" s="17">
        <v>0</v>
      </c>
      <c r="AI2065" s="17">
        <v>0</v>
      </c>
      <c r="AJ2065" s="17">
        <v>0</v>
      </c>
      <c r="AK2065" s="17">
        <v>0</v>
      </c>
      <c r="AL2065" s="17">
        <v>0</v>
      </c>
      <c r="AM2065" s="17">
        <v>0</v>
      </c>
      <c r="AN2065" s="17">
        <v>0</v>
      </c>
      <c r="AO2065" s="18">
        <v>0</v>
      </c>
      <c r="AP2065" s="17">
        <v>3</v>
      </c>
      <c r="AQ2065" s="17">
        <v>11</v>
      </c>
      <c r="AR2065" s="19">
        <v>16</v>
      </c>
      <c r="AS2065" s="19">
        <v>19</v>
      </c>
    </row>
    <row r="2066" spans="1:45" x14ac:dyDescent="0.25">
      <c r="A2066">
        <v>42</v>
      </c>
      <c r="B2066" s="11">
        <f t="shared" si="32"/>
        <v>7500</v>
      </c>
      <c r="C2066" s="12">
        <v>75000</v>
      </c>
      <c r="D2066" s="13">
        <v>1</v>
      </c>
      <c r="E2066" s="13">
        <v>0</v>
      </c>
      <c r="F2066" s="13">
        <v>19</v>
      </c>
      <c r="G2066" s="13">
        <v>45</v>
      </c>
      <c r="H2066" s="13" t="str" cm="1">
        <f t="array" ref="H2066">_xlfn.IFS(G2066&lt;=20,"0-20",G2066&lt;=30,"20-30",G2066&lt;=40,"30-40",G2066&lt;=50,"50-60",G2066&lt;=60,"60-70",G2066&lt;=70,"70-80",G2066&lt;=80,"80-90")</f>
        <v>50-60</v>
      </c>
      <c r="I2066" s="13">
        <v>2429</v>
      </c>
      <c r="J2066" s="13" t="str" cm="1">
        <f t="array" ref="J2066">_xlfn.IFS(K2066=1,"Divorciado",L2066=1,"Casado",M2066=1,"Solteiro",N2066=1,"Juntos",O2066=1,"Viuvo")</f>
        <v>Casado</v>
      </c>
      <c r="K2066" s="13">
        <v>0</v>
      </c>
      <c r="L2066" s="13">
        <v>1</v>
      </c>
      <c r="M2066" s="13">
        <v>0</v>
      </c>
      <c r="N2066" s="13">
        <v>0</v>
      </c>
      <c r="O2066" s="13">
        <v>0</v>
      </c>
      <c r="P2066" s="13">
        <v>0</v>
      </c>
      <c r="Q2066" s="13">
        <v>0</v>
      </c>
      <c r="R2066" s="13">
        <v>0</v>
      </c>
      <c r="S2066" s="13">
        <v>1</v>
      </c>
      <c r="T2066" s="13">
        <v>0</v>
      </c>
      <c r="U2066" s="13">
        <v>3</v>
      </c>
      <c r="V2066" s="13" t="str" cm="1">
        <f t="array" ref="V2066">_xlfn.IFS(U2066&lt;=250,"0-R$250",U2066&lt;=500,"251-R$500",U2066&lt;=750,"501-R$750",U2066&lt;=1000,"751-R$1000",U2066&lt;=1250,"1001-R$1250",U2066&lt;=1500,"1251-R$1500")</f>
        <v>0-R$250</v>
      </c>
      <c r="W2066" s="13">
        <v>1</v>
      </c>
      <c r="X2066" s="13" t="str" cm="1">
        <f t="array" ref="X2066">_xlfn.IFS(W2066 = 0, "0", W2066&lt;=20, "até R$20",W2066&lt;=40, "21 - R$40",W2066&lt;=60, "41- R$60",W2066&lt;=80, "61 - R$80", W2066&lt;=100, "81 - R$100",W2066&lt;=120, "101 - R$120",W2066&lt;=140, "121 - R$140", W2066&lt;=160, "141- R$160", W2066&lt;=180, "161 - R$180", W2066&lt;=200, "181-R$194")</f>
        <v>até R$20</v>
      </c>
      <c r="Y2066" s="13">
        <v>10</v>
      </c>
      <c r="Z2066" s="13">
        <v>3</v>
      </c>
      <c r="AA2066" s="13">
        <v>2</v>
      </c>
      <c r="AB2066" s="13">
        <v>12</v>
      </c>
      <c r="AC2066" s="13">
        <v>3</v>
      </c>
      <c r="AD2066" s="13">
        <v>2</v>
      </c>
      <c r="AE2066" s="13">
        <v>0</v>
      </c>
      <c r="AF2066" s="13">
        <v>3</v>
      </c>
      <c r="AG2066" s="13">
        <v>5</v>
      </c>
      <c r="AH2066" s="13">
        <v>0</v>
      </c>
      <c r="AI2066" s="13">
        <v>0</v>
      </c>
      <c r="AJ2066" s="13">
        <v>0</v>
      </c>
      <c r="AK2066" s="13">
        <v>0</v>
      </c>
      <c r="AL2066" s="13">
        <v>0</v>
      </c>
      <c r="AM2066" s="13">
        <v>0</v>
      </c>
      <c r="AN2066" s="13">
        <v>0</v>
      </c>
      <c r="AO2066" s="14">
        <v>0</v>
      </c>
      <c r="AP2066" s="13">
        <v>3</v>
      </c>
      <c r="AQ2066" s="13">
        <v>11</v>
      </c>
      <c r="AR2066" s="15">
        <v>7</v>
      </c>
      <c r="AS2066" s="15">
        <v>19</v>
      </c>
    </row>
    <row r="2067" spans="1:45" x14ac:dyDescent="0.25">
      <c r="A2067">
        <v>61</v>
      </c>
      <c r="B2067" s="11">
        <f t="shared" si="32"/>
        <v>25721</v>
      </c>
      <c r="C2067" s="16">
        <v>257210</v>
      </c>
      <c r="D2067" s="17">
        <v>1</v>
      </c>
      <c r="E2067" s="17">
        <v>0</v>
      </c>
      <c r="F2067" s="17">
        <v>75</v>
      </c>
      <c r="G2067" s="17">
        <v>49</v>
      </c>
      <c r="H2067" s="13" t="str" cm="1">
        <f t="array" ref="H2067">_xlfn.IFS(G2067&lt;=20,"0-20",G2067&lt;=30,"20-30",G2067&lt;=40,"30-40",G2067&lt;=50,"50-60",G2067&lt;=60,"60-70",G2067&lt;=70,"70-80",G2067&lt;=80,"80-90")</f>
        <v>50-60</v>
      </c>
      <c r="I2067" s="17">
        <v>2563</v>
      </c>
      <c r="J2067" s="13" t="str" cm="1">
        <f t="array" ref="J2067">_xlfn.IFS(K2067=1,"Divorciado",L2067=1,"Casado",M2067=1,"Solteiro",N2067=1,"Juntos",O2067=1,"Viuvo")</f>
        <v>Casado</v>
      </c>
      <c r="K2067" s="17">
        <v>0</v>
      </c>
      <c r="L2067" s="17">
        <v>1</v>
      </c>
      <c r="M2067" s="17">
        <v>0</v>
      </c>
      <c r="N2067" s="17">
        <v>0</v>
      </c>
      <c r="O2067" s="17">
        <v>0</v>
      </c>
      <c r="P2067" s="17">
        <v>0</v>
      </c>
      <c r="Q2067" s="17">
        <v>0</v>
      </c>
      <c r="R2067" s="17">
        <v>1</v>
      </c>
      <c r="S2067" s="17">
        <v>0</v>
      </c>
      <c r="T2067" s="17">
        <v>0</v>
      </c>
      <c r="U2067" s="17">
        <v>1</v>
      </c>
      <c r="V2067" s="13" t="str" cm="1">
        <f t="array" ref="V2067">_xlfn.IFS(U2067&lt;=250,"0-R$250",U2067&lt;=500,"251-R$500",U2067&lt;=750,"501-R$750",U2067&lt;=1000,"751-R$1000",U2067&lt;=1250,"1001-R$1250",U2067&lt;=1500,"1251-R$1500")</f>
        <v>0-R$250</v>
      </c>
      <c r="W2067" s="17">
        <v>3</v>
      </c>
      <c r="X2067" s="13" t="str" cm="1">
        <f t="array" ref="X2067">_xlfn.IFS(W2067 = 0, "0", W2067&lt;=20, "até R$20",W2067&lt;=40, "21 - R$40",W2067&lt;=60, "41- R$60",W2067&lt;=80, "61 - R$80", W2067&lt;=100, "81 - R$100",W2067&lt;=120, "101 - R$120",W2067&lt;=140, "121 - R$140", W2067&lt;=160, "141- R$160", W2067&lt;=180, "161 - R$180", W2067&lt;=200, "181-R$194")</f>
        <v>até R$20</v>
      </c>
      <c r="Y2067" s="17">
        <v>6</v>
      </c>
      <c r="Z2067" s="17">
        <v>3</v>
      </c>
      <c r="AA2067" s="17">
        <v>6</v>
      </c>
      <c r="AB2067" s="17">
        <v>15</v>
      </c>
      <c r="AC2067" s="17">
        <v>1</v>
      </c>
      <c r="AD2067" s="17">
        <v>1</v>
      </c>
      <c r="AE2067" s="17">
        <v>1</v>
      </c>
      <c r="AF2067" s="17">
        <v>2</v>
      </c>
      <c r="AG2067" s="17">
        <v>7</v>
      </c>
      <c r="AH2067" s="17">
        <v>0</v>
      </c>
      <c r="AI2067" s="17">
        <v>0</v>
      </c>
      <c r="AJ2067" s="17">
        <v>0</v>
      </c>
      <c r="AK2067" s="17">
        <v>0</v>
      </c>
      <c r="AL2067" s="17">
        <v>0</v>
      </c>
      <c r="AM2067" s="17">
        <v>0</v>
      </c>
      <c r="AN2067" s="17">
        <v>1</v>
      </c>
      <c r="AO2067" s="18">
        <v>0</v>
      </c>
      <c r="AP2067" s="17">
        <v>3</v>
      </c>
      <c r="AQ2067" s="17">
        <v>11</v>
      </c>
      <c r="AR2067" s="19">
        <v>4</v>
      </c>
      <c r="AS2067" s="19">
        <v>19</v>
      </c>
    </row>
    <row r="2068" spans="1:45" x14ac:dyDescent="0.25">
      <c r="A2068">
        <v>220</v>
      </c>
      <c r="B2068" s="11">
        <f t="shared" si="32"/>
        <v>38590</v>
      </c>
      <c r="C2068" s="12">
        <v>385900</v>
      </c>
      <c r="D2068" s="13">
        <v>1</v>
      </c>
      <c r="E2068" s="13">
        <v>0</v>
      </c>
      <c r="F2068" s="13">
        <v>65</v>
      </c>
      <c r="G2068" s="13">
        <v>49</v>
      </c>
      <c r="H2068" s="13" t="str" cm="1">
        <f t="array" ref="H2068">_xlfn.IFS(G2068&lt;=20,"0-20",G2068&lt;=30,"20-30",G2068&lt;=40,"30-40",G2068&lt;=50,"50-60",G2068&lt;=60,"60-70",G2068&lt;=70,"70-80",G2068&lt;=80,"80-90")</f>
        <v>50-60</v>
      </c>
      <c r="I2068" s="13">
        <v>2569</v>
      </c>
      <c r="J2068" s="13" t="str" cm="1">
        <f t="array" ref="J2068">_xlfn.IFS(K2068=1,"Divorciado",L2068=1,"Casado",M2068=1,"Solteiro",N2068=1,"Juntos",O2068=1,"Viuvo")</f>
        <v>Juntos</v>
      </c>
      <c r="K2068" s="13">
        <v>0</v>
      </c>
      <c r="L2068" s="13">
        <v>0</v>
      </c>
      <c r="M2068" s="13">
        <v>0</v>
      </c>
      <c r="N2068" s="13">
        <v>1</v>
      </c>
      <c r="O2068" s="13">
        <v>0</v>
      </c>
      <c r="P2068" s="13">
        <v>0</v>
      </c>
      <c r="Q2068" s="13">
        <v>0</v>
      </c>
      <c r="R2068" s="13">
        <v>1</v>
      </c>
      <c r="S2068" s="13">
        <v>0</v>
      </c>
      <c r="T2068" s="13">
        <v>0</v>
      </c>
      <c r="U2068" s="13">
        <v>3</v>
      </c>
      <c r="V2068" s="13" t="str" cm="1">
        <f t="array" ref="V2068">_xlfn.IFS(U2068&lt;=250,"0-R$250",U2068&lt;=500,"251-R$500",U2068&lt;=750,"501-R$750",U2068&lt;=1000,"751-R$1000",U2068&lt;=1250,"1001-R$1250",U2068&lt;=1500,"1251-R$1500")</f>
        <v>0-R$250</v>
      </c>
      <c r="W2068" s="13">
        <v>1</v>
      </c>
      <c r="X2068" s="13" t="str" cm="1">
        <f t="array" ref="X2068">_xlfn.IFS(W2068 = 0, "0", W2068&lt;=20, "até R$20",W2068&lt;=40, "21 - R$40",W2068&lt;=60, "41- R$60",W2068&lt;=80, "61 - R$80", W2068&lt;=100, "81 - R$100",W2068&lt;=120, "101 - R$120",W2068&lt;=140, "121 - R$140", W2068&lt;=160, "141- R$160", W2068&lt;=180, "161 - R$180", W2068&lt;=200, "181-R$194")</f>
        <v>até R$20</v>
      </c>
      <c r="Y2068" s="13">
        <v>8</v>
      </c>
      <c r="Z2068" s="13">
        <v>4</v>
      </c>
      <c r="AA2068" s="13">
        <v>3</v>
      </c>
      <c r="AB2068" s="13">
        <v>3</v>
      </c>
      <c r="AC2068" s="13">
        <v>1</v>
      </c>
      <c r="AD2068" s="13">
        <v>1</v>
      </c>
      <c r="AE2068" s="13">
        <v>0</v>
      </c>
      <c r="AF2068" s="13">
        <v>2</v>
      </c>
      <c r="AG2068" s="13">
        <v>8</v>
      </c>
      <c r="AH2068" s="13">
        <v>0</v>
      </c>
      <c r="AI2068" s="13">
        <v>0</v>
      </c>
      <c r="AJ2068" s="13">
        <v>0</v>
      </c>
      <c r="AK2068" s="13">
        <v>0</v>
      </c>
      <c r="AL2068" s="13">
        <v>0</v>
      </c>
      <c r="AM2068" s="13">
        <v>0</v>
      </c>
      <c r="AN2068" s="13">
        <v>0</v>
      </c>
      <c r="AO2068" s="14">
        <v>0</v>
      </c>
      <c r="AP2068" s="13">
        <v>3</v>
      </c>
      <c r="AQ2068" s="13">
        <v>11</v>
      </c>
      <c r="AR2068" s="15">
        <v>16</v>
      </c>
      <c r="AS2068" s="15">
        <v>19</v>
      </c>
    </row>
    <row r="2069" spans="1:45" x14ac:dyDescent="0.25">
      <c r="A2069">
        <v>307</v>
      </c>
      <c r="B2069" s="11">
        <f t="shared" si="32"/>
        <v>47025</v>
      </c>
      <c r="C2069" s="16">
        <v>470250</v>
      </c>
      <c r="D2069" s="17">
        <v>1</v>
      </c>
      <c r="E2069" s="17">
        <v>1</v>
      </c>
      <c r="F2069" s="17">
        <v>6</v>
      </c>
      <c r="G2069" s="17">
        <v>55</v>
      </c>
      <c r="H2069" s="13" t="str" cm="1">
        <f t="array" ref="H2069">_xlfn.IFS(G2069&lt;=20,"0-20",G2069&lt;=30,"20-30",G2069&lt;=40,"30-40",G2069&lt;=50,"50-60",G2069&lt;=60,"60-70",G2069&lt;=70,"70-80",G2069&lt;=80,"80-90")</f>
        <v>60-70</v>
      </c>
      <c r="I2069" s="17">
        <v>2299</v>
      </c>
      <c r="J2069" s="13" t="str" cm="1">
        <f t="array" ref="J2069">_xlfn.IFS(K2069=1,"Divorciado",L2069=1,"Casado",M2069=1,"Solteiro",N2069=1,"Juntos",O2069=1,"Viuvo")</f>
        <v>Divorciado</v>
      </c>
      <c r="K2069" s="17">
        <v>1</v>
      </c>
      <c r="L2069" s="17">
        <v>0</v>
      </c>
      <c r="M2069" s="17">
        <v>0</v>
      </c>
      <c r="N2069" s="17">
        <v>0</v>
      </c>
      <c r="O2069" s="17">
        <v>0</v>
      </c>
      <c r="P2069" s="17">
        <v>0</v>
      </c>
      <c r="Q2069" s="17">
        <v>0</v>
      </c>
      <c r="R2069" s="17">
        <v>0</v>
      </c>
      <c r="S2069" s="17">
        <v>0</v>
      </c>
      <c r="T2069" s="17">
        <v>1</v>
      </c>
      <c r="U2069" s="17">
        <v>16</v>
      </c>
      <c r="V2069" s="13" t="str" cm="1">
        <f t="array" ref="V2069">_xlfn.IFS(U2069&lt;=250,"0-R$250",U2069&lt;=500,"251-R$500",U2069&lt;=750,"501-R$750",U2069&lt;=1000,"751-R$1000",U2069&lt;=1250,"1001-R$1250",U2069&lt;=1500,"1251-R$1500")</f>
        <v>0-R$250</v>
      </c>
      <c r="W2069" s="17">
        <v>0</v>
      </c>
      <c r="X2069" s="13" t="str" cm="1">
        <f t="array" ref="X2069">_xlfn.IFS(W2069 = 0, "0", W2069&lt;=20, "até R$20",W2069&lt;=40, "21 - R$40",W2069&lt;=60, "41- R$60",W2069&lt;=80, "61 - R$80", W2069&lt;=100, "81 - R$100",W2069&lt;=120, "101 - R$120",W2069&lt;=140, "121 - R$140", W2069&lt;=160, "141- R$160", W2069&lt;=180, "161 - R$180", W2069&lt;=200, "181-R$194")</f>
        <v>0</v>
      </c>
      <c r="Y2069" s="17">
        <v>3</v>
      </c>
      <c r="Z2069" s="17">
        <v>0</v>
      </c>
      <c r="AA2069" s="17">
        <v>0</v>
      </c>
      <c r="AB2069" s="17">
        <v>1</v>
      </c>
      <c r="AC2069" s="17">
        <v>1</v>
      </c>
      <c r="AD2069" s="17">
        <v>1</v>
      </c>
      <c r="AE2069" s="17">
        <v>0</v>
      </c>
      <c r="AF2069" s="17">
        <v>2</v>
      </c>
      <c r="AG2069" s="17">
        <v>7</v>
      </c>
      <c r="AH2069" s="17">
        <v>0</v>
      </c>
      <c r="AI2069" s="17">
        <v>0</v>
      </c>
      <c r="AJ2069" s="17">
        <v>0</v>
      </c>
      <c r="AK2069" s="17">
        <v>0</v>
      </c>
      <c r="AL2069" s="17">
        <v>0</v>
      </c>
      <c r="AM2069" s="17">
        <v>0</v>
      </c>
      <c r="AN2069" s="17">
        <v>0</v>
      </c>
      <c r="AO2069" s="18">
        <v>0</v>
      </c>
      <c r="AP2069" s="17">
        <v>3</v>
      </c>
      <c r="AQ2069" s="17">
        <v>11</v>
      </c>
      <c r="AR2069" s="19">
        <v>18</v>
      </c>
      <c r="AS2069" s="19">
        <v>19</v>
      </c>
    </row>
    <row r="2070" spans="1:45" x14ac:dyDescent="0.25">
      <c r="A2070">
        <v>315</v>
      </c>
      <c r="B2070" s="11">
        <f t="shared" si="32"/>
        <v>24072</v>
      </c>
      <c r="C2070" s="16">
        <v>240720</v>
      </c>
      <c r="D2070" s="17">
        <v>1</v>
      </c>
      <c r="E2070" s="17">
        <v>0</v>
      </c>
      <c r="F2070" s="17">
        <v>79</v>
      </c>
      <c r="G2070" s="17">
        <v>37</v>
      </c>
      <c r="H2070" s="13" t="str" cm="1">
        <f t="array" ref="H2070">_xlfn.IFS(G2070&lt;=20,"0-20",G2070&lt;=30,"20-30",G2070&lt;=40,"30-40",G2070&lt;=50,"50-60",G2070&lt;=60,"60-70",G2070&lt;=70,"70-80",G2070&lt;=80,"80-90")</f>
        <v>30-40</v>
      </c>
      <c r="I2070" s="17">
        <v>2598</v>
      </c>
      <c r="J2070" s="13" t="str" cm="1">
        <f t="array" ref="J2070">_xlfn.IFS(K2070=1,"Divorciado",L2070=1,"Casado",M2070=1,"Solteiro",N2070=1,"Juntos",O2070=1,"Viuvo")</f>
        <v>Solteiro</v>
      </c>
      <c r="K2070" s="17">
        <v>0</v>
      </c>
      <c r="L2070" s="17">
        <v>0</v>
      </c>
      <c r="M2070" s="17">
        <v>1</v>
      </c>
      <c r="N2070" s="17">
        <v>0</v>
      </c>
      <c r="O2070" s="17">
        <v>0</v>
      </c>
      <c r="P2070" s="17">
        <v>0</v>
      </c>
      <c r="Q2070" s="17">
        <v>0</v>
      </c>
      <c r="R2070" s="17">
        <v>1</v>
      </c>
      <c r="S2070" s="17">
        <v>0</v>
      </c>
      <c r="T2070" s="17">
        <v>0</v>
      </c>
      <c r="U2070" s="17">
        <v>9</v>
      </c>
      <c r="V2070" s="13" t="str" cm="1">
        <f t="array" ref="V2070">_xlfn.IFS(U2070&lt;=250,"0-R$250",U2070&lt;=500,"251-R$500",U2070&lt;=750,"501-R$750",U2070&lt;=1000,"751-R$1000",U2070&lt;=1250,"1001-R$1250",U2070&lt;=1500,"1251-R$1500")</f>
        <v>0-R$250</v>
      </c>
      <c r="W2070" s="17">
        <v>1</v>
      </c>
      <c r="X2070" s="13" t="str" cm="1">
        <f t="array" ref="X2070">_xlfn.IFS(W2070 = 0, "0", W2070&lt;=20, "até R$20",W2070&lt;=40, "21 - R$40",W2070&lt;=60, "41- R$60",W2070&lt;=80, "61 - R$80", W2070&lt;=100, "81 - R$100",W2070&lt;=120, "101 - R$120",W2070&lt;=140, "121 - R$140", W2070&lt;=160, "141- R$160", W2070&lt;=180, "161 - R$180", W2070&lt;=200, "181-R$194")</f>
        <v>até R$20</v>
      </c>
      <c r="Y2070" s="17">
        <v>6</v>
      </c>
      <c r="Z2070" s="17">
        <v>3</v>
      </c>
      <c r="AA2070" s="17">
        <v>0</v>
      </c>
      <c r="AB2070" s="17">
        <v>4</v>
      </c>
      <c r="AC2070" s="17">
        <v>1</v>
      </c>
      <c r="AD2070" s="17">
        <v>1</v>
      </c>
      <c r="AE2070" s="17">
        <v>0</v>
      </c>
      <c r="AF2070" s="17">
        <v>2</v>
      </c>
      <c r="AG2070" s="17">
        <v>8</v>
      </c>
      <c r="AH2070" s="17">
        <v>0</v>
      </c>
      <c r="AI2070" s="17">
        <v>0</v>
      </c>
      <c r="AJ2070" s="17">
        <v>0</v>
      </c>
      <c r="AK2070" s="17">
        <v>0</v>
      </c>
      <c r="AL2070" s="17">
        <v>0</v>
      </c>
      <c r="AM2070" s="17">
        <v>0</v>
      </c>
      <c r="AN2070" s="17">
        <v>0</v>
      </c>
      <c r="AO2070" s="18">
        <v>0</v>
      </c>
      <c r="AP2070" s="17">
        <v>3</v>
      </c>
      <c r="AQ2070" s="17">
        <v>11</v>
      </c>
      <c r="AR2070" s="19">
        <v>15</v>
      </c>
      <c r="AS2070" s="19">
        <v>19</v>
      </c>
    </row>
    <row r="2071" spans="1:45" x14ac:dyDescent="0.25">
      <c r="A2071">
        <v>409</v>
      </c>
      <c r="B2071" s="11">
        <f t="shared" si="32"/>
        <v>48686</v>
      </c>
      <c r="C2071" s="16">
        <v>486860</v>
      </c>
      <c r="D2071" s="17">
        <v>1</v>
      </c>
      <c r="E2071" s="17">
        <v>2</v>
      </c>
      <c r="F2071" s="17">
        <v>8</v>
      </c>
      <c r="G2071" s="17">
        <v>67</v>
      </c>
      <c r="H2071" s="13" t="str" cm="1">
        <f t="array" ref="H2071">_xlfn.IFS(G2071&lt;=20,"0-20",G2071&lt;=30,"20-30",G2071&lt;=40,"30-40",G2071&lt;=50,"50-60",G2071&lt;=60,"60-70",G2071&lt;=70,"70-80",G2071&lt;=80,"80-90")</f>
        <v>70-80</v>
      </c>
      <c r="I2071" s="17">
        <v>2366</v>
      </c>
      <c r="J2071" s="13" t="str" cm="1">
        <f t="array" ref="J2071">_xlfn.IFS(K2071=1,"Divorciado",L2071=1,"Casado",M2071=1,"Solteiro",N2071=1,"Juntos",O2071=1,"Viuvo")</f>
        <v>Casado</v>
      </c>
      <c r="K2071" s="17">
        <v>0</v>
      </c>
      <c r="L2071" s="17">
        <v>1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1</v>
      </c>
      <c r="S2071" s="17">
        <v>0</v>
      </c>
      <c r="T2071" s="17">
        <v>0</v>
      </c>
      <c r="U2071" s="17">
        <v>10</v>
      </c>
      <c r="V2071" s="13" t="str" cm="1">
        <f t="array" ref="V2071">_xlfn.IFS(U2071&lt;=250,"0-R$250",U2071&lt;=500,"251-R$500",U2071&lt;=750,"501-R$750",U2071&lt;=1000,"751-R$1000",U2071&lt;=1250,"1001-R$1250",U2071&lt;=1500,"1251-R$1500")</f>
        <v>0-R$250</v>
      </c>
      <c r="W2071" s="17">
        <v>0</v>
      </c>
      <c r="X2071" s="13" t="str" cm="1">
        <f t="array" ref="X2071">_xlfn.IFS(W2071 = 0, "0", W2071&lt;=20, "até R$20",W2071&lt;=40, "21 - R$40",W2071&lt;=60, "41- R$60",W2071&lt;=80, "61 - R$80", W2071&lt;=100, "81 - R$100",W2071&lt;=120, "101 - R$120",W2071&lt;=140, "121 - R$140", W2071&lt;=160, "141- R$160", W2071&lt;=180, "161 - R$180", W2071&lt;=200, "181-R$194")</f>
        <v>0</v>
      </c>
      <c r="Y2071" s="17">
        <v>7</v>
      </c>
      <c r="Z2071" s="17">
        <v>2</v>
      </c>
      <c r="AA2071" s="17">
        <v>0</v>
      </c>
      <c r="AB2071" s="17">
        <v>1</v>
      </c>
      <c r="AC2071" s="17">
        <v>1</v>
      </c>
      <c r="AD2071" s="17">
        <v>1</v>
      </c>
      <c r="AE2071" s="17">
        <v>0</v>
      </c>
      <c r="AF2071" s="17">
        <v>2</v>
      </c>
      <c r="AG2071" s="17">
        <v>8</v>
      </c>
      <c r="AH2071" s="17">
        <v>0</v>
      </c>
      <c r="AI2071" s="17">
        <v>0</v>
      </c>
      <c r="AJ2071" s="17">
        <v>0</v>
      </c>
      <c r="AK2071" s="17">
        <v>0</v>
      </c>
      <c r="AL2071" s="17">
        <v>0</v>
      </c>
      <c r="AM2071" s="17">
        <v>0</v>
      </c>
      <c r="AN2071" s="17">
        <v>0</v>
      </c>
      <c r="AO2071" s="18">
        <v>0</v>
      </c>
      <c r="AP2071" s="17">
        <v>3</v>
      </c>
      <c r="AQ2071" s="17">
        <v>11</v>
      </c>
      <c r="AR2071" s="19">
        <v>18</v>
      </c>
      <c r="AS2071" s="19">
        <v>19</v>
      </c>
    </row>
    <row r="2072" spans="1:45" x14ac:dyDescent="0.25">
      <c r="A2072">
        <v>472</v>
      </c>
      <c r="B2072" s="11">
        <f t="shared" si="32"/>
        <v>14045</v>
      </c>
      <c r="C2072" s="12">
        <v>140450</v>
      </c>
      <c r="D2072" s="13">
        <v>1</v>
      </c>
      <c r="E2072" s="13">
        <v>0</v>
      </c>
      <c r="F2072" s="13">
        <v>24</v>
      </c>
      <c r="G2072" s="13">
        <v>51</v>
      </c>
      <c r="H2072" s="13" t="str" cm="1">
        <f t="array" ref="H2072">_xlfn.IFS(G2072&lt;=20,"0-20",G2072&lt;=30,"20-30",G2072&lt;=40,"30-40",G2072&lt;=50,"50-60",G2072&lt;=60,"60-70",G2072&lt;=70,"70-80",G2072&lt;=80,"80-90")</f>
        <v>60-70</v>
      </c>
      <c r="I2072" s="13">
        <v>2313</v>
      </c>
      <c r="J2072" s="13" t="str" cm="1">
        <f t="array" ref="J2072">_xlfn.IFS(K2072=1,"Divorciado",L2072=1,"Casado",M2072=1,"Solteiro",N2072=1,"Juntos",O2072=1,"Viuvo")</f>
        <v>Casado</v>
      </c>
      <c r="K2072" s="13">
        <v>0</v>
      </c>
      <c r="L2072" s="13">
        <v>1</v>
      </c>
      <c r="M2072" s="13">
        <v>0</v>
      </c>
      <c r="N2072" s="13">
        <v>0</v>
      </c>
      <c r="O2072" s="13">
        <v>0</v>
      </c>
      <c r="P2072" s="13">
        <v>0</v>
      </c>
      <c r="Q2072" s="13">
        <v>0</v>
      </c>
      <c r="R2072" s="13">
        <v>1</v>
      </c>
      <c r="S2072" s="13">
        <v>0</v>
      </c>
      <c r="T2072" s="13">
        <v>0</v>
      </c>
      <c r="U2072" s="13">
        <v>11</v>
      </c>
      <c r="V2072" s="13" t="str" cm="1">
        <f t="array" ref="V2072">_xlfn.IFS(U2072&lt;=250,"0-R$250",U2072&lt;=500,"251-R$500",U2072&lt;=750,"501-R$750",U2072&lt;=1000,"751-R$1000",U2072&lt;=1250,"1001-R$1250",U2072&lt;=1500,"1251-R$1500")</f>
        <v>0-R$250</v>
      </c>
      <c r="W2072" s="13">
        <v>0</v>
      </c>
      <c r="X2072" s="13" t="str" cm="1">
        <f t="array" ref="X2072">_xlfn.IFS(W2072 = 0, "0", W2072&lt;=20, "até R$20",W2072&lt;=40, "21 - R$40",W2072&lt;=60, "41- R$60",W2072&lt;=80, "61 - R$80", W2072&lt;=100, "81 - R$100",W2072&lt;=120, "101 - R$120",W2072&lt;=140, "121 - R$140", W2072&lt;=160, "141- R$160", W2072&lt;=180, "161 - R$180", W2072&lt;=200, "181-R$194")</f>
        <v>0</v>
      </c>
      <c r="Y2072" s="13">
        <v>5</v>
      </c>
      <c r="Z2072" s="13">
        <v>2</v>
      </c>
      <c r="AA2072" s="13">
        <v>1</v>
      </c>
      <c r="AB2072" s="13">
        <v>1</v>
      </c>
      <c r="AC2072" s="13">
        <v>1</v>
      </c>
      <c r="AD2072" s="13">
        <v>1</v>
      </c>
      <c r="AE2072" s="13">
        <v>0</v>
      </c>
      <c r="AF2072" s="13">
        <v>3</v>
      </c>
      <c r="AG2072" s="13">
        <v>7</v>
      </c>
      <c r="AH2072" s="13">
        <v>0</v>
      </c>
      <c r="AI2072" s="13">
        <v>0</v>
      </c>
      <c r="AJ2072" s="13">
        <v>0</v>
      </c>
      <c r="AK2072" s="13">
        <v>0</v>
      </c>
      <c r="AL2072" s="13">
        <v>0</v>
      </c>
      <c r="AM2072" s="13">
        <v>0</v>
      </c>
      <c r="AN2072" s="13">
        <v>0</v>
      </c>
      <c r="AO2072" s="14">
        <v>0</v>
      </c>
      <c r="AP2072" s="13">
        <v>3</v>
      </c>
      <c r="AQ2072" s="13">
        <v>11</v>
      </c>
      <c r="AR2072" s="15">
        <v>18</v>
      </c>
      <c r="AS2072" s="15">
        <v>19</v>
      </c>
    </row>
    <row r="2073" spans="1:45" x14ac:dyDescent="0.25">
      <c r="A2073">
        <v>674</v>
      </c>
      <c r="B2073" s="11">
        <f t="shared" si="32"/>
        <v>13084</v>
      </c>
      <c r="C2073" s="12">
        <v>130840</v>
      </c>
      <c r="D2073" s="13">
        <v>0</v>
      </c>
      <c r="E2073" s="13">
        <v>0</v>
      </c>
      <c r="F2073" s="13">
        <v>29</v>
      </c>
      <c r="G2073" s="13">
        <v>68</v>
      </c>
      <c r="H2073" s="13" t="str" cm="1">
        <f t="array" ref="H2073">_xlfn.IFS(G2073&lt;=20,"0-20",G2073&lt;=30,"20-30",G2073&lt;=40,"30-40",G2073&lt;=50,"50-60",G2073&lt;=60,"60-70",G2073&lt;=70,"70-80",G2073&lt;=80,"80-90")</f>
        <v>70-80</v>
      </c>
      <c r="I2073" s="13">
        <v>2398</v>
      </c>
      <c r="J2073" s="13" t="str" cm="1">
        <f t="array" ref="J2073">_xlfn.IFS(K2073=1,"Divorciado",L2073=1,"Casado",M2073=1,"Solteiro",N2073=1,"Juntos",O2073=1,"Viuvo")</f>
        <v>Juntos</v>
      </c>
      <c r="K2073" s="13">
        <v>0</v>
      </c>
      <c r="L2073" s="13">
        <v>0</v>
      </c>
      <c r="M2073" s="13">
        <v>0</v>
      </c>
      <c r="N2073" s="13">
        <v>1</v>
      </c>
      <c r="O2073" s="13">
        <v>0</v>
      </c>
      <c r="P2073" s="13">
        <v>0</v>
      </c>
      <c r="Q2073" s="13">
        <v>1</v>
      </c>
      <c r="R2073" s="13">
        <v>0</v>
      </c>
      <c r="S2073" s="13">
        <v>0</v>
      </c>
      <c r="T2073" s="13">
        <v>0</v>
      </c>
      <c r="U2073" s="13">
        <v>2</v>
      </c>
      <c r="V2073" s="13" t="str" cm="1">
        <f t="array" ref="V2073">_xlfn.IFS(U2073&lt;=250,"0-R$250",U2073&lt;=500,"251-R$500",U2073&lt;=750,"501-R$750",U2073&lt;=1000,"751-R$1000",U2073&lt;=1250,"1001-R$1250",U2073&lt;=1500,"1251-R$1500")</f>
        <v>0-R$250</v>
      </c>
      <c r="W2073" s="13">
        <v>0</v>
      </c>
      <c r="X2073" s="13" t="str" cm="1">
        <f t="array" ref="X2073">_xlfn.IFS(W2073 = 0, "0", W2073&lt;=20, "até R$20",W2073&lt;=40, "21 - R$40",W2073&lt;=60, "41- R$60",W2073&lt;=80, "61 - R$80", W2073&lt;=100, "81 - R$100",W2073&lt;=120, "101 - R$120",W2073&lt;=140, "121 - R$140", W2073&lt;=160, "141- R$160", W2073&lt;=180, "161 - R$180", W2073&lt;=200, "181-R$194")</f>
        <v>0</v>
      </c>
      <c r="Y2073" s="13">
        <v>7</v>
      </c>
      <c r="Z2073" s="13">
        <v>3</v>
      </c>
      <c r="AA2073" s="13">
        <v>7</v>
      </c>
      <c r="AB2073" s="13">
        <v>10</v>
      </c>
      <c r="AC2073" s="13">
        <v>1</v>
      </c>
      <c r="AD2073" s="13">
        <v>1</v>
      </c>
      <c r="AE2073" s="13">
        <v>0</v>
      </c>
      <c r="AF2073" s="13">
        <v>3</v>
      </c>
      <c r="AG2073" s="13">
        <v>6</v>
      </c>
      <c r="AH2073" s="13">
        <v>0</v>
      </c>
      <c r="AI2073" s="13">
        <v>0</v>
      </c>
      <c r="AJ2073" s="13">
        <v>0</v>
      </c>
      <c r="AK2073" s="13">
        <v>0</v>
      </c>
      <c r="AL2073" s="13">
        <v>0</v>
      </c>
      <c r="AM2073" s="13">
        <v>0</v>
      </c>
      <c r="AN2073" s="13">
        <v>0</v>
      </c>
      <c r="AO2073" s="14">
        <v>0</v>
      </c>
      <c r="AP2073" s="13">
        <v>3</v>
      </c>
      <c r="AQ2073" s="13">
        <v>11</v>
      </c>
      <c r="AR2073" s="15">
        <v>9</v>
      </c>
      <c r="AS2073" s="15">
        <v>19</v>
      </c>
    </row>
    <row r="2074" spans="1:45" x14ac:dyDescent="0.25">
      <c r="A2074">
        <v>677</v>
      </c>
      <c r="B2074" s="11">
        <f t="shared" si="32"/>
        <v>34824</v>
      </c>
      <c r="C2074" s="16">
        <v>348240</v>
      </c>
      <c r="D2074" s="17">
        <v>0</v>
      </c>
      <c r="E2074" s="17">
        <v>0</v>
      </c>
      <c r="F2074" s="17">
        <v>65</v>
      </c>
      <c r="G2074" s="17">
        <v>25</v>
      </c>
      <c r="H2074" s="13" t="str" cm="1">
        <f t="array" ref="H2074">_xlfn.IFS(G2074&lt;=20,"0-20",G2074&lt;=30,"20-30",G2074&lt;=40,"30-40",G2074&lt;=50,"50-60",G2074&lt;=60,"60-70",G2074&lt;=70,"70-80",G2074&lt;=80,"80-90")</f>
        <v>20-30</v>
      </c>
      <c r="I2074" s="17">
        <v>2254</v>
      </c>
      <c r="J2074" s="13" t="str" cm="1">
        <f t="array" ref="J2074">_xlfn.IFS(K2074=1,"Divorciado",L2074=1,"Casado",M2074=1,"Solteiro",N2074=1,"Juntos",O2074=1,"Viuvo")</f>
        <v>Solteiro</v>
      </c>
      <c r="K2074" s="17">
        <v>0</v>
      </c>
      <c r="L2074" s="17">
        <v>0</v>
      </c>
      <c r="M2074" s="17">
        <v>1</v>
      </c>
      <c r="N2074" s="17">
        <v>0</v>
      </c>
      <c r="O2074" s="17">
        <v>0</v>
      </c>
      <c r="P2074" s="17">
        <v>0</v>
      </c>
      <c r="Q2074" s="17">
        <v>0</v>
      </c>
      <c r="R2074" s="17">
        <v>1</v>
      </c>
      <c r="S2074" s="17">
        <v>0</v>
      </c>
      <c r="T2074" s="17">
        <v>0</v>
      </c>
      <c r="U2074" s="17">
        <v>4</v>
      </c>
      <c r="V2074" s="13" t="str" cm="1">
        <f t="array" ref="V2074">_xlfn.IFS(U2074&lt;=250,"0-R$250",U2074&lt;=500,"251-R$500",U2074&lt;=750,"501-R$750",U2074&lt;=1000,"751-R$1000",U2074&lt;=1250,"1001-R$1250",U2074&lt;=1500,"1251-R$1500")</f>
        <v>0-R$250</v>
      </c>
      <c r="W2074" s="17">
        <v>2</v>
      </c>
      <c r="X2074" s="13" t="str" cm="1">
        <f t="array" ref="X2074">_xlfn.IFS(W2074 = 0, "0", W2074&lt;=20, "até R$20",W2074&lt;=40, "21 - R$40",W2074&lt;=60, "41- R$60",W2074&lt;=80, "61 - R$80", W2074&lt;=100, "81 - R$100",W2074&lt;=120, "101 - R$120",W2074&lt;=140, "121 - R$140", W2074&lt;=160, "141- R$160", W2074&lt;=180, "161 - R$180", W2074&lt;=200, "181-R$194")</f>
        <v>até R$20</v>
      </c>
      <c r="Y2074" s="17">
        <v>11</v>
      </c>
      <c r="Z2074" s="17">
        <v>2</v>
      </c>
      <c r="AA2074" s="17">
        <v>0</v>
      </c>
      <c r="AB2074" s="17">
        <v>4</v>
      </c>
      <c r="AC2074" s="17">
        <v>1</v>
      </c>
      <c r="AD2074" s="17">
        <v>1</v>
      </c>
      <c r="AE2074" s="17">
        <v>0</v>
      </c>
      <c r="AF2074" s="17">
        <v>2</v>
      </c>
      <c r="AG2074" s="17">
        <v>6</v>
      </c>
      <c r="AH2074" s="17">
        <v>0</v>
      </c>
      <c r="AI2074" s="17">
        <v>0</v>
      </c>
      <c r="AJ2074" s="17">
        <v>0</v>
      </c>
      <c r="AK2074" s="17">
        <v>0</v>
      </c>
      <c r="AL2074" s="17">
        <v>0</v>
      </c>
      <c r="AM2074" s="17">
        <v>0</v>
      </c>
      <c r="AN2074" s="17">
        <v>0</v>
      </c>
      <c r="AO2074" s="18">
        <v>0</v>
      </c>
      <c r="AP2074" s="17">
        <v>3</v>
      </c>
      <c r="AQ2074" s="17">
        <v>11</v>
      </c>
      <c r="AR2074" s="19">
        <v>15</v>
      </c>
      <c r="AS2074" s="19">
        <v>19</v>
      </c>
    </row>
    <row r="2075" spans="1:45" x14ac:dyDescent="0.25">
      <c r="A2075">
        <v>764</v>
      </c>
      <c r="B2075" s="11">
        <f t="shared" si="32"/>
        <v>30467</v>
      </c>
      <c r="C2075" s="12">
        <v>304670</v>
      </c>
      <c r="D2075" s="13">
        <v>1</v>
      </c>
      <c r="E2075" s="13">
        <v>0</v>
      </c>
      <c r="F2075" s="13">
        <v>8</v>
      </c>
      <c r="G2075" s="13">
        <v>48</v>
      </c>
      <c r="H2075" s="13" t="str" cm="1">
        <f t="array" ref="H2075">_xlfn.IFS(G2075&lt;=20,"0-20",G2075&lt;=30,"20-30",G2075&lt;=40,"30-40",G2075&lt;=50,"50-60",G2075&lt;=60,"60-70",G2075&lt;=70,"70-80",G2075&lt;=80,"80-90")</f>
        <v>50-60</v>
      </c>
      <c r="I2075" s="13">
        <v>2261</v>
      </c>
      <c r="J2075" s="13" t="str" cm="1">
        <f t="array" ref="J2075">_xlfn.IFS(K2075=1,"Divorciado",L2075=1,"Casado",M2075=1,"Solteiro",N2075=1,"Juntos",O2075=1,"Viuvo")</f>
        <v>Casado</v>
      </c>
      <c r="K2075" s="13">
        <v>0</v>
      </c>
      <c r="L2075" s="13">
        <v>1</v>
      </c>
      <c r="M2075" s="13">
        <v>0</v>
      </c>
      <c r="N2075" s="13">
        <v>0</v>
      </c>
      <c r="O2075" s="13">
        <v>0</v>
      </c>
      <c r="P2075" s="13">
        <v>0</v>
      </c>
      <c r="Q2075" s="13">
        <v>0</v>
      </c>
      <c r="R2075" s="13">
        <v>1</v>
      </c>
      <c r="S2075" s="13">
        <v>0</v>
      </c>
      <c r="T2075" s="13">
        <v>0</v>
      </c>
      <c r="U2075" s="13">
        <v>1</v>
      </c>
      <c r="V2075" s="13" t="str" cm="1">
        <f t="array" ref="V2075">_xlfn.IFS(U2075&lt;=250,"0-R$250",U2075&lt;=500,"251-R$500",U2075&lt;=750,"501-R$750",U2075&lt;=1000,"751-R$1000",U2075&lt;=1250,"1001-R$1250",U2075&lt;=1500,"1251-R$1500")</f>
        <v>0-R$250</v>
      </c>
      <c r="W2075" s="13">
        <v>3</v>
      </c>
      <c r="X2075" s="13" t="str" cm="1">
        <f t="array" ref="X2075">_xlfn.IFS(W2075 = 0, "0", W2075&lt;=20, "até R$20",W2075&lt;=40, "21 - R$40",W2075&lt;=60, "41- R$60",W2075&lt;=80, "61 - R$80", W2075&lt;=100, "81 - R$100",W2075&lt;=120, "101 - R$120",W2075&lt;=140, "121 - R$140", W2075&lt;=160, "141- R$160", W2075&lt;=180, "161 - R$180", W2075&lt;=200, "181-R$194")</f>
        <v>até R$20</v>
      </c>
      <c r="Y2075" s="13">
        <v>8</v>
      </c>
      <c r="Z2075" s="13">
        <v>2</v>
      </c>
      <c r="AA2075" s="13">
        <v>5</v>
      </c>
      <c r="AB2075" s="13">
        <v>5</v>
      </c>
      <c r="AC2075" s="13">
        <v>1</v>
      </c>
      <c r="AD2075" s="13">
        <v>1</v>
      </c>
      <c r="AE2075" s="13">
        <v>0</v>
      </c>
      <c r="AF2075" s="13">
        <v>2</v>
      </c>
      <c r="AG2075" s="13">
        <v>7</v>
      </c>
      <c r="AH2075" s="13">
        <v>0</v>
      </c>
      <c r="AI2075" s="13">
        <v>0</v>
      </c>
      <c r="AJ2075" s="13">
        <v>0</v>
      </c>
      <c r="AK2075" s="13">
        <v>0</v>
      </c>
      <c r="AL2075" s="13">
        <v>0</v>
      </c>
      <c r="AM2075" s="13">
        <v>0</v>
      </c>
      <c r="AN2075" s="13">
        <v>0</v>
      </c>
      <c r="AO2075" s="14">
        <v>0</v>
      </c>
      <c r="AP2075" s="13">
        <v>3</v>
      </c>
      <c r="AQ2075" s="13">
        <v>11</v>
      </c>
      <c r="AR2075" s="15">
        <v>14</v>
      </c>
      <c r="AS2075" s="15">
        <v>19</v>
      </c>
    </row>
    <row r="2076" spans="1:45" x14ac:dyDescent="0.25">
      <c r="A2076">
        <v>976</v>
      </c>
      <c r="B2076" s="11">
        <f t="shared" si="32"/>
        <v>34824</v>
      </c>
      <c r="C2076" s="12">
        <v>348240</v>
      </c>
      <c r="D2076" s="13">
        <v>0</v>
      </c>
      <c r="E2076" s="13">
        <v>0</v>
      </c>
      <c r="F2076" s="13">
        <v>65</v>
      </c>
      <c r="G2076" s="13">
        <v>25</v>
      </c>
      <c r="H2076" s="13" t="str" cm="1">
        <f t="array" ref="H2076">_xlfn.IFS(G2076&lt;=20,"0-20",G2076&lt;=30,"20-30",G2076&lt;=40,"30-40",G2076&lt;=50,"50-60",G2076&lt;=60,"60-70",G2076&lt;=70,"70-80",G2076&lt;=80,"80-90")</f>
        <v>20-30</v>
      </c>
      <c r="I2076" s="13">
        <v>2254</v>
      </c>
      <c r="J2076" s="13" t="str" cm="1">
        <f t="array" ref="J2076">_xlfn.IFS(K2076=1,"Divorciado",L2076=1,"Casado",M2076=1,"Solteiro",N2076=1,"Juntos",O2076=1,"Viuvo")</f>
        <v>Solteiro</v>
      </c>
      <c r="K2076" s="13">
        <v>0</v>
      </c>
      <c r="L2076" s="13">
        <v>0</v>
      </c>
      <c r="M2076" s="13">
        <v>1</v>
      </c>
      <c r="N2076" s="13">
        <v>0</v>
      </c>
      <c r="O2076" s="13">
        <v>0</v>
      </c>
      <c r="P2076" s="13">
        <v>0</v>
      </c>
      <c r="Q2076" s="13">
        <v>0</v>
      </c>
      <c r="R2076" s="13">
        <v>1</v>
      </c>
      <c r="S2076" s="13">
        <v>0</v>
      </c>
      <c r="T2076" s="13">
        <v>0</v>
      </c>
      <c r="U2076" s="13">
        <v>4</v>
      </c>
      <c r="V2076" s="13" t="str" cm="1">
        <f t="array" ref="V2076">_xlfn.IFS(U2076&lt;=250,"0-R$250",U2076&lt;=500,"251-R$500",U2076&lt;=750,"501-R$750",U2076&lt;=1000,"751-R$1000",U2076&lt;=1250,"1001-R$1250",U2076&lt;=1500,"1251-R$1500")</f>
        <v>0-R$250</v>
      </c>
      <c r="W2076" s="13">
        <v>2</v>
      </c>
      <c r="X2076" s="13" t="str" cm="1">
        <f t="array" ref="X2076">_xlfn.IFS(W2076 = 0, "0", W2076&lt;=20, "até R$20",W2076&lt;=40, "21 - R$40",W2076&lt;=60, "41- R$60",W2076&lt;=80, "61 - R$80", W2076&lt;=100, "81 - R$100",W2076&lt;=120, "101 - R$120",W2076&lt;=140, "121 - R$140", W2076&lt;=160, "141- R$160", W2076&lt;=180, "161 - R$180", W2076&lt;=200, "181-R$194")</f>
        <v>até R$20</v>
      </c>
      <c r="Y2076" s="13">
        <v>11</v>
      </c>
      <c r="Z2076" s="13">
        <v>2</v>
      </c>
      <c r="AA2076" s="13">
        <v>0</v>
      </c>
      <c r="AB2076" s="13">
        <v>4</v>
      </c>
      <c r="AC2076" s="13">
        <v>1</v>
      </c>
      <c r="AD2076" s="13">
        <v>1</v>
      </c>
      <c r="AE2076" s="13">
        <v>0</v>
      </c>
      <c r="AF2076" s="13">
        <v>2</v>
      </c>
      <c r="AG2076" s="13">
        <v>6</v>
      </c>
      <c r="AH2076" s="13">
        <v>0</v>
      </c>
      <c r="AI2076" s="13">
        <v>0</v>
      </c>
      <c r="AJ2076" s="13">
        <v>0</v>
      </c>
      <c r="AK2076" s="13">
        <v>0</v>
      </c>
      <c r="AL2076" s="13">
        <v>0</v>
      </c>
      <c r="AM2076" s="13">
        <v>0</v>
      </c>
      <c r="AN2076" s="13">
        <v>0</v>
      </c>
      <c r="AO2076" s="14">
        <v>0</v>
      </c>
      <c r="AP2076" s="13">
        <v>3</v>
      </c>
      <c r="AQ2076" s="13">
        <v>11</v>
      </c>
      <c r="AR2076" s="15">
        <v>15</v>
      </c>
      <c r="AS2076" s="15">
        <v>19</v>
      </c>
    </row>
    <row r="2077" spans="1:45" x14ac:dyDescent="0.25">
      <c r="A2077">
        <v>1166</v>
      </c>
      <c r="B2077" s="11">
        <f t="shared" si="32"/>
        <v>22327</v>
      </c>
      <c r="C2077" s="12">
        <v>223270</v>
      </c>
      <c r="D2077" s="13">
        <v>1</v>
      </c>
      <c r="E2077" s="13">
        <v>0</v>
      </c>
      <c r="F2077" s="13">
        <v>94</v>
      </c>
      <c r="G2077" s="13">
        <v>35</v>
      </c>
      <c r="H2077" s="13" t="str" cm="1">
        <f t="array" ref="H2077">_xlfn.IFS(G2077&lt;=20,"0-20",G2077&lt;=30,"20-30",G2077&lt;=40,"30-40",G2077&lt;=50,"50-60",G2077&lt;=60,"60-70",G2077&lt;=70,"70-80",G2077&lt;=80,"80-90")</f>
        <v>30-40</v>
      </c>
      <c r="I2077" s="13">
        <v>2490</v>
      </c>
      <c r="J2077" s="13" t="str" cm="1">
        <f t="array" ref="J2077">_xlfn.IFS(K2077=1,"Divorciado",L2077=1,"Casado",M2077=1,"Solteiro",N2077=1,"Juntos",O2077=1,"Viuvo")</f>
        <v>Solteiro</v>
      </c>
      <c r="K2077" s="13">
        <v>0</v>
      </c>
      <c r="L2077" s="13">
        <v>0</v>
      </c>
      <c r="M2077" s="13">
        <v>1</v>
      </c>
      <c r="N2077" s="13">
        <v>0</v>
      </c>
      <c r="O2077" s="13">
        <v>0</v>
      </c>
      <c r="P2077" s="13">
        <v>0</v>
      </c>
      <c r="Q2077" s="13">
        <v>0</v>
      </c>
      <c r="R2077" s="13">
        <v>1</v>
      </c>
      <c r="S2077" s="13">
        <v>0</v>
      </c>
      <c r="T2077" s="13">
        <v>0</v>
      </c>
      <c r="U2077" s="13">
        <v>5</v>
      </c>
      <c r="V2077" s="13" t="str" cm="1">
        <f t="array" ref="V2077">_xlfn.IFS(U2077&lt;=250,"0-R$250",U2077&lt;=500,"251-R$500",U2077&lt;=750,"501-R$750",U2077&lt;=1000,"751-R$1000",U2077&lt;=1250,"1001-R$1250",U2077&lt;=1500,"1251-R$1500")</f>
        <v>0-R$250</v>
      </c>
      <c r="W2077" s="13">
        <v>4</v>
      </c>
      <c r="X2077" s="13" t="str" cm="1">
        <f t="array" ref="X2077">_xlfn.IFS(W2077 = 0, "0", W2077&lt;=20, "até R$20",W2077&lt;=40, "21 - R$40",W2077&lt;=60, "41- R$60",W2077&lt;=80, "61 - R$80", W2077&lt;=100, "81 - R$100",W2077&lt;=120, "101 - R$120",W2077&lt;=140, "121 - R$140", W2077&lt;=160, "141- R$160", W2077&lt;=180, "161 - R$180", W2077&lt;=200, "181-R$194")</f>
        <v>até R$20</v>
      </c>
      <c r="Y2077" s="13">
        <v>8</v>
      </c>
      <c r="Z2077" s="13">
        <v>2</v>
      </c>
      <c r="AA2077" s="13">
        <v>0</v>
      </c>
      <c r="AB2077" s="13">
        <v>5</v>
      </c>
      <c r="AC2077" s="13">
        <v>1</v>
      </c>
      <c r="AD2077" s="13">
        <v>1</v>
      </c>
      <c r="AE2077" s="13">
        <v>0</v>
      </c>
      <c r="AF2077" s="13">
        <v>3</v>
      </c>
      <c r="AG2077" s="13">
        <v>5</v>
      </c>
      <c r="AH2077" s="13">
        <v>0</v>
      </c>
      <c r="AI2077" s="13">
        <v>0</v>
      </c>
      <c r="AJ2077" s="13">
        <v>0</v>
      </c>
      <c r="AK2077" s="13">
        <v>0</v>
      </c>
      <c r="AL2077" s="13">
        <v>0</v>
      </c>
      <c r="AM2077" s="13">
        <v>0</v>
      </c>
      <c r="AN2077" s="13">
        <v>0</v>
      </c>
      <c r="AO2077" s="14">
        <v>0</v>
      </c>
      <c r="AP2077" s="13">
        <v>3</v>
      </c>
      <c r="AQ2077" s="13">
        <v>11</v>
      </c>
      <c r="AR2077" s="15">
        <v>14</v>
      </c>
      <c r="AS2077" s="15">
        <v>19</v>
      </c>
    </row>
    <row r="2078" spans="1:45" x14ac:dyDescent="0.25">
      <c r="A2078">
        <v>1324</v>
      </c>
      <c r="B2078" s="11">
        <f t="shared" si="32"/>
        <v>24367</v>
      </c>
      <c r="C2078" s="12">
        <v>243670</v>
      </c>
      <c r="D2078" s="13">
        <v>1</v>
      </c>
      <c r="E2078" s="13">
        <v>0</v>
      </c>
      <c r="F2078" s="13">
        <v>58</v>
      </c>
      <c r="G2078" s="13">
        <v>38</v>
      </c>
      <c r="H2078" s="13" t="str" cm="1">
        <f t="array" ref="H2078">_xlfn.IFS(G2078&lt;=20,"0-20",G2078&lt;=30,"20-30",G2078&lt;=40,"30-40",G2078&lt;=50,"50-60",G2078&lt;=60,"60-70",G2078&lt;=70,"70-80",G2078&lt;=80,"80-90")</f>
        <v>30-40</v>
      </c>
      <c r="I2078" s="13">
        <v>2625</v>
      </c>
      <c r="J2078" s="13" t="str" cm="1">
        <f t="array" ref="J2078">_xlfn.IFS(K2078=1,"Divorciado",L2078=1,"Casado",M2078=1,"Solteiro",N2078=1,"Juntos",O2078=1,"Viuvo")</f>
        <v>Solteiro</v>
      </c>
      <c r="K2078" s="13">
        <v>0</v>
      </c>
      <c r="L2078" s="13">
        <v>0</v>
      </c>
      <c r="M2078" s="13">
        <v>1</v>
      </c>
      <c r="N2078" s="13">
        <v>0</v>
      </c>
      <c r="O2078" s="13">
        <v>0</v>
      </c>
      <c r="P2078" s="13">
        <v>0</v>
      </c>
      <c r="Q2078" s="13">
        <v>1</v>
      </c>
      <c r="R2078" s="13">
        <v>0</v>
      </c>
      <c r="S2078" s="13">
        <v>0</v>
      </c>
      <c r="T2078" s="13">
        <v>0</v>
      </c>
      <c r="U2078" s="13">
        <v>2</v>
      </c>
      <c r="V2078" s="13" t="str" cm="1">
        <f t="array" ref="V2078">_xlfn.IFS(U2078&lt;=250,"0-R$250",U2078&lt;=500,"251-R$500",U2078&lt;=750,"501-R$750",U2078&lt;=1000,"751-R$1000",U2078&lt;=1250,"1001-R$1250",U2078&lt;=1500,"1251-R$1500")</f>
        <v>0-R$250</v>
      </c>
      <c r="W2078" s="13">
        <v>4</v>
      </c>
      <c r="X2078" s="13" t="str" cm="1">
        <f t="array" ref="X2078">_xlfn.IFS(W2078 = 0, "0", W2078&lt;=20, "até R$20",W2078&lt;=40, "21 - R$40",W2078&lt;=60, "41- R$60",W2078&lt;=80, "61 - R$80", W2078&lt;=100, "81 - R$100",W2078&lt;=120, "101 - R$120",W2078&lt;=140, "121 - R$140", W2078&lt;=160, "141- R$160", W2078&lt;=180, "161 - R$180", W2078&lt;=200, "181-R$194")</f>
        <v>até R$20</v>
      </c>
      <c r="Y2078" s="13">
        <v>2</v>
      </c>
      <c r="Z2078" s="13">
        <v>0</v>
      </c>
      <c r="AA2078" s="13">
        <v>11</v>
      </c>
      <c r="AB2078" s="13">
        <v>5</v>
      </c>
      <c r="AC2078" s="13">
        <v>1</v>
      </c>
      <c r="AD2078" s="13">
        <v>1</v>
      </c>
      <c r="AE2078" s="13">
        <v>0</v>
      </c>
      <c r="AF2078" s="13">
        <v>2</v>
      </c>
      <c r="AG2078" s="13">
        <v>9</v>
      </c>
      <c r="AH2078" s="13">
        <v>0</v>
      </c>
      <c r="AI2078" s="13">
        <v>0</v>
      </c>
      <c r="AJ2078" s="13">
        <v>0</v>
      </c>
      <c r="AK2078" s="13">
        <v>0</v>
      </c>
      <c r="AL2078" s="13">
        <v>0</v>
      </c>
      <c r="AM2078" s="13">
        <v>0</v>
      </c>
      <c r="AN2078" s="13">
        <v>0</v>
      </c>
      <c r="AO2078" s="14">
        <v>0</v>
      </c>
      <c r="AP2078" s="13">
        <v>3</v>
      </c>
      <c r="AQ2078" s="13">
        <v>11</v>
      </c>
      <c r="AR2078" s="15">
        <v>14</v>
      </c>
      <c r="AS2078" s="15">
        <v>19</v>
      </c>
    </row>
    <row r="2079" spans="1:45" x14ac:dyDescent="0.25">
      <c r="A2079">
        <v>1417</v>
      </c>
      <c r="B2079" s="11">
        <f t="shared" si="32"/>
        <v>36408</v>
      </c>
      <c r="C2079" s="16">
        <v>364080</v>
      </c>
      <c r="D2079" s="17">
        <v>1</v>
      </c>
      <c r="E2079" s="17">
        <v>1</v>
      </c>
      <c r="F2079" s="17">
        <v>11</v>
      </c>
      <c r="G2079" s="17">
        <v>71</v>
      </c>
      <c r="H2079" s="13" t="str" cm="1">
        <f t="array" ref="H2079">_xlfn.IFS(G2079&lt;=20,"0-20",G2079&lt;=30,"20-30",G2079&lt;=40,"30-40",G2079&lt;=50,"50-60",G2079&lt;=60,"60-70",G2079&lt;=70,"70-80",G2079&lt;=80,"80-90")</f>
        <v>80-90</v>
      </c>
      <c r="I2079" s="17">
        <v>2440</v>
      </c>
      <c r="J2079" s="13" t="str" cm="1">
        <f t="array" ref="J2079">_xlfn.IFS(K2079=1,"Divorciado",L2079=1,"Casado",M2079=1,"Solteiro",N2079=1,"Juntos",O2079=1,"Viuvo")</f>
        <v>Casado</v>
      </c>
      <c r="K2079" s="17">
        <v>0</v>
      </c>
      <c r="L2079" s="17">
        <v>1</v>
      </c>
      <c r="M2079" s="17">
        <v>0</v>
      </c>
      <c r="N2079" s="17">
        <v>0</v>
      </c>
      <c r="O2079" s="17">
        <v>0</v>
      </c>
      <c r="P2079" s="17">
        <v>0</v>
      </c>
      <c r="Q2079" s="17">
        <v>0</v>
      </c>
      <c r="R2079" s="17">
        <v>0</v>
      </c>
      <c r="S2079" s="17">
        <v>1</v>
      </c>
      <c r="T2079" s="17">
        <v>0</v>
      </c>
      <c r="U2079" s="17">
        <v>9</v>
      </c>
      <c r="V2079" s="13" t="str" cm="1">
        <f t="array" ref="V2079">_xlfn.IFS(U2079&lt;=250,"0-R$250",U2079&lt;=500,"251-R$500",U2079&lt;=750,"501-R$750",U2079&lt;=1000,"751-R$1000",U2079&lt;=1250,"1001-R$1250",U2079&lt;=1500,"1251-R$1500")</f>
        <v>0-R$250</v>
      </c>
      <c r="W2079" s="17">
        <v>1</v>
      </c>
      <c r="X2079" s="13" t="str" cm="1">
        <f t="array" ref="X2079">_xlfn.IFS(W2079 = 0, "0", W2079&lt;=20, "até R$20",W2079&lt;=40, "21 - R$40",W2079&lt;=60, "41- R$60",W2079&lt;=80, "61 - R$80", W2079&lt;=100, "81 - R$100",W2079&lt;=120, "101 - R$120",W2079&lt;=140, "121 - R$140", W2079&lt;=160, "141- R$160", W2079&lt;=180, "161 - R$180", W2079&lt;=200, "181-R$194")</f>
        <v>até R$20</v>
      </c>
      <c r="Y2079" s="17">
        <v>4</v>
      </c>
      <c r="Z2079" s="17">
        <v>3</v>
      </c>
      <c r="AA2079" s="17">
        <v>2</v>
      </c>
      <c r="AB2079" s="17">
        <v>3</v>
      </c>
      <c r="AC2079" s="17">
        <v>1</v>
      </c>
      <c r="AD2079" s="17">
        <v>1</v>
      </c>
      <c r="AE2079" s="17">
        <v>0</v>
      </c>
      <c r="AF2079" s="17">
        <v>2</v>
      </c>
      <c r="AG2079" s="17">
        <v>6</v>
      </c>
      <c r="AH2079" s="17">
        <v>0</v>
      </c>
      <c r="AI2079" s="17">
        <v>0</v>
      </c>
      <c r="AJ2079" s="17">
        <v>0</v>
      </c>
      <c r="AK2079" s="17">
        <v>0</v>
      </c>
      <c r="AL2079" s="17">
        <v>0</v>
      </c>
      <c r="AM2079" s="17">
        <v>0</v>
      </c>
      <c r="AN2079" s="17">
        <v>0</v>
      </c>
      <c r="AO2079" s="18">
        <v>0</v>
      </c>
      <c r="AP2079" s="17">
        <v>3</v>
      </c>
      <c r="AQ2079" s="17">
        <v>11</v>
      </c>
      <c r="AR2079" s="19">
        <v>16</v>
      </c>
      <c r="AS2079" s="19">
        <v>19</v>
      </c>
    </row>
    <row r="2080" spans="1:45" x14ac:dyDescent="0.25">
      <c r="A2080">
        <v>1668</v>
      </c>
      <c r="B2080" s="11">
        <f t="shared" si="32"/>
        <v>24336</v>
      </c>
      <c r="C2080" s="12">
        <v>243360</v>
      </c>
      <c r="D2080" s="13">
        <v>1</v>
      </c>
      <c r="E2080" s="13">
        <v>0</v>
      </c>
      <c r="F2080" s="13">
        <v>82</v>
      </c>
      <c r="G2080" s="13">
        <v>39</v>
      </c>
      <c r="H2080" s="13" t="str" cm="1">
        <f t="array" ref="H2080">_xlfn.IFS(G2080&lt;=20,"0-20",G2080&lt;=30,"20-30",G2080&lt;=40,"30-40",G2080&lt;=50,"50-60",G2080&lt;=60,"60-70",G2080&lt;=70,"70-80",G2080&lt;=80,"80-90")</f>
        <v>30-40</v>
      </c>
      <c r="I2080" s="13">
        <v>2830</v>
      </c>
      <c r="J2080" s="13" t="str" cm="1">
        <f t="array" ref="J2080">_xlfn.IFS(K2080=1,"Divorciado",L2080=1,"Casado",M2080=1,"Solteiro",N2080=1,"Juntos",O2080=1,"Viuvo")</f>
        <v>Solteiro</v>
      </c>
      <c r="K2080" s="13">
        <v>0</v>
      </c>
      <c r="L2080" s="13">
        <v>0</v>
      </c>
      <c r="M2080" s="13">
        <v>1</v>
      </c>
      <c r="N2080" s="13">
        <v>0</v>
      </c>
      <c r="O2080" s="13">
        <v>0</v>
      </c>
      <c r="P2080" s="13">
        <v>1</v>
      </c>
      <c r="Q2080" s="13">
        <v>0</v>
      </c>
      <c r="R2080" s="13">
        <v>0</v>
      </c>
      <c r="S2080" s="13">
        <v>0</v>
      </c>
      <c r="T2080" s="13">
        <v>0</v>
      </c>
      <c r="U2080" s="13">
        <v>1</v>
      </c>
      <c r="V2080" s="13" t="str" cm="1">
        <f t="array" ref="V2080">_xlfn.IFS(U2080&lt;=250,"0-R$250",U2080&lt;=500,"251-R$500",U2080&lt;=750,"501-R$750",U2080&lt;=1000,"751-R$1000",U2080&lt;=1250,"1001-R$1250",U2080&lt;=1500,"1251-R$1500")</f>
        <v>0-R$250</v>
      </c>
      <c r="W2080" s="13">
        <v>6</v>
      </c>
      <c r="X2080" s="13" t="str" cm="1">
        <f t="array" ref="X2080">_xlfn.IFS(W2080 = 0, "0", W2080&lt;=20, "até R$20",W2080&lt;=40, "21 - R$40",W2080&lt;=60, "41- R$60",W2080&lt;=80, "61 - R$80", W2080&lt;=100, "81 - R$100",W2080&lt;=120, "101 - R$120",W2080&lt;=140, "121 - R$140", W2080&lt;=160, "141- R$160", W2080&lt;=180, "161 - R$180", W2080&lt;=200, "181-R$194")</f>
        <v>até R$20</v>
      </c>
      <c r="Y2080" s="13">
        <v>2</v>
      </c>
      <c r="Z2080" s="13">
        <v>8</v>
      </c>
      <c r="AA2080" s="13">
        <v>2</v>
      </c>
      <c r="AB2080" s="13">
        <v>12</v>
      </c>
      <c r="AC2080" s="13">
        <v>1</v>
      </c>
      <c r="AD2080" s="13">
        <v>1</v>
      </c>
      <c r="AE2080" s="13">
        <v>0</v>
      </c>
      <c r="AF2080" s="13">
        <v>2</v>
      </c>
      <c r="AG2080" s="13">
        <v>7</v>
      </c>
      <c r="AH2080" s="13">
        <v>0</v>
      </c>
      <c r="AI2080" s="13">
        <v>0</v>
      </c>
      <c r="AJ2080" s="13">
        <v>0</v>
      </c>
      <c r="AK2080" s="13">
        <v>0</v>
      </c>
      <c r="AL2080" s="13">
        <v>0</v>
      </c>
      <c r="AM2080" s="13">
        <v>0</v>
      </c>
      <c r="AN2080" s="13">
        <v>0</v>
      </c>
      <c r="AO2080" s="14">
        <v>0</v>
      </c>
      <c r="AP2080" s="13">
        <v>3</v>
      </c>
      <c r="AQ2080" s="13">
        <v>11</v>
      </c>
      <c r="AR2080" s="15">
        <v>7</v>
      </c>
      <c r="AS2080" s="15">
        <v>19</v>
      </c>
    </row>
    <row r="2081" spans="1:45" x14ac:dyDescent="0.25">
      <c r="A2081">
        <v>1741</v>
      </c>
      <c r="B2081" s="11">
        <f t="shared" si="32"/>
        <v>36802</v>
      </c>
      <c r="C2081" s="16">
        <v>368020</v>
      </c>
      <c r="D2081" s="17">
        <v>1</v>
      </c>
      <c r="E2081" s="17">
        <v>0</v>
      </c>
      <c r="F2081" s="17">
        <v>23</v>
      </c>
      <c r="G2081" s="17">
        <v>40</v>
      </c>
      <c r="H2081" s="13" t="str" cm="1">
        <f t="array" ref="H2081">_xlfn.IFS(G2081&lt;=20,"0-20",G2081&lt;=30,"20-30",G2081&lt;=40,"30-40",G2081&lt;=50,"50-60",G2081&lt;=60,"60-70",G2081&lt;=70,"70-80",G2081&lt;=80,"80-90")</f>
        <v>30-40</v>
      </c>
      <c r="I2081" s="17">
        <v>2172</v>
      </c>
      <c r="J2081" s="13" t="str" cm="1">
        <f t="array" ref="J2081">_xlfn.IFS(K2081=1,"Divorciado",L2081=1,"Casado",M2081=1,"Solteiro",N2081=1,"Juntos",O2081=1,"Viuvo")</f>
        <v>Solteiro</v>
      </c>
      <c r="K2081" s="17">
        <v>0</v>
      </c>
      <c r="L2081" s="17">
        <v>0</v>
      </c>
      <c r="M2081" s="17">
        <v>1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1</v>
      </c>
      <c r="U2081" s="17">
        <v>16</v>
      </c>
      <c r="V2081" s="13" t="str" cm="1">
        <f t="array" ref="V2081">_xlfn.IFS(U2081&lt;=250,"0-R$250",U2081&lt;=500,"251-R$500",U2081&lt;=750,"501-R$750",U2081&lt;=1000,"751-R$1000",U2081&lt;=1250,"1001-R$1250",U2081&lt;=1500,"1251-R$1500")</f>
        <v>0-R$250</v>
      </c>
      <c r="W2081" s="17">
        <v>1</v>
      </c>
      <c r="X2081" s="13" t="str" cm="1">
        <f t="array" ref="X2081">_xlfn.IFS(W2081 = 0, "0", W2081&lt;=20, "até R$20",W2081&lt;=40, "21 - R$40",W2081&lt;=60, "41- R$60",W2081&lt;=80, "61 - R$80", W2081&lt;=100, "81 - R$100",W2081&lt;=120, "101 - R$120",W2081&lt;=140, "121 - R$140", W2081&lt;=160, "141- R$160", W2081&lt;=180, "161 - R$180", W2081&lt;=200, "181-R$194")</f>
        <v>até R$20</v>
      </c>
      <c r="Y2081" s="17">
        <v>2</v>
      </c>
      <c r="Z2081" s="17">
        <v>0</v>
      </c>
      <c r="AA2081" s="17">
        <v>0</v>
      </c>
      <c r="AB2081" s="17">
        <v>1</v>
      </c>
      <c r="AC2081" s="17">
        <v>1</v>
      </c>
      <c r="AD2081" s="17">
        <v>1</v>
      </c>
      <c r="AE2081" s="17">
        <v>0</v>
      </c>
      <c r="AF2081" s="17">
        <v>3</v>
      </c>
      <c r="AG2081" s="17">
        <v>5</v>
      </c>
      <c r="AH2081" s="17">
        <v>0</v>
      </c>
      <c r="AI2081" s="17">
        <v>0</v>
      </c>
      <c r="AJ2081" s="17">
        <v>0</v>
      </c>
      <c r="AK2081" s="17">
        <v>0</v>
      </c>
      <c r="AL2081" s="17">
        <v>0</v>
      </c>
      <c r="AM2081" s="17">
        <v>0</v>
      </c>
      <c r="AN2081" s="17">
        <v>0</v>
      </c>
      <c r="AO2081" s="18">
        <v>0</v>
      </c>
      <c r="AP2081" s="17">
        <v>3</v>
      </c>
      <c r="AQ2081" s="17">
        <v>11</v>
      </c>
      <c r="AR2081" s="19">
        <v>18</v>
      </c>
      <c r="AS2081" s="19">
        <v>19</v>
      </c>
    </row>
    <row r="2082" spans="1:45" x14ac:dyDescent="0.25">
      <c r="A2082">
        <v>1894</v>
      </c>
      <c r="B2082" s="11">
        <f t="shared" si="32"/>
        <v>34230</v>
      </c>
      <c r="C2082" s="12">
        <v>342300</v>
      </c>
      <c r="D2082" s="13">
        <v>1</v>
      </c>
      <c r="E2082" s="13">
        <v>1</v>
      </c>
      <c r="F2082" s="13">
        <v>72</v>
      </c>
      <c r="G2082" s="13">
        <v>55</v>
      </c>
      <c r="H2082" s="13" t="str" cm="1">
        <f t="array" ref="H2082">_xlfn.IFS(G2082&lt;=20,"0-20",G2082&lt;=30,"20-30",G2082&lt;=40,"30-40",G2082&lt;=50,"50-60",G2082&lt;=60,"60-70",G2082&lt;=70,"70-80",G2082&lt;=80,"80-90")</f>
        <v>60-70</v>
      </c>
      <c r="I2082" s="13">
        <v>2709</v>
      </c>
      <c r="J2082" s="13" t="str" cm="1">
        <f t="array" ref="J2082">_xlfn.IFS(K2082=1,"Divorciado",L2082=1,"Casado",M2082=1,"Solteiro",N2082=1,"Juntos",O2082=1,"Viuvo")</f>
        <v>Juntos</v>
      </c>
      <c r="K2082" s="13">
        <v>0</v>
      </c>
      <c r="L2082" s="13">
        <v>0</v>
      </c>
      <c r="M2082" s="13">
        <v>0</v>
      </c>
      <c r="N2082" s="13">
        <v>1</v>
      </c>
      <c r="O2082" s="13">
        <v>0</v>
      </c>
      <c r="P2082" s="13">
        <v>0</v>
      </c>
      <c r="Q2082" s="13">
        <v>0</v>
      </c>
      <c r="R2082" s="13">
        <v>0</v>
      </c>
      <c r="S2082" s="13">
        <v>0</v>
      </c>
      <c r="T2082" s="13">
        <v>1</v>
      </c>
      <c r="U2082" s="13">
        <v>15</v>
      </c>
      <c r="V2082" s="13" t="str" cm="1">
        <f t="array" ref="V2082">_xlfn.IFS(U2082&lt;=250,"0-R$250",U2082&lt;=500,"251-R$500",U2082&lt;=750,"501-R$750",U2082&lt;=1000,"751-R$1000",U2082&lt;=1250,"1001-R$1250",U2082&lt;=1500,"1251-R$1500")</f>
        <v>0-R$250</v>
      </c>
      <c r="W2082" s="13">
        <v>0</v>
      </c>
      <c r="X2082" s="13" t="str" cm="1">
        <f t="array" ref="X2082">_xlfn.IFS(W2082 = 0, "0", W2082&lt;=20, "até R$20",W2082&lt;=40, "21 - R$40",W2082&lt;=60, "41- R$60",W2082&lt;=80, "61 - R$80", W2082&lt;=100, "81 - R$100",W2082&lt;=120, "101 - R$120",W2082&lt;=140, "121 - R$140", W2082&lt;=160, "141- R$160", W2082&lt;=180, "161 - R$180", W2082&lt;=200, "181-R$194")</f>
        <v>0</v>
      </c>
      <c r="Y2082" s="13">
        <v>4</v>
      </c>
      <c r="Z2082" s="13">
        <v>0</v>
      </c>
      <c r="AA2082" s="13">
        <v>0</v>
      </c>
      <c r="AB2082" s="13">
        <v>2</v>
      </c>
      <c r="AC2082" s="13">
        <v>1</v>
      </c>
      <c r="AD2082" s="13">
        <v>1</v>
      </c>
      <c r="AE2082" s="13">
        <v>0</v>
      </c>
      <c r="AF2082" s="13">
        <v>2</v>
      </c>
      <c r="AG2082" s="13">
        <v>7</v>
      </c>
      <c r="AH2082" s="13">
        <v>0</v>
      </c>
      <c r="AI2082" s="13">
        <v>0</v>
      </c>
      <c r="AJ2082" s="13">
        <v>0</v>
      </c>
      <c r="AK2082" s="13">
        <v>0</v>
      </c>
      <c r="AL2082" s="13">
        <v>0</v>
      </c>
      <c r="AM2082" s="13">
        <v>0</v>
      </c>
      <c r="AN2082" s="13">
        <v>0</v>
      </c>
      <c r="AO2082" s="14">
        <v>0</v>
      </c>
      <c r="AP2082" s="13">
        <v>3</v>
      </c>
      <c r="AQ2082" s="13">
        <v>11</v>
      </c>
      <c r="AR2082" s="15">
        <v>17</v>
      </c>
      <c r="AS2082" s="15">
        <v>19</v>
      </c>
    </row>
    <row r="2083" spans="1:45" x14ac:dyDescent="0.25">
      <c r="A2083">
        <v>1900</v>
      </c>
      <c r="B2083" s="11">
        <f t="shared" si="32"/>
        <v>22701</v>
      </c>
      <c r="C2083" s="12">
        <v>227010</v>
      </c>
      <c r="D2083" s="13">
        <v>1</v>
      </c>
      <c r="E2083" s="13">
        <v>0</v>
      </c>
      <c r="F2083" s="13">
        <v>2</v>
      </c>
      <c r="G2083" s="13">
        <v>43</v>
      </c>
      <c r="H2083" s="13" t="str" cm="1">
        <f t="array" ref="H2083">_xlfn.IFS(G2083&lt;=20,"0-20",G2083&lt;=30,"20-30",G2083&lt;=40,"30-40",G2083&lt;=50,"50-60",G2083&lt;=60,"60-70",G2083&lt;=70,"70-80",G2083&lt;=80,"80-90")</f>
        <v>50-60</v>
      </c>
      <c r="I2083" s="13">
        <v>2456</v>
      </c>
      <c r="J2083" s="13" t="str" cm="1">
        <f t="array" ref="J2083">_xlfn.IFS(K2083=1,"Divorciado",L2083=1,"Casado",M2083=1,"Solteiro",N2083=1,"Juntos",O2083=1,"Viuvo")</f>
        <v>Casado</v>
      </c>
      <c r="K2083" s="13">
        <v>0</v>
      </c>
      <c r="L2083" s="13">
        <v>1</v>
      </c>
      <c r="M2083" s="13">
        <v>0</v>
      </c>
      <c r="N2083" s="13">
        <v>0</v>
      </c>
      <c r="O2083" s="13">
        <v>0</v>
      </c>
      <c r="P2083" s="13">
        <v>0</v>
      </c>
      <c r="Q2083" s="13">
        <v>0</v>
      </c>
      <c r="R2083" s="13">
        <v>0</v>
      </c>
      <c r="S2083" s="13">
        <v>1</v>
      </c>
      <c r="T2083" s="13">
        <v>0</v>
      </c>
      <c r="U2083" s="13">
        <v>2</v>
      </c>
      <c r="V2083" s="13" t="str" cm="1">
        <f t="array" ref="V2083">_xlfn.IFS(U2083&lt;=250,"0-R$250",U2083&lt;=500,"251-R$500",U2083&lt;=750,"501-R$750",U2083&lt;=1000,"751-R$1000",U2083&lt;=1250,"1001-R$1250",U2083&lt;=1500,"1251-R$1500")</f>
        <v>0-R$250</v>
      </c>
      <c r="W2083" s="13">
        <v>4</v>
      </c>
      <c r="X2083" s="13" t="str" cm="1">
        <f t="array" ref="X2083">_xlfn.IFS(W2083 = 0, "0", W2083&lt;=20, "até R$20",W2083&lt;=40, "21 - R$40",W2083&lt;=60, "41- R$60",W2083&lt;=80, "61 - R$80", W2083&lt;=100, "81 - R$100",W2083&lt;=120, "101 - R$120",W2083&lt;=140, "121 - R$140", W2083&lt;=160, "141- R$160", W2083&lt;=180, "161 - R$180", W2083&lt;=200, "181-R$194")</f>
        <v>até R$20</v>
      </c>
      <c r="Y2083" s="13">
        <v>9</v>
      </c>
      <c r="Z2083" s="13">
        <v>0</v>
      </c>
      <c r="AA2083" s="13">
        <v>4</v>
      </c>
      <c r="AB2083" s="13">
        <v>5</v>
      </c>
      <c r="AC2083" s="13">
        <v>1</v>
      </c>
      <c r="AD2083" s="13">
        <v>1</v>
      </c>
      <c r="AE2083" s="13">
        <v>0</v>
      </c>
      <c r="AF2083" s="13">
        <v>3</v>
      </c>
      <c r="AG2083" s="13">
        <v>5</v>
      </c>
      <c r="AH2083" s="13">
        <v>0</v>
      </c>
      <c r="AI2083" s="13">
        <v>0</v>
      </c>
      <c r="AJ2083" s="13">
        <v>0</v>
      </c>
      <c r="AK2083" s="13">
        <v>0</v>
      </c>
      <c r="AL2083" s="13">
        <v>0</v>
      </c>
      <c r="AM2083" s="13">
        <v>0</v>
      </c>
      <c r="AN2083" s="13">
        <v>0</v>
      </c>
      <c r="AO2083" s="14">
        <v>0</v>
      </c>
      <c r="AP2083" s="13">
        <v>3</v>
      </c>
      <c r="AQ2083" s="13">
        <v>11</v>
      </c>
      <c r="AR2083" s="15">
        <v>14</v>
      </c>
      <c r="AS2083" s="15">
        <v>19</v>
      </c>
    </row>
    <row r="2084" spans="1:45" x14ac:dyDescent="0.25">
      <c r="A2084">
        <v>1931</v>
      </c>
      <c r="B2084" s="11">
        <f t="shared" si="32"/>
        <v>29478</v>
      </c>
      <c r="C2084" s="16">
        <v>294780</v>
      </c>
      <c r="D2084" s="17">
        <v>1</v>
      </c>
      <c r="E2084" s="17">
        <v>0</v>
      </c>
      <c r="F2084" s="17">
        <v>59</v>
      </c>
      <c r="G2084" s="17">
        <v>44</v>
      </c>
      <c r="H2084" s="13" t="str" cm="1">
        <f t="array" ref="H2084">_xlfn.IFS(G2084&lt;=20,"0-20",G2084&lt;=30,"20-30",G2084&lt;=40,"30-40",G2084&lt;=50,"50-60",G2084&lt;=60,"60-70",G2084&lt;=70,"70-80",G2084&lt;=80,"80-90")</f>
        <v>50-60</v>
      </c>
      <c r="I2084" s="17">
        <v>2322</v>
      </c>
      <c r="J2084" s="13" t="str" cm="1">
        <f t="array" ref="J2084">_xlfn.IFS(K2084=1,"Divorciado",L2084=1,"Casado",M2084=1,"Solteiro",N2084=1,"Juntos",O2084=1,"Viuvo")</f>
        <v>Juntos</v>
      </c>
      <c r="K2084" s="17">
        <v>0</v>
      </c>
      <c r="L2084" s="17">
        <v>0</v>
      </c>
      <c r="M2084" s="17">
        <v>0</v>
      </c>
      <c r="N2084" s="17">
        <v>1</v>
      </c>
      <c r="O2084" s="17">
        <v>0</v>
      </c>
      <c r="P2084" s="17">
        <v>0</v>
      </c>
      <c r="Q2084" s="17">
        <v>0</v>
      </c>
      <c r="R2084" s="17">
        <v>1</v>
      </c>
      <c r="S2084" s="17">
        <v>0</v>
      </c>
      <c r="T2084" s="17">
        <v>0</v>
      </c>
      <c r="U2084" s="17">
        <v>8</v>
      </c>
      <c r="V2084" s="13" t="str" cm="1">
        <f t="array" ref="V2084">_xlfn.IFS(U2084&lt;=250,"0-R$250",U2084&lt;=500,"251-R$500",U2084&lt;=750,"501-R$750",U2084&lt;=1000,"751-R$1000",U2084&lt;=1250,"1001-R$1250",U2084&lt;=1500,"1251-R$1500")</f>
        <v>0-R$250</v>
      </c>
      <c r="W2084" s="17">
        <v>0</v>
      </c>
      <c r="X2084" s="13" t="str" cm="1">
        <f t="array" ref="X2084">_xlfn.IFS(W2084 = 0, "0", W2084&lt;=20, "até R$20",W2084&lt;=40, "21 - R$40",W2084&lt;=60, "41- R$60",W2084&lt;=80, "61 - R$80", W2084&lt;=100, "81 - R$100",W2084&lt;=120, "101 - R$120",W2084&lt;=140, "121 - R$140", W2084&lt;=160, "141- R$160", W2084&lt;=180, "161 - R$180", W2084&lt;=200, "181-R$194")</f>
        <v>0</v>
      </c>
      <c r="Y2084" s="17">
        <v>7</v>
      </c>
      <c r="Z2084" s="17">
        <v>3</v>
      </c>
      <c r="AA2084" s="17">
        <v>1</v>
      </c>
      <c r="AB2084" s="17">
        <v>1</v>
      </c>
      <c r="AC2084" s="17">
        <v>1</v>
      </c>
      <c r="AD2084" s="17">
        <v>1</v>
      </c>
      <c r="AE2084" s="17">
        <v>0</v>
      </c>
      <c r="AF2084" s="17">
        <v>3</v>
      </c>
      <c r="AG2084" s="17">
        <v>6</v>
      </c>
      <c r="AH2084" s="17">
        <v>0</v>
      </c>
      <c r="AI2084" s="17">
        <v>0</v>
      </c>
      <c r="AJ2084" s="17">
        <v>0</v>
      </c>
      <c r="AK2084" s="17">
        <v>0</v>
      </c>
      <c r="AL2084" s="17">
        <v>0</v>
      </c>
      <c r="AM2084" s="17">
        <v>0</v>
      </c>
      <c r="AN2084" s="17">
        <v>0</v>
      </c>
      <c r="AO2084" s="18">
        <v>0</v>
      </c>
      <c r="AP2084" s="17">
        <v>3</v>
      </c>
      <c r="AQ2084" s="17">
        <v>11</v>
      </c>
      <c r="AR2084" s="19">
        <v>18</v>
      </c>
      <c r="AS2084" s="19">
        <v>19</v>
      </c>
    </row>
    <row r="2085" spans="1:45" x14ac:dyDescent="0.25">
      <c r="A2085">
        <v>1960</v>
      </c>
      <c r="B2085" s="11">
        <f t="shared" si="32"/>
        <v>21994</v>
      </c>
      <c r="C2085" s="12">
        <v>219940</v>
      </c>
      <c r="D2085" s="13">
        <v>0</v>
      </c>
      <c r="E2085" s="13">
        <v>1</v>
      </c>
      <c r="F2085" s="13">
        <v>4</v>
      </c>
      <c r="G2085" s="13">
        <v>63</v>
      </c>
      <c r="H2085" s="13" t="str" cm="1">
        <f t="array" ref="H2085">_xlfn.IFS(G2085&lt;=20,"0-20",G2085&lt;=30,"20-30",G2085&lt;=40,"30-40",G2085&lt;=50,"50-60",G2085&lt;=60,"60-70",G2085&lt;=70,"70-80",G2085&lt;=80,"80-90")</f>
        <v>70-80</v>
      </c>
      <c r="I2085" s="13">
        <v>2711</v>
      </c>
      <c r="J2085" s="13" t="str" cm="1">
        <f t="array" ref="J2085">_xlfn.IFS(K2085=1,"Divorciado",L2085=1,"Casado",M2085=1,"Solteiro",N2085=1,"Juntos",O2085=1,"Viuvo")</f>
        <v>Juntos</v>
      </c>
      <c r="K2085" s="13">
        <v>0</v>
      </c>
      <c r="L2085" s="13">
        <v>0</v>
      </c>
      <c r="M2085" s="13">
        <v>0</v>
      </c>
      <c r="N2085" s="13">
        <v>1</v>
      </c>
      <c r="O2085" s="13">
        <v>0</v>
      </c>
      <c r="P2085" s="13">
        <v>0</v>
      </c>
      <c r="Q2085" s="13">
        <v>0</v>
      </c>
      <c r="R2085" s="13">
        <v>1</v>
      </c>
      <c r="S2085" s="13">
        <v>0</v>
      </c>
      <c r="T2085" s="13">
        <v>0</v>
      </c>
      <c r="U2085" s="13">
        <v>9</v>
      </c>
      <c r="V2085" s="13" t="str" cm="1">
        <f t="array" ref="V2085">_xlfn.IFS(U2085&lt;=250,"0-R$250",U2085&lt;=500,"251-R$500",U2085&lt;=750,"501-R$750",U2085&lt;=1000,"751-R$1000",U2085&lt;=1250,"1001-R$1250",U2085&lt;=1500,"1251-R$1500")</f>
        <v>0-R$250</v>
      </c>
      <c r="W2085" s="13">
        <v>0</v>
      </c>
      <c r="X2085" s="13" t="str" cm="1">
        <f t="array" ref="X2085">_xlfn.IFS(W2085 = 0, "0", W2085&lt;=20, "até R$20",W2085&lt;=40, "21 - R$40",W2085&lt;=60, "41- R$60",W2085&lt;=80, "61 - R$80", W2085&lt;=100, "81 - R$100",W2085&lt;=120, "101 - R$120",W2085&lt;=140, "121 - R$140", W2085&lt;=160, "141- R$160", W2085&lt;=180, "161 - R$180", W2085&lt;=200, "181-R$194")</f>
        <v>0</v>
      </c>
      <c r="Y2085" s="13">
        <v>6</v>
      </c>
      <c r="Z2085" s="13">
        <v>3</v>
      </c>
      <c r="AA2085" s="13">
        <v>1</v>
      </c>
      <c r="AB2085" s="13">
        <v>3</v>
      </c>
      <c r="AC2085" s="13">
        <v>1</v>
      </c>
      <c r="AD2085" s="13">
        <v>0</v>
      </c>
      <c r="AE2085" s="13">
        <v>0</v>
      </c>
      <c r="AF2085" s="13">
        <v>3</v>
      </c>
      <c r="AG2085" s="13">
        <v>5</v>
      </c>
      <c r="AH2085" s="13">
        <v>0</v>
      </c>
      <c r="AI2085" s="13">
        <v>0</v>
      </c>
      <c r="AJ2085" s="13">
        <v>0</v>
      </c>
      <c r="AK2085" s="13">
        <v>0</v>
      </c>
      <c r="AL2085" s="13">
        <v>0</v>
      </c>
      <c r="AM2085" s="13">
        <v>0</v>
      </c>
      <c r="AN2085" s="13">
        <v>0</v>
      </c>
      <c r="AO2085" s="14">
        <v>0</v>
      </c>
      <c r="AP2085" s="13">
        <v>3</v>
      </c>
      <c r="AQ2085" s="13">
        <v>11</v>
      </c>
      <c r="AR2085" s="15">
        <v>16</v>
      </c>
      <c r="AS2085" s="15">
        <v>19</v>
      </c>
    </row>
    <row r="2086" spans="1:45" x14ac:dyDescent="0.25">
      <c r="A2086">
        <v>1993</v>
      </c>
      <c r="B2086" s="11">
        <f t="shared" si="32"/>
        <v>22263</v>
      </c>
      <c r="C2086" s="16">
        <v>222630</v>
      </c>
      <c r="D2086" s="17">
        <v>1</v>
      </c>
      <c r="E2086" s="17">
        <v>1</v>
      </c>
      <c r="F2086" s="17">
        <v>31</v>
      </c>
      <c r="G2086" s="17">
        <v>69</v>
      </c>
      <c r="H2086" s="13" t="str" cm="1">
        <f t="array" ref="H2086">_xlfn.IFS(G2086&lt;=20,"0-20",G2086&lt;=30,"20-30",G2086&lt;=40,"30-40",G2086&lt;=50,"50-60",G2086&lt;=60,"60-70",G2086&lt;=70,"70-80",G2086&lt;=80,"80-90")</f>
        <v>70-80</v>
      </c>
      <c r="I2086" s="17">
        <v>2250</v>
      </c>
      <c r="J2086" s="13" t="str" cm="1">
        <f t="array" ref="J2086">_xlfn.IFS(K2086=1,"Divorciado",L2086=1,"Casado",M2086=1,"Solteiro",N2086=1,"Juntos",O2086=1,"Viuvo")</f>
        <v>Divorciado</v>
      </c>
      <c r="K2086" s="17">
        <v>1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1</v>
      </c>
      <c r="S2086" s="17">
        <v>0</v>
      </c>
      <c r="T2086" s="17">
        <v>0</v>
      </c>
      <c r="U2086" s="17">
        <v>17</v>
      </c>
      <c r="V2086" s="13" t="str" cm="1">
        <f t="array" ref="V2086">_xlfn.IFS(U2086&lt;=250,"0-R$250",U2086&lt;=500,"251-R$500",U2086&lt;=750,"501-R$750",U2086&lt;=1000,"751-R$1000",U2086&lt;=1250,"1001-R$1250",U2086&lt;=1500,"1251-R$1500")</f>
        <v>0-R$250</v>
      </c>
      <c r="W2086" s="17">
        <v>0</v>
      </c>
      <c r="X2086" s="13" t="str" cm="1">
        <f t="array" ref="X2086">_xlfn.IFS(W2086 = 0, "0", W2086&lt;=20, "até R$20",W2086&lt;=40, "21 - R$40",W2086&lt;=60, "41- R$60",W2086&lt;=80, "61 - R$80", W2086&lt;=100, "81 - R$100",W2086&lt;=120, "101 - R$120",W2086&lt;=140, "121 - R$140", W2086&lt;=160, "141- R$160", W2086&lt;=180, "161 - R$180", W2086&lt;=200, "181-R$194")</f>
        <v>0</v>
      </c>
      <c r="Y2086" s="17">
        <v>2</v>
      </c>
      <c r="Z2086" s="17">
        <v>0</v>
      </c>
      <c r="AA2086" s="17">
        <v>0</v>
      </c>
      <c r="AB2086" s="17">
        <v>2</v>
      </c>
      <c r="AC2086" s="17">
        <v>2</v>
      </c>
      <c r="AD2086" s="17">
        <v>1</v>
      </c>
      <c r="AE2086" s="17">
        <v>0</v>
      </c>
      <c r="AF2086" s="17">
        <v>3</v>
      </c>
      <c r="AG2086" s="17">
        <v>6</v>
      </c>
      <c r="AH2086" s="17">
        <v>1</v>
      </c>
      <c r="AI2086" s="17">
        <v>0</v>
      </c>
      <c r="AJ2086" s="17">
        <v>0</v>
      </c>
      <c r="AK2086" s="17">
        <v>0</v>
      </c>
      <c r="AL2086" s="17">
        <v>0</v>
      </c>
      <c r="AM2086" s="17">
        <v>0</v>
      </c>
      <c r="AN2086" s="17">
        <v>0</v>
      </c>
      <c r="AO2086" s="18">
        <v>0</v>
      </c>
      <c r="AP2086" s="17">
        <v>3</v>
      </c>
      <c r="AQ2086" s="17">
        <v>11</v>
      </c>
      <c r="AR2086" s="19">
        <v>17</v>
      </c>
      <c r="AS2086" s="19">
        <v>19</v>
      </c>
    </row>
    <row r="2087" spans="1:45" x14ac:dyDescent="0.25">
      <c r="A2087">
        <v>2088</v>
      </c>
      <c r="B2087" s="11">
        <f t="shared" si="32"/>
        <v>25818</v>
      </c>
      <c r="C2087" s="12">
        <v>258180</v>
      </c>
      <c r="D2087" s="13">
        <v>1</v>
      </c>
      <c r="E2087" s="13">
        <v>0</v>
      </c>
      <c r="F2087" s="13">
        <v>51</v>
      </c>
      <c r="G2087" s="13">
        <v>49</v>
      </c>
      <c r="H2087" s="13" t="str" cm="1">
        <f t="array" ref="H2087">_xlfn.IFS(G2087&lt;=20,"0-20",G2087&lt;=30,"20-30",G2087&lt;=40,"30-40",G2087&lt;=50,"50-60",G2087&lt;=60,"60-70",G2087&lt;=70,"70-80",G2087&lt;=80,"80-90")</f>
        <v>50-60</v>
      </c>
      <c r="I2087" s="13">
        <v>2778</v>
      </c>
      <c r="J2087" s="13" t="str" cm="1">
        <f t="array" ref="J2087">_xlfn.IFS(K2087=1,"Divorciado",L2087=1,"Casado",M2087=1,"Solteiro",N2087=1,"Juntos",O2087=1,"Viuvo")</f>
        <v>Divorciado</v>
      </c>
      <c r="K2087" s="13">
        <v>1</v>
      </c>
      <c r="L2087" s="13">
        <v>0</v>
      </c>
      <c r="M2087" s="13">
        <v>0</v>
      </c>
      <c r="N2087" s="13">
        <v>0</v>
      </c>
      <c r="O2087" s="13">
        <v>0</v>
      </c>
      <c r="P2087" s="13">
        <v>0</v>
      </c>
      <c r="Q2087" s="13">
        <v>0</v>
      </c>
      <c r="R2087" s="13">
        <v>1</v>
      </c>
      <c r="S2087" s="13">
        <v>0</v>
      </c>
      <c r="T2087" s="13">
        <v>0</v>
      </c>
      <c r="U2087" s="13">
        <v>5</v>
      </c>
      <c r="V2087" s="13" t="str" cm="1">
        <f t="array" ref="V2087">_xlfn.IFS(U2087&lt;=250,"0-R$250",U2087&lt;=500,"251-R$500",U2087&lt;=750,"501-R$750",U2087&lt;=1000,"751-R$1000",U2087&lt;=1250,"1001-R$1250",U2087&lt;=1500,"1251-R$1500")</f>
        <v>0-R$250</v>
      </c>
      <c r="W2087" s="13">
        <v>2</v>
      </c>
      <c r="X2087" s="13" t="str" cm="1">
        <f t="array" ref="X2087">_xlfn.IFS(W2087 = 0, "0", W2087&lt;=20, "até R$20",W2087&lt;=40, "21 - R$40",W2087&lt;=60, "41- R$60",W2087&lt;=80, "61 - R$80", W2087&lt;=100, "81 - R$100",W2087&lt;=120, "101 - R$120",W2087&lt;=140, "121 - R$140", W2087&lt;=160, "141- R$160", W2087&lt;=180, "161 - R$180", W2087&lt;=200, "181-R$194")</f>
        <v>até R$20</v>
      </c>
      <c r="Y2087" s="13">
        <v>8</v>
      </c>
      <c r="Z2087" s="13">
        <v>2</v>
      </c>
      <c r="AA2087" s="13">
        <v>2</v>
      </c>
      <c r="AB2087" s="13">
        <v>9</v>
      </c>
      <c r="AC2087" s="13">
        <v>1</v>
      </c>
      <c r="AD2087" s="13">
        <v>0</v>
      </c>
      <c r="AE2087" s="13">
        <v>1</v>
      </c>
      <c r="AF2087" s="13">
        <v>2</v>
      </c>
      <c r="AG2087" s="13">
        <v>7</v>
      </c>
      <c r="AH2087" s="13">
        <v>0</v>
      </c>
      <c r="AI2087" s="13">
        <v>0</v>
      </c>
      <c r="AJ2087" s="13">
        <v>0</v>
      </c>
      <c r="AK2087" s="13">
        <v>0</v>
      </c>
      <c r="AL2087" s="13">
        <v>0</v>
      </c>
      <c r="AM2087" s="13">
        <v>0</v>
      </c>
      <c r="AN2087" s="13">
        <v>0</v>
      </c>
      <c r="AO2087" s="14">
        <v>0</v>
      </c>
      <c r="AP2087" s="13">
        <v>3</v>
      </c>
      <c r="AQ2087" s="13">
        <v>11</v>
      </c>
      <c r="AR2087" s="15">
        <v>10</v>
      </c>
      <c r="AS2087" s="15">
        <v>19</v>
      </c>
    </row>
    <row r="2088" spans="1:45" x14ac:dyDescent="0.25">
      <c r="A2088">
        <v>2199</v>
      </c>
      <c r="B2088" s="11">
        <f t="shared" si="32"/>
        <v>26816</v>
      </c>
      <c r="C2088" s="16">
        <v>268160</v>
      </c>
      <c r="D2088" s="17">
        <v>0</v>
      </c>
      <c r="E2088" s="17">
        <v>0</v>
      </c>
      <c r="F2088" s="17">
        <v>50</v>
      </c>
      <c r="G2088" s="17">
        <v>34</v>
      </c>
      <c r="H2088" s="13" t="str" cm="1">
        <f t="array" ref="H2088">_xlfn.IFS(G2088&lt;=20,"0-20",G2088&lt;=30,"20-30",G2088&lt;=40,"30-40",G2088&lt;=50,"50-60",G2088&lt;=60,"60-70",G2088&lt;=70,"70-80",G2088&lt;=80,"80-90")</f>
        <v>30-40</v>
      </c>
      <c r="I2088" s="17">
        <v>2840</v>
      </c>
      <c r="J2088" s="13" t="str" cm="1">
        <f t="array" ref="J2088">_xlfn.IFS(K2088=1,"Divorciado",L2088=1,"Casado",M2088=1,"Solteiro",N2088=1,"Juntos",O2088=1,"Viuvo")</f>
        <v>Solteiro</v>
      </c>
      <c r="K2088" s="17">
        <v>0</v>
      </c>
      <c r="L2088" s="17">
        <v>0</v>
      </c>
      <c r="M2088" s="17">
        <v>1</v>
      </c>
      <c r="N2088" s="17">
        <v>0</v>
      </c>
      <c r="O2088" s="17">
        <v>0</v>
      </c>
      <c r="P2088" s="17">
        <v>0</v>
      </c>
      <c r="Q2088" s="17">
        <v>0</v>
      </c>
      <c r="R2088" s="17">
        <v>1</v>
      </c>
      <c r="S2088" s="17">
        <v>0</v>
      </c>
      <c r="T2088" s="17">
        <v>0</v>
      </c>
      <c r="U2088" s="17">
        <v>5</v>
      </c>
      <c r="V2088" s="13" t="str" cm="1">
        <f t="array" ref="V2088">_xlfn.IFS(U2088&lt;=250,"0-R$250",U2088&lt;=500,"251-R$500",U2088&lt;=750,"501-R$750",U2088&lt;=1000,"751-R$1000",U2088&lt;=1250,"1001-R$1250",U2088&lt;=1500,"1251-R$1500")</f>
        <v>0-R$250</v>
      </c>
      <c r="W2088" s="17">
        <v>1</v>
      </c>
      <c r="X2088" s="13" t="str" cm="1">
        <f t="array" ref="X2088">_xlfn.IFS(W2088 = 0, "0", W2088&lt;=20, "até R$20",W2088&lt;=40, "21 - R$40",W2088&lt;=60, "41- R$60",W2088&lt;=80, "61 - R$80", W2088&lt;=100, "81 - R$100",W2088&lt;=120, "101 - R$120",W2088&lt;=140, "121 - R$140", W2088&lt;=160, "141- R$160", W2088&lt;=180, "161 - R$180", W2088&lt;=200, "181-R$194")</f>
        <v>até R$20</v>
      </c>
      <c r="Y2088" s="17">
        <v>6</v>
      </c>
      <c r="Z2088" s="17">
        <v>3</v>
      </c>
      <c r="AA2088" s="17">
        <v>4</v>
      </c>
      <c r="AB2088" s="17">
        <v>3</v>
      </c>
      <c r="AC2088" s="17">
        <v>1</v>
      </c>
      <c r="AD2088" s="17">
        <v>0</v>
      </c>
      <c r="AE2088" s="17">
        <v>0</v>
      </c>
      <c r="AF2088" s="17">
        <v>3</v>
      </c>
      <c r="AG2088" s="17">
        <v>4</v>
      </c>
      <c r="AH2088" s="17">
        <v>0</v>
      </c>
      <c r="AI2088" s="17">
        <v>0</v>
      </c>
      <c r="AJ2088" s="17">
        <v>0</v>
      </c>
      <c r="AK2088" s="17">
        <v>0</v>
      </c>
      <c r="AL2088" s="17">
        <v>0</v>
      </c>
      <c r="AM2088" s="17">
        <v>0</v>
      </c>
      <c r="AN2088" s="17">
        <v>0</v>
      </c>
      <c r="AO2088" s="18">
        <v>0</v>
      </c>
      <c r="AP2088" s="17">
        <v>3</v>
      </c>
      <c r="AQ2088" s="17">
        <v>11</v>
      </c>
      <c r="AR2088" s="19">
        <v>16</v>
      </c>
      <c r="AS2088" s="19">
        <v>19</v>
      </c>
    </row>
    <row r="2089" spans="1:45" x14ac:dyDescent="0.25">
      <c r="A2089">
        <v>137</v>
      </c>
      <c r="B2089" s="11">
        <f t="shared" si="32"/>
        <v>38547</v>
      </c>
      <c r="C2089" s="16">
        <v>385470</v>
      </c>
      <c r="D2089" s="17">
        <v>1</v>
      </c>
      <c r="E2089" s="17">
        <v>0</v>
      </c>
      <c r="F2089" s="17">
        <v>49</v>
      </c>
      <c r="G2089" s="17">
        <v>39</v>
      </c>
      <c r="H2089" s="13" t="str" cm="1">
        <f t="array" ref="H2089">_xlfn.IFS(G2089&lt;=20,"0-20",G2089&lt;=30,"20-30",G2089&lt;=40,"30-40",G2089&lt;=50,"50-60",G2089&lt;=60,"60-70",G2089&lt;=70,"70-80",G2089&lt;=80,"80-90")</f>
        <v>30-40</v>
      </c>
      <c r="I2089" s="17">
        <v>2464</v>
      </c>
      <c r="J2089" s="13" t="str" cm="1">
        <f t="array" ref="J2089">_xlfn.IFS(K2089=1,"Divorciado",L2089=1,"Casado",M2089=1,"Solteiro",N2089=1,"Juntos",O2089=1,"Viuvo")</f>
        <v>Juntos</v>
      </c>
      <c r="K2089" s="17">
        <v>0</v>
      </c>
      <c r="L2089" s="17">
        <v>0</v>
      </c>
      <c r="M2089" s="17">
        <v>0</v>
      </c>
      <c r="N2089" s="17">
        <v>1</v>
      </c>
      <c r="O2089" s="17">
        <v>0</v>
      </c>
      <c r="P2089" s="17">
        <v>0</v>
      </c>
      <c r="Q2089" s="17">
        <v>0</v>
      </c>
      <c r="R2089" s="17">
        <v>1</v>
      </c>
      <c r="S2089" s="17">
        <v>0</v>
      </c>
      <c r="T2089" s="17">
        <v>0</v>
      </c>
      <c r="U2089" s="17">
        <v>6</v>
      </c>
      <c r="V2089" s="13" t="str" cm="1">
        <f t="array" ref="V2089">_xlfn.IFS(U2089&lt;=250,"0-R$250",U2089&lt;=500,"251-R$500",U2089&lt;=750,"501-R$750",U2089&lt;=1000,"751-R$1000",U2089&lt;=1250,"1001-R$1250",U2089&lt;=1500,"1251-R$1500")</f>
        <v>0-R$250</v>
      </c>
      <c r="W2089" s="17">
        <v>1</v>
      </c>
      <c r="X2089" s="13" t="str" cm="1">
        <f t="array" ref="X2089">_xlfn.IFS(W2089 = 0, "0", W2089&lt;=20, "até R$20",W2089&lt;=40, "21 - R$40",W2089&lt;=60, "41- R$60",W2089&lt;=80, "61 - R$80", W2089&lt;=100, "81 - R$100",W2089&lt;=120, "101 - R$120",W2089&lt;=140, "121 - R$140", W2089&lt;=160, "141- R$160", W2089&lt;=180, "161 - R$180", W2089&lt;=200, "181-R$194")</f>
        <v>até R$20</v>
      </c>
      <c r="Y2089" s="17">
        <v>10</v>
      </c>
      <c r="Z2089" s="17">
        <v>0</v>
      </c>
      <c r="AA2089" s="17">
        <v>1</v>
      </c>
      <c r="AB2089" s="17">
        <v>4</v>
      </c>
      <c r="AC2089" s="17">
        <v>1</v>
      </c>
      <c r="AD2089" s="17">
        <v>1</v>
      </c>
      <c r="AE2089" s="17">
        <v>0</v>
      </c>
      <c r="AF2089" s="17">
        <v>2</v>
      </c>
      <c r="AG2089" s="17">
        <v>8</v>
      </c>
      <c r="AH2089" s="17">
        <v>1</v>
      </c>
      <c r="AI2089" s="17">
        <v>0</v>
      </c>
      <c r="AJ2089" s="17">
        <v>0</v>
      </c>
      <c r="AK2089" s="17">
        <v>0</v>
      </c>
      <c r="AL2089" s="17">
        <v>0</v>
      </c>
      <c r="AM2089" s="17">
        <v>0</v>
      </c>
      <c r="AN2089" s="17">
        <v>0</v>
      </c>
      <c r="AO2089" s="18">
        <v>0</v>
      </c>
      <c r="AP2089" s="17">
        <v>3</v>
      </c>
      <c r="AQ2089" s="17">
        <v>11</v>
      </c>
      <c r="AR2089" s="19">
        <v>14</v>
      </c>
      <c r="AS2089" s="19">
        <v>18</v>
      </c>
    </row>
    <row r="2090" spans="1:45" x14ac:dyDescent="0.25">
      <c r="A2090">
        <v>147</v>
      </c>
      <c r="B2090" s="11">
        <f t="shared" si="32"/>
        <v>60199</v>
      </c>
      <c r="C2090" s="16">
        <v>601990</v>
      </c>
      <c r="D2090" s="17">
        <v>1</v>
      </c>
      <c r="E2090" s="17">
        <v>2</v>
      </c>
      <c r="F2090" s="17">
        <v>49</v>
      </c>
      <c r="G2090" s="17">
        <v>42</v>
      </c>
      <c r="H2090" s="13" t="str" cm="1">
        <f t="array" ref="H2090">_xlfn.IFS(G2090&lt;=20,"0-20",G2090&lt;=30,"20-30",G2090&lt;=40,"30-40",G2090&lt;=50,"50-60",G2090&lt;=60,"60-70",G2090&lt;=70,"70-80",G2090&lt;=80,"80-90")</f>
        <v>50-60</v>
      </c>
      <c r="I2090" s="17">
        <v>2449</v>
      </c>
      <c r="J2090" s="13" t="str" cm="1">
        <f t="array" ref="J2090">_xlfn.IFS(K2090=1,"Divorciado",L2090=1,"Casado",M2090=1,"Solteiro",N2090=1,"Juntos",O2090=1,"Viuvo")</f>
        <v>Solteiro</v>
      </c>
      <c r="K2090" s="17">
        <v>0</v>
      </c>
      <c r="L2090" s="17">
        <v>0</v>
      </c>
      <c r="M2090" s="17">
        <v>1</v>
      </c>
      <c r="N2090" s="17">
        <v>0</v>
      </c>
      <c r="O2090" s="17">
        <v>0</v>
      </c>
      <c r="P2090" s="17">
        <v>0</v>
      </c>
      <c r="Q2090" s="17">
        <v>0</v>
      </c>
      <c r="R2090" s="17">
        <v>1</v>
      </c>
      <c r="S2090" s="17">
        <v>0</v>
      </c>
      <c r="T2090" s="17">
        <v>0</v>
      </c>
      <c r="U2090" s="17">
        <v>8</v>
      </c>
      <c r="V2090" s="13" t="str" cm="1">
        <f t="array" ref="V2090">_xlfn.IFS(U2090&lt;=250,"0-R$250",U2090&lt;=500,"251-R$500",U2090&lt;=750,"501-R$750",U2090&lt;=1000,"751-R$1000",U2090&lt;=1250,"1001-R$1250",U2090&lt;=1500,"1251-R$1500")</f>
        <v>0-R$250</v>
      </c>
      <c r="W2090" s="17">
        <v>1</v>
      </c>
      <c r="X2090" s="13" t="str" cm="1">
        <f t="array" ref="X2090">_xlfn.IFS(W2090 = 0, "0", W2090&lt;=20, "até R$20",W2090&lt;=40, "21 - R$40",W2090&lt;=60, "41- R$60",W2090&lt;=80, "61 - R$80", W2090&lt;=100, "81 - R$100",W2090&lt;=120, "101 - R$120",W2090&lt;=140, "121 - R$140", W2090&lt;=160, "141- R$160", W2090&lt;=180, "161 - R$180", W2090&lt;=200, "181-R$194")</f>
        <v>até R$20</v>
      </c>
      <c r="Y2090" s="17">
        <v>7</v>
      </c>
      <c r="Z2090" s="17">
        <v>2</v>
      </c>
      <c r="AA2090" s="17">
        <v>0</v>
      </c>
      <c r="AB2090" s="17">
        <v>0</v>
      </c>
      <c r="AC2090" s="17">
        <v>1</v>
      </c>
      <c r="AD2090" s="17">
        <v>0</v>
      </c>
      <c r="AE2090" s="17">
        <v>0</v>
      </c>
      <c r="AF2090" s="17">
        <v>3</v>
      </c>
      <c r="AG2090" s="17">
        <v>4</v>
      </c>
      <c r="AH2090" s="17">
        <v>0</v>
      </c>
      <c r="AI2090" s="17">
        <v>0</v>
      </c>
      <c r="AJ2090" s="17">
        <v>0</v>
      </c>
      <c r="AK2090" s="17">
        <v>0</v>
      </c>
      <c r="AL2090" s="17">
        <v>0</v>
      </c>
      <c r="AM2090" s="17">
        <v>0</v>
      </c>
      <c r="AN2090" s="17">
        <v>0</v>
      </c>
      <c r="AO2090" s="18">
        <v>0</v>
      </c>
      <c r="AP2090" s="17">
        <v>3</v>
      </c>
      <c r="AQ2090" s="17">
        <v>11</v>
      </c>
      <c r="AR2090" s="19">
        <v>18</v>
      </c>
      <c r="AS2090" s="19">
        <v>18</v>
      </c>
    </row>
    <row r="2091" spans="1:45" x14ac:dyDescent="0.25">
      <c r="A2091">
        <v>247</v>
      </c>
      <c r="B2091" s="11">
        <f t="shared" si="32"/>
        <v>15287</v>
      </c>
      <c r="C2091" s="16">
        <v>152870</v>
      </c>
      <c r="D2091" s="17">
        <v>1</v>
      </c>
      <c r="E2091" s="17">
        <v>0</v>
      </c>
      <c r="F2091" s="17">
        <v>60</v>
      </c>
      <c r="G2091" s="17">
        <v>41</v>
      </c>
      <c r="H2091" s="13" t="str" cm="1">
        <f t="array" ref="H2091">_xlfn.IFS(G2091&lt;=20,"0-20",G2091&lt;=30,"20-30",G2091&lt;=40,"30-40",G2091&lt;=50,"50-60",G2091&lt;=60,"60-70",G2091&lt;=70,"70-80",G2091&lt;=80,"80-90")</f>
        <v>50-60</v>
      </c>
      <c r="I2091" s="17">
        <v>2786</v>
      </c>
      <c r="J2091" s="13" t="str" cm="1">
        <f t="array" ref="J2091">_xlfn.IFS(K2091=1,"Divorciado",L2091=1,"Casado",M2091=1,"Solteiro",N2091=1,"Juntos",O2091=1,"Viuvo")</f>
        <v>Divorciado</v>
      </c>
      <c r="K2091" s="17">
        <v>1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1</v>
      </c>
      <c r="S2091" s="17">
        <v>0</v>
      </c>
      <c r="T2091" s="17">
        <v>0</v>
      </c>
      <c r="U2091" s="17">
        <v>1</v>
      </c>
      <c r="V2091" s="13" t="str" cm="1">
        <f t="array" ref="V2091">_xlfn.IFS(U2091&lt;=250,"0-R$250",U2091&lt;=500,"251-R$500",U2091&lt;=750,"501-R$750",U2091&lt;=1000,"751-R$1000",U2091&lt;=1250,"1001-R$1250",U2091&lt;=1500,"1251-R$1500")</f>
        <v>0-R$250</v>
      </c>
      <c r="W2091" s="17">
        <v>2</v>
      </c>
      <c r="X2091" s="13" t="str" cm="1">
        <f t="array" ref="X2091">_xlfn.IFS(W2091 = 0, "0", W2091&lt;=20, "até R$20",W2091&lt;=40, "21 - R$40",W2091&lt;=60, "41- R$60",W2091&lt;=80, "61 - R$80", W2091&lt;=100, "81 - R$100",W2091&lt;=120, "101 - R$120",W2091&lt;=140, "121 - R$140", W2091&lt;=160, "141- R$160", W2091&lt;=180, "161 - R$180", W2091&lt;=200, "181-R$194")</f>
        <v>até R$20</v>
      </c>
      <c r="Y2091" s="17">
        <v>8</v>
      </c>
      <c r="Z2091" s="17">
        <v>4</v>
      </c>
      <c r="AA2091" s="17">
        <v>3</v>
      </c>
      <c r="AB2091" s="17">
        <v>13</v>
      </c>
      <c r="AC2091" s="17">
        <v>2</v>
      </c>
      <c r="AD2091" s="17">
        <v>1</v>
      </c>
      <c r="AE2091" s="17">
        <v>1</v>
      </c>
      <c r="AF2091" s="17">
        <v>2</v>
      </c>
      <c r="AG2091" s="17">
        <v>7</v>
      </c>
      <c r="AH2091" s="17">
        <v>0</v>
      </c>
      <c r="AI2091" s="17">
        <v>1</v>
      </c>
      <c r="AJ2091" s="17">
        <v>0</v>
      </c>
      <c r="AK2091" s="17">
        <v>0</v>
      </c>
      <c r="AL2091" s="17">
        <v>0</v>
      </c>
      <c r="AM2091" s="17">
        <v>0</v>
      </c>
      <c r="AN2091" s="17">
        <v>1</v>
      </c>
      <c r="AO2091" s="18">
        <v>1</v>
      </c>
      <c r="AP2091" s="17">
        <v>3</v>
      </c>
      <c r="AQ2091" s="17">
        <v>11</v>
      </c>
      <c r="AR2091" s="19">
        <v>5</v>
      </c>
      <c r="AS2091" s="19">
        <v>18</v>
      </c>
    </row>
    <row r="2092" spans="1:45" x14ac:dyDescent="0.25">
      <c r="A2092">
        <v>356</v>
      </c>
      <c r="B2092" s="11">
        <f t="shared" si="32"/>
        <v>29548</v>
      </c>
      <c r="C2092" s="12">
        <v>295480</v>
      </c>
      <c r="D2092" s="13">
        <v>1</v>
      </c>
      <c r="E2092" s="13">
        <v>0</v>
      </c>
      <c r="F2092" s="13">
        <v>52</v>
      </c>
      <c r="G2092" s="13">
        <v>50</v>
      </c>
      <c r="H2092" s="13" t="str" cm="1">
        <f t="array" ref="H2092">_xlfn.IFS(G2092&lt;=20,"0-20",G2092&lt;=30,"20-30",G2092&lt;=40,"30-40",G2092&lt;=50,"50-60",G2092&lt;=60,"60-70",G2092&lt;=70,"70-80",G2092&lt;=80,"80-90")</f>
        <v>50-60</v>
      </c>
      <c r="I2092" s="13">
        <v>2463</v>
      </c>
      <c r="J2092" s="13" t="str" cm="1">
        <f t="array" ref="J2092">_xlfn.IFS(K2092=1,"Divorciado",L2092=1,"Casado",M2092=1,"Solteiro",N2092=1,"Juntos",O2092=1,"Viuvo")</f>
        <v>Solteiro</v>
      </c>
      <c r="K2092" s="13">
        <v>0</v>
      </c>
      <c r="L2092" s="13">
        <v>0</v>
      </c>
      <c r="M2092" s="13">
        <v>1</v>
      </c>
      <c r="N2092" s="13">
        <v>0</v>
      </c>
      <c r="O2092" s="13">
        <v>0</v>
      </c>
      <c r="P2092" s="13">
        <v>0</v>
      </c>
      <c r="Q2092" s="13">
        <v>0</v>
      </c>
      <c r="R2092" s="13">
        <v>0</v>
      </c>
      <c r="S2092" s="13">
        <v>1</v>
      </c>
      <c r="T2092" s="13">
        <v>0</v>
      </c>
      <c r="U2092" s="13">
        <v>7</v>
      </c>
      <c r="V2092" s="13" t="str" cm="1">
        <f t="array" ref="V2092">_xlfn.IFS(U2092&lt;=250,"0-R$250",U2092&lt;=500,"251-R$500",U2092&lt;=750,"501-R$750",U2092&lt;=1000,"751-R$1000",U2092&lt;=1250,"1001-R$1250",U2092&lt;=1500,"1251-R$1500")</f>
        <v>0-R$250</v>
      </c>
      <c r="W2092" s="13">
        <v>1</v>
      </c>
      <c r="X2092" s="13" t="str" cm="1">
        <f t="array" ref="X2092">_xlfn.IFS(W2092 = 0, "0", W2092&lt;=20, "até R$20",W2092&lt;=40, "21 - R$40",W2092&lt;=60, "41- R$60",W2092&lt;=80, "61 - R$80", W2092&lt;=100, "81 - R$100",W2092&lt;=120, "101 - R$120",W2092&lt;=140, "121 - R$140", W2092&lt;=160, "141- R$160", W2092&lt;=180, "161 - R$180", W2092&lt;=200, "181-R$194")</f>
        <v>até R$20</v>
      </c>
      <c r="Y2092" s="13">
        <v>6</v>
      </c>
      <c r="Z2092" s="13">
        <v>3</v>
      </c>
      <c r="AA2092" s="13">
        <v>1</v>
      </c>
      <c r="AB2092" s="13">
        <v>11</v>
      </c>
      <c r="AC2092" s="13">
        <v>1</v>
      </c>
      <c r="AD2092" s="13">
        <v>1</v>
      </c>
      <c r="AE2092" s="13">
        <v>1</v>
      </c>
      <c r="AF2092" s="13">
        <v>2</v>
      </c>
      <c r="AG2092" s="13">
        <v>4</v>
      </c>
      <c r="AH2092" s="13">
        <v>0</v>
      </c>
      <c r="AI2092" s="13">
        <v>1</v>
      </c>
      <c r="AJ2092" s="13">
        <v>0</v>
      </c>
      <c r="AK2092" s="13">
        <v>0</v>
      </c>
      <c r="AL2092" s="13">
        <v>0</v>
      </c>
      <c r="AM2092" s="13">
        <v>0</v>
      </c>
      <c r="AN2092" s="13">
        <v>0</v>
      </c>
      <c r="AO2092" s="14">
        <v>1</v>
      </c>
      <c r="AP2092" s="13">
        <v>3</v>
      </c>
      <c r="AQ2092" s="13">
        <v>11</v>
      </c>
      <c r="AR2092" s="15">
        <v>7</v>
      </c>
      <c r="AS2092" s="15">
        <v>18</v>
      </c>
    </row>
    <row r="2093" spans="1:45" x14ac:dyDescent="0.25">
      <c r="A2093">
        <v>700</v>
      </c>
      <c r="B2093" s="11">
        <f t="shared" si="32"/>
        <v>45160</v>
      </c>
      <c r="C2093" s="12">
        <v>451600</v>
      </c>
      <c r="D2093" s="13">
        <v>1</v>
      </c>
      <c r="E2093" s="13">
        <v>1</v>
      </c>
      <c r="F2093" s="13">
        <v>9</v>
      </c>
      <c r="G2093" s="13">
        <v>62</v>
      </c>
      <c r="H2093" s="13" t="str" cm="1">
        <f t="array" ref="H2093">_xlfn.IFS(G2093&lt;=20,"0-20",G2093&lt;=30,"20-30",G2093&lt;=40,"30-40",G2093&lt;=50,"50-60",G2093&lt;=60,"60-70",G2093&lt;=70,"70-80",G2093&lt;=80,"80-90")</f>
        <v>70-80</v>
      </c>
      <c r="I2093" s="13">
        <v>2251</v>
      </c>
      <c r="J2093" s="13" t="str" cm="1">
        <f t="array" ref="J2093">_xlfn.IFS(K2093=1,"Divorciado",L2093=1,"Casado",M2093=1,"Solteiro",N2093=1,"Juntos",O2093=1,"Viuvo")</f>
        <v>Solteiro</v>
      </c>
      <c r="K2093" s="13">
        <v>0</v>
      </c>
      <c r="L2093" s="13">
        <v>0</v>
      </c>
      <c r="M2093" s="13">
        <v>1</v>
      </c>
      <c r="N2093" s="13">
        <v>0</v>
      </c>
      <c r="O2093" s="13">
        <v>0</v>
      </c>
      <c r="P2093" s="13">
        <v>0</v>
      </c>
      <c r="Q2093" s="13">
        <v>0</v>
      </c>
      <c r="R2093" s="13">
        <v>1</v>
      </c>
      <c r="S2093" s="13">
        <v>0</v>
      </c>
      <c r="T2093" s="13">
        <v>0</v>
      </c>
      <c r="U2093" s="13">
        <v>8</v>
      </c>
      <c r="V2093" s="13" t="str" cm="1">
        <f t="array" ref="V2093">_xlfn.IFS(U2093&lt;=250,"0-R$250",U2093&lt;=500,"251-R$500",U2093&lt;=750,"501-R$750",U2093&lt;=1000,"751-R$1000",U2093&lt;=1250,"1001-R$1250",U2093&lt;=1500,"1251-R$1500")</f>
        <v>0-R$250</v>
      </c>
      <c r="W2093" s="13">
        <v>2</v>
      </c>
      <c r="X2093" s="13" t="str" cm="1">
        <f t="array" ref="X2093">_xlfn.IFS(W2093 = 0, "0", W2093&lt;=20, "até R$20",W2093&lt;=40, "21 - R$40",W2093&lt;=60, "41- R$60",W2093&lt;=80, "61 - R$80", W2093&lt;=100, "81 - R$100",W2093&lt;=120, "101 - R$120",W2093&lt;=140, "121 - R$140", W2093&lt;=160, "141- R$160", W2093&lt;=180, "161 - R$180", W2093&lt;=200, "181-R$194")</f>
        <v>até R$20</v>
      </c>
      <c r="Y2093" s="13">
        <v>5</v>
      </c>
      <c r="Z2093" s="13">
        <v>3</v>
      </c>
      <c r="AA2093" s="13">
        <v>0</v>
      </c>
      <c r="AB2093" s="13">
        <v>3</v>
      </c>
      <c r="AC2093" s="13">
        <v>1</v>
      </c>
      <c r="AD2093" s="13">
        <v>1</v>
      </c>
      <c r="AE2093" s="13">
        <v>0</v>
      </c>
      <c r="AF2093" s="13">
        <v>2</v>
      </c>
      <c r="AG2093" s="13">
        <v>7</v>
      </c>
      <c r="AH2093" s="13">
        <v>0</v>
      </c>
      <c r="AI2093" s="13">
        <v>0</v>
      </c>
      <c r="AJ2093" s="13">
        <v>0</v>
      </c>
      <c r="AK2093" s="13">
        <v>0</v>
      </c>
      <c r="AL2093" s="13">
        <v>0</v>
      </c>
      <c r="AM2093" s="13">
        <v>0</v>
      </c>
      <c r="AN2093" s="13">
        <v>0</v>
      </c>
      <c r="AO2093" s="14">
        <v>0</v>
      </c>
      <c r="AP2093" s="13">
        <v>3</v>
      </c>
      <c r="AQ2093" s="13">
        <v>11</v>
      </c>
      <c r="AR2093" s="15">
        <v>15</v>
      </c>
      <c r="AS2093" s="15">
        <v>18</v>
      </c>
    </row>
    <row r="2094" spans="1:45" x14ac:dyDescent="0.25">
      <c r="A2094">
        <v>1130</v>
      </c>
      <c r="B2094" s="11">
        <f t="shared" si="32"/>
        <v>26576</v>
      </c>
      <c r="C2094" s="12">
        <v>265760</v>
      </c>
      <c r="D2094" s="13">
        <v>1</v>
      </c>
      <c r="E2094" s="13">
        <v>0</v>
      </c>
      <c r="F2094" s="13">
        <v>40</v>
      </c>
      <c r="G2094" s="13">
        <v>34</v>
      </c>
      <c r="H2094" s="13" t="str" cm="1">
        <f t="array" ref="H2094">_xlfn.IFS(G2094&lt;=20,"0-20",G2094&lt;=30,"20-30",G2094&lt;=40,"30-40",G2094&lt;=50,"50-60",G2094&lt;=60,"60-70",G2094&lt;=70,"70-80",G2094&lt;=80,"80-90")</f>
        <v>30-40</v>
      </c>
      <c r="I2094" s="13">
        <v>2783</v>
      </c>
      <c r="J2094" s="13" t="str" cm="1">
        <f t="array" ref="J2094">_xlfn.IFS(K2094=1,"Divorciado",L2094=1,"Casado",M2094=1,"Solteiro",N2094=1,"Juntos",O2094=1,"Viuvo")</f>
        <v>Solteiro</v>
      </c>
      <c r="K2094" s="13">
        <v>0</v>
      </c>
      <c r="L2094" s="13">
        <v>0</v>
      </c>
      <c r="M2094" s="13">
        <v>1</v>
      </c>
      <c r="N2094" s="13">
        <v>0</v>
      </c>
      <c r="O2094" s="13">
        <v>0</v>
      </c>
      <c r="P2094" s="13">
        <v>0</v>
      </c>
      <c r="Q2094" s="13">
        <v>0</v>
      </c>
      <c r="R2094" s="13">
        <v>1</v>
      </c>
      <c r="S2094" s="13">
        <v>0</v>
      </c>
      <c r="T2094" s="13">
        <v>0</v>
      </c>
      <c r="U2094" s="13">
        <v>10</v>
      </c>
      <c r="V2094" s="13" t="str" cm="1">
        <f t="array" ref="V2094">_xlfn.IFS(U2094&lt;=250,"0-R$250",U2094&lt;=500,"251-R$500",U2094&lt;=750,"501-R$750",U2094&lt;=1000,"751-R$1000",U2094&lt;=1250,"1001-R$1250",U2094&lt;=1500,"1251-R$1500")</f>
        <v>0-R$250</v>
      </c>
      <c r="W2094" s="13">
        <v>0</v>
      </c>
      <c r="X2094" s="13" t="str" cm="1">
        <f t="array" ref="X2094">_xlfn.IFS(W2094 = 0, "0", W2094&lt;=20, "até R$20",W2094&lt;=40, "21 - R$40",W2094&lt;=60, "41- R$60",W2094&lt;=80, "61 - R$80", W2094&lt;=100, "81 - R$100",W2094&lt;=120, "101 - R$120",W2094&lt;=140, "121 - R$140", W2094&lt;=160, "141- R$160", W2094&lt;=180, "161 - R$180", W2094&lt;=200, "181-R$194")</f>
        <v>0</v>
      </c>
      <c r="Y2094" s="13">
        <v>8</v>
      </c>
      <c r="Z2094" s="13">
        <v>0</v>
      </c>
      <c r="AA2094" s="13">
        <v>0</v>
      </c>
      <c r="AB2094" s="13">
        <v>9</v>
      </c>
      <c r="AC2094" s="13">
        <v>1</v>
      </c>
      <c r="AD2094" s="13">
        <v>1</v>
      </c>
      <c r="AE2094" s="13">
        <v>0</v>
      </c>
      <c r="AF2094" s="13">
        <v>2</v>
      </c>
      <c r="AG2094" s="13">
        <v>9</v>
      </c>
      <c r="AH2094" s="13">
        <v>0</v>
      </c>
      <c r="AI2094" s="13">
        <v>1</v>
      </c>
      <c r="AJ2094" s="13">
        <v>0</v>
      </c>
      <c r="AK2094" s="13">
        <v>0</v>
      </c>
      <c r="AL2094" s="13">
        <v>0</v>
      </c>
      <c r="AM2094" s="13">
        <v>0</v>
      </c>
      <c r="AN2094" s="13">
        <v>1</v>
      </c>
      <c r="AO2094" s="14">
        <v>1</v>
      </c>
      <c r="AP2094" s="13">
        <v>3</v>
      </c>
      <c r="AQ2094" s="13">
        <v>11</v>
      </c>
      <c r="AR2094" s="15">
        <v>9</v>
      </c>
      <c r="AS2094" s="15">
        <v>18</v>
      </c>
    </row>
    <row r="2095" spans="1:45" x14ac:dyDescent="0.25">
      <c r="A2095">
        <v>1184</v>
      </c>
      <c r="B2095" s="11">
        <f t="shared" si="32"/>
        <v>15287</v>
      </c>
      <c r="C2095" s="12">
        <v>152870</v>
      </c>
      <c r="D2095" s="13">
        <v>1</v>
      </c>
      <c r="E2095" s="13">
        <v>0</v>
      </c>
      <c r="F2095" s="13">
        <v>60</v>
      </c>
      <c r="G2095" s="13">
        <v>41</v>
      </c>
      <c r="H2095" s="13" t="str" cm="1">
        <f t="array" ref="H2095">_xlfn.IFS(G2095&lt;=20,"0-20",G2095&lt;=30,"20-30",G2095&lt;=40,"30-40",G2095&lt;=50,"50-60",G2095&lt;=60,"60-70",G2095&lt;=70,"70-80",G2095&lt;=80,"80-90")</f>
        <v>50-60</v>
      </c>
      <c r="I2095" s="13">
        <v>2786</v>
      </c>
      <c r="J2095" s="13" t="str" cm="1">
        <f t="array" ref="J2095">_xlfn.IFS(K2095=1,"Divorciado",L2095=1,"Casado",M2095=1,"Solteiro",N2095=1,"Juntos",O2095=1,"Viuvo")</f>
        <v>Divorciado</v>
      </c>
      <c r="K2095" s="13">
        <v>1</v>
      </c>
      <c r="L2095" s="13">
        <v>0</v>
      </c>
      <c r="M2095" s="13">
        <v>0</v>
      </c>
      <c r="N2095" s="13">
        <v>0</v>
      </c>
      <c r="O2095" s="13">
        <v>0</v>
      </c>
      <c r="P2095" s="13">
        <v>0</v>
      </c>
      <c r="Q2095" s="13">
        <v>0</v>
      </c>
      <c r="R2095" s="13">
        <v>1</v>
      </c>
      <c r="S2095" s="13">
        <v>0</v>
      </c>
      <c r="T2095" s="13">
        <v>0</v>
      </c>
      <c r="U2095" s="13">
        <v>1</v>
      </c>
      <c r="V2095" s="13" t="str" cm="1">
        <f t="array" ref="V2095">_xlfn.IFS(U2095&lt;=250,"0-R$250",U2095&lt;=500,"251-R$500",U2095&lt;=750,"501-R$750",U2095&lt;=1000,"751-R$1000",U2095&lt;=1250,"1001-R$1250",U2095&lt;=1500,"1251-R$1500")</f>
        <v>0-R$250</v>
      </c>
      <c r="W2095" s="13">
        <v>2</v>
      </c>
      <c r="X2095" s="13" t="str" cm="1">
        <f t="array" ref="X2095">_xlfn.IFS(W2095 = 0, "0", W2095&lt;=20, "até R$20",W2095&lt;=40, "21 - R$40",W2095&lt;=60, "41- R$60",W2095&lt;=80, "61 - R$80", W2095&lt;=100, "81 - R$100",W2095&lt;=120, "101 - R$120",W2095&lt;=140, "121 - R$140", W2095&lt;=160, "141- R$160", W2095&lt;=180, "161 - R$180", W2095&lt;=200, "181-R$194")</f>
        <v>até R$20</v>
      </c>
      <c r="Y2095" s="13">
        <v>8</v>
      </c>
      <c r="Z2095" s="13">
        <v>4</v>
      </c>
      <c r="AA2095" s="13">
        <v>3</v>
      </c>
      <c r="AB2095" s="13">
        <v>13</v>
      </c>
      <c r="AC2095" s="13">
        <v>2</v>
      </c>
      <c r="AD2095" s="13">
        <v>1</v>
      </c>
      <c r="AE2095" s="13">
        <v>1</v>
      </c>
      <c r="AF2095" s="13">
        <v>2</v>
      </c>
      <c r="AG2095" s="13">
        <v>7</v>
      </c>
      <c r="AH2095" s="13">
        <v>0</v>
      </c>
      <c r="AI2095" s="13">
        <v>1</v>
      </c>
      <c r="AJ2095" s="13">
        <v>0</v>
      </c>
      <c r="AK2095" s="13">
        <v>0</v>
      </c>
      <c r="AL2095" s="13">
        <v>0</v>
      </c>
      <c r="AM2095" s="13">
        <v>0</v>
      </c>
      <c r="AN2095" s="13">
        <v>1</v>
      </c>
      <c r="AO2095" s="14">
        <v>1</v>
      </c>
      <c r="AP2095" s="13">
        <v>3</v>
      </c>
      <c r="AQ2095" s="13">
        <v>11</v>
      </c>
      <c r="AR2095" s="15">
        <v>5</v>
      </c>
      <c r="AS2095" s="15">
        <v>18</v>
      </c>
    </row>
    <row r="2096" spans="1:45" x14ac:dyDescent="0.25">
      <c r="A2096">
        <v>1221</v>
      </c>
      <c r="B2096" s="11">
        <f t="shared" si="32"/>
        <v>25707</v>
      </c>
      <c r="C2096" s="16">
        <v>257070</v>
      </c>
      <c r="D2096" s="17">
        <v>1</v>
      </c>
      <c r="E2096" s="17">
        <v>0</v>
      </c>
      <c r="F2096" s="17">
        <v>18</v>
      </c>
      <c r="G2096" s="17">
        <v>36</v>
      </c>
      <c r="H2096" s="13" t="str" cm="1">
        <f t="array" ref="H2096">_xlfn.IFS(G2096&lt;=20,"0-20",G2096&lt;=30,"20-30",G2096&lt;=40,"30-40",G2096&lt;=50,"50-60",G2096&lt;=60,"60-70",G2096&lt;=70,"70-80",G2096&lt;=80,"80-90")</f>
        <v>30-40</v>
      </c>
      <c r="I2096" s="17">
        <v>2321</v>
      </c>
      <c r="J2096" s="13" t="str" cm="1">
        <f t="array" ref="J2096">_xlfn.IFS(K2096=1,"Divorciado",L2096=1,"Casado",M2096=1,"Solteiro",N2096=1,"Juntos",O2096=1,"Viuvo")</f>
        <v>Solteiro</v>
      </c>
      <c r="K2096" s="17">
        <v>0</v>
      </c>
      <c r="L2096" s="17">
        <v>0</v>
      </c>
      <c r="M2096" s="17">
        <v>1</v>
      </c>
      <c r="N2096" s="17">
        <v>0</v>
      </c>
      <c r="O2096" s="17">
        <v>0</v>
      </c>
      <c r="P2096" s="17">
        <v>0</v>
      </c>
      <c r="Q2096" s="17">
        <v>1</v>
      </c>
      <c r="R2096" s="17">
        <v>0</v>
      </c>
      <c r="S2096" s="17">
        <v>0</v>
      </c>
      <c r="T2096" s="17">
        <v>0</v>
      </c>
      <c r="U2096" s="17">
        <v>1</v>
      </c>
      <c r="V2096" s="13" t="str" cm="1">
        <f t="array" ref="V2096">_xlfn.IFS(U2096&lt;=250,"0-R$250",U2096&lt;=500,"251-R$500",U2096&lt;=750,"501-R$750",U2096&lt;=1000,"751-R$1000",U2096&lt;=1250,"1001-R$1250",U2096&lt;=1500,"1251-R$1500")</f>
        <v>0-R$250</v>
      </c>
      <c r="W2096" s="17">
        <v>6</v>
      </c>
      <c r="X2096" s="13" t="str" cm="1">
        <f t="array" ref="X2096">_xlfn.IFS(W2096 = 0, "0", W2096&lt;=20, "até R$20",W2096&lt;=40, "21 - R$40",W2096&lt;=60, "41- R$60",W2096&lt;=80, "61 - R$80", W2096&lt;=100, "81 - R$100",W2096&lt;=120, "101 - R$120",W2096&lt;=140, "121 - R$140", W2096&lt;=160, "141- R$160", W2096&lt;=180, "161 - R$180", W2096&lt;=200, "181-R$194")</f>
        <v>até R$20</v>
      </c>
      <c r="Y2096" s="17">
        <v>2</v>
      </c>
      <c r="Z2096" s="17">
        <v>3</v>
      </c>
      <c r="AA2096" s="17">
        <v>6</v>
      </c>
      <c r="AB2096" s="17">
        <v>3</v>
      </c>
      <c r="AC2096" s="17">
        <v>1</v>
      </c>
      <c r="AD2096" s="17">
        <v>1</v>
      </c>
      <c r="AE2096" s="17">
        <v>0</v>
      </c>
      <c r="AF2096" s="17">
        <v>3</v>
      </c>
      <c r="AG2096" s="17">
        <v>7</v>
      </c>
      <c r="AH2096" s="17">
        <v>0</v>
      </c>
      <c r="AI2096" s="17">
        <v>0</v>
      </c>
      <c r="AJ2096" s="17">
        <v>0</v>
      </c>
      <c r="AK2096" s="17">
        <v>0</v>
      </c>
      <c r="AL2096" s="17">
        <v>0</v>
      </c>
      <c r="AM2096" s="17">
        <v>0</v>
      </c>
      <c r="AN2096" s="17">
        <v>0</v>
      </c>
      <c r="AO2096" s="18">
        <v>0</v>
      </c>
      <c r="AP2096" s="17">
        <v>3</v>
      </c>
      <c r="AQ2096" s="17">
        <v>11</v>
      </c>
      <c r="AR2096" s="19">
        <v>15</v>
      </c>
      <c r="AS2096" s="19">
        <v>18</v>
      </c>
    </row>
    <row r="2097" spans="1:45" x14ac:dyDescent="0.25">
      <c r="A2097">
        <v>1403</v>
      </c>
      <c r="B2097" s="11">
        <f t="shared" si="32"/>
        <v>43269</v>
      </c>
      <c r="C2097" s="16">
        <v>432690</v>
      </c>
      <c r="D2097" s="17">
        <v>1</v>
      </c>
      <c r="E2097" s="17">
        <v>0</v>
      </c>
      <c r="F2097" s="17">
        <v>61</v>
      </c>
      <c r="G2097" s="17">
        <v>48</v>
      </c>
      <c r="H2097" s="13" t="str" cm="1">
        <f t="array" ref="H2097">_xlfn.IFS(G2097&lt;=20,"0-20",G2097&lt;=30,"20-30",G2097&lt;=40,"30-40",G2097&lt;=50,"50-60",G2097&lt;=60,"60-70",G2097&lt;=70,"70-80",G2097&lt;=80,"80-90")</f>
        <v>50-60</v>
      </c>
      <c r="I2097" s="17">
        <v>2445</v>
      </c>
      <c r="J2097" s="13" t="str" cm="1">
        <f t="array" ref="J2097">_xlfn.IFS(K2097=1,"Divorciado",L2097=1,"Casado",M2097=1,"Solteiro",N2097=1,"Juntos",O2097=1,"Viuvo")</f>
        <v>Casado</v>
      </c>
      <c r="K2097" s="17">
        <v>0</v>
      </c>
      <c r="L2097" s="17">
        <v>1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1</v>
      </c>
      <c r="U2097" s="17">
        <v>10</v>
      </c>
      <c r="V2097" s="13" t="str" cm="1">
        <f t="array" ref="V2097">_xlfn.IFS(U2097&lt;=250,"0-R$250",U2097&lt;=500,"251-R$500",U2097&lt;=750,"501-R$750",U2097&lt;=1000,"751-R$1000",U2097&lt;=1250,"1001-R$1250",U2097&lt;=1500,"1251-R$1500")</f>
        <v>0-R$250</v>
      </c>
      <c r="W2097" s="17">
        <v>1</v>
      </c>
      <c r="X2097" s="13" t="str" cm="1">
        <f t="array" ref="X2097">_xlfn.IFS(W2097 = 0, "0", W2097&lt;=20, "até R$20",W2097&lt;=40, "21 - R$40",W2097&lt;=60, "41- R$60",W2097&lt;=80, "61 - R$80", W2097&lt;=100, "81 - R$100",W2097&lt;=120, "101 - R$120",W2097&lt;=140, "121 - R$140", W2097&lt;=160, "141- R$160", W2097&lt;=180, "161 - R$180", W2097&lt;=200, "181-R$194")</f>
        <v>até R$20</v>
      </c>
      <c r="Y2097" s="17">
        <v>7</v>
      </c>
      <c r="Z2097" s="17">
        <v>0</v>
      </c>
      <c r="AA2097" s="17">
        <v>0</v>
      </c>
      <c r="AB2097" s="17">
        <v>1</v>
      </c>
      <c r="AC2097" s="17">
        <v>1</v>
      </c>
      <c r="AD2097" s="17">
        <v>1</v>
      </c>
      <c r="AE2097" s="17">
        <v>0</v>
      </c>
      <c r="AF2097" s="17">
        <v>2</v>
      </c>
      <c r="AG2097" s="17">
        <v>8</v>
      </c>
      <c r="AH2097" s="17">
        <v>0</v>
      </c>
      <c r="AI2097" s="17">
        <v>0</v>
      </c>
      <c r="AJ2097" s="17">
        <v>0</v>
      </c>
      <c r="AK2097" s="17">
        <v>0</v>
      </c>
      <c r="AL2097" s="17">
        <v>0</v>
      </c>
      <c r="AM2097" s="17">
        <v>0</v>
      </c>
      <c r="AN2097" s="17">
        <v>0</v>
      </c>
      <c r="AO2097" s="18">
        <v>0</v>
      </c>
      <c r="AP2097" s="17">
        <v>3</v>
      </c>
      <c r="AQ2097" s="17">
        <v>11</v>
      </c>
      <c r="AR2097" s="19">
        <v>17</v>
      </c>
      <c r="AS2097" s="19">
        <v>18</v>
      </c>
    </row>
    <row r="2098" spans="1:45" x14ac:dyDescent="0.25">
      <c r="A2098">
        <v>1512</v>
      </c>
      <c r="B2098" s="11">
        <f t="shared" si="32"/>
        <v>9255</v>
      </c>
      <c r="C2098" s="12">
        <v>92550</v>
      </c>
      <c r="D2098" s="13">
        <v>1</v>
      </c>
      <c r="E2098" s="13">
        <v>0</v>
      </c>
      <c r="F2098" s="13">
        <v>91</v>
      </c>
      <c r="G2098" s="13">
        <v>31</v>
      </c>
      <c r="H2098" s="13" t="str" cm="1">
        <f t="array" ref="H2098">_xlfn.IFS(G2098&lt;=20,"0-20",G2098&lt;=30,"20-30",G2098&lt;=40,"30-40",G2098&lt;=50,"50-60",G2098&lt;=60,"60-70",G2098&lt;=70,"70-80",G2098&lt;=80,"80-90")</f>
        <v>30-40</v>
      </c>
      <c r="I2098" s="13">
        <v>2350</v>
      </c>
      <c r="J2098" s="13" t="str" cm="1">
        <f t="array" ref="J2098">_xlfn.IFS(K2098=1,"Divorciado",L2098=1,"Casado",M2098=1,"Solteiro",N2098=1,"Juntos",O2098=1,"Viuvo")</f>
        <v>Solteiro</v>
      </c>
      <c r="K2098" s="13">
        <v>0</v>
      </c>
      <c r="L2098" s="13">
        <v>0</v>
      </c>
      <c r="M2098" s="13">
        <v>1</v>
      </c>
      <c r="N2098" s="13">
        <v>0</v>
      </c>
      <c r="O2098" s="13">
        <v>0</v>
      </c>
      <c r="P2098" s="13">
        <v>0</v>
      </c>
      <c r="Q2098" s="13">
        <v>0</v>
      </c>
      <c r="R2098" s="13">
        <v>1</v>
      </c>
      <c r="S2098" s="13">
        <v>0</v>
      </c>
      <c r="T2098" s="13">
        <v>0</v>
      </c>
      <c r="U2098" s="13">
        <v>9</v>
      </c>
      <c r="V2098" s="13" t="str" cm="1">
        <f t="array" ref="V2098">_xlfn.IFS(U2098&lt;=250,"0-R$250",U2098&lt;=500,"251-R$500",U2098&lt;=750,"501-R$750",U2098&lt;=1000,"751-R$1000",U2098&lt;=1250,"1001-R$1250",U2098&lt;=1500,"1251-R$1500")</f>
        <v>0-R$250</v>
      </c>
      <c r="W2098" s="13">
        <v>0</v>
      </c>
      <c r="X2098" s="13" t="str" cm="1">
        <f t="array" ref="X2098">_xlfn.IFS(W2098 = 0, "0", W2098&lt;=20, "até R$20",W2098&lt;=40, "21 - R$40",W2098&lt;=60, "41- R$60",W2098&lt;=80, "61 - R$80", W2098&lt;=100, "81 - R$100",W2098&lt;=120, "101 - R$120",W2098&lt;=140, "121 - R$140", W2098&lt;=160, "141- R$160", W2098&lt;=180, "161 - R$180", W2098&lt;=200, "181-R$194")</f>
        <v>0</v>
      </c>
      <c r="Y2098" s="13">
        <v>7</v>
      </c>
      <c r="Z2098" s="13">
        <v>2</v>
      </c>
      <c r="AA2098" s="13">
        <v>0</v>
      </c>
      <c r="AB2098" s="13">
        <v>4</v>
      </c>
      <c r="AC2098" s="13">
        <v>1</v>
      </c>
      <c r="AD2098" s="13">
        <v>1</v>
      </c>
      <c r="AE2098" s="13">
        <v>1</v>
      </c>
      <c r="AF2098" s="13">
        <v>2</v>
      </c>
      <c r="AG2098" s="13">
        <v>8</v>
      </c>
      <c r="AH2098" s="13">
        <v>0</v>
      </c>
      <c r="AI2098" s="13">
        <v>0</v>
      </c>
      <c r="AJ2098" s="13">
        <v>0</v>
      </c>
      <c r="AK2098" s="13">
        <v>0</v>
      </c>
      <c r="AL2098" s="13">
        <v>0</v>
      </c>
      <c r="AM2098" s="13">
        <v>0</v>
      </c>
      <c r="AN2098" s="13">
        <v>0</v>
      </c>
      <c r="AO2098" s="14">
        <v>0</v>
      </c>
      <c r="AP2098" s="13">
        <v>3</v>
      </c>
      <c r="AQ2098" s="13">
        <v>11</v>
      </c>
      <c r="AR2098" s="15">
        <v>14</v>
      </c>
      <c r="AS2098" s="15">
        <v>18</v>
      </c>
    </row>
    <row r="2099" spans="1:45" x14ac:dyDescent="0.25">
      <c r="A2099">
        <v>1671</v>
      </c>
      <c r="B2099" s="11">
        <f t="shared" si="32"/>
        <v>42033</v>
      </c>
      <c r="C2099" s="16">
        <v>420330</v>
      </c>
      <c r="D2099" s="17">
        <v>1</v>
      </c>
      <c r="E2099" s="17">
        <v>1</v>
      </c>
      <c r="F2099" s="17">
        <v>95</v>
      </c>
      <c r="G2099" s="17">
        <v>49</v>
      </c>
      <c r="H2099" s="13" t="str" cm="1">
        <f t="array" ref="H2099">_xlfn.IFS(G2099&lt;=20,"0-20",G2099&lt;=30,"20-30",G2099&lt;=40,"30-40",G2099&lt;=50,"50-60",G2099&lt;=60,"60-70",G2099&lt;=70,"70-80",G2099&lt;=80,"80-90")</f>
        <v>50-60</v>
      </c>
      <c r="I2099" s="17">
        <v>2807</v>
      </c>
      <c r="J2099" s="13" t="str" cm="1">
        <f t="array" ref="J2099">_xlfn.IFS(K2099=1,"Divorciado",L2099=1,"Casado",M2099=1,"Solteiro",N2099=1,"Juntos",O2099=1,"Viuvo")</f>
        <v>Juntos</v>
      </c>
      <c r="K2099" s="17">
        <v>0</v>
      </c>
      <c r="L2099" s="17">
        <v>0</v>
      </c>
      <c r="M2099" s="17">
        <v>0</v>
      </c>
      <c r="N2099" s="17">
        <v>1</v>
      </c>
      <c r="O2099" s="17">
        <v>0</v>
      </c>
      <c r="P2099" s="17">
        <v>1</v>
      </c>
      <c r="Q2099" s="17">
        <v>0</v>
      </c>
      <c r="R2099" s="17">
        <v>0</v>
      </c>
      <c r="S2099" s="17">
        <v>0</v>
      </c>
      <c r="T2099" s="17">
        <v>0</v>
      </c>
      <c r="U2099" s="17">
        <v>11</v>
      </c>
      <c r="V2099" s="13" t="str" cm="1">
        <f t="array" ref="V2099">_xlfn.IFS(U2099&lt;=250,"0-R$250",U2099&lt;=500,"251-R$500",U2099&lt;=750,"501-R$750",U2099&lt;=1000,"751-R$1000",U2099&lt;=1250,"1001-R$1250",U2099&lt;=1500,"1251-R$1500")</f>
        <v>0-R$250</v>
      </c>
      <c r="W2099" s="17">
        <v>1</v>
      </c>
      <c r="X2099" s="13" t="str" cm="1">
        <f t="array" ref="X2099">_xlfn.IFS(W2099 = 0, "0", W2099&lt;=20, "até R$20",W2099&lt;=40, "21 - R$40",W2099&lt;=60, "41- R$60",W2099&lt;=80, "61 - R$80", W2099&lt;=100, "81 - R$100",W2099&lt;=120, "101 - R$120",W2099&lt;=140, "121 - R$140", W2099&lt;=160, "141- R$160", W2099&lt;=180, "161 - R$180", W2099&lt;=200, "181-R$194")</f>
        <v>até R$20</v>
      </c>
      <c r="Y2099" s="17">
        <v>4</v>
      </c>
      <c r="Z2099" s="17">
        <v>2</v>
      </c>
      <c r="AA2099" s="17">
        <v>0</v>
      </c>
      <c r="AB2099" s="17">
        <v>7</v>
      </c>
      <c r="AC2099" s="17">
        <v>1</v>
      </c>
      <c r="AD2099" s="17">
        <v>1</v>
      </c>
      <c r="AE2099" s="17">
        <v>0</v>
      </c>
      <c r="AF2099" s="17">
        <v>2</v>
      </c>
      <c r="AG2099" s="17">
        <v>7</v>
      </c>
      <c r="AH2099" s="17">
        <v>0</v>
      </c>
      <c r="AI2099" s="17">
        <v>0</v>
      </c>
      <c r="AJ2099" s="17">
        <v>0</v>
      </c>
      <c r="AK2099" s="17">
        <v>0</v>
      </c>
      <c r="AL2099" s="17">
        <v>0</v>
      </c>
      <c r="AM2099" s="17">
        <v>0</v>
      </c>
      <c r="AN2099" s="17">
        <v>0</v>
      </c>
      <c r="AO2099" s="18">
        <v>0</v>
      </c>
      <c r="AP2099" s="17">
        <v>3</v>
      </c>
      <c r="AQ2099" s="17">
        <v>11</v>
      </c>
      <c r="AR2099" s="19">
        <v>11</v>
      </c>
      <c r="AS2099" s="19">
        <v>18</v>
      </c>
    </row>
    <row r="2100" spans="1:45" x14ac:dyDescent="0.25">
      <c r="A2100">
        <v>1842</v>
      </c>
      <c r="B2100" s="11">
        <f t="shared" si="32"/>
        <v>34738</v>
      </c>
      <c r="C2100" s="12">
        <v>347380</v>
      </c>
      <c r="D2100" s="13">
        <v>1</v>
      </c>
      <c r="E2100" s="13">
        <v>0</v>
      </c>
      <c r="F2100" s="13">
        <v>51</v>
      </c>
      <c r="G2100" s="13">
        <v>36</v>
      </c>
      <c r="H2100" s="13" t="str" cm="1">
        <f t="array" ref="H2100">_xlfn.IFS(G2100&lt;=20,"0-20",G2100&lt;=30,"20-30",G2100&lt;=40,"30-40",G2100&lt;=50,"50-60",G2100&lt;=60,"60-70",G2100&lt;=70,"70-80",G2100&lt;=80,"80-90")</f>
        <v>30-40</v>
      </c>
      <c r="I2100" s="13">
        <v>2208</v>
      </c>
      <c r="J2100" s="13" t="str" cm="1">
        <f t="array" ref="J2100">_xlfn.IFS(K2100=1,"Divorciado",L2100=1,"Casado",M2100=1,"Solteiro",N2100=1,"Juntos",O2100=1,"Viuvo")</f>
        <v>Solteiro</v>
      </c>
      <c r="K2100" s="13">
        <v>0</v>
      </c>
      <c r="L2100" s="13">
        <v>0</v>
      </c>
      <c r="M2100" s="13">
        <v>1</v>
      </c>
      <c r="N2100" s="13">
        <v>0</v>
      </c>
      <c r="O2100" s="13">
        <v>0</v>
      </c>
      <c r="P2100" s="13">
        <v>0</v>
      </c>
      <c r="Q2100" s="13">
        <v>0</v>
      </c>
      <c r="R2100" s="13">
        <v>1</v>
      </c>
      <c r="S2100" s="13">
        <v>0</v>
      </c>
      <c r="T2100" s="13">
        <v>0</v>
      </c>
      <c r="U2100" s="13">
        <v>3</v>
      </c>
      <c r="V2100" s="13" t="str" cm="1">
        <f t="array" ref="V2100">_xlfn.IFS(U2100&lt;=250,"0-R$250",U2100&lt;=500,"251-R$500",U2100&lt;=750,"501-R$750",U2100&lt;=1000,"751-R$1000",U2100&lt;=1250,"1001-R$1250",U2100&lt;=1500,"1251-R$1500")</f>
        <v>0-R$250</v>
      </c>
      <c r="W2100" s="13">
        <v>2</v>
      </c>
      <c r="X2100" s="13" t="str" cm="1">
        <f t="array" ref="X2100">_xlfn.IFS(W2100 = 0, "0", W2100&lt;=20, "até R$20",W2100&lt;=40, "21 - R$40",W2100&lt;=60, "41- R$60",W2100&lt;=80, "61 - R$80", W2100&lt;=100, "81 - R$100",W2100&lt;=120, "101 - R$120",W2100&lt;=140, "121 - R$140", W2100&lt;=160, "141- R$160", W2100&lt;=180, "161 - R$180", W2100&lt;=200, "181-R$194")</f>
        <v>até R$20</v>
      </c>
      <c r="Y2100" s="13">
        <v>10</v>
      </c>
      <c r="Z2100" s="13">
        <v>3</v>
      </c>
      <c r="AA2100" s="13">
        <v>0</v>
      </c>
      <c r="AB2100" s="13">
        <v>2</v>
      </c>
      <c r="AC2100" s="13">
        <v>1</v>
      </c>
      <c r="AD2100" s="13">
        <v>1</v>
      </c>
      <c r="AE2100" s="13">
        <v>0</v>
      </c>
      <c r="AF2100" s="13">
        <v>3</v>
      </c>
      <c r="AG2100" s="13">
        <v>6</v>
      </c>
      <c r="AH2100" s="13">
        <v>0</v>
      </c>
      <c r="AI2100" s="13">
        <v>0</v>
      </c>
      <c r="AJ2100" s="13">
        <v>0</v>
      </c>
      <c r="AK2100" s="13">
        <v>0</v>
      </c>
      <c r="AL2100" s="13">
        <v>0</v>
      </c>
      <c r="AM2100" s="13">
        <v>0</v>
      </c>
      <c r="AN2100" s="13">
        <v>0</v>
      </c>
      <c r="AO2100" s="14">
        <v>0</v>
      </c>
      <c r="AP2100" s="13">
        <v>3</v>
      </c>
      <c r="AQ2100" s="13">
        <v>11</v>
      </c>
      <c r="AR2100" s="15">
        <v>16</v>
      </c>
      <c r="AS2100" s="15">
        <v>18</v>
      </c>
    </row>
    <row r="2101" spans="1:45" x14ac:dyDescent="0.25">
      <c r="A2101">
        <v>1954</v>
      </c>
      <c r="B2101" s="11">
        <f t="shared" si="32"/>
        <v>31385</v>
      </c>
      <c r="C2101" s="12">
        <v>313850</v>
      </c>
      <c r="D2101" s="13">
        <v>1</v>
      </c>
      <c r="E2101" s="13">
        <v>0</v>
      </c>
      <c r="F2101" s="13">
        <v>56</v>
      </c>
      <c r="G2101" s="13">
        <v>36</v>
      </c>
      <c r="H2101" s="13" t="str" cm="1">
        <f t="array" ref="H2101">_xlfn.IFS(G2101&lt;=20,"0-20",G2101&lt;=30,"20-30",G2101&lt;=40,"30-40",G2101&lt;=50,"50-60",G2101&lt;=60,"60-70",G2101&lt;=70,"70-80",G2101&lt;=80,"80-90")</f>
        <v>30-40</v>
      </c>
      <c r="I2101" s="13">
        <v>2730</v>
      </c>
      <c r="J2101" s="13" t="str" cm="1">
        <f t="array" ref="J2101">_xlfn.IFS(K2101=1,"Divorciado",L2101=1,"Casado",M2101=1,"Solteiro",N2101=1,"Juntos",O2101=1,"Viuvo")</f>
        <v>Solteiro</v>
      </c>
      <c r="K2101" s="13">
        <v>0</v>
      </c>
      <c r="L2101" s="13">
        <v>0</v>
      </c>
      <c r="M2101" s="13">
        <v>1</v>
      </c>
      <c r="N2101" s="13">
        <v>0</v>
      </c>
      <c r="O2101" s="13">
        <v>0</v>
      </c>
      <c r="P2101" s="13">
        <v>0</v>
      </c>
      <c r="Q2101" s="13">
        <v>0</v>
      </c>
      <c r="R2101" s="13">
        <v>0</v>
      </c>
      <c r="S2101" s="13">
        <v>1</v>
      </c>
      <c r="T2101" s="13">
        <v>0</v>
      </c>
      <c r="U2101" s="13">
        <v>3</v>
      </c>
      <c r="V2101" s="13" t="str" cm="1">
        <f t="array" ref="V2101">_xlfn.IFS(U2101&lt;=250,"0-R$250",U2101&lt;=500,"251-R$500",U2101&lt;=750,"501-R$750",U2101&lt;=1000,"751-R$1000",U2101&lt;=1250,"1001-R$1250",U2101&lt;=1500,"1251-R$1500")</f>
        <v>0-R$250</v>
      </c>
      <c r="W2101" s="13">
        <v>2</v>
      </c>
      <c r="X2101" s="13" t="str" cm="1">
        <f t="array" ref="X2101">_xlfn.IFS(W2101 = 0, "0", W2101&lt;=20, "até R$20",W2101&lt;=40, "21 - R$40",W2101&lt;=60, "41- R$60",W2101&lt;=80, "61 - R$80", W2101&lt;=100, "81 - R$100",W2101&lt;=120, "101 - R$120",W2101&lt;=140, "121 - R$140", W2101&lt;=160, "141- R$160", W2101&lt;=180, "161 - R$180", W2101&lt;=200, "181-R$194")</f>
        <v>até R$20</v>
      </c>
      <c r="Y2101" s="13">
        <v>12</v>
      </c>
      <c r="Z2101" s="13">
        <v>0</v>
      </c>
      <c r="AA2101" s="13">
        <v>1</v>
      </c>
      <c r="AB2101" s="13">
        <v>9</v>
      </c>
      <c r="AC2101" s="13">
        <v>1</v>
      </c>
      <c r="AD2101" s="13">
        <v>1</v>
      </c>
      <c r="AE2101" s="13">
        <v>0</v>
      </c>
      <c r="AF2101" s="13">
        <v>2</v>
      </c>
      <c r="AG2101" s="13">
        <v>8</v>
      </c>
      <c r="AH2101" s="13">
        <v>0</v>
      </c>
      <c r="AI2101" s="13">
        <v>1</v>
      </c>
      <c r="AJ2101" s="13">
        <v>0</v>
      </c>
      <c r="AK2101" s="13">
        <v>0</v>
      </c>
      <c r="AL2101" s="13">
        <v>0</v>
      </c>
      <c r="AM2101" s="13">
        <v>0</v>
      </c>
      <c r="AN2101" s="13">
        <v>1</v>
      </c>
      <c r="AO2101" s="14">
        <v>1</v>
      </c>
      <c r="AP2101" s="13">
        <v>3</v>
      </c>
      <c r="AQ2101" s="13">
        <v>11</v>
      </c>
      <c r="AR2101" s="15">
        <v>9</v>
      </c>
      <c r="AS2101" s="15">
        <v>18</v>
      </c>
    </row>
    <row r="2102" spans="1:45" x14ac:dyDescent="0.25">
      <c r="A2102">
        <v>2049</v>
      </c>
      <c r="B2102" s="11">
        <f t="shared" si="32"/>
        <v>27889</v>
      </c>
      <c r="C2102" s="16">
        <v>278890</v>
      </c>
      <c r="D2102" s="17">
        <v>1</v>
      </c>
      <c r="E2102" s="17">
        <v>0</v>
      </c>
      <c r="F2102" s="17">
        <v>42</v>
      </c>
      <c r="G2102" s="17">
        <v>43</v>
      </c>
      <c r="H2102" s="13" t="str" cm="1">
        <f t="array" ref="H2102">_xlfn.IFS(G2102&lt;=20,"0-20",G2102&lt;=30,"20-30",G2102&lt;=40,"30-40",G2102&lt;=50,"50-60",G2102&lt;=60,"60-70",G2102&lt;=70,"70-80",G2102&lt;=80,"80-90")</f>
        <v>50-60</v>
      </c>
      <c r="I2102" s="17">
        <v>2518</v>
      </c>
      <c r="J2102" s="13" t="str" cm="1">
        <f t="array" ref="J2102">_xlfn.IFS(K2102=1,"Divorciado",L2102=1,"Casado",M2102=1,"Solteiro",N2102=1,"Juntos",O2102=1,"Viuvo")</f>
        <v>Casado</v>
      </c>
      <c r="K2102" s="17">
        <v>0</v>
      </c>
      <c r="L2102" s="17">
        <v>1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1</v>
      </c>
      <c r="T2102" s="17">
        <v>0</v>
      </c>
      <c r="U2102" s="17">
        <v>14</v>
      </c>
      <c r="V2102" s="13" t="str" cm="1">
        <f t="array" ref="V2102">_xlfn.IFS(U2102&lt;=250,"0-R$250",U2102&lt;=500,"251-R$500",U2102&lt;=750,"501-R$750",U2102&lt;=1000,"751-R$1000",U2102&lt;=1250,"1001-R$1250",U2102&lt;=1500,"1251-R$1500")</f>
        <v>0-R$250</v>
      </c>
      <c r="W2102" s="17">
        <v>0</v>
      </c>
      <c r="X2102" s="13" t="str" cm="1">
        <f t="array" ref="X2102">_xlfn.IFS(W2102 = 0, "0", W2102&lt;=20, "até R$20",W2102&lt;=40, "21 - R$40",W2102&lt;=60, "41- R$60",W2102&lt;=80, "61 - R$80", W2102&lt;=100, "81 - R$100",W2102&lt;=120, "101 - R$120",W2102&lt;=140, "121 - R$140", W2102&lt;=160, "141- R$160", W2102&lt;=180, "161 - R$180", W2102&lt;=200, "181-R$194")</f>
        <v>0</v>
      </c>
      <c r="Y2102" s="17">
        <v>4</v>
      </c>
      <c r="Z2102" s="17">
        <v>0</v>
      </c>
      <c r="AA2102" s="17">
        <v>0</v>
      </c>
      <c r="AB2102" s="17">
        <v>8</v>
      </c>
      <c r="AC2102" s="17">
        <v>1</v>
      </c>
      <c r="AD2102" s="17">
        <v>1</v>
      </c>
      <c r="AE2102" s="17">
        <v>1</v>
      </c>
      <c r="AF2102" s="17">
        <v>2</v>
      </c>
      <c r="AG2102" s="17">
        <v>6</v>
      </c>
      <c r="AH2102" s="17">
        <v>0</v>
      </c>
      <c r="AI2102" s="17">
        <v>0</v>
      </c>
      <c r="AJ2102" s="17">
        <v>0</v>
      </c>
      <c r="AK2102" s="17">
        <v>0</v>
      </c>
      <c r="AL2102" s="17">
        <v>0</v>
      </c>
      <c r="AM2102" s="17">
        <v>0</v>
      </c>
      <c r="AN2102" s="17">
        <v>0</v>
      </c>
      <c r="AO2102" s="18">
        <v>0</v>
      </c>
      <c r="AP2102" s="17">
        <v>3</v>
      </c>
      <c r="AQ2102" s="17">
        <v>11</v>
      </c>
      <c r="AR2102" s="19">
        <v>10</v>
      </c>
      <c r="AS2102" s="19">
        <v>18</v>
      </c>
    </row>
    <row r="2103" spans="1:45" x14ac:dyDescent="0.25">
      <c r="A2103">
        <v>2058</v>
      </c>
      <c r="B2103" s="11">
        <f t="shared" si="32"/>
        <v>34109</v>
      </c>
      <c r="C2103" s="12">
        <v>341090</v>
      </c>
      <c r="D2103" s="13">
        <v>0</v>
      </c>
      <c r="E2103" s="13">
        <v>1</v>
      </c>
      <c r="F2103" s="13">
        <v>39</v>
      </c>
      <c r="G2103" s="13">
        <v>49</v>
      </c>
      <c r="H2103" s="13" t="str" cm="1">
        <f t="array" ref="H2103">_xlfn.IFS(G2103&lt;=20,"0-20",G2103&lt;=30,"20-30",G2103&lt;=40,"30-40",G2103&lt;=50,"50-60",G2103&lt;=60,"60-70",G2103&lt;=70,"70-80",G2103&lt;=80,"80-90")</f>
        <v>50-60</v>
      </c>
      <c r="I2103" s="13">
        <v>2394</v>
      </c>
      <c r="J2103" s="13" t="str" cm="1">
        <f t="array" ref="J2103">_xlfn.IFS(K2103=1,"Divorciado",L2103=1,"Casado",M2103=1,"Solteiro",N2103=1,"Juntos",O2103=1,"Viuvo")</f>
        <v>Casado</v>
      </c>
      <c r="K2103" s="13">
        <v>0</v>
      </c>
      <c r="L2103" s="13">
        <v>1</v>
      </c>
      <c r="M2103" s="13">
        <v>0</v>
      </c>
      <c r="N2103" s="13">
        <v>0</v>
      </c>
      <c r="O2103" s="13">
        <v>0</v>
      </c>
      <c r="P2103" s="13">
        <v>0</v>
      </c>
      <c r="Q2103" s="13">
        <v>0</v>
      </c>
      <c r="R2103" s="13">
        <v>0</v>
      </c>
      <c r="S2103" s="13">
        <v>1</v>
      </c>
      <c r="T2103" s="13">
        <v>0</v>
      </c>
      <c r="U2103" s="13">
        <v>9</v>
      </c>
      <c r="V2103" s="13" t="str" cm="1">
        <f t="array" ref="V2103">_xlfn.IFS(U2103&lt;=250,"0-R$250",U2103&lt;=500,"251-R$500",U2103&lt;=750,"501-R$750",U2103&lt;=1000,"751-R$1000",U2103&lt;=1250,"1001-R$1250",U2103&lt;=1500,"1251-R$1500")</f>
        <v>0-R$250</v>
      </c>
      <c r="W2103" s="13">
        <v>1</v>
      </c>
      <c r="X2103" s="13" t="str" cm="1">
        <f t="array" ref="X2103">_xlfn.IFS(W2103 = 0, "0", W2103&lt;=20, "até R$20",W2103&lt;=40, "21 - R$40",W2103&lt;=60, "41- R$60",W2103&lt;=80, "61 - R$80", W2103&lt;=100, "81 - R$100",W2103&lt;=120, "101 - R$120",W2103&lt;=140, "121 - R$140", W2103&lt;=160, "141- R$160", W2103&lt;=180, "161 - R$180", W2103&lt;=200, "181-R$194")</f>
        <v>até R$20</v>
      </c>
      <c r="Y2103" s="13">
        <v>5</v>
      </c>
      <c r="Z2103" s="13">
        <v>2</v>
      </c>
      <c r="AA2103" s="13">
        <v>1</v>
      </c>
      <c r="AB2103" s="13">
        <v>4</v>
      </c>
      <c r="AC2103" s="13">
        <v>1</v>
      </c>
      <c r="AD2103" s="13">
        <v>0</v>
      </c>
      <c r="AE2103" s="13">
        <v>0</v>
      </c>
      <c r="AF2103" s="13">
        <v>3</v>
      </c>
      <c r="AG2103" s="13">
        <v>4</v>
      </c>
      <c r="AH2103" s="13">
        <v>0</v>
      </c>
      <c r="AI2103" s="13">
        <v>0</v>
      </c>
      <c r="AJ2103" s="13">
        <v>0</v>
      </c>
      <c r="AK2103" s="13">
        <v>0</v>
      </c>
      <c r="AL2103" s="13">
        <v>0</v>
      </c>
      <c r="AM2103" s="13">
        <v>0</v>
      </c>
      <c r="AN2103" s="13">
        <v>0</v>
      </c>
      <c r="AO2103" s="14">
        <v>0</v>
      </c>
      <c r="AP2103" s="13">
        <v>3</v>
      </c>
      <c r="AQ2103" s="13">
        <v>11</v>
      </c>
      <c r="AR2103" s="15">
        <v>14</v>
      </c>
      <c r="AS2103" s="15">
        <v>18</v>
      </c>
    </row>
    <row r="2104" spans="1:45" x14ac:dyDescent="0.25">
      <c r="A2104">
        <v>217</v>
      </c>
      <c r="B2104" s="11">
        <f t="shared" si="32"/>
        <v>34320</v>
      </c>
      <c r="C2104" s="16">
        <v>343200</v>
      </c>
      <c r="D2104" s="17">
        <v>1</v>
      </c>
      <c r="E2104" s="17">
        <v>0</v>
      </c>
      <c r="F2104" s="17">
        <v>66</v>
      </c>
      <c r="G2104" s="17">
        <v>34</v>
      </c>
      <c r="H2104" s="13" t="str" cm="1">
        <f t="array" ref="H2104">_xlfn.IFS(G2104&lt;=20,"0-20",G2104&lt;=30,"20-30",G2104&lt;=40,"30-40",G2104&lt;=50,"50-60",G2104&lt;=60,"60-70",G2104&lt;=70,"70-80",G2104&lt;=80,"80-90")</f>
        <v>30-40</v>
      </c>
      <c r="I2104" s="17">
        <v>2292</v>
      </c>
      <c r="J2104" s="13" t="str" cm="1">
        <f t="array" ref="J2104">_xlfn.IFS(K2104=1,"Divorciado",L2104=1,"Casado",M2104=1,"Solteiro",N2104=1,"Juntos",O2104=1,"Viuvo")</f>
        <v>Juntos</v>
      </c>
      <c r="K2104" s="17">
        <v>0</v>
      </c>
      <c r="L2104" s="17">
        <v>0</v>
      </c>
      <c r="M2104" s="17">
        <v>0</v>
      </c>
      <c r="N2104" s="17">
        <v>1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1</v>
      </c>
      <c r="U2104" s="17">
        <v>4</v>
      </c>
      <c r="V2104" s="13" t="str" cm="1">
        <f t="array" ref="V2104">_xlfn.IFS(U2104&lt;=250,"0-R$250",U2104&lt;=500,"251-R$500",U2104&lt;=750,"501-R$750",U2104&lt;=1000,"751-R$1000",U2104&lt;=1250,"1001-R$1250",U2104&lt;=1500,"1251-R$1500")</f>
        <v>0-R$250</v>
      </c>
      <c r="W2104" s="17">
        <v>1</v>
      </c>
      <c r="X2104" s="13" t="str" cm="1">
        <f t="array" ref="X2104">_xlfn.IFS(W2104 = 0, "0", W2104&lt;=20, "até R$20",W2104&lt;=40, "21 - R$40",W2104&lt;=60, "41- R$60",W2104&lt;=80, "61 - R$80", W2104&lt;=100, "81 - R$100",W2104&lt;=120, "101 - R$120",W2104&lt;=140, "121 - R$140", W2104&lt;=160, "141- R$160", W2104&lt;=180, "161 - R$180", W2104&lt;=200, "181-R$194")</f>
        <v>até R$20</v>
      </c>
      <c r="Y2104" s="17">
        <v>9</v>
      </c>
      <c r="Z2104" s="17">
        <v>3</v>
      </c>
      <c r="AA2104" s="17">
        <v>0</v>
      </c>
      <c r="AB2104" s="17">
        <v>0</v>
      </c>
      <c r="AC2104" s="17">
        <v>1</v>
      </c>
      <c r="AD2104" s="17">
        <v>1</v>
      </c>
      <c r="AE2104" s="17">
        <v>0</v>
      </c>
      <c r="AF2104" s="17">
        <v>2</v>
      </c>
      <c r="AG2104" s="17">
        <v>8</v>
      </c>
      <c r="AH2104" s="17">
        <v>0</v>
      </c>
      <c r="AI2104" s="17">
        <v>0</v>
      </c>
      <c r="AJ2104" s="17">
        <v>0</v>
      </c>
      <c r="AK2104" s="17">
        <v>0</v>
      </c>
      <c r="AL2104" s="17">
        <v>0</v>
      </c>
      <c r="AM2104" s="17">
        <v>0</v>
      </c>
      <c r="AN2104" s="17">
        <v>0</v>
      </c>
      <c r="AO2104" s="18">
        <v>0</v>
      </c>
      <c r="AP2104" s="17">
        <v>3</v>
      </c>
      <c r="AQ2104" s="17">
        <v>11</v>
      </c>
      <c r="AR2104" s="19">
        <v>17</v>
      </c>
      <c r="AS2104" s="19">
        <v>17</v>
      </c>
    </row>
    <row r="2105" spans="1:45" x14ac:dyDescent="0.25">
      <c r="A2105">
        <v>281</v>
      </c>
      <c r="B2105" s="11">
        <f t="shared" si="32"/>
        <v>29672</v>
      </c>
      <c r="C2105" s="16">
        <v>296720</v>
      </c>
      <c r="D2105" s="17">
        <v>1</v>
      </c>
      <c r="E2105" s="17">
        <v>1</v>
      </c>
      <c r="F2105" s="17">
        <v>6</v>
      </c>
      <c r="G2105" s="17">
        <v>55</v>
      </c>
      <c r="H2105" s="13" t="str" cm="1">
        <f t="array" ref="H2105">_xlfn.IFS(G2105&lt;=20,"0-20",G2105&lt;=30,"20-30",G2105&lt;=40,"30-40",G2105&lt;=50,"50-60",G2105&lt;=60,"60-70",G2105&lt;=70,"70-80",G2105&lt;=80,"80-90")</f>
        <v>60-70</v>
      </c>
      <c r="I2105" s="17">
        <v>2633</v>
      </c>
      <c r="J2105" s="13" t="str" cm="1">
        <f t="array" ref="J2105">_xlfn.IFS(K2105=1,"Divorciado",L2105=1,"Casado",M2105=1,"Solteiro",N2105=1,"Juntos",O2105=1,"Viuvo")</f>
        <v>Juntos</v>
      </c>
      <c r="K2105" s="17">
        <v>0</v>
      </c>
      <c r="L2105" s="17">
        <v>0</v>
      </c>
      <c r="M2105" s="17">
        <v>0</v>
      </c>
      <c r="N2105" s="17">
        <v>1</v>
      </c>
      <c r="O2105" s="17">
        <v>0</v>
      </c>
      <c r="P2105" s="17">
        <v>0</v>
      </c>
      <c r="Q2105" s="17">
        <v>0</v>
      </c>
      <c r="R2105" s="17">
        <v>1</v>
      </c>
      <c r="S2105" s="17">
        <v>0</v>
      </c>
      <c r="T2105" s="17">
        <v>0</v>
      </c>
      <c r="U2105" s="17">
        <v>9</v>
      </c>
      <c r="V2105" s="13" t="str" cm="1">
        <f t="array" ref="V2105">_xlfn.IFS(U2105&lt;=250,"0-R$250",U2105&lt;=500,"251-R$500",U2105&lt;=750,"501-R$750",U2105&lt;=1000,"751-R$1000",U2105&lt;=1250,"1001-R$1250",U2105&lt;=1500,"1251-R$1500")</f>
        <v>0-R$250</v>
      </c>
      <c r="W2105" s="17">
        <v>1</v>
      </c>
      <c r="X2105" s="13" t="str" cm="1">
        <f t="array" ref="X2105">_xlfn.IFS(W2105 = 0, "0", W2105&lt;=20, "até R$20",W2105&lt;=40, "21 - R$40",W2105&lt;=60, "41- R$60",W2105&lt;=80, "61 - R$80", W2105&lt;=100, "81 - R$100",W2105&lt;=120, "101 - R$120",W2105&lt;=140, "121 - R$140", W2105&lt;=160, "141- R$160", W2105&lt;=180, "161 - R$180", W2105&lt;=200, "181-R$194")</f>
        <v>até R$20</v>
      </c>
      <c r="Y2105" s="17">
        <v>3</v>
      </c>
      <c r="Z2105" s="17">
        <v>0</v>
      </c>
      <c r="AA2105" s="17">
        <v>4</v>
      </c>
      <c r="AB2105" s="17">
        <v>8</v>
      </c>
      <c r="AC2105" s="17">
        <v>1</v>
      </c>
      <c r="AD2105" s="17">
        <v>0</v>
      </c>
      <c r="AE2105" s="17">
        <v>0</v>
      </c>
      <c r="AF2105" s="17">
        <v>3</v>
      </c>
      <c r="AG2105" s="17">
        <v>6</v>
      </c>
      <c r="AH2105" s="17">
        <v>0</v>
      </c>
      <c r="AI2105" s="17">
        <v>0</v>
      </c>
      <c r="AJ2105" s="17">
        <v>0</v>
      </c>
      <c r="AK2105" s="17">
        <v>0</v>
      </c>
      <c r="AL2105" s="17">
        <v>0</v>
      </c>
      <c r="AM2105" s="17">
        <v>0</v>
      </c>
      <c r="AN2105" s="17">
        <v>0</v>
      </c>
      <c r="AO2105" s="18">
        <v>0</v>
      </c>
      <c r="AP2105" s="17">
        <v>3</v>
      </c>
      <c r="AQ2105" s="17">
        <v>11</v>
      </c>
      <c r="AR2105" s="19">
        <v>9</v>
      </c>
      <c r="AS2105" s="19">
        <v>17</v>
      </c>
    </row>
    <row r="2106" spans="1:45" x14ac:dyDescent="0.25">
      <c r="A2106">
        <v>552</v>
      </c>
      <c r="B2106" s="11">
        <f t="shared" si="32"/>
        <v>47691</v>
      </c>
      <c r="C2106" s="12">
        <v>476910</v>
      </c>
      <c r="D2106" s="13">
        <v>0</v>
      </c>
      <c r="E2106" s="13">
        <v>1</v>
      </c>
      <c r="F2106" s="13">
        <v>43</v>
      </c>
      <c r="G2106" s="13">
        <v>41</v>
      </c>
      <c r="H2106" s="13" t="str" cm="1">
        <f t="array" ref="H2106">_xlfn.IFS(G2106&lt;=20,"0-20",G2106&lt;=30,"20-30",G2106&lt;=40,"30-40",G2106&lt;=50,"50-60",G2106&lt;=60,"60-70",G2106&lt;=70,"70-80",G2106&lt;=80,"80-90")</f>
        <v>50-60</v>
      </c>
      <c r="I2106" s="13">
        <v>2518</v>
      </c>
      <c r="J2106" s="13" t="str" cm="1">
        <f t="array" ref="J2106">_xlfn.IFS(K2106=1,"Divorciado",L2106=1,"Casado",M2106=1,"Solteiro",N2106=1,"Juntos",O2106=1,"Viuvo")</f>
        <v>Solteiro</v>
      </c>
      <c r="K2106" s="13">
        <v>0</v>
      </c>
      <c r="L2106" s="13">
        <v>0</v>
      </c>
      <c r="M2106" s="13">
        <v>1</v>
      </c>
      <c r="N2106" s="13">
        <v>0</v>
      </c>
      <c r="O2106" s="13">
        <v>0</v>
      </c>
      <c r="P2106" s="13">
        <v>0</v>
      </c>
      <c r="Q2106" s="13">
        <v>0</v>
      </c>
      <c r="R2106" s="13">
        <v>1</v>
      </c>
      <c r="S2106" s="13">
        <v>0</v>
      </c>
      <c r="T2106" s="13">
        <v>0</v>
      </c>
      <c r="U2106" s="13">
        <v>14</v>
      </c>
      <c r="V2106" s="13" t="str" cm="1">
        <f t="array" ref="V2106">_xlfn.IFS(U2106&lt;=250,"0-R$250",U2106&lt;=500,"251-R$500",U2106&lt;=750,"501-R$750",U2106&lt;=1000,"751-R$1000",U2106&lt;=1250,"1001-R$1250",U2106&lt;=1500,"1251-R$1500")</f>
        <v>0-R$250</v>
      </c>
      <c r="W2106" s="13">
        <v>0</v>
      </c>
      <c r="X2106" s="13" t="str" cm="1">
        <f t="array" ref="X2106">_xlfn.IFS(W2106 = 0, "0", W2106&lt;=20, "até R$20",W2106&lt;=40, "21 - R$40",W2106&lt;=60, "41- R$60",W2106&lt;=80, "61 - R$80", W2106&lt;=100, "81 - R$100",W2106&lt;=120, "101 - R$120",W2106&lt;=140, "121 - R$140", W2106&lt;=160, "141- R$160", W2106&lt;=180, "161 - R$180", W2106&lt;=200, "181-R$194")</f>
        <v>0</v>
      </c>
      <c r="Y2106" s="13">
        <v>3</v>
      </c>
      <c r="Z2106" s="13">
        <v>0</v>
      </c>
      <c r="AA2106" s="13">
        <v>0</v>
      </c>
      <c r="AB2106" s="13">
        <v>4</v>
      </c>
      <c r="AC2106" s="13">
        <v>1</v>
      </c>
      <c r="AD2106" s="13">
        <v>1</v>
      </c>
      <c r="AE2106" s="13">
        <v>0</v>
      </c>
      <c r="AF2106" s="13">
        <v>2</v>
      </c>
      <c r="AG2106" s="13">
        <v>6</v>
      </c>
      <c r="AH2106" s="13">
        <v>0</v>
      </c>
      <c r="AI2106" s="13">
        <v>0</v>
      </c>
      <c r="AJ2106" s="13">
        <v>0</v>
      </c>
      <c r="AK2106" s="13">
        <v>0</v>
      </c>
      <c r="AL2106" s="13">
        <v>0</v>
      </c>
      <c r="AM2106" s="13">
        <v>0</v>
      </c>
      <c r="AN2106" s="13">
        <v>0</v>
      </c>
      <c r="AO2106" s="14">
        <v>0</v>
      </c>
      <c r="AP2106" s="13">
        <v>3</v>
      </c>
      <c r="AQ2106" s="13">
        <v>11</v>
      </c>
      <c r="AR2106" s="15">
        <v>13</v>
      </c>
      <c r="AS2106" s="15">
        <v>17</v>
      </c>
    </row>
    <row r="2107" spans="1:45" x14ac:dyDescent="0.25">
      <c r="A2107">
        <v>648</v>
      </c>
      <c r="B2107" s="11">
        <f t="shared" si="32"/>
        <v>45068</v>
      </c>
      <c r="C2107" s="12">
        <v>450680</v>
      </c>
      <c r="D2107" s="13">
        <v>0</v>
      </c>
      <c r="E2107" s="13">
        <v>1</v>
      </c>
      <c r="F2107" s="13">
        <v>25</v>
      </c>
      <c r="G2107" s="13">
        <v>46</v>
      </c>
      <c r="H2107" s="13" t="str" cm="1">
        <f t="array" ref="H2107">_xlfn.IFS(G2107&lt;=20,"0-20",G2107&lt;=30,"20-30",G2107&lt;=40,"30-40",G2107&lt;=50,"50-60",G2107&lt;=60,"60-70",G2107&lt;=70,"70-80",G2107&lt;=80,"80-90")</f>
        <v>50-60</v>
      </c>
      <c r="I2107" s="13">
        <v>2568</v>
      </c>
      <c r="J2107" s="13" t="str" cm="1">
        <f t="array" ref="J2107">_xlfn.IFS(K2107=1,"Divorciado",L2107=1,"Casado",M2107=1,"Solteiro",N2107=1,"Juntos",O2107=1,"Viuvo")</f>
        <v>Juntos</v>
      </c>
      <c r="K2107" s="13">
        <v>0</v>
      </c>
      <c r="L2107" s="13">
        <v>0</v>
      </c>
      <c r="M2107" s="13">
        <v>0</v>
      </c>
      <c r="N2107" s="13">
        <v>1</v>
      </c>
      <c r="O2107" s="13">
        <v>0</v>
      </c>
      <c r="P2107" s="13">
        <v>0</v>
      </c>
      <c r="Q2107" s="13">
        <v>0</v>
      </c>
      <c r="R2107" s="13">
        <v>0</v>
      </c>
      <c r="S2107" s="13">
        <v>0</v>
      </c>
      <c r="T2107" s="13">
        <v>1</v>
      </c>
      <c r="U2107" s="13">
        <v>14</v>
      </c>
      <c r="V2107" s="13" t="str" cm="1">
        <f t="array" ref="V2107">_xlfn.IFS(U2107&lt;=250,"0-R$250",U2107&lt;=500,"251-R$500",U2107&lt;=750,"501-R$750",U2107&lt;=1000,"751-R$1000",U2107&lt;=1250,"1001-R$1250",U2107&lt;=1500,"1251-R$1500")</f>
        <v>0-R$250</v>
      </c>
      <c r="W2107" s="13">
        <v>0</v>
      </c>
      <c r="X2107" s="13" t="str" cm="1">
        <f t="array" ref="X2107">_xlfn.IFS(W2107 = 0, "0", W2107&lt;=20, "até R$20",W2107&lt;=40, "21 - R$40",W2107&lt;=60, "41- R$60",W2107&lt;=80, "61 - R$80", W2107&lt;=100, "81 - R$100",W2107&lt;=120, "101 - R$120",W2107&lt;=140, "121 - R$140", W2107&lt;=160, "141- R$160", W2107&lt;=180, "161 - R$180", W2107&lt;=200, "181-R$194")</f>
        <v>0</v>
      </c>
      <c r="Y2107" s="13">
        <v>3</v>
      </c>
      <c r="Z2107" s="13">
        <v>0</v>
      </c>
      <c r="AA2107" s="13">
        <v>0</v>
      </c>
      <c r="AB2107" s="13">
        <v>3</v>
      </c>
      <c r="AC2107" s="13">
        <v>1</v>
      </c>
      <c r="AD2107" s="13">
        <v>1</v>
      </c>
      <c r="AE2107" s="13">
        <v>0</v>
      </c>
      <c r="AF2107" s="13">
        <v>2</v>
      </c>
      <c r="AG2107" s="13">
        <v>7</v>
      </c>
      <c r="AH2107" s="13">
        <v>0</v>
      </c>
      <c r="AI2107" s="13">
        <v>0</v>
      </c>
      <c r="AJ2107" s="13">
        <v>0</v>
      </c>
      <c r="AK2107" s="13">
        <v>0</v>
      </c>
      <c r="AL2107" s="13">
        <v>0</v>
      </c>
      <c r="AM2107" s="13">
        <v>0</v>
      </c>
      <c r="AN2107" s="13">
        <v>0</v>
      </c>
      <c r="AO2107" s="14">
        <v>0</v>
      </c>
      <c r="AP2107" s="13">
        <v>3</v>
      </c>
      <c r="AQ2107" s="13">
        <v>11</v>
      </c>
      <c r="AR2107" s="15">
        <v>14</v>
      </c>
      <c r="AS2107" s="15">
        <v>17</v>
      </c>
    </row>
    <row r="2108" spans="1:45" x14ac:dyDescent="0.25">
      <c r="A2108">
        <v>729</v>
      </c>
      <c r="B2108" s="11">
        <f t="shared" si="32"/>
        <v>33697</v>
      </c>
      <c r="C2108" s="16">
        <v>336970</v>
      </c>
      <c r="D2108" s="17">
        <v>1</v>
      </c>
      <c r="E2108" s="17">
        <v>0</v>
      </c>
      <c r="F2108" s="17">
        <v>34</v>
      </c>
      <c r="G2108" s="17">
        <v>50</v>
      </c>
      <c r="H2108" s="13" t="str" cm="1">
        <f t="array" ref="H2108">_xlfn.IFS(G2108&lt;=20,"0-20",G2108&lt;=30,"20-30",G2108&lt;=40,"30-40",G2108&lt;=50,"50-60",G2108&lt;=60,"60-70",G2108&lt;=70,"70-80",G2108&lt;=80,"80-90")</f>
        <v>50-60</v>
      </c>
      <c r="I2108" s="17">
        <v>2446</v>
      </c>
      <c r="J2108" s="13" t="str" cm="1">
        <f t="array" ref="J2108">_xlfn.IFS(K2108=1,"Divorciado",L2108=1,"Casado",M2108=1,"Solteiro",N2108=1,"Juntos",O2108=1,"Viuvo")</f>
        <v>Solteiro</v>
      </c>
      <c r="K2108" s="17">
        <v>0</v>
      </c>
      <c r="L2108" s="17">
        <v>0</v>
      </c>
      <c r="M2108" s="17">
        <v>1</v>
      </c>
      <c r="N2108" s="17">
        <v>0</v>
      </c>
      <c r="O2108" s="17">
        <v>0</v>
      </c>
      <c r="P2108" s="17">
        <v>0</v>
      </c>
      <c r="Q2108" s="17">
        <v>0</v>
      </c>
      <c r="R2108" s="17">
        <v>1</v>
      </c>
      <c r="S2108" s="17">
        <v>0</v>
      </c>
      <c r="T2108" s="17">
        <v>0</v>
      </c>
      <c r="U2108" s="17">
        <v>4</v>
      </c>
      <c r="V2108" s="13" t="str" cm="1">
        <f t="array" ref="V2108">_xlfn.IFS(U2108&lt;=250,"0-R$250",U2108&lt;=500,"251-R$500",U2108&lt;=750,"501-R$750",U2108&lt;=1000,"751-R$1000",U2108&lt;=1250,"1001-R$1250",U2108&lt;=1500,"1251-R$1500")</f>
        <v>0-R$250</v>
      </c>
      <c r="W2108" s="17">
        <v>3</v>
      </c>
      <c r="X2108" s="13" t="str" cm="1">
        <f t="array" ref="X2108">_xlfn.IFS(W2108 = 0, "0", W2108&lt;=20, "até R$20",W2108&lt;=40, "21 - R$40",W2108&lt;=60, "41- R$60",W2108&lt;=80, "61 - R$80", W2108&lt;=100, "81 - R$100",W2108&lt;=120, "101 - R$120",W2108&lt;=140, "121 - R$140", W2108&lt;=160, "141- R$160", W2108&lt;=180, "161 - R$180", W2108&lt;=200, "181-R$194")</f>
        <v>até R$20</v>
      </c>
      <c r="Y2108" s="17">
        <v>7</v>
      </c>
      <c r="Z2108" s="17">
        <v>0</v>
      </c>
      <c r="AA2108" s="17">
        <v>3</v>
      </c>
      <c r="AB2108" s="17">
        <v>11</v>
      </c>
      <c r="AC2108" s="17">
        <v>1</v>
      </c>
      <c r="AD2108" s="17">
        <v>1</v>
      </c>
      <c r="AE2108" s="17">
        <v>0</v>
      </c>
      <c r="AF2108" s="17">
        <v>2</v>
      </c>
      <c r="AG2108" s="17">
        <v>7</v>
      </c>
      <c r="AH2108" s="17">
        <v>0</v>
      </c>
      <c r="AI2108" s="17">
        <v>1</v>
      </c>
      <c r="AJ2108" s="17">
        <v>0</v>
      </c>
      <c r="AK2108" s="17">
        <v>0</v>
      </c>
      <c r="AL2108" s="17">
        <v>0</v>
      </c>
      <c r="AM2108" s="17">
        <v>0</v>
      </c>
      <c r="AN2108" s="17">
        <v>0</v>
      </c>
      <c r="AO2108" s="18">
        <v>1</v>
      </c>
      <c r="AP2108" s="17">
        <v>3</v>
      </c>
      <c r="AQ2108" s="17">
        <v>11</v>
      </c>
      <c r="AR2108" s="19">
        <v>6</v>
      </c>
      <c r="AS2108" s="19">
        <v>17</v>
      </c>
    </row>
    <row r="2109" spans="1:45" x14ac:dyDescent="0.25">
      <c r="A2109">
        <v>1060</v>
      </c>
      <c r="B2109" s="11">
        <f t="shared" si="32"/>
        <v>41014</v>
      </c>
      <c r="C2109" s="12">
        <v>410140</v>
      </c>
      <c r="D2109" s="13">
        <v>1</v>
      </c>
      <c r="E2109" s="13">
        <v>0</v>
      </c>
      <c r="F2109" s="13">
        <v>65</v>
      </c>
      <c r="G2109" s="13">
        <v>42</v>
      </c>
      <c r="H2109" s="13" t="str" cm="1">
        <f t="array" ref="H2109">_xlfn.IFS(G2109&lt;=20,"0-20",G2109&lt;=30,"20-30",G2109&lt;=40,"30-40",G2109&lt;=50,"50-60",G2109&lt;=60,"60-70",G2109&lt;=70,"70-80",G2109&lt;=80,"80-90")</f>
        <v>50-60</v>
      </c>
      <c r="I2109" s="13">
        <v>2592</v>
      </c>
      <c r="J2109" s="13" t="str" cm="1">
        <f t="array" ref="J2109">_xlfn.IFS(K2109=1,"Divorciado",L2109=1,"Casado",M2109=1,"Solteiro",N2109=1,"Juntos",O2109=1,"Viuvo")</f>
        <v>Casado</v>
      </c>
      <c r="K2109" s="13">
        <v>0</v>
      </c>
      <c r="L2109" s="13">
        <v>1</v>
      </c>
      <c r="M2109" s="13">
        <v>0</v>
      </c>
      <c r="N2109" s="13">
        <v>0</v>
      </c>
      <c r="O2109" s="13">
        <v>0</v>
      </c>
      <c r="P2109" s="13">
        <v>0</v>
      </c>
      <c r="Q2109" s="13">
        <v>0</v>
      </c>
      <c r="R2109" s="13">
        <v>0</v>
      </c>
      <c r="S2109" s="13">
        <v>0</v>
      </c>
      <c r="T2109" s="13">
        <v>1</v>
      </c>
      <c r="U2109" s="13">
        <v>7</v>
      </c>
      <c r="V2109" s="13" t="str" cm="1">
        <f t="array" ref="V2109">_xlfn.IFS(U2109&lt;=250,"0-R$250",U2109&lt;=500,"251-R$500",U2109&lt;=750,"501-R$750",U2109&lt;=1000,"751-R$1000",U2109&lt;=1250,"1001-R$1250",U2109&lt;=1500,"1251-R$1500")</f>
        <v>0-R$250</v>
      </c>
      <c r="W2109" s="13">
        <v>2</v>
      </c>
      <c r="X2109" s="13" t="str" cm="1">
        <f t="array" ref="X2109">_xlfn.IFS(W2109 = 0, "0", W2109&lt;=20, "até R$20",W2109&lt;=40, "21 - R$40",W2109&lt;=60, "41- R$60",W2109&lt;=80, "61 - R$80", W2109&lt;=100, "81 - R$100",W2109&lt;=120, "101 - R$120",W2109&lt;=140, "121 - R$140", W2109&lt;=160, "141- R$160", W2109&lt;=180, "161 - R$180", W2109&lt;=200, "181-R$194")</f>
        <v>até R$20</v>
      </c>
      <c r="Y2109" s="13">
        <v>6</v>
      </c>
      <c r="Z2109" s="13">
        <v>2</v>
      </c>
      <c r="AA2109" s="13">
        <v>0</v>
      </c>
      <c r="AB2109" s="13">
        <v>3</v>
      </c>
      <c r="AC2109" s="13">
        <v>1</v>
      </c>
      <c r="AD2109" s="13">
        <v>1</v>
      </c>
      <c r="AE2109" s="13">
        <v>0</v>
      </c>
      <c r="AF2109" s="13">
        <v>2</v>
      </c>
      <c r="AG2109" s="13">
        <v>7</v>
      </c>
      <c r="AH2109" s="13">
        <v>0</v>
      </c>
      <c r="AI2109" s="13">
        <v>0</v>
      </c>
      <c r="AJ2109" s="13">
        <v>0</v>
      </c>
      <c r="AK2109" s="13">
        <v>0</v>
      </c>
      <c r="AL2109" s="13">
        <v>0</v>
      </c>
      <c r="AM2109" s="13">
        <v>0</v>
      </c>
      <c r="AN2109" s="13">
        <v>0</v>
      </c>
      <c r="AO2109" s="14">
        <v>0</v>
      </c>
      <c r="AP2109" s="13">
        <v>3</v>
      </c>
      <c r="AQ2109" s="13">
        <v>11</v>
      </c>
      <c r="AR2109" s="15">
        <v>14</v>
      </c>
      <c r="AS2109" s="15">
        <v>17</v>
      </c>
    </row>
    <row r="2110" spans="1:45" x14ac:dyDescent="0.25">
      <c r="A2110">
        <v>1228</v>
      </c>
      <c r="B2110" s="11">
        <f t="shared" si="32"/>
        <v>40521</v>
      </c>
      <c r="C2110" s="12">
        <v>405210</v>
      </c>
      <c r="D2110" s="13">
        <v>1</v>
      </c>
      <c r="E2110" s="13">
        <v>1</v>
      </c>
      <c r="F2110" s="13">
        <v>82</v>
      </c>
      <c r="G2110" s="13">
        <v>52</v>
      </c>
      <c r="H2110" s="13" t="str" cm="1">
        <f t="array" ref="H2110">_xlfn.IFS(G2110&lt;=20,"0-20",G2110&lt;=30,"20-30",G2110&lt;=40,"30-40",G2110&lt;=50,"50-60",G2110&lt;=60,"60-70",G2110&lt;=70,"70-80",G2110&lt;=80,"80-90")</f>
        <v>60-70</v>
      </c>
      <c r="I2110" s="13">
        <v>2609</v>
      </c>
      <c r="J2110" s="13" t="str" cm="1">
        <f t="array" ref="J2110">_xlfn.IFS(K2110=1,"Divorciado",L2110=1,"Casado",M2110=1,"Solteiro",N2110=1,"Juntos",O2110=1,"Viuvo")</f>
        <v>Juntos</v>
      </c>
      <c r="K2110" s="13">
        <v>0</v>
      </c>
      <c r="L2110" s="13">
        <v>0</v>
      </c>
      <c r="M2110" s="13">
        <v>0</v>
      </c>
      <c r="N2110" s="13">
        <v>1</v>
      </c>
      <c r="O2110" s="13">
        <v>0</v>
      </c>
      <c r="P2110" s="13">
        <v>0</v>
      </c>
      <c r="Q2110" s="13">
        <v>0</v>
      </c>
      <c r="R2110" s="13">
        <v>1</v>
      </c>
      <c r="S2110" s="13">
        <v>0</v>
      </c>
      <c r="T2110" s="13">
        <v>0</v>
      </c>
      <c r="U2110" s="13">
        <v>12</v>
      </c>
      <c r="V2110" s="13" t="str" cm="1">
        <f t="array" ref="V2110">_xlfn.IFS(U2110&lt;=250,"0-R$250",U2110&lt;=500,"251-R$500",U2110&lt;=750,"501-R$750",U2110&lt;=1000,"751-R$1000",U2110&lt;=1250,"1001-R$1250",U2110&lt;=1500,"1251-R$1500")</f>
        <v>0-R$250</v>
      </c>
      <c r="W2110" s="13">
        <v>0</v>
      </c>
      <c r="X2110" s="13" t="str" cm="1">
        <f t="array" ref="X2110">_xlfn.IFS(W2110 = 0, "0", W2110&lt;=20, "até R$20",W2110&lt;=40, "21 - R$40",W2110&lt;=60, "41- R$60",W2110&lt;=80, "61 - R$80", W2110&lt;=100, "81 - R$100",W2110&lt;=120, "101 - R$120",W2110&lt;=140, "121 - R$140", W2110&lt;=160, "141- R$160", W2110&lt;=180, "161 - R$180", W2110&lt;=200, "181-R$194")</f>
        <v>0</v>
      </c>
      <c r="Y2110" s="13">
        <v>5</v>
      </c>
      <c r="Z2110" s="13">
        <v>0</v>
      </c>
      <c r="AA2110" s="13">
        <v>0</v>
      </c>
      <c r="AB2110" s="13">
        <v>4</v>
      </c>
      <c r="AC2110" s="13">
        <v>1</v>
      </c>
      <c r="AD2110" s="13">
        <v>0</v>
      </c>
      <c r="AE2110" s="13">
        <v>1</v>
      </c>
      <c r="AF2110" s="13">
        <v>2</v>
      </c>
      <c r="AG2110" s="13">
        <v>5</v>
      </c>
      <c r="AH2110" s="13">
        <v>0</v>
      </c>
      <c r="AI2110" s="13">
        <v>0</v>
      </c>
      <c r="AJ2110" s="13">
        <v>0</v>
      </c>
      <c r="AK2110" s="13">
        <v>0</v>
      </c>
      <c r="AL2110" s="13">
        <v>0</v>
      </c>
      <c r="AM2110" s="13">
        <v>0</v>
      </c>
      <c r="AN2110" s="13">
        <v>0</v>
      </c>
      <c r="AO2110" s="14">
        <v>0</v>
      </c>
      <c r="AP2110" s="13">
        <v>3</v>
      </c>
      <c r="AQ2110" s="13">
        <v>11</v>
      </c>
      <c r="AR2110" s="15">
        <v>13</v>
      </c>
      <c r="AS2110" s="15">
        <v>17</v>
      </c>
    </row>
    <row r="2111" spans="1:45" x14ac:dyDescent="0.25">
      <c r="A2111">
        <v>1239</v>
      </c>
      <c r="B2111" s="11">
        <f t="shared" si="32"/>
        <v>39356</v>
      </c>
      <c r="C2111" s="16">
        <v>393560</v>
      </c>
      <c r="D2111" s="17">
        <v>1</v>
      </c>
      <c r="E2111" s="17">
        <v>1</v>
      </c>
      <c r="F2111" s="17">
        <v>21</v>
      </c>
      <c r="G2111" s="17">
        <v>44</v>
      </c>
      <c r="H2111" s="13" t="str" cm="1">
        <f t="array" ref="H2111">_xlfn.IFS(G2111&lt;=20,"0-20",G2111&lt;=30,"20-30",G2111&lt;=40,"30-40",G2111&lt;=50,"50-60",G2111&lt;=60,"60-70",G2111&lt;=70,"70-80",G2111&lt;=80,"80-90")</f>
        <v>50-60</v>
      </c>
      <c r="I2111" s="17">
        <v>2261</v>
      </c>
      <c r="J2111" s="13" t="str" cm="1">
        <f t="array" ref="J2111">_xlfn.IFS(K2111=1,"Divorciado",L2111=1,"Casado",M2111=1,"Solteiro",N2111=1,"Juntos",O2111=1,"Viuvo")</f>
        <v>Casado</v>
      </c>
      <c r="K2111" s="17">
        <v>0</v>
      </c>
      <c r="L2111" s="17">
        <v>1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1</v>
      </c>
      <c r="S2111" s="17">
        <v>0</v>
      </c>
      <c r="T2111" s="17">
        <v>0</v>
      </c>
      <c r="U2111" s="17">
        <v>15</v>
      </c>
      <c r="V2111" s="13" t="str" cm="1">
        <f t="array" ref="V2111">_xlfn.IFS(U2111&lt;=250,"0-R$250",U2111&lt;=500,"251-R$500",U2111&lt;=750,"501-R$750",U2111&lt;=1000,"751-R$1000",U2111&lt;=1250,"1001-R$1250",U2111&lt;=1500,"1251-R$1500")</f>
        <v>0-R$250</v>
      </c>
      <c r="W2111" s="17">
        <v>0</v>
      </c>
      <c r="X2111" s="13" t="str" cm="1">
        <f t="array" ref="X2111">_xlfn.IFS(W2111 = 0, "0", W2111&lt;=20, "até R$20",W2111&lt;=40, "21 - R$40",W2111&lt;=60, "41- R$60",W2111&lt;=80, "61 - R$80", W2111&lt;=100, "81 - R$100",W2111&lt;=120, "101 - R$120",W2111&lt;=140, "121 - R$140", W2111&lt;=160, "141- R$160", W2111&lt;=180, "161 - R$180", W2111&lt;=200, "181-R$194")</f>
        <v>0</v>
      </c>
      <c r="Y2111" s="17">
        <v>2</v>
      </c>
      <c r="Z2111" s="17">
        <v>0</v>
      </c>
      <c r="AA2111" s="17">
        <v>0</v>
      </c>
      <c r="AB2111" s="17">
        <v>6</v>
      </c>
      <c r="AC2111" s="17">
        <v>1</v>
      </c>
      <c r="AD2111" s="17">
        <v>1</v>
      </c>
      <c r="AE2111" s="17">
        <v>0</v>
      </c>
      <c r="AF2111" s="17">
        <v>2</v>
      </c>
      <c r="AG2111" s="17">
        <v>6</v>
      </c>
      <c r="AH2111" s="17">
        <v>0</v>
      </c>
      <c r="AI2111" s="17">
        <v>1</v>
      </c>
      <c r="AJ2111" s="17">
        <v>0</v>
      </c>
      <c r="AK2111" s="17">
        <v>0</v>
      </c>
      <c r="AL2111" s="17">
        <v>0</v>
      </c>
      <c r="AM2111" s="17">
        <v>0</v>
      </c>
      <c r="AN2111" s="17">
        <v>0</v>
      </c>
      <c r="AO2111" s="18">
        <v>1</v>
      </c>
      <c r="AP2111" s="17">
        <v>3</v>
      </c>
      <c r="AQ2111" s="17">
        <v>11</v>
      </c>
      <c r="AR2111" s="19">
        <v>11</v>
      </c>
      <c r="AS2111" s="19">
        <v>17</v>
      </c>
    </row>
    <row r="2112" spans="1:45" x14ac:dyDescent="0.25">
      <c r="A2112">
        <v>1332</v>
      </c>
      <c r="B2112" s="11">
        <f t="shared" si="32"/>
        <v>18227</v>
      </c>
      <c r="C2112" s="12">
        <v>182270</v>
      </c>
      <c r="D2112" s="13">
        <v>1</v>
      </c>
      <c r="E2112" s="13">
        <v>0</v>
      </c>
      <c r="F2112" s="13">
        <v>21</v>
      </c>
      <c r="G2112" s="13">
        <v>33</v>
      </c>
      <c r="H2112" s="13" t="str" cm="1">
        <f t="array" ref="H2112">_xlfn.IFS(G2112&lt;=20,"0-20",G2112&lt;=30,"20-30",G2112&lt;=40,"30-40",G2112&lt;=50,"50-60",G2112&lt;=60,"60-70",G2112&lt;=70,"70-80",G2112&lt;=80,"80-90")</f>
        <v>30-40</v>
      </c>
      <c r="I2112" s="13">
        <v>2757</v>
      </c>
      <c r="J2112" s="13" t="str" cm="1">
        <f t="array" ref="J2112">_xlfn.IFS(K2112=1,"Divorciado",L2112=1,"Casado",M2112=1,"Solteiro",N2112=1,"Juntos",O2112=1,"Viuvo")</f>
        <v>Juntos</v>
      </c>
      <c r="K2112" s="13">
        <v>0</v>
      </c>
      <c r="L2112" s="13">
        <v>0</v>
      </c>
      <c r="M2112" s="13">
        <v>0</v>
      </c>
      <c r="N2112" s="13">
        <v>1</v>
      </c>
      <c r="O2112" s="13">
        <v>0</v>
      </c>
      <c r="P2112" s="13">
        <v>0</v>
      </c>
      <c r="Q2112" s="13">
        <v>0</v>
      </c>
      <c r="R2112" s="13">
        <v>1</v>
      </c>
      <c r="S2112" s="13">
        <v>0</v>
      </c>
      <c r="T2112" s="13">
        <v>0</v>
      </c>
      <c r="U2112" s="13">
        <v>1</v>
      </c>
      <c r="V2112" s="13" t="str" cm="1">
        <f t="array" ref="V2112">_xlfn.IFS(U2112&lt;=250,"0-R$250",U2112&lt;=500,"251-R$500",U2112&lt;=750,"501-R$750",U2112&lt;=1000,"751-R$1000",U2112&lt;=1250,"1001-R$1250",U2112&lt;=1500,"1251-R$1500")</f>
        <v>0-R$250</v>
      </c>
      <c r="W2112" s="13">
        <v>2</v>
      </c>
      <c r="X2112" s="13" t="str" cm="1">
        <f t="array" ref="X2112">_xlfn.IFS(W2112 = 0, "0", W2112&lt;=20, "até R$20",W2112&lt;=40, "21 - R$40",W2112&lt;=60, "41- R$60",W2112&lt;=80, "61 - R$80", W2112&lt;=100, "81 - R$100",W2112&lt;=120, "101 - R$120",W2112&lt;=140, "121 - R$140", W2112&lt;=160, "141- R$160", W2112&lt;=180, "161 - R$180", W2112&lt;=200, "181-R$194")</f>
        <v>até R$20</v>
      </c>
      <c r="Y2112" s="13">
        <v>7</v>
      </c>
      <c r="Z2112" s="13">
        <v>4</v>
      </c>
      <c r="AA2112" s="13">
        <v>3</v>
      </c>
      <c r="AB2112" s="13">
        <v>11</v>
      </c>
      <c r="AC2112" s="13">
        <v>1</v>
      </c>
      <c r="AD2112" s="13">
        <v>0</v>
      </c>
      <c r="AE2112" s="13">
        <v>1</v>
      </c>
      <c r="AF2112" s="13">
        <v>2</v>
      </c>
      <c r="AG2112" s="13">
        <v>8</v>
      </c>
      <c r="AH2112" s="13">
        <v>0</v>
      </c>
      <c r="AI2112" s="13">
        <v>0</v>
      </c>
      <c r="AJ2112" s="13">
        <v>0</v>
      </c>
      <c r="AK2112" s="13">
        <v>0</v>
      </c>
      <c r="AL2112" s="13">
        <v>0</v>
      </c>
      <c r="AM2112" s="13">
        <v>0</v>
      </c>
      <c r="AN2112" s="13">
        <v>0</v>
      </c>
      <c r="AO2112" s="14">
        <v>0</v>
      </c>
      <c r="AP2112" s="13">
        <v>3</v>
      </c>
      <c r="AQ2112" s="13">
        <v>11</v>
      </c>
      <c r="AR2112" s="15">
        <v>6</v>
      </c>
      <c r="AS2112" s="15">
        <v>17</v>
      </c>
    </row>
    <row r="2113" spans="1:45" x14ac:dyDescent="0.25">
      <c r="A2113">
        <v>1519</v>
      </c>
      <c r="B2113" s="11">
        <f t="shared" si="32"/>
        <v>51411</v>
      </c>
      <c r="C2113" s="16">
        <v>514110</v>
      </c>
      <c r="D2113" s="17">
        <v>1</v>
      </c>
      <c r="E2113" s="17">
        <v>2</v>
      </c>
      <c r="F2113" s="17">
        <v>81</v>
      </c>
      <c r="G2113" s="17">
        <v>67</v>
      </c>
      <c r="H2113" s="13" t="str" cm="1">
        <f t="array" ref="H2113">_xlfn.IFS(G2113&lt;=20,"0-20",G2113&lt;=30,"20-30",G2113&lt;=40,"30-40",G2113&lt;=50,"50-60",G2113&lt;=60,"60-70",G2113&lt;=70,"70-80",G2113&lt;=80,"80-90")</f>
        <v>70-80</v>
      </c>
      <c r="I2113" s="17">
        <v>2558</v>
      </c>
      <c r="J2113" s="13" t="str" cm="1">
        <f t="array" ref="J2113">_xlfn.IFS(K2113=1,"Divorciado",L2113=1,"Casado",M2113=1,"Solteiro",N2113=1,"Juntos",O2113=1,"Viuvo")</f>
        <v>Solteiro</v>
      </c>
      <c r="K2113" s="17">
        <v>0</v>
      </c>
      <c r="L2113" s="17">
        <v>0</v>
      </c>
      <c r="M2113" s="17">
        <v>1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1</v>
      </c>
      <c r="U2113" s="17">
        <v>14</v>
      </c>
      <c r="V2113" s="13" t="str" cm="1">
        <f t="array" ref="V2113">_xlfn.IFS(U2113&lt;=250,"0-R$250",U2113&lt;=500,"251-R$500",U2113&lt;=750,"501-R$750",U2113&lt;=1000,"751-R$1000",U2113&lt;=1250,"1001-R$1250",U2113&lt;=1500,"1251-R$1500")</f>
        <v>0-R$250</v>
      </c>
      <c r="W2113" s="17">
        <v>0</v>
      </c>
      <c r="X2113" s="13" t="str" cm="1">
        <f t="array" ref="X2113">_xlfn.IFS(W2113 = 0, "0", W2113&lt;=20, "até R$20",W2113&lt;=40, "21 - R$40",W2113&lt;=60, "41- R$60",W2113&lt;=80, "61 - R$80", W2113&lt;=100, "81 - R$100",W2113&lt;=120, "101 - R$120",W2113&lt;=140, "121 - R$140", W2113&lt;=160, "141- R$160", W2113&lt;=180, "161 - R$180", W2113&lt;=200, "181-R$194")</f>
        <v>0</v>
      </c>
      <c r="Y2113" s="17">
        <v>3</v>
      </c>
      <c r="Z2113" s="17">
        <v>0</v>
      </c>
      <c r="AA2113" s="17">
        <v>0</v>
      </c>
      <c r="AB2113" s="17">
        <v>1</v>
      </c>
      <c r="AC2113" s="17">
        <v>1</v>
      </c>
      <c r="AD2113" s="17">
        <v>0</v>
      </c>
      <c r="AE2113" s="17">
        <v>0</v>
      </c>
      <c r="AF2113" s="17">
        <v>3</v>
      </c>
      <c r="AG2113" s="17">
        <v>5</v>
      </c>
      <c r="AH2113" s="17">
        <v>0</v>
      </c>
      <c r="AI2113" s="17">
        <v>0</v>
      </c>
      <c r="AJ2113" s="17">
        <v>0</v>
      </c>
      <c r="AK2113" s="17">
        <v>0</v>
      </c>
      <c r="AL2113" s="17">
        <v>0</v>
      </c>
      <c r="AM2113" s="17">
        <v>0</v>
      </c>
      <c r="AN2113" s="17">
        <v>0</v>
      </c>
      <c r="AO2113" s="18">
        <v>0</v>
      </c>
      <c r="AP2113" s="17">
        <v>3</v>
      </c>
      <c r="AQ2113" s="17">
        <v>11</v>
      </c>
      <c r="AR2113" s="19">
        <v>16</v>
      </c>
      <c r="AS2113" s="19">
        <v>17</v>
      </c>
    </row>
    <row r="2114" spans="1:45" x14ac:dyDescent="0.25">
      <c r="A2114">
        <v>1525</v>
      </c>
      <c r="B2114" s="11">
        <f t="shared" ref="B2114:B2177" si="33">C2114/10</f>
        <v>37284</v>
      </c>
      <c r="C2114" s="16">
        <v>372840</v>
      </c>
      <c r="D2114" s="17">
        <v>1</v>
      </c>
      <c r="E2114" s="17">
        <v>1</v>
      </c>
      <c r="F2114" s="17">
        <v>46</v>
      </c>
      <c r="G2114" s="17">
        <v>45</v>
      </c>
      <c r="H2114" s="13" t="str" cm="1">
        <f t="array" ref="H2114">_xlfn.IFS(G2114&lt;=20,"0-20",G2114&lt;=30,"20-30",G2114&lt;=40,"30-40",G2114&lt;=50,"50-60",G2114&lt;=60,"60-70",G2114&lt;=70,"70-80",G2114&lt;=80,"80-90")</f>
        <v>50-60</v>
      </c>
      <c r="I2114" s="17">
        <v>2616</v>
      </c>
      <c r="J2114" s="13" t="str" cm="1">
        <f t="array" ref="J2114">_xlfn.IFS(K2114=1,"Divorciado",L2114=1,"Casado",M2114=1,"Solteiro",N2114=1,"Juntos",O2114=1,"Viuvo")</f>
        <v>Casado</v>
      </c>
      <c r="K2114" s="17">
        <v>0</v>
      </c>
      <c r="L2114" s="17">
        <v>1</v>
      </c>
      <c r="M2114" s="17">
        <v>0</v>
      </c>
      <c r="N2114" s="17">
        <v>0</v>
      </c>
      <c r="O2114" s="17">
        <v>0</v>
      </c>
      <c r="P2114" s="17">
        <v>1</v>
      </c>
      <c r="Q2114" s="17">
        <v>0</v>
      </c>
      <c r="R2114" s="17">
        <v>0</v>
      </c>
      <c r="S2114" s="17">
        <v>0</v>
      </c>
      <c r="T2114" s="17">
        <v>0</v>
      </c>
      <c r="U2114" s="17">
        <v>11</v>
      </c>
      <c r="V2114" s="13" t="str" cm="1">
        <f t="array" ref="V2114">_xlfn.IFS(U2114&lt;=250,"0-R$250",U2114&lt;=500,"251-R$500",U2114&lt;=750,"501-R$750",U2114&lt;=1000,"751-R$1000",U2114&lt;=1250,"1001-R$1250",U2114&lt;=1500,"1251-R$1500")</f>
        <v>0-R$250</v>
      </c>
      <c r="W2114" s="17">
        <v>1</v>
      </c>
      <c r="X2114" s="13" t="str" cm="1">
        <f t="array" ref="X2114">_xlfn.IFS(W2114 = 0, "0", W2114&lt;=20, "até R$20",W2114&lt;=40, "21 - R$40",W2114&lt;=60, "41- R$60",W2114&lt;=80, "61 - R$80", W2114&lt;=100, "81 - R$100",W2114&lt;=120, "101 - R$120",W2114&lt;=140, "121 - R$140", W2114&lt;=160, "141- R$160", W2114&lt;=180, "161 - R$180", W2114&lt;=200, "181-R$194")</f>
        <v>até R$20</v>
      </c>
      <c r="Y2114" s="17">
        <v>2</v>
      </c>
      <c r="Z2114" s="17">
        <v>2</v>
      </c>
      <c r="AA2114" s="17">
        <v>1</v>
      </c>
      <c r="AB2114" s="17">
        <v>6</v>
      </c>
      <c r="AC2114" s="17">
        <v>1</v>
      </c>
      <c r="AD2114" s="17">
        <v>0</v>
      </c>
      <c r="AE2114" s="17">
        <v>0</v>
      </c>
      <c r="AF2114" s="17">
        <v>3</v>
      </c>
      <c r="AG2114" s="17">
        <v>6</v>
      </c>
      <c r="AH2114" s="17">
        <v>0</v>
      </c>
      <c r="AI2114" s="17">
        <v>0</v>
      </c>
      <c r="AJ2114" s="17">
        <v>0</v>
      </c>
      <c r="AK2114" s="17">
        <v>0</v>
      </c>
      <c r="AL2114" s="17">
        <v>0</v>
      </c>
      <c r="AM2114" s="17">
        <v>0</v>
      </c>
      <c r="AN2114" s="17">
        <v>0</v>
      </c>
      <c r="AO2114" s="18">
        <v>0</v>
      </c>
      <c r="AP2114" s="17">
        <v>3</v>
      </c>
      <c r="AQ2114" s="17">
        <v>11</v>
      </c>
      <c r="AR2114" s="19">
        <v>11</v>
      </c>
      <c r="AS2114" s="19">
        <v>17</v>
      </c>
    </row>
    <row r="2115" spans="1:45" x14ac:dyDescent="0.25">
      <c r="A2115">
        <v>1538</v>
      </c>
      <c r="B2115" s="11">
        <f t="shared" si="33"/>
        <v>24645</v>
      </c>
      <c r="C2115" s="12">
        <v>246450</v>
      </c>
      <c r="D2115" s="13">
        <v>1</v>
      </c>
      <c r="E2115" s="13">
        <v>0</v>
      </c>
      <c r="F2115" s="13">
        <v>16</v>
      </c>
      <c r="G2115" s="13">
        <v>32</v>
      </c>
      <c r="H2115" s="13" t="str" cm="1">
        <f t="array" ref="H2115">_xlfn.IFS(G2115&lt;=20,"0-20",G2115&lt;=30,"20-30",G2115&lt;=40,"30-40",G2115&lt;=50,"50-60",G2115&lt;=60,"60-70",G2115&lt;=70,"70-80",G2115&lt;=80,"80-90")</f>
        <v>30-40</v>
      </c>
      <c r="I2115" s="13">
        <v>2764</v>
      </c>
      <c r="J2115" s="13" t="str" cm="1">
        <f t="array" ref="J2115">_xlfn.IFS(K2115=1,"Divorciado",L2115=1,"Casado",M2115=1,"Solteiro",N2115=1,"Juntos",O2115=1,"Viuvo")</f>
        <v>Casado</v>
      </c>
      <c r="K2115" s="13">
        <v>0</v>
      </c>
      <c r="L2115" s="13">
        <v>1</v>
      </c>
      <c r="M2115" s="13">
        <v>0</v>
      </c>
      <c r="N2115" s="13">
        <v>0</v>
      </c>
      <c r="O2115" s="13">
        <v>0</v>
      </c>
      <c r="P2115" s="13">
        <v>0</v>
      </c>
      <c r="Q2115" s="13">
        <v>0</v>
      </c>
      <c r="R2115" s="13">
        <v>1</v>
      </c>
      <c r="S2115" s="13">
        <v>0</v>
      </c>
      <c r="T2115" s="13">
        <v>0</v>
      </c>
      <c r="U2115" s="13">
        <v>5</v>
      </c>
      <c r="V2115" s="13" t="str" cm="1">
        <f t="array" ref="V2115">_xlfn.IFS(U2115&lt;=250,"0-R$250",U2115&lt;=500,"251-R$500",U2115&lt;=750,"501-R$750",U2115&lt;=1000,"751-R$1000",U2115&lt;=1250,"1001-R$1250",U2115&lt;=1500,"1251-R$1500")</f>
        <v>0-R$250</v>
      </c>
      <c r="W2115" s="13">
        <v>3</v>
      </c>
      <c r="X2115" s="13" t="str" cm="1">
        <f t="array" ref="X2115">_xlfn.IFS(W2115 = 0, "0", W2115&lt;=20, "até R$20",W2115&lt;=40, "21 - R$40",W2115&lt;=60, "41- R$60",W2115&lt;=80, "61 - R$80", W2115&lt;=100, "81 - R$100",W2115&lt;=120, "101 - R$120",W2115&lt;=140, "121 - R$140", W2115&lt;=160, "141- R$160", W2115&lt;=180, "161 - R$180", W2115&lt;=200, "181-R$194")</f>
        <v>até R$20</v>
      </c>
      <c r="Y2115" s="13">
        <v>4</v>
      </c>
      <c r="Z2115" s="13">
        <v>4</v>
      </c>
      <c r="AA2115" s="13">
        <v>1</v>
      </c>
      <c r="AB2115" s="13">
        <v>0</v>
      </c>
      <c r="AC2115" s="13">
        <v>1</v>
      </c>
      <c r="AD2115" s="13">
        <v>1</v>
      </c>
      <c r="AE2115" s="13">
        <v>0</v>
      </c>
      <c r="AF2115" s="13">
        <v>2</v>
      </c>
      <c r="AG2115" s="13">
        <v>8</v>
      </c>
      <c r="AH2115" s="13">
        <v>0</v>
      </c>
      <c r="AI2115" s="13">
        <v>0</v>
      </c>
      <c r="AJ2115" s="13">
        <v>0</v>
      </c>
      <c r="AK2115" s="13">
        <v>0</v>
      </c>
      <c r="AL2115" s="13">
        <v>0</v>
      </c>
      <c r="AM2115" s="13">
        <v>0</v>
      </c>
      <c r="AN2115" s="13">
        <v>0</v>
      </c>
      <c r="AO2115" s="14">
        <v>0</v>
      </c>
      <c r="AP2115" s="13">
        <v>3</v>
      </c>
      <c r="AQ2115" s="13">
        <v>11</v>
      </c>
      <c r="AR2115" s="15">
        <v>17</v>
      </c>
      <c r="AS2115" s="15">
        <v>17</v>
      </c>
    </row>
    <row r="2116" spans="1:45" x14ac:dyDescent="0.25">
      <c r="A2116">
        <v>1621</v>
      </c>
      <c r="B2116" s="11">
        <f t="shared" si="33"/>
        <v>39228</v>
      </c>
      <c r="C2116" s="16">
        <v>392280</v>
      </c>
      <c r="D2116" s="17">
        <v>0</v>
      </c>
      <c r="E2116" s="17">
        <v>0</v>
      </c>
      <c r="F2116" s="17">
        <v>1</v>
      </c>
      <c r="G2116" s="17">
        <v>60</v>
      </c>
      <c r="H2116" s="13" t="str" cm="1">
        <f t="array" ref="H2116">_xlfn.IFS(G2116&lt;=20,"0-20",G2116&lt;=30,"20-30",G2116&lt;=40,"30-40",G2116&lt;=50,"50-60",G2116&lt;=60,"60-70",G2116&lt;=70,"70-80",G2116&lt;=80,"80-90")</f>
        <v>60-70</v>
      </c>
      <c r="I2116" s="17">
        <v>2574</v>
      </c>
      <c r="J2116" s="13" t="str" cm="1">
        <f t="array" ref="J2116">_xlfn.IFS(K2116=1,"Divorciado",L2116=1,"Casado",M2116=1,"Solteiro",N2116=1,"Juntos",O2116=1,"Viuvo")</f>
        <v>Divorciado</v>
      </c>
      <c r="K2116" s="17">
        <v>1</v>
      </c>
      <c r="L2116" s="17">
        <v>0</v>
      </c>
      <c r="M2116" s="17">
        <v>0</v>
      </c>
      <c r="N2116" s="17">
        <v>0</v>
      </c>
      <c r="O2116" s="17">
        <v>0</v>
      </c>
      <c r="P2116" s="17">
        <v>0</v>
      </c>
      <c r="Q2116" s="17">
        <v>0</v>
      </c>
      <c r="R2116" s="17">
        <v>0</v>
      </c>
      <c r="S2116" s="17">
        <v>1</v>
      </c>
      <c r="T2116" s="17">
        <v>0</v>
      </c>
      <c r="U2116" s="17">
        <v>7</v>
      </c>
      <c r="V2116" s="13" t="str" cm="1">
        <f t="array" ref="V2116">_xlfn.IFS(U2116&lt;=250,"0-R$250",U2116&lt;=500,"251-R$500",U2116&lt;=750,"501-R$750",U2116&lt;=1000,"751-R$1000",U2116&lt;=1250,"1001-R$1250",U2116&lt;=1500,"1251-R$1500")</f>
        <v>0-R$250</v>
      </c>
      <c r="W2116" s="17">
        <v>1</v>
      </c>
      <c r="X2116" s="13" t="str" cm="1">
        <f t="array" ref="X2116">_xlfn.IFS(W2116 = 0, "0", W2116&lt;=20, "até R$20",W2116&lt;=40, "21 - R$40",W2116&lt;=60, "41- R$60",W2116&lt;=80, "61 - R$80", W2116&lt;=100, "81 - R$100",W2116&lt;=120, "101 - R$120",W2116&lt;=140, "121 - R$140", W2116&lt;=160, "141- R$160", W2116&lt;=180, "161 - R$180", W2116&lt;=200, "181-R$194")</f>
        <v>até R$20</v>
      </c>
      <c r="Y2116" s="17">
        <v>6</v>
      </c>
      <c r="Z2116" s="17">
        <v>0</v>
      </c>
      <c r="AA2116" s="17">
        <v>3</v>
      </c>
      <c r="AB2116" s="17">
        <v>3</v>
      </c>
      <c r="AC2116" s="17">
        <v>1</v>
      </c>
      <c r="AD2116" s="17">
        <v>0</v>
      </c>
      <c r="AE2116" s="17">
        <v>0</v>
      </c>
      <c r="AF2116" s="17">
        <v>3</v>
      </c>
      <c r="AG2116" s="17">
        <v>4</v>
      </c>
      <c r="AH2116" s="17">
        <v>0</v>
      </c>
      <c r="AI2116" s="17">
        <v>0</v>
      </c>
      <c r="AJ2116" s="17">
        <v>0</v>
      </c>
      <c r="AK2116" s="17">
        <v>0</v>
      </c>
      <c r="AL2116" s="17">
        <v>0</v>
      </c>
      <c r="AM2116" s="17">
        <v>0</v>
      </c>
      <c r="AN2116" s="17">
        <v>0</v>
      </c>
      <c r="AO2116" s="18">
        <v>0</v>
      </c>
      <c r="AP2116" s="17">
        <v>3</v>
      </c>
      <c r="AQ2116" s="17">
        <v>11</v>
      </c>
      <c r="AR2116" s="19">
        <v>14</v>
      </c>
      <c r="AS2116" s="19">
        <v>17</v>
      </c>
    </row>
    <row r="2117" spans="1:45" x14ac:dyDescent="0.25">
      <c r="A2117">
        <v>1990</v>
      </c>
      <c r="B2117" s="11">
        <f t="shared" si="33"/>
        <v>37284</v>
      </c>
      <c r="C2117" s="12">
        <v>372840</v>
      </c>
      <c r="D2117" s="13">
        <v>1</v>
      </c>
      <c r="E2117" s="13">
        <v>1</v>
      </c>
      <c r="F2117" s="13">
        <v>46</v>
      </c>
      <c r="G2117" s="13">
        <v>45</v>
      </c>
      <c r="H2117" s="13" t="str" cm="1">
        <f t="array" ref="H2117">_xlfn.IFS(G2117&lt;=20,"0-20",G2117&lt;=30,"20-30",G2117&lt;=40,"30-40",G2117&lt;=50,"50-60",G2117&lt;=60,"60-70",G2117&lt;=70,"70-80",G2117&lt;=80,"80-90")</f>
        <v>50-60</v>
      </c>
      <c r="I2117" s="13">
        <v>2616</v>
      </c>
      <c r="J2117" s="13" t="str" cm="1">
        <f t="array" ref="J2117">_xlfn.IFS(K2117=1,"Divorciado",L2117=1,"Casado",M2117=1,"Solteiro",N2117=1,"Juntos",O2117=1,"Viuvo")</f>
        <v>Casado</v>
      </c>
      <c r="K2117" s="13">
        <v>0</v>
      </c>
      <c r="L2117" s="13">
        <v>1</v>
      </c>
      <c r="M2117" s="13">
        <v>0</v>
      </c>
      <c r="N2117" s="13">
        <v>0</v>
      </c>
      <c r="O2117" s="13">
        <v>0</v>
      </c>
      <c r="P2117" s="13">
        <v>1</v>
      </c>
      <c r="Q2117" s="13">
        <v>0</v>
      </c>
      <c r="R2117" s="13">
        <v>0</v>
      </c>
      <c r="S2117" s="13">
        <v>0</v>
      </c>
      <c r="T2117" s="13">
        <v>0</v>
      </c>
      <c r="U2117" s="13">
        <v>11</v>
      </c>
      <c r="V2117" s="13" t="str" cm="1">
        <f t="array" ref="V2117">_xlfn.IFS(U2117&lt;=250,"0-R$250",U2117&lt;=500,"251-R$500",U2117&lt;=750,"501-R$750",U2117&lt;=1000,"751-R$1000",U2117&lt;=1250,"1001-R$1250",U2117&lt;=1500,"1251-R$1500")</f>
        <v>0-R$250</v>
      </c>
      <c r="W2117" s="13">
        <v>1</v>
      </c>
      <c r="X2117" s="13" t="str" cm="1">
        <f t="array" ref="X2117">_xlfn.IFS(W2117 = 0, "0", W2117&lt;=20, "até R$20",W2117&lt;=40, "21 - R$40",W2117&lt;=60, "41- R$60",W2117&lt;=80, "61 - R$80", W2117&lt;=100, "81 - R$100",W2117&lt;=120, "101 - R$120",W2117&lt;=140, "121 - R$140", W2117&lt;=160, "141- R$160", W2117&lt;=180, "161 - R$180", W2117&lt;=200, "181-R$194")</f>
        <v>até R$20</v>
      </c>
      <c r="Y2117" s="13">
        <v>2</v>
      </c>
      <c r="Z2117" s="13">
        <v>2</v>
      </c>
      <c r="AA2117" s="13">
        <v>1</v>
      </c>
      <c r="AB2117" s="13">
        <v>6</v>
      </c>
      <c r="AC2117" s="13">
        <v>1</v>
      </c>
      <c r="AD2117" s="13">
        <v>0</v>
      </c>
      <c r="AE2117" s="13">
        <v>0</v>
      </c>
      <c r="AF2117" s="13">
        <v>3</v>
      </c>
      <c r="AG2117" s="13">
        <v>6</v>
      </c>
      <c r="AH2117" s="13">
        <v>0</v>
      </c>
      <c r="AI2117" s="13">
        <v>0</v>
      </c>
      <c r="AJ2117" s="13">
        <v>0</v>
      </c>
      <c r="AK2117" s="13">
        <v>0</v>
      </c>
      <c r="AL2117" s="13">
        <v>0</v>
      </c>
      <c r="AM2117" s="13">
        <v>0</v>
      </c>
      <c r="AN2117" s="13">
        <v>0</v>
      </c>
      <c r="AO2117" s="14">
        <v>0</v>
      </c>
      <c r="AP2117" s="13">
        <v>3</v>
      </c>
      <c r="AQ2117" s="13">
        <v>11</v>
      </c>
      <c r="AR2117" s="15">
        <v>11</v>
      </c>
      <c r="AS2117" s="15">
        <v>17</v>
      </c>
    </row>
    <row r="2118" spans="1:45" x14ac:dyDescent="0.25">
      <c r="A2118">
        <v>2001</v>
      </c>
      <c r="B2118" s="11">
        <f t="shared" si="33"/>
        <v>29672</v>
      </c>
      <c r="C2118" s="16">
        <v>296720</v>
      </c>
      <c r="D2118" s="17">
        <v>1</v>
      </c>
      <c r="E2118" s="17">
        <v>1</v>
      </c>
      <c r="F2118" s="17">
        <v>6</v>
      </c>
      <c r="G2118" s="17">
        <v>55</v>
      </c>
      <c r="H2118" s="13" t="str" cm="1">
        <f t="array" ref="H2118">_xlfn.IFS(G2118&lt;=20,"0-20",G2118&lt;=30,"20-30",G2118&lt;=40,"30-40",G2118&lt;=50,"50-60",G2118&lt;=60,"60-70",G2118&lt;=70,"70-80",G2118&lt;=80,"80-90")</f>
        <v>60-70</v>
      </c>
      <c r="I2118" s="17">
        <v>2633</v>
      </c>
      <c r="J2118" s="13" t="str" cm="1">
        <f t="array" ref="J2118">_xlfn.IFS(K2118=1,"Divorciado",L2118=1,"Casado",M2118=1,"Solteiro",N2118=1,"Juntos",O2118=1,"Viuvo")</f>
        <v>Juntos</v>
      </c>
      <c r="K2118" s="17">
        <v>0</v>
      </c>
      <c r="L2118" s="17">
        <v>0</v>
      </c>
      <c r="M2118" s="17">
        <v>0</v>
      </c>
      <c r="N2118" s="17">
        <v>1</v>
      </c>
      <c r="O2118" s="17">
        <v>0</v>
      </c>
      <c r="P2118" s="17">
        <v>0</v>
      </c>
      <c r="Q2118" s="17">
        <v>0</v>
      </c>
      <c r="R2118" s="17">
        <v>1</v>
      </c>
      <c r="S2118" s="17">
        <v>0</v>
      </c>
      <c r="T2118" s="17">
        <v>0</v>
      </c>
      <c r="U2118" s="17">
        <v>9</v>
      </c>
      <c r="V2118" s="13" t="str" cm="1">
        <f t="array" ref="V2118">_xlfn.IFS(U2118&lt;=250,"0-R$250",U2118&lt;=500,"251-R$500",U2118&lt;=750,"501-R$750",U2118&lt;=1000,"751-R$1000",U2118&lt;=1250,"1001-R$1250",U2118&lt;=1500,"1251-R$1500")</f>
        <v>0-R$250</v>
      </c>
      <c r="W2118" s="17">
        <v>1</v>
      </c>
      <c r="X2118" s="13" t="str" cm="1">
        <f t="array" ref="X2118">_xlfn.IFS(W2118 = 0, "0", W2118&lt;=20, "até R$20",W2118&lt;=40, "21 - R$40",W2118&lt;=60, "41- R$60",W2118&lt;=80, "61 - R$80", W2118&lt;=100, "81 - R$100",W2118&lt;=120, "101 - R$120",W2118&lt;=140, "121 - R$140", W2118&lt;=160, "141- R$160", W2118&lt;=180, "161 - R$180", W2118&lt;=200, "181-R$194")</f>
        <v>até R$20</v>
      </c>
      <c r="Y2118" s="17">
        <v>3</v>
      </c>
      <c r="Z2118" s="17">
        <v>0</v>
      </c>
      <c r="AA2118" s="17">
        <v>4</v>
      </c>
      <c r="AB2118" s="17">
        <v>8</v>
      </c>
      <c r="AC2118" s="17">
        <v>1</v>
      </c>
      <c r="AD2118" s="17">
        <v>0</v>
      </c>
      <c r="AE2118" s="17">
        <v>0</v>
      </c>
      <c r="AF2118" s="17">
        <v>3</v>
      </c>
      <c r="AG2118" s="17">
        <v>6</v>
      </c>
      <c r="AH2118" s="17">
        <v>0</v>
      </c>
      <c r="AI2118" s="17">
        <v>0</v>
      </c>
      <c r="AJ2118" s="17">
        <v>0</v>
      </c>
      <c r="AK2118" s="17">
        <v>0</v>
      </c>
      <c r="AL2118" s="17">
        <v>0</v>
      </c>
      <c r="AM2118" s="17">
        <v>0</v>
      </c>
      <c r="AN2118" s="17">
        <v>0</v>
      </c>
      <c r="AO2118" s="18">
        <v>0</v>
      </c>
      <c r="AP2118" s="17">
        <v>3</v>
      </c>
      <c r="AQ2118" s="17">
        <v>11</v>
      </c>
      <c r="AR2118" s="19">
        <v>9</v>
      </c>
      <c r="AS2118" s="19">
        <v>17</v>
      </c>
    </row>
    <row r="2119" spans="1:45" x14ac:dyDescent="0.25">
      <c r="A2119">
        <v>2160</v>
      </c>
      <c r="B2119" s="11">
        <f t="shared" si="33"/>
        <v>27469</v>
      </c>
      <c r="C2119" s="12">
        <v>274690</v>
      </c>
      <c r="D2119" s="13">
        <v>0</v>
      </c>
      <c r="E2119" s="13">
        <v>0</v>
      </c>
      <c r="F2119" s="13">
        <v>2</v>
      </c>
      <c r="G2119" s="13">
        <v>73</v>
      </c>
      <c r="H2119" s="13" t="str" cm="1">
        <f t="array" ref="H2119">_xlfn.IFS(G2119&lt;=20,"0-20",G2119&lt;=30,"20-30",G2119&lt;=40,"30-40",G2119&lt;=50,"50-60",G2119&lt;=60,"60-70",G2119&lt;=70,"70-80",G2119&lt;=80,"80-90")</f>
        <v>80-90</v>
      </c>
      <c r="I2119" s="13">
        <v>2855</v>
      </c>
      <c r="J2119" s="13" t="str" cm="1">
        <f t="array" ref="J2119">_xlfn.IFS(K2119=1,"Divorciado",L2119=1,"Casado",M2119=1,"Solteiro",N2119=1,"Juntos",O2119=1,"Viuvo")</f>
        <v>Casado</v>
      </c>
      <c r="K2119" s="13">
        <v>0</v>
      </c>
      <c r="L2119" s="13">
        <v>1</v>
      </c>
      <c r="M2119" s="13">
        <v>0</v>
      </c>
      <c r="N2119" s="13">
        <v>0</v>
      </c>
      <c r="O2119" s="13">
        <v>0</v>
      </c>
      <c r="P2119" s="13">
        <v>0</v>
      </c>
      <c r="Q2119" s="13">
        <v>0</v>
      </c>
      <c r="R2119" s="13">
        <v>1</v>
      </c>
      <c r="S2119" s="13">
        <v>0</v>
      </c>
      <c r="T2119" s="13">
        <v>0</v>
      </c>
      <c r="U2119" s="13">
        <v>9</v>
      </c>
      <c r="V2119" s="13" t="str" cm="1">
        <f t="array" ref="V2119">_xlfn.IFS(U2119&lt;=250,"0-R$250",U2119&lt;=500,"251-R$500",U2119&lt;=750,"501-R$750",U2119&lt;=1000,"751-R$1000",U2119&lt;=1250,"1001-R$1250",U2119&lt;=1500,"1251-R$1500")</f>
        <v>0-R$250</v>
      </c>
      <c r="W2119" s="13">
        <v>1</v>
      </c>
      <c r="X2119" s="13" t="str" cm="1">
        <f t="array" ref="X2119">_xlfn.IFS(W2119 = 0, "0", W2119&lt;=20, "até R$20",W2119&lt;=40, "21 - R$40",W2119&lt;=60, "41- R$60",W2119&lt;=80, "61 - R$80", W2119&lt;=100, "81 - R$100",W2119&lt;=120, "101 - R$120",W2119&lt;=140, "121 - R$140", W2119&lt;=160, "141- R$160", W2119&lt;=180, "161 - R$180", W2119&lt;=200, "181-R$194")</f>
        <v>até R$20</v>
      </c>
      <c r="Y2119" s="13">
        <v>2</v>
      </c>
      <c r="Z2119" s="13">
        <v>3</v>
      </c>
      <c r="AA2119" s="13">
        <v>2</v>
      </c>
      <c r="AB2119" s="13">
        <v>0</v>
      </c>
      <c r="AC2119" s="13">
        <v>1</v>
      </c>
      <c r="AD2119" s="13">
        <v>0</v>
      </c>
      <c r="AE2119" s="13">
        <v>0</v>
      </c>
      <c r="AF2119" s="13">
        <v>3</v>
      </c>
      <c r="AG2119" s="13">
        <v>6</v>
      </c>
      <c r="AH2119" s="13">
        <v>0</v>
      </c>
      <c r="AI2119" s="13">
        <v>0</v>
      </c>
      <c r="AJ2119" s="13">
        <v>0</v>
      </c>
      <c r="AK2119" s="13">
        <v>0</v>
      </c>
      <c r="AL2119" s="13">
        <v>0</v>
      </c>
      <c r="AM2119" s="13">
        <v>0</v>
      </c>
      <c r="AN2119" s="13">
        <v>0</v>
      </c>
      <c r="AO2119" s="14">
        <v>0</v>
      </c>
      <c r="AP2119" s="13">
        <v>3</v>
      </c>
      <c r="AQ2119" s="13">
        <v>11</v>
      </c>
      <c r="AR2119" s="15">
        <v>17</v>
      </c>
      <c r="AS2119" s="15">
        <v>17</v>
      </c>
    </row>
    <row r="2120" spans="1:45" x14ac:dyDescent="0.25">
      <c r="A2120">
        <v>204</v>
      </c>
      <c r="B2120" s="11">
        <f t="shared" si="33"/>
        <v>52195</v>
      </c>
      <c r="C2120" s="12">
        <v>521950</v>
      </c>
      <c r="D2120" s="13">
        <v>2</v>
      </c>
      <c r="E2120" s="13">
        <v>1</v>
      </c>
      <c r="F2120" s="13">
        <v>2</v>
      </c>
      <c r="G2120" s="13">
        <v>42</v>
      </c>
      <c r="H2120" s="13" t="str" cm="1">
        <f t="array" ref="H2120">_xlfn.IFS(G2120&lt;=20,"0-20",G2120&lt;=30,"20-30",G2120&lt;=40,"30-40",G2120&lt;=50,"50-60",G2120&lt;=60,"60-70",G2120&lt;=70,"70-80",G2120&lt;=80,"80-90")</f>
        <v>50-60</v>
      </c>
      <c r="I2120" s="13">
        <v>2207</v>
      </c>
      <c r="J2120" s="13" t="str" cm="1">
        <f t="array" ref="J2120">_xlfn.IFS(K2120=1,"Divorciado",L2120=1,"Casado",M2120=1,"Solteiro",N2120=1,"Juntos",O2120=1,"Viuvo")</f>
        <v>Solteiro</v>
      </c>
      <c r="K2120" s="13">
        <v>0</v>
      </c>
      <c r="L2120" s="13">
        <v>0</v>
      </c>
      <c r="M2120" s="13">
        <v>1</v>
      </c>
      <c r="N2120" s="13">
        <v>0</v>
      </c>
      <c r="O2120" s="13">
        <v>0</v>
      </c>
      <c r="P2120" s="13">
        <v>1</v>
      </c>
      <c r="Q2120" s="13">
        <v>0</v>
      </c>
      <c r="R2120" s="13">
        <v>0</v>
      </c>
      <c r="S2120" s="13">
        <v>0</v>
      </c>
      <c r="T2120" s="13">
        <v>0</v>
      </c>
      <c r="U2120" s="13">
        <v>12</v>
      </c>
      <c r="V2120" s="13" t="str" cm="1">
        <f t="array" ref="V2120">_xlfn.IFS(U2120&lt;=250,"0-R$250",U2120&lt;=500,"251-R$500",U2120&lt;=750,"501-R$750",U2120&lt;=1000,"751-R$1000",U2120&lt;=1250,"1001-R$1250",U2120&lt;=1500,"1251-R$1500")</f>
        <v>0-R$250</v>
      </c>
      <c r="W2120" s="13">
        <v>0</v>
      </c>
      <c r="X2120" s="13" t="str" cm="1">
        <f t="array" ref="X2120">_xlfn.IFS(W2120 = 0, "0", W2120&lt;=20, "até R$20",W2120&lt;=40, "21 - R$40",W2120&lt;=60, "41- R$60",W2120&lt;=80, "61 - R$80", W2120&lt;=100, "81 - R$100",W2120&lt;=120, "101 - R$120",W2120&lt;=140, "121 - R$140", W2120&lt;=160, "141- R$160", W2120&lt;=180, "161 - R$180", W2120&lt;=200, "181-R$194")</f>
        <v>0</v>
      </c>
      <c r="Y2120" s="13">
        <v>4</v>
      </c>
      <c r="Z2120" s="13">
        <v>0</v>
      </c>
      <c r="AA2120" s="13">
        <v>0</v>
      </c>
      <c r="AB2120" s="13">
        <v>1</v>
      </c>
      <c r="AC2120" s="13">
        <v>1</v>
      </c>
      <c r="AD2120" s="13">
        <v>1</v>
      </c>
      <c r="AE2120" s="13">
        <v>0</v>
      </c>
      <c r="AF2120" s="13">
        <v>2</v>
      </c>
      <c r="AG2120" s="13">
        <v>8</v>
      </c>
      <c r="AH2120" s="13">
        <v>0</v>
      </c>
      <c r="AI2120" s="13">
        <v>0</v>
      </c>
      <c r="AJ2120" s="13">
        <v>0</v>
      </c>
      <c r="AK2120" s="13">
        <v>0</v>
      </c>
      <c r="AL2120" s="13">
        <v>0</v>
      </c>
      <c r="AM2120" s="13">
        <v>0</v>
      </c>
      <c r="AN2120" s="13">
        <v>0</v>
      </c>
      <c r="AO2120" s="14">
        <v>0</v>
      </c>
      <c r="AP2120" s="13">
        <v>3</v>
      </c>
      <c r="AQ2120" s="13">
        <v>11</v>
      </c>
      <c r="AR2120" s="15">
        <v>15</v>
      </c>
      <c r="AS2120" s="15">
        <v>16</v>
      </c>
    </row>
    <row r="2121" spans="1:45" x14ac:dyDescent="0.25">
      <c r="A2121">
        <v>232</v>
      </c>
      <c r="B2121" s="11">
        <f t="shared" si="33"/>
        <v>31686</v>
      </c>
      <c r="C2121" s="12">
        <v>316860</v>
      </c>
      <c r="D2121" s="13">
        <v>1</v>
      </c>
      <c r="E2121" s="13">
        <v>1</v>
      </c>
      <c r="F2121" s="13">
        <v>31</v>
      </c>
      <c r="G2121" s="13">
        <v>56</v>
      </c>
      <c r="H2121" s="13" t="str" cm="1">
        <f t="array" ref="H2121">_xlfn.IFS(G2121&lt;=20,"0-20",G2121&lt;=30,"20-30",G2121&lt;=40,"30-40",G2121&lt;=50,"50-60",G2121&lt;=60,"60-70",G2121&lt;=70,"70-80",G2121&lt;=80,"80-90")</f>
        <v>60-70</v>
      </c>
      <c r="I2121" s="13">
        <v>2183</v>
      </c>
      <c r="J2121" s="13" t="str" cm="1">
        <f t="array" ref="J2121">_xlfn.IFS(K2121=1,"Divorciado",L2121=1,"Casado",M2121=1,"Solteiro",N2121=1,"Juntos",O2121=1,"Viuvo")</f>
        <v>Casado</v>
      </c>
      <c r="K2121" s="13">
        <v>0</v>
      </c>
      <c r="L2121" s="13">
        <v>1</v>
      </c>
      <c r="M2121" s="13">
        <v>0</v>
      </c>
      <c r="N2121" s="13">
        <v>0</v>
      </c>
      <c r="O2121" s="13">
        <v>0</v>
      </c>
      <c r="P2121" s="13">
        <v>0</v>
      </c>
      <c r="Q2121" s="13">
        <v>0</v>
      </c>
      <c r="R2121" s="13">
        <v>0</v>
      </c>
      <c r="S2121" s="13">
        <v>0</v>
      </c>
      <c r="T2121" s="13">
        <v>1</v>
      </c>
      <c r="U2121" s="13">
        <v>11</v>
      </c>
      <c r="V2121" s="13" t="str" cm="1">
        <f t="array" ref="V2121">_xlfn.IFS(U2121&lt;=250,"0-R$250",U2121&lt;=500,"251-R$500",U2121&lt;=750,"501-R$750",U2121&lt;=1000,"751-R$1000",U2121&lt;=1250,"1001-R$1250",U2121&lt;=1500,"1251-R$1500")</f>
        <v>0-R$250</v>
      </c>
      <c r="W2121" s="13">
        <v>0</v>
      </c>
      <c r="X2121" s="13" t="str" cm="1">
        <f t="array" ref="X2121">_xlfn.IFS(W2121 = 0, "0", W2121&lt;=20, "até R$20",W2121&lt;=40, "21 - R$40",W2121&lt;=60, "41- R$60",W2121&lt;=80, "61 - R$80", W2121&lt;=100, "81 - R$100",W2121&lt;=120, "101 - R$120",W2121&lt;=140, "121 - R$140", W2121&lt;=160, "141- R$160", W2121&lt;=180, "161 - R$180", W2121&lt;=200, "181-R$194")</f>
        <v>0</v>
      </c>
      <c r="Y2121" s="13">
        <v>5</v>
      </c>
      <c r="Z2121" s="13">
        <v>0</v>
      </c>
      <c r="AA2121" s="13">
        <v>0</v>
      </c>
      <c r="AB2121" s="13">
        <v>1</v>
      </c>
      <c r="AC2121" s="13">
        <v>2</v>
      </c>
      <c r="AD2121" s="13">
        <v>1</v>
      </c>
      <c r="AE2121" s="13">
        <v>0</v>
      </c>
      <c r="AF2121" s="13">
        <v>3</v>
      </c>
      <c r="AG2121" s="13">
        <v>6</v>
      </c>
      <c r="AH2121" s="13">
        <v>0</v>
      </c>
      <c r="AI2121" s="13">
        <v>0</v>
      </c>
      <c r="AJ2121" s="13">
        <v>0</v>
      </c>
      <c r="AK2121" s="13">
        <v>0</v>
      </c>
      <c r="AL2121" s="13">
        <v>0</v>
      </c>
      <c r="AM2121" s="13">
        <v>0</v>
      </c>
      <c r="AN2121" s="13">
        <v>0</v>
      </c>
      <c r="AO2121" s="14">
        <v>0</v>
      </c>
      <c r="AP2121" s="13">
        <v>3</v>
      </c>
      <c r="AQ2121" s="13">
        <v>11</v>
      </c>
      <c r="AR2121" s="15">
        <v>15</v>
      </c>
      <c r="AS2121" s="15">
        <v>16</v>
      </c>
    </row>
    <row r="2122" spans="1:45" x14ac:dyDescent="0.25">
      <c r="A2122">
        <v>364</v>
      </c>
      <c r="B2122" s="11">
        <f t="shared" si="33"/>
        <v>33581</v>
      </c>
      <c r="C2122" s="12">
        <v>335810</v>
      </c>
      <c r="D2122" s="13">
        <v>2</v>
      </c>
      <c r="E2122" s="13">
        <v>0</v>
      </c>
      <c r="F2122" s="13">
        <v>38</v>
      </c>
      <c r="G2122" s="13">
        <v>51</v>
      </c>
      <c r="H2122" s="13" t="str" cm="1">
        <f t="array" ref="H2122">_xlfn.IFS(G2122&lt;=20,"0-20",G2122&lt;=30,"20-30",G2122&lt;=40,"30-40",G2122&lt;=50,"50-60",G2122&lt;=60,"60-70",G2122&lt;=70,"70-80",G2122&lt;=80,"80-90")</f>
        <v>60-70</v>
      </c>
      <c r="I2122" s="13">
        <v>2696</v>
      </c>
      <c r="J2122" s="13" t="str" cm="1">
        <f t="array" ref="J2122">_xlfn.IFS(K2122=1,"Divorciado",L2122=1,"Casado",M2122=1,"Solteiro",N2122=1,"Juntos",O2122=1,"Viuvo")</f>
        <v>Casado</v>
      </c>
      <c r="K2122" s="13">
        <v>0</v>
      </c>
      <c r="L2122" s="13">
        <v>1</v>
      </c>
      <c r="M2122" s="13">
        <v>0</v>
      </c>
      <c r="N2122" s="13">
        <v>0</v>
      </c>
      <c r="O2122" s="13">
        <v>0</v>
      </c>
      <c r="P2122" s="13">
        <v>0</v>
      </c>
      <c r="Q2122" s="13">
        <v>0</v>
      </c>
      <c r="R2122" s="13">
        <v>0</v>
      </c>
      <c r="S2122" s="13">
        <v>0</v>
      </c>
      <c r="T2122" s="13">
        <v>1</v>
      </c>
      <c r="U2122" s="13">
        <v>11</v>
      </c>
      <c r="V2122" s="13" t="str" cm="1">
        <f t="array" ref="V2122">_xlfn.IFS(U2122&lt;=250,"0-R$250",U2122&lt;=500,"251-R$500",U2122&lt;=750,"501-R$750",U2122&lt;=1000,"751-R$1000",U2122&lt;=1250,"1001-R$1250",U2122&lt;=1500,"1251-R$1500")</f>
        <v>0-R$250</v>
      </c>
      <c r="W2122" s="13">
        <v>0</v>
      </c>
      <c r="X2122" s="13" t="str" cm="1">
        <f t="array" ref="X2122">_xlfn.IFS(W2122 = 0, "0", W2122&lt;=20, "até R$20",W2122&lt;=40, "21 - R$40",W2122&lt;=60, "41- R$60",W2122&lt;=80, "61 - R$80", W2122&lt;=100, "81 - R$100",W2122&lt;=120, "101 - R$120",W2122&lt;=140, "121 - R$140", W2122&lt;=160, "141- R$160", W2122&lt;=180, "161 - R$180", W2122&lt;=200, "181-R$194")</f>
        <v>0</v>
      </c>
      <c r="Y2122" s="13">
        <v>5</v>
      </c>
      <c r="Z2122" s="13">
        <v>0</v>
      </c>
      <c r="AA2122" s="13">
        <v>0</v>
      </c>
      <c r="AB2122" s="13">
        <v>1</v>
      </c>
      <c r="AC2122" s="13">
        <v>1</v>
      </c>
      <c r="AD2122" s="13">
        <v>1</v>
      </c>
      <c r="AE2122" s="13">
        <v>0</v>
      </c>
      <c r="AF2122" s="13">
        <v>2</v>
      </c>
      <c r="AG2122" s="13">
        <v>8</v>
      </c>
      <c r="AH2122" s="13">
        <v>0</v>
      </c>
      <c r="AI2122" s="13">
        <v>0</v>
      </c>
      <c r="AJ2122" s="13">
        <v>0</v>
      </c>
      <c r="AK2122" s="13">
        <v>0</v>
      </c>
      <c r="AL2122" s="13">
        <v>0</v>
      </c>
      <c r="AM2122" s="13">
        <v>0</v>
      </c>
      <c r="AN2122" s="13">
        <v>0</v>
      </c>
      <c r="AO2122" s="14">
        <v>0</v>
      </c>
      <c r="AP2122" s="13">
        <v>3</v>
      </c>
      <c r="AQ2122" s="13">
        <v>11</v>
      </c>
      <c r="AR2122" s="15">
        <v>15</v>
      </c>
      <c r="AS2122" s="15">
        <v>16</v>
      </c>
    </row>
    <row r="2123" spans="1:45" x14ac:dyDescent="0.25">
      <c r="A2123">
        <v>365</v>
      </c>
      <c r="B2123" s="11">
        <f t="shared" si="33"/>
        <v>19986</v>
      </c>
      <c r="C2123" s="16">
        <v>199860</v>
      </c>
      <c r="D2123" s="17">
        <v>1</v>
      </c>
      <c r="E2123" s="17">
        <v>0</v>
      </c>
      <c r="F2123" s="17">
        <v>74</v>
      </c>
      <c r="G2123" s="17">
        <v>35</v>
      </c>
      <c r="H2123" s="13" t="str" cm="1">
        <f t="array" ref="H2123">_xlfn.IFS(G2123&lt;=20,"0-20",G2123&lt;=30,"20-30",G2123&lt;=40,"30-40",G2123&lt;=50,"50-60",G2123&lt;=60,"60-70",G2123&lt;=70,"70-80",G2123&lt;=80,"80-90")</f>
        <v>30-40</v>
      </c>
      <c r="I2123" s="17">
        <v>2386</v>
      </c>
      <c r="J2123" s="13" t="str" cm="1">
        <f t="array" ref="J2123">_xlfn.IFS(K2123=1,"Divorciado",L2123=1,"Casado",M2123=1,"Solteiro",N2123=1,"Juntos",O2123=1,"Viuvo")</f>
        <v>Casado</v>
      </c>
      <c r="K2123" s="17">
        <v>0</v>
      </c>
      <c r="L2123" s="17">
        <v>1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1</v>
      </c>
      <c r="S2123" s="17">
        <v>0</v>
      </c>
      <c r="T2123" s="17">
        <v>0</v>
      </c>
      <c r="U2123" s="17">
        <v>3</v>
      </c>
      <c r="V2123" s="13" t="str" cm="1">
        <f t="array" ref="V2123">_xlfn.IFS(U2123&lt;=250,"0-R$250",U2123&lt;=500,"251-R$500",U2123&lt;=750,"501-R$750",U2123&lt;=1000,"751-R$1000",U2123&lt;=1250,"1001-R$1250",U2123&lt;=1500,"1251-R$1500")</f>
        <v>0-R$250</v>
      </c>
      <c r="W2123" s="17">
        <v>6</v>
      </c>
      <c r="X2123" s="13" t="str" cm="1">
        <f t="array" ref="X2123">_xlfn.IFS(W2123 = 0, "0", W2123&lt;=20, "até R$20",W2123&lt;=40, "21 - R$40",W2123&lt;=60, "41- R$60",W2123&lt;=80, "61 - R$80", W2123&lt;=100, "81 - R$100",W2123&lt;=120, "101 - R$120",W2123&lt;=140, "121 - R$140", W2123&lt;=160, "141- R$160", W2123&lt;=180, "161 - R$180", W2123&lt;=200, "181-R$194")</f>
        <v>até R$20</v>
      </c>
      <c r="Y2123" s="17">
        <v>5</v>
      </c>
      <c r="Z2123" s="17">
        <v>0</v>
      </c>
      <c r="AA2123" s="17">
        <v>2</v>
      </c>
      <c r="AB2123" s="17">
        <v>6</v>
      </c>
      <c r="AC2123" s="17">
        <v>1</v>
      </c>
      <c r="AD2123" s="17">
        <v>0</v>
      </c>
      <c r="AE2123" s="17">
        <v>0</v>
      </c>
      <c r="AF2123" s="17">
        <v>3</v>
      </c>
      <c r="AG2123" s="17">
        <v>7</v>
      </c>
      <c r="AH2123" s="17">
        <v>0</v>
      </c>
      <c r="AI2123" s="17">
        <v>0</v>
      </c>
      <c r="AJ2123" s="17">
        <v>0</v>
      </c>
      <c r="AK2123" s="17">
        <v>0</v>
      </c>
      <c r="AL2123" s="17">
        <v>0</v>
      </c>
      <c r="AM2123" s="17">
        <v>0</v>
      </c>
      <c r="AN2123" s="17">
        <v>0</v>
      </c>
      <c r="AO2123" s="18">
        <v>0</v>
      </c>
      <c r="AP2123" s="17">
        <v>3</v>
      </c>
      <c r="AQ2123" s="17">
        <v>11</v>
      </c>
      <c r="AR2123" s="19">
        <v>10</v>
      </c>
      <c r="AS2123" s="19">
        <v>16</v>
      </c>
    </row>
    <row r="2124" spans="1:45" x14ac:dyDescent="0.25">
      <c r="A2124">
        <v>458</v>
      </c>
      <c r="B2124" s="11">
        <f t="shared" si="33"/>
        <v>20518</v>
      </c>
      <c r="C2124" s="12">
        <v>205180</v>
      </c>
      <c r="D2124" s="13">
        <v>1</v>
      </c>
      <c r="E2124" s="13">
        <v>0</v>
      </c>
      <c r="F2124" s="13">
        <v>58</v>
      </c>
      <c r="G2124" s="13">
        <v>32</v>
      </c>
      <c r="H2124" s="13" t="str" cm="1">
        <f t="array" ref="H2124">_xlfn.IFS(G2124&lt;=20,"0-20",G2124&lt;=30,"20-30",G2124&lt;=40,"30-40",G2124&lt;=50,"50-60",G2124&lt;=60,"60-70",G2124&lt;=70,"70-80",G2124&lt;=80,"80-90")</f>
        <v>30-40</v>
      </c>
      <c r="I2124" s="13">
        <v>2201</v>
      </c>
      <c r="J2124" s="13" t="str" cm="1">
        <f t="array" ref="J2124">_xlfn.IFS(K2124=1,"Divorciado",L2124=1,"Casado",M2124=1,"Solteiro",N2124=1,"Juntos",O2124=1,"Viuvo")</f>
        <v>Solteiro</v>
      </c>
      <c r="K2124" s="13">
        <v>0</v>
      </c>
      <c r="L2124" s="13">
        <v>0</v>
      </c>
      <c r="M2124" s="13">
        <v>1</v>
      </c>
      <c r="N2124" s="13">
        <v>0</v>
      </c>
      <c r="O2124" s="13">
        <v>0</v>
      </c>
      <c r="P2124" s="13">
        <v>0</v>
      </c>
      <c r="Q2124" s="13">
        <v>0</v>
      </c>
      <c r="R2124" s="13">
        <v>1</v>
      </c>
      <c r="S2124" s="13">
        <v>0</v>
      </c>
      <c r="T2124" s="13">
        <v>0</v>
      </c>
      <c r="U2124" s="13">
        <v>4</v>
      </c>
      <c r="V2124" s="13" t="str" cm="1">
        <f t="array" ref="V2124">_xlfn.IFS(U2124&lt;=250,"0-R$250",U2124&lt;=500,"251-R$500",U2124&lt;=750,"501-R$750",U2124&lt;=1000,"751-R$1000",U2124&lt;=1250,"1001-R$1250",U2124&lt;=1500,"1251-R$1500")</f>
        <v>0-R$250</v>
      </c>
      <c r="W2124" s="13">
        <v>1</v>
      </c>
      <c r="X2124" s="13" t="str" cm="1">
        <f t="array" ref="X2124">_xlfn.IFS(W2124 = 0, "0", W2124&lt;=20, "até R$20",W2124&lt;=40, "21 - R$40",W2124&lt;=60, "41- R$60",W2124&lt;=80, "61 - R$80", W2124&lt;=100, "81 - R$100",W2124&lt;=120, "101 - R$120",W2124&lt;=140, "121 - R$140", W2124&lt;=160, "141- R$160", W2124&lt;=180, "161 - R$180", W2124&lt;=200, "181-R$194")</f>
        <v>até R$20</v>
      </c>
      <c r="Y2124" s="13">
        <v>6</v>
      </c>
      <c r="Z2124" s="13">
        <v>4</v>
      </c>
      <c r="AA2124" s="13">
        <v>1</v>
      </c>
      <c r="AB2124" s="13">
        <v>9</v>
      </c>
      <c r="AC2124" s="13">
        <v>1</v>
      </c>
      <c r="AD2124" s="13">
        <v>1</v>
      </c>
      <c r="AE2124" s="13">
        <v>1</v>
      </c>
      <c r="AF2124" s="13">
        <v>2</v>
      </c>
      <c r="AG2124" s="13">
        <v>5</v>
      </c>
      <c r="AH2124" s="13">
        <v>0</v>
      </c>
      <c r="AI2124" s="13">
        <v>0</v>
      </c>
      <c r="AJ2124" s="13">
        <v>0</v>
      </c>
      <c r="AK2124" s="13">
        <v>0</v>
      </c>
      <c r="AL2124" s="13">
        <v>0</v>
      </c>
      <c r="AM2124" s="13">
        <v>0</v>
      </c>
      <c r="AN2124" s="13">
        <v>0</v>
      </c>
      <c r="AO2124" s="14">
        <v>0</v>
      </c>
      <c r="AP2124" s="13">
        <v>3</v>
      </c>
      <c r="AQ2124" s="13">
        <v>11</v>
      </c>
      <c r="AR2124" s="15">
        <v>7</v>
      </c>
      <c r="AS2124" s="15">
        <v>16</v>
      </c>
    </row>
    <row r="2125" spans="1:45" x14ac:dyDescent="0.25">
      <c r="A2125">
        <v>553</v>
      </c>
      <c r="B2125" s="11">
        <f t="shared" si="33"/>
        <v>38200</v>
      </c>
      <c r="C2125" s="16">
        <v>382000</v>
      </c>
      <c r="D2125" s="17">
        <v>1</v>
      </c>
      <c r="E2125" s="17">
        <v>1</v>
      </c>
      <c r="F2125" s="17">
        <v>19</v>
      </c>
      <c r="G2125" s="17">
        <v>50</v>
      </c>
      <c r="H2125" s="13" t="str" cm="1">
        <f t="array" ref="H2125">_xlfn.IFS(G2125&lt;=20,"0-20",G2125&lt;=30,"20-30",G2125&lt;=40,"30-40",G2125&lt;=50,"50-60",G2125&lt;=60,"60-70",G2125&lt;=70,"70-80",G2125&lt;=80,"80-90")</f>
        <v>50-60</v>
      </c>
      <c r="I2125" s="17">
        <v>2728</v>
      </c>
      <c r="J2125" s="13" t="str" cm="1">
        <f t="array" ref="J2125">_xlfn.IFS(K2125=1,"Divorciado",L2125=1,"Casado",M2125=1,"Solteiro",N2125=1,"Juntos",O2125=1,"Viuvo")</f>
        <v>Juntos</v>
      </c>
      <c r="K2125" s="17">
        <v>0</v>
      </c>
      <c r="L2125" s="17">
        <v>0</v>
      </c>
      <c r="M2125" s="17">
        <v>0</v>
      </c>
      <c r="N2125" s="17">
        <v>1</v>
      </c>
      <c r="O2125" s="17">
        <v>0</v>
      </c>
      <c r="P2125" s="17">
        <v>0</v>
      </c>
      <c r="Q2125" s="17">
        <v>0</v>
      </c>
      <c r="R2125" s="17">
        <v>1</v>
      </c>
      <c r="S2125" s="17">
        <v>0</v>
      </c>
      <c r="T2125" s="17">
        <v>0</v>
      </c>
      <c r="U2125" s="17">
        <v>12</v>
      </c>
      <c r="V2125" s="13" t="str" cm="1">
        <f t="array" ref="V2125">_xlfn.IFS(U2125&lt;=250,"0-R$250",U2125&lt;=500,"251-R$500",U2125&lt;=750,"501-R$750",U2125&lt;=1000,"751-R$1000",U2125&lt;=1250,"1001-R$1250",U2125&lt;=1500,"1251-R$1500")</f>
        <v>0-R$250</v>
      </c>
      <c r="W2125" s="17">
        <v>0</v>
      </c>
      <c r="X2125" s="13" t="str" cm="1">
        <f t="array" ref="X2125">_xlfn.IFS(W2125 = 0, "0", W2125&lt;=20, "até R$20",W2125&lt;=40, "21 - R$40",W2125&lt;=60, "41- R$60",W2125&lt;=80, "61 - R$80", W2125&lt;=100, "81 - R$100",W2125&lt;=120, "101 - R$120",W2125&lt;=140, "121 - R$140", W2125&lt;=160, "141- R$160", W2125&lt;=180, "161 - R$180", W2125&lt;=200, "181-R$194")</f>
        <v>0</v>
      </c>
      <c r="Y2125" s="17">
        <v>4</v>
      </c>
      <c r="Z2125" s="17">
        <v>0</v>
      </c>
      <c r="AA2125" s="17">
        <v>0</v>
      </c>
      <c r="AB2125" s="17">
        <v>1</v>
      </c>
      <c r="AC2125" s="17">
        <v>1</v>
      </c>
      <c r="AD2125" s="17">
        <v>1</v>
      </c>
      <c r="AE2125" s="17">
        <v>0</v>
      </c>
      <c r="AF2125" s="17">
        <v>2</v>
      </c>
      <c r="AG2125" s="17">
        <v>7</v>
      </c>
      <c r="AH2125" s="17">
        <v>0</v>
      </c>
      <c r="AI2125" s="17">
        <v>0</v>
      </c>
      <c r="AJ2125" s="17">
        <v>0</v>
      </c>
      <c r="AK2125" s="17">
        <v>0</v>
      </c>
      <c r="AL2125" s="17">
        <v>0</v>
      </c>
      <c r="AM2125" s="17">
        <v>0</v>
      </c>
      <c r="AN2125" s="17">
        <v>0</v>
      </c>
      <c r="AO2125" s="18">
        <v>0</v>
      </c>
      <c r="AP2125" s="17">
        <v>3</v>
      </c>
      <c r="AQ2125" s="17">
        <v>11</v>
      </c>
      <c r="AR2125" s="19">
        <v>15</v>
      </c>
      <c r="AS2125" s="19">
        <v>16</v>
      </c>
    </row>
    <row r="2126" spans="1:45" x14ac:dyDescent="0.25">
      <c r="A2126">
        <v>643</v>
      </c>
      <c r="B2126" s="11">
        <f t="shared" si="33"/>
        <v>19986</v>
      </c>
      <c r="C2126" s="16">
        <v>199860</v>
      </c>
      <c r="D2126" s="17">
        <v>1</v>
      </c>
      <c r="E2126" s="17">
        <v>0</v>
      </c>
      <c r="F2126" s="17">
        <v>74</v>
      </c>
      <c r="G2126" s="17">
        <v>35</v>
      </c>
      <c r="H2126" s="13" t="str" cm="1">
        <f t="array" ref="H2126">_xlfn.IFS(G2126&lt;=20,"0-20",G2126&lt;=30,"20-30",G2126&lt;=40,"30-40",G2126&lt;=50,"50-60",G2126&lt;=60,"60-70",G2126&lt;=70,"70-80",G2126&lt;=80,"80-90")</f>
        <v>30-40</v>
      </c>
      <c r="I2126" s="17">
        <v>2386</v>
      </c>
      <c r="J2126" s="13" t="str" cm="1">
        <f t="array" ref="J2126">_xlfn.IFS(K2126=1,"Divorciado",L2126=1,"Casado",M2126=1,"Solteiro",N2126=1,"Juntos",O2126=1,"Viuvo")</f>
        <v>Casado</v>
      </c>
      <c r="K2126" s="17">
        <v>0</v>
      </c>
      <c r="L2126" s="17">
        <v>1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1</v>
      </c>
      <c r="S2126" s="17">
        <v>0</v>
      </c>
      <c r="T2126" s="17">
        <v>0</v>
      </c>
      <c r="U2126" s="17">
        <v>3</v>
      </c>
      <c r="V2126" s="13" t="str" cm="1">
        <f t="array" ref="V2126">_xlfn.IFS(U2126&lt;=250,"0-R$250",U2126&lt;=500,"251-R$500",U2126&lt;=750,"501-R$750",U2126&lt;=1000,"751-R$1000",U2126&lt;=1250,"1001-R$1250",U2126&lt;=1500,"1251-R$1500")</f>
        <v>0-R$250</v>
      </c>
      <c r="W2126" s="17">
        <v>6</v>
      </c>
      <c r="X2126" s="13" t="str" cm="1">
        <f t="array" ref="X2126">_xlfn.IFS(W2126 = 0, "0", W2126&lt;=20, "até R$20",W2126&lt;=40, "21 - R$40",W2126&lt;=60, "41- R$60",W2126&lt;=80, "61 - R$80", W2126&lt;=100, "81 - R$100",W2126&lt;=120, "101 - R$120",W2126&lt;=140, "121 - R$140", W2126&lt;=160, "141- R$160", W2126&lt;=180, "161 - R$180", W2126&lt;=200, "181-R$194")</f>
        <v>até R$20</v>
      </c>
      <c r="Y2126" s="17">
        <v>5</v>
      </c>
      <c r="Z2126" s="17">
        <v>0</v>
      </c>
      <c r="AA2126" s="17">
        <v>2</v>
      </c>
      <c r="AB2126" s="17">
        <v>6</v>
      </c>
      <c r="AC2126" s="17">
        <v>1</v>
      </c>
      <c r="AD2126" s="17">
        <v>0</v>
      </c>
      <c r="AE2126" s="17">
        <v>0</v>
      </c>
      <c r="AF2126" s="17">
        <v>3</v>
      </c>
      <c r="AG2126" s="17">
        <v>7</v>
      </c>
      <c r="AH2126" s="17">
        <v>0</v>
      </c>
      <c r="AI2126" s="17">
        <v>0</v>
      </c>
      <c r="AJ2126" s="17">
        <v>0</v>
      </c>
      <c r="AK2126" s="17">
        <v>0</v>
      </c>
      <c r="AL2126" s="17">
        <v>0</v>
      </c>
      <c r="AM2126" s="17">
        <v>0</v>
      </c>
      <c r="AN2126" s="17">
        <v>0</v>
      </c>
      <c r="AO2126" s="18">
        <v>0</v>
      </c>
      <c r="AP2126" s="17">
        <v>3</v>
      </c>
      <c r="AQ2126" s="17">
        <v>11</v>
      </c>
      <c r="AR2126" s="19">
        <v>10</v>
      </c>
      <c r="AS2126" s="19">
        <v>16</v>
      </c>
    </row>
    <row r="2127" spans="1:45" x14ac:dyDescent="0.25">
      <c r="A2127">
        <v>756</v>
      </c>
      <c r="B2127" s="11">
        <f t="shared" si="33"/>
        <v>41452</v>
      </c>
      <c r="C2127" s="12">
        <v>414520</v>
      </c>
      <c r="D2127" s="13">
        <v>1</v>
      </c>
      <c r="E2127" s="13">
        <v>1</v>
      </c>
      <c r="F2127" s="13">
        <v>86</v>
      </c>
      <c r="G2127" s="13">
        <v>67</v>
      </c>
      <c r="H2127" s="13" t="str" cm="1">
        <f t="array" ref="H2127">_xlfn.IFS(G2127&lt;=20,"0-20",G2127&lt;=30,"20-30",G2127&lt;=40,"30-40",G2127&lt;=50,"50-60",G2127&lt;=60,"60-70",G2127&lt;=70,"70-80",G2127&lt;=80,"80-90")</f>
        <v>70-80</v>
      </c>
      <c r="I2127" s="13">
        <v>2639</v>
      </c>
      <c r="J2127" s="13" t="str" cm="1">
        <f t="array" ref="J2127">_xlfn.IFS(K2127=1,"Divorciado",L2127=1,"Casado",M2127=1,"Solteiro",N2127=1,"Juntos",O2127=1,"Viuvo")</f>
        <v>Juntos</v>
      </c>
      <c r="K2127" s="13">
        <v>0</v>
      </c>
      <c r="L2127" s="13">
        <v>0</v>
      </c>
      <c r="M2127" s="13">
        <v>0</v>
      </c>
      <c r="N2127" s="13">
        <v>1</v>
      </c>
      <c r="O2127" s="13">
        <v>0</v>
      </c>
      <c r="P2127" s="13">
        <v>0</v>
      </c>
      <c r="Q2127" s="13">
        <v>0</v>
      </c>
      <c r="R2127" s="13">
        <v>1</v>
      </c>
      <c r="S2127" s="13">
        <v>0</v>
      </c>
      <c r="T2127" s="13">
        <v>0</v>
      </c>
      <c r="U2127" s="13">
        <v>13</v>
      </c>
      <c r="V2127" s="13" t="str" cm="1">
        <f t="array" ref="V2127">_xlfn.IFS(U2127&lt;=250,"0-R$250",U2127&lt;=500,"251-R$500",U2127&lt;=750,"501-R$750",U2127&lt;=1000,"751-R$1000",U2127&lt;=1250,"1001-R$1250",U2127&lt;=1500,"1251-R$1500")</f>
        <v>0-R$250</v>
      </c>
      <c r="W2127" s="13">
        <v>0</v>
      </c>
      <c r="X2127" s="13" t="str" cm="1">
        <f t="array" ref="X2127">_xlfn.IFS(W2127 = 0, "0", W2127&lt;=20, "até R$20",W2127&lt;=40, "21 - R$40",W2127&lt;=60, "41- R$60",W2127&lt;=80, "61 - R$80", W2127&lt;=100, "81 - R$100",W2127&lt;=120, "101 - R$120",W2127&lt;=140, "121 - R$140", W2127&lt;=160, "141- R$160", W2127&lt;=180, "161 - R$180", W2127&lt;=200, "181-R$194")</f>
        <v>0</v>
      </c>
      <c r="Y2127" s="13">
        <v>3</v>
      </c>
      <c r="Z2127" s="13">
        <v>0</v>
      </c>
      <c r="AA2127" s="13">
        <v>0</v>
      </c>
      <c r="AB2127" s="13">
        <v>0</v>
      </c>
      <c r="AC2127" s="13">
        <v>1</v>
      </c>
      <c r="AD2127" s="13">
        <v>1</v>
      </c>
      <c r="AE2127" s="13">
        <v>0</v>
      </c>
      <c r="AF2127" s="13">
        <v>2</v>
      </c>
      <c r="AG2127" s="13">
        <v>7</v>
      </c>
      <c r="AH2127" s="13">
        <v>0</v>
      </c>
      <c r="AI2127" s="13">
        <v>0</v>
      </c>
      <c r="AJ2127" s="13">
        <v>0</v>
      </c>
      <c r="AK2127" s="13">
        <v>0</v>
      </c>
      <c r="AL2127" s="13">
        <v>0</v>
      </c>
      <c r="AM2127" s="13">
        <v>0</v>
      </c>
      <c r="AN2127" s="13">
        <v>0</v>
      </c>
      <c r="AO2127" s="14">
        <v>0</v>
      </c>
      <c r="AP2127" s="13">
        <v>3</v>
      </c>
      <c r="AQ2127" s="13">
        <v>11</v>
      </c>
      <c r="AR2127" s="15">
        <v>16</v>
      </c>
      <c r="AS2127" s="15">
        <v>16</v>
      </c>
    </row>
    <row r="2128" spans="1:45" x14ac:dyDescent="0.25">
      <c r="A2128">
        <v>763</v>
      </c>
      <c r="B2128" s="11">
        <f t="shared" si="33"/>
        <v>20587</v>
      </c>
      <c r="C2128" s="16">
        <v>205870</v>
      </c>
      <c r="D2128" s="17">
        <v>1</v>
      </c>
      <c r="E2128" s="17">
        <v>0</v>
      </c>
      <c r="F2128" s="17">
        <v>39</v>
      </c>
      <c r="G2128" s="17">
        <v>50</v>
      </c>
      <c r="H2128" s="13" t="str" cm="1">
        <f t="array" ref="H2128">_xlfn.IFS(G2128&lt;=20,"0-20",G2128&lt;=30,"20-30",G2128&lt;=40,"30-40",G2128&lt;=50,"50-60",G2128&lt;=60,"60-70",G2128&lt;=70,"70-80",G2128&lt;=80,"80-90")</f>
        <v>50-60</v>
      </c>
      <c r="I2128" s="17">
        <v>2208</v>
      </c>
      <c r="J2128" s="13" t="str" cm="1">
        <f t="array" ref="J2128">_xlfn.IFS(K2128=1,"Divorciado",L2128=1,"Casado",M2128=1,"Solteiro",N2128=1,"Juntos",O2128=1,"Viuvo")</f>
        <v>Solteiro</v>
      </c>
      <c r="K2128" s="17">
        <v>0</v>
      </c>
      <c r="L2128" s="17">
        <v>0</v>
      </c>
      <c r="M2128" s="17">
        <v>1</v>
      </c>
      <c r="N2128" s="17">
        <v>0</v>
      </c>
      <c r="O2128" s="17">
        <v>0</v>
      </c>
      <c r="P2128" s="17">
        <v>0</v>
      </c>
      <c r="Q2128" s="17">
        <v>0</v>
      </c>
      <c r="R2128" s="17">
        <v>1</v>
      </c>
      <c r="S2128" s="17">
        <v>0</v>
      </c>
      <c r="T2128" s="17">
        <v>0</v>
      </c>
      <c r="U2128" s="17">
        <v>2</v>
      </c>
      <c r="V2128" s="13" t="str" cm="1">
        <f t="array" ref="V2128">_xlfn.IFS(U2128&lt;=250,"0-R$250",U2128&lt;=500,"251-R$500",U2128&lt;=750,"501-R$750",U2128&lt;=1000,"751-R$1000",U2128&lt;=1250,"1001-R$1250",U2128&lt;=1500,"1251-R$1500")</f>
        <v>0-R$250</v>
      </c>
      <c r="W2128" s="17">
        <v>3</v>
      </c>
      <c r="X2128" s="13" t="str" cm="1">
        <f t="array" ref="X2128">_xlfn.IFS(W2128 = 0, "0", W2128&lt;=20, "até R$20",W2128&lt;=40, "21 - R$40",W2128&lt;=60, "41- R$60",W2128&lt;=80, "61 - R$80", W2128&lt;=100, "81 - R$100",W2128&lt;=120, "101 - R$120",W2128&lt;=140, "121 - R$140", W2128&lt;=160, "141- R$160", W2128&lt;=180, "161 - R$180", W2128&lt;=200, "181-R$194")</f>
        <v>até R$20</v>
      </c>
      <c r="Y2128" s="17">
        <v>6</v>
      </c>
      <c r="Z2128" s="17">
        <v>4</v>
      </c>
      <c r="AA2128" s="17">
        <v>1</v>
      </c>
      <c r="AB2128" s="17">
        <v>9</v>
      </c>
      <c r="AC2128" s="17">
        <v>1</v>
      </c>
      <c r="AD2128" s="17">
        <v>1</v>
      </c>
      <c r="AE2128" s="17">
        <v>1</v>
      </c>
      <c r="AF2128" s="17">
        <v>2</v>
      </c>
      <c r="AG2128" s="17">
        <v>7</v>
      </c>
      <c r="AH2128" s="17">
        <v>0</v>
      </c>
      <c r="AI2128" s="17">
        <v>0</v>
      </c>
      <c r="AJ2128" s="17">
        <v>0</v>
      </c>
      <c r="AK2128" s="17">
        <v>0</v>
      </c>
      <c r="AL2128" s="17">
        <v>0</v>
      </c>
      <c r="AM2128" s="17">
        <v>0</v>
      </c>
      <c r="AN2128" s="17">
        <v>0</v>
      </c>
      <c r="AO2128" s="18">
        <v>0</v>
      </c>
      <c r="AP2128" s="17">
        <v>3</v>
      </c>
      <c r="AQ2128" s="17">
        <v>11</v>
      </c>
      <c r="AR2128" s="19">
        <v>7</v>
      </c>
      <c r="AS2128" s="19">
        <v>16</v>
      </c>
    </row>
    <row r="2129" spans="1:45" x14ac:dyDescent="0.25">
      <c r="A2129">
        <v>797</v>
      </c>
      <c r="B2129" s="11">
        <f t="shared" si="33"/>
        <v>30772</v>
      </c>
      <c r="C2129" s="16">
        <v>307720</v>
      </c>
      <c r="D2129" s="17">
        <v>1</v>
      </c>
      <c r="E2129" s="17">
        <v>1</v>
      </c>
      <c r="F2129" s="17">
        <v>89</v>
      </c>
      <c r="G2129" s="17">
        <v>44</v>
      </c>
      <c r="H2129" s="13" t="str" cm="1">
        <f t="array" ref="H2129">_xlfn.IFS(G2129&lt;=20,"0-20",G2129&lt;=30,"20-30",G2129&lt;=40,"30-40",G2129&lt;=50,"50-60",G2129&lt;=60,"60-70",G2129&lt;=70,"70-80",G2129&lt;=80,"80-90")</f>
        <v>50-60</v>
      </c>
      <c r="I2129" s="17">
        <v>2268</v>
      </c>
      <c r="J2129" s="13" t="str" cm="1">
        <f t="array" ref="J2129">_xlfn.IFS(K2129=1,"Divorciado",L2129=1,"Casado",M2129=1,"Solteiro",N2129=1,"Juntos",O2129=1,"Viuvo")</f>
        <v>Casado</v>
      </c>
      <c r="K2129" s="17">
        <v>0</v>
      </c>
      <c r="L2129" s="17">
        <v>1</v>
      </c>
      <c r="M2129" s="17">
        <v>0</v>
      </c>
      <c r="N2129" s="17">
        <v>0</v>
      </c>
      <c r="O2129" s="17">
        <v>0</v>
      </c>
      <c r="P2129" s="17">
        <v>0</v>
      </c>
      <c r="Q2129" s="17">
        <v>0</v>
      </c>
      <c r="R2129" s="17">
        <v>1</v>
      </c>
      <c r="S2129" s="17">
        <v>0</v>
      </c>
      <c r="T2129" s="17">
        <v>0</v>
      </c>
      <c r="U2129" s="17">
        <v>7</v>
      </c>
      <c r="V2129" s="13" t="str" cm="1">
        <f t="array" ref="V2129">_xlfn.IFS(U2129&lt;=250,"0-R$250",U2129&lt;=500,"251-R$500",U2129&lt;=750,"501-R$750",U2129&lt;=1000,"751-R$1000",U2129&lt;=1250,"1001-R$1250",U2129&lt;=1500,"1251-R$1500")</f>
        <v>0-R$250</v>
      </c>
      <c r="W2129" s="17">
        <v>2</v>
      </c>
      <c r="X2129" s="13" t="str" cm="1">
        <f t="array" ref="X2129">_xlfn.IFS(W2129 = 0, "0", W2129&lt;=20, "até R$20",W2129&lt;=40, "21 - R$40",W2129&lt;=60, "41- R$60",W2129&lt;=80, "61 - R$80", W2129&lt;=100, "81 - R$100",W2129&lt;=120, "101 - R$120",W2129&lt;=140, "121 - R$140", W2129&lt;=160, "141- R$160", W2129&lt;=180, "161 - R$180", W2129&lt;=200, "181-R$194")</f>
        <v>até R$20</v>
      </c>
      <c r="Y2129" s="17">
        <v>4</v>
      </c>
      <c r="Z2129" s="17">
        <v>2</v>
      </c>
      <c r="AA2129" s="17">
        <v>1</v>
      </c>
      <c r="AB2129" s="17">
        <v>4</v>
      </c>
      <c r="AC2129" s="17">
        <v>1</v>
      </c>
      <c r="AD2129" s="17">
        <v>1</v>
      </c>
      <c r="AE2129" s="17">
        <v>0</v>
      </c>
      <c r="AF2129" s="17">
        <v>2</v>
      </c>
      <c r="AG2129" s="17">
        <v>6</v>
      </c>
      <c r="AH2129" s="17">
        <v>0</v>
      </c>
      <c r="AI2129" s="17">
        <v>0</v>
      </c>
      <c r="AJ2129" s="17">
        <v>0</v>
      </c>
      <c r="AK2129" s="17">
        <v>0</v>
      </c>
      <c r="AL2129" s="17">
        <v>0</v>
      </c>
      <c r="AM2129" s="17">
        <v>0</v>
      </c>
      <c r="AN2129" s="17">
        <v>0</v>
      </c>
      <c r="AO2129" s="18">
        <v>0</v>
      </c>
      <c r="AP2129" s="17">
        <v>3</v>
      </c>
      <c r="AQ2129" s="17">
        <v>11</v>
      </c>
      <c r="AR2129" s="19">
        <v>12</v>
      </c>
      <c r="AS2129" s="19">
        <v>16</v>
      </c>
    </row>
    <row r="2130" spans="1:45" x14ac:dyDescent="0.25">
      <c r="A2130">
        <v>949</v>
      </c>
      <c r="B2130" s="11">
        <f t="shared" si="33"/>
        <v>34596</v>
      </c>
      <c r="C2130" s="16">
        <v>345960</v>
      </c>
      <c r="D2130" s="17">
        <v>1</v>
      </c>
      <c r="E2130" s="17">
        <v>0</v>
      </c>
      <c r="F2130" s="17">
        <v>48</v>
      </c>
      <c r="G2130" s="17">
        <v>46</v>
      </c>
      <c r="H2130" s="13" t="str" cm="1">
        <f t="array" ref="H2130">_xlfn.IFS(G2130&lt;=20,"0-20",G2130&lt;=30,"20-30",G2130&lt;=40,"30-40",G2130&lt;=50,"50-60",G2130&lt;=60,"60-70",G2130&lt;=70,"70-80",G2130&lt;=80,"80-90")</f>
        <v>50-60</v>
      </c>
      <c r="I2130" s="17">
        <v>2601</v>
      </c>
      <c r="J2130" s="13" t="str" cm="1">
        <f t="array" ref="J2130">_xlfn.IFS(K2130=1,"Divorciado",L2130=1,"Casado",M2130=1,"Solteiro",N2130=1,"Juntos",O2130=1,"Viuvo")</f>
        <v>Casado</v>
      </c>
      <c r="K2130" s="17">
        <v>0</v>
      </c>
      <c r="L2130" s="17">
        <v>1</v>
      </c>
      <c r="M2130" s="17">
        <v>0</v>
      </c>
      <c r="N2130" s="17">
        <v>0</v>
      </c>
      <c r="O2130" s="17">
        <v>0</v>
      </c>
      <c r="P2130" s="17">
        <v>0</v>
      </c>
      <c r="Q2130" s="17">
        <v>0</v>
      </c>
      <c r="R2130" s="17">
        <v>0</v>
      </c>
      <c r="S2130" s="17">
        <v>0</v>
      </c>
      <c r="T2130" s="17">
        <v>1</v>
      </c>
      <c r="U2130" s="17">
        <v>14</v>
      </c>
      <c r="V2130" s="13" t="str" cm="1">
        <f t="array" ref="V2130">_xlfn.IFS(U2130&lt;=250,"0-R$250",U2130&lt;=500,"251-R$500",U2130&lt;=750,"501-R$750",U2130&lt;=1000,"751-R$1000",U2130&lt;=1250,"1001-R$1250",U2130&lt;=1500,"1251-R$1500")</f>
        <v>0-R$250</v>
      </c>
      <c r="W2130" s="17">
        <v>0</v>
      </c>
      <c r="X2130" s="13" t="str" cm="1">
        <f t="array" ref="X2130">_xlfn.IFS(W2130 = 0, "0", W2130&lt;=20, "até R$20",W2130&lt;=40, "21 - R$40",W2130&lt;=60, "41- R$60",W2130&lt;=80, "61 - R$80", W2130&lt;=100, "81 - R$100",W2130&lt;=120, "101 - R$120",W2130&lt;=140, "121 - R$140", W2130&lt;=160, "141- R$160", W2130&lt;=180, "161 - R$180", W2130&lt;=200, "181-R$194")</f>
        <v>0</v>
      </c>
      <c r="Y2130" s="17">
        <v>2</v>
      </c>
      <c r="Z2130" s="17">
        <v>0</v>
      </c>
      <c r="AA2130" s="17">
        <v>0</v>
      </c>
      <c r="AB2130" s="17">
        <v>7</v>
      </c>
      <c r="AC2130" s="17">
        <v>1</v>
      </c>
      <c r="AD2130" s="17">
        <v>1</v>
      </c>
      <c r="AE2130" s="17">
        <v>0</v>
      </c>
      <c r="AF2130" s="17">
        <v>2</v>
      </c>
      <c r="AG2130" s="17">
        <v>8</v>
      </c>
      <c r="AH2130" s="17">
        <v>0</v>
      </c>
      <c r="AI2130" s="17">
        <v>0</v>
      </c>
      <c r="AJ2130" s="17">
        <v>0</v>
      </c>
      <c r="AK2130" s="17">
        <v>0</v>
      </c>
      <c r="AL2130" s="17">
        <v>0</v>
      </c>
      <c r="AM2130" s="17">
        <v>0</v>
      </c>
      <c r="AN2130" s="17">
        <v>1</v>
      </c>
      <c r="AO2130" s="18">
        <v>0</v>
      </c>
      <c r="AP2130" s="17">
        <v>3</v>
      </c>
      <c r="AQ2130" s="17">
        <v>11</v>
      </c>
      <c r="AR2130" s="19">
        <v>9</v>
      </c>
      <c r="AS2130" s="19">
        <v>16</v>
      </c>
    </row>
    <row r="2131" spans="1:45" x14ac:dyDescent="0.25">
      <c r="A2131">
        <v>961</v>
      </c>
      <c r="B2131" s="11">
        <f t="shared" si="33"/>
        <v>46779</v>
      </c>
      <c r="C2131" s="16">
        <v>467790</v>
      </c>
      <c r="D2131" s="17">
        <v>1</v>
      </c>
      <c r="E2131" s="17">
        <v>1</v>
      </c>
      <c r="F2131" s="17">
        <v>55</v>
      </c>
      <c r="G2131" s="17">
        <v>60</v>
      </c>
      <c r="H2131" s="13" t="str" cm="1">
        <f t="array" ref="H2131">_xlfn.IFS(G2131&lt;=20,"0-20",G2131&lt;=30,"20-30",G2131&lt;=40,"30-40",G2131&lt;=50,"50-60",G2131&lt;=60,"60-70",G2131&lt;=70,"70-80",G2131&lt;=80,"80-90")</f>
        <v>60-70</v>
      </c>
      <c r="I2131" s="17">
        <v>2511</v>
      </c>
      <c r="J2131" s="13" t="str" cm="1">
        <f t="array" ref="J2131">_xlfn.IFS(K2131=1,"Divorciado",L2131=1,"Casado",M2131=1,"Solteiro",N2131=1,"Juntos",O2131=1,"Viuvo")</f>
        <v>Viuvo</v>
      </c>
      <c r="K2131" s="17">
        <v>0</v>
      </c>
      <c r="L2131" s="17">
        <v>0</v>
      </c>
      <c r="M2131" s="17">
        <v>0</v>
      </c>
      <c r="N2131" s="17">
        <v>0</v>
      </c>
      <c r="O2131" s="17">
        <v>1</v>
      </c>
      <c r="P2131" s="17">
        <v>1</v>
      </c>
      <c r="Q2131" s="17">
        <v>0</v>
      </c>
      <c r="R2131" s="17">
        <v>0</v>
      </c>
      <c r="S2131" s="17">
        <v>0</v>
      </c>
      <c r="T2131" s="17">
        <v>0</v>
      </c>
      <c r="U2131" s="17">
        <v>12</v>
      </c>
      <c r="V2131" s="13" t="str" cm="1">
        <f t="array" ref="V2131">_xlfn.IFS(U2131&lt;=250,"0-R$250",U2131&lt;=500,"251-R$500",U2131&lt;=750,"501-R$750",U2131&lt;=1000,"751-R$1000",U2131&lt;=1250,"1001-R$1250",U2131&lt;=1500,"1251-R$1500")</f>
        <v>0-R$250</v>
      </c>
      <c r="W2131" s="17">
        <v>1</v>
      </c>
      <c r="X2131" s="13" t="str" cm="1">
        <f t="array" ref="X2131">_xlfn.IFS(W2131 = 0, "0", W2131&lt;=20, "até R$20",W2131&lt;=40, "21 - R$40",W2131&lt;=60, "41- R$60",W2131&lt;=80, "61 - R$80", W2131&lt;=100, "81 - R$100",W2131&lt;=120, "101 - R$120",W2131&lt;=140, "121 - R$140", W2131&lt;=160, "141- R$160", W2131&lt;=180, "161 - R$180", W2131&lt;=200, "181-R$194")</f>
        <v>até R$20</v>
      </c>
      <c r="Y2131" s="17">
        <v>3</v>
      </c>
      <c r="Z2131" s="17">
        <v>0</v>
      </c>
      <c r="AA2131" s="17">
        <v>0</v>
      </c>
      <c r="AB2131" s="17">
        <v>7</v>
      </c>
      <c r="AC2131" s="17">
        <v>1</v>
      </c>
      <c r="AD2131" s="17">
        <v>0</v>
      </c>
      <c r="AE2131" s="17">
        <v>1</v>
      </c>
      <c r="AF2131" s="17">
        <v>2</v>
      </c>
      <c r="AG2131" s="17">
        <v>4</v>
      </c>
      <c r="AH2131" s="17">
        <v>0</v>
      </c>
      <c r="AI2131" s="17">
        <v>0</v>
      </c>
      <c r="AJ2131" s="17">
        <v>0</v>
      </c>
      <c r="AK2131" s="17">
        <v>0</v>
      </c>
      <c r="AL2131" s="17">
        <v>0</v>
      </c>
      <c r="AM2131" s="17">
        <v>0</v>
      </c>
      <c r="AN2131" s="17">
        <v>0</v>
      </c>
      <c r="AO2131" s="18">
        <v>0</v>
      </c>
      <c r="AP2131" s="17">
        <v>3</v>
      </c>
      <c r="AQ2131" s="17">
        <v>11</v>
      </c>
      <c r="AR2131" s="19">
        <v>9</v>
      </c>
      <c r="AS2131" s="19">
        <v>16</v>
      </c>
    </row>
    <row r="2132" spans="1:45" x14ac:dyDescent="0.25">
      <c r="A2132">
        <v>972</v>
      </c>
      <c r="B2132" s="11">
        <f t="shared" si="33"/>
        <v>24884</v>
      </c>
      <c r="C2132" s="12">
        <v>248840</v>
      </c>
      <c r="D2132" s="13">
        <v>1</v>
      </c>
      <c r="E2132" s="13">
        <v>0</v>
      </c>
      <c r="F2132" s="13">
        <v>32</v>
      </c>
      <c r="G2132" s="13">
        <v>48</v>
      </c>
      <c r="H2132" s="13" t="str" cm="1">
        <f t="array" ref="H2132">_xlfn.IFS(G2132&lt;=20,"0-20",G2132&lt;=30,"20-30",G2132&lt;=40,"30-40",G2132&lt;=50,"50-60",G2132&lt;=60,"60-70",G2132&lt;=70,"70-80",G2132&lt;=80,"80-90")</f>
        <v>50-60</v>
      </c>
      <c r="I2132" s="13">
        <v>2736</v>
      </c>
      <c r="J2132" s="13" t="str" cm="1">
        <f t="array" ref="J2132">_xlfn.IFS(K2132=1,"Divorciado",L2132=1,"Casado",M2132=1,"Solteiro",N2132=1,"Juntos",O2132=1,"Viuvo")</f>
        <v>Casado</v>
      </c>
      <c r="K2132" s="13">
        <v>0</v>
      </c>
      <c r="L2132" s="13">
        <v>1</v>
      </c>
      <c r="M2132" s="13">
        <v>0</v>
      </c>
      <c r="N2132" s="13">
        <v>0</v>
      </c>
      <c r="O2132" s="13">
        <v>0</v>
      </c>
      <c r="P2132" s="13">
        <v>1</v>
      </c>
      <c r="Q2132" s="13">
        <v>0</v>
      </c>
      <c r="R2132" s="13">
        <v>0</v>
      </c>
      <c r="S2132" s="13">
        <v>0</v>
      </c>
      <c r="T2132" s="13">
        <v>0</v>
      </c>
      <c r="U2132" s="13">
        <v>3</v>
      </c>
      <c r="V2132" s="13" t="str" cm="1">
        <f t="array" ref="V2132">_xlfn.IFS(U2132&lt;=250,"0-R$250",U2132&lt;=500,"251-R$500",U2132&lt;=750,"501-R$750",U2132&lt;=1000,"751-R$1000",U2132&lt;=1250,"1001-R$1250",U2132&lt;=1500,"1251-R$1500")</f>
        <v>0-R$250</v>
      </c>
      <c r="W2132" s="13">
        <v>6</v>
      </c>
      <c r="X2132" s="13" t="str" cm="1">
        <f t="array" ref="X2132">_xlfn.IFS(W2132 = 0, "0", W2132&lt;=20, "até R$20",W2132&lt;=40, "21 - R$40",W2132&lt;=60, "41- R$60",W2132&lt;=80, "61 - R$80", W2132&lt;=100, "81 - R$100",W2132&lt;=120, "101 - R$120",W2132&lt;=140, "121 - R$140", W2132&lt;=160, "141- R$160", W2132&lt;=180, "161 - R$180", W2132&lt;=200, "181-R$194")</f>
        <v>até R$20</v>
      </c>
      <c r="Y2132" s="13">
        <v>7</v>
      </c>
      <c r="Z2132" s="13">
        <v>0</v>
      </c>
      <c r="AA2132" s="13">
        <v>0</v>
      </c>
      <c r="AB2132" s="13">
        <v>3</v>
      </c>
      <c r="AC2132" s="13">
        <v>1</v>
      </c>
      <c r="AD2132" s="13">
        <v>0</v>
      </c>
      <c r="AE2132" s="13">
        <v>0</v>
      </c>
      <c r="AF2132" s="13">
        <v>3</v>
      </c>
      <c r="AG2132" s="13">
        <v>7</v>
      </c>
      <c r="AH2132" s="13">
        <v>0</v>
      </c>
      <c r="AI2132" s="13">
        <v>0</v>
      </c>
      <c r="AJ2132" s="13">
        <v>0</v>
      </c>
      <c r="AK2132" s="13">
        <v>0</v>
      </c>
      <c r="AL2132" s="13">
        <v>0</v>
      </c>
      <c r="AM2132" s="13">
        <v>0</v>
      </c>
      <c r="AN2132" s="13">
        <v>0</v>
      </c>
      <c r="AO2132" s="14">
        <v>0</v>
      </c>
      <c r="AP2132" s="13">
        <v>3</v>
      </c>
      <c r="AQ2132" s="13">
        <v>11</v>
      </c>
      <c r="AR2132" s="15">
        <v>13</v>
      </c>
      <c r="AS2132" s="15">
        <v>16</v>
      </c>
    </row>
    <row r="2133" spans="1:45" x14ac:dyDescent="0.25">
      <c r="A2133">
        <v>1049</v>
      </c>
      <c r="B2133" s="11">
        <f t="shared" si="33"/>
        <v>22304</v>
      </c>
      <c r="C2133" s="16">
        <v>223040</v>
      </c>
      <c r="D2133" s="17">
        <v>0</v>
      </c>
      <c r="E2133" s="17">
        <v>0</v>
      </c>
      <c r="F2133" s="17">
        <v>91</v>
      </c>
      <c r="G2133" s="17">
        <v>64</v>
      </c>
      <c r="H2133" s="13" t="str" cm="1">
        <f t="array" ref="H2133">_xlfn.IFS(G2133&lt;=20,"0-20",G2133&lt;=30,"20-30",G2133&lt;=40,"30-40",G2133&lt;=50,"50-60",G2133&lt;=60,"60-70",G2133&lt;=70,"70-80",G2133&lt;=80,"80-90")</f>
        <v>70-80</v>
      </c>
      <c r="I2133" s="17">
        <v>2853</v>
      </c>
      <c r="J2133" s="13" t="str" cm="1">
        <f t="array" ref="J2133">_xlfn.IFS(K2133=1,"Divorciado",L2133=1,"Casado",M2133=1,"Solteiro",N2133=1,"Juntos",O2133=1,"Viuvo")</f>
        <v>Divorciado</v>
      </c>
      <c r="K2133" s="17">
        <v>1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0</v>
      </c>
      <c r="R2133" s="17">
        <v>1</v>
      </c>
      <c r="S2133" s="17">
        <v>0</v>
      </c>
      <c r="T2133" s="17">
        <v>0</v>
      </c>
      <c r="U2133" s="17">
        <v>3</v>
      </c>
      <c r="V2133" s="13" t="str" cm="1">
        <f t="array" ref="V2133">_xlfn.IFS(U2133&lt;=250,"0-R$250",U2133&lt;=500,"251-R$500",U2133&lt;=750,"501-R$750",U2133&lt;=1000,"751-R$1000",U2133&lt;=1250,"1001-R$1250",U2133&lt;=1500,"1251-R$1500")</f>
        <v>0-R$250</v>
      </c>
      <c r="W2133" s="17">
        <v>2</v>
      </c>
      <c r="X2133" s="13" t="str" cm="1">
        <f t="array" ref="X2133">_xlfn.IFS(W2133 = 0, "0", W2133&lt;=20, "até R$20",W2133&lt;=40, "21 - R$40",W2133&lt;=60, "41- R$60",W2133&lt;=80, "61 - R$80", W2133&lt;=100, "81 - R$100",W2133&lt;=120, "101 - R$120",W2133&lt;=140, "121 - R$140", W2133&lt;=160, "141- R$160", W2133&lt;=180, "161 - R$180", W2133&lt;=200, "181-R$194")</f>
        <v>até R$20</v>
      </c>
      <c r="Y2133" s="17">
        <v>7</v>
      </c>
      <c r="Z2133" s="17">
        <v>0</v>
      </c>
      <c r="AA2133" s="17">
        <v>4</v>
      </c>
      <c r="AB2133" s="17">
        <v>2</v>
      </c>
      <c r="AC2133" s="17">
        <v>1</v>
      </c>
      <c r="AD2133" s="17">
        <v>1</v>
      </c>
      <c r="AE2133" s="17">
        <v>0</v>
      </c>
      <c r="AF2133" s="17">
        <v>2</v>
      </c>
      <c r="AG2133" s="17">
        <v>8</v>
      </c>
      <c r="AH2133" s="17">
        <v>0</v>
      </c>
      <c r="AI2133" s="17">
        <v>0</v>
      </c>
      <c r="AJ2133" s="17">
        <v>0</v>
      </c>
      <c r="AK2133" s="17">
        <v>0</v>
      </c>
      <c r="AL2133" s="17">
        <v>0</v>
      </c>
      <c r="AM2133" s="17">
        <v>0</v>
      </c>
      <c r="AN2133" s="17">
        <v>0</v>
      </c>
      <c r="AO2133" s="18">
        <v>0</v>
      </c>
      <c r="AP2133" s="17">
        <v>3</v>
      </c>
      <c r="AQ2133" s="17">
        <v>11</v>
      </c>
      <c r="AR2133" s="19">
        <v>14</v>
      </c>
      <c r="AS2133" s="19">
        <v>16</v>
      </c>
    </row>
    <row r="2134" spans="1:45" x14ac:dyDescent="0.25">
      <c r="A2134">
        <v>1093</v>
      </c>
      <c r="B2134" s="11">
        <f t="shared" si="33"/>
        <v>54466</v>
      </c>
      <c r="C2134" s="16">
        <v>544660</v>
      </c>
      <c r="D2134" s="17">
        <v>1</v>
      </c>
      <c r="E2134" s="17">
        <v>1</v>
      </c>
      <c r="F2134" s="17">
        <v>78</v>
      </c>
      <c r="G2134" s="17">
        <v>47</v>
      </c>
      <c r="H2134" s="13" t="str" cm="1">
        <f t="array" ref="H2134">_xlfn.IFS(G2134&lt;=20,"0-20",G2134&lt;=30,"20-30",G2134&lt;=40,"30-40",G2134&lt;=50,"50-60",G2134&lt;=60,"60-70",G2134&lt;=70,"70-80",G2134&lt;=80,"80-90")</f>
        <v>50-60</v>
      </c>
      <c r="I2134" s="17">
        <v>2299</v>
      </c>
      <c r="J2134" s="13" t="str" cm="1">
        <f t="array" ref="J2134">_xlfn.IFS(K2134=1,"Divorciado",L2134=1,"Casado",M2134=1,"Solteiro",N2134=1,"Juntos",O2134=1,"Viuvo")</f>
        <v>Solteiro</v>
      </c>
      <c r="K2134" s="17">
        <v>0</v>
      </c>
      <c r="L2134" s="17">
        <v>0</v>
      </c>
      <c r="M2134" s="17">
        <v>1</v>
      </c>
      <c r="N2134" s="17">
        <v>0</v>
      </c>
      <c r="O2134" s="17">
        <v>0</v>
      </c>
      <c r="P2134" s="17">
        <v>0</v>
      </c>
      <c r="Q2134" s="17">
        <v>0</v>
      </c>
      <c r="R2134" s="17">
        <v>0</v>
      </c>
      <c r="S2134" s="17">
        <v>0</v>
      </c>
      <c r="T2134" s="17">
        <v>1</v>
      </c>
      <c r="U2134" s="17">
        <v>12</v>
      </c>
      <c r="V2134" s="13" t="str" cm="1">
        <f t="array" ref="V2134">_xlfn.IFS(U2134&lt;=250,"0-R$250",U2134&lt;=500,"251-R$500",U2134&lt;=750,"501-R$750",U2134&lt;=1000,"751-R$1000",U2134&lt;=1250,"1001-R$1250",U2134&lt;=1500,"1251-R$1500")</f>
        <v>0-R$250</v>
      </c>
      <c r="W2134" s="17">
        <v>0</v>
      </c>
      <c r="X2134" s="13" t="str" cm="1">
        <f t="array" ref="X2134">_xlfn.IFS(W2134 = 0, "0", W2134&lt;=20, "até R$20",W2134&lt;=40, "21 - R$40",W2134&lt;=60, "41- R$60",W2134&lt;=80, "61 - R$80", W2134&lt;=100, "81 - R$100",W2134&lt;=120, "101 - R$120",W2134&lt;=140, "121 - R$140", W2134&lt;=160, "141- R$160", W2134&lt;=180, "161 - R$180", W2134&lt;=200, "181-R$194")</f>
        <v>0</v>
      </c>
      <c r="Y2134" s="17">
        <v>4</v>
      </c>
      <c r="Z2134" s="17">
        <v>0</v>
      </c>
      <c r="AA2134" s="17">
        <v>0</v>
      </c>
      <c r="AB2134" s="17">
        <v>0</v>
      </c>
      <c r="AC2134" s="17">
        <v>1</v>
      </c>
      <c r="AD2134" s="17">
        <v>1</v>
      </c>
      <c r="AE2134" s="17">
        <v>0</v>
      </c>
      <c r="AF2134" s="17">
        <v>2</v>
      </c>
      <c r="AG2134" s="17">
        <v>5</v>
      </c>
      <c r="AH2134" s="17">
        <v>0</v>
      </c>
      <c r="AI2134" s="17">
        <v>0</v>
      </c>
      <c r="AJ2134" s="17">
        <v>0</v>
      </c>
      <c r="AK2134" s="17">
        <v>0</v>
      </c>
      <c r="AL2134" s="17">
        <v>0</v>
      </c>
      <c r="AM2134" s="17">
        <v>0</v>
      </c>
      <c r="AN2134" s="17">
        <v>0</v>
      </c>
      <c r="AO2134" s="18">
        <v>0</v>
      </c>
      <c r="AP2134" s="17">
        <v>3</v>
      </c>
      <c r="AQ2134" s="17">
        <v>11</v>
      </c>
      <c r="AR2134" s="19">
        <v>16</v>
      </c>
      <c r="AS2134" s="19">
        <v>16</v>
      </c>
    </row>
    <row r="2135" spans="1:45" x14ac:dyDescent="0.25">
      <c r="A2135">
        <v>1157</v>
      </c>
      <c r="B2135" s="11">
        <f t="shared" si="33"/>
        <v>33444</v>
      </c>
      <c r="C2135" s="16">
        <v>334440</v>
      </c>
      <c r="D2135" s="17">
        <v>1</v>
      </c>
      <c r="E2135" s="17">
        <v>1</v>
      </c>
      <c r="F2135" s="17">
        <v>24</v>
      </c>
      <c r="G2135" s="17">
        <v>68</v>
      </c>
      <c r="H2135" s="13" t="str" cm="1">
        <f t="array" ref="H2135">_xlfn.IFS(G2135&lt;=20,"0-20",G2135&lt;=30,"20-30",G2135&lt;=40,"30-40",G2135&lt;=50,"50-60",G2135&lt;=60,"60-70",G2135&lt;=70,"70-80",G2135&lt;=80,"80-90")</f>
        <v>70-80</v>
      </c>
      <c r="I2135" s="17">
        <v>2762</v>
      </c>
      <c r="J2135" s="13" t="str" cm="1">
        <f t="array" ref="J2135">_xlfn.IFS(K2135=1,"Divorciado",L2135=1,"Casado",M2135=1,"Solteiro",N2135=1,"Juntos",O2135=1,"Viuvo")</f>
        <v>Casado</v>
      </c>
      <c r="K2135" s="17">
        <v>0</v>
      </c>
      <c r="L2135" s="17">
        <v>1</v>
      </c>
      <c r="M2135" s="17">
        <v>0</v>
      </c>
      <c r="N2135" s="17">
        <v>0</v>
      </c>
      <c r="O2135" s="17">
        <v>0</v>
      </c>
      <c r="P2135" s="17">
        <v>0</v>
      </c>
      <c r="Q2135" s="17">
        <v>0</v>
      </c>
      <c r="R2135" s="17">
        <v>0</v>
      </c>
      <c r="S2135" s="17">
        <v>1</v>
      </c>
      <c r="T2135" s="17">
        <v>0</v>
      </c>
      <c r="U2135" s="17">
        <v>8</v>
      </c>
      <c r="V2135" s="13" t="str" cm="1">
        <f t="array" ref="V2135">_xlfn.IFS(U2135&lt;=250,"0-R$250",U2135&lt;=500,"251-R$500",U2135&lt;=750,"501-R$750",U2135&lt;=1000,"751-R$1000",U2135&lt;=1250,"1001-R$1250",U2135&lt;=1500,"1251-R$1500")</f>
        <v>0-R$250</v>
      </c>
      <c r="W2135" s="17">
        <v>0</v>
      </c>
      <c r="X2135" s="13" t="str" cm="1">
        <f t="array" ref="X2135">_xlfn.IFS(W2135 = 0, "0", W2135&lt;=20, "até R$20",W2135&lt;=40, "21 - R$40",W2135&lt;=60, "41- R$60",W2135&lt;=80, "61 - R$80", W2135&lt;=100, "81 - R$100",W2135&lt;=120, "101 - R$120",W2135&lt;=140, "121 - R$140", W2135&lt;=160, "141- R$160", W2135&lt;=180, "161 - R$180", W2135&lt;=200, "181-R$194")</f>
        <v>0</v>
      </c>
      <c r="Y2135" s="17">
        <v>8</v>
      </c>
      <c r="Z2135" s="17">
        <v>0</v>
      </c>
      <c r="AA2135" s="17">
        <v>0</v>
      </c>
      <c r="AB2135" s="17">
        <v>2</v>
      </c>
      <c r="AC2135" s="17">
        <v>1</v>
      </c>
      <c r="AD2135" s="17">
        <v>1</v>
      </c>
      <c r="AE2135" s="17">
        <v>0</v>
      </c>
      <c r="AF2135" s="17">
        <v>2</v>
      </c>
      <c r="AG2135" s="17">
        <v>8</v>
      </c>
      <c r="AH2135" s="17">
        <v>0</v>
      </c>
      <c r="AI2135" s="17">
        <v>0</v>
      </c>
      <c r="AJ2135" s="17">
        <v>0</v>
      </c>
      <c r="AK2135" s="17">
        <v>0</v>
      </c>
      <c r="AL2135" s="17">
        <v>0</v>
      </c>
      <c r="AM2135" s="17">
        <v>0</v>
      </c>
      <c r="AN2135" s="17">
        <v>0</v>
      </c>
      <c r="AO2135" s="18">
        <v>0</v>
      </c>
      <c r="AP2135" s="17">
        <v>3</v>
      </c>
      <c r="AQ2135" s="17">
        <v>11</v>
      </c>
      <c r="AR2135" s="19">
        <v>14</v>
      </c>
      <c r="AS2135" s="19">
        <v>16</v>
      </c>
    </row>
    <row r="2136" spans="1:45" x14ac:dyDescent="0.25">
      <c r="A2136">
        <v>1165</v>
      </c>
      <c r="B2136" s="11">
        <f t="shared" si="33"/>
        <v>26954</v>
      </c>
      <c r="C2136" s="16">
        <v>269540</v>
      </c>
      <c r="D2136" s="17">
        <v>1</v>
      </c>
      <c r="E2136" s="17">
        <v>0</v>
      </c>
      <c r="F2136" s="17">
        <v>17</v>
      </c>
      <c r="G2136" s="17">
        <v>49</v>
      </c>
      <c r="H2136" s="13" t="str" cm="1">
        <f t="array" ref="H2136">_xlfn.IFS(G2136&lt;=20,"0-20",G2136&lt;=30,"20-30",G2136&lt;=40,"30-40",G2136&lt;=50,"50-60",G2136&lt;=60,"60-70",G2136&lt;=70,"70-80",G2136&lt;=80,"80-90")</f>
        <v>50-60</v>
      </c>
      <c r="I2136" s="17">
        <v>2211</v>
      </c>
      <c r="J2136" s="13" t="str" cm="1">
        <f t="array" ref="J2136">_xlfn.IFS(K2136=1,"Divorciado",L2136=1,"Casado",M2136=1,"Solteiro",N2136=1,"Juntos",O2136=1,"Viuvo")</f>
        <v>Solteiro</v>
      </c>
      <c r="K2136" s="17">
        <v>0</v>
      </c>
      <c r="L2136" s="17">
        <v>0</v>
      </c>
      <c r="M2136" s="17">
        <v>1</v>
      </c>
      <c r="N2136" s="17">
        <v>0</v>
      </c>
      <c r="O2136" s="17">
        <v>0</v>
      </c>
      <c r="P2136" s="17">
        <v>0</v>
      </c>
      <c r="Q2136" s="17">
        <v>0</v>
      </c>
      <c r="R2136" s="17">
        <v>1</v>
      </c>
      <c r="S2136" s="17">
        <v>0</v>
      </c>
      <c r="T2136" s="17">
        <v>0</v>
      </c>
      <c r="U2136" s="17">
        <v>4</v>
      </c>
      <c r="V2136" s="13" t="str" cm="1">
        <f t="array" ref="V2136">_xlfn.IFS(U2136&lt;=250,"0-R$250",U2136&lt;=500,"251-R$500",U2136&lt;=750,"501-R$750",U2136&lt;=1000,"751-R$1000",U2136&lt;=1250,"1001-R$1250",U2136&lt;=1500,"1251-R$1500")</f>
        <v>0-R$250</v>
      </c>
      <c r="W2136" s="17">
        <v>1</v>
      </c>
      <c r="X2136" s="13" t="str" cm="1">
        <f t="array" ref="X2136">_xlfn.IFS(W2136 = 0, "0", W2136&lt;=20, "até R$20",W2136&lt;=40, "21 - R$40",W2136&lt;=60, "41- R$60",W2136&lt;=80, "61 - R$80", W2136&lt;=100, "81 - R$100",W2136&lt;=120, "101 - R$120",W2136&lt;=140, "121 - R$140", W2136&lt;=160, "141- R$160", W2136&lt;=180, "161 - R$180", W2136&lt;=200, "181-R$194")</f>
        <v>até R$20</v>
      </c>
      <c r="Y2136" s="17">
        <v>11</v>
      </c>
      <c r="Z2136" s="17">
        <v>0</v>
      </c>
      <c r="AA2136" s="17">
        <v>0</v>
      </c>
      <c r="AB2136" s="17">
        <v>1</v>
      </c>
      <c r="AC2136" s="17">
        <v>1</v>
      </c>
      <c r="AD2136" s="17">
        <v>1</v>
      </c>
      <c r="AE2136" s="17">
        <v>0</v>
      </c>
      <c r="AF2136" s="17">
        <v>2</v>
      </c>
      <c r="AG2136" s="17">
        <v>7</v>
      </c>
      <c r="AH2136" s="17">
        <v>0</v>
      </c>
      <c r="AI2136" s="17">
        <v>0</v>
      </c>
      <c r="AJ2136" s="17">
        <v>0</v>
      </c>
      <c r="AK2136" s="17">
        <v>0</v>
      </c>
      <c r="AL2136" s="17">
        <v>0</v>
      </c>
      <c r="AM2136" s="17">
        <v>0</v>
      </c>
      <c r="AN2136" s="17">
        <v>0</v>
      </c>
      <c r="AO2136" s="18">
        <v>0</v>
      </c>
      <c r="AP2136" s="17">
        <v>3</v>
      </c>
      <c r="AQ2136" s="17">
        <v>11</v>
      </c>
      <c r="AR2136" s="19">
        <v>15</v>
      </c>
      <c r="AS2136" s="19">
        <v>16</v>
      </c>
    </row>
    <row r="2137" spans="1:45" x14ac:dyDescent="0.25">
      <c r="A2137">
        <v>1202</v>
      </c>
      <c r="B2137" s="11">
        <f t="shared" si="33"/>
        <v>26228</v>
      </c>
      <c r="C2137" s="12">
        <v>262280</v>
      </c>
      <c r="D2137" s="13">
        <v>1</v>
      </c>
      <c r="E2137" s="13">
        <v>0</v>
      </c>
      <c r="F2137" s="13">
        <v>50</v>
      </c>
      <c r="G2137" s="13">
        <v>47</v>
      </c>
      <c r="H2137" s="13" t="str" cm="1">
        <f t="array" ref="H2137">_xlfn.IFS(G2137&lt;=20,"0-20",G2137&lt;=30,"20-30",G2137&lt;=40,"30-40",G2137&lt;=50,"50-60",G2137&lt;=60,"60-70",G2137&lt;=70,"70-80",G2137&lt;=80,"80-90")</f>
        <v>50-60</v>
      </c>
      <c r="I2137" s="13">
        <v>2439</v>
      </c>
      <c r="J2137" s="13" t="str" cm="1">
        <f t="array" ref="J2137">_xlfn.IFS(K2137=1,"Divorciado",L2137=1,"Casado",M2137=1,"Solteiro",N2137=1,"Juntos",O2137=1,"Viuvo")</f>
        <v>Casado</v>
      </c>
      <c r="K2137" s="13">
        <v>0</v>
      </c>
      <c r="L2137" s="13">
        <v>1</v>
      </c>
      <c r="M2137" s="13">
        <v>0</v>
      </c>
      <c r="N2137" s="13">
        <v>0</v>
      </c>
      <c r="O2137" s="13">
        <v>0</v>
      </c>
      <c r="P2137" s="13">
        <v>0</v>
      </c>
      <c r="Q2137" s="13">
        <v>0</v>
      </c>
      <c r="R2137" s="13">
        <v>1</v>
      </c>
      <c r="S2137" s="13">
        <v>0</v>
      </c>
      <c r="T2137" s="13">
        <v>0</v>
      </c>
      <c r="U2137" s="13">
        <v>2</v>
      </c>
      <c r="V2137" s="13" t="str" cm="1">
        <f t="array" ref="V2137">_xlfn.IFS(U2137&lt;=250,"0-R$250",U2137&lt;=500,"251-R$500",U2137&lt;=750,"501-R$750",U2137&lt;=1000,"751-R$1000",U2137&lt;=1250,"1001-R$1250",U2137&lt;=1500,"1251-R$1500")</f>
        <v>0-R$250</v>
      </c>
      <c r="W2137" s="13">
        <v>6</v>
      </c>
      <c r="X2137" s="13" t="str" cm="1">
        <f t="array" ref="X2137">_xlfn.IFS(W2137 = 0, "0", W2137&lt;=20, "até R$20",W2137&lt;=40, "21 - R$40",W2137&lt;=60, "41- R$60",W2137&lt;=80, "61 - R$80", W2137&lt;=100, "81 - R$100",W2137&lt;=120, "101 - R$120",W2137&lt;=140, "121 - R$140", W2137&lt;=160, "141- R$160", W2137&lt;=180, "161 - R$180", W2137&lt;=200, "181-R$194")</f>
        <v>até R$20</v>
      </c>
      <c r="Y2137" s="13">
        <v>4</v>
      </c>
      <c r="Z2137" s="13">
        <v>3</v>
      </c>
      <c r="AA2137" s="13">
        <v>1</v>
      </c>
      <c r="AB2137" s="13">
        <v>9</v>
      </c>
      <c r="AC2137" s="13">
        <v>1</v>
      </c>
      <c r="AD2137" s="13">
        <v>1</v>
      </c>
      <c r="AE2137" s="13">
        <v>0</v>
      </c>
      <c r="AF2137" s="13">
        <v>2</v>
      </c>
      <c r="AG2137" s="13">
        <v>8</v>
      </c>
      <c r="AH2137" s="13">
        <v>0</v>
      </c>
      <c r="AI2137" s="13">
        <v>0</v>
      </c>
      <c r="AJ2137" s="13">
        <v>0</v>
      </c>
      <c r="AK2137" s="13">
        <v>0</v>
      </c>
      <c r="AL2137" s="13">
        <v>0</v>
      </c>
      <c r="AM2137" s="13">
        <v>0</v>
      </c>
      <c r="AN2137" s="13">
        <v>0</v>
      </c>
      <c r="AO2137" s="14">
        <v>0</v>
      </c>
      <c r="AP2137" s="13">
        <v>3</v>
      </c>
      <c r="AQ2137" s="13">
        <v>11</v>
      </c>
      <c r="AR2137" s="15">
        <v>7</v>
      </c>
      <c r="AS2137" s="15">
        <v>16</v>
      </c>
    </row>
    <row r="2138" spans="1:45" x14ac:dyDescent="0.25">
      <c r="A2138">
        <v>1388</v>
      </c>
      <c r="B2138" s="11">
        <f t="shared" si="33"/>
        <v>43142</v>
      </c>
      <c r="C2138" s="12">
        <v>431420</v>
      </c>
      <c r="D2138" s="13">
        <v>1</v>
      </c>
      <c r="E2138" s="13">
        <v>1</v>
      </c>
      <c r="F2138" s="13">
        <v>84</v>
      </c>
      <c r="G2138" s="13">
        <v>51</v>
      </c>
      <c r="H2138" s="13" t="str" cm="1">
        <f t="array" ref="H2138">_xlfn.IFS(G2138&lt;=20,"0-20",G2138&lt;=30,"20-30",G2138&lt;=40,"30-40",G2138&lt;=50,"50-60",G2138&lt;=60,"60-70",G2138&lt;=70,"70-80",G2138&lt;=80,"80-90")</f>
        <v>60-70</v>
      </c>
      <c r="I2138" s="13">
        <v>2290</v>
      </c>
      <c r="J2138" s="13" t="str" cm="1">
        <f t="array" ref="J2138">_xlfn.IFS(K2138=1,"Divorciado",L2138=1,"Casado",M2138=1,"Solteiro",N2138=1,"Juntos",O2138=1,"Viuvo")</f>
        <v>Casado</v>
      </c>
      <c r="K2138" s="13">
        <v>0</v>
      </c>
      <c r="L2138" s="13">
        <v>1</v>
      </c>
      <c r="M2138" s="13">
        <v>0</v>
      </c>
      <c r="N2138" s="13">
        <v>0</v>
      </c>
      <c r="O2138" s="13">
        <v>0</v>
      </c>
      <c r="P2138" s="13">
        <v>0</v>
      </c>
      <c r="Q2138" s="13">
        <v>0</v>
      </c>
      <c r="R2138" s="13">
        <v>0</v>
      </c>
      <c r="S2138" s="13">
        <v>1</v>
      </c>
      <c r="T2138" s="13">
        <v>0</v>
      </c>
      <c r="U2138" s="13">
        <v>5</v>
      </c>
      <c r="V2138" s="13" t="str" cm="1">
        <f t="array" ref="V2138">_xlfn.IFS(U2138&lt;=250,"0-R$250",U2138&lt;=500,"251-R$500",U2138&lt;=750,"501-R$750",U2138&lt;=1000,"751-R$1000",U2138&lt;=1250,"1001-R$1250",U2138&lt;=1500,"1251-R$1500")</f>
        <v>0-R$250</v>
      </c>
      <c r="W2138" s="13">
        <v>1</v>
      </c>
      <c r="X2138" s="13" t="str" cm="1">
        <f t="array" ref="X2138">_xlfn.IFS(W2138 = 0, "0", W2138&lt;=20, "até R$20",W2138&lt;=40, "21 - R$40",W2138&lt;=60, "41- R$60",W2138&lt;=80, "61 - R$80", W2138&lt;=100, "81 - R$100",W2138&lt;=120, "101 - R$120",W2138&lt;=140, "121 - R$140", W2138&lt;=160, "141- R$160", W2138&lt;=180, "161 - R$180", W2138&lt;=200, "181-R$194")</f>
        <v>até R$20</v>
      </c>
      <c r="Y2138" s="13">
        <v>7</v>
      </c>
      <c r="Z2138" s="13">
        <v>2</v>
      </c>
      <c r="AA2138" s="13">
        <v>1</v>
      </c>
      <c r="AB2138" s="13">
        <v>4</v>
      </c>
      <c r="AC2138" s="13">
        <v>1</v>
      </c>
      <c r="AD2138" s="13">
        <v>1</v>
      </c>
      <c r="AE2138" s="13">
        <v>0</v>
      </c>
      <c r="AF2138" s="13">
        <v>2</v>
      </c>
      <c r="AG2138" s="13">
        <v>7</v>
      </c>
      <c r="AH2138" s="13">
        <v>0</v>
      </c>
      <c r="AI2138" s="13">
        <v>0</v>
      </c>
      <c r="AJ2138" s="13">
        <v>0</v>
      </c>
      <c r="AK2138" s="13">
        <v>0</v>
      </c>
      <c r="AL2138" s="13">
        <v>0</v>
      </c>
      <c r="AM2138" s="13">
        <v>0</v>
      </c>
      <c r="AN2138" s="13">
        <v>0</v>
      </c>
      <c r="AO2138" s="14">
        <v>0</v>
      </c>
      <c r="AP2138" s="13">
        <v>3</v>
      </c>
      <c r="AQ2138" s="13">
        <v>11</v>
      </c>
      <c r="AR2138" s="15">
        <v>12</v>
      </c>
      <c r="AS2138" s="15">
        <v>16</v>
      </c>
    </row>
    <row r="2139" spans="1:45" x14ac:dyDescent="0.25">
      <c r="A2139">
        <v>1402</v>
      </c>
      <c r="B2139" s="11">
        <f t="shared" si="33"/>
        <v>34596</v>
      </c>
      <c r="C2139" s="12">
        <v>345960</v>
      </c>
      <c r="D2139" s="13">
        <v>1</v>
      </c>
      <c r="E2139" s="13">
        <v>0</v>
      </c>
      <c r="F2139" s="13">
        <v>48</v>
      </c>
      <c r="G2139" s="13">
        <v>46</v>
      </c>
      <c r="H2139" s="13" t="str" cm="1">
        <f t="array" ref="H2139">_xlfn.IFS(G2139&lt;=20,"0-20",G2139&lt;=30,"20-30",G2139&lt;=40,"30-40",G2139&lt;=50,"50-60",G2139&lt;=60,"60-70",G2139&lt;=70,"70-80",G2139&lt;=80,"80-90")</f>
        <v>50-60</v>
      </c>
      <c r="I2139" s="13">
        <v>2601</v>
      </c>
      <c r="J2139" s="13" t="str" cm="1">
        <f t="array" ref="J2139">_xlfn.IFS(K2139=1,"Divorciado",L2139=1,"Casado",M2139=1,"Solteiro",N2139=1,"Juntos",O2139=1,"Viuvo")</f>
        <v>Casado</v>
      </c>
      <c r="K2139" s="13">
        <v>0</v>
      </c>
      <c r="L2139" s="13">
        <v>1</v>
      </c>
      <c r="M2139" s="13">
        <v>0</v>
      </c>
      <c r="N2139" s="13">
        <v>0</v>
      </c>
      <c r="O2139" s="13">
        <v>0</v>
      </c>
      <c r="P2139" s="13">
        <v>0</v>
      </c>
      <c r="Q2139" s="13">
        <v>0</v>
      </c>
      <c r="R2139" s="13">
        <v>0</v>
      </c>
      <c r="S2139" s="13">
        <v>0</v>
      </c>
      <c r="T2139" s="13">
        <v>1</v>
      </c>
      <c r="U2139" s="13">
        <v>14</v>
      </c>
      <c r="V2139" s="13" t="str" cm="1">
        <f t="array" ref="V2139">_xlfn.IFS(U2139&lt;=250,"0-R$250",U2139&lt;=500,"251-R$500",U2139&lt;=750,"501-R$750",U2139&lt;=1000,"751-R$1000",U2139&lt;=1250,"1001-R$1250",U2139&lt;=1500,"1251-R$1500")</f>
        <v>0-R$250</v>
      </c>
      <c r="W2139" s="13">
        <v>0</v>
      </c>
      <c r="X2139" s="13" t="str" cm="1">
        <f t="array" ref="X2139">_xlfn.IFS(W2139 = 0, "0", W2139&lt;=20, "até R$20",W2139&lt;=40, "21 - R$40",W2139&lt;=60, "41- R$60",W2139&lt;=80, "61 - R$80", W2139&lt;=100, "81 - R$100",W2139&lt;=120, "101 - R$120",W2139&lt;=140, "121 - R$140", W2139&lt;=160, "141- R$160", W2139&lt;=180, "161 - R$180", W2139&lt;=200, "181-R$194")</f>
        <v>0</v>
      </c>
      <c r="Y2139" s="13">
        <v>2</v>
      </c>
      <c r="Z2139" s="13">
        <v>0</v>
      </c>
      <c r="AA2139" s="13">
        <v>0</v>
      </c>
      <c r="AB2139" s="13">
        <v>7</v>
      </c>
      <c r="AC2139" s="13">
        <v>1</v>
      </c>
      <c r="AD2139" s="13">
        <v>1</v>
      </c>
      <c r="AE2139" s="13">
        <v>0</v>
      </c>
      <c r="AF2139" s="13">
        <v>2</v>
      </c>
      <c r="AG2139" s="13">
        <v>8</v>
      </c>
      <c r="AH2139" s="13">
        <v>0</v>
      </c>
      <c r="AI2139" s="13">
        <v>0</v>
      </c>
      <c r="AJ2139" s="13">
        <v>0</v>
      </c>
      <c r="AK2139" s="13">
        <v>0</v>
      </c>
      <c r="AL2139" s="13">
        <v>0</v>
      </c>
      <c r="AM2139" s="13">
        <v>0</v>
      </c>
      <c r="AN2139" s="13">
        <v>0</v>
      </c>
      <c r="AO2139" s="14">
        <v>0</v>
      </c>
      <c r="AP2139" s="13">
        <v>3</v>
      </c>
      <c r="AQ2139" s="13">
        <v>11</v>
      </c>
      <c r="AR2139" s="15">
        <v>9</v>
      </c>
      <c r="AS2139" s="15">
        <v>16</v>
      </c>
    </row>
    <row r="2140" spans="1:45" x14ac:dyDescent="0.25">
      <c r="A2140">
        <v>1978</v>
      </c>
      <c r="B2140" s="11">
        <f t="shared" si="33"/>
        <v>33279</v>
      </c>
      <c r="C2140" s="12">
        <v>332790</v>
      </c>
      <c r="D2140" s="13">
        <v>0</v>
      </c>
      <c r="E2140" s="13">
        <v>0</v>
      </c>
      <c r="F2140" s="13">
        <v>29</v>
      </c>
      <c r="G2140" s="13">
        <v>54</v>
      </c>
      <c r="H2140" s="13" t="str" cm="1">
        <f t="array" ref="H2140">_xlfn.IFS(G2140&lt;=20,"0-20",G2140&lt;=30,"20-30",G2140&lt;=40,"30-40",G2140&lt;=50,"50-60",G2140&lt;=60,"60-70",G2140&lt;=70,"70-80",G2140&lt;=80,"80-90")</f>
        <v>60-70</v>
      </c>
      <c r="I2140" s="13">
        <v>2176</v>
      </c>
      <c r="J2140" s="13" t="str" cm="1">
        <f t="array" ref="J2140">_xlfn.IFS(K2140=1,"Divorciado",L2140=1,"Casado",M2140=1,"Solteiro",N2140=1,"Juntos",O2140=1,"Viuvo")</f>
        <v>Solteiro</v>
      </c>
      <c r="K2140" s="13">
        <v>0</v>
      </c>
      <c r="L2140" s="13">
        <v>0</v>
      </c>
      <c r="M2140" s="13">
        <v>1</v>
      </c>
      <c r="N2140" s="13">
        <v>0</v>
      </c>
      <c r="O2140" s="13">
        <v>0</v>
      </c>
      <c r="P2140" s="13">
        <v>0</v>
      </c>
      <c r="Q2140" s="13">
        <v>0</v>
      </c>
      <c r="R2140" s="13">
        <v>1</v>
      </c>
      <c r="S2140" s="13">
        <v>0</v>
      </c>
      <c r="T2140" s="13">
        <v>0</v>
      </c>
      <c r="U2140" s="13">
        <v>10</v>
      </c>
      <c r="V2140" s="13" t="str" cm="1">
        <f t="array" ref="V2140">_xlfn.IFS(U2140&lt;=250,"0-R$250",U2140&lt;=500,"251-R$500",U2140&lt;=750,"501-R$750",U2140&lt;=1000,"751-R$1000",U2140&lt;=1250,"1001-R$1250",U2140&lt;=1500,"1251-R$1500")</f>
        <v>0-R$250</v>
      </c>
      <c r="W2140" s="13">
        <v>3</v>
      </c>
      <c r="X2140" s="13" t="str" cm="1">
        <f t="array" ref="X2140">_xlfn.IFS(W2140 = 0, "0", W2140&lt;=20, "até R$20",W2140&lt;=40, "21 - R$40",W2140&lt;=60, "41- R$60",W2140&lt;=80, "61 - R$80", W2140&lt;=100, "81 - R$100",W2140&lt;=120, "101 - R$120",W2140&lt;=140, "121 - R$140", W2140&lt;=160, "141- R$160", W2140&lt;=180, "161 - R$180", W2140&lt;=200, "181-R$194")</f>
        <v>até R$20</v>
      </c>
      <c r="Y2140" s="13">
        <v>3</v>
      </c>
      <c r="Z2140" s="13">
        <v>0</v>
      </c>
      <c r="AA2140" s="13">
        <v>0</v>
      </c>
      <c r="AB2140" s="13">
        <v>0</v>
      </c>
      <c r="AC2140" s="13">
        <v>1</v>
      </c>
      <c r="AD2140" s="13">
        <v>0</v>
      </c>
      <c r="AE2140" s="13">
        <v>0</v>
      </c>
      <c r="AF2140" s="13">
        <v>3</v>
      </c>
      <c r="AG2140" s="13">
        <v>3</v>
      </c>
      <c r="AH2140" s="13">
        <v>0</v>
      </c>
      <c r="AI2140" s="13">
        <v>0</v>
      </c>
      <c r="AJ2140" s="13">
        <v>0</v>
      </c>
      <c r="AK2140" s="13">
        <v>0</v>
      </c>
      <c r="AL2140" s="13">
        <v>0</v>
      </c>
      <c r="AM2140" s="13">
        <v>0</v>
      </c>
      <c r="AN2140" s="13">
        <v>0</v>
      </c>
      <c r="AO2140" s="14">
        <v>0</v>
      </c>
      <c r="AP2140" s="13">
        <v>3</v>
      </c>
      <c r="AQ2140" s="13">
        <v>11</v>
      </c>
      <c r="AR2140" s="15">
        <v>16</v>
      </c>
      <c r="AS2140" s="15">
        <v>16</v>
      </c>
    </row>
    <row r="2141" spans="1:45" x14ac:dyDescent="0.25">
      <c r="A2141">
        <v>1994</v>
      </c>
      <c r="B2141" s="11">
        <f t="shared" si="33"/>
        <v>30261</v>
      </c>
      <c r="C2141" s="12">
        <v>302610</v>
      </c>
      <c r="D2141" s="13">
        <v>1</v>
      </c>
      <c r="E2141" s="13">
        <v>2</v>
      </c>
      <c r="F2141" s="13">
        <v>75</v>
      </c>
      <c r="G2141" s="13">
        <v>48</v>
      </c>
      <c r="H2141" s="13" t="str" cm="1">
        <f t="array" ref="H2141">_xlfn.IFS(G2141&lt;=20,"0-20",G2141&lt;=30,"20-30",G2141&lt;=40,"30-40",G2141&lt;=50,"50-60",G2141&lt;=60,"60-70",G2141&lt;=70,"70-80",G2141&lt;=80,"80-90")</f>
        <v>50-60</v>
      </c>
      <c r="I2141" s="13">
        <v>2801</v>
      </c>
      <c r="J2141" s="13" t="str" cm="1">
        <f t="array" ref="J2141">_xlfn.IFS(K2141=1,"Divorciado",L2141=1,"Casado",M2141=1,"Solteiro",N2141=1,"Juntos",O2141=1,"Viuvo")</f>
        <v>Juntos</v>
      </c>
      <c r="K2141" s="13">
        <v>0</v>
      </c>
      <c r="L2141" s="13">
        <v>0</v>
      </c>
      <c r="M2141" s="13">
        <v>0</v>
      </c>
      <c r="N2141" s="13">
        <v>1</v>
      </c>
      <c r="O2141" s="13">
        <v>0</v>
      </c>
      <c r="P2141" s="13">
        <v>0</v>
      </c>
      <c r="Q2141" s="13">
        <v>0</v>
      </c>
      <c r="R2141" s="13">
        <v>1</v>
      </c>
      <c r="S2141" s="13">
        <v>0</v>
      </c>
      <c r="T2141" s="13">
        <v>0</v>
      </c>
      <c r="U2141" s="13">
        <v>8</v>
      </c>
      <c r="V2141" s="13" t="str" cm="1">
        <f t="array" ref="V2141">_xlfn.IFS(U2141&lt;=250,"0-R$250",U2141&lt;=500,"251-R$500",U2141&lt;=750,"501-R$750",U2141&lt;=1000,"751-R$1000",U2141&lt;=1250,"1001-R$1250",U2141&lt;=1500,"1251-R$1500")</f>
        <v>0-R$250</v>
      </c>
      <c r="W2141" s="13">
        <v>0</v>
      </c>
      <c r="X2141" s="13" t="str" cm="1">
        <f t="array" ref="X2141">_xlfn.IFS(W2141 = 0, "0", W2141&lt;=20, "até R$20",W2141&lt;=40, "21 - R$40",W2141&lt;=60, "41- R$60",W2141&lt;=80, "61 - R$80", W2141&lt;=100, "81 - R$100",W2141&lt;=120, "101 - R$120",W2141&lt;=140, "121 - R$140", W2141&lt;=160, "141- R$160", W2141&lt;=180, "161 - R$180", W2141&lt;=200, "181-R$194")</f>
        <v>0</v>
      </c>
      <c r="Y2141" s="13">
        <v>5</v>
      </c>
      <c r="Z2141" s="13">
        <v>0</v>
      </c>
      <c r="AA2141" s="13">
        <v>3</v>
      </c>
      <c r="AB2141" s="13">
        <v>6</v>
      </c>
      <c r="AC2141" s="13">
        <v>1</v>
      </c>
      <c r="AD2141" s="13">
        <v>0</v>
      </c>
      <c r="AE2141" s="13">
        <v>0</v>
      </c>
      <c r="AF2141" s="13">
        <v>3</v>
      </c>
      <c r="AG2141" s="13">
        <v>8</v>
      </c>
      <c r="AH2141" s="13">
        <v>0</v>
      </c>
      <c r="AI2141" s="13">
        <v>0</v>
      </c>
      <c r="AJ2141" s="13">
        <v>0</v>
      </c>
      <c r="AK2141" s="13">
        <v>0</v>
      </c>
      <c r="AL2141" s="13">
        <v>0</v>
      </c>
      <c r="AM2141" s="13">
        <v>0</v>
      </c>
      <c r="AN2141" s="13">
        <v>0</v>
      </c>
      <c r="AO2141" s="14">
        <v>0</v>
      </c>
      <c r="AP2141" s="13">
        <v>3</v>
      </c>
      <c r="AQ2141" s="13">
        <v>11</v>
      </c>
      <c r="AR2141" s="15">
        <v>10</v>
      </c>
      <c r="AS2141" s="15">
        <v>16</v>
      </c>
    </row>
    <row r="2142" spans="1:45" x14ac:dyDescent="0.25">
      <c r="A2142">
        <v>2105</v>
      </c>
      <c r="B2142" s="11">
        <f t="shared" si="33"/>
        <v>20587</v>
      </c>
      <c r="C2142" s="16">
        <v>205870</v>
      </c>
      <c r="D2142" s="17">
        <v>1</v>
      </c>
      <c r="E2142" s="17">
        <v>0</v>
      </c>
      <c r="F2142" s="17">
        <v>39</v>
      </c>
      <c r="G2142" s="17">
        <v>50</v>
      </c>
      <c r="H2142" s="13" t="str" cm="1">
        <f t="array" ref="H2142">_xlfn.IFS(G2142&lt;=20,"0-20",G2142&lt;=30,"20-30",G2142&lt;=40,"30-40",G2142&lt;=50,"50-60",G2142&lt;=60,"60-70",G2142&lt;=70,"70-80",G2142&lt;=80,"80-90")</f>
        <v>50-60</v>
      </c>
      <c r="I2142" s="17">
        <v>2208</v>
      </c>
      <c r="J2142" s="13" t="str" cm="1">
        <f t="array" ref="J2142">_xlfn.IFS(K2142=1,"Divorciado",L2142=1,"Casado",M2142=1,"Solteiro",N2142=1,"Juntos",O2142=1,"Viuvo")</f>
        <v>Solteiro</v>
      </c>
      <c r="K2142" s="17">
        <v>0</v>
      </c>
      <c r="L2142" s="17">
        <v>0</v>
      </c>
      <c r="M2142" s="17">
        <v>1</v>
      </c>
      <c r="N2142" s="17">
        <v>0</v>
      </c>
      <c r="O2142" s="17">
        <v>0</v>
      </c>
      <c r="P2142" s="17">
        <v>0</v>
      </c>
      <c r="Q2142" s="17">
        <v>0</v>
      </c>
      <c r="R2142" s="17">
        <v>1</v>
      </c>
      <c r="S2142" s="17">
        <v>0</v>
      </c>
      <c r="T2142" s="17">
        <v>0</v>
      </c>
      <c r="U2142" s="17">
        <v>2</v>
      </c>
      <c r="V2142" s="13" t="str" cm="1">
        <f t="array" ref="V2142">_xlfn.IFS(U2142&lt;=250,"0-R$250",U2142&lt;=500,"251-R$500",U2142&lt;=750,"501-R$750",U2142&lt;=1000,"751-R$1000",U2142&lt;=1250,"1001-R$1250",U2142&lt;=1500,"1251-R$1500")</f>
        <v>0-R$250</v>
      </c>
      <c r="W2142" s="17">
        <v>3</v>
      </c>
      <c r="X2142" s="13" t="str" cm="1">
        <f t="array" ref="X2142">_xlfn.IFS(W2142 = 0, "0", W2142&lt;=20, "até R$20",W2142&lt;=40, "21 - R$40",W2142&lt;=60, "41- R$60",W2142&lt;=80, "61 - R$80", W2142&lt;=100, "81 - R$100",W2142&lt;=120, "101 - R$120",W2142&lt;=140, "121 - R$140", W2142&lt;=160, "141- R$160", W2142&lt;=180, "161 - R$180", W2142&lt;=200, "181-R$194")</f>
        <v>até R$20</v>
      </c>
      <c r="Y2142" s="17">
        <v>6</v>
      </c>
      <c r="Z2142" s="17">
        <v>4</v>
      </c>
      <c r="AA2142" s="17">
        <v>1</v>
      </c>
      <c r="AB2142" s="17">
        <v>9</v>
      </c>
      <c r="AC2142" s="17">
        <v>1</v>
      </c>
      <c r="AD2142" s="17">
        <v>1</v>
      </c>
      <c r="AE2142" s="17">
        <v>1</v>
      </c>
      <c r="AF2142" s="17">
        <v>2</v>
      </c>
      <c r="AG2142" s="17">
        <v>7</v>
      </c>
      <c r="AH2142" s="17">
        <v>0</v>
      </c>
      <c r="AI2142" s="17">
        <v>0</v>
      </c>
      <c r="AJ2142" s="17">
        <v>0</v>
      </c>
      <c r="AK2142" s="17">
        <v>0</v>
      </c>
      <c r="AL2142" s="17">
        <v>0</v>
      </c>
      <c r="AM2142" s="17">
        <v>0</v>
      </c>
      <c r="AN2142" s="17">
        <v>0</v>
      </c>
      <c r="AO2142" s="18">
        <v>0</v>
      </c>
      <c r="AP2142" s="17">
        <v>3</v>
      </c>
      <c r="AQ2142" s="17">
        <v>11</v>
      </c>
      <c r="AR2142" s="19">
        <v>7</v>
      </c>
      <c r="AS2142" s="19">
        <v>16</v>
      </c>
    </row>
    <row r="2143" spans="1:45" x14ac:dyDescent="0.25">
      <c r="A2143">
        <v>2132</v>
      </c>
      <c r="B2143" s="11">
        <f t="shared" si="33"/>
        <v>15253</v>
      </c>
      <c r="C2143" s="12">
        <v>152530</v>
      </c>
      <c r="D2143" s="13">
        <v>1</v>
      </c>
      <c r="E2143" s="13">
        <v>0</v>
      </c>
      <c r="F2143" s="13">
        <v>13</v>
      </c>
      <c r="G2143" s="13">
        <v>28</v>
      </c>
      <c r="H2143" s="13" t="str" cm="1">
        <f t="array" ref="H2143">_xlfn.IFS(G2143&lt;=20,"0-20",G2143&lt;=30,"20-30",G2143&lt;=40,"30-40",G2143&lt;=50,"50-60",G2143&lt;=60,"60-70",G2143&lt;=70,"70-80",G2143&lt;=80,"80-90")</f>
        <v>20-30</v>
      </c>
      <c r="I2143" s="13">
        <v>2403</v>
      </c>
      <c r="J2143" s="13" t="str" cm="1">
        <f t="array" ref="J2143">_xlfn.IFS(K2143=1,"Divorciado",L2143=1,"Casado",M2143=1,"Solteiro",N2143=1,"Juntos",O2143=1,"Viuvo")</f>
        <v>Solteiro</v>
      </c>
      <c r="K2143" s="13">
        <v>0</v>
      </c>
      <c r="L2143" s="13">
        <v>0</v>
      </c>
      <c r="M2143" s="13">
        <v>1</v>
      </c>
      <c r="N2143" s="13">
        <v>0</v>
      </c>
      <c r="O2143" s="13">
        <v>0</v>
      </c>
      <c r="P2143" s="13">
        <v>0</v>
      </c>
      <c r="Q2143" s="13">
        <v>1</v>
      </c>
      <c r="R2143" s="13">
        <v>0</v>
      </c>
      <c r="S2143" s="13">
        <v>0</v>
      </c>
      <c r="T2143" s="13">
        <v>0</v>
      </c>
      <c r="U2143" s="13">
        <v>1</v>
      </c>
      <c r="V2143" s="13" t="str" cm="1">
        <f t="array" ref="V2143">_xlfn.IFS(U2143&lt;=250,"0-R$250",U2143&lt;=500,"251-R$500",U2143&lt;=750,"501-R$750",U2143&lt;=1000,"751-R$1000",U2143&lt;=1250,"1001-R$1250",U2143&lt;=1500,"1251-R$1500")</f>
        <v>0-R$250</v>
      </c>
      <c r="W2143" s="13">
        <v>3</v>
      </c>
      <c r="X2143" s="13" t="str" cm="1">
        <f t="array" ref="X2143">_xlfn.IFS(W2143 = 0, "0", W2143&lt;=20, "até R$20",W2143&lt;=40, "21 - R$40",W2143&lt;=60, "41- R$60",W2143&lt;=80, "61 - R$80", W2143&lt;=100, "81 - R$100",W2143&lt;=120, "101 - R$120",W2143&lt;=140, "121 - R$140", W2143&lt;=160, "141- R$160", W2143&lt;=180, "161 - R$180", W2143&lt;=200, "181-R$194")</f>
        <v>até R$20</v>
      </c>
      <c r="Y2143" s="13">
        <v>3</v>
      </c>
      <c r="Z2143" s="13">
        <v>8</v>
      </c>
      <c r="AA2143" s="13">
        <v>1</v>
      </c>
      <c r="AB2143" s="13">
        <v>13</v>
      </c>
      <c r="AC2143" s="13">
        <v>2</v>
      </c>
      <c r="AD2143" s="13">
        <v>1</v>
      </c>
      <c r="AE2143" s="13">
        <v>0</v>
      </c>
      <c r="AF2143" s="13">
        <v>3</v>
      </c>
      <c r="AG2143" s="13">
        <v>7</v>
      </c>
      <c r="AH2143" s="13">
        <v>0</v>
      </c>
      <c r="AI2143" s="13">
        <v>0</v>
      </c>
      <c r="AJ2143" s="13">
        <v>0</v>
      </c>
      <c r="AK2143" s="13">
        <v>0</v>
      </c>
      <c r="AL2143" s="13">
        <v>0</v>
      </c>
      <c r="AM2143" s="13">
        <v>0</v>
      </c>
      <c r="AN2143" s="13">
        <v>0</v>
      </c>
      <c r="AO2143" s="14">
        <v>0</v>
      </c>
      <c r="AP2143" s="13">
        <v>3</v>
      </c>
      <c r="AQ2143" s="13">
        <v>11</v>
      </c>
      <c r="AR2143" s="15">
        <v>3</v>
      </c>
      <c r="AS2143" s="15">
        <v>16</v>
      </c>
    </row>
    <row r="2144" spans="1:45" x14ac:dyDescent="0.25">
      <c r="A2144">
        <v>221</v>
      </c>
      <c r="B2144" s="11">
        <f t="shared" si="33"/>
        <v>15033</v>
      </c>
      <c r="C2144" s="16">
        <v>150330</v>
      </c>
      <c r="D2144" s="17">
        <v>0</v>
      </c>
      <c r="E2144" s="17">
        <v>0</v>
      </c>
      <c r="F2144" s="17">
        <v>37</v>
      </c>
      <c r="G2144" s="17">
        <v>69</v>
      </c>
      <c r="H2144" s="13" t="str" cm="1">
        <f t="array" ref="H2144">_xlfn.IFS(G2144&lt;=20,"0-20",G2144&lt;=30,"20-30",G2144&lt;=40,"30-40",G2144&lt;=50,"50-60",G2144&lt;=60,"60-70",G2144&lt;=70,"70-80",G2144&lt;=80,"80-90")</f>
        <v>70-80</v>
      </c>
      <c r="I2144" s="17">
        <v>2233</v>
      </c>
      <c r="J2144" s="13" t="str" cm="1">
        <f t="array" ref="J2144">_xlfn.IFS(K2144=1,"Divorciado",L2144=1,"Casado",M2144=1,"Solteiro",N2144=1,"Juntos",O2144=1,"Viuvo")</f>
        <v>Solteiro</v>
      </c>
      <c r="K2144" s="17">
        <v>0</v>
      </c>
      <c r="L2144" s="17">
        <v>0</v>
      </c>
      <c r="M2144" s="17">
        <v>1</v>
      </c>
      <c r="N2144" s="17">
        <v>0</v>
      </c>
      <c r="O2144" s="17">
        <v>0</v>
      </c>
      <c r="P2144" s="17">
        <v>0</v>
      </c>
      <c r="Q2144" s="17">
        <v>0</v>
      </c>
      <c r="R2144" s="17">
        <v>1</v>
      </c>
      <c r="S2144" s="17">
        <v>0</v>
      </c>
      <c r="T2144" s="17">
        <v>0</v>
      </c>
      <c r="U2144" s="17">
        <v>0</v>
      </c>
      <c r="V2144" s="13" t="str" cm="1">
        <f t="array" ref="V2144">_xlfn.IFS(U2144&lt;=250,"0-R$250",U2144&lt;=500,"251-R$500",U2144&lt;=750,"501-R$750",U2144&lt;=1000,"751-R$1000",U2144&lt;=1250,"1001-R$1250",U2144&lt;=1500,"1251-R$1500")</f>
        <v>0-R$250</v>
      </c>
      <c r="W2144" s="17">
        <v>4</v>
      </c>
      <c r="X2144" s="13" t="str" cm="1">
        <f t="array" ref="X2144">_xlfn.IFS(W2144 = 0, "0", W2144&lt;=20, "até R$20",W2144&lt;=40, "21 - R$40",W2144&lt;=60, "41- R$60",W2144&lt;=80, "61 - R$80", W2144&lt;=100, "81 - R$100",W2144&lt;=120, "101 - R$120",W2144&lt;=140, "121 - R$140", W2144&lt;=160, "141- R$160", W2144&lt;=180, "161 - R$180", W2144&lt;=200, "181-R$194")</f>
        <v>até R$20</v>
      </c>
      <c r="Y2144" s="17">
        <v>5</v>
      </c>
      <c r="Z2144" s="17">
        <v>6</v>
      </c>
      <c r="AA2144" s="17">
        <v>0</v>
      </c>
      <c r="AB2144" s="17">
        <v>4</v>
      </c>
      <c r="AC2144" s="17">
        <v>1</v>
      </c>
      <c r="AD2144" s="17">
        <v>1</v>
      </c>
      <c r="AE2144" s="17">
        <v>0</v>
      </c>
      <c r="AF2144" s="17">
        <v>3</v>
      </c>
      <c r="AG2144" s="17">
        <v>3</v>
      </c>
      <c r="AH2144" s="17">
        <v>0</v>
      </c>
      <c r="AI2144" s="17">
        <v>0</v>
      </c>
      <c r="AJ2144" s="17">
        <v>0</v>
      </c>
      <c r="AK2144" s="17">
        <v>0</v>
      </c>
      <c r="AL2144" s="17">
        <v>0</v>
      </c>
      <c r="AM2144" s="17">
        <v>0</v>
      </c>
      <c r="AN2144" s="17">
        <v>0</v>
      </c>
      <c r="AO2144" s="18">
        <v>0</v>
      </c>
      <c r="AP2144" s="17">
        <v>3</v>
      </c>
      <c r="AQ2144" s="17">
        <v>11</v>
      </c>
      <c r="AR2144" s="19">
        <v>11</v>
      </c>
      <c r="AS2144" s="19">
        <v>15</v>
      </c>
    </row>
    <row r="2145" spans="1:45" x14ac:dyDescent="0.25">
      <c r="A2145">
        <v>238</v>
      </c>
      <c r="B2145" s="11">
        <f t="shared" si="33"/>
        <v>29938</v>
      </c>
      <c r="C2145" s="12">
        <v>299380</v>
      </c>
      <c r="D2145" s="13">
        <v>1</v>
      </c>
      <c r="E2145" s="13">
        <v>0</v>
      </c>
      <c r="F2145" s="13">
        <v>52</v>
      </c>
      <c r="G2145" s="13">
        <v>35</v>
      </c>
      <c r="H2145" s="13" t="str" cm="1">
        <f t="array" ref="H2145">_xlfn.IFS(G2145&lt;=20,"0-20",G2145&lt;=30,"20-30",G2145&lt;=40,"30-40",G2145&lt;=50,"50-60",G2145&lt;=60,"60-70",G2145&lt;=70,"70-80",G2145&lt;=80,"80-90")</f>
        <v>30-40</v>
      </c>
      <c r="I2145" s="13">
        <v>2404</v>
      </c>
      <c r="J2145" s="13" t="str" cm="1">
        <f t="array" ref="J2145">_xlfn.IFS(K2145=1,"Divorciado",L2145=1,"Casado",M2145=1,"Solteiro",N2145=1,"Juntos",O2145=1,"Viuvo")</f>
        <v>Solteiro</v>
      </c>
      <c r="K2145" s="13">
        <v>0</v>
      </c>
      <c r="L2145" s="13">
        <v>0</v>
      </c>
      <c r="M2145" s="13">
        <v>1</v>
      </c>
      <c r="N2145" s="13">
        <v>0</v>
      </c>
      <c r="O2145" s="13">
        <v>0</v>
      </c>
      <c r="P2145" s="13">
        <v>0</v>
      </c>
      <c r="Q2145" s="13">
        <v>0</v>
      </c>
      <c r="R2145" s="13">
        <v>1</v>
      </c>
      <c r="S2145" s="13">
        <v>0</v>
      </c>
      <c r="T2145" s="13">
        <v>0</v>
      </c>
      <c r="U2145" s="13">
        <v>3</v>
      </c>
      <c r="V2145" s="13" t="str" cm="1">
        <f t="array" ref="V2145">_xlfn.IFS(U2145&lt;=250,"0-R$250",U2145&lt;=500,"251-R$500",U2145&lt;=750,"501-R$750",U2145&lt;=1000,"751-R$1000",U2145&lt;=1250,"1001-R$1250",U2145&lt;=1500,"1251-R$1500")</f>
        <v>0-R$250</v>
      </c>
      <c r="W2145" s="13">
        <v>3</v>
      </c>
      <c r="X2145" s="13" t="str" cm="1">
        <f t="array" ref="X2145">_xlfn.IFS(W2145 = 0, "0", W2145&lt;=20, "até R$20",W2145&lt;=40, "21 - R$40",W2145&lt;=60, "41- R$60",W2145&lt;=80, "61 - R$80", W2145&lt;=100, "81 - R$100",W2145&lt;=120, "101 - R$120",W2145&lt;=140, "121 - R$140", W2145&lt;=160, "141- R$160", W2145&lt;=180, "161 - R$180", W2145&lt;=200, "181-R$194")</f>
        <v>até R$20</v>
      </c>
      <c r="Y2145" s="13">
        <v>7</v>
      </c>
      <c r="Z2145" s="13">
        <v>0</v>
      </c>
      <c r="AA2145" s="13">
        <v>2</v>
      </c>
      <c r="AB2145" s="13">
        <v>11</v>
      </c>
      <c r="AC2145" s="13">
        <v>2</v>
      </c>
      <c r="AD2145" s="13">
        <v>1</v>
      </c>
      <c r="AE2145" s="13">
        <v>0</v>
      </c>
      <c r="AF2145" s="13">
        <v>3</v>
      </c>
      <c r="AG2145" s="13">
        <v>6</v>
      </c>
      <c r="AH2145" s="13">
        <v>0</v>
      </c>
      <c r="AI2145" s="13">
        <v>0</v>
      </c>
      <c r="AJ2145" s="13">
        <v>0</v>
      </c>
      <c r="AK2145" s="13">
        <v>0</v>
      </c>
      <c r="AL2145" s="13">
        <v>0</v>
      </c>
      <c r="AM2145" s="13">
        <v>0</v>
      </c>
      <c r="AN2145" s="13">
        <v>0</v>
      </c>
      <c r="AO2145" s="14">
        <v>0</v>
      </c>
      <c r="AP2145" s="13">
        <v>3</v>
      </c>
      <c r="AQ2145" s="13">
        <v>11</v>
      </c>
      <c r="AR2145" s="15">
        <v>4</v>
      </c>
      <c r="AS2145" s="15">
        <v>15</v>
      </c>
    </row>
    <row r="2146" spans="1:45" x14ac:dyDescent="0.25">
      <c r="A2146">
        <v>246</v>
      </c>
      <c r="B2146" s="11">
        <f t="shared" si="33"/>
        <v>40737</v>
      </c>
      <c r="C2146" s="12">
        <v>407370</v>
      </c>
      <c r="D2146" s="13">
        <v>2</v>
      </c>
      <c r="E2146" s="13">
        <v>1</v>
      </c>
      <c r="F2146" s="13">
        <v>24</v>
      </c>
      <c r="G2146" s="13">
        <v>63</v>
      </c>
      <c r="H2146" s="13" t="str" cm="1">
        <f t="array" ref="H2146">_xlfn.IFS(G2146&lt;=20,"0-20",G2146&lt;=30,"20-30",G2146&lt;=40,"30-40",G2146&lt;=50,"50-60",G2146&lt;=60,"60-70",G2146&lt;=70,"70-80",G2146&lt;=80,"80-90")</f>
        <v>70-80</v>
      </c>
      <c r="I2146" s="13">
        <v>2362</v>
      </c>
      <c r="J2146" s="13" t="str" cm="1">
        <f t="array" ref="J2146">_xlfn.IFS(K2146=1,"Divorciado",L2146=1,"Casado",M2146=1,"Solteiro",N2146=1,"Juntos",O2146=1,"Viuvo")</f>
        <v>Solteiro</v>
      </c>
      <c r="K2146" s="13">
        <v>0</v>
      </c>
      <c r="L2146" s="13">
        <v>0</v>
      </c>
      <c r="M2146" s="13">
        <v>1</v>
      </c>
      <c r="N2146" s="13">
        <v>0</v>
      </c>
      <c r="O2146" s="13">
        <v>0</v>
      </c>
      <c r="P2146" s="13">
        <v>0</v>
      </c>
      <c r="Q2146" s="13">
        <v>0</v>
      </c>
      <c r="R2146" s="13">
        <v>0</v>
      </c>
      <c r="S2146" s="13">
        <v>0</v>
      </c>
      <c r="T2146" s="13">
        <v>1</v>
      </c>
      <c r="U2146" s="13">
        <v>11</v>
      </c>
      <c r="V2146" s="13" t="str" cm="1">
        <f t="array" ref="V2146">_xlfn.IFS(U2146&lt;=250,"0-R$250",U2146&lt;=500,"251-R$500",U2146&lt;=750,"501-R$750",U2146&lt;=1000,"751-R$1000",U2146&lt;=1250,"1001-R$1250",U2146&lt;=1500,"1251-R$1500")</f>
        <v>0-R$250</v>
      </c>
      <c r="W2146" s="13">
        <v>0</v>
      </c>
      <c r="X2146" s="13" t="str" cm="1">
        <f t="array" ref="X2146">_xlfn.IFS(W2146 = 0, "0", W2146&lt;=20, "até R$20",W2146&lt;=40, "21 - R$40",W2146&lt;=60, "41- R$60",W2146&lt;=80, "61 - R$80", W2146&lt;=100, "81 - R$100",W2146&lt;=120, "101 - R$120",W2146&lt;=140, "121 - R$140", W2146&lt;=160, "141- R$160", W2146&lt;=180, "161 - R$180", W2146&lt;=200, "181-R$194")</f>
        <v>0</v>
      </c>
      <c r="Y2146" s="13">
        <v>4</v>
      </c>
      <c r="Z2146" s="13">
        <v>0</v>
      </c>
      <c r="AA2146" s="13">
        <v>0</v>
      </c>
      <c r="AB2146" s="13">
        <v>2</v>
      </c>
      <c r="AC2146" s="13">
        <v>1</v>
      </c>
      <c r="AD2146" s="13">
        <v>1</v>
      </c>
      <c r="AE2146" s="13">
        <v>0</v>
      </c>
      <c r="AF2146" s="13">
        <v>2</v>
      </c>
      <c r="AG2146" s="13">
        <v>8</v>
      </c>
      <c r="AH2146" s="13">
        <v>0</v>
      </c>
      <c r="AI2146" s="13">
        <v>0</v>
      </c>
      <c r="AJ2146" s="13">
        <v>0</v>
      </c>
      <c r="AK2146" s="13">
        <v>0</v>
      </c>
      <c r="AL2146" s="13">
        <v>0</v>
      </c>
      <c r="AM2146" s="13">
        <v>0</v>
      </c>
      <c r="AN2146" s="13">
        <v>0</v>
      </c>
      <c r="AO2146" s="14">
        <v>0</v>
      </c>
      <c r="AP2146" s="13">
        <v>3</v>
      </c>
      <c r="AQ2146" s="13">
        <v>11</v>
      </c>
      <c r="AR2146" s="15">
        <v>13</v>
      </c>
      <c r="AS2146" s="15">
        <v>15</v>
      </c>
    </row>
    <row r="2147" spans="1:45" x14ac:dyDescent="0.25">
      <c r="A2147">
        <v>328</v>
      </c>
      <c r="B2147" s="11">
        <f t="shared" si="33"/>
        <v>27190</v>
      </c>
      <c r="C2147" s="12">
        <v>271900</v>
      </c>
      <c r="D2147" s="13">
        <v>1</v>
      </c>
      <c r="E2147" s="13">
        <v>0</v>
      </c>
      <c r="F2147" s="13">
        <v>13</v>
      </c>
      <c r="G2147" s="13">
        <v>47</v>
      </c>
      <c r="H2147" s="13" t="str" cm="1">
        <f t="array" ref="H2147">_xlfn.IFS(G2147&lt;=20,"0-20",G2147&lt;=30,"20-30",G2147&lt;=40,"30-40",G2147&lt;=50,"50-60",G2147&lt;=60,"60-70",G2147&lt;=70,"70-80",G2147&lt;=80,"80-90")</f>
        <v>50-60</v>
      </c>
      <c r="I2147" s="13">
        <v>2477</v>
      </c>
      <c r="J2147" s="13" t="str" cm="1">
        <f t="array" ref="J2147">_xlfn.IFS(K2147=1,"Divorciado",L2147=1,"Casado",M2147=1,"Solteiro",N2147=1,"Juntos",O2147=1,"Viuvo")</f>
        <v>Juntos</v>
      </c>
      <c r="K2147" s="13">
        <v>0</v>
      </c>
      <c r="L2147" s="13">
        <v>0</v>
      </c>
      <c r="M2147" s="13">
        <v>0</v>
      </c>
      <c r="N2147" s="13">
        <v>1</v>
      </c>
      <c r="O2147" s="13">
        <v>0</v>
      </c>
      <c r="P2147" s="13">
        <v>0</v>
      </c>
      <c r="Q2147" s="13">
        <v>1</v>
      </c>
      <c r="R2147" s="13">
        <v>0</v>
      </c>
      <c r="S2147" s="13">
        <v>0</v>
      </c>
      <c r="T2147" s="13">
        <v>0</v>
      </c>
      <c r="U2147" s="13">
        <v>1</v>
      </c>
      <c r="V2147" s="13" t="str" cm="1">
        <f t="array" ref="V2147">_xlfn.IFS(U2147&lt;=250,"0-R$250",U2147&lt;=500,"251-R$500",U2147&lt;=750,"501-R$750",U2147&lt;=1000,"751-R$1000",U2147&lt;=1250,"1001-R$1250",U2147&lt;=1500,"1251-R$1500")</f>
        <v>0-R$250</v>
      </c>
      <c r="W2147" s="13">
        <v>6</v>
      </c>
      <c r="X2147" s="13" t="str" cm="1">
        <f t="array" ref="X2147">_xlfn.IFS(W2147 = 0, "0", W2147&lt;=20, "até R$20",W2147&lt;=40, "21 - R$40",W2147&lt;=60, "41- R$60",W2147&lt;=80, "61 - R$80", W2147&lt;=100, "81 - R$100",W2147&lt;=120, "101 - R$120",W2147&lt;=140, "121 - R$140", W2147&lt;=160, "141- R$160", W2147&lt;=180, "161 - R$180", W2147&lt;=200, "181-R$194")</f>
        <v>até R$20</v>
      </c>
      <c r="Y2147" s="13">
        <v>7</v>
      </c>
      <c r="Z2147" s="13">
        <v>0</v>
      </c>
      <c r="AA2147" s="13">
        <v>1</v>
      </c>
      <c r="AB2147" s="13">
        <v>3</v>
      </c>
      <c r="AC2147" s="13">
        <v>1</v>
      </c>
      <c r="AD2147" s="13">
        <v>1</v>
      </c>
      <c r="AE2147" s="13">
        <v>0</v>
      </c>
      <c r="AF2147" s="13">
        <v>2</v>
      </c>
      <c r="AG2147" s="13">
        <v>8</v>
      </c>
      <c r="AH2147" s="13">
        <v>0</v>
      </c>
      <c r="AI2147" s="13">
        <v>1</v>
      </c>
      <c r="AJ2147" s="13">
        <v>0</v>
      </c>
      <c r="AK2147" s="13">
        <v>0</v>
      </c>
      <c r="AL2147" s="13">
        <v>0</v>
      </c>
      <c r="AM2147" s="13">
        <v>0</v>
      </c>
      <c r="AN2147" s="13">
        <v>1</v>
      </c>
      <c r="AO2147" s="14">
        <v>1</v>
      </c>
      <c r="AP2147" s="13">
        <v>3</v>
      </c>
      <c r="AQ2147" s="13">
        <v>11</v>
      </c>
      <c r="AR2147" s="15">
        <v>12</v>
      </c>
      <c r="AS2147" s="15">
        <v>15</v>
      </c>
    </row>
    <row r="2148" spans="1:45" x14ac:dyDescent="0.25">
      <c r="A2148">
        <v>429</v>
      </c>
      <c r="B2148" s="11">
        <f t="shared" si="33"/>
        <v>23295</v>
      </c>
      <c r="C2148" s="16">
        <v>232950</v>
      </c>
      <c r="D2148" s="17">
        <v>0</v>
      </c>
      <c r="E2148" s="17">
        <v>0</v>
      </c>
      <c r="F2148" s="17">
        <v>72</v>
      </c>
      <c r="G2148" s="17">
        <v>61</v>
      </c>
      <c r="H2148" s="13" t="str" cm="1">
        <f t="array" ref="H2148">_xlfn.IFS(G2148&lt;=20,"0-20",G2148&lt;=30,"20-30",G2148&lt;=40,"30-40",G2148&lt;=50,"50-60",G2148&lt;=60,"60-70",G2148&lt;=70,"70-80",G2148&lt;=80,"80-90")</f>
        <v>70-80</v>
      </c>
      <c r="I2148" s="17">
        <v>2510</v>
      </c>
      <c r="J2148" s="13" t="str" cm="1">
        <f t="array" ref="J2148">_xlfn.IFS(K2148=1,"Divorciado",L2148=1,"Casado",M2148=1,"Solteiro",N2148=1,"Juntos",O2148=1,"Viuvo")</f>
        <v>Divorciado</v>
      </c>
      <c r="K2148" s="17">
        <v>1</v>
      </c>
      <c r="L2148" s="17">
        <v>0</v>
      </c>
      <c r="M2148" s="17">
        <v>0</v>
      </c>
      <c r="N2148" s="17">
        <v>0</v>
      </c>
      <c r="O2148" s="17">
        <v>0</v>
      </c>
      <c r="P2148" s="17">
        <v>0</v>
      </c>
      <c r="Q2148" s="17">
        <v>0</v>
      </c>
      <c r="R2148" s="17">
        <v>1</v>
      </c>
      <c r="S2148" s="17">
        <v>0</v>
      </c>
      <c r="T2148" s="17">
        <v>0</v>
      </c>
      <c r="U2148" s="17">
        <v>0</v>
      </c>
      <c r="V2148" s="13" t="str" cm="1">
        <f t="array" ref="V2148">_xlfn.IFS(U2148&lt;=250,"0-R$250",U2148&lt;=500,"251-R$500",U2148&lt;=750,"501-R$750",U2148&lt;=1000,"751-R$1000",U2148&lt;=1250,"1001-R$1250",U2148&lt;=1500,"1251-R$1500")</f>
        <v>0-R$250</v>
      </c>
      <c r="W2148" s="17">
        <v>0</v>
      </c>
      <c r="X2148" s="13" t="str" cm="1">
        <f t="array" ref="X2148">_xlfn.IFS(W2148 = 0, "0", W2148&lt;=20, "até R$20",W2148&lt;=40, "21 - R$40",W2148&lt;=60, "41- R$60",W2148&lt;=80, "61 - R$80", W2148&lt;=100, "81 - R$100",W2148&lt;=120, "101 - R$120",W2148&lt;=140, "121 - R$140", W2148&lt;=160, "141- R$160", W2148&lt;=180, "161 - R$180", W2148&lt;=200, "181-R$194")</f>
        <v>0</v>
      </c>
      <c r="Y2148" s="17">
        <v>1</v>
      </c>
      <c r="Z2148" s="17">
        <v>2</v>
      </c>
      <c r="AA2148" s="17">
        <v>12</v>
      </c>
      <c r="AB2148" s="17">
        <v>5</v>
      </c>
      <c r="AC2148" s="17">
        <v>1</v>
      </c>
      <c r="AD2148" s="17">
        <v>1</v>
      </c>
      <c r="AE2148" s="17">
        <v>0</v>
      </c>
      <c r="AF2148" s="17">
        <v>2</v>
      </c>
      <c r="AG2148" s="17">
        <v>8</v>
      </c>
      <c r="AH2148" s="17">
        <v>0</v>
      </c>
      <c r="AI2148" s="17">
        <v>0</v>
      </c>
      <c r="AJ2148" s="17">
        <v>0</v>
      </c>
      <c r="AK2148" s="17">
        <v>0</v>
      </c>
      <c r="AL2148" s="17">
        <v>0</v>
      </c>
      <c r="AM2148" s="17">
        <v>0</v>
      </c>
      <c r="AN2148" s="17">
        <v>0</v>
      </c>
      <c r="AO2148" s="18">
        <v>0</v>
      </c>
      <c r="AP2148" s="17">
        <v>3</v>
      </c>
      <c r="AQ2148" s="17">
        <v>11</v>
      </c>
      <c r="AR2148" s="19">
        <v>10</v>
      </c>
      <c r="AS2148" s="19">
        <v>15</v>
      </c>
    </row>
    <row r="2149" spans="1:45" x14ac:dyDescent="0.25">
      <c r="A2149">
        <v>618</v>
      </c>
      <c r="B2149" s="11">
        <f t="shared" si="33"/>
        <v>46102</v>
      </c>
      <c r="C2149" s="12">
        <v>461020</v>
      </c>
      <c r="D2149" s="13">
        <v>2</v>
      </c>
      <c r="E2149" s="13">
        <v>1</v>
      </c>
      <c r="F2149" s="13">
        <v>3</v>
      </c>
      <c r="G2149" s="13">
        <v>58</v>
      </c>
      <c r="H2149" s="13" t="str" cm="1">
        <f t="array" ref="H2149">_xlfn.IFS(G2149&lt;=20,"0-20",G2149&lt;=30,"20-30",G2149&lt;=40,"30-40",G2149&lt;=50,"50-60",G2149&lt;=60,"60-70",G2149&lt;=70,"70-80",G2149&lt;=80,"80-90")</f>
        <v>60-70</v>
      </c>
      <c r="I2149" s="13">
        <v>2270</v>
      </c>
      <c r="J2149" s="13" t="str" cm="1">
        <f t="array" ref="J2149">_xlfn.IFS(K2149=1,"Divorciado",L2149=1,"Casado",M2149=1,"Solteiro",N2149=1,"Juntos",O2149=1,"Viuvo")</f>
        <v>Divorciado</v>
      </c>
      <c r="K2149" s="13">
        <v>1</v>
      </c>
      <c r="L2149" s="13">
        <v>0</v>
      </c>
      <c r="M2149" s="13">
        <v>0</v>
      </c>
      <c r="N2149" s="13">
        <v>0</v>
      </c>
      <c r="O2149" s="13">
        <v>0</v>
      </c>
      <c r="P2149" s="13">
        <v>0</v>
      </c>
      <c r="Q2149" s="13">
        <v>0</v>
      </c>
      <c r="R2149" s="13">
        <v>1</v>
      </c>
      <c r="S2149" s="13">
        <v>0</v>
      </c>
      <c r="T2149" s="13">
        <v>0</v>
      </c>
      <c r="U2149" s="13">
        <v>14</v>
      </c>
      <c r="V2149" s="13" t="str" cm="1">
        <f t="array" ref="V2149">_xlfn.IFS(U2149&lt;=250,"0-R$250",U2149&lt;=500,"251-R$500",U2149&lt;=750,"501-R$750",U2149&lt;=1000,"751-R$1000",U2149&lt;=1250,"1001-R$1250",U2149&lt;=1500,"1251-R$1500")</f>
        <v>0-R$250</v>
      </c>
      <c r="W2149" s="13">
        <v>0</v>
      </c>
      <c r="X2149" s="13" t="str" cm="1">
        <f t="array" ref="X2149">_xlfn.IFS(W2149 = 0, "0", W2149&lt;=20, "até R$20",W2149&lt;=40, "21 - R$40",W2149&lt;=60, "41- R$60",W2149&lt;=80, "61 - R$80", W2149&lt;=100, "81 - R$100",W2149&lt;=120, "101 - R$120",W2149&lt;=140, "121 - R$140", W2149&lt;=160, "141- R$160", W2149&lt;=180, "161 - R$180", W2149&lt;=200, "181-R$194")</f>
        <v>0</v>
      </c>
      <c r="Y2149" s="13">
        <v>1</v>
      </c>
      <c r="Z2149" s="13">
        <v>0</v>
      </c>
      <c r="AA2149" s="13">
        <v>0</v>
      </c>
      <c r="AB2149" s="13">
        <v>1</v>
      </c>
      <c r="AC2149" s="13">
        <v>1</v>
      </c>
      <c r="AD2149" s="13">
        <v>1</v>
      </c>
      <c r="AE2149" s="13">
        <v>0</v>
      </c>
      <c r="AF2149" s="13">
        <v>2</v>
      </c>
      <c r="AG2149" s="13">
        <v>7</v>
      </c>
      <c r="AH2149" s="13">
        <v>0</v>
      </c>
      <c r="AI2149" s="13">
        <v>0</v>
      </c>
      <c r="AJ2149" s="13">
        <v>0</v>
      </c>
      <c r="AK2149" s="13">
        <v>0</v>
      </c>
      <c r="AL2149" s="13">
        <v>0</v>
      </c>
      <c r="AM2149" s="13">
        <v>0</v>
      </c>
      <c r="AN2149" s="13">
        <v>0</v>
      </c>
      <c r="AO2149" s="14">
        <v>0</v>
      </c>
      <c r="AP2149" s="13">
        <v>3</v>
      </c>
      <c r="AQ2149" s="13">
        <v>11</v>
      </c>
      <c r="AR2149" s="15">
        <v>14</v>
      </c>
      <c r="AS2149" s="15">
        <v>15</v>
      </c>
    </row>
    <row r="2150" spans="1:45" x14ac:dyDescent="0.25">
      <c r="A2150">
        <v>703</v>
      </c>
      <c r="B2150" s="11">
        <f t="shared" si="33"/>
        <v>18988</v>
      </c>
      <c r="C2150" s="16">
        <v>189880</v>
      </c>
      <c r="D2150" s="17">
        <v>1</v>
      </c>
      <c r="E2150" s="17">
        <v>0</v>
      </c>
      <c r="F2150" s="17">
        <v>43</v>
      </c>
      <c r="G2150" s="17">
        <v>36</v>
      </c>
      <c r="H2150" s="13" t="str" cm="1">
        <f t="array" ref="H2150">_xlfn.IFS(G2150&lt;=20,"0-20",G2150&lt;=30,"20-30",G2150&lt;=40,"30-40",G2150&lt;=50,"50-60",G2150&lt;=60,"60-70",G2150&lt;=70,"70-80",G2150&lt;=80,"80-90")</f>
        <v>30-40</v>
      </c>
      <c r="I2150" s="17">
        <v>2196</v>
      </c>
      <c r="J2150" s="13" t="str" cm="1">
        <f t="array" ref="J2150">_xlfn.IFS(K2150=1,"Divorciado",L2150=1,"Casado",M2150=1,"Solteiro",N2150=1,"Juntos",O2150=1,"Viuvo")</f>
        <v>Casado</v>
      </c>
      <c r="K2150" s="17">
        <v>0</v>
      </c>
      <c r="L2150" s="17">
        <v>1</v>
      </c>
      <c r="M2150" s="17">
        <v>0</v>
      </c>
      <c r="N2150" s="17">
        <v>0</v>
      </c>
      <c r="O2150" s="17">
        <v>0</v>
      </c>
      <c r="P2150" s="17">
        <v>0</v>
      </c>
      <c r="Q2150" s="17">
        <v>0</v>
      </c>
      <c r="R2150" s="17">
        <v>0</v>
      </c>
      <c r="S2150" s="17">
        <v>0</v>
      </c>
      <c r="T2150" s="17">
        <v>1</v>
      </c>
      <c r="U2150" s="17">
        <v>6</v>
      </c>
      <c r="V2150" s="13" t="str" cm="1">
        <f t="array" ref="V2150">_xlfn.IFS(U2150&lt;=250,"0-R$250",U2150&lt;=500,"251-R$500",U2150&lt;=750,"501-R$750",U2150&lt;=1000,"751-R$1000",U2150&lt;=1250,"1001-R$1250",U2150&lt;=1500,"1251-R$1500")</f>
        <v>0-R$250</v>
      </c>
      <c r="W2150" s="17">
        <v>0</v>
      </c>
      <c r="X2150" s="13" t="str" cm="1">
        <f t="array" ref="X2150">_xlfn.IFS(W2150 = 0, "0", W2150&lt;=20, "até R$20",W2150&lt;=40, "21 - R$40",W2150&lt;=60, "41- R$60",W2150&lt;=80, "61 - R$80", W2150&lt;=100, "81 - R$100",W2150&lt;=120, "101 - R$120",W2150&lt;=140, "121 - R$140", W2150&lt;=160, "141- R$160", W2150&lt;=180, "161 - R$180", W2150&lt;=200, "181-R$194")</f>
        <v>0</v>
      </c>
      <c r="Y2150" s="17">
        <v>6</v>
      </c>
      <c r="Z2150" s="17">
        <v>2</v>
      </c>
      <c r="AA2150" s="17">
        <v>1</v>
      </c>
      <c r="AB2150" s="17">
        <v>1</v>
      </c>
      <c r="AC2150" s="17">
        <v>2</v>
      </c>
      <c r="AD2150" s="17">
        <v>1</v>
      </c>
      <c r="AE2150" s="17">
        <v>0</v>
      </c>
      <c r="AF2150" s="17">
        <v>3</v>
      </c>
      <c r="AG2150" s="17">
        <v>7</v>
      </c>
      <c r="AH2150" s="17">
        <v>0</v>
      </c>
      <c r="AI2150" s="17">
        <v>0</v>
      </c>
      <c r="AJ2150" s="17">
        <v>0</v>
      </c>
      <c r="AK2150" s="17">
        <v>0</v>
      </c>
      <c r="AL2150" s="17">
        <v>0</v>
      </c>
      <c r="AM2150" s="17">
        <v>0</v>
      </c>
      <c r="AN2150" s="17">
        <v>0</v>
      </c>
      <c r="AO2150" s="18">
        <v>0</v>
      </c>
      <c r="AP2150" s="17">
        <v>3</v>
      </c>
      <c r="AQ2150" s="17">
        <v>11</v>
      </c>
      <c r="AR2150" s="19">
        <v>14</v>
      </c>
      <c r="AS2150" s="19">
        <v>15</v>
      </c>
    </row>
    <row r="2151" spans="1:45" x14ac:dyDescent="0.25">
      <c r="A2151">
        <v>863</v>
      </c>
      <c r="B2151" s="11">
        <f t="shared" si="33"/>
        <v>36627</v>
      </c>
      <c r="C2151" s="16">
        <v>366270</v>
      </c>
      <c r="D2151" s="17">
        <v>2</v>
      </c>
      <c r="E2151" s="17">
        <v>0</v>
      </c>
      <c r="F2151" s="17">
        <v>78</v>
      </c>
      <c r="G2151" s="17">
        <v>45</v>
      </c>
      <c r="H2151" s="13" t="str" cm="1">
        <f t="array" ref="H2151">_xlfn.IFS(G2151&lt;=20,"0-20",G2151&lt;=30,"20-30",G2151&lt;=40,"30-40",G2151&lt;=50,"50-60",G2151&lt;=60,"60-70",G2151&lt;=70,"70-80",G2151&lt;=80,"80-90")</f>
        <v>50-60</v>
      </c>
      <c r="I2151" s="17">
        <v>2500</v>
      </c>
      <c r="J2151" s="13" t="str" cm="1">
        <f t="array" ref="J2151">_xlfn.IFS(K2151=1,"Divorciado",L2151=1,"Casado",M2151=1,"Solteiro",N2151=1,"Juntos",O2151=1,"Viuvo")</f>
        <v>Divorciado</v>
      </c>
      <c r="K2151" s="17">
        <v>1</v>
      </c>
      <c r="L2151" s="17">
        <v>0</v>
      </c>
      <c r="M2151" s="17">
        <v>0</v>
      </c>
      <c r="N2151" s="17">
        <v>0</v>
      </c>
      <c r="O2151" s="17">
        <v>0</v>
      </c>
      <c r="P2151" s="17">
        <v>0</v>
      </c>
      <c r="Q2151" s="17">
        <v>0</v>
      </c>
      <c r="R2151" s="17">
        <v>1</v>
      </c>
      <c r="S2151" s="17">
        <v>0</v>
      </c>
      <c r="T2151" s="17">
        <v>0</v>
      </c>
      <c r="U2151" s="17">
        <v>9</v>
      </c>
      <c r="V2151" s="13" t="str" cm="1">
        <f t="array" ref="V2151">_xlfn.IFS(U2151&lt;=250,"0-R$250",U2151&lt;=500,"251-R$500",U2151&lt;=750,"501-R$750",U2151&lt;=1000,"751-R$1000",U2151&lt;=1250,"1001-R$1250",U2151&lt;=1500,"1251-R$1500")</f>
        <v>0-R$250</v>
      </c>
      <c r="W2151" s="17">
        <v>1</v>
      </c>
      <c r="X2151" s="13" t="str" cm="1">
        <f t="array" ref="X2151">_xlfn.IFS(W2151 = 0, "0", W2151&lt;=20, "até R$20",W2151&lt;=40, "21 - R$40",W2151&lt;=60, "41- R$60",W2151&lt;=80, "61 - R$80", W2151&lt;=100, "81 - R$100",W2151&lt;=120, "101 - R$120",W2151&lt;=140, "121 - R$140", W2151&lt;=160, "141- R$160", W2151&lt;=180, "161 - R$180", W2151&lt;=200, "181-R$194")</f>
        <v>até R$20</v>
      </c>
      <c r="Y2151" s="17">
        <v>5</v>
      </c>
      <c r="Z2151" s="17">
        <v>0</v>
      </c>
      <c r="AA2151" s="17">
        <v>0</v>
      </c>
      <c r="AB2151" s="17">
        <v>1</v>
      </c>
      <c r="AC2151" s="17">
        <v>1</v>
      </c>
      <c r="AD2151" s="17">
        <v>0</v>
      </c>
      <c r="AE2151" s="17">
        <v>0</v>
      </c>
      <c r="AF2151" s="17">
        <v>3</v>
      </c>
      <c r="AG2151" s="17">
        <v>5</v>
      </c>
      <c r="AH2151" s="17">
        <v>0</v>
      </c>
      <c r="AI2151" s="17">
        <v>0</v>
      </c>
      <c r="AJ2151" s="17">
        <v>0</v>
      </c>
      <c r="AK2151" s="17">
        <v>0</v>
      </c>
      <c r="AL2151" s="17">
        <v>0</v>
      </c>
      <c r="AM2151" s="17">
        <v>0</v>
      </c>
      <c r="AN2151" s="17">
        <v>0</v>
      </c>
      <c r="AO2151" s="18">
        <v>0</v>
      </c>
      <c r="AP2151" s="17">
        <v>3</v>
      </c>
      <c r="AQ2151" s="17">
        <v>11</v>
      </c>
      <c r="AR2151" s="19">
        <v>14</v>
      </c>
      <c r="AS2151" s="19">
        <v>15</v>
      </c>
    </row>
    <row r="2152" spans="1:45" x14ac:dyDescent="0.25">
      <c r="A2152">
        <v>1064</v>
      </c>
      <c r="B2152" s="11">
        <f t="shared" si="33"/>
        <v>40479</v>
      </c>
      <c r="C2152" s="12">
        <v>404790</v>
      </c>
      <c r="D2152" s="13">
        <v>1</v>
      </c>
      <c r="E2152" s="13">
        <v>0</v>
      </c>
      <c r="F2152" s="13">
        <v>95</v>
      </c>
      <c r="G2152" s="13">
        <v>38</v>
      </c>
      <c r="H2152" s="13" t="str" cm="1">
        <f t="array" ref="H2152">_xlfn.IFS(G2152&lt;=20,"0-20",G2152&lt;=30,"20-30",G2152&lt;=40,"30-40",G2152&lt;=50,"50-60",G2152&lt;=60,"60-70",G2152&lt;=70,"70-80",G2152&lt;=80,"80-90")</f>
        <v>30-40</v>
      </c>
      <c r="I2152" s="13">
        <v>2475</v>
      </c>
      <c r="J2152" s="13" t="str" cm="1">
        <f t="array" ref="J2152">_xlfn.IFS(K2152=1,"Divorciado",L2152=1,"Casado",M2152=1,"Solteiro",N2152=1,"Juntos",O2152=1,"Viuvo")</f>
        <v>Juntos</v>
      </c>
      <c r="K2152" s="13">
        <v>0</v>
      </c>
      <c r="L2152" s="13">
        <v>0</v>
      </c>
      <c r="M2152" s="13">
        <v>0</v>
      </c>
      <c r="N2152" s="13">
        <v>1</v>
      </c>
      <c r="O2152" s="13">
        <v>0</v>
      </c>
      <c r="P2152" s="13">
        <v>0</v>
      </c>
      <c r="Q2152" s="13">
        <v>0</v>
      </c>
      <c r="R2152" s="13">
        <v>1</v>
      </c>
      <c r="S2152" s="13">
        <v>0</v>
      </c>
      <c r="T2152" s="13">
        <v>0</v>
      </c>
      <c r="U2152" s="13">
        <v>5</v>
      </c>
      <c r="V2152" s="13" t="str" cm="1">
        <f t="array" ref="V2152">_xlfn.IFS(U2152&lt;=250,"0-R$250",U2152&lt;=500,"251-R$500",U2152&lt;=750,"501-R$750",U2152&lt;=1000,"751-R$1000",U2152&lt;=1250,"1001-R$1250",U2152&lt;=1500,"1251-R$1500")</f>
        <v>0-R$250</v>
      </c>
      <c r="W2152" s="13">
        <v>0</v>
      </c>
      <c r="X2152" s="13" t="str" cm="1">
        <f t="array" ref="X2152">_xlfn.IFS(W2152 = 0, "0", W2152&lt;=20, "até R$20",W2152&lt;=40, "21 - R$40",W2152&lt;=60, "41- R$60",W2152&lt;=80, "61 - R$80", W2152&lt;=100, "81 - R$100",W2152&lt;=120, "101 - R$120",W2152&lt;=140, "121 - R$140", W2152&lt;=160, "141- R$160", W2152&lt;=180, "161 - R$180", W2152&lt;=200, "181-R$194")</f>
        <v>0</v>
      </c>
      <c r="Y2152" s="13">
        <v>8</v>
      </c>
      <c r="Z2152" s="13">
        <v>2</v>
      </c>
      <c r="AA2152" s="13">
        <v>0</v>
      </c>
      <c r="AB2152" s="13">
        <v>0</v>
      </c>
      <c r="AC2152" s="13">
        <v>1</v>
      </c>
      <c r="AD2152" s="13">
        <v>0</v>
      </c>
      <c r="AE2152" s="13">
        <v>0</v>
      </c>
      <c r="AF2152" s="13">
        <v>3</v>
      </c>
      <c r="AG2152" s="13">
        <v>4</v>
      </c>
      <c r="AH2152" s="13">
        <v>0</v>
      </c>
      <c r="AI2152" s="13">
        <v>0</v>
      </c>
      <c r="AJ2152" s="13">
        <v>0</v>
      </c>
      <c r="AK2152" s="13">
        <v>0</v>
      </c>
      <c r="AL2152" s="13">
        <v>0</v>
      </c>
      <c r="AM2152" s="13">
        <v>0</v>
      </c>
      <c r="AN2152" s="13">
        <v>0</v>
      </c>
      <c r="AO2152" s="14">
        <v>0</v>
      </c>
      <c r="AP2152" s="13">
        <v>3</v>
      </c>
      <c r="AQ2152" s="13">
        <v>11</v>
      </c>
      <c r="AR2152" s="15">
        <v>15</v>
      </c>
      <c r="AS2152" s="15">
        <v>15</v>
      </c>
    </row>
    <row r="2153" spans="1:45" x14ac:dyDescent="0.25">
      <c r="A2153">
        <v>1067</v>
      </c>
      <c r="B2153" s="11">
        <f t="shared" si="33"/>
        <v>24163</v>
      </c>
      <c r="C2153" s="16">
        <v>241630</v>
      </c>
      <c r="D2153" s="17">
        <v>1</v>
      </c>
      <c r="E2153" s="17">
        <v>1</v>
      </c>
      <c r="F2153" s="17">
        <v>3</v>
      </c>
      <c r="G2153" s="17">
        <v>50</v>
      </c>
      <c r="H2153" s="13" t="str" cm="1">
        <f t="array" ref="H2153">_xlfn.IFS(G2153&lt;=20,"0-20",G2153&lt;=30,"20-30",G2153&lt;=40,"30-40",G2153&lt;=50,"50-60",G2153&lt;=60,"60-70",G2153&lt;=70,"70-80",G2153&lt;=80,"80-90")</f>
        <v>50-60</v>
      </c>
      <c r="I2153" s="17">
        <v>2419</v>
      </c>
      <c r="J2153" s="13" t="str" cm="1">
        <f t="array" ref="J2153">_xlfn.IFS(K2153=1,"Divorciado",L2153=1,"Casado",M2153=1,"Solteiro",N2153=1,"Juntos",O2153=1,"Viuvo")</f>
        <v>Solteiro</v>
      </c>
      <c r="K2153" s="17">
        <v>0</v>
      </c>
      <c r="L2153" s="17">
        <v>0</v>
      </c>
      <c r="M2153" s="17">
        <v>1</v>
      </c>
      <c r="N2153" s="17">
        <v>0</v>
      </c>
      <c r="O2153" s="17">
        <v>0</v>
      </c>
      <c r="P2153" s="17">
        <v>0</v>
      </c>
      <c r="Q2153" s="17">
        <v>0</v>
      </c>
      <c r="R2153" s="17">
        <v>1</v>
      </c>
      <c r="S2153" s="17">
        <v>0</v>
      </c>
      <c r="T2153" s="17">
        <v>0</v>
      </c>
      <c r="U2153" s="17">
        <v>4</v>
      </c>
      <c r="V2153" s="13" t="str" cm="1">
        <f t="array" ref="V2153">_xlfn.IFS(U2153&lt;=250,"0-R$250",U2153&lt;=500,"251-R$500",U2153&lt;=750,"501-R$750",U2153&lt;=1000,"751-R$1000",U2153&lt;=1250,"1001-R$1250",U2153&lt;=1500,"1251-R$1500")</f>
        <v>0-R$250</v>
      </c>
      <c r="W2153" s="17">
        <v>1</v>
      </c>
      <c r="X2153" s="13" t="str" cm="1">
        <f t="array" ref="X2153">_xlfn.IFS(W2153 = 0, "0", W2153&lt;=20, "até R$20",W2153&lt;=40, "21 - R$40",W2153&lt;=60, "41- R$60",W2153&lt;=80, "61 - R$80", W2153&lt;=100, "81 - R$100",W2153&lt;=120, "101 - R$120",W2153&lt;=140, "121 - R$140", W2153&lt;=160, "141- R$160", W2153&lt;=180, "161 - R$180", W2153&lt;=200, "181-R$194")</f>
        <v>até R$20</v>
      </c>
      <c r="Y2153" s="17">
        <v>7</v>
      </c>
      <c r="Z2153" s="17">
        <v>2</v>
      </c>
      <c r="AA2153" s="17">
        <v>1</v>
      </c>
      <c r="AB2153" s="17">
        <v>2</v>
      </c>
      <c r="AC2153" s="17">
        <v>2</v>
      </c>
      <c r="AD2153" s="17">
        <v>1</v>
      </c>
      <c r="AE2153" s="17">
        <v>0</v>
      </c>
      <c r="AF2153" s="17">
        <v>3</v>
      </c>
      <c r="AG2153" s="17">
        <v>4</v>
      </c>
      <c r="AH2153" s="17">
        <v>0</v>
      </c>
      <c r="AI2153" s="17">
        <v>0</v>
      </c>
      <c r="AJ2153" s="17">
        <v>0</v>
      </c>
      <c r="AK2153" s="17">
        <v>0</v>
      </c>
      <c r="AL2153" s="17">
        <v>0</v>
      </c>
      <c r="AM2153" s="17">
        <v>0</v>
      </c>
      <c r="AN2153" s="17">
        <v>0</v>
      </c>
      <c r="AO2153" s="18">
        <v>0</v>
      </c>
      <c r="AP2153" s="17">
        <v>3</v>
      </c>
      <c r="AQ2153" s="17">
        <v>11</v>
      </c>
      <c r="AR2153" s="19">
        <v>13</v>
      </c>
      <c r="AS2153" s="19">
        <v>15</v>
      </c>
    </row>
    <row r="2154" spans="1:45" x14ac:dyDescent="0.25">
      <c r="A2154">
        <v>1533</v>
      </c>
      <c r="B2154" s="11">
        <f t="shared" si="33"/>
        <v>31859</v>
      </c>
      <c r="C2154" s="16">
        <v>318590</v>
      </c>
      <c r="D2154" s="17">
        <v>1</v>
      </c>
      <c r="E2154" s="17">
        <v>0</v>
      </c>
      <c r="F2154" s="17">
        <v>77</v>
      </c>
      <c r="G2154" s="17">
        <v>44</v>
      </c>
      <c r="H2154" s="13" t="str" cm="1">
        <f t="array" ref="H2154">_xlfn.IFS(G2154&lt;=20,"0-20",G2154&lt;=30,"20-30",G2154&lt;=40,"30-40",G2154&lt;=50,"50-60",G2154&lt;=60,"60-70",G2154&lt;=70,"70-80",G2154&lt;=80,"80-90")</f>
        <v>50-60</v>
      </c>
      <c r="I2154" s="17">
        <v>2539</v>
      </c>
      <c r="J2154" s="13" t="str" cm="1">
        <f t="array" ref="J2154">_xlfn.IFS(K2154=1,"Divorciado",L2154=1,"Casado",M2154=1,"Solteiro",N2154=1,"Juntos",O2154=1,"Viuvo")</f>
        <v>Divorciado</v>
      </c>
      <c r="K2154" s="17">
        <v>1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1</v>
      </c>
      <c r="S2154" s="17">
        <v>0</v>
      </c>
      <c r="T2154" s="17">
        <v>0</v>
      </c>
      <c r="U2154" s="17">
        <v>3</v>
      </c>
      <c r="V2154" s="13" t="str" cm="1">
        <f t="array" ref="V2154">_xlfn.IFS(U2154&lt;=250,"0-R$250",U2154&lt;=500,"251-R$500",U2154&lt;=750,"501-R$750",U2154&lt;=1000,"751-R$1000",U2154&lt;=1250,"1001-R$1250",U2154&lt;=1500,"1251-R$1500")</f>
        <v>0-R$250</v>
      </c>
      <c r="W2154" s="17">
        <v>1</v>
      </c>
      <c r="X2154" s="13" t="str" cm="1">
        <f t="array" ref="X2154">_xlfn.IFS(W2154 = 0, "0", W2154&lt;=20, "até R$20",W2154&lt;=40, "21 - R$40",W2154&lt;=60, "41- R$60",W2154&lt;=80, "61 - R$80", W2154&lt;=100, "81 - R$100",W2154&lt;=120, "101 - R$120",W2154&lt;=140, "121 - R$140", W2154&lt;=160, "141- R$160", W2154&lt;=180, "161 - R$180", W2154&lt;=200, "181-R$194")</f>
        <v>até R$20</v>
      </c>
      <c r="Y2154" s="17">
        <v>3</v>
      </c>
      <c r="Z2154" s="17">
        <v>8</v>
      </c>
      <c r="AA2154" s="17">
        <v>0</v>
      </c>
      <c r="AB2154" s="17">
        <v>5</v>
      </c>
      <c r="AC2154" s="17">
        <v>1</v>
      </c>
      <c r="AD2154" s="17">
        <v>1</v>
      </c>
      <c r="AE2154" s="17">
        <v>0</v>
      </c>
      <c r="AF2154" s="17">
        <v>2</v>
      </c>
      <c r="AG2154" s="17">
        <v>7</v>
      </c>
      <c r="AH2154" s="17">
        <v>0</v>
      </c>
      <c r="AI2154" s="17">
        <v>0</v>
      </c>
      <c r="AJ2154" s="17">
        <v>0</v>
      </c>
      <c r="AK2154" s="17">
        <v>0</v>
      </c>
      <c r="AL2154" s="17">
        <v>0</v>
      </c>
      <c r="AM2154" s="17">
        <v>0</v>
      </c>
      <c r="AN2154" s="17">
        <v>0</v>
      </c>
      <c r="AO2154" s="18">
        <v>0</v>
      </c>
      <c r="AP2154" s="17">
        <v>3</v>
      </c>
      <c r="AQ2154" s="17">
        <v>11</v>
      </c>
      <c r="AR2154" s="19">
        <v>10</v>
      </c>
      <c r="AS2154" s="19">
        <v>15</v>
      </c>
    </row>
    <row r="2155" spans="1:45" x14ac:dyDescent="0.25">
      <c r="A2155">
        <v>455</v>
      </c>
      <c r="B2155" s="11">
        <f t="shared" si="33"/>
        <v>37406</v>
      </c>
      <c r="C2155" s="16">
        <v>374060</v>
      </c>
      <c r="D2155" s="17">
        <v>1</v>
      </c>
      <c r="E2155" s="17">
        <v>0</v>
      </c>
      <c r="F2155" s="17">
        <v>18</v>
      </c>
      <c r="G2155" s="17">
        <v>40</v>
      </c>
      <c r="H2155" s="13" t="str" cm="1">
        <f t="array" ref="H2155">_xlfn.IFS(G2155&lt;=20,"0-20",G2155&lt;=30,"20-30",G2155&lt;=40,"30-40",G2155&lt;=50,"50-60",G2155&lt;=60,"60-70",G2155&lt;=70,"70-80",G2155&lt;=80,"80-90")</f>
        <v>30-40</v>
      </c>
      <c r="I2155" s="17">
        <v>2421</v>
      </c>
      <c r="J2155" s="13" t="str" cm="1">
        <f t="array" ref="J2155">_xlfn.IFS(K2155=1,"Divorciado",L2155=1,"Casado",M2155=1,"Solteiro",N2155=1,"Juntos",O2155=1,"Viuvo")</f>
        <v>Casado</v>
      </c>
      <c r="K2155" s="17">
        <v>0</v>
      </c>
      <c r="L2155" s="17">
        <v>1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1</v>
      </c>
      <c r="S2155" s="17">
        <v>0</v>
      </c>
      <c r="T2155" s="17">
        <v>0</v>
      </c>
      <c r="U2155" s="17">
        <v>2</v>
      </c>
      <c r="V2155" s="13" t="str" cm="1">
        <f t="array" ref="V2155">_xlfn.IFS(U2155&lt;=250,"0-R$250",U2155&lt;=500,"251-R$500",U2155&lt;=750,"501-R$750",U2155&lt;=1000,"751-R$1000",U2155&lt;=1250,"1001-R$1250",U2155&lt;=1500,"1251-R$1500")</f>
        <v>0-R$250</v>
      </c>
      <c r="W2155" s="17">
        <v>0</v>
      </c>
      <c r="X2155" s="13" t="str" cm="1">
        <f t="array" ref="X2155">_xlfn.IFS(W2155 = 0, "0", W2155&lt;=20, "até R$20",W2155&lt;=40, "21 - R$40",W2155&lt;=60, "41- R$60",W2155&lt;=80, "61 - R$80", W2155&lt;=100, "81 - R$100",W2155&lt;=120, "101 - R$120",W2155&lt;=140, "121 - R$140", W2155&lt;=160, "141- R$160", W2155&lt;=180, "161 - R$180", W2155&lt;=200, "181-R$194")</f>
        <v>0</v>
      </c>
      <c r="Y2155" s="17">
        <v>8</v>
      </c>
      <c r="Z2155" s="17">
        <v>2</v>
      </c>
      <c r="AA2155" s="17">
        <v>2</v>
      </c>
      <c r="AB2155" s="17">
        <v>3</v>
      </c>
      <c r="AC2155" s="17">
        <v>1</v>
      </c>
      <c r="AD2155" s="17">
        <v>1</v>
      </c>
      <c r="AE2155" s="17">
        <v>0</v>
      </c>
      <c r="AF2155" s="17">
        <v>2</v>
      </c>
      <c r="AG2155" s="17">
        <v>8</v>
      </c>
      <c r="AH2155" s="17">
        <v>0</v>
      </c>
      <c r="AI2155" s="17">
        <v>0</v>
      </c>
      <c r="AJ2155" s="17">
        <v>0</v>
      </c>
      <c r="AK2155" s="17">
        <v>0</v>
      </c>
      <c r="AL2155" s="17">
        <v>0</v>
      </c>
      <c r="AM2155" s="17">
        <v>0</v>
      </c>
      <c r="AN2155" s="17">
        <v>1</v>
      </c>
      <c r="AO2155" s="18">
        <v>0</v>
      </c>
      <c r="AP2155" s="17">
        <v>3</v>
      </c>
      <c r="AQ2155" s="17">
        <v>11</v>
      </c>
      <c r="AR2155" s="19">
        <v>11</v>
      </c>
      <c r="AS2155" s="19">
        <v>14</v>
      </c>
    </row>
    <row r="2156" spans="1:45" x14ac:dyDescent="0.25">
      <c r="A2156">
        <v>1271</v>
      </c>
      <c r="B2156" s="11">
        <f t="shared" si="33"/>
        <v>15759</v>
      </c>
      <c r="C2156" s="16">
        <v>157590</v>
      </c>
      <c r="D2156" s="17">
        <v>0</v>
      </c>
      <c r="E2156" s="17">
        <v>0</v>
      </c>
      <c r="F2156" s="17">
        <v>12</v>
      </c>
      <c r="G2156" s="17">
        <v>64</v>
      </c>
      <c r="H2156" s="13" t="str" cm="1">
        <f t="array" ref="H2156">_xlfn.IFS(G2156&lt;=20,"0-20",G2156&lt;=30,"20-30",G2156&lt;=40,"30-40",G2156&lt;=50,"50-60",G2156&lt;=60,"60-70",G2156&lt;=70,"70-80",G2156&lt;=80,"80-90")</f>
        <v>70-80</v>
      </c>
      <c r="I2156" s="17">
        <v>2456</v>
      </c>
      <c r="J2156" s="13" t="str" cm="1">
        <f t="array" ref="J2156">_xlfn.IFS(K2156=1,"Divorciado",L2156=1,"Casado",M2156=1,"Solteiro",N2156=1,"Juntos",O2156=1,"Viuvo")</f>
        <v>Casado</v>
      </c>
      <c r="K2156" s="17">
        <v>0</v>
      </c>
      <c r="L2156" s="17">
        <v>1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1</v>
      </c>
      <c r="S2156" s="17">
        <v>0</v>
      </c>
      <c r="T2156" s="17">
        <v>0</v>
      </c>
      <c r="U2156" s="17">
        <v>1</v>
      </c>
      <c r="V2156" s="13" t="str" cm="1">
        <f t="array" ref="V2156">_xlfn.IFS(U2156&lt;=250,"0-R$250",U2156&lt;=500,"251-R$500",U2156&lt;=750,"501-R$750",U2156&lt;=1000,"751-R$1000",U2156&lt;=1250,"1001-R$1250",U2156&lt;=1500,"1251-R$1500")</f>
        <v>0-R$250</v>
      </c>
      <c r="W2156" s="17">
        <v>2</v>
      </c>
      <c r="X2156" s="13" t="str" cm="1">
        <f t="array" ref="X2156">_xlfn.IFS(W2156 = 0, "0", W2156&lt;=20, "até R$20",W2156&lt;=40, "21 - R$40",W2156&lt;=60, "41- R$60",W2156&lt;=80, "61 - R$80", W2156&lt;=100, "81 - R$100",W2156&lt;=120, "101 - R$120",W2156&lt;=140, "121 - R$140", W2156&lt;=160, "141- R$160", W2156&lt;=180, "161 - R$180", W2156&lt;=200, "181-R$194")</f>
        <v>até R$20</v>
      </c>
      <c r="Y2156" s="17">
        <v>5</v>
      </c>
      <c r="Z2156" s="17">
        <v>6</v>
      </c>
      <c r="AA2156" s="17">
        <v>0</v>
      </c>
      <c r="AB2156" s="17">
        <v>3</v>
      </c>
      <c r="AC2156" s="17">
        <v>1</v>
      </c>
      <c r="AD2156" s="17">
        <v>1</v>
      </c>
      <c r="AE2156" s="17">
        <v>0</v>
      </c>
      <c r="AF2156" s="17">
        <v>2</v>
      </c>
      <c r="AG2156" s="17">
        <v>7</v>
      </c>
      <c r="AH2156" s="17">
        <v>0</v>
      </c>
      <c r="AI2156" s="17">
        <v>0</v>
      </c>
      <c r="AJ2156" s="17">
        <v>0</v>
      </c>
      <c r="AK2156" s="17">
        <v>0</v>
      </c>
      <c r="AL2156" s="17">
        <v>0</v>
      </c>
      <c r="AM2156" s="17">
        <v>0</v>
      </c>
      <c r="AN2156" s="17">
        <v>0</v>
      </c>
      <c r="AO2156" s="18">
        <v>0</v>
      </c>
      <c r="AP2156" s="17">
        <v>3</v>
      </c>
      <c r="AQ2156" s="17">
        <v>11</v>
      </c>
      <c r="AR2156" s="19">
        <v>11</v>
      </c>
      <c r="AS2156" s="19">
        <v>14</v>
      </c>
    </row>
    <row r="2157" spans="1:45" x14ac:dyDescent="0.25">
      <c r="A2157">
        <v>1372</v>
      </c>
      <c r="B2157" s="11">
        <f t="shared" si="33"/>
        <v>39996</v>
      </c>
      <c r="C2157" s="12">
        <v>399960</v>
      </c>
      <c r="D2157" s="13">
        <v>1</v>
      </c>
      <c r="E2157" s="13">
        <v>1</v>
      </c>
      <c r="F2157" s="13">
        <v>85</v>
      </c>
      <c r="G2157" s="13">
        <v>46</v>
      </c>
      <c r="H2157" s="13" t="str" cm="1">
        <f t="array" ref="H2157">_xlfn.IFS(G2157&lt;=20,"0-20",G2157&lt;=30,"20-30",G2157&lt;=40,"30-40",G2157&lt;=50,"50-60",G2157&lt;=60,"60-70",G2157&lt;=70,"70-80",G2157&lt;=80,"80-90")</f>
        <v>50-60</v>
      </c>
      <c r="I2157" s="13">
        <v>2197</v>
      </c>
      <c r="J2157" s="13" t="str" cm="1">
        <f t="array" ref="J2157">_xlfn.IFS(K2157=1,"Divorciado",L2157=1,"Casado",M2157=1,"Solteiro",N2157=1,"Juntos",O2157=1,"Viuvo")</f>
        <v>Divorciado</v>
      </c>
      <c r="K2157" s="13">
        <v>1</v>
      </c>
      <c r="L2157" s="13">
        <v>0</v>
      </c>
      <c r="M2157" s="13">
        <v>0</v>
      </c>
      <c r="N2157" s="13">
        <v>0</v>
      </c>
      <c r="O2157" s="13">
        <v>0</v>
      </c>
      <c r="P2157" s="13">
        <v>0</v>
      </c>
      <c r="Q2157" s="13">
        <v>0</v>
      </c>
      <c r="R2157" s="13">
        <v>1</v>
      </c>
      <c r="S2157" s="13">
        <v>0</v>
      </c>
      <c r="T2157" s="13">
        <v>0</v>
      </c>
      <c r="U2157" s="13">
        <v>11</v>
      </c>
      <c r="V2157" s="13" t="str" cm="1">
        <f t="array" ref="V2157">_xlfn.IFS(U2157&lt;=250,"0-R$250",U2157&lt;=500,"251-R$500",U2157&lt;=750,"501-R$750",U2157&lt;=1000,"751-R$1000",U2157&lt;=1250,"1001-R$1250",U2157&lt;=1500,"1251-R$1500")</f>
        <v>0-R$250</v>
      </c>
      <c r="W2157" s="13">
        <v>0</v>
      </c>
      <c r="X2157" s="13" t="str" cm="1">
        <f t="array" ref="X2157">_xlfn.IFS(W2157 = 0, "0", W2157&lt;=20, "até R$20",W2157&lt;=40, "21 - R$40",W2157&lt;=60, "41- R$60",W2157&lt;=80, "61 - R$80", W2157&lt;=100, "81 - R$100",W2157&lt;=120, "101 - R$120",W2157&lt;=140, "121 - R$140", W2157&lt;=160, "141- R$160", W2157&lt;=180, "161 - R$180", W2157&lt;=200, "181-R$194")</f>
        <v>0</v>
      </c>
      <c r="Y2157" s="13">
        <v>3</v>
      </c>
      <c r="Z2157" s="13">
        <v>0</v>
      </c>
      <c r="AA2157" s="13">
        <v>0</v>
      </c>
      <c r="AB2157" s="13">
        <v>1</v>
      </c>
      <c r="AC2157" s="13">
        <v>1</v>
      </c>
      <c r="AD2157" s="13">
        <v>1</v>
      </c>
      <c r="AE2157" s="13">
        <v>0</v>
      </c>
      <c r="AF2157" s="13">
        <v>2</v>
      </c>
      <c r="AG2157" s="13">
        <v>6</v>
      </c>
      <c r="AH2157" s="13">
        <v>0</v>
      </c>
      <c r="AI2157" s="13">
        <v>0</v>
      </c>
      <c r="AJ2157" s="13">
        <v>0</v>
      </c>
      <c r="AK2157" s="13">
        <v>0</v>
      </c>
      <c r="AL2157" s="13">
        <v>0</v>
      </c>
      <c r="AM2157" s="13">
        <v>0</v>
      </c>
      <c r="AN2157" s="13">
        <v>0</v>
      </c>
      <c r="AO2157" s="14">
        <v>0</v>
      </c>
      <c r="AP2157" s="13">
        <v>3</v>
      </c>
      <c r="AQ2157" s="13">
        <v>11</v>
      </c>
      <c r="AR2157" s="15">
        <v>13</v>
      </c>
      <c r="AS2157" s="15">
        <v>14</v>
      </c>
    </row>
    <row r="2158" spans="1:45" x14ac:dyDescent="0.25">
      <c r="A2158">
        <v>1556</v>
      </c>
      <c r="B2158" s="11">
        <f t="shared" si="33"/>
        <v>34633</v>
      </c>
      <c r="C2158" s="12">
        <v>346330</v>
      </c>
      <c r="D2158" s="13">
        <v>2</v>
      </c>
      <c r="E2158" s="13">
        <v>1</v>
      </c>
      <c r="F2158" s="13">
        <v>31</v>
      </c>
      <c r="G2158" s="13">
        <v>64</v>
      </c>
      <c r="H2158" s="13" t="str" cm="1">
        <f t="array" ref="H2158">_xlfn.IFS(G2158&lt;=20,"0-20",G2158&lt;=30,"20-30",G2158&lt;=40,"30-40",G2158&lt;=50,"50-60",G2158&lt;=60,"60-70",G2158&lt;=70,"70-80",G2158&lt;=80,"80-90")</f>
        <v>70-80</v>
      </c>
      <c r="I2158" s="13">
        <v>2316</v>
      </c>
      <c r="J2158" s="13" t="str" cm="1">
        <f t="array" ref="J2158">_xlfn.IFS(K2158=1,"Divorciado",L2158=1,"Casado",M2158=1,"Solteiro",N2158=1,"Juntos",O2158=1,"Viuvo")</f>
        <v>Juntos</v>
      </c>
      <c r="K2158" s="13">
        <v>0</v>
      </c>
      <c r="L2158" s="13">
        <v>0</v>
      </c>
      <c r="M2158" s="13">
        <v>0</v>
      </c>
      <c r="N2158" s="13">
        <v>1</v>
      </c>
      <c r="O2158" s="13">
        <v>0</v>
      </c>
      <c r="P2158" s="13">
        <v>0</v>
      </c>
      <c r="Q2158" s="13">
        <v>0</v>
      </c>
      <c r="R2158" s="13">
        <v>1</v>
      </c>
      <c r="S2158" s="13">
        <v>0</v>
      </c>
      <c r="T2158" s="13">
        <v>0</v>
      </c>
      <c r="U2158" s="13">
        <v>8</v>
      </c>
      <c r="V2158" s="13" t="str" cm="1">
        <f t="array" ref="V2158">_xlfn.IFS(U2158&lt;=250,"0-R$250",U2158&lt;=500,"251-R$500",U2158&lt;=750,"501-R$750",U2158&lt;=1000,"751-R$1000",U2158&lt;=1250,"1001-R$1250",U2158&lt;=1500,"1251-R$1500")</f>
        <v>0-R$250</v>
      </c>
      <c r="W2158" s="13">
        <v>1</v>
      </c>
      <c r="X2158" s="13" t="str" cm="1">
        <f t="array" ref="X2158">_xlfn.IFS(W2158 = 0, "0", W2158&lt;=20, "até R$20",W2158&lt;=40, "21 - R$40",W2158&lt;=60, "41- R$60",W2158&lt;=80, "61 - R$80", W2158&lt;=100, "81 - R$100",W2158&lt;=120, "101 - R$120",W2158&lt;=140, "121 - R$140", W2158&lt;=160, "141- R$160", W2158&lt;=180, "161 - R$180", W2158&lt;=200, "181-R$194")</f>
        <v>até R$20</v>
      </c>
      <c r="Y2158" s="13">
        <v>5</v>
      </c>
      <c r="Z2158" s="13">
        <v>0</v>
      </c>
      <c r="AA2158" s="13">
        <v>0</v>
      </c>
      <c r="AB2158" s="13">
        <v>1</v>
      </c>
      <c r="AC2158" s="13">
        <v>1</v>
      </c>
      <c r="AD2158" s="13">
        <v>1</v>
      </c>
      <c r="AE2158" s="13">
        <v>0</v>
      </c>
      <c r="AF2158" s="13">
        <v>2</v>
      </c>
      <c r="AG2158" s="13">
        <v>6</v>
      </c>
      <c r="AH2158" s="13">
        <v>0</v>
      </c>
      <c r="AI2158" s="13">
        <v>0</v>
      </c>
      <c r="AJ2158" s="13">
        <v>0</v>
      </c>
      <c r="AK2158" s="13">
        <v>0</v>
      </c>
      <c r="AL2158" s="13">
        <v>0</v>
      </c>
      <c r="AM2158" s="13">
        <v>0</v>
      </c>
      <c r="AN2158" s="13">
        <v>0</v>
      </c>
      <c r="AO2158" s="14">
        <v>0</v>
      </c>
      <c r="AP2158" s="13">
        <v>3</v>
      </c>
      <c r="AQ2158" s="13">
        <v>11</v>
      </c>
      <c r="AR2158" s="15">
        <v>13</v>
      </c>
      <c r="AS2158" s="15">
        <v>14</v>
      </c>
    </row>
    <row r="2159" spans="1:45" x14ac:dyDescent="0.25">
      <c r="A2159">
        <v>1592</v>
      </c>
      <c r="B2159" s="11">
        <f t="shared" si="33"/>
        <v>28359</v>
      </c>
      <c r="C2159" s="12">
        <v>283590</v>
      </c>
      <c r="D2159" s="13">
        <v>1</v>
      </c>
      <c r="E2159" s="13">
        <v>0</v>
      </c>
      <c r="F2159" s="13">
        <v>35</v>
      </c>
      <c r="G2159" s="13">
        <v>37</v>
      </c>
      <c r="H2159" s="13" t="str" cm="1">
        <f t="array" ref="H2159">_xlfn.IFS(G2159&lt;=20,"0-20",G2159&lt;=30,"20-30",G2159&lt;=40,"30-40",G2159&lt;=50,"50-60",G2159&lt;=60,"60-70",G2159&lt;=70,"70-80",G2159&lt;=80,"80-90")</f>
        <v>30-40</v>
      </c>
      <c r="I2159" s="13">
        <v>2404</v>
      </c>
      <c r="J2159" s="13" t="str" cm="1">
        <f t="array" ref="J2159">_xlfn.IFS(K2159=1,"Divorciado",L2159=1,"Casado",M2159=1,"Solteiro",N2159=1,"Juntos",O2159=1,"Viuvo")</f>
        <v>Juntos</v>
      </c>
      <c r="K2159" s="13">
        <v>0</v>
      </c>
      <c r="L2159" s="13">
        <v>0</v>
      </c>
      <c r="M2159" s="13">
        <v>0</v>
      </c>
      <c r="N2159" s="13">
        <v>1</v>
      </c>
      <c r="O2159" s="13">
        <v>0</v>
      </c>
      <c r="P2159" s="13">
        <v>0</v>
      </c>
      <c r="Q2159" s="13">
        <v>0</v>
      </c>
      <c r="R2159" s="13">
        <v>1</v>
      </c>
      <c r="S2159" s="13">
        <v>0</v>
      </c>
      <c r="T2159" s="13">
        <v>0</v>
      </c>
      <c r="U2159" s="13">
        <v>6</v>
      </c>
      <c r="V2159" s="13" t="str" cm="1">
        <f t="array" ref="V2159">_xlfn.IFS(U2159&lt;=250,"0-R$250",U2159&lt;=500,"251-R$500",U2159&lt;=750,"501-R$750",U2159&lt;=1000,"751-R$1000",U2159&lt;=1250,"1001-R$1250",U2159&lt;=1500,"1251-R$1500")</f>
        <v>0-R$250</v>
      </c>
      <c r="W2159" s="13">
        <v>0</v>
      </c>
      <c r="X2159" s="13" t="str" cm="1">
        <f t="array" ref="X2159">_xlfn.IFS(W2159 = 0, "0", W2159&lt;=20, "até R$20",W2159&lt;=40, "21 - R$40",W2159&lt;=60, "41- R$60",W2159&lt;=80, "61 - R$80", W2159&lt;=100, "81 - R$100",W2159&lt;=120, "101 - R$120",W2159&lt;=140, "121 - R$140", W2159&lt;=160, "141- R$160", W2159&lt;=180, "161 - R$180", W2159&lt;=200, "181-R$194")</f>
        <v>0</v>
      </c>
      <c r="Y2159" s="13">
        <v>5</v>
      </c>
      <c r="Z2159" s="13">
        <v>2</v>
      </c>
      <c r="AA2159" s="13">
        <v>1</v>
      </c>
      <c r="AB2159" s="13">
        <v>2</v>
      </c>
      <c r="AC2159" s="13">
        <v>1</v>
      </c>
      <c r="AD2159" s="13">
        <v>1</v>
      </c>
      <c r="AE2159" s="13">
        <v>0</v>
      </c>
      <c r="AF2159" s="13">
        <v>2</v>
      </c>
      <c r="AG2159" s="13">
        <v>7</v>
      </c>
      <c r="AH2159" s="13">
        <v>0</v>
      </c>
      <c r="AI2159" s="13">
        <v>0</v>
      </c>
      <c r="AJ2159" s="13">
        <v>0</v>
      </c>
      <c r="AK2159" s="13">
        <v>0</v>
      </c>
      <c r="AL2159" s="13">
        <v>0</v>
      </c>
      <c r="AM2159" s="13">
        <v>0</v>
      </c>
      <c r="AN2159" s="13">
        <v>0</v>
      </c>
      <c r="AO2159" s="14">
        <v>0</v>
      </c>
      <c r="AP2159" s="13">
        <v>3</v>
      </c>
      <c r="AQ2159" s="13">
        <v>11</v>
      </c>
      <c r="AR2159" s="15">
        <v>12</v>
      </c>
      <c r="AS2159" s="15">
        <v>14</v>
      </c>
    </row>
    <row r="2160" spans="1:45" x14ac:dyDescent="0.25">
      <c r="A2160">
        <v>1609</v>
      </c>
      <c r="B2160" s="11">
        <f t="shared" si="33"/>
        <v>22775</v>
      </c>
      <c r="C2160" s="16">
        <v>227750</v>
      </c>
      <c r="D2160" s="17">
        <v>1</v>
      </c>
      <c r="E2160" s="17">
        <v>0</v>
      </c>
      <c r="F2160" s="17">
        <v>40</v>
      </c>
      <c r="G2160" s="17">
        <v>42</v>
      </c>
      <c r="H2160" s="13" t="str" cm="1">
        <f t="array" ref="H2160">_xlfn.IFS(G2160&lt;=20,"0-20",G2160&lt;=30,"20-30",G2160&lt;=40,"30-40",G2160&lt;=50,"50-60",G2160&lt;=60,"60-70",G2160&lt;=70,"70-80",G2160&lt;=80,"80-90")</f>
        <v>50-60</v>
      </c>
      <c r="I2160" s="17">
        <v>2534</v>
      </c>
      <c r="J2160" s="13" t="str" cm="1">
        <f t="array" ref="J2160">_xlfn.IFS(K2160=1,"Divorciado",L2160=1,"Casado",M2160=1,"Solteiro",N2160=1,"Juntos",O2160=1,"Viuvo")</f>
        <v>Juntos</v>
      </c>
      <c r="K2160" s="17">
        <v>0</v>
      </c>
      <c r="L2160" s="17">
        <v>0</v>
      </c>
      <c r="M2160" s="17">
        <v>0</v>
      </c>
      <c r="N2160" s="17">
        <v>1</v>
      </c>
      <c r="O2160" s="17">
        <v>0</v>
      </c>
      <c r="P2160" s="17">
        <v>0</v>
      </c>
      <c r="Q2160" s="17">
        <v>0</v>
      </c>
      <c r="R2160" s="17">
        <v>1</v>
      </c>
      <c r="S2160" s="17">
        <v>0</v>
      </c>
      <c r="T2160" s="17">
        <v>0</v>
      </c>
      <c r="U2160" s="17">
        <v>5</v>
      </c>
      <c r="V2160" s="13" t="str" cm="1">
        <f t="array" ref="V2160">_xlfn.IFS(U2160&lt;=250,"0-R$250",U2160&lt;=500,"251-R$500",U2160&lt;=750,"501-R$750",U2160&lt;=1000,"751-R$1000",U2160&lt;=1250,"1001-R$1250",U2160&lt;=1500,"1251-R$1500")</f>
        <v>0-R$250</v>
      </c>
      <c r="W2160" s="17">
        <v>1</v>
      </c>
      <c r="X2160" s="13" t="str" cm="1">
        <f t="array" ref="X2160">_xlfn.IFS(W2160 = 0, "0", W2160&lt;=20, "até R$20",W2160&lt;=40, "21 - R$40",W2160&lt;=60, "41- R$60",W2160&lt;=80, "61 - R$80", W2160&lt;=100, "81 - R$100",W2160&lt;=120, "101 - R$120",W2160&lt;=140, "121 - R$140", W2160&lt;=160, "141- R$160", W2160&lt;=180, "161 - R$180", W2160&lt;=200, "181-R$194")</f>
        <v>até R$20</v>
      </c>
      <c r="Y2160" s="17">
        <v>8</v>
      </c>
      <c r="Z2160" s="17">
        <v>0</v>
      </c>
      <c r="AA2160" s="17">
        <v>0</v>
      </c>
      <c r="AB2160" s="17">
        <v>1</v>
      </c>
      <c r="AC2160" s="17">
        <v>1</v>
      </c>
      <c r="AD2160" s="17">
        <v>1</v>
      </c>
      <c r="AE2160" s="17">
        <v>0</v>
      </c>
      <c r="AF2160" s="17">
        <v>2</v>
      </c>
      <c r="AG2160" s="17">
        <v>8</v>
      </c>
      <c r="AH2160" s="17">
        <v>0</v>
      </c>
      <c r="AI2160" s="17">
        <v>0</v>
      </c>
      <c r="AJ2160" s="17">
        <v>0</v>
      </c>
      <c r="AK2160" s="17">
        <v>0</v>
      </c>
      <c r="AL2160" s="17">
        <v>0</v>
      </c>
      <c r="AM2160" s="17">
        <v>0</v>
      </c>
      <c r="AN2160" s="17">
        <v>0</v>
      </c>
      <c r="AO2160" s="18">
        <v>0</v>
      </c>
      <c r="AP2160" s="17">
        <v>3</v>
      </c>
      <c r="AQ2160" s="17">
        <v>11</v>
      </c>
      <c r="AR2160" s="19">
        <v>13</v>
      </c>
      <c r="AS2160" s="19">
        <v>14</v>
      </c>
    </row>
    <row r="2161" spans="1:45" x14ac:dyDescent="0.25">
      <c r="A2161">
        <v>1667</v>
      </c>
      <c r="B2161" s="11">
        <f t="shared" si="33"/>
        <v>18169</v>
      </c>
      <c r="C2161" s="16">
        <v>181690</v>
      </c>
      <c r="D2161" s="17">
        <v>1</v>
      </c>
      <c r="E2161" s="17">
        <v>0</v>
      </c>
      <c r="F2161" s="17">
        <v>40</v>
      </c>
      <c r="G2161" s="17">
        <v>35</v>
      </c>
      <c r="H2161" s="13" t="str" cm="1">
        <f t="array" ref="H2161">_xlfn.IFS(G2161&lt;=20,"0-20",G2161&lt;=30,"20-30",G2161&lt;=40,"30-40",G2161&lt;=50,"50-60",G2161&lt;=60,"60-70",G2161&lt;=70,"70-80",G2161&lt;=80,"80-90")</f>
        <v>30-40</v>
      </c>
      <c r="I2161" s="17">
        <v>2654</v>
      </c>
      <c r="J2161" s="13" t="str" cm="1">
        <f t="array" ref="J2161">_xlfn.IFS(K2161=1,"Divorciado",L2161=1,"Casado",M2161=1,"Solteiro",N2161=1,"Juntos",O2161=1,"Viuvo")</f>
        <v>Casado</v>
      </c>
      <c r="K2161" s="17">
        <v>0</v>
      </c>
      <c r="L2161" s="17">
        <v>1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1</v>
      </c>
      <c r="U2161" s="17">
        <v>9</v>
      </c>
      <c r="V2161" s="13" t="str" cm="1">
        <f t="array" ref="V2161">_xlfn.IFS(U2161&lt;=250,"0-R$250",U2161&lt;=500,"251-R$500",U2161&lt;=750,"501-R$750",U2161&lt;=1000,"751-R$1000",U2161&lt;=1250,"1001-R$1250",U2161&lt;=1500,"1251-R$1500")</f>
        <v>0-R$250</v>
      </c>
      <c r="W2161" s="17">
        <v>0</v>
      </c>
      <c r="X2161" s="13" t="str" cm="1">
        <f t="array" ref="X2161">_xlfn.IFS(W2161 = 0, "0", W2161&lt;=20, "até R$20",W2161&lt;=40, "21 - R$40",W2161&lt;=60, "41- R$60",W2161&lt;=80, "61 - R$80", W2161&lt;=100, "81 - R$100",W2161&lt;=120, "101 - R$120",W2161&lt;=140, "121 - R$140", W2161&lt;=160, "141- R$160", W2161&lt;=180, "161 - R$180", W2161&lt;=200, "181-R$194")</f>
        <v>0</v>
      </c>
      <c r="Y2161" s="17">
        <v>5</v>
      </c>
      <c r="Z2161" s="17">
        <v>0</v>
      </c>
      <c r="AA2161" s="17">
        <v>0</v>
      </c>
      <c r="AB2161" s="17">
        <v>7</v>
      </c>
      <c r="AC2161" s="17">
        <v>1</v>
      </c>
      <c r="AD2161" s="17">
        <v>1</v>
      </c>
      <c r="AE2161" s="17">
        <v>0</v>
      </c>
      <c r="AF2161" s="17">
        <v>2</v>
      </c>
      <c r="AG2161" s="17">
        <v>8</v>
      </c>
      <c r="AH2161" s="17">
        <v>0</v>
      </c>
      <c r="AI2161" s="17">
        <v>0</v>
      </c>
      <c r="AJ2161" s="17">
        <v>0</v>
      </c>
      <c r="AK2161" s="17">
        <v>0</v>
      </c>
      <c r="AL2161" s="17">
        <v>0</v>
      </c>
      <c r="AM2161" s="17">
        <v>0</v>
      </c>
      <c r="AN2161" s="17">
        <v>0</v>
      </c>
      <c r="AO2161" s="18">
        <v>0</v>
      </c>
      <c r="AP2161" s="17">
        <v>3</v>
      </c>
      <c r="AQ2161" s="17">
        <v>11</v>
      </c>
      <c r="AR2161" s="19">
        <v>7</v>
      </c>
      <c r="AS2161" s="19">
        <v>14</v>
      </c>
    </row>
    <row r="2162" spans="1:45" x14ac:dyDescent="0.25">
      <c r="A2162">
        <v>1913</v>
      </c>
      <c r="B2162" s="11">
        <f t="shared" si="33"/>
        <v>34242</v>
      </c>
      <c r="C2162" s="16">
        <v>342420</v>
      </c>
      <c r="D2162" s="17">
        <v>0</v>
      </c>
      <c r="E2162" s="17">
        <v>1</v>
      </c>
      <c r="F2162" s="17">
        <v>25</v>
      </c>
      <c r="G2162" s="17">
        <v>61</v>
      </c>
      <c r="H2162" s="13" t="str" cm="1">
        <f t="array" ref="H2162">_xlfn.IFS(G2162&lt;=20,"0-20",G2162&lt;=30,"20-30",G2162&lt;=40,"30-40",G2162&lt;=50,"50-60",G2162&lt;=60,"60-70",G2162&lt;=70,"70-80",G2162&lt;=80,"80-90")</f>
        <v>70-80</v>
      </c>
      <c r="I2162" s="17">
        <v>2257</v>
      </c>
      <c r="J2162" s="13" t="str" cm="1">
        <f t="array" ref="J2162">_xlfn.IFS(K2162=1,"Divorciado",L2162=1,"Casado",M2162=1,"Solteiro",N2162=1,"Juntos",O2162=1,"Viuvo")</f>
        <v>Casado</v>
      </c>
      <c r="K2162" s="17">
        <v>0</v>
      </c>
      <c r="L2162" s="17">
        <v>1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1</v>
      </c>
      <c r="T2162" s="17">
        <v>0</v>
      </c>
      <c r="U2162" s="17">
        <v>8</v>
      </c>
      <c r="V2162" s="13" t="str" cm="1">
        <f t="array" ref="V2162">_xlfn.IFS(U2162&lt;=250,"0-R$250",U2162&lt;=500,"251-R$500",U2162&lt;=750,"501-R$750",U2162&lt;=1000,"751-R$1000",U2162&lt;=1250,"1001-R$1250",U2162&lt;=1500,"1251-R$1500")</f>
        <v>0-R$250</v>
      </c>
      <c r="W2162" s="17">
        <v>2</v>
      </c>
      <c r="X2162" s="13" t="str" cm="1">
        <f t="array" ref="X2162">_xlfn.IFS(W2162 = 0, "0", W2162&lt;=20, "até R$20",W2162&lt;=40, "21 - R$40",W2162&lt;=60, "41- R$60",W2162&lt;=80, "61 - R$80", W2162&lt;=100, "81 - R$100",W2162&lt;=120, "101 - R$120",W2162&lt;=140, "121 - R$140", W2162&lt;=160, "141- R$160", W2162&lt;=180, "161 - R$180", W2162&lt;=200, "181-R$194")</f>
        <v>até R$20</v>
      </c>
      <c r="Y2162" s="17">
        <v>4</v>
      </c>
      <c r="Z2162" s="17">
        <v>0</v>
      </c>
      <c r="AA2162" s="17">
        <v>0</v>
      </c>
      <c r="AB2162" s="17">
        <v>1</v>
      </c>
      <c r="AC2162" s="17">
        <v>1</v>
      </c>
      <c r="AD2162" s="17">
        <v>0</v>
      </c>
      <c r="AE2162" s="17">
        <v>0</v>
      </c>
      <c r="AF2162" s="17">
        <v>3</v>
      </c>
      <c r="AG2162" s="17">
        <v>5</v>
      </c>
      <c r="AH2162" s="17">
        <v>0</v>
      </c>
      <c r="AI2162" s="17">
        <v>0</v>
      </c>
      <c r="AJ2162" s="17">
        <v>0</v>
      </c>
      <c r="AK2162" s="17">
        <v>0</v>
      </c>
      <c r="AL2162" s="17">
        <v>0</v>
      </c>
      <c r="AM2162" s="17">
        <v>0</v>
      </c>
      <c r="AN2162" s="17">
        <v>0</v>
      </c>
      <c r="AO2162" s="18">
        <v>0</v>
      </c>
      <c r="AP2162" s="17">
        <v>3</v>
      </c>
      <c r="AQ2162" s="17">
        <v>11</v>
      </c>
      <c r="AR2162" s="19">
        <v>13</v>
      </c>
      <c r="AS2162" s="19">
        <v>14</v>
      </c>
    </row>
    <row r="2163" spans="1:45" x14ac:dyDescent="0.25">
      <c r="A2163">
        <v>2186</v>
      </c>
      <c r="B2163" s="11">
        <f t="shared" si="33"/>
        <v>22775</v>
      </c>
      <c r="C2163" s="12">
        <v>227750</v>
      </c>
      <c r="D2163" s="13">
        <v>1</v>
      </c>
      <c r="E2163" s="13">
        <v>0</v>
      </c>
      <c r="F2163" s="13">
        <v>40</v>
      </c>
      <c r="G2163" s="13">
        <v>42</v>
      </c>
      <c r="H2163" s="13" t="str" cm="1">
        <f t="array" ref="H2163">_xlfn.IFS(G2163&lt;=20,"0-20",G2163&lt;=30,"20-30",G2163&lt;=40,"30-40",G2163&lt;=50,"50-60",G2163&lt;=60,"60-70",G2163&lt;=70,"70-80",G2163&lt;=80,"80-90")</f>
        <v>50-60</v>
      </c>
      <c r="I2163" s="13">
        <v>2534</v>
      </c>
      <c r="J2163" s="13" t="str" cm="1">
        <f t="array" ref="J2163">_xlfn.IFS(K2163=1,"Divorciado",L2163=1,"Casado",M2163=1,"Solteiro",N2163=1,"Juntos",O2163=1,"Viuvo")</f>
        <v>Juntos</v>
      </c>
      <c r="K2163" s="13">
        <v>0</v>
      </c>
      <c r="L2163" s="13">
        <v>0</v>
      </c>
      <c r="M2163" s="13">
        <v>0</v>
      </c>
      <c r="N2163" s="13">
        <v>1</v>
      </c>
      <c r="O2163" s="13">
        <v>0</v>
      </c>
      <c r="P2163" s="13">
        <v>0</v>
      </c>
      <c r="Q2163" s="13">
        <v>0</v>
      </c>
      <c r="R2163" s="13">
        <v>1</v>
      </c>
      <c r="S2163" s="13">
        <v>0</v>
      </c>
      <c r="T2163" s="13">
        <v>0</v>
      </c>
      <c r="U2163" s="13">
        <v>5</v>
      </c>
      <c r="V2163" s="13" t="str" cm="1">
        <f t="array" ref="V2163">_xlfn.IFS(U2163&lt;=250,"0-R$250",U2163&lt;=500,"251-R$500",U2163&lt;=750,"501-R$750",U2163&lt;=1000,"751-R$1000",U2163&lt;=1250,"1001-R$1250",U2163&lt;=1500,"1251-R$1500")</f>
        <v>0-R$250</v>
      </c>
      <c r="W2163" s="13">
        <v>1</v>
      </c>
      <c r="X2163" s="13" t="str" cm="1">
        <f t="array" ref="X2163">_xlfn.IFS(W2163 = 0, "0", W2163&lt;=20, "até R$20",W2163&lt;=40, "21 - R$40",W2163&lt;=60, "41- R$60",W2163&lt;=80, "61 - R$80", W2163&lt;=100, "81 - R$100",W2163&lt;=120, "101 - R$120",W2163&lt;=140, "121 - R$140", W2163&lt;=160, "141- R$160", W2163&lt;=180, "161 - R$180", W2163&lt;=200, "181-R$194")</f>
        <v>até R$20</v>
      </c>
      <c r="Y2163" s="13">
        <v>8</v>
      </c>
      <c r="Z2163" s="13">
        <v>0</v>
      </c>
      <c r="AA2163" s="13">
        <v>0</v>
      </c>
      <c r="AB2163" s="13">
        <v>1</v>
      </c>
      <c r="AC2163" s="13">
        <v>1</v>
      </c>
      <c r="AD2163" s="13">
        <v>1</v>
      </c>
      <c r="AE2163" s="13">
        <v>0</v>
      </c>
      <c r="AF2163" s="13">
        <v>2</v>
      </c>
      <c r="AG2163" s="13">
        <v>8</v>
      </c>
      <c r="AH2163" s="13">
        <v>0</v>
      </c>
      <c r="AI2163" s="13">
        <v>0</v>
      </c>
      <c r="AJ2163" s="13">
        <v>0</v>
      </c>
      <c r="AK2163" s="13">
        <v>0</v>
      </c>
      <c r="AL2163" s="13">
        <v>0</v>
      </c>
      <c r="AM2163" s="13">
        <v>0</v>
      </c>
      <c r="AN2163" s="13">
        <v>0</v>
      </c>
      <c r="AO2163" s="14">
        <v>0</v>
      </c>
      <c r="AP2163" s="13">
        <v>3</v>
      </c>
      <c r="AQ2163" s="13">
        <v>11</v>
      </c>
      <c r="AR2163" s="15">
        <v>13</v>
      </c>
      <c r="AS2163" s="15">
        <v>14</v>
      </c>
    </row>
    <row r="2164" spans="1:45" x14ac:dyDescent="0.25">
      <c r="A2164">
        <v>368</v>
      </c>
      <c r="B2164" s="11">
        <f t="shared" si="33"/>
        <v>36143</v>
      </c>
      <c r="C2164" s="12">
        <v>361430</v>
      </c>
      <c r="D2164" s="13">
        <v>1</v>
      </c>
      <c r="E2164" s="13">
        <v>0</v>
      </c>
      <c r="F2164" s="13">
        <v>33</v>
      </c>
      <c r="G2164" s="13">
        <v>39</v>
      </c>
      <c r="H2164" s="13" t="str" cm="1">
        <f t="array" ref="H2164">_xlfn.IFS(G2164&lt;=20,"0-20",G2164&lt;=30,"20-30",G2164&lt;=40,"30-40",G2164&lt;=50,"50-60",G2164&lt;=60,"60-70",G2164&lt;=70,"70-80",G2164&lt;=80,"80-90")</f>
        <v>30-40</v>
      </c>
      <c r="I2164" s="13">
        <v>2250</v>
      </c>
      <c r="J2164" s="13" t="str" cm="1">
        <f t="array" ref="J2164">_xlfn.IFS(K2164=1,"Divorciado",L2164=1,"Casado",M2164=1,"Solteiro",N2164=1,"Juntos",O2164=1,"Viuvo")</f>
        <v>Solteiro</v>
      </c>
      <c r="K2164" s="13">
        <v>0</v>
      </c>
      <c r="L2164" s="13">
        <v>0</v>
      </c>
      <c r="M2164" s="13">
        <v>1</v>
      </c>
      <c r="N2164" s="13">
        <v>0</v>
      </c>
      <c r="O2164" s="13">
        <v>0</v>
      </c>
      <c r="P2164" s="13">
        <v>0</v>
      </c>
      <c r="Q2164" s="13">
        <v>0</v>
      </c>
      <c r="R2164" s="13">
        <v>0</v>
      </c>
      <c r="S2164" s="13">
        <v>1</v>
      </c>
      <c r="T2164" s="13">
        <v>0</v>
      </c>
      <c r="U2164" s="13">
        <v>12</v>
      </c>
      <c r="V2164" s="13" t="str" cm="1">
        <f t="array" ref="V2164">_xlfn.IFS(U2164&lt;=250,"0-R$250",U2164&lt;=500,"251-R$500",U2164&lt;=750,"501-R$750",U2164&lt;=1000,"751-R$1000",U2164&lt;=1250,"1001-R$1250",U2164&lt;=1500,"1251-R$1500")</f>
        <v>0-R$250</v>
      </c>
      <c r="W2164" s="13">
        <v>0</v>
      </c>
      <c r="X2164" s="13" t="str" cm="1">
        <f t="array" ref="X2164">_xlfn.IFS(W2164 = 0, "0", W2164&lt;=20, "até R$20",W2164&lt;=40, "21 - R$40",W2164&lt;=60, "41- R$60",W2164&lt;=80, "61 - R$80", W2164&lt;=100, "81 - R$100",W2164&lt;=120, "101 - R$120",W2164&lt;=140, "121 - R$140", W2164&lt;=160, "141- R$160", W2164&lt;=180, "161 - R$180", W2164&lt;=200, "181-R$194")</f>
        <v>0</v>
      </c>
      <c r="Y2164" s="13">
        <v>1</v>
      </c>
      <c r="Z2164" s="13">
        <v>0</v>
      </c>
      <c r="AA2164" s="13">
        <v>0</v>
      </c>
      <c r="AB2164" s="13">
        <v>6</v>
      </c>
      <c r="AC2164" s="13">
        <v>1</v>
      </c>
      <c r="AD2164" s="13">
        <v>0</v>
      </c>
      <c r="AE2164" s="13">
        <v>1</v>
      </c>
      <c r="AF2164" s="13">
        <v>2</v>
      </c>
      <c r="AG2164" s="13">
        <v>3</v>
      </c>
      <c r="AH2164" s="13">
        <v>0</v>
      </c>
      <c r="AI2164" s="13">
        <v>0</v>
      </c>
      <c r="AJ2164" s="13">
        <v>0</v>
      </c>
      <c r="AK2164" s="13">
        <v>0</v>
      </c>
      <c r="AL2164" s="13">
        <v>0</v>
      </c>
      <c r="AM2164" s="13">
        <v>0</v>
      </c>
      <c r="AN2164" s="13">
        <v>0</v>
      </c>
      <c r="AO2164" s="14">
        <v>0</v>
      </c>
      <c r="AP2164" s="13">
        <v>3</v>
      </c>
      <c r="AQ2164" s="13">
        <v>11</v>
      </c>
      <c r="AR2164" s="15">
        <v>7</v>
      </c>
      <c r="AS2164" s="15">
        <v>13</v>
      </c>
    </row>
    <row r="2165" spans="1:45" x14ac:dyDescent="0.25">
      <c r="A2165">
        <v>426</v>
      </c>
      <c r="B2165" s="11">
        <f t="shared" si="33"/>
        <v>18100</v>
      </c>
      <c r="C2165" s="12">
        <v>181000</v>
      </c>
      <c r="D2165" s="13">
        <v>0</v>
      </c>
      <c r="E2165" s="13">
        <v>0</v>
      </c>
      <c r="F2165" s="13">
        <v>14</v>
      </c>
      <c r="G2165" s="13">
        <v>74</v>
      </c>
      <c r="H2165" s="13" t="str" cm="1">
        <f t="array" ref="H2165">_xlfn.IFS(G2165&lt;=20,"0-20",G2165&lt;=30,"20-30",G2165&lt;=40,"30-40",G2165&lt;=50,"50-60",G2165&lt;=60,"60-70",G2165&lt;=70,"70-80",G2165&lt;=80,"80-90")</f>
        <v>80-90</v>
      </c>
      <c r="I2165" s="13">
        <v>2486</v>
      </c>
      <c r="J2165" s="13" t="str" cm="1">
        <f t="array" ref="J2165">_xlfn.IFS(K2165=1,"Divorciado",L2165=1,"Casado",M2165=1,"Solteiro",N2165=1,"Juntos",O2165=1,"Viuvo")</f>
        <v>Casado</v>
      </c>
      <c r="K2165" s="13">
        <v>0</v>
      </c>
      <c r="L2165" s="13">
        <v>1</v>
      </c>
      <c r="M2165" s="13">
        <v>0</v>
      </c>
      <c r="N2165" s="13">
        <v>0</v>
      </c>
      <c r="O2165" s="13">
        <v>0</v>
      </c>
      <c r="P2165" s="13">
        <v>0</v>
      </c>
      <c r="Q2165" s="13">
        <v>0</v>
      </c>
      <c r="R2165" s="13">
        <v>1</v>
      </c>
      <c r="S2165" s="13">
        <v>0</v>
      </c>
      <c r="T2165" s="13">
        <v>0</v>
      </c>
      <c r="U2165" s="13">
        <v>3</v>
      </c>
      <c r="V2165" s="13" t="str" cm="1">
        <f t="array" ref="V2165">_xlfn.IFS(U2165&lt;=250,"0-R$250",U2165&lt;=500,"251-R$500",U2165&lt;=750,"501-R$750",U2165&lt;=1000,"751-R$1000",U2165&lt;=1250,"1001-R$1250",U2165&lt;=1500,"1251-R$1500")</f>
        <v>0-R$250</v>
      </c>
      <c r="W2165" s="13">
        <v>1</v>
      </c>
      <c r="X2165" s="13" t="str" cm="1">
        <f t="array" ref="X2165">_xlfn.IFS(W2165 = 0, "0", W2165&lt;=20, "até R$20",W2165&lt;=40, "21 - R$40",W2165&lt;=60, "41- R$60",W2165&lt;=80, "61 - R$80", W2165&lt;=100, "81 - R$100",W2165&lt;=120, "101 - R$120",W2165&lt;=140, "121 - R$140", W2165&lt;=160, "141- R$160", W2165&lt;=180, "161 - R$180", W2165&lt;=200, "181-R$194")</f>
        <v>até R$20</v>
      </c>
      <c r="Y2165" s="13">
        <v>2</v>
      </c>
      <c r="Z2165" s="13">
        <v>4</v>
      </c>
      <c r="AA2165" s="13">
        <v>3</v>
      </c>
      <c r="AB2165" s="13">
        <v>1</v>
      </c>
      <c r="AC2165" s="13">
        <v>1</v>
      </c>
      <c r="AD2165" s="13">
        <v>0</v>
      </c>
      <c r="AE2165" s="13">
        <v>0</v>
      </c>
      <c r="AF2165" s="13">
        <v>3</v>
      </c>
      <c r="AG2165" s="13">
        <v>5</v>
      </c>
      <c r="AH2165" s="13">
        <v>0</v>
      </c>
      <c r="AI2165" s="13">
        <v>0</v>
      </c>
      <c r="AJ2165" s="13">
        <v>0</v>
      </c>
      <c r="AK2165" s="13">
        <v>0</v>
      </c>
      <c r="AL2165" s="13">
        <v>0</v>
      </c>
      <c r="AM2165" s="13">
        <v>0</v>
      </c>
      <c r="AN2165" s="13">
        <v>0</v>
      </c>
      <c r="AO2165" s="14">
        <v>0</v>
      </c>
      <c r="AP2165" s="13">
        <v>3</v>
      </c>
      <c r="AQ2165" s="13">
        <v>11</v>
      </c>
      <c r="AR2165" s="15">
        <v>12</v>
      </c>
      <c r="AS2165" s="15">
        <v>13</v>
      </c>
    </row>
    <row r="2166" spans="1:45" x14ac:dyDescent="0.25">
      <c r="A2166">
        <v>990</v>
      </c>
      <c r="B2166" s="11">
        <f t="shared" si="33"/>
        <v>36736</v>
      </c>
      <c r="C2166" s="12">
        <v>367360</v>
      </c>
      <c r="D2166" s="13">
        <v>1</v>
      </c>
      <c r="E2166" s="13">
        <v>1</v>
      </c>
      <c r="F2166" s="13">
        <v>52</v>
      </c>
      <c r="G2166" s="13">
        <v>57</v>
      </c>
      <c r="H2166" s="13" t="str" cm="1">
        <f t="array" ref="H2166">_xlfn.IFS(G2166&lt;=20,"0-20",G2166&lt;=30,"20-30",G2166&lt;=40,"30-40",G2166&lt;=50,"50-60",G2166&lt;=60,"60-70",G2166&lt;=70,"70-80",G2166&lt;=80,"80-90")</f>
        <v>60-70</v>
      </c>
      <c r="I2166" s="13">
        <v>2574</v>
      </c>
      <c r="J2166" s="13" t="str" cm="1">
        <f t="array" ref="J2166">_xlfn.IFS(K2166=1,"Divorciado",L2166=1,"Casado",M2166=1,"Solteiro",N2166=1,"Juntos",O2166=1,"Viuvo")</f>
        <v>Solteiro</v>
      </c>
      <c r="K2166" s="13">
        <v>0</v>
      </c>
      <c r="L2166" s="13">
        <v>0</v>
      </c>
      <c r="M2166" s="13">
        <v>1</v>
      </c>
      <c r="N2166" s="13">
        <v>0</v>
      </c>
      <c r="O2166" s="13">
        <v>0</v>
      </c>
      <c r="P2166" s="13">
        <v>0</v>
      </c>
      <c r="Q2166" s="13">
        <v>0</v>
      </c>
      <c r="R2166" s="13">
        <v>0</v>
      </c>
      <c r="S2166" s="13">
        <v>0</v>
      </c>
      <c r="T2166" s="13">
        <v>1</v>
      </c>
      <c r="U2166" s="13">
        <v>10</v>
      </c>
      <c r="V2166" s="13" t="str" cm="1">
        <f t="array" ref="V2166">_xlfn.IFS(U2166&lt;=250,"0-R$250",U2166&lt;=500,"251-R$500",U2166&lt;=750,"501-R$750",U2166&lt;=1000,"751-R$1000",U2166&lt;=1250,"1001-R$1250",U2166&lt;=1500,"1251-R$1500")</f>
        <v>0-R$250</v>
      </c>
      <c r="W2166" s="13">
        <v>0</v>
      </c>
      <c r="X2166" s="13" t="str" cm="1">
        <f t="array" ref="X2166">_xlfn.IFS(W2166 = 0, "0", W2166&lt;=20, "até R$20",W2166&lt;=40, "21 - R$40",W2166&lt;=60, "41- R$60",W2166&lt;=80, "61 - R$80", W2166&lt;=100, "81 - R$100",W2166&lt;=120, "101 - R$120",W2166&lt;=140, "121 - R$140", W2166&lt;=160, "141- R$160", W2166&lt;=180, "161 - R$180", W2166&lt;=200, "181-R$194")</f>
        <v>0</v>
      </c>
      <c r="Y2166" s="13">
        <v>3</v>
      </c>
      <c r="Z2166" s="13">
        <v>0</v>
      </c>
      <c r="AA2166" s="13">
        <v>0</v>
      </c>
      <c r="AB2166" s="13">
        <v>4</v>
      </c>
      <c r="AC2166" s="13">
        <v>1</v>
      </c>
      <c r="AD2166" s="13">
        <v>1</v>
      </c>
      <c r="AE2166" s="13">
        <v>0</v>
      </c>
      <c r="AF2166" s="13">
        <v>2</v>
      </c>
      <c r="AG2166" s="13">
        <v>6</v>
      </c>
      <c r="AH2166" s="13">
        <v>0</v>
      </c>
      <c r="AI2166" s="13">
        <v>0</v>
      </c>
      <c r="AJ2166" s="13">
        <v>0</v>
      </c>
      <c r="AK2166" s="13">
        <v>0</v>
      </c>
      <c r="AL2166" s="13">
        <v>0</v>
      </c>
      <c r="AM2166" s="13">
        <v>0</v>
      </c>
      <c r="AN2166" s="13">
        <v>0</v>
      </c>
      <c r="AO2166" s="14">
        <v>0</v>
      </c>
      <c r="AP2166" s="13">
        <v>3</v>
      </c>
      <c r="AQ2166" s="13">
        <v>11</v>
      </c>
      <c r="AR2166" s="15">
        <v>9</v>
      </c>
      <c r="AS2166" s="15">
        <v>13</v>
      </c>
    </row>
    <row r="2167" spans="1:45" x14ac:dyDescent="0.25">
      <c r="A2167">
        <v>1109</v>
      </c>
      <c r="B2167" s="11">
        <f t="shared" si="33"/>
        <v>16581</v>
      </c>
      <c r="C2167" s="16">
        <v>165810</v>
      </c>
      <c r="D2167" s="17">
        <v>0</v>
      </c>
      <c r="E2167" s="17">
        <v>0</v>
      </c>
      <c r="F2167" s="17">
        <v>51</v>
      </c>
      <c r="G2167" s="17">
        <v>35</v>
      </c>
      <c r="H2167" s="13" t="str" cm="1">
        <f t="array" ref="H2167">_xlfn.IFS(G2167&lt;=20,"0-20",G2167&lt;=30,"20-30",G2167&lt;=40,"30-40",G2167&lt;=50,"50-60",G2167&lt;=60,"60-70",G2167&lt;=70,"70-80",G2167&lt;=80,"80-90")</f>
        <v>30-40</v>
      </c>
      <c r="I2167" s="17">
        <v>2692</v>
      </c>
      <c r="J2167" s="13" t="str" cm="1">
        <f t="array" ref="J2167">_xlfn.IFS(K2167=1,"Divorciado",L2167=1,"Casado",M2167=1,"Solteiro",N2167=1,"Juntos",O2167=1,"Viuvo")</f>
        <v>Solteiro</v>
      </c>
      <c r="K2167" s="17">
        <v>0</v>
      </c>
      <c r="L2167" s="17">
        <v>0</v>
      </c>
      <c r="M2167" s="17">
        <v>1</v>
      </c>
      <c r="N2167" s="17">
        <v>0</v>
      </c>
      <c r="O2167" s="17">
        <v>0</v>
      </c>
      <c r="P2167" s="17">
        <v>0</v>
      </c>
      <c r="Q2167" s="17">
        <v>1</v>
      </c>
      <c r="R2167" s="17">
        <v>0</v>
      </c>
      <c r="S2167" s="17">
        <v>0</v>
      </c>
      <c r="T2167" s="17">
        <v>0</v>
      </c>
      <c r="U2167" s="17">
        <v>1</v>
      </c>
      <c r="V2167" s="13" t="str" cm="1">
        <f t="array" ref="V2167">_xlfn.IFS(U2167&lt;=250,"0-R$250",U2167&lt;=500,"251-R$500",U2167&lt;=750,"501-R$750",U2167&lt;=1000,"751-R$1000",U2167&lt;=1250,"1001-R$1250",U2167&lt;=1500,"1251-R$1500")</f>
        <v>0-R$250</v>
      </c>
      <c r="W2167" s="17">
        <v>3</v>
      </c>
      <c r="X2167" s="13" t="str" cm="1">
        <f t="array" ref="X2167">_xlfn.IFS(W2167 = 0, "0", W2167&lt;=20, "até R$20",W2167&lt;=40, "21 - R$40",W2167&lt;=60, "41- R$60",W2167&lt;=80, "61 - R$80", W2167&lt;=100, "81 - R$100",W2167&lt;=120, "101 - R$120",W2167&lt;=140, "121 - R$140", W2167&lt;=160, "141- R$160", W2167&lt;=180, "161 - R$180", W2167&lt;=200, "181-R$194")</f>
        <v>até R$20</v>
      </c>
      <c r="Y2167" s="17">
        <v>4</v>
      </c>
      <c r="Z2167" s="17">
        <v>2</v>
      </c>
      <c r="AA2167" s="17">
        <v>3</v>
      </c>
      <c r="AB2167" s="17">
        <v>11</v>
      </c>
      <c r="AC2167" s="17">
        <v>1</v>
      </c>
      <c r="AD2167" s="17">
        <v>0</v>
      </c>
      <c r="AE2167" s="17">
        <v>0</v>
      </c>
      <c r="AF2167" s="17">
        <v>3</v>
      </c>
      <c r="AG2167" s="17">
        <v>4</v>
      </c>
      <c r="AH2167" s="17">
        <v>0</v>
      </c>
      <c r="AI2167" s="17">
        <v>0</v>
      </c>
      <c r="AJ2167" s="17">
        <v>0</v>
      </c>
      <c r="AK2167" s="17">
        <v>0</v>
      </c>
      <c r="AL2167" s="17">
        <v>0</v>
      </c>
      <c r="AM2167" s="17">
        <v>0</v>
      </c>
      <c r="AN2167" s="17">
        <v>0</v>
      </c>
      <c r="AO2167" s="18">
        <v>0</v>
      </c>
      <c r="AP2167" s="17">
        <v>3</v>
      </c>
      <c r="AQ2167" s="17">
        <v>11</v>
      </c>
      <c r="AR2167" s="19">
        <v>2</v>
      </c>
      <c r="AS2167" s="19">
        <v>13</v>
      </c>
    </row>
    <row r="2168" spans="1:45" x14ac:dyDescent="0.25">
      <c r="A2168">
        <v>1133</v>
      </c>
      <c r="B2168" s="11">
        <f t="shared" si="33"/>
        <v>7500</v>
      </c>
      <c r="C2168" s="16">
        <v>75000</v>
      </c>
      <c r="D2168" s="17">
        <v>0</v>
      </c>
      <c r="E2168" s="17">
        <v>1</v>
      </c>
      <c r="F2168" s="17">
        <v>61</v>
      </c>
      <c r="G2168" s="17">
        <v>41</v>
      </c>
      <c r="H2168" s="13" t="str" cm="1">
        <f t="array" ref="H2168">_xlfn.IFS(G2168&lt;=20,"0-20",G2168&lt;=30,"20-30",G2168&lt;=40,"30-40",G2168&lt;=50,"50-60",G2168&lt;=60,"60-70",G2168&lt;=70,"70-80",G2168&lt;=80,"80-90")</f>
        <v>50-60</v>
      </c>
      <c r="I2168" s="17">
        <v>2828</v>
      </c>
      <c r="J2168" s="13" t="str" cm="1">
        <f t="array" ref="J2168">_xlfn.IFS(K2168=1,"Divorciado",L2168=1,"Casado",M2168=1,"Solteiro",N2168=1,"Juntos",O2168=1,"Viuvo")</f>
        <v>Casado</v>
      </c>
      <c r="K2168" s="17">
        <v>0</v>
      </c>
      <c r="L2168" s="17">
        <v>1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1</v>
      </c>
      <c r="S2168" s="17">
        <v>0</v>
      </c>
      <c r="T2168" s="17">
        <v>0</v>
      </c>
      <c r="U2168" s="17">
        <v>5</v>
      </c>
      <c r="V2168" s="13" t="str" cm="1">
        <f t="array" ref="V2168">_xlfn.IFS(U2168&lt;=250,"0-R$250",U2168&lt;=500,"251-R$500",U2168&lt;=750,"501-R$750",U2168&lt;=1000,"751-R$1000",U2168&lt;=1250,"1001-R$1250",U2168&lt;=1500,"1251-R$1500")</f>
        <v>0-R$250</v>
      </c>
      <c r="W2168" s="17">
        <v>2</v>
      </c>
      <c r="X2168" s="13" t="str" cm="1">
        <f t="array" ref="X2168">_xlfn.IFS(W2168 = 0, "0", W2168&lt;=20, "até R$20",W2168&lt;=40, "21 - R$40",W2168&lt;=60, "41- R$60",W2168&lt;=80, "61 - R$80", W2168&lt;=100, "81 - R$100",W2168&lt;=120, "101 - R$120",W2168&lt;=140, "121 - R$140", W2168&lt;=160, "141- R$160", W2168&lt;=180, "161 - R$180", W2168&lt;=200, "181-R$194")</f>
        <v>até R$20</v>
      </c>
      <c r="Y2168" s="17">
        <v>3</v>
      </c>
      <c r="Z2168" s="17">
        <v>3</v>
      </c>
      <c r="AA2168" s="17">
        <v>0</v>
      </c>
      <c r="AB2168" s="17">
        <v>5</v>
      </c>
      <c r="AC2168" s="17">
        <v>1</v>
      </c>
      <c r="AD2168" s="17">
        <v>1</v>
      </c>
      <c r="AE2168" s="17">
        <v>0</v>
      </c>
      <c r="AF2168" s="17">
        <v>2</v>
      </c>
      <c r="AG2168" s="17">
        <v>8</v>
      </c>
      <c r="AH2168" s="17">
        <v>0</v>
      </c>
      <c r="AI2168" s="17">
        <v>0</v>
      </c>
      <c r="AJ2168" s="17">
        <v>0</v>
      </c>
      <c r="AK2168" s="17">
        <v>0</v>
      </c>
      <c r="AL2168" s="17">
        <v>0</v>
      </c>
      <c r="AM2168" s="17">
        <v>0</v>
      </c>
      <c r="AN2168" s="17">
        <v>0</v>
      </c>
      <c r="AO2168" s="18">
        <v>0</v>
      </c>
      <c r="AP2168" s="17">
        <v>3</v>
      </c>
      <c r="AQ2168" s="17">
        <v>11</v>
      </c>
      <c r="AR2168" s="19">
        <v>8</v>
      </c>
      <c r="AS2168" s="19">
        <v>13</v>
      </c>
    </row>
    <row r="2169" spans="1:45" x14ac:dyDescent="0.25">
      <c r="A2169">
        <v>1976</v>
      </c>
      <c r="B2169" s="11">
        <f t="shared" si="33"/>
        <v>28420</v>
      </c>
      <c r="C2169" s="12">
        <v>284200</v>
      </c>
      <c r="D2169" s="13">
        <v>1</v>
      </c>
      <c r="E2169" s="13">
        <v>0</v>
      </c>
      <c r="F2169" s="13">
        <v>36</v>
      </c>
      <c r="G2169" s="13">
        <v>53</v>
      </c>
      <c r="H2169" s="13" t="str" cm="1">
        <f t="array" ref="H2169">_xlfn.IFS(G2169&lt;=20,"0-20",G2169&lt;=30,"20-30",G2169&lt;=40,"30-40",G2169&lt;=50,"50-60",G2169&lt;=60,"60-70",G2169&lt;=70,"70-80",G2169&lt;=80,"80-90")</f>
        <v>60-70</v>
      </c>
      <c r="I2169" s="13">
        <v>2346</v>
      </c>
      <c r="J2169" s="13" t="str" cm="1">
        <f t="array" ref="J2169">_xlfn.IFS(K2169=1,"Divorciado",L2169=1,"Casado",M2169=1,"Solteiro",N2169=1,"Juntos",O2169=1,"Viuvo")</f>
        <v>Divorciado</v>
      </c>
      <c r="K2169" s="13">
        <v>1</v>
      </c>
      <c r="L2169" s="13">
        <v>0</v>
      </c>
      <c r="M2169" s="13">
        <v>0</v>
      </c>
      <c r="N2169" s="13">
        <v>0</v>
      </c>
      <c r="O2169" s="13">
        <v>0</v>
      </c>
      <c r="P2169" s="13">
        <v>0</v>
      </c>
      <c r="Q2169" s="13">
        <v>0</v>
      </c>
      <c r="R2169" s="13">
        <v>0</v>
      </c>
      <c r="S2169" s="13">
        <v>0</v>
      </c>
      <c r="T2169" s="13">
        <v>1</v>
      </c>
      <c r="U2169" s="13">
        <v>4</v>
      </c>
      <c r="V2169" s="13" t="str" cm="1">
        <f t="array" ref="V2169">_xlfn.IFS(U2169&lt;=250,"0-R$250",U2169&lt;=500,"251-R$500",U2169&lt;=750,"501-R$750",U2169&lt;=1000,"751-R$1000",U2169&lt;=1250,"1001-R$1250",U2169&lt;=1500,"1251-R$1500")</f>
        <v>0-R$250</v>
      </c>
      <c r="W2169" s="13">
        <v>2</v>
      </c>
      <c r="X2169" s="13" t="str" cm="1">
        <f t="array" ref="X2169">_xlfn.IFS(W2169 = 0, "0", W2169&lt;=20, "até R$20",W2169&lt;=40, "21 - R$40",W2169&lt;=60, "41- R$60",W2169&lt;=80, "61 - R$80", W2169&lt;=100, "81 - R$100",W2169&lt;=120, "101 - R$120",W2169&lt;=140, "121 - R$140", W2169&lt;=160, "141- R$160", W2169&lt;=180, "161 - R$180", W2169&lt;=200, "181-R$194")</f>
        <v>até R$20</v>
      </c>
      <c r="Y2169" s="13">
        <v>5</v>
      </c>
      <c r="Z2169" s="13">
        <v>2</v>
      </c>
      <c r="AA2169" s="13">
        <v>0</v>
      </c>
      <c r="AB2169" s="13">
        <v>0</v>
      </c>
      <c r="AC2169" s="13">
        <v>1</v>
      </c>
      <c r="AD2169" s="13">
        <v>1</v>
      </c>
      <c r="AE2169" s="13">
        <v>0</v>
      </c>
      <c r="AF2169" s="13">
        <v>2</v>
      </c>
      <c r="AG2169" s="13">
        <v>6</v>
      </c>
      <c r="AH2169" s="13">
        <v>0</v>
      </c>
      <c r="AI2169" s="13">
        <v>0</v>
      </c>
      <c r="AJ2169" s="13">
        <v>0</v>
      </c>
      <c r="AK2169" s="13">
        <v>0</v>
      </c>
      <c r="AL2169" s="13">
        <v>0</v>
      </c>
      <c r="AM2169" s="13">
        <v>0</v>
      </c>
      <c r="AN2169" s="13">
        <v>0</v>
      </c>
      <c r="AO2169" s="14">
        <v>0</v>
      </c>
      <c r="AP2169" s="13">
        <v>3</v>
      </c>
      <c r="AQ2169" s="13">
        <v>11</v>
      </c>
      <c r="AR2169" s="15">
        <v>13</v>
      </c>
      <c r="AS2169" s="15">
        <v>13</v>
      </c>
    </row>
    <row r="2170" spans="1:45" x14ac:dyDescent="0.25">
      <c r="A2170">
        <v>70</v>
      </c>
      <c r="B2170" s="11">
        <f t="shared" si="33"/>
        <v>40246</v>
      </c>
      <c r="C2170" s="12">
        <v>402460</v>
      </c>
      <c r="D2170" s="13">
        <v>1</v>
      </c>
      <c r="E2170" s="13">
        <v>0</v>
      </c>
      <c r="F2170" s="13">
        <v>68</v>
      </c>
      <c r="G2170" s="13">
        <v>43</v>
      </c>
      <c r="H2170" s="13" t="str" cm="1">
        <f t="array" ref="H2170">_xlfn.IFS(G2170&lt;=20,"0-20",G2170&lt;=30,"20-30",G2170&lt;=40,"30-40",G2170&lt;=50,"50-60",G2170&lt;=60,"60-70",G2170&lt;=70,"70-80",G2170&lt;=80,"80-90")</f>
        <v>50-60</v>
      </c>
      <c r="I2170" s="13">
        <v>2716</v>
      </c>
      <c r="J2170" s="13" t="str" cm="1">
        <f t="array" ref="J2170">_xlfn.IFS(K2170=1,"Divorciado",L2170=1,"Casado",M2170=1,"Solteiro",N2170=1,"Juntos",O2170=1,"Viuvo")</f>
        <v>Divorciado</v>
      </c>
      <c r="K2170" s="13">
        <v>1</v>
      </c>
      <c r="L2170" s="13">
        <v>0</v>
      </c>
      <c r="M2170" s="13">
        <v>0</v>
      </c>
      <c r="N2170" s="13">
        <v>0</v>
      </c>
      <c r="O2170" s="13">
        <v>0</v>
      </c>
      <c r="P2170" s="13">
        <v>0</v>
      </c>
      <c r="Q2170" s="13">
        <v>0</v>
      </c>
      <c r="R2170" s="13">
        <v>1</v>
      </c>
      <c r="S2170" s="13">
        <v>0</v>
      </c>
      <c r="T2170" s="13">
        <v>0</v>
      </c>
      <c r="U2170" s="13">
        <v>2</v>
      </c>
      <c r="V2170" s="13" t="str" cm="1">
        <f t="array" ref="V2170">_xlfn.IFS(U2170&lt;=250,"0-R$250",U2170&lt;=500,"251-R$500",U2170&lt;=750,"501-R$750",U2170&lt;=1000,"751-R$1000",U2170&lt;=1250,"1001-R$1250",U2170&lt;=1500,"1251-R$1500")</f>
        <v>0-R$250</v>
      </c>
      <c r="W2170" s="13">
        <v>1</v>
      </c>
      <c r="X2170" s="13" t="str" cm="1">
        <f t="array" ref="X2170">_xlfn.IFS(W2170 = 0, "0", W2170&lt;=20, "até R$20",W2170&lt;=40, "21 - R$40",W2170&lt;=60, "41- R$60",W2170&lt;=80, "61 - R$80", W2170&lt;=100, "81 - R$100",W2170&lt;=120, "101 - R$120",W2170&lt;=140, "121 - R$140", W2170&lt;=160, "141- R$160", W2170&lt;=180, "161 - R$180", W2170&lt;=200, "181-R$194")</f>
        <v>até R$20</v>
      </c>
      <c r="Y2170" s="13">
        <v>6</v>
      </c>
      <c r="Z2170" s="13">
        <v>2</v>
      </c>
      <c r="AA2170" s="13">
        <v>1</v>
      </c>
      <c r="AB2170" s="13">
        <v>1</v>
      </c>
      <c r="AC2170" s="13">
        <v>1</v>
      </c>
      <c r="AD2170" s="13">
        <v>1</v>
      </c>
      <c r="AE2170" s="13">
        <v>0</v>
      </c>
      <c r="AF2170" s="13">
        <v>2</v>
      </c>
      <c r="AG2170" s="13">
        <v>6</v>
      </c>
      <c r="AH2170" s="13">
        <v>0</v>
      </c>
      <c r="AI2170" s="13">
        <v>0</v>
      </c>
      <c r="AJ2170" s="13">
        <v>0</v>
      </c>
      <c r="AK2170" s="13">
        <v>0</v>
      </c>
      <c r="AL2170" s="13">
        <v>0</v>
      </c>
      <c r="AM2170" s="13">
        <v>0</v>
      </c>
      <c r="AN2170" s="13">
        <v>0</v>
      </c>
      <c r="AO2170" s="14">
        <v>0</v>
      </c>
      <c r="AP2170" s="13">
        <v>3</v>
      </c>
      <c r="AQ2170" s="13">
        <v>11</v>
      </c>
      <c r="AR2170" s="15">
        <v>11</v>
      </c>
      <c r="AS2170" s="15">
        <v>12</v>
      </c>
    </row>
    <row r="2171" spans="1:45" x14ac:dyDescent="0.25">
      <c r="A2171">
        <v>76</v>
      </c>
      <c r="B2171" s="11">
        <f t="shared" si="33"/>
        <v>26304</v>
      </c>
      <c r="C2171" s="12">
        <v>263040</v>
      </c>
      <c r="D2171" s="13">
        <v>1</v>
      </c>
      <c r="E2171" s="13">
        <v>0</v>
      </c>
      <c r="F2171" s="13">
        <v>5</v>
      </c>
      <c r="G2171" s="13">
        <v>51</v>
      </c>
      <c r="H2171" s="13" t="str" cm="1">
        <f t="array" ref="H2171">_xlfn.IFS(G2171&lt;=20,"0-20",G2171&lt;=30,"20-30",G2171&lt;=40,"30-40",G2171&lt;=50,"50-60",G2171&lt;=60,"60-70",G2171&lt;=70,"70-80",G2171&lt;=80,"80-90")</f>
        <v>60-70</v>
      </c>
      <c r="I2171" s="13">
        <v>2530</v>
      </c>
      <c r="J2171" s="13" t="str" cm="1">
        <f t="array" ref="J2171">_xlfn.IFS(K2171=1,"Divorciado",L2171=1,"Casado",M2171=1,"Solteiro",N2171=1,"Juntos",O2171=1,"Viuvo")</f>
        <v>Casado</v>
      </c>
      <c r="K2171" s="13">
        <v>0</v>
      </c>
      <c r="L2171" s="13">
        <v>1</v>
      </c>
      <c r="M2171" s="13">
        <v>0</v>
      </c>
      <c r="N2171" s="13">
        <v>0</v>
      </c>
      <c r="O2171" s="13">
        <v>0</v>
      </c>
      <c r="P2171" s="13">
        <v>0</v>
      </c>
      <c r="Q2171" s="13">
        <v>0</v>
      </c>
      <c r="R2171" s="13">
        <v>1</v>
      </c>
      <c r="S2171" s="13">
        <v>0</v>
      </c>
      <c r="T2171" s="13">
        <v>0</v>
      </c>
      <c r="U2171" s="13">
        <v>4</v>
      </c>
      <c r="V2171" s="13" t="str" cm="1">
        <f t="array" ref="V2171">_xlfn.IFS(U2171&lt;=250,"0-R$250",U2171&lt;=500,"251-R$500",U2171&lt;=750,"501-R$750",U2171&lt;=1000,"751-R$1000",U2171&lt;=1250,"1001-R$1250",U2171&lt;=1500,"1251-R$1500")</f>
        <v>0-R$250</v>
      </c>
      <c r="W2171" s="13">
        <v>1</v>
      </c>
      <c r="X2171" s="13" t="str" cm="1">
        <f t="array" ref="X2171">_xlfn.IFS(W2171 = 0, "0", W2171&lt;=20, "até R$20",W2171&lt;=40, "21 - R$40",W2171&lt;=60, "41- R$60",W2171&lt;=80, "61 - R$80", W2171&lt;=100, "81 - R$100",W2171&lt;=120, "101 - R$120",W2171&lt;=140, "121 - R$140", W2171&lt;=160, "141- R$160", W2171&lt;=180, "161 - R$180", W2171&lt;=200, "181-R$194")</f>
        <v>até R$20</v>
      </c>
      <c r="Y2171" s="13">
        <v>5</v>
      </c>
      <c r="Z2171" s="13">
        <v>2</v>
      </c>
      <c r="AA2171" s="13">
        <v>0</v>
      </c>
      <c r="AB2171" s="13">
        <v>4</v>
      </c>
      <c r="AC2171" s="13">
        <v>1</v>
      </c>
      <c r="AD2171" s="13">
        <v>1</v>
      </c>
      <c r="AE2171" s="13">
        <v>0</v>
      </c>
      <c r="AF2171" s="13">
        <v>2</v>
      </c>
      <c r="AG2171" s="13">
        <v>7</v>
      </c>
      <c r="AH2171" s="13">
        <v>0</v>
      </c>
      <c r="AI2171" s="13">
        <v>0</v>
      </c>
      <c r="AJ2171" s="13">
        <v>0</v>
      </c>
      <c r="AK2171" s="13">
        <v>0</v>
      </c>
      <c r="AL2171" s="13">
        <v>0</v>
      </c>
      <c r="AM2171" s="13">
        <v>0</v>
      </c>
      <c r="AN2171" s="13">
        <v>0</v>
      </c>
      <c r="AO2171" s="14">
        <v>0</v>
      </c>
      <c r="AP2171" s="13">
        <v>3</v>
      </c>
      <c r="AQ2171" s="13">
        <v>11</v>
      </c>
      <c r="AR2171" s="15">
        <v>8</v>
      </c>
      <c r="AS2171" s="15">
        <v>12</v>
      </c>
    </row>
    <row r="2172" spans="1:45" x14ac:dyDescent="0.25">
      <c r="A2172">
        <v>333</v>
      </c>
      <c r="B2172" s="11">
        <f t="shared" si="33"/>
        <v>33181</v>
      </c>
      <c r="C2172" s="16">
        <v>331810</v>
      </c>
      <c r="D2172" s="17">
        <v>1</v>
      </c>
      <c r="E2172" s="17">
        <v>0</v>
      </c>
      <c r="F2172" s="17">
        <v>90</v>
      </c>
      <c r="G2172" s="17">
        <v>44</v>
      </c>
      <c r="H2172" s="13" t="str" cm="1">
        <f t="array" ref="H2172">_xlfn.IFS(G2172&lt;=20,"0-20",G2172&lt;=30,"20-30",G2172&lt;=40,"30-40",G2172&lt;=50,"50-60",G2172&lt;=60,"60-70",G2172&lt;=70,"70-80",G2172&lt;=80,"80-90")</f>
        <v>50-60</v>
      </c>
      <c r="I2172" s="17">
        <v>2336</v>
      </c>
      <c r="J2172" s="13" t="str" cm="1">
        <f t="array" ref="J2172">_xlfn.IFS(K2172=1,"Divorciado",L2172=1,"Casado",M2172=1,"Solteiro",N2172=1,"Juntos",O2172=1,"Viuvo")</f>
        <v>Casado</v>
      </c>
      <c r="K2172" s="17">
        <v>0</v>
      </c>
      <c r="L2172" s="17">
        <v>1</v>
      </c>
      <c r="M2172" s="17">
        <v>0</v>
      </c>
      <c r="N2172" s="17">
        <v>0</v>
      </c>
      <c r="O2172" s="17">
        <v>0</v>
      </c>
      <c r="P2172" s="17">
        <v>0</v>
      </c>
      <c r="Q2172" s="17">
        <v>0</v>
      </c>
      <c r="R2172" s="17">
        <v>0</v>
      </c>
      <c r="S2172" s="17">
        <v>1</v>
      </c>
      <c r="T2172" s="17">
        <v>0</v>
      </c>
      <c r="U2172" s="17">
        <v>9</v>
      </c>
      <c r="V2172" s="13" t="str" cm="1">
        <f t="array" ref="V2172">_xlfn.IFS(U2172&lt;=250,"0-R$250",U2172&lt;=500,"251-R$500",U2172&lt;=750,"501-R$750",U2172&lt;=1000,"751-R$1000",U2172&lt;=1250,"1001-R$1250",U2172&lt;=1500,"1251-R$1500")</f>
        <v>0-R$250</v>
      </c>
      <c r="W2172" s="17">
        <v>0</v>
      </c>
      <c r="X2172" s="13" t="str" cm="1">
        <f t="array" ref="X2172">_xlfn.IFS(W2172 = 0, "0", W2172&lt;=20, "até R$20",W2172&lt;=40, "21 - R$40",W2172&lt;=60, "41- R$60",W2172&lt;=80, "61 - R$80", W2172&lt;=100, "81 - R$100",W2172&lt;=120, "101 - R$120",W2172&lt;=140, "121 - R$140", W2172&lt;=160, "141- R$160", W2172&lt;=180, "161 - R$180", W2172&lt;=200, "181-R$194")</f>
        <v>0</v>
      </c>
      <c r="Y2172" s="17">
        <v>3</v>
      </c>
      <c r="Z2172" s="17">
        <v>0</v>
      </c>
      <c r="AA2172" s="17">
        <v>0</v>
      </c>
      <c r="AB2172" s="17">
        <v>4</v>
      </c>
      <c r="AC2172" s="17">
        <v>1</v>
      </c>
      <c r="AD2172" s="17">
        <v>1</v>
      </c>
      <c r="AE2172" s="17">
        <v>0</v>
      </c>
      <c r="AF2172" s="17">
        <v>2</v>
      </c>
      <c r="AG2172" s="17">
        <v>6</v>
      </c>
      <c r="AH2172" s="17">
        <v>0</v>
      </c>
      <c r="AI2172" s="17">
        <v>1</v>
      </c>
      <c r="AJ2172" s="17">
        <v>0</v>
      </c>
      <c r="AK2172" s="17">
        <v>0</v>
      </c>
      <c r="AL2172" s="17">
        <v>0</v>
      </c>
      <c r="AM2172" s="17">
        <v>0</v>
      </c>
      <c r="AN2172" s="17">
        <v>0</v>
      </c>
      <c r="AO2172" s="18">
        <v>1</v>
      </c>
      <c r="AP2172" s="17">
        <v>3</v>
      </c>
      <c r="AQ2172" s="17">
        <v>11</v>
      </c>
      <c r="AR2172" s="19">
        <v>8</v>
      </c>
      <c r="AS2172" s="19">
        <v>12</v>
      </c>
    </row>
    <row r="2173" spans="1:45" x14ac:dyDescent="0.25">
      <c r="A2173">
        <v>451</v>
      </c>
      <c r="B2173" s="11">
        <f t="shared" si="33"/>
        <v>31880</v>
      </c>
      <c r="C2173" s="16">
        <v>318800</v>
      </c>
      <c r="D2173" s="17">
        <v>1</v>
      </c>
      <c r="E2173" s="17">
        <v>0</v>
      </c>
      <c r="F2173" s="17">
        <v>13</v>
      </c>
      <c r="G2173" s="17">
        <v>50</v>
      </c>
      <c r="H2173" s="13" t="str" cm="1">
        <f t="array" ref="H2173">_xlfn.IFS(G2173&lt;=20,"0-20",G2173&lt;=30,"20-30",G2173&lt;=40,"30-40",G2173&lt;=50,"50-60",G2173&lt;=60,"60-70",G2173&lt;=70,"70-80",G2173&lt;=80,"80-90")</f>
        <v>50-60</v>
      </c>
      <c r="I2173" s="17">
        <v>2765</v>
      </c>
      <c r="J2173" s="13" t="str" cm="1">
        <f t="array" ref="J2173">_xlfn.IFS(K2173=1,"Divorciado",L2173=1,"Casado",M2173=1,"Solteiro",N2173=1,"Juntos",O2173=1,"Viuvo")</f>
        <v>Viuvo</v>
      </c>
      <c r="K2173" s="17">
        <v>0</v>
      </c>
      <c r="L2173" s="17">
        <v>0</v>
      </c>
      <c r="M2173" s="17">
        <v>0</v>
      </c>
      <c r="N2173" s="17">
        <v>0</v>
      </c>
      <c r="O2173" s="17">
        <v>1</v>
      </c>
      <c r="P2173" s="17">
        <v>0</v>
      </c>
      <c r="Q2173" s="17">
        <v>0</v>
      </c>
      <c r="R2173" s="17">
        <v>1</v>
      </c>
      <c r="S2173" s="17">
        <v>0</v>
      </c>
      <c r="T2173" s="17">
        <v>0</v>
      </c>
      <c r="U2173" s="17">
        <v>4</v>
      </c>
      <c r="V2173" s="13" t="str" cm="1">
        <f t="array" ref="V2173">_xlfn.IFS(U2173&lt;=250,"0-R$250",U2173&lt;=500,"251-R$500",U2173&lt;=750,"501-R$750",U2173&lt;=1000,"751-R$1000",U2173&lt;=1250,"1001-R$1250",U2173&lt;=1500,"1251-R$1500")</f>
        <v>0-R$250</v>
      </c>
      <c r="W2173" s="17">
        <v>1</v>
      </c>
      <c r="X2173" s="13" t="str" cm="1">
        <f t="array" ref="X2173">_xlfn.IFS(W2173 = 0, "0", W2173&lt;=20, "até R$20",W2173&lt;=40, "21 - R$40",W2173&lt;=60, "41- R$60",W2173&lt;=80, "61 - R$80", W2173&lt;=100, "81 - R$100",W2173&lt;=120, "101 - R$120",W2173&lt;=140, "121 - R$140", W2173&lt;=160, "141- R$160", W2173&lt;=180, "161 - R$180", W2173&lt;=200, "181-R$194")</f>
        <v>até R$20</v>
      </c>
      <c r="Y2173" s="17">
        <v>5</v>
      </c>
      <c r="Z2173" s="17">
        <v>2</v>
      </c>
      <c r="AA2173" s="17">
        <v>0</v>
      </c>
      <c r="AB2173" s="17">
        <v>3</v>
      </c>
      <c r="AC2173" s="17">
        <v>1</v>
      </c>
      <c r="AD2173" s="17">
        <v>1</v>
      </c>
      <c r="AE2173" s="17">
        <v>0</v>
      </c>
      <c r="AF2173" s="17">
        <v>2</v>
      </c>
      <c r="AG2173" s="17">
        <v>8</v>
      </c>
      <c r="AH2173" s="17">
        <v>0</v>
      </c>
      <c r="AI2173" s="17">
        <v>0</v>
      </c>
      <c r="AJ2173" s="17">
        <v>0</v>
      </c>
      <c r="AK2173" s="17">
        <v>0</v>
      </c>
      <c r="AL2173" s="17">
        <v>0</v>
      </c>
      <c r="AM2173" s="17">
        <v>0</v>
      </c>
      <c r="AN2173" s="17">
        <v>0</v>
      </c>
      <c r="AO2173" s="18">
        <v>0</v>
      </c>
      <c r="AP2173" s="17">
        <v>3</v>
      </c>
      <c r="AQ2173" s="17">
        <v>11</v>
      </c>
      <c r="AR2173" s="19">
        <v>9</v>
      </c>
      <c r="AS2173" s="19">
        <v>12</v>
      </c>
    </row>
    <row r="2174" spans="1:45" x14ac:dyDescent="0.25">
      <c r="A2174">
        <v>691</v>
      </c>
      <c r="B2174" s="11">
        <f t="shared" si="33"/>
        <v>25252</v>
      </c>
      <c r="C2174" s="16">
        <v>252520</v>
      </c>
      <c r="D2174" s="17">
        <v>1</v>
      </c>
      <c r="E2174" s="17">
        <v>0</v>
      </c>
      <c r="F2174" s="17">
        <v>26</v>
      </c>
      <c r="G2174" s="17">
        <v>34</v>
      </c>
      <c r="H2174" s="13" t="str" cm="1">
        <f t="array" ref="H2174">_xlfn.IFS(G2174&lt;=20,"0-20",G2174&lt;=30,"20-30",G2174&lt;=40,"30-40",G2174&lt;=50,"50-60",G2174&lt;=60,"60-70",G2174&lt;=70,"70-80",G2174&lt;=80,"80-90")</f>
        <v>30-40</v>
      </c>
      <c r="I2174" s="17">
        <v>2511</v>
      </c>
      <c r="J2174" s="13" t="str" cm="1">
        <f t="array" ref="J2174">_xlfn.IFS(K2174=1,"Divorciado",L2174=1,"Casado",M2174=1,"Solteiro",N2174=1,"Juntos",O2174=1,"Viuvo")</f>
        <v>Casado</v>
      </c>
      <c r="K2174" s="17">
        <v>0</v>
      </c>
      <c r="L2174" s="17">
        <v>1</v>
      </c>
      <c r="M2174" s="17">
        <v>0</v>
      </c>
      <c r="N2174" s="17">
        <v>0</v>
      </c>
      <c r="O2174" s="17">
        <v>0</v>
      </c>
      <c r="P2174" s="17">
        <v>0</v>
      </c>
      <c r="Q2174" s="17">
        <v>0</v>
      </c>
      <c r="R2174" s="17">
        <v>1</v>
      </c>
      <c r="S2174" s="17">
        <v>0</v>
      </c>
      <c r="T2174" s="17">
        <v>0</v>
      </c>
      <c r="U2174" s="17">
        <v>1</v>
      </c>
      <c r="V2174" s="13" t="str" cm="1">
        <f t="array" ref="V2174">_xlfn.IFS(U2174&lt;=250,"0-R$250",U2174&lt;=500,"251-R$500",U2174&lt;=750,"501-R$750",U2174&lt;=1000,"751-R$1000",U2174&lt;=1250,"1001-R$1250",U2174&lt;=1500,"1251-R$1500")</f>
        <v>0-R$250</v>
      </c>
      <c r="W2174" s="17">
        <v>3</v>
      </c>
      <c r="X2174" s="13" t="str" cm="1">
        <f t="array" ref="X2174">_xlfn.IFS(W2174 = 0, "0", W2174&lt;=20, "até R$20",W2174&lt;=40, "21 - R$40",W2174&lt;=60, "41- R$60",W2174&lt;=80, "61 - R$80", W2174&lt;=100, "81 - R$100",W2174&lt;=120, "101 - R$120",W2174&lt;=140, "121 - R$140", W2174&lt;=160, "141- R$160", W2174&lt;=180, "161 - R$180", W2174&lt;=200, "181-R$194")</f>
        <v>até R$20</v>
      </c>
      <c r="Y2174" s="17">
        <v>4</v>
      </c>
      <c r="Z2174" s="17">
        <v>2</v>
      </c>
      <c r="AA2174" s="17">
        <v>2</v>
      </c>
      <c r="AB2174" s="17">
        <v>6</v>
      </c>
      <c r="AC2174" s="17">
        <v>1</v>
      </c>
      <c r="AD2174" s="17">
        <v>1</v>
      </c>
      <c r="AE2174" s="17">
        <v>0</v>
      </c>
      <c r="AF2174" s="17">
        <v>2</v>
      </c>
      <c r="AG2174" s="17">
        <v>8</v>
      </c>
      <c r="AH2174" s="17">
        <v>0</v>
      </c>
      <c r="AI2174" s="17">
        <v>0</v>
      </c>
      <c r="AJ2174" s="17">
        <v>0</v>
      </c>
      <c r="AK2174" s="17">
        <v>0</v>
      </c>
      <c r="AL2174" s="17">
        <v>0</v>
      </c>
      <c r="AM2174" s="17">
        <v>0</v>
      </c>
      <c r="AN2174" s="17">
        <v>0</v>
      </c>
      <c r="AO2174" s="18">
        <v>0</v>
      </c>
      <c r="AP2174" s="17">
        <v>3</v>
      </c>
      <c r="AQ2174" s="17">
        <v>11</v>
      </c>
      <c r="AR2174" s="19">
        <v>6</v>
      </c>
      <c r="AS2174" s="19">
        <v>12</v>
      </c>
    </row>
    <row r="2175" spans="1:45" x14ac:dyDescent="0.25">
      <c r="A2175">
        <v>719</v>
      </c>
      <c r="B2175" s="11">
        <f t="shared" si="33"/>
        <v>17487</v>
      </c>
      <c r="C2175" s="16">
        <v>174870</v>
      </c>
      <c r="D2175" s="17">
        <v>1</v>
      </c>
      <c r="E2175" s="17">
        <v>0</v>
      </c>
      <c r="F2175" s="17">
        <v>37</v>
      </c>
      <c r="G2175" s="17">
        <v>31</v>
      </c>
      <c r="H2175" s="13" t="str" cm="1">
        <f t="array" ref="H2175">_xlfn.IFS(G2175&lt;=20,"0-20",G2175&lt;=30,"20-30",G2175&lt;=40,"30-40",G2175&lt;=50,"50-60",G2175&lt;=60,"60-70",G2175&lt;=70,"70-80",G2175&lt;=80,"80-90")</f>
        <v>30-40</v>
      </c>
      <c r="I2175" s="17">
        <v>2627</v>
      </c>
      <c r="J2175" s="13" t="str" cm="1">
        <f t="array" ref="J2175">_xlfn.IFS(K2175=1,"Divorciado",L2175=1,"Casado",M2175=1,"Solteiro",N2175=1,"Juntos",O2175=1,"Viuvo")</f>
        <v>Casado</v>
      </c>
      <c r="K2175" s="17">
        <v>0</v>
      </c>
      <c r="L2175" s="17">
        <v>1</v>
      </c>
      <c r="M2175" s="17">
        <v>0</v>
      </c>
      <c r="N2175" s="17">
        <v>0</v>
      </c>
      <c r="O2175" s="17">
        <v>0</v>
      </c>
      <c r="P2175" s="17">
        <v>0</v>
      </c>
      <c r="Q2175" s="17">
        <v>1</v>
      </c>
      <c r="R2175" s="17">
        <v>0</v>
      </c>
      <c r="S2175" s="17">
        <v>0</v>
      </c>
      <c r="T2175" s="17">
        <v>0</v>
      </c>
      <c r="U2175" s="17">
        <v>0</v>
      </c>
      <c r="V2175" s="13" t="str" cm="1">
        <f t="array" ref="V2175">_xlfn.IFS(U2175&lt;=250,"0-R$250",U2175&lt;=500,"251-R$500",U2175&lt;=750,"501-R$750",U2175&lt;=1000,"751-R$1000",U2175&lt;=1250,"1001-R$1250",U2175&lt;=1500,"1251-R$1500")</f>
        <v>0-R$250</v>
      </c>
      <c r="W2175" s="17">
        <v>0</v>
      </c>
      <c r="X2175" s="13" t="str" cm="1">
        <f t="array" ref="X2175">_xlfn.IFS(W2175 = 0, "0", W2175&lt;=20, "até R$20",W2175&lt;=40, "21 - R$40",W2175&lt;=60, "41- R$60",W2175&lt;=80, "61 - R$80", W2175&lt;=100, "81 - R$100",W2175&lt;=120, "101 - R$120",W2175&lt;=140, "121 - R$140", W2175&lt;=160, "141- R$160", W2175&lt;=180, "161 - R$180", W2175&lt;=200, "181-R$194")</f>
        <v>0</v>
      </c>
      <c r="Y2175" s="17">
        <v>1</v>
      </c>
      <c r="Z2175" s="17">
        <v>7</v>
      </c>
      <c r="AA2175" s="17">
        <v>4</v>
      </c>
      <c r="AB2175" s="17">
        <v>6</v>
      </c>
      <c r="AC2175" s="17">
        <v>1</v>
      </c>
      <c r="AD2175" s="17">
        <v>1</v>
      </c>
      <c r="AE2175" s="17">
        <v>0</v>
      </c>
      <c r="AF2175" s="17">
        <v>2</v>
      </c>
      <c r="AG2175" s="17">
        <v>7</v>
      </c>
      <c r="AH2175" s="17">
        <v>0</v>
      </c>
      <c r="AI2175" s="17">
        <v>0</v>
      </c>
      <c r="AJ2175" s="17">
        <v>0</v>
      </c>
      <c r="AK2175" s="17">
        <v>0</v>
      </c>
      <c r="AL2175" s="17">
        <v>0</v>
      </c>
      <c r="AM2175" s="17">
        <v>0</v>
      </c>
      <c r="AN2175" s="17">
        <v>0</v>
      </c>
      <c r="AO2175" s="18">
        <v>0</v>
      </c>
      <c r="AP2175" s="17">
        <v>3</v>
      </c>
      <c r="AQ2175" s="17">
        <v>11</v>
      </c>
      <c r="AR2175" s="19">
        <v>6</v>
      </c>
      <c r="AS2175" s="19">
        <v>12</v>
      </c>
    </row>
    <row r="2176" spans="1:45" x14ac:dyDescent="0.25">
      <c r="A2176">
        <v>874</v>
      </c>
      <c r="B2176" s="11">
        <f t="shared" si="33"/>
        <v>26868</v>
      </c>
      <c r="C2176" s="12">
        <v>268680</v>
      </c>
      <c r="D2176" s="13">
        <v>1</v>
      </c>
      <c r="E2176" s="13">
        <v>0</v>
      </c>
      <c r="F2176" s="13">
        <v>52</v>
      </c>
      <c r="G2176" s="13">
        <v>29</v>
      </c>
      <c r="H2176" s="13" t="str" cm="1">
        <f t="array" ref="H2176">_xlfn.IFS(G2176&lt;=20,"0-20",G2176&lt;=30,"20-30",G2176&lt;=40,"30-40",G2176&lt;=50,"50-60",G2176&lt;=60,"60-70",G2176&lt;=70,"70-80",G2176&lt;=80,"80-90")</f>
        <v>20-30</v>
      </c>
      <c r="I2176" s="13">
        <v>2219</v>
      </c>
      <c r="J2176" s="13" t="str" cm="1">
        <f t="array" ref="J2176">_xlfn.IFS(K2176=1,"Divorciado",L2176=1,"Casado",M2176=1,"Solteiro",N2176=1,"Juntos",O2176=1,"Viuvo")</f>
        <v>Solteiro</v>
      </c>
      <c r="K2176" s="13">
        <v>0</v>
      </c>
      <c r="L2176" s="13">
        <v>0</v>
      </c>
      <c r="M2176" s="13">
        <v>1</v>
      </c>
      <c r="N2176" s="13">
        <v>0</v>
      </c>
      <c r="O2176" s="13">
        <v>0</v>
      </c>
      <c r="P2176" s="13">
        <v>0</v>
      </c>
      <c r="Q2176" s="13">
        <v>1</v>
      </c>
      <c r="R2176" s="13">
        <v>0</v>
      </c>
      <c r="S2176" s="13">
        <v>0</v>
      </c>
      <c r="T2176" s="13">
        <v>0</v>
      </c>
      <c r="U2176" s="13">
        <v>0</v>
      </c>
      <c r="V2176" s="13" t="str" cm="1">
        <f t="array" ref="V2176">_xlfn.IFS(U2176&lt;=250,"0-R$250",U2176&lt;=500,"251-R$500",U2176&lt;=750,"501-R$750",U2176&lt;=1000,"751-R$1000",U2176&lt;=1250,"1001-R$1250",U2176&lt;=1500,"1251-R$1500")</f>
        <v>0-R$250</v>
      </c>
      <c r="W2176" s="13">
        <v>0</v>
      </c>
      <c r="X2176" s="13" t="str" cm="1">
        <f t="array" ref="X2176">_xlfn.IFS(W2176 = 0, "0", W2176&lt;=20, "até R$20",W2176&lt;=40, "21 - R$40",W2176&lt;=60, "41- R$60",W2176&lt;=80, "61 - R$80", W2176&lt;=100, "81 - R$100",W2176&lt;=120, "101 - R$120",W2176&lt;=140, "121 - R$140", W2176&lt;=160, "141- R$160", W2176&lt;=180, "161 - R$180", W2176&lt;=200, "181-R$194")</f>
        <v>0</v>
      </c>
      <c r="Y2176" s="13">
        <v>1</v>
      </c>
      <c r="Z2176" s="13">
        <v>8</v>
      </c>
      <c r="AA2176" s="13">
        <v>3</v>
      </c>
      <c r="AB2176" s="13">
        <v>2</v>
      </c>
      <c r="AC2176" s="13">
        <v>1</v>
      </c>
      <c r="AD2176" s="13">
        <v>1</v>
      </c>
      <c r="AE2176" s="13">
        <v>0</v>
      </c>
      <c r="AF2176" s="13">
        <v>2</v>
      </c>
      <c r="AG2176" s="13">
        <v>7</v>
      </c>
      <c r="AH2176" s="13">
        <v>0</v>
      </c>
      <c r="AI2176" s="13">
        <v>0</v>
      </c>
      <c r="AJ2176" s="13">
        <v>0</v>
      </c>
      <c r="AK2176" s="13">
        <v>0</v>
      </c>
      <c r="AL2176" s="13">
        <v>0</v>
      </c>
      <c r="AM2176" s="13">
        <v>0</v>
      </c>
      <c r="AN2176" s="13">
        <v>0</v>
      </c>
      <c r="AO2176" s="14">
        <v>0</v>
      </c>
      <c r="AP2176" s="13">
        <v>3</v>
      </c>
      <c r="AQ2176" s="13">
        <v>11</v>
      </c>
      <c r="AR2176" s="15">
        <v>10</v>
      </c>
      <c r="AS2176" s="15">
        <v>12</v>
      </c>
    </row>
    <row r="2177" spans="1:45" x14ac:dyDescent="0.25">
      <c r="A2177">
        <v>1444</v>
      </c>
      <c r="B2177" s="11">
        <f t="shared" si="33"/>
        <v>41145</v>
      </c>
      <c r="C2177" s="12">
        <v>411450</v>
      </c>
      <c r="D2177" s="13">
        <v>1</v>
      </c>
      <c r="E2177" s="13">
        <v>1</v>
      </c>
      <c r="F2177" s="13">
        <v>20</v>
      </c>
      <c r="G2177" s="13">
        <v>70</v>
      </c>
      <c r="H2177" s="13" t="str" cm="1">
        <f t="array" ref="H2177">_xlfn.IFS(G2177&lt;=20,"0-20",G2177&lt;=30,"20-30",G2177&lt;=40,"30-40",G2177&lt;=50,"50-60",G2177&lt;=60,"60-70",G2177&lt;=70,"70-80",G2177&lt;=80,"80-90")</f>
        <v>70-80</v>
      </c>
      <c r="I2177" s="13">
        <v>2300</v>
      </c>
      <c r="J2177" s="13" t="str" cm="1">
        <f t="array" ref="J2177">_xlfn.IFS(K2177=1,"Divorciado",L2177=1,"Casado",M2177=1,"Solteiro",N2177=1,"Juntos",O2177=1,"Viuvo")</f>
        <v>Casado</v>
      </c>
      <c r="K2177" s="13">
        <v>0</v>
      </c>
      <c r="L2177" s="13">
        <v>1</v>
      </c>
      <c r="M2177" s="13">
        <v>0</v>
      </c>
      <c r="N2177" s="13">
        <v>0</v>
      </c>
      <c r="O2177" s="13">
        <v>0</v>
      </c>
      <c r="P2177" s="13">
        <v>0</v>
      </c>
      <c r="Q2177" s="13">
        <v>0</v>
      </c>
      <c r="R2177" s="13">
        <v>0</v>
      </c>
      <c r="S2177" s="13">
        <v>0</v>
      </c>
      <c r="T2177" s="13">
        <v>1</v>
      </c>
      <c r="U2177" s="13">
        <v>9</v>
      </c>
      <c r="V2177" s="13" t="str" cm="1">
        <f t="array" ref="V2177">_xlfn.IFS(U2177&lt;=250,"0-R$250",U2177&lt;=500,"251-R$500",U2177&lt;=750,"501-R$750",U2177&lt;=1000,"751-R$1000",U2177&lt;=1250,"1001-R$1250",U2177&lt;=1500,"1251-R$1500")</f>
        <v>0-R$250</v>
      </c>
      <c r="W2177" s="13">
        <v>0</v>
      </c>
      <c r="X2177" s="13" t="str" cm="1">
        <f t="array" ref="X2177">_xlfn.IFS(W2177 = 0, "0", W2177&lt;=20, "até R$20",W2177&lt;=40, "21 - R$40",W2177&lt;=60, "41- R$60",W2177&lt;=80, "61 - R$80", W2177&lt;=100, "81 - R$100",W2177&lt;=120, "101 - R$120",W2177&lt;=140, "121 - R$140", W2177&lt;=160, "141- R$160", W2177&lt;=180, "161 - R$180", W2177&lt;=200, "181-R$194")</f>
        <v>0</v>
      </c>
      <c r="Y2177" s="13">
        <v>3</v>
      </c>
      <c r="Z2177" s="13">
        <v>0</v>
      </c>
      <c r="AA2177" s="13">
        <v>0</v>
      </c>
      <c r="AB2177" s="13">
        <v>1</v>
      </c>
      <c r="AC2177" s="13">
        <v>1</v>
      </c>
      <c r="AD2177" s="13">
        <v>0</v>
      </c>
      <c r="AE2177" s="13">
        <v>0</v>
      </c>
      <c r="AF2177" s="13">
        <v>3</v>
      </c>
      <c r="AG2177" s="13">
        <v>3</v>
      </c>
      <c r="AH2177" s="13">
        <v>0</v>
      </c>
      <c r="AI2177" s="13">
        <v>0</v>
      </c>
      <c r="AJ2177" s="13">
        <v>0</v>
      </c>
      <c r="AK2177" s="13">
        <v>0</v>
      </c>
      <c r="AL2177" s="13">
        <v>0</v>
      </c>
      <c r="AM2177" s="13">
        <v>0</v>
      </c>
      <c r="AN2177" s="13">
        <v>0</v>
      </c>
      <c r="AO2177" s="14">
        <v>0</v>
      </c>
      <c r="AP2177" s="13">
        <v>3</v>
      </c>
      <c r="AQ2177" s="13">
        <v>11</v>
      </c>
      <c r="AR2177" s="15">
        <v>11</v>
      </c>
      <c r="AS2177" s="15">
        <v>12</v>
      </c>
    </row>
    <row r="2178" spans="1:45" x14ac:dyDescent="0.25">
      <c r="A2178">
        <v>62</v>
      </c>
      <c r="B2178" s="11">
        <f t="shared" ref="B2178:B2206" si="34">C2178/10</f>
        <v>32474</v>
      </c>
      <c r="C2178" s="12">
        <v>324740</v>
      </c>
      <c r="D2178" s="13">
        <v>1</v>
      </c>
      <c r="E2178" s="13">
        <v>1</v>
      </c>
      <c r="F2178" s="13">
        <v>0</v>
      </c>
      <c r="G2178" s="13">
        <v>53</v>
      </c>
      <c r="H2178" s="13" t="str" cm="1">
        <f t="array" ref="H2178">_xlfn.IFS(G2178&lt;=20,"0-20",G2178&lt;=30,"20-30",G2178&lt;=40,"30-40",G2178&lt;=50,"50-60",G2178&lt;=60,"60-70",G2178&lt;=70,"70-80",G2178&lt;=80,"80-90")</f>
        <v>60-70</v>
      </c>
      <c r="I2178" s="13">
        <v>2208</v>
      </c>
      <c r="J2178" s="13" t="str" cm="1">
        <f t="array" ref="J2178">_xlfn.IFS(K2178=1,"Divorciado",L2178=1,"Casado",M2178=1,"Solteiro",N2178=1,"Juntos",O2178=1,"Viuvo")</f>
        <v>Juntos</v>
      </c>
      <c r="K2178" s="13">
        <v>0</v>
      </c>
      <c r="L2178" s="13">
        <v>0</v>
      </c>
      <c r="M2178" s="13">
        <v>0</v>
      </c>
      <c r="N2178" s="13">
        <v>1</v>
      </c>
      <c r="O2178" s="13">
        <v>0</v>
      </c>
      <c r="P2178" s="13">
        <v>0</v>
      </c>
      <c r="Q2178" s="13">
        <v>0</v>
      </c>
      <c r="R2178" s="13">
        <v>1</v>
      </c>
      <c r="S2178" s="13">
        <v>0</v>
      </c>
      <c r="T2178" s="13">
        <v>0</v>
      </c>
      <c r="U2178" s="13">
        <v>10</v>
      </c>
      <c r="V2178" s="13" t="str" cm="1">
        <f t="array" ref="V2178">_xlfn.IFS(U2178&lt;=250,"0-R$250",U2178&lt;=500,"251-R$500",U2178&lt;=750,"501-R$750",U2178&lt;=1000,"751-R$1000",U2178&lt;=1250,"1001-R$1250",U2178&lt;=1500,"1251-R$1500")</f>
        <v>0-R$250</v>
      </c>
      <c r="W2178" s="13">
        <v>0</v>
      </c>
      <c r="X2178" s="13" t="str" cm="1">
        <f t="array" ref="X2178">_xlfn.IFS(W2178 = 0, "0", W2178&lt;=20, "até R$20",W2178&lt;=40, "21 - R$40",W2178&lt;=60, "41- R$60",W2178&lt;=80, "61 - R$80", W2178&lt;=100, "81 - R$100",W2178&lt;=120, "101 - R$120",W2178&lt;=140, "121 - R$140", W2178&lt;=160, "141- R$160", W2178&lt;=180, "161 - R$180", W2178&lt;=200, "181-R$194")</f>
        <v>0</v>
      </c>
      <c r="Y2178" s="13">
        <v>1</v>
      </c>
      <c r="Z2178" s="13">
        <v>0</v>
      </c>
      <c r="AA2178" s="13">
        <v>0</v>
      </c>
      <c r="AB2178" s="13">
        <v>0</v>
      </c>
      <c r="AC2178" s="13">
        <v>1</v>
      </c>
      <c r="AD2178" s="13">
        <v>1</v>
      </c>
      <c r="AE2178" s="13">
        <v>0</v>
      </c>
      <c r="AF2178" s="13">
        <v>2</v>
      </c>
      <c r="AG2178" s="13">
        <v>7</v>
      </c>
      <c r="AH2178" s="13">
        <v>0</v>
      </c>
      <c r="AI2178" s="13">
        <v>0</v>
      </c>
      <c r="AJ2178" s="13">
        <v>0</v>
      </c>
      <c r="AK2178" s="13">
        <v>0</v>
      </c>
      <c r="AL2178" s="13">
        <v>0</v>
      </c>
      <c r="AM2178" s="13">
        <v>0</v>
      </c>
      <c r="AN2178" s="13">
        <v>0</v>
      </c>
      <c r="AO2178" s="14">
        <v>0</v>
      </c>
      <c r="AP2178" s="13">
        <v>3</v>
      </c>
      <c r="AQ2178" s="13">
        <v>11</v>
      </c>
      <c r="AR2178" s="15">
        <v>11</v>
      </c>
      <c r="AS2178" s="15">
        <v>11</v>
      </c>
    </row>
    <row r="2179" spans="1:45" x14ac:dyDescent="0.25">
      <c r="A2179">
        <v>711</v>
      </c>
      <c r="B2179" s="11">
        <f t="shared" si="34"/>
        <v>35946</v>
      </c>
      <c r="C2179" s="16">
        <v>359460</v>
      </c>
      <c r="D2179" s="17">
        <v>1</v>
      </c>
      <c r="E2179" s="17">
        <v>1</v>
      </c>
      <c r="F2179" s="17">
        <v>24</v>
      </c>
      <c r="G2179" s="17">
        <v>71</v>
      </c>
      <c r="H2179" s="13" t="str" cm="1">
        <f t="array" ref="H2179">_xlfn.IFS(G2179&lt;=20,"0-20",G2179&lt;=30,"20-30",G2179&lt;=40,"30-40",G2179&lt;=50,"50-60",G2179&lt;=60,"60-70",G2179&lt;=70,"70-80",G2179&lt;=80,"80-90")</f>
        <v>80-90</v>
      </c>
      <c r="I2179" s="17">
        <v>2434</v>
      </c>
      <c r="J2179" s="13" t="str" cm="1">
        <f t="array" ref="J2179">_xlfn.IFS(K2179=1,"Divorciado",L2179=1,"Casado",M2179=1,"Solteiro",N2179=1,"Juntos",O2179=1,"Viuvo")</f>
        <v>Divorciado</v>
      </c>
      <c r="K2179" s="17">
        <v>1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1</v>
      </c>
      <c r="U2179" s="17">
        <v>8</v>
      </c>
      <c r="V2179" s="13" t="str" cm="1">
        <f t="array" ref="V2179">_xlfn.IFS(U2179&lt;=250,"0-R$250",U2179&lt;=500,"251-R$500",U2179&lt;=750,"501-R$750",U2179&lt;=1000,"751-R$1000",U2179&lt;=1250,"1001-R$1250",U2179&lt;=1500,"1251-R$1500")</f>
        <v>0-R$250</v>
      </c>
      <c r="W2179" s="17">
        <v>0</v>
      </c>
      <c r="X2179" s="13" t="str" cm="1">
        <f t="array" ref="X2179">_xlfn.IFS(W2179 = 0, "0", W2179&lt;=20, "até R$20",W2179&lt;=40, "21 - R$40",W2179&lt;=60, "41- R$60",W2179&lt;=80, "61 - R$80", W2179&lt;=100, "81 - R$100",W2179&lt;=120, "101 - R$120",W2179&lt;=140, "121 - R$140", W2179&lt;=160, "141- R$160", W2179&lt;=180, "161 - R$180", W2179&lt;=200, "181-R$194")</f>
        <v>0</v>
      </c>
      <c r="Y2179" s="17">
        <v>3</v>
      </c>
      <c r="Z2179" s="17">
        <v>0</v>
      </c>
      <c r="AA2179" s="17">
        <v>0</v>
      </c>
      <c r="AB2179" s="17">
        <v>0</v>
      </c>
      <c r="AC2179" s="17">
        <v>1</v>
      </c>
      <c r="AD2179" s="17">
        <v>0</v>
      </c>
      <c r="AE2179" s="17">
        <v>0</v>
      </c>
      <c r="AF2179" s="17">
        <v>3</v>
      </c>
      <c r="AG2179" s="17">
        <v>5</v>
      </c>
      <c r="AH2179" s="17">
        <v>0</v>
      </c>
      <c r="AI2179" s="17">
        <v>0</v>
      </c>
      <c r="AJ2179" s="17">
        <v>0</v>
      </c>
      <c r="AK2179" s="17">
        <v>0</v>
      </c>
      <c r="AL2179" s="17">
        <v>0</v>
      </c>
      <c r="AM2179" s="17">
        <v>0</v>
      </c>
      <c r="AN2179" s="17">
        <v>0</v>
      </c>
      <c r="AO2179" s="18">
        <v>0</v>
      </c>
      <c r="AP2179" s="17">
        <v>3</v>
      </c>
      <c r="AQ2179" s="17">
        <v>11</v>
      </c>
      <c r="AR2179" s="19">
        <v>11</v>
      </c>
      <c r="AS2179" s="19">
        <v>11</v>
      </c>
    </row>
    <row r="2180" spans="1:45" x14ac:dyDescent="0.25">
      <c r="A2180">
        <v>1032</v>
      </c>
      <c r="B2180" s="11">
        <f t="shared" si="34"/>
        <v>28764</v>
      </c>
      <c r="C2180" s="12">
        <v>287640</v>
      </c>
      <c r="D2180" s="13">
        <v>1</v>
      </c>
      <c r="E2180" s="13">
        <v>1</v>
      </c>
      <c r="F2180" s="13">
        <v>16</v>
      </c>
      <c r="G2180" s="13">
        <v>54</v>
      </c>
      <c r="H2180" s="13" t="str" cm="1">
        <f t="array" ref="H2180">_xlfn.IFS(G2180&lt;=20,"0-20",G2180&lt;=30,"20-30",G2180&lt;=40,"30-40",G2180&lt;=50,"50-60",G2180&lt;=60,"60-70",G2180&lt;=70,"70-80",G2180&lt;=80,"80-90")</f>
        <v>60-70</v>
      </c>
      <c r="I2180" s="13">
        <v>2183</v>
      </c>
      <c r="J2180" s="13" t="str" cm="1">
        <f t="array" ref="J2180">_xlfn.IFS(K2180=1,"Divorciado",L2180=1,"Casado",M2180=1,"Solteiro",N2180=1,"Juntos",O2180=1,"Viuvo")</f>
        <v>Juntos</v>
      </c>
      <c r="K2180" s="13">
        <v>0</v>
      </c>
      <c r="L2180" s="13">
        <v>0</v>
      </c>
      <c r="M2180" s="13">
        <v>0</v>
      </c>
      <c r="N2180" s="13">
        <v>1</v>
      </c>
      <c r="O2180" s="13">
        <v>0</v>
      </c>
      <c r="P2180" s="13">
        <v>0</v>
      </c>
      <c r="Q2180" s="13">
        <v>0</v>
      </c>
      <c r="R2180" s="13">
        <v>0</v>
      </c>
      <c r="S2180" s="13">
        <v>0</v>
      </c>
      <c r="T2180" s="13">
        <v>1</v>
      </c>
      <c r="U2180" s="13">
        <v>8</v>
      </c>
      <c r="V2180" s="13" t="str" cm="1">
        <f t="array" ref="V2180">_xlfn.IFS(U2180&lt;=250,"0-R$250",U2180&lt;=500,"251-R$500",U2180&lt;=750,"501-R$750",U2180&lt;=1000,"751-R$1000",U2180&lt;=1250,"1001-R$1250",U2180&lt;=1500,"1251-R$1500")</f>
        <v>0-R$250</v>
      </c>
      <c r="W2180" s="13">
        <v>0</v>
      </c>
      <c r="X2180" s="13" t="str" cm="1">
        <f t="array" ref="X2180">_xlfn.IFS(W2180 = 0, "0", W2180&lt;=20, "até R$20",W2180&lt;=40, "21 - R$40",W2180&lt;=60, "41- R$60",W2180&lt;=80, "61 - R$80", W2180&lt;=100, "81 - R$100",W2180&lt;=120, "101 - R$120",W2180&lt;=140, "121 - R$140", W2180&lt;=160, "141- R$160", W2180&lt;=180, "161 - R$180", W2180&lt;=200, "181-R$194")</f>
        <v>0</v>
      </c>
      <c r="Y2180" s="13">
        <v>3</v>
      </c>
      <c r="Z2180" s="13">
        <v>0</v>
      </c>
      <c r="AA2180" s="13">
        <v>0</v>
      </c>
      <c r="AB2180" s="13">
        <v>1</v>
      </c>
      <c r="AC2180" s="13">
        <v>1</v>
      </c>
      <c r="AD2180" s="13">
        <v>1</v>
      </c>
      <c r="AE2180" s="13">
        <v>0</v>
      </c>
      <c r="AF2180" s="13">
        <v>2</v>
      </c>
      <c r="AG2180" s="13">
        <v>8</v>
      </c>
      <c r="AH2180" s="13">
        <v>0</v>
      </c>
      <c r="AI2180" s="13">
        <v>1</v>
      </c>
      <c r="AJ2180" s="13">
        <v>0</v>
      </c>
      <c r="AK2180" s="13">
        <v>0</v>
      </c>
      <c r="AL2180" s="13">
        <v>0</v>
      </c>
      <c r="AM2180" s="13">
        <v>0</v>
      </c>
      <c r="AN2180" s="13">
        <v>0</v>
      </c>
      <c r="AO2180" s="14">
        <v>1</v>
      </c>
      <c r="AP2180" s="13">
        <v>3</v>
      </c>
      <c r="AQ2180" s="13">
        <v>11</v>
      </c>
      <c r="AR2180" s="15">
        <v>10</v>
      </c>
      <c r="AS2180" s="15">
        <v>11</v>
      </c>
    </row>
    <row r="2181" spans="1:45" x14ac:dyDescent="0.25">
      <c r="A2181">
        <v>1079</v>
      </c>
      <c r="B2181" s="11">
        <f t="shared" si="34"/>
        <v>27590</v>
      </c>
      <c r="C2181" s="16">
        <v>275900</v>
      </c>
      <c r="D2181" s="17">
        <v>1</v>
      </c>
      <c r="E2181" s="17">
        <v>0</v>
      </c>
      <c r="F2181" s="17">
        <v>38</v>
      </c>
      <c r="G2181" s="17">
        <v>38</v>
      </c>
      <c r="H2181" s="13" t="str" cm="1">
        <f t="array" ref="H2181">_xlfn.IFS(G2181&lt;=20,"0-20",G2181&lt;=30,"20-30",G2181&lt;=40,"30-40",G2181&lt;=50,"50-60",G2181&lt;=60,"60-70",G2181&lt;=70,"70-80",G2181&lt;=80,"80-90")</f>
        <v>30-40</v>
      </c>
      <c r="I2181" s="17">
        <v>2591</v>
      </c>
      <c r="J2181" s="13" t="str" cm="1">
        <f t="array" ref="J2181">_xlfn.IFS(K2181=1,"Divorciado",L2181=1,"Casado",M2181=1,"Solteiro",N2181=1,"Juntos",O2181=1,"Viuvo")</f>
        <v>Juntos</v>
      </c>
      <c r="K2181" s="17">
        <v>0</v>
      </c>
      <c r="L2181" s="17">
        <v>0</v>
      </c>
      <c r="M2181" s="17">
        <v>0</v>
      </c>
      <c r="N2181" s="17">
        <v>1</v>
      </c>
      <c r="O2181" s="17">
        <v>0</v>
      </c>
      <c r="P2181" s="17">
        <v>0</v>
      </c>
      <c r="Q2181" s="17">
        <v>0</v>
      </c>
      <c r="R2181" s="17">
        <v>0</v>
      </c>
      <c r="S2181" s="17">
        <v>1</v>
      </c>
      <c r="T2181" s="17">
        <v>0</v>
      </c>
      <c r="U2181" s="17">
        <v>6</v>
      </c>
      <c r="V2181" s="13" t="str" cm="1">
        <f t="array" ref="V2181">_xlfn.IFS(U2181&lt;=250,"0-R$250",U2181&lt;=500,"251-R$500",U2181&lt;=750,"501-R$750",U2181&lt;=1000,"751-R$1000",U2181&lt;=1250,"1001-R$1250",U2181&lt;=1500,"1251-R$1500")</f>
        <v>0-R$250</v>
      </c>
      <c r="W2181" s="17">
        <v>0</v>
      </c>
      <c r="X2181" s="13" t="str" cm="1">
        <f t="array" ref="X2181">_xlfn.IFS(W2181 = 0, "0", W2181&lt;=20, "até R$20",W2181&lt;=40, "21 - R$40",W2181&lt;=60, "41- R$60",W2181&lt;=80, "61 - R$80", W2181&lt;=100, "81 - R$100",W2181&lt;=120, "101 - R$120",W2181&lt;=140, "121 - R$140", W2181&lt;=160, "141- R$160", W2181&lt;=180, "161 - R$180", W2181&lt;=200, "181-R$194")</f>
        <v>0</v>
      </c>
      <c r="Y2181" s="17">
        <v>5</v>
      </c>
      <c r="Z2181" s="17">
        <v>0</v>
      </c>
      <c r="AA2181" s="17">
        <v>0</v>
      </c>
      <c r="AB2181" s="17">
        <v>1</v>
      </c>
      <c r="AC2181" s="17">
        <v>1</v>
      </c>
      <c r="AD2181" s="17">
        <v>1</v>
      </c>
      <c r="AE2181" s="17">
        <v>0</v>
      </c>
      <c r="AF2181" s="17">
        <v>2</v>
      </c>
      <c r="AG2181" s="17">
        <v>7</v>
      </c>
      <c r="AH2181" s="17">
        <v>0</v>
      </c>
      <c r="AI2181" s="17">
        <v>0</v>
      </c>
      <c r="AJ2181" s="17">
        <v>0</v>
      </c>
      <c r="AK2181" s="17">
        <v>0</v>
      </c>
      <c r="AL2181" s="17">
        <v>0</v>
      </c>
      <c r="AM2181" s="17">
        <v>0</v>
      </c>
      <c r="AN2181" s="17">
        <v>0</v>
      </c>
      <c r="AO2181" s="18">
        <v>0</v>
      </c>
      <c r="AP2181" s="17">
        <v>3</v>
      </c>
      <c r="AQ2181" s="17">
        <v>11</v>
      </c>
      <c r="AR2181" s="19">
        <v>10</v>
      </c>
      <c r="AS2181" s="19">
        <v>11</v>
      </c>
    </row>
    <row r="2182" spans="1:45" x14ac:dyDescent="0.25">
      <c r="A2182">
        <v>1112</v>
      </c>
      <c r="B2182" s="11">
        <f t="shared" si="34"/>
        <v>25930</v>
      </c>
      <c r="C2182" s="12">
        <v>259300</v>
      </c>
      <c r="D2182" s="13">
        <v>1</v>
      </c>
      <c r="E2182" s="13">
        <v>1</v>
      </c>
      <c r="F2182" s="13">
        <v>87</v>
      </c>
      <c r="G2182" s="13">
        <v>53</v>
      </c>
      <c r="H2182" s="13" t="str" cm="1">
        <f t="array" ref="H2182">_xlfn.IFS(G2182&lt;=20,"0-20",G2182&lt;=30,"20-30",G2182&lt;=40,"30-40",G2182&lt;=50,"50-60",G2182&lt;=60,"60-70",G2182&lt;=70,"70-80",G2182&lt;=80,"80-90")</f>
        <v>60-70</v>
      </c>
      <c r="I2182" s="13">
        <v>2421</v>
      </c>
      <c r="J2182" s="13" t="str" cm="1">
        <f t="array" ref="J2182">_xlfn.IFS(K2182=1,"Divorciado",L2182=1,"Casado",M2182=1,"Solteiro",N2182=1,"Juntos",O2182=1,"Viuvo")</f>
        <v>Solteiro</v>
      </c>
      <c r="K2182" s="13">
        <v>0</v>
      </c>
      <c r="L2182" s="13">
        <v>0</v>
      </c>
      <c r="M2182" s="13">
        <v>1</v>
      </c>
      <c r="N2182" s="13">
        <v>0</v>
      </c>
      <c r="O2182" s="13">
        <v>0</v>
      </c>
      <c r="P2182" s="13">
        <v>0</v>
      </c>
      <c r="Q2182" s="13">
        <v>0</v>
      </c>
      <c r="R2182" s="13">
        <v>1</v>
      </c>
      <c r="S2182" s="13">
        <v>0</v>
      </c>
      <c r="T2182" s="13">
        <v>0</v>
      </c>
      <c r="U2182" s="13">
        <v>6</v>
      </c>
      <c r="V2182" s="13" t="str" cm="1">
        <f t="array" ref="V2182">_xlfn.IFS(U2182&lt;=250,"0-R$250",U2182&lt;=500,"251-R$500",U2182&lt;=750,"501-R$750",U2182&lt;=1000,"751-R$1000",U2182&lt;=1250,"1001-R$1250",U2182&lt;=1500,"1251-R$1500")</f>
        <v>0-R$250</v>
      </c>
      <c r="W2182" s="13">
        <v>1</v>
      </c>
      <c r="X2182" s="13" t="str" cm="1">
        <f t="array" ref="X2182">_xlfn.IFS(W2182 = 0, "0", W2182&lt;=20, "até R$20",W2182&lt;=40, "21 - R$40",W2182&lt;=60, "41- R$60",W2182&lt;=80, "61 - R$80", W2182&lt;=100, "81 - R$100",W2182&lt;=120, "101 - R$120",W2182&lt;=140, "121 - R$140", W2182&lt;=160, "141- R$160", W2182&lt;=180, "161 - R$180", W2182&lt;=200, "181-R$194")</f>
        <v>até R$20</v>
      </c>
      <c r="Y2182" s="13">
        <v>2</v>
      </c>
      <c r="Z2182" s="13">
        <v>2</v>
      </c>
      <c r="AA2182" s="13">
        <v>0</v>
      </c>
      <c r="AB2182" s="13">
        <v>4</v>
      </c>
      <c r="AC2182" s="13">
        <v>1</v>
      </c>
      <c r="AD2182" s="13">
        <v>1</v>
      </c>
      <c r="AE2182" s="13">
        <v>0</v>
      </c>
      <c r="AF2182" s="13">
        <v>2</v>
      </c>
      <c r="AG2182" s="13">
        <v>7</v>
      </c>
      <c r="AH2182" s="13">
        <v>0</v>
      </c>
      <c r="AI2182" s="13">
        <v>0</v>
      </c>
      <c r="AJ2182" s="13">
        <v>0</v>
      </c>
      <c r="AK2182" s="13">
        <v>0</v>
      </c>
      <c r="AL2182" s="13">
        <v>0</v>
      </c>
      <c r="AM2182" s="13">
        <v>0</v>
      </c>
      <c r="AN2182" s="13">
        <v>0</v>
      </c>
      <c r="AO2182" s="14">
        <v>0</v>
      </c>
      <c r="AP2182" s="13">
        <v>3</v>
      </c>
      <c r="AQ2182" s="13">
        <v>11</v>
      </c>
      <c r="AR2182" s="15">
        <v>7</v>
      </c>
      <c r="AS2182" s="15">
        <v>11</v>
      </c>
    </row>
    <row r="2183" spans="1:45" x14ac:dyDescent="0.25">
      <c r="A2183">
        <v>1826</v>
      </c>
      <c r="B2183" s="11">
        <f t="shared" si="34"/>
        <v>22280</v>
      </c>
      <c r="C2183" s="12">
        <v>222800</v>
      </c>
      <c r="D2183" s="13">
        <v>1</v>
      </c>
      <c r="E2183" s="13">
        <v>0</v>
      </c>
      <c r="F2183" s="13">
        <v>85</v>
      </c>
      <c r="G2183" s="13">
        <v>45</v>
      </c>
      <c r="H2183" s="13" t="str" cm="1">
        <f t="array" ref="H2183">_xlfn.IFS(G2183&lt;=20,"0-20",G2183&lt;=30,"20-30",G2183&lt;=40,"30-40",G2183&lt;=50,"50-60",G2183&lt;=60,"60-70",G2183&lt;=70,"70-80",G2183&lt;=80,"80-90")</f>
        <v>50-60</v>
      </c>
      <c r="I2183" s="13">
        <v>2565</v>
      </c>
      <c r="J2183" s="13" t="str" cm="1">
        <f t="array" ref="J2183">_xlfn.IFS(K2183=1,"Divorciado",L2183=1,"Casado",M2183=1,"Solteiro",N2183=1,"Juntos",O2183=1,"Viuvo")</f>
        <v>Juntos</v>
      </c>
      <c r="K2183" s="13">
        <v>0</v>
      </c>
      <c r="L2183" s="13">
        <v>0</v>
      </c>
      <c r="M2183" s="13">
        <v>0</v>
      </c>
      <c r="N2183" s="13">
        <v>1</v>
      </c>
      <c r="O2183" s="13">
        <v>0</v>
      </c>
      <c r="P2183" s="13">
        <v>0</v>
      </c>
      <c r="Q2183" s="13">
        <v>0</v>
      </c>
      <c r="R2183" s="13">
        <v>1</v>
      </c>
      <c r="S2183" s="13">
        <v>0</v>
      </c>
      <c r="T2183" s="13">
        <v>0</v>
      </c>
      <c r="U2183" s="13">
        <v>2</v>
      </c>
      <c r="V2183" s="13" t="str" cm="1">
        <f t="array" ref="V2183">_xlfn.IFS(U2183&lt;=250,"0-R$250",U2183&lt;=500,"251-R$500",U2183&lt;=750,"501-R$750",U2183&lt;=1000,"751-R$1000",U2183&lt;=1250,"1001-R$1250",U2183&lt;=1500,"1251-R$1500")</f>
        <v>0-R$250</v>
      </c>
      <c r="W2183" s="13">
        <v>1</v>
      </c>
      <c r="X2183" s="13" t="str" cm="1">
        <f t="array" ref="X2183">_xlfn.IFS(W2183 = 0, "0", W2183&lt;=20, "até R$20",W2183&lt;=40, "21 - R$40",W2183&lt;=60, "41- R$60",W2183&lt;=80, "61 - R$80", W2183&lt;=100, "81 - R$100",W2183&lt;=120, "101 - R$120",W2183&lt;=140, "121 - R$140", W2183&lt;=160, "141- R$160", W2183&lt;=180, "161 - R$180", W2183&lt;=200, "181-R$194")</f>
        <v>até R$20</v>
      </c>
      <c r="Y2183" s="13">
        <v>4</v>
      </c>
      <c r="Z2183" s="13">
        <v>3</v>
      </c>
      <c r="AA2183" s="13">
        <v>1</v>
      </c>
      <c r="AB2183" s="13">
        <v>2</v>
      </c>
      <c r="AC2183" s="13">
        <v>1</v>
      </c>
      <c r="AD2183" s="13">
        <v>1</v>
      </c>
      <c r="AE2183" s="13">
        <v>0</v>
      </c>
      <c r="AF2183" s="13">
        <v>2</v>
      </c>
      <c r="AG2183" s="13">
        <v>8</v>
      </c>
      <c r="AH2183" s="13">
        <v>0</v>
      </c>
      <c r="AI2183" s="13">
        <v>0</v>
      </c>
      <c r="AJ2183" s="13">
        <v>0</v>
      </c>
      <c r="AK2183" s="13">
        <v>0</v>
      </c>
      <c r="AL2183" s="13">
        <v>0</v>
      </c>
      <c r="AM2183" s="13">
        <v>0</v>
      </c>
      <c r="AN2183" s="13">
        <v>0</v>
      </c>
      <c r="AO2183" s="14">
        <v>0</v>
      </c>
      <c r="AP2183" s="13">
        <v>3</v>
      </c>
      <c r="AQ2183" s="13">
        <v>11</v>
      </c>
      <c r="AR2183" s="15">
        <v>9</v>
      </c>
      <c r="AS2183" s="15">
        <v>11</v>
      </c>
    </row>
    <row r="2184" spans="1:45" x14ac:dyDescent="0.25">
      <c r="A2184">
        <v>2183</v>
      </c>
      <c r="B2184" s="11">
        <f t="shared" si="34"/>
        <v>36807</v>
      </c>
      <c r="C2184" s="16">
        <v>368070</v>
      </c>
      <c r="D2184" s="17">
        <v>1</v>
      </c>
      <c r="E2184" s="17">
        <v>1</v>
      </c>
      <c r="F2184" s="17">
        <v>88</v>
      </c>
      <c r="G2184" s="17">
        <v>66</v>
      </c>
      <c r="H2184" s="13" t="str" cm="1">
        <f t="array" ref="H2184">_xlfn.IFS(G2184&lt;=20,"0-20",G2184&lt;=30,"20-30",G2184&lt;=40,"30-40",G2184&lt;=50,"50-60",G2184&lt;=60,"60-70",G2184&lt;=70,"70-80",G2184&lt;=80,"80-90")</f>
        <v>70-80</v>
      </c>
      <c r="I2184" s="17">
        <v>2715</v>
      </c>
      <c r="J2184" s="13" t="str" cm="1">
        <f t="array" ref="J2184">_xlfn.IFS(K2184=1,"Divorciado",L2184=1,"Casado",M2184=1,"Solteiro",N2184=1,"Juntos",O2184=1,"Viuvo")</f>
        <v>Juntos</v>
      </c>
      <c r="K2184" s="17">
        <v>0</v>
      </c>
      <c r="L2184" s="17">
        <v>0</v>
      </c>
      <c r="M2184" s="17">
        <v>0</v>
      </c>
      <c r="N2184" s="17">
        <v>1</v>
      </c>
      <c r="O2184" s="17">
        <v>0</v>
      </c>
      <c r="P2184" s="17">
        <v>0</v>
      </c>
      <c r="Q2184" s="17">
        <v>0</v>
      </c>
      <c r="R2184" s="17">
        <v>1</v>
      </c>
      <c r="S2184" s="17">
        <v>0</v>
      </c>
      <c r="T2184" s="17">
        <v>0</v>
      </c>
      <c r="U2184" s="17">
        <v>4</v>
      </c>
      <c r="V2184" s="13" t="str" cm="1">
        <f t="array" ref="V2184">_xlfn.IFS(U2184&lt;=250,"0-R$250",U2184&lt;=500,"251-R$500",U2184&lt;=750,"501-R$750",U2184&lt;=1000,"751-R$1000",U2184&lt;=1250,"1001-R$1250",U2184&lt;=1500,"1251-R$1500")</f>
        <v>0-R$250</v>
      </c>
      <c r="W2184" s="17">
        <v>2</v>
      </c>
      <c r="X2184" s="13" t="str" cm="1">
        <f t="array" ref="X2184">_xlfn.IFS(W2184 = 0, "0", W2184&lt;=20, "até R$20",W2184&lt;=40, "21 - R$40",W2184&lt;=60, "41- R$60",W2184&lt;=80, "61 - R$80", W2184&lt;=100, "81 - R$100",W2184&lt;=120, "101 - R$120",W2184&lt;=140, "121 - R$140", W2184&lt;=160, "141- R$160", W2184&lt;=180, "161 - R$180", W2184&lt;=200, "181-R$194")</f>
        <v>até R$20</v>
      </c>
      <c r="Y2184" s="17">
        <v>5</v>
      </c>
      <c r="Z2184" s="17">
        <v>0</v>
      </c>
      <c r="AA2184" s="17">
        <v>0</v>
      </c>
      <c r="AB2184" s="17">
        <v>5</v>
      </c>
      <c r="AC2184" s="17">
        <v>1</v>
      </c>
      <c r="AD2184" s="17">
        <v>1</v>
      </c>
      <c r="AE2184" s="17">
        <v>0</v>
      </c>
      <c r="AF2184" s="17">
        <v>2</v>
      </c>
      <c r="AG2184" s="17">
        <v>6</v>
      </c>
      <c r="AH2184" s="17">
        <v>0</v>
      </c>
      <c r="AI2184" s="17">
        <v>0</v>
      </c>
      <c r="AJ2184" s="17">
        <v>0</v>
      </c>
      <c r="AK2184" s="17">
        <v>0</v>
      </c>
      <c r="AL2184" s="17">
        <v>0</v>
      </c>
      <c r="AM2184" s="17">
        <v>0</v>
      </c>
      <c r="AN2184" s="17">
        <v>0</v>
      </c>
      <c r="AO2184" s="18">
        <v>0</v>
      </c>
      <c r="AP2184" s="17">
        <v>3</v>
      </c>
      <c r="AQ2184" s="17">
        <v>11</v>
      </c>
      <c r="AR2184" s="19">
        <v>6</v>
      </c>
      <c r="AS2184" s="19">
        <v>11</v>
      </c>
    </row>
    <row r="2185" spans="1:45" x14ac:dyDescent="0.25">
      <c r="A2185">
        <v>551</v>
      </c>
      <c r="B2185" s="11">
        <f t="shared" si="34"/>
        <v>29298</v>
      </c>
      <c r="C2185" s="16">
        <v>292980</v>
      </c>
      <c r="D2185" s="17">
        <v>1</v>
      </c>
      <c r="E2185" s="17">
        <v>1</v>
      </c>
      <c r="F2185" s="17">
        <v>60</v>
      </c>
      <c r="G2185" s="17">
        <v>69</v>
      </c>
      <c r="H2185" s="13" t="str" cm="1">
        <f t="array" ref="H2185">_xlfn.IFS(G2185&lt;=20,"0-20",G2185&lt;=30,"20-30",G2185&lt;=40,"30-40",G2185&lt;=50,"50-60",G2185&lt;=60,"60-70",G2185&lt;=70,"70-80",G2185&lt;=80,"80-90")</f>
        <v>70-80</v>
      </c>
      <c r="I2185" s="17">
        <v>2454</v>
      </c>
      <c r="J2185" s="13" t="str" cm="1">
        <f t="array" ref="J2185">_xlfn.IFS(K2185=1,"Divorciado",L2185=1,"Casado",M2185=1,"Solteiro",N2185=1,"Juntos",O2185=1,"Viuvo")</f>
        <v>Juntos</v>
      </c>
      <c r="K2185" s="17">
        <v>0</v>
      </c>
      <c r="L2185" s="17">
        <v>0</v>
      </c>
      <c r="M2185" s="17">
        <v>0</v>
      </c>
      <c r="N2185" s="17">
        <v>1</v>
      </c>
      <c r="O2185" s="17">
        <v>0</v>
      </c>
      <c r="P2185" s="17">
        <v>0</v>
      </c>
      <c r="Q2185" s="17">
        <v>0</v>
      </c>
      <c r="R2185" s="17">
        <v>0</v>
      </c>
      <c r="S2185" s="17">
        <v>1</v>
      </c>
      <c r="T2185" s="17">
        <v>0</v>
      </c>
      <c r="U2185" s="17">
        <v>6</v>
      </c>
      <c r="V2185" s="13" t="str" cm="1">
        <f t="array" ref="V2185">_xlfn.IFS(U2185&lt;=250,"0-R$250",U2185&lt;=500,"251-R$500",U2185&lt;=750,"501-R$750",U2185&lt;=1000,"751-R$1000",U2185&lt;=1250,"1001-R$1250",U2185&lt;=1500,"1251-R$1500")</f>
        <v>0-R$250</v>
      </c>
      <c r="W2185" s="17">
        <v>0</v>
      </c>
      <c r="X2185" s="13" t="str" cm="1">
        <f t="array" ref="X2185">_xlfn.IFS(W2185 = 0, "0", W2185&lt;=20, "até R$20",W2185&lt;=40, "21 - R$40",W2185&lt;=60, "41- R$60",W2185&lt;=80, "61 - R$80", W2185&lt;=100, "81 - R$100",W2185&lt;=120, "101 - R$120",W2185&lt;=140, "121 - R$140", W2185&lt;=160, "141- R$160", W2185&lt;=180, "161 - R$180", W2185&lt;=200, "181-R$194")</f>
        <v>0</v>
      </c>
      <c r="Y2185" s="17">
        <v>2</v>
      </c>
      <c r="Z2185" s="17">
        <v>2</v>
      </c>
      <c r="AA2185" s="17">
        <v>0</v>
      </c>
      <c r="AB2185" s="17">
        <v>1</v>
      </c>
      <c r="AC2185" s="17">
        <v>1</v>
      </c>
      <c r="AD2185" s="17">
        <v>1</v>
      </c>
      <c r="AE2185" s="17">
        <v>0</v>
      </c>
      <c r="AF2185" s="17">
        <v>2</v>
      </c>
      <c r="AG2185" s="17">
        <v>5</v>
      </c>
      <c r="AH2185" s="17">
        <v>0</v>
      </c>
      <c r="AI2185" s="17">
        <v>0</v>
      </c>
      <c r="AJ2185" s="17">
        <v>0</v>
      </c>
      <c r="AK2185" s="17">
        <v>0</v>
      </c>
      <c r="AL2185" s="17">
        <v>0</v>
      </c>
      <c r="AM2185" s="17">
        <v>0</v>
      </c>
      <c r="AN2185" s="17">
        <v>0</v>
      </c>
      <c r="AO2185" s="18">
        <v>0</v>
      </c>
      <c r="AP2185" s="17">
        <v>3</v>
      </c>
      <c r="AQ2185" s="17">
        <v>11</v>
      </c>
      <c r="AR2185" s="19">
        <v>9</v>
      </c>
      <c r="AS2185" s="19">
        <v>10</v>
      </c>
    </row>
    <row r="2186" spans="1:45" x14ac:dyDescent="0.25">
      <c r="A2186">
        <v>657</v>
      </c>
      <c r="B2186" s="11">
        <f t="shared" si="34"/>
        <v>26751</v>
      </c>
      <c r="C2186" s="16">
        <v>267510</v>
      </c>
      <c r="D2186" s="17">
        <v>2</v>
      </c>
      <c r="E2186" s="17">
        <v>0</v>
      </c>
      <c r="F2186" s="17">
        <v>26</v>
      </c>
      <c r="G2186" s="17">
        <v>46</v>
      </c>
      <c r="H2186" s="13" t="str" cm="1">
        <f t="array" ref="H2186">_xlfn.IFS(G2186&lt;=20,"0-20",G2186&lt;=30,"20-30",G2186&lt;=40,"30-40",G2186&lt;=50,"50-60",G2186&lt;=60,"60-70",G2186&lt;=70,"70-80",G2186&lt;=80,"80-90")</f>
        <v>50-60</v>
      </c>
      <c r="I2186" s="17">
        <v>2197</v>
      </c>
      <c r="J2186" s="13" t="str" cm="1">
        <f t="array" ref="J2186">_xlfn.IFS(K2186=1,"Divorciado",L2186=1,"Casado",M2186=1,"Solteiro",N2186=1,"Juntos",O2186=1,"Viuvo")</f>
        <v>Casado</v>
      </c>
      <c r="K2186" s="17">
        <v>0</v>
      </c>
      <c r="L2186" s="17">
        <v>1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1</v>
      </c>
      <c r="S2186" s="17">
        <v>0</v>
      </c>
      <c r="T2186" s="17">
        <v>0</v>
      </c>
      <c r="U2186" s="17">
        <v>1</v>
      </c>
      <c r="V2186" s="13" t="str" cm="1">
        <f t="array" ref="V2186">_xlfn.IFS(U2186&lt;=250,"0-R$250",U2186&lt;=500,"251-R$500",U2186&lt;=750,"501-R$750",U2186&lt;=1000,"751-R$1000",U2186&lt;=1250,"1001-R$1250",U2186&lt;=1500,"1251-R$1500")</f>
        <v>0-R$250</v>
      </c>
      <c r="W2186" s="17">
        <v>1</v>
      </c>
      <c r="X2186" s="13" t="str" cm="1">
        <f t="array" ref="X2186">_xlfn.IFS(W2186 = 0, "0", W2186&lt;=20, "até R$20",W2186&lt;=40, "21 - R$40",W2186&lt;=60, "41- R$60",W2186&lt;=80, "61 - R$80", W2186&lt;=100, "81 - R$100",W2186&lt;=120, "101 - R$120",W2186&lt;=140, "121 - R$140", W2186&lt;=160, "141- R$160", W2186&lt;=180, "161 - R$180", W2186&lt;=200, "181-R$194")</f>
        <v>até R$20</v>
      </c>
      <c r="Y2186" s="17">
        <v>5</v>
      </c>
      <c r="Z2186" s="17">
        <v>0</v>
      </c>
      <c r="AA2186" s="17">
        <v>3</v>
      </c>
      <c r="AB2186" s="17">
        <v>1</v>
      </c>
      <c r="AC2186" s="17">
        <v>1</v>
      </c>
      <c r="AD2186" s="17">
        <v>1</v>
      </c>
      <c r="AE2186" s="17">
        <v>0</v>
      </c>
      <c r="AF2186" s="17">
        <v>2</v>
      </c>
      <c r="AG2186" s="17">
        <v>8</v>
      </c>
      <c r="AH2186" s="17">
        <v>0</v>
      </c>
      <c r="AI2186" s="17">
        <v>0</v>
      </c>
      <c r="AJ2186" s="17">
        <v>0</v>
      </c>
      <c r="AK2186" s="17">
        <v>0</v>
      </c>
      <c r="AL2186" s="17">
        <v>0</v>
      </c>
      <c r="AM2186" s="17">
        <v>0</v>
      </c>
      <c r="AN2186" s="17">
        <v>0</v>
      </c>
      <c r="AO2186" s="18">
        <v>0</v>
      </c>
      <c r="AP2186" s="17">
        <v>3</v>
      </c>
      <c r="AQ2186" s="17">
        <v>11</v>
      </c>
      <c r="AR2186" s="19">
        <v>9</v>
      </c>
      <c r="AS2186" s="19">
        <v>10</v>
      </c>
    </row>
    <row r="2187" spans="1:45" x14ac:dyDescent="0.25">
      <c r="A2187">
        <v>843</v>
      </c>
      <c r="B2187" s="11">
        <f t="shared" si="34"/>
        <v>7500</v>
      </c>
      <c r="C2187" s="16">
        <v>75000</v>
      </c>
      <c r="D2187" s="17">
        <v>0</v>
      </c>
      <c r="E2187" s="17">
        <v>0</v>
      </c>
      <c r="F2187" s="17">
        <v>94</v>
      </c>
      <c r="G2187" s="17">
        <v>33</v>
      </c>
      <c r="H2187" s="13" t="str" cm="1">
        <f t="array" ref="H2187">_xlfn.IFS(G2187&lt;=20,"0-20",G2187&lt;=30,"20-30",G2187&lt;=40,"30-40",G2187&lt;=50,"50-60",G2187&lt;=60,"60-70",G2187&lt;=70,"70-80",G2187&lt;=80,"80-90")</f>
        <v>30-40</v>
      </c>
      <c r="I2187" s="17">
        <v>2695</v>
      </c>
      <c r="J2187" s="13" t="str" cm="1">
        <f t="array" ref="J2187">_xlfn.IFS(K2187=1,"Divorciado",L2187=1,"Casado",M2187=1,"Solteiro",N2187=1,"Juntos",O2187=1,"Viuvo")</f>
        <v>Casado</v>
      </c>
      <c r="K2187" s="17">
        <v>0</v>
      </c>
      <c r="L2187" s="17">
        <v>1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1</v>
      </c>
      <c r="S2187" s="17">
        <v>0</v>
      </c>
      <c r="T2187" s="17">
        <v>0</v>
      </c>
      <c r="U2187" s="17">
        <v>0</v>
      </c>
      <c r="V2187" s="13" t="str" cm="1">
        <f t="array" ref="V2187">_xlfn.IFS(U2187&lt;=250,"0-R$250",U2187&lt;=500,"251-R$500",U2187&lt;=750,"501-R$750",U2187&lt;=1000,"751-R$1000",U2187&lt;=1250,"1001-R$1250",U2187&lt;=1500,"1251-R$1500")</f>
        <v>0-R$250</v>
      </c>
      <c r="W2187" s="17">
        <v>2</v>
      </c>
      <c r="X2187" s="13" t="str" cm="1">
        <f t="array" ref="X2187">_xlfn.IFS(W2187 = 0, "0", W2187&lt;=20, "até R$20",W2187&lt;=40, "21 - R$40",W2187&lt;=60, "41- R$60",W2187&lt;=80, "61 - R$80", W2187&lt;=100, "81 - R$100",W2187&lt;=120, "101 - R$120",W2187&lt;=140, "121 - R$140", W2187&lt;=160, "141- R$160", W2187&lt;=180, "161 - R$180", W2187&lt;=200, "181-R$194")</f>
        <v>até R$20</v>
      </c>
      <c r="Y2187" s="17">
        <v>3</v>
      </c>
      <c r="Z2187" s="17">
        <v>4</v>
      </c>
      <c r="AA2187" s="17">
        <v>1</v>
      </c>
      <c r="AB2187" s="17">
        <v>5</v>
      </c>
      <c r="AC2187" s="17">
        <v>1</v>
      </c>
      <c r="AD2187" s="17">
        <v>0</v>
      </c>
      <c r="AE2187" s="17">
        <v>0</v>
      </c>
      <c r="AF2187" s="17">
        <v>3</v>
      </c>
      <c r="AG2187" s="17">
        <v>6</v>
      </c>
      <c r="AH2187" s="17">
        <v>0</v>
      </c>
      <c r="AI2187" s="17">
        <v>0</v>
      </c>
      <c r="AJ2187" s="17">
        <v>0</v>
      </c>
      <c r="AK2187" s="17">
        <v>0</v>
      </c>
      <c r="AL2187" s="17">
        <v>0</v>
      </c>
      <c r="AM2187" s="17">
        <v>0</v>
      </c>
      <c r="AN2187" s="17">
        <v>0</v>
      </c>
      <c r="AO2187" s="18">
        <v>0</v>
      </c>
      <c r="AP2187" s="17">
        <v>3</v>
      </c>
      <c r="AQ2187" s="17">
        <v>11</v>
      </c>
      <c r="AR2187" s="19">
        <v>5</v>
      </c>
      <c r="AS2187" s="19">
        <v>10</v>
      </c>
    </row>
    <row r="2188" spans="1:45" x14ac:dyDescent="0.25">
      <c r="A2188">
        <v>848</v>
      </c>
      <c r="B2188" s="11">
        <f t="shared" si="34"/>
        <v>19485</v>
      </c>
      <c r="C2188" s="12">
        <v>194850</v>
      </c>
      <c r="D2188" s="13">
        <v>2</v>
      </c>
      <c r="E2188" s="13">
        <v>0</v>
      </c>
      <c r="F2188" s="13">
        <v>80</v>
      </c>
      <c r="G2188" s="13">
        <v>34</v>
      </c>
      <c r="H2188" s="13" t="str" cm="1">
        <f t="array" ref="H2188">_xlfn.IFS(G2188&lt;=20,"0-20",G2188&lt;=30,"20-30",G2188&lt;=40,"30-40",G2188&lt;=50,"50-60",G2188&lt;=60,"60-70",G2188&lt;=70,"70-80",G2188&lt;=80,"80-90")</f>
        <v>30-40</v>
      </c>
      <c r="I2188" s="13">
        <v>2437</v>
      </c>
      <c r="J2188" s="13" t="str" cm="1">
        <f t="array" ref="J2188">_xlfn.IFS(K2188=1,"Divorciado",L2188=1,"Casado",M2188=1,"Solteiro",N2188=1,"Juntos",O2188=1,"Viuvo")</f>
        <v>Solteiro</v>
      </c>
      <c r="K2188" s="13">
        <v>0</v>
      </c>
      <c r="L2188" s="13">
        <v>0</v>
      </c>
      <c r="M2188" s="13">
        <v>1</v>
      </c>
      <c r="N2188" s="13">
        <v>0</v>
      </c>
      <c r="O2188" s="13">
        <v>0</v>
      </c>
      <c r="P2188" s="13">
        <v>0</v>
      </c>
      <c r="Q2188" s="13">
        <v>0</v>
      </c>
      <c r="R2188" s="13">
        <v>0</v>
      </c>
      <c r="S2188" s="13">
        <v>1</v>
      </c>
      <c r="T2188" s="13">
        <v>0</v>
      </c>
      <c r="U2188" s="13">
        <v>6</v>
      </c>
      <c r="V2188" s="13" t="str" cm="1">
        <f t="array" ref="V2188">_xlfn.IFS(U2188&lt;=250,"0-R$250",U2188&lt;=500,"251-R$500",U2188&lt;=750,"501-R$750",U2188&lt;=1000,"751-R$1000",U2188&lt;=1250,"1001-R$1250",U2188&lt;=1500,"1251-R$1500")</f>
        <v>0-R$250</v>
      </c>
      <c r="W2188" s="13">
        <v>0</v>
      </c>
      <c r="X2188" s="13" t="str" cm="1">
        <f t="array" ref="X2188">_xlfn.IFS(W2188 = 0, "0", W2188&lt;=20, "até R$20",W2188&lt;=40, "21 - R$40",W2188&lt;=60, "41- R$60",W2188&lt;=80, "61 - R$80", W2188&lt;=100, "81 - R$100",W2188&lt;=120, "101 - R$120",W2188&lt;=140, "121 - R$140", W2188&lt;=160, "141- R$160", W2188&lt;=180, "161 - R$180", W2188&lt;=200, "181-R$194")</f>
        <v>0</v>
      </c>
      <c r="Y2188" s="13">
        <v>4</v>
      </c>
      <c r="Z2188" s="13">
        <v>0</v>
      </c>
      <c r="AA2188" s="13">
        <v>0</v>
      </c>
      <c r="AB2188" s="13">
        <v>0</v>
      </c>
      <c r="AC2188" s="13">
        <v>1</v>
      </c>
      <c r="AD2188" s="13">
        <v>1</v>
      </c>
      <c r="AE2188" s="13">
        <v>0</v>
      </c>
      <c r="AF2188" s="13">
        <v>2</v>
      </c>
      <c r="AG2188" s="13">
        <v>7</v>
      </c>
      <c r="AH2188" s="13">
        <v>0</v>
      </c>
      <c r="AI2188" s="13">
        <v>0</v>
      </c>
      <c r="AJ2188" s="13">
        <v>0</v>
      </c>
      <c r="AK2188" s="13">
        <v>0</v>
      </c>
      <c r="AL2188" s="13">
        <v>0</v>
      </c>
      <c r="AM2188" s="13">
        <v>0</v>
      </c>
      <c r="AN2188" s="13">
        <v>0</v>
      </c>
      <c r="AO2188" s="14">
        <v>0</v>
      </c>
      <c r="AP2188" s="13">
        <v>3</v>
      </c>
      <c r="AQ2188" s="13">
        <v>11</v>
      </c>
      <c r="AR2188" s="15">
        <v>10</v>
      </c>
      <c r="AS2188" s="15">
        <v>10</v>
      </c>
    </row>
    <row r="2189" spans="1:45" x14ac:dyDescent="0.25">
      <c r="A2189">
        <v>1274</v>
      </c>
      <c r="B2189" s="11">
        <f t="shared" si="34"/>
        <v>42997</v>
      </c>
      <c r="C2189" s="12">
        <v>429970</v>
      </c>
      <c r="D2189" s="13">
        <v>1</v>
      </c>
      <c r="E2189" s="13">
        <v>1</v>
      </c>
      <c r="F2189" s="13">
        <v>91</v>
      </c>
      <c r="G2189" s="13">
        <v>43</v>
      </c>
      <c r="H2189" s="13" t="str" cm="1">
        <f t="array" ref="H2189">_xlfn.IFS(G2189&lt;=20,"0-20",G2189&lt;=30,"20-30",G2189&lt;=40,"30-40",G2189&lt;=50,"50-60",G2189&lt;=60,"60-70",G2189&lt;=70,"70-80",G2189&lt;=80,"80-90")</f>
        <v>50-60</v>
      </c>
      <c r="I2189" s="13">
        <v>2363</v>
      </c>
      <c r="J2189" s="13" t="str" cm="1">
        <f t="array" ref="J2189">_xlfn.IFS(K2189=1,"Divorciado",L2189=1,"Casado",M2189=1,"Solteiro",N2189=1,"Juntos",O2189=1,"Viuvo")</f>
        <v>Solteiro</v>
      </c>
      <c r="K2189" s="13">
        <v>0</v>
      </c>
      <c r="L2189" s="13">
        <v>0</v>
      </c>
      <c r="M2189" s="13">
        <v>1</v>
      </c>
      <c r="N2189" s="13">
        <v>0</v>
      </c>
      <c r="O2189" s="13">
        <v>0</v>
      </c>
      <c r="P2189" s="13">
        <v>0</v>
      </c>
      <c r="Q2189" s="13">
        <v>0</v>
      </c>
      <c r="R2189" s="13">
        <v>0</v>
      </c>
      <c r="S2189" s="13">
        <v>0</v>
      </c>
      <c r="T2189" s="13">
        <v>1</v>
      </c>
      <c r="U2189" s="13">
        <v>4</v>
      </c>
      <c r="V2189" s="13" t="str" cm="1">
        <f t="array" ref="V2189">_xlfn.IFS(U2189&lt;=250,"0-R$250",U2189&lt;=500,"251-R$500",U2189&lt;=750,"501-R$750",U2189&lt;=1000,"751-R$1000",U2189&lt;=1250,"1001-R$1250",U2189&lt;=1500,"1251-R$1500")</f>
        <v>0-R$250</v>
      </c>
      <c r="W2189" s="13">
        <v>0</v>
      </c>
      <c r="X2189" s="13" t="str" cm="1">
        <f t="array" ref="X2189">_xlfn.IFS(W2189 = 0, "0", W2189&lt;=20, "até R$20",W2189&lt;=40, "21 - R$40",W2189&lt;=60, "41- R$60",W2189&lt;=80, "61 - R$80", W2189&lt;=100, "81 - R$100",W2189&lt;=120, "101 - R$120",W2189&lt;=140, "121 - R$140", W2189&lt;=160, "141- R$160", W2189&lt;=180, "161 - R$180", W2189&lt;=200, "181-R$194")</f>
        <v>0</v>
      </c>
      <c r="Y2189" s="13">
        <v>5</v>
      </c>
      <c r="Z2189" s="13">
        <v>0</v>
      </c>
      <c r="AA2189" s="13">
        <v>1</v>
      </c>
      <c r="AB2189" s="13">
        <v>5</v>
      </c>
      <c r="AC2189" s="13">
        <v>1</v>
      </c>
      <c r="AD2189" s="13">
        <v>1</v>
      </c>
      <c r="AE2189" s="13">
        <v>0</v>
      </c>
      <c r="AF2189" s="13">
        <v>2</v>
      </c>
      <c r="AG2189" s="13">
        <v>7</v>
      </c>
      <c r="AH2189" s="13">
        <v>0</v>
      </c>
      <c r="AI2189" s="13">
        <v>0</v>
      </c>
      <c r="AJ2189" s="13">
        <v>0</v>
      </c>
      <c r="AK2189" s="13">
        <v>0</v>
      </c>
      <c r="AL2189" s="13">
        <v>0</v>
      </c>
      <c r="AM2189" s="13">
        <v>0</v>
      </c>
      <c r="AN2189" s="13">
        <v>0</v>
      </c>
      <c r="AO2189" s="14">
        <v>0</v>
      </c>
      <c r="AP2189" s="13">
        <v>3</v>
      </c>
      <c r="AQ2189" s="13">
        <v>11</v>
      </c>
      <c r="AR2189" s="15">
        <v>5</v>
      </c>
      <c r="AS2189" s="15">
        <v>10</v>
      </c>
    </row>
    <row r="2190" spans="1:45" x14ac:dyDescent="0.25">
      <c r="A2190">
        <v>73</v>
      </c>
      <c r="B2190" s="11">
        <f t="shared" si="34"/>
        <v>26326</v>
      </c>
      <c r="C2190" s="16">
        <v>263260</v>
      </c>
      <c r="D2190" s="17">
        <v>0</v>
      </c>
      <c r="E2190" s="17">
        <v>0</v>
      </c>
      <c r="F2190" s="17">
        <v>12</v>
      </c>
      <c r="G2190" s="17">
        <v>44</v>
      </c>
      <c r="H2190" s="13" t="str" cm="1">
        <f t="array" ref="H2190">_xlfn.IFS(G2190&lt;=20,"0-20",G2190&lt;=30,"20-30",G2190&lt;=40,"30-40",G2190&lt;=50,"50-60",G2190&lt;=60,"60-70",G2190&lt;=70,"70-80",G2190&lt;=80,"80-90")</f>
        <v>50-60</v>
      </c>
      <c r="I2190" s="17">
        <v>2457</v>
      </c>
      <c r="J2190" s="13" t="str" cm="1">
        <f t="array" ref="J2190">_xlfn.IFS(K2190=1,"Divorciado",L2190=1,"Casado",M2190=1,"Solteiro",N2190=1,"Juntos",O2190=1,"Viuvo")</f>
        <v>Juntos</v>
      </c>
      <c r="K2190" s="17">
        <v>0</v>
      </c>
      <c r="L2190" s="17">
        <v>0</v>
      </c>
      <c r="M2190" s="17">
        <v>0</v>
      </c>
      <c r="N2190" s="17">
        <v>1</v>
      </c>
      <c r="O2190" s="17">
        <v>0</v>
      </c>
      <c r="P2190" s="17">
        <v>1</v>
      </c>
      <c r="Q2190" s="17">
        <v>0</v>
      </c>
      <c r="R2190" s="17">
        <v>0</v>
      </c>
      <c r="S2190" s="17">
        <v>0</v>
      </c>
      <c r="T2190" s="17">
        <v>0</v>
      </c>
      <c r="U2190" s="17">
        <v>1</v>
      </c>
      <c r="V2190" s="13" t="str" cm="1">
        <f t="array" ref="V2190">_xlfn.IFS(U2190&lt;=250,"0-R$250",U2190&lt;=500,"251-R$500",U2190&lt;=750,"501-R$750",U2190&lt;=1000,"751-R$1000",U2190&lt;=1250,"1001-R$1250",U2190&lt;=1500,"1251-R$1500")</f>
        <v>0-R$250</v>
      </c>
      <c r="W2190" s="17">
        <v>0</v>
      </c>
      <c r="X2190" s="13" t="str" cm="1">
        <f t="array" ref="X2190">_xlfn.IFS(W2190 = 0, "0", W2190&lt;=20, "até R$20",W2190&lt;=40, "21 - R$40",W2190&lt;=60, "41- R$60",W2190&lt;=80, "61 - R$80", W2190&lt;=100, "81 - R$100",W2190&lt;=120, "101 - R$120",W2190&lt;=140, "121 - R$140", W2190&lt;=160, "141- R$160", W2190&lt;=180, "161 - R$180", W2190&lt;=200, "181-R$194")</f>
        <v>0</v>
      </c>
      <c r="Y2190" s="17">
        <v>5</v>
      </c>
      <c r="Z2190" s="17">
        <v>0</v>
      </c>
      <c r="AA2190" s="17">
        <v>3</v>
      </c>
      <c r="AB2190" s="17">
        <v>9</v>
      </c>
      <c r="AC2190" s="17">
        <v>1</v>
      </c>
      <c r="AD2190" s="17">
        <v>0</v>
      </c>
      <c r="AE2190" s="17">
        <v>0</v>
      </c>
      <c r="AF2190" s="17">
        <v>3</v>
      </c>
      <c r="AG2190" s="17">
        <v>3</v>
      </c>
      <c r="AH2190" s="17">
        <v>1</v>
      </c>
      <c r="AI2190" s="17">
        <v>0</v>
      </c>
      <c r="AJ2190" s="17">
        <v>0</v>
      </c>
      <c r="AK2190" s="17">
        <v>0</v>
      </c>
      <c r="AL2190" s="17">
        <v>0</v>
      </c>
      <c r="AM2190" s="17">
        <v>0</v>
      </c>
      <c r="AN2190" s="17">
        <v>0</v>
      </c>
      <c r="AO2190" s="18">
        <v>0</v>
      </c>
      <c r="AP2190" s="17">
        <v>3</v>
      </c>
      <c r="AQ2190" s="17">
        <v>11</v>
      </c>
      <c r="AR2190" s="19">
        <v>0</v>
      </c>
      <c r="AS2190" s="19">
        <v>9</v>
      </c>
    </row>
    <row r="2191" spans="1:45" x14ac:dyDescent="0.25">
      <c r="A2191">
        <v>167</v>
      </c>
      <c r="B2191" s="11">
        <f t="shared" si="34"/>
        <v>38285</v>
      </c>
      <c r="C2191" s="16">
        <v>382850</v>
      </c>
      <c r="D2191" s="17">
        <v>2</v>
      </c>
      <c r="E2191" s="17">
        <v>1</v>
      </c>
      <c r="F2191" s="17">
        <v>96</v>
      </c>
      <c r="G2191" s="17">
        <v>61</v>
      </c>
      <c r="H2191" s="13" t="str" cm="1">
        <f t="array" ref="H2191">_xlfn.IFS(G2191&lt;=20,"0-20",G2191&lt;=30,"20-30",G2191&lt;=40,"30-40",G2191&lt;=50,"50-60",G2191&lt;=60,"60-70",G2191&lt;=70,"70-80",G2191&lt;=80,"80-90")</f>
        <v>70-80</v>
      </c>
      <c r="I2191" s="17">
        <v>2164</v>
      </c>
      <c r="J2191" s="13" t="str" cm="1">
        <f t="array" ref="J2191">_xlfn.IFS(K2191=1,"Divorciado",L2191=1,"Casado",M2191=1,"Solteiro",N2191=1,"Juntos",O2191=1,"Viuvo")</f>
        <v>Juntos</v>
      </c>
      <c r="K2191" s="17">
        <v>0</v>
      </c>
      <c r="L2191" s="17">
        <v>0</v>
      </c>
      <c r="M2191" s="17">
        <v>0</v>
      </c>
      <c r="N2191" s="17">
        <v>1</v>
      </c>
      <c r="O2191" s="17">
        <v>0</v>
      </c>
      <c r="P2191" s="17">
        <v>0</v>
      </c>
      <c r="Q2191" s="17">
        <v>0</v>
      </c>
      <c r="R2191" s="17">
        <v>1</v>
      </c>
      <c r="S2191" s="17">
        <v>0</v>
      </c>
      <c r="T2191" s="17">
        <v>0</v>
      </c>
      <c r="U2191" s="17">
        <v>2</v>
      </c>
      <c r="V2191" s="13" t="str" cm="1">
        <f t="array" ref="V2191">_xlfn.IFS(U2191&lt;=250,"0-R$250",U2191&lt;=500,"251-R$500",U2191&lt;=750,"501-R$750",U2191&lt;=1000,"751-R$1000",U2191&lt;=1250,"1001-R$1250",U2191&lt;=1500,"1251-R$1500")</f>
        <v>0-R$250</v>
      </c>
      <c r="W2191" s="17">
        <v>0</v>
      </c>
      <c r="X2191" s="13" t="str" cm="1">
        <f t="array" ref="X2191">_xlfn.IFS(W2191 = 0, "0", W2191&lt;=20, "até R$20",W2191&lt;=40, "21 - R$40",W2191&lt;=60, "41- R$60",W2191&lt;=80, "61 - R$80", W2191&lt;=100, "81 - R$100",W2191&lt;=120, "101 - R$120",W2191&lt;=140, "121 - R$140", W2191&lt;=160, "141- R$160", W2191&lt;=180, "161 - R$180", W2191&lt;=200, "181-R$194")</f>
        <v>0</v>
      </c>
      <c r="Y2191" s="17">
        <v>5</v>
      </c>
      <c r="Z2191" s="17">
        <v>2</v>
      </c>
      <c r="AA2191" s="17">
        <v>0</v>
      </c>
      <c r="AB2191" s="17">
        <v>1</v>
      </c>
      <c r="AC2191" s="17">
        <v>1</v>
      </c>
      <c r="AD2191" s="17">
        <v>0</v>
      </c>
      <c r="AE2191" s="17">
        <v>0</v>
      </c>
      <c r="AF2191" s="17">
        <v>3</v>
      </c>
      <c r="AG2191" s="17">
        <v>2</v>
      </c>
      <c r="AH2191" s="17">
        <v>0</v>
      </c>
      <c r="AI2191" s="17">
        <v>0</v>
      </c>
      <c r="AJ2191" s="17">
        <v>0</v>
      </c>
      <c r="AK2191" s="17">
        <v>0</v>
      </c>
      <c r="AL2191" s="17">
        <v>0</v>
      </c>
      <c r="AM2191" s="17">
        <v>0</v>
      </c>
      <c r="AN2191" s="17">
        <v>0</v>
      </c>
      <c r="AO2191" s="18">
        <v>0</v>
      </c>
      <c r="AP2191" s="17">
        <v>3</v>
      </c>
      <c r="AQ2191" s="17">
        <v>11</v>
      </c>
      <c r="AR2191" s="19">
        <v>8</v>
      </c>
      <c r="AS2191" s="19">
        <v>9</v>
      </c>
    </row>
    <row r="2192" spans="1:45" x14ac:dyDescent="0.25">
      <c r="A2192">
        <v>406</v>
      </c>
      <c r="B2192" s="11">
        <f t="shared" si="34"/>
        <v>18492</v>
      </c>
      <c r="C2192" s="12">
        <v>184920</v>
      </c>
      <c r="D2192" s="13">
        <v>1</v>
      </c>
      <c r="E2192" s="13">
        <v>0</v>
      </c>
      <c r="F2192" s="13">
        <v>75</v>
      </c>
      <c r="G2192" s="13">
        <v>38</v>
      </c>
      <c r="H2192" s="13" t="str" cm="1">
        <f t="array" ref="H2192">_xlfn.IFS(G2192&lt;=20,"0-20",G2192&lt;=30,"20-30",G2192&lt;=40,"30-40",G2192&lt;=50,"50-60",G2192&lt;=60,"60-70",G2192&lt;=70,"70-80",G2192&lt;=80,"80-90")</f>
        <v>30-40</v>
      </c>
      <c r="I2192" s="13">
        <v>2183</v>
      </c>
      <c r="J2192" s="13" t="str" cm="1">
        <f t="array" ref="J2192">_xlfn.IFS(K2192=1,"Divorciado",L2192=1,"Casado",M2192=1,"Solteiro",N2192=1,"Juntos",O2192=1,"Viuvo")</f>
        <v>Juntos</v>
      </c>
      <c r="K2192" s="13">
        <v>0</v>
      </c>
      <c r="L2192" s="13">
        <v>0</v>
      </c>
      <c r="M2192" s="13">
        <v>0</v>
      </c>
      <c r="N2192" s="13">
        <v>1</v>
      </c>
      <c r="O2192" s="13">
        <v>0</v>
      </c>
      <c r="P2192" s="13">
        <v>0</v>
      </c>
      <c r="Q2192" s="13">
        <v>0</v>
      </c>
      <c r="R2192" s="13">
        <v>0</v>
      </c>
      <c r="S2192" s="13">
        <v>1</v>
      </c>
      <c r="T2192" s="13">
        <v>0</v>
      </c>
      <c r="U2192" s="13">
        <v>2</v>
      </c>
      <c r="V2192" s="13" t="str" cm="1">
        <f t="array" ref="V2192">_xlfn.IFS(U2192&lt;=250,"0-R$250",U2192&lt;=500,"251-R$500",U2192&lt;=750,"501-R$750",U2192&lt;=1000,"751-R$1000",U2192&lt;=1250,"1001-R$1250",U2192&lt;=1500,"1251-R$1500")</f>
        <v>0-R$250</v>
      </c>
      <c r="W2192" s="13">
        <v>2</v>
      </c>
      <c r="X2192" s="13" t="str" cm="1">
        <f t="array" ref="X2192">_xlfn.IFS(W2192 = 0, "0", W2192&lt;=20, "até R$20",W2192&lt;=40, "21 - R$40",W2192&lt;=60, "41- R$60",W2192&lt;=80, "61 - R$80", W2192&lt;=100, "81 - R$100",W2192&lt;=120, "101 - R$120",W2192&lt;=140, "121 - R$140", W2192&lt;=160, "141- R$160", W2192&lt;=180, "161 - R$180", W2192&lt;=200, "181-R$194")</f>
        <v>até R$20</v>
      </c>
      <c r="Y2192" s="13">
        <v>2</v>
      </c>
      <c r="Z2192" s="13">
        <v>2</v>
      </c>
      <c r="AA2192" s="13">
        <v>1</v>
      </c>
      <c r="AB2192" s="13">
        <v>1</v>
      </c>
      <c r="AC2192" s="13">
        <v>1</v>
      </c>
      <c r="AD2192" s="13">
        <v>1</v>
      </c>
      <c r="AE2192" s="13">
        <v>0</v>
      </c>
      <c r="AF2192" s="13">
        <v>2</v>
      </c>
      <c r="AG2192" s="13">
        <v>8</v>
      </c>
      <c r="AH2192" s="13">
        <v>0</v>
      </c>
      <c r="AI2192" s="13">
        <v>0</v>
      </c>
      <c r="AJ2192" s="13">
        <v>0</v>
      </c>
      <c r="AK2192" s="13">
        <v>0</v>
      </c>
      <c r="AL2192" s="13">
        <v>0</v>
      </c>
      <c r="AM2192" s="13">
        <v>0</v>
      </c>
      <c r="AN2192" s="13">
        <v>0</v>
      </c>
      <c r="AO2192" s="14">
        <v>0</v>
      </c>
      <c r="AP2192" s="13">
        <v>3</v>
      </c>
      <c r="AQ2192" s="13">
        <v>11</v>
      </c>
      <c r="AR2192" s="15">
        <v>8</v>
      </c>
      <c r="AS2192" s="15">
        <v>9</v>
      </c>
    </row>
    <row r="2193" spans="1:45" x14ac:dyDescent="0.25">
      <c r="A2193">
        <v>1229</v>
      </c>
      <c r="B2193" s="11">
        <f t="shared" si="34"/>
        <v>20427</v>
      </c>
      <c r="C2193" s="16">
        <v>204270</v>
      </c>
      <c r="D2193" s="17">
        <v>1</v>
      </c>
      <c r="E2193" s="17">
        <v>0</v>
      </c>
      <c r="F2193" s="17">
        <v>63</v>
      </c>
      <c r="G2193" s="17">
        <v>47</v>
      </c>
      <c r="H2193" s="13" t="str" cm="1">
        <f t="array" ref="H2193">_xlfn.IFS(G2193&lt;=20,"0-20",G2193&lt;=30,"20-30",G2193&lt;=40,"30-40",G2193&lt;=50,"50-60",G2193&lt;=60,"60-70",G2193&lt;=70,"70-80",G2193&lt;=80,"80-90")</f>
        <v>50-60</v>
      </c>
      <c r="I2193" s="17">
        <v>2256</v>
      </c>
      <c r="J2193" s="13" t="str" cm="1">
        <f t="array" ref="J2193">_xlfn.IFS(K2193=1,"Divorciado",L2193=1,"Casado",M2193=1,"Solteiro",N2193=1,"Juntos",O2193=1,"Viuvo")</f>
        <v>Juntos</v>
      </c>
      <c r="K2193" s="17">
        <v>0</v>
      </c>
      <c r="L2193" s="17">
        <v>0</v>
      </c>
      <c r="M2193" s="17">
        <v>0</v>
      </c>
      <c r="N2193" s="17">
        <v>1</v>
      </c>
      <c r="O2193" s="17">
        <v>0</v>
      </c>
      <c r="P2193" s="17">
        <v>0</v>
      </c>
      <c r="Q2193" s="17">
        <v>0</v>
      </c>
      <c r="R2193" s="17">
        <v>0</v>
      </c>
      <c r="S2193" s="17">
        <v>0</v>
      </c>
      <c r="T2193" s="17">
        <v>1</v>
      </c>
      <c r="U2193" s="17">
        <v>5</v>
      </c>
      <c r="V2193" s="13" t="str" cm="1">
        <f t="array" ref="V2193">_xlfn.IFS(U2193&lt;=250,"0-R$250",U2193&lt;=500,"251-R$500",U2193&lt;=750,"501-R$750",U2193&lt;=1000,"751-R$1000",U2193&lt;=1250,"1001-R$1250",U2193&lt;=1500,"1251-R$1500")</f>
        <v>0-R$250</v>
      </c>
      <c r="W2193" s="17">
        <v>0</v>
      </c>
      <c r="X2193" s="13" t="str" cm="1">
        <f t="array" ref="X2193">_xlfn.IFS(W2193 = 0, "0", W2193&lt;=20, "até R$20",W2193&lt;=40, "21 - R$40",W2193&lt;=60, "41- R$60",W2193&lt;=80, "61 - R$80", W2193&lt;=100, "81 - R$100",W2193&lt;=120, "101 - R$120",W2193&lt;=140, "121 - R$140", W2193&lt;=160, "141- R$160", W2193&lt;=180, "161 - R$180", W2193&lt;=200, "181-R$194")</f>
        <v>0</v>
      </c>
      <c r="Y2193" s="17">
        <v>4</v>
      </c>
      <c r="Z2193" s="17">
        <v>0</v>
      </c>
      <c r="AA2193" s="17">
        <v>0</v>
      </c>
      <c r="AB2193" s="17">
        <v>1</v>
      </c>
      <c r="AC2193" s="17">
        <v>1</v>
      </c>
      <c r="AD2193" s="17">
        <v>1</v>
      </c>
      <c r="AE2193" s="17">
        <v>0</v>
      </c>
      <c r="AF2193" s="17">
        <v>2</v>
      </c>
      <c r="AG2193" s="17">
        <v>8</v>
      </c>
      <c r="AH2193" s="17">
        <v>0</v>
      </c>
      <c r="AI2193" s="17">
        <v>0</v>
      </c>
      <c r="AJ2193" s="17">
        <v>0</v>
      </c>
      <c r="AK2193" s="17">
        <v>0</v>
      </c>
      <c r="AL2193" s="17">
        <v>0</v>
      </c>
      <c r="AM2193" s="17">
        <v>0</v>
      </c>
      <c r="AN2193" s="17">
        <v>0</v>
      </c>
      <c r="AO2193" s="18">
        <v>0</v>
      </c>
      <c r="AP2193" s="17">
        <v>3</v>
      </c>
      <c r="AQ2193" s="17">
        <v>11</v>
      </c>
      <c r="AR2193" s="19">
        <v>8</v>
      </c>
      <c r="AS2193" s="19">
        <v>9</v>
      </c>
    </row>
    <row r="2194" spans="1:45" x14ac:dyDescent="0.25">
      <c r="A2194">
        <v>1658</v>
      </c>
      <c r="B2194" s="11">
        <f t="shared" si="34"/>
        <v>23536</v>
      </c>
      <c r="C2194" s="12">
        <v>235360</v>
      </c>
      <c r="D2194" s="13">
        <v>1</v>
      </c>
      <c r="E2194" s="13">
        <v>0</v>
      </c>
      <c r="F2194" s="13">
        <v>53</v>
      </c>
      <c r="G2194" s="13">
        <v>37</v>
      </c>
      <c r="H2194" s="13" t="str" cm="1">
        <f t="array" ref="H2194">_xlfn.IFS(G2194&lt;=20,"0-20",G2194&lt;=30,"20-30",G2194&lt;=40,"30-40",G2194&lt;=50,"50-60",G2194&lt;=60,"60-70",G2194&lt;=70,"70-80",G2194&lt;=80,"80-90")</f>
        <v>30-40</v>
      </c>
      <c r="I2194" s="13">
        <v>2184</v>
      </c>
      <c r="J2194" s="13" t="str" cm="1">
        <f t="array" ref="J2194">_xlfn.IFS(K2194=1,"Divorciado",L2194=1,"Casado",M2194=1,"Solteiro",N2194=1,"Juntos",O2194=1,"Viuvo")</f>
        <v>Casado</v>
      </c>
      <c r="K2194" s="13">
        <v>0</v>
      </c>
      <c r="L2194" s="13">
        <v>1</v>
      </c>
      <c r="M2194" s="13">
        <v>0</v>
      </c>
      <c r="N2194" s="13">
        <v>0</v>
      </c>
      <c r="O2194" s="13">
        <v>0</v>
      </c>
      <c r="P2194" s="13">
        <v>0</v>
      </c>
      <c r="Q2194" s="13">
        <v>0</v>
      </c>
      <c r="R2194" s="13">
        <v>0</v>
      </c>
      <c r="S2194" s="13">
        <v>0</v>
      </c>
      <c r="T2194" s="13">
        <v>1</v>
      </c>
      <c r="U2194" s="13">
        <v>6</v>
      </c>
      <c r="V2194" s="13" t="str" cm="1">
        <f t="array" ref="V2194">_xlfn.IFS(U2194&lt;=250,"0-R$250",U2194&lt;=500,"251-R$500",U2194&lt;=750,"501-R$750",U2194&lt;=1000,"751-R$1000",U2194&lt;=1250,"1001-R$1250",U2194&lt;=1500,"1251-R$1500")</f>
        <v>0-R$250</v>
      </c>
      <c r="W2194" s="13">
        <v>0</v>
      </c>
      <c r="X2194" s="13" t="str" cm="1">
        <f t="array" ref="X2194">_xlfn.IFS(W2194 = 0, "0", W2194&lt;=20, "até R$20",W2194&lt;=40, "21 - R$40",W2194&lt;=60, "41- R$60",W2194&lt;=80, "61 - R$80", W2194&lt;=100, "81 - R$100",W2194&lt;=120, "101 - R$120",W2194&lt;=140, "121 - R$140", W2194&lt;=160, "141- R$160", W2194&lt;=180, "161 - R$180", W2194&lt;=200, "181-R$194")</f>
        <v>0</v>
      </c>
      <c r="Y2194" s="13">
        <v>3</v>
      </c>
      <c r="Z2194" s="13">
        <v>0</v>
      </c>
      <c r="AA2194" s="13">
        <v>0</v>
      </c>
      <c r="AB2194" s="13">
        <v>1</v>
      </c>
      <c r="AC2194" s="13">
        <v>1</v>
      </c>
      <c r="AD2194" s="13">
        <v>0</v>
      </c>
      <c r="AE2194" s="13">
        <v>0</v>
      </c>
      <c r="AF2194" s="13">
        <v>3</v>
      </c>
      <c r="AG2194" s="13">
        <v>3</v>
      </c>
      <c r="AH2194" s="13">
        <v>0</v>
      </c>
      <c r="AI2194" s="13">
        <v>0</v>
      </c>
      <c r="AJ2194" s="13">
        <v>0</v>
      </c>
      <c r="AK2194" s="13">
        <v>0</v>
      </c>
      <c r="AL2194" s="13">
        <v>0</v>
      </c>
      <c r="AM2194" s="13">
        <v>0</v>
      </c>
      <c r="AN2194" s="13">
        <v>0</v>
      </c>
      <c r="AO2194" s="14">
        <v>0</v>
      </c>
      <c r="AP2194" s="13">
        <v>3</v>
      </c>
      <c r="AQ2194" s="13">
        <v>11</v>
      </c>
      <c r="AR2194" s="15">
        <v>8</v>
      </c>
      <c r="AS2194" s="15">
        <v>9</v>
      </c>
    </row>
    <row r="2195" spans="1:45" x14ac:dyDescent="0.25">
      <c r="A2195">
        <v>1695</v>
      </c>
      <c r="B2195" s="11">
        <f t="shared" si="34"/>
        <v>17688</v>
      </c>
      <c r="C2195" s="16">
        <v>176880</v>
      </c>
      <c r="D2195" s="17">
        <v>1</v>
      </c>
      <c r="E2195" s="17">
        <v>0</v>
      </c>
      <c r="F2195" s="17">
        <v>82</v>
      </c>
      <c r="G2195" s="17">
        <v>41</v>
      </c>
      <c r="H2195" s="13" t="str" cm="1">
        <f t="array" ref="H2195">_xlfn.IFS(G2195&lt;=20,"0-20",G2195&lt;=30,"20-30",G2195&lt;=40,"30-40",G2195&lt;=50,"50-60",G2195&lt;=60,"60-70",G2195&lt;=70,"70-80",G2195&lt;=80,"80-90")</f>
        <v>50-60</v>
      </c>
      <c r="I2195" s="17">
        <v>2691</v>
      </c>
      <c r="J2195" s="13" t="str" cm="1">
        <f t="array" ref="J2195">_xlfn.IFS(K2195=1,"Divorciado",L2195=1,"Casado",M2195=1,"Solteiro",N2195=1,"Juntos",O2195=1,"Viuvo")</f>
        <v>Casado</v>
      </c>
      <c r="K2195" s="17">
        <v>0</v>
      </c>
      <c r="L2195" s="17">
        <v>1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1</v>
      </c>
      <c r="S2195" s="17">
        <v>0</v>
      </c>
      <c r="T2195" s="17">
        <v>0</v>
      </c>
      <c r="U2195" s="17">
        <v>2</v>
      </c>
      <c r="V2195" s="13" t="str" cm="1">
        <f t="array" ref="V2195">_xlfn.IFS(U2195&lt;=250,"0-R$250",U2195&lt;=500,"251-R$500",U2195&lt;=750,"501-R$750",U2195&lt;=1000,"751-R$1000",U2195&lt;=1250,"1001-R$1250",U2195&lt;=1500,"1251-R$1500")</f>
        <v>0-R$250</v>
      </c>
      <c r="W2195" s="17">
        <v>2</v>
      </c>
      <c r="X2195" s="13" t="str" cm="1">
        <f t="array" ref="X2195">_xlfn.IFS(W2195 = 0, "0", W2195&lt;=20, "até R$20",W2195&lt;=40, "21 - R$40",W2195&lt;=60, "41- R$60",W2195&lt;=80, "61 - R$80", W2195&lt;=100, "81 - R$100",W2195&lt;=120, "101 - R$120",W2195&lt;=140, "121 - R$140", W2195&lt;=160, "141- R$160", W2195&lt;=180, "161 - R$180", W2195&lt;=200, "181-R$194")</f>
        <v>até R$20</v>
      </c>
      <c r="Y2195" s="17">
        <v>1</v>
      </c>
      <c r="Z2195" s="17">
        <v>3</v>
      </c>
      <c r="AA2195" s="17">
        <v>1</v>
      </c>
      <c r="AB2195" s="17">
        <v>2</v>
      </c>
      <c r="AC2195" s="17">
        <v>1</v>
      </c>
      <c r="AD2195" s="17">
        <v>1</v>
      </c>
      <c r="AE2195" s="17">
        <v>0</v>
      </c>
      <c r="AF2195" s="17">
        <v>2</v>
      </c>
      <c r="AG2195" s="17">
        <v>8</v>
      </c>
      <c r="AH2195" s="17">
        <v>1</v>
      </c>
      <c r="AI2195" s="17">
        <v>0</v>
      </c>
      <c r="AJ2195" s="17">
        <v>0</v>
      </c>
      <c r="AK2195" s="17">
        <v>0</v>
      </c>
      <c r="AL2195" s="17">
        <v>0</v>
      </c>
      <c r="AM2195" s="17">
        <v>0</v>
      </c>
      <c r="AN2195" s="17">
        <v>0</v>
      </c>
      <c r="AO2195" s="18">
        <v>0</v>
      </c>
      <c r="AP2195" s="17">
        <v>3</v>
      </c>
      <c r="AQ2195" s="17">
        <v>11</v>
      </c>
      <c r="AR2195" s="19">
        <v>7</v>
      </c>
      <c r="AS2195" s="19">
        <v>9</v>
      </c>
    </row>
    <row r="2196" spans="1:45" x14ac:dyDescent="0.25">
      <c r="A2196">
        <v>150</v>
      </c>
      <c r="B2196" s="11">
        <f t="shared" si="34"/>
        <v>30523</v>
      </c>
      <c r="C2196" s="12">
        <v>305230</v>
      </c>
      <c r="D2196" s="13">
        <v>2</v>
      </c>
      <c r="E2196" s="13">
        <v>1</v>
      </c>
      <c r="F2196" s="13">
        <v>0</v>
      </c>
      <c r="G2196" s="13">
        <v>62</v>
      </c>
      <c r="H2196" s="13" t="str" cm="1">
        <f t="array" ref="H2196">_xlfn.IFS(G2196&lt;=20,"0-20",G2196&lt;=30,"20-30",G2196&lt;=40,"30-40",G2196&lt;=50,"50-60",G2196&lt;=60,"60-70",G2196&lt;=70,"70-80",G2196&lt;=80,"80-90")</f>
        <v>70-80</v>
      </c>
      <c r="I2196" s="13">
        <v>2522</v>
      </c>
      <c r="J2196" s="13" t="str" cm="1">
        <f t="array" ref="J2196">_xlfn.IFS(K2196=1,"Divorciado",L2196=1,"Casado",M2196=1,"Solteiro",N2196=1,"Juntos",O2196=1,"Viuvo")</f>
        <v>Solteiro</v>
      </c>
      <c r="K2196" s="13">
        <v>0</v>
      </c>
      <c r="L2196" s="13">
        <v>0</v>
      </c>
      <c r="M2196" s="13">
        <v>1</v>
      </c>
      <c r="N2196" s="13">
        <v>0</v>
      </c>
      <c r="O2196" s="13">
        <v>0</v>
      </c>
      <c r="P2196" s="13">
        <v>0</v>
      </c>
      <c r="Q2196" s="13">
        <v>0</v>
      </c>
      <c r="R2196" s="13">
        <v>0</v>
      </c>
      <c r="S2196" s="13">
        <v>1</v>
      </c>
      <c r="T2196" s="13">
        <v>0</v>
      </c>
      <c r="U2196" s="13">
        <v>5</v>
      </c>
      <c r="V2196" s="13" t="str" cm="1">
        <f t="array" ref="V2196">_xlfn.IFS(U2196&lt;=250,"0-R$250",U2196&lt;=500,"251-R$500",U2196&lt;=750,"501-R$750",U2196&lt;=1000,"751-R$1000",U2196&lt;=1250,"1001-R$1250",U2196&lt;=1500,"1251-R$1500")</f>
        <v>0-R$250</v>
      </c>
      <c r="W2196" s="13">
        <v>0</v>
      </c>
      <c r="X2196" s="13" t="str" cm="1">
        <f t="array" ref="X2196">_xlfn.IFS(W2196 = 0, "0", W2196&lt;=20, "até R$20",W2196&lt;=40, "21 - R$40",W2196&lt;=60, "41- R$60",W2196&lt;=80, "61 - R$80", W2196&lt;=100, "81 - R$100",W2196&lt;=120, "101 - R$120",W2196&lt;=140, "121 - R$140", W2196&lt;=160, "141- R$160", W2196&lt;=180, "161 - R$180", W2196&lt;=200, "181-R$194")</f>
        <v>0</v>
      </c>
      <c r="Y2196" s="13">
        <v>3</v>
      </c>
      <c r="Z2196" s="13">
        <v>0</v>
      </c>
      <c r="AA2196" s="13">
        <v>0</v>
      </c>
      <c r="AB2196" s="13">
        <v>5</v>
      </c>
      <c r="AC2196" s="13">
        <v>1</v>
      </c>
      <c r="AD2196" s="13">
        <v>1</v>
      </c>
      <c r="AE2196" s="13">
        <v>0</v>
      </c>
      <c r="AF2196" s="13">
        <v>2</v>
      </c>
      <c r="AG2196" s="13">
        <v>7</v>
      </c>
      <c r="AH2196" s="13">
        <v>0</v>
      </c>
      <c r="AI2196" s="13">
        <v>0</v>
      </c>
      <c r="AJ2196" s="13">
        <v>0</v>
      </c>
      <c r="AK2196" s="13">
        <v>0</v>
      </c>
      <c r="AL2196" s="13">
        <v>0</v>
      </c>
      <c r="AM2196" s="13">
        <v>0</v>
      </c>
      <c r="AN2196" s="13">
        <v>0</v>
      </c>
      <c r="AO2196" s="14">
        <v>0</v>
      </c>
      <c r="AP2196" s="13">
        <v>3</v>
      </c>
      <c r="AQ2196" s="13">
        <v>11</v>
      </c>
      <c r="AR2196" s="15">
        <v>3</v>
      </c>
      <c r="AS2196" s="15">
        <v>8</v>
      </c>
    </row>
    <row r="2197" spans="1:45" x14ac:dyDescent="0.25">
      <c r="A2197">
        <v>1151</v>
      </c>
      <c r="B2197" s="11">
        <f t="shared" si="34"/>
        <v>14421</v>
      </c>
      <c r="C2197" s="16">
        <v>144210</v>
      </c>
      <c r="D2197" s="17">
        <v>0</v>
      </c>
      <c r="E2197" s="17">
        <v>0</v>
      </c>
      <c r="F2197" s="17">
        <v>81</v>
      </c>
      <c r="G2197" s="17">
        <v>24</v>
      </c>
      <c r="H2197" s="13" t="str" cm="1">
        <f t="array" ref="H2197">_xlfn.IFS(G2197&lt;=20,"0-20",G2197&lt;=30,"20-30",G2197&lt;=40,"30-40",G2197&lt;=50,"50-60",G2197&lt;=60,"60-70",G2197&lt;=70,"70-80",G2197&lt;=80,"80-90")</f>
        <v>20-30</v>
      </c>
      <c r="I2197" s="17">
        <v>2291</v>
      </c>
      <c r="J2197" s="13" t="str" cm="1">
        <f t="array" ref="J2197">_xlfn.IFS(K2197=1,"Divorciado",L2197=1,"Casado",M2197=1,"Solteiro",N2197=1,"Juntos",O2197=1,"Viuvo")</f>
        <v>Casado</v>
      </c>
      <c r="K2197" s="17">
        <v>0</v>
      </c>
      <c r="L2197" s="17">
        <v>1</v>
      </c>
      <c r="M2197" s="17">
        <v>0</v>
      </c>
      <c r="N2197" s="17">
        <v>0</v>
      </c>
      <c r="O2197" s="17">
        <v>0</v>
      </c>
      <c r="P2197" s="17">
        <v>0</v>
      </c>
      <c r="Q2197" s="17">
        <v>1</v>
      </c>
      <c r="R2197" s="17">
        <v>0</v>
      </c>
      <c r="S2197" s="17">
        <v>0</v>
      </c>
      <c r="T2197" s="17">
        <v>0</v>
      </c>
      <c r="U2197" s="17">
        <v>0</v>
      </c>
      <c r="V2197" s="13" t="str" cm="1">
        <f t="array" ref="V2197">_xlfn.IFS(U2197&lt;=250,"0-R$250",U2197&lt;=500,"251-R$500",U2197&lt;=750,"501-R$750",U2197&lt;=1000,"751-R$1000",U2197&lt;=1250,"1001-R$1250",U2197&lt;=1500,"1251-R$1500")</f>
        <v>0-R$250</v>
      </c>
      <c r="W2197" s="17">
        <v>0</v>
      </c>
      <c r="X2197" s="13" t="str" cm="1">
        <f t="array" ref="X2197">_xlfn.IFS(W2197 = 0, "0", W2197&lt;=20, "até R$20",W2197&lt;=40, "21 - R$40",W2197&lt;=60, "41- R$60",W2197&lt;=80, "61 - R$80", W2197&lt;=100, "81 - R$100",W2197&lt;=120, "101 - R$120",W2197&lt;=140, "121 - R$140", W2197&lt;=160, "141- R$160", W2197&lt;=180, "161 - R$180", W2197&lt;=200, "181-R$194")</f>
        <v>0</v>
      </c>
      <c r="Y2197" s="17">
        <v>2</v>
      </c>
      <c r="Z2197" s="17">
        <v>3</v>
      </c>
      <c r="AA2197" s="17">
        <v>3</v>
      </c>
      <c r="AB2197" s="17">
        <v>8</v>
      </c>
      <c r="AC2197" s="17">
        <v>1</v>
      </c>
      <c r="AD2197" s="17">
        <v>1</v>
      </c>
      <c r="AE2197" s="17">
        <v>0</v>
      </c>
      <c r="AF2197" s="17">
        <v>2</v>
      </c>
      <c r="AG2197" s="17">
        <v>5</v>
      </c>
      <c r="AH2197" s="17">
        <v>0</v>
      </c>
      <c r="AI2197" s="17">
        <v>1</v>
      </c>
      <c r="AJ2197" s="17">
        <v>0</v>
      </c>
      <c r="AK2197" s="17">
        <v>0</v>
      </c>
      <c r="AL2197" s="17">
        <v>0</v>
      </c>
      <c r="AM2197" s="17">
        <v>0</v>
      </c>
      <c r="AN2197" s="17">
        <v>0</v>
      </c>
      <c r="AO2197" s="18">
        <v>1</v>
      </c>
      <c r="AP2197" s="17">
        <v>3</v>
      </c>
      <c r="AQ2197" s="17">
        <v>11</v>
      </c>
      <c r="AR2197" s="19">
        <v>0</v>
      </c>
      <c r="AS2197" s="19">
        <v>8</v>
      </c>
    </row>
    <row r="2198" spans="1:45" x14ac:dyDescent="0.25">
      <c r="A2198">
        <v>1396</v>
      </c>
      <c r="B2198" s="11">
        <f t="shared" si="34"/>
        <v>34578</v>
      </c>
      <c r="C2198" s="12">
        <v>345780</v>
      </c>
      <c r="D2198" s="13">
        <v>2</v>
      </c>
      <c r="E2198" s="13">
        <v>1</v>
      </c>
      <c r="F2198" s="13">
        <v>1</v>
      </c>
      <c r="G2198" s="13">
        <v>48</v>
      </c>
      <c r="H2198" s="13" t="str" cm="1">
        <f t="array" ref="H2198">_xlfn.IFS(G2198&lt;=20,"0-20",G2198&lt;=30,"20-30",G2198&lt;=40,"30-40",G2198&lt;=50,"50-60",G2198&lt;=60,"60-70",G2198&lt;=70,"70-80",G2198&lt;=80,"80-90")</f>
        <v>50-60</v>
      </c>
      <c r="I2198" s="13">
        <v>2238</v>
      </c>
      <c r="J2198" s="13" t="str" cm="1">
        <f t="array" ref="J2198">_xlfn.IFS(K2198=1,"Divorciado",L2198=1,"Casado",M2198=1,"Solteiro",N2198=1,"Juntos",O2198=1,"Viuvo")</f>
        <v>Juntos</v>
      </c>
      <c r="K2198" s="13">
        <v>0</v>
      </c>
      <c r="L2198" s="13">
        <v>0</v>
      </c>
      <c r="M2198" s="13">
        <v>0</v>
      </c>
      <c r="N2198" s="13">
        <v>1</v>
      </c>
      <c r="O2198" s="13">
        <v>0</v>
      </c>
      <c r="P2198" s="13">
        <v>0</v>
      </c>
      <c r="Q2198" s="13">
        <v>0</v>
      </c>
      <c r="R2198" s="13">
        <v>0</v>
      </c>
      <c r="S2198" s="13">
        <v>0</v>
      </c>
      <c r="T2198" s="13">
        <v>1</v>
      </c>
      <c r="U2198" s="13">
        <v>7</v>
      </c>
      <c r="V2198" s="13" t="str" cm="1">
        <f t="array" ref="V2198">_xlfn.IFS(U2198&lt;=250,"0-R$250",U2198&lt;=500,"251-R$500",U2198&lt;=750,"501-R$750",U2198&lt;=1000,"751-R$1000",U2198&lt;=1250,"1001-R$1250",U2198&lt;=1500,"1251-R$1500")</f>
        <v>0-R$250</v>
      </c>
      <c r="W2198" s="13">
        <v>0</v>
      </c>
      <c r="X2198" s="13" t="str" cm="1">
        <f t="array" ref="X2198">_xlfn.IFS(W2198 = 0, "0", W2198&lt;=20, "até R$20",W2198&lt;=40, "21 - R$40",W2198&lt;=60, "41- R$60",W2198&lt;=80, "61 - R$80", W2198&lt;=100, "81 - R$100",W2198&lt;=120, "101 - R$120",W2198&lt;=140, "121 - R$140", W2198&lt;=160, "141- R$160", W2198&lt;=180, "161 - R$180", W2198&lt;=200, "181-R$194")</f>
        <v>0</v>
      </c>
      <c r="Y2198" s="13">
        <v>1</v>
      </c>
      <c r="Z2198" s="13">
        <v>0</v>
      </c>
      <c r="AA2198" s="13">
        <v>0</v>
      </c>
      <c r="AB2198" s="13">
        <v>0</v>
      </c>
      <c r="AC2198" s="13">
        <v>1</v>
      </c>
      <c r="AD2198" s="13">
        <v>1</v>
      </c>
      <c r="AE2198" s="13">
        <v>0</v>
      </c>
      <c r="AF2198" s="13">
        <v>2</v>
      </c>
      <c r="AG2198" s="13">
        <v>6</v>
      </c>
      <c r="AH2198" s="13">
        <v>0</v>
      </c>
      <c r="AI2198" s="13">
        <v>0</v>
      </c>
      <c r="AJ2198" s="13">
        <v>0</v>
      </c>
      <c r="AK2198" s="13">
        <v>0</v>
      </c>
      <c r="AL2198" s="13">
        <v>0</v>
      </c>
      <c r="AM2198" s="13">
        <v>0</v>
      </c>
      <c r="AN2198" s="13">
        <v>0</v>
      </c>
      <c r="AO2198" s="14">
        <v>0</v>
      </c>
      <c r="AP2198" s="13">
        <v>3</v>
      </c>
      <c r="AQ2198" s="13">
        <v>11</v>
      </c>
      <c r="AR2198" s="15">
        <v>8</v>
      </c>
      <c r="AS2198" s="15">
        <v>8</v>
      </c>
    </row>
    <row r="2199" spans="1:45" x14ac:dyDescent="0.25">
      <c r="A2199">
        <v>1794</v>
      </c>
      <c r="B2199" s="11">
        <f t="shared" si="34"/>
        <v>32583</v>
      </c>
      <c r="C2199" s="12">
        <v>325830</v>
      </c>
      <c r="D2199" s="13">
        <v>1</v>
      </c>
      <c r="E2199" s="13">
        <v>1</v>
      </c>
      <c r="F2199" s="13">
        <v>10</v>
      </c>
      <c r="G2199" s="13">
        <v>59</v>
      </c>
      <c r="H2199" s="13" t="str" cm="1">
        <f t="array" ref="H2199">_xlfn.IFS(G2199&lt;=20,"0-20",G2199&lt;=30,"20-30",G2199&lt;=40,"30-40",G2199&lt;=50,"50-60",G2199&lt;=60,"60-70",G2199&lt;=70,"70-80",G2199&lt;=80,"80-90")</f>
        <v>60-70</v>
      </c>
      <c r="I2199" s="13">
        <v>2173</v>
      </c>
      <c r="J2199" s="13" t="str" cm="1">
        <f t="array" ref="J2199">_xlfn.IFS(K2199=1,"Divorciado",L2199=1,"Casado",M2199=1,"Solteiro",N2199=1,"Juntos",O2199=1,"Viuvo")</f>
        <v>Juntos</v>
      </c>
      <c r="K2199" s="13">
        <v>0</v>
      </c>
      <c r="L2199" s="13">
        <v>0</v>
      </c>
      <c r="M2199" s="13">
        <v>0</v>
      </c>
      <c r="N2199" s="13">
        <v>1</v>
      </c>
      <c r="O2199" s="13">
        <v>0</v>
      </c>
      <c r="P2199" s="13">
        <v>0</v>
      </c>
      <c r="Q2199" s="13">
        <v>0</v>
      </c>
      <c r="R2199" s="13">
        <v>0</v>
      </c>
      <c r="S2199" s="13">
        <v>0</v>
      </c>
      <c r="T2199" s="13">
        <v>1</v>
      </c>
      <c r="U2199" s="13">
        <v>5</v>
      </c>
      <c r="V2199" s="13" t="str" cm="1">
        <f t="array" ref="V2199">_xlfn.IFS(U2199&lt;=250,"0-R$250",U2199&lt;=500,"251-R$500",U2199&lt;=750,"501-R$750",U2199&lt;=1000,"751-R$1000",U2199&lt;=1250,"1001-R$1250",U2199&lt;=1500,"1251-R$1500")</f>
        <v>0-R$250</v>
      </c>
      <c r="W2199" s="13">
        <v>0</v>
      </c>
      <c r="X2199" s="13" t="str" cm="1">
        <f t="array" ref="X2199">_xlfn.IFS(W2199 = 0, "0", W2199&lt;=20, "até R$20",W2199&lt;=40, "21 - R$40",W2199&lt;=60, "41- R$60",W2199&lt;=80, "61 - R$80", W2199&lt;=100, "81 - R$100",W2199&lt;=120, "101 - R$120",W2199&lt;=140, "121 - R$140", W2199&lt;=160, "141- R$160", W2199&lt;=180, "161 - R$180", W2199&lt;=200, "181-R$194")</f>
        <v>0</v>
      </c>
      <c r="Y2199" s="13">
        <v>3</v>
      </c>
      <c r="Z2199" s="13">
        <v>0</v>
      </c>
      <c r="AA2199" s="13">
        <v>0</v>
      </c>
      <c r="AB2199" s="13">
        <v>1</v>
      </c>
      <c r="AC2199" s="13">
        <v>1</v>
      </c>
      <c r="AD2199" s="13">
        <v>1</v>
      </c>
      <c r="AE2199" s="13">
        <v>0</v>
      </c>
      <c r="AF2199" s="13">
        <v>2</v>
      </c>
      <c r="AG2199" s="13">
        <v>7</v>
      </c>
      <c r="AH2199" s="13">
        <v>0</v>
      </c>
      <c r="AI2199" s="13">
        <v>0</v>
      </c>
      <c r="AJ2199" s="13">
        <v>0</v>
      </c>
      <c r="AK2199" s="13">
        <v>0</v>
      </c>
      <c r="AL2199" s="13">
        <v>0</v>
      </c>
      <c r="AM2199" s="13">
        <v>0</v>
      </c>
      <c r="AN2199" s="13">
        <v>0</v>
      </c>
      <c r="AO2199" s="14">
        <v>0</v>
      </c>
      <c r="AP2199" s="13">
        <v>3</v>
      </c>
      <c r="AQ2199" s="13">
        <v>11</v>
      </c>
      <c r="AR2199" s="15">
        <v>7</v>
      </c>
      <c r="AS2199" s="15">
        <v>8</v>
      </c>
    </row>
    <row r="2200" spans="1:45" x14ac:dyDescent="0.25">
      <c r="A2200">
        <v>1821</v>
      </c>
      <c r="B2200" s="11">
        <f t="shared" si="34"/>
        <v>4023</v>
      </c>
      <c r="C2200" s="16">
        <v>40230</v>
      </c>
      <c r="D2200" s="17">
        <v>1</v>
      </c>
      <c r="E2200" s="17">
        <v>1</v>
      </c>
      <c r="F2200" s="17">
        <v>29</v>
      </c>
      <c r="G2200" s="17">
        <v>57</v>
      </c>
      <c r="H2200" s="13" t="str" cm="1">
        <f t="array" ref="H2200">_xlfn.IFS(G2200&lt;=20,"0-20",G2200&lt;=30,"20-30",G2200&lt;=40,"30-40",G2200&lt;=50,"50-60",G2200&lt;=60,"60-70",G2200&lt;=70,"70-80",G2200&lt;=80,"80-90")</f>
        <v>60-70</v>
      </c>
      <c r="I2200" s="17">
        <v>2165</v>
      </c>
      <c r="J2200" s="13" t="str" cm="1">
        <f t="array" ref="J2200">_xlfn.IFS(K2200=1,"Divorciado",L2200=1,"Casado",M2200=1,"Solteiro",N2200=1,"Juntos",O2200=1,"Viuvo")</f>
        <v>Casado</v>
      </c>
      <c r="K2200" s="17">
        <v>0</v>
      </c>
      <c r="L2200" s="17">
        <v>1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1</v>
      </c>
      <c r="U2200" s="17">
        <v>5</v>
      </c>
      <c r="V2200" s="13" t="str" cm="1">
        <f t="array" ref="V2200">_xlfn.IFS(U2200&lt;=250,"0-R$250",U2200&lt;=500,"251-R$500",U2200&lt;=750,"501-R$750",U2200&lt;=1000,"751-R$1000",U2200&lt;=1250,"1001-R$1250",U2200&lt;=1500,"1251-R$1500")</f>
        <v>0-R$250</v>
      </c>
      <c r="W2200" s="17">
        <v>0</v>
      </c>
      <c r="X2200" s="13" t="str" cm="1">
        <f t="array" ref="X2200">_xlfn.IFS(W2200 = 0, "0", W2200&lt;=20, "até R$20",W2200&lt;=40, "21 - R$40",W2200&lt;=60, "41- R$60",W2200&lt;=80, "61 - R$80", W2200&lt;=100, "81 - R$100",W2200&lt;=120, "101 - R$120",W2200&lt;=140, "121 - R$140", W2200&lt;=160, "141- R$160", W2200&lt;=180, "161 - R$180", W2200&lt;=200, "181-R$194")</f>
        <v>0</v>
      </c>
      <c r="Y2200" s="17">
        <v>1</v>
      </c>
      <c r="Z2200" s="17">
        <v>1</v>
      </c>
      <c r="AA2200" s="17">
        <v>1</v>
      </c>
      <c r="AB2200" s="17">
        <v>1</v>
      </c>
      <c r="AC2200" s="17">
        <v>15</v>
      </c>
      <c r="AD2200" s="17">
        <v>0</v>
      </c>
      <c r="AE2200" s="17">
        <v>0</v>
      </c>
      <c r="AF2200" s="17">
        <v>0</v>
      </c>
      <c r="AG2200" s="17">
        <v>19</v>
      </c>
      <c r="AH2200" s="17">
        <v>0</v>
      </c>
      <c r="AI2200" s="17">
        <v>0</v>
      </c>
      <c r="AJ2200" s="17">
        <v>0</v>
      </c>
      <c r="AK2200" s="17">
        <v>0</v>
      </c>
      <c r="AL2200" s="17">
        <v>0</v>
      </c>
      <c r="AM2200" s="17">
        <v>0</v>
      </c>
      <c r="AN2200" s="17">
        <v>0</v>
      </c>
      <c r="AO2200" s="18">
        <v>0</v>
      </c>
      <c r="AP2200" s="17">
        <v>3</v>
      </c>
      <c r="AQ2200" s="17">
        <v>11</v>
      </c>
      <c r="AR2200" s="19">
        <v>7</v>
      </c>
      <c r="AS2200" s="19">
        <v>8</v>
      </c>
    </row>
    <row r="2201" spans="1:45" x14ac:dyDescent="0.25">
      <c r="A2201">
        <v>1836</v>
      </c>
      <c r="B2201" s="11">
        <f t="shared" si="34"/>
        <v>11448</v>
      </c>
      <c r="C2201" s="12">
        <v>114480</v>
      </c>
      <c r="D2201" s="13">
        <v>0</v>
      </c>
      <c r="E2201" s="13">
        <v>0</v>
      </c>
      <c r="F2201" s="13">
        <v>16</v>
      </c>
      <c r="G2201" s="13">
        <v>45</v>
      </c>
      <c r="H2201" s="13" t="str" cm="1">
        <f t="array" ref="H2201">_xlfn.IFS(G2201&lt;=20,"0-20",G2201&lt;=30,"20-30",G2201&lt;=40,"30-40",G2201&lt;=50,"50-60",G2201&lt;=60,"60-70",G2201&lt;=70,"70-80",G2201&lt;=80,"80-90")</f>
        <v>50-60</v>
      </c>
      <c r="I2201" s="13">
        <v>2355</v>
      </c>
      <c r="J2201" s="13" t="str" cm="1">
        <f t="array" ref="J2201">_xlfn.IFS(K2201=1,"Divorciado",L2201=1,"Casado",M2201=1,"Solteiro",N2201=1,"Juntos",O2201=1,"Viuvo")</f>
        <v>Divorciado</v>
      </c>
      <c r="K2201" s="13">
        <v>1</v>
      </c>
      <c r="L2201" s="13">
        <v>0</v>
      </c>
      <c r="M2201" s="13">
        <v>0</v>
      </c>
      <c r="N2201" s="13">
        <v>0</v>
      </c>
      <c r="O2201" s="13">
        <v>0</v>
      </c>
      <c r="P2201" s="13">
        <v>1</v>
      </c>
      <c r="Q2201" s="13">
        <v>0</v>
      </c>
      <c r="R2201" s="13">
        <v>0</v>
      </c>
      <c r="S2201" s="13">
        <v>0</v>
      </c>
      <c r="T2201" s="13">
        <v>0</v>
      </c>
      <c r="U2201" s="13">
        <v>0</v>
      </c>
      <c r="V2201" s="13" t="str" cm="1">
        <f t="array" ref="V2201">_xlfn.IFS(U2201&lt;=250,"0-R$250",U2201&lt;=500,"251-R$500",U2201&lt;=750,"501-R$750",U2201&lt;=1000,"751-R$1000",U2201&lt;=1250,"1001-R$1250",U2201&lt;=1500,"1251-R$1500")</f>
        <v>0-R$250</v>
      </c>
      <c r="W2201" s="13">
        <v>0</v>
      </c>
      <c r="X2201" s="13" t="str" cm="1">
        <f t="array" ref="X2201">_xlfn.IFS(W2201 = 0, "0", W2201&lt;=20, "até R$20",W2201&lt;=40, "21 - R$40",W2201&lt;=60, "41- R$60",W2201&lt;=80, "61 - R$80", W2201&lt;=100, "81 - R$100",W2201&lt;=120, "101 - R$120",W2201&lt;=140, "121 - R$140", W2201&lt;=160, "141- R$160", W2201&lt;=180, "161 - R$180", W2201&lt;=200, "181-R$194")</f>
        <v>0</v>
      </c>
      <c r="Y2201" s="13">
        <v>0</v>
      </c>
      <c r="Z2201" s="13">
        <v>6</v>
      </c>
      <c r="AA2201" s="13">
        <v>2</v>
      </c>
      <c r="AB2201" s="13">
        <v>6</v>
      </c>
      <c r="AC2201" s="13">
        <v>1</v>
      </c>
      <c r="AD2201" s="13">
        <v>1</v>
      </c>
      <c r="AE2201" s="13">
        <v>0</v>
      </c>
      <c r="AF2201" s="13">
        <v>2</v>
      </c>
      <c r="AG2201" s="13">
        <v>6</v>
      </c>
      <c r="AH2201" s="13">
        <v>0</v>
      </c>
      <c r="AI2201" s="13">
        <v>0</v>
      </c>
      <c r="AJ2201" s="13">
        <v>0</v>
      </c>
      <c r="AK2201" s="13">
        <v>0</v>
      </c>
      <c r="AL2201" s="13">
        <v>0</v>
      </c>
      <c r="AM2201" s="13">
        <v>0</v>
      </c>
      <c r="AN2201" s="13">
        <v>0</v>
      </c>
      <c r="AO2201" s="14">
        <v>0</v>
      </c>
      <c r="AP2201" s="13">
        <v>3</v>
      </c>
      <c r="AQ2201" s="13">
        <v>11</v>
      </c>
      <c r="AR2201" s="15">
        <v>2</v>
      </c>
      <c r="AS2201" s="15">
        <v>8</v>
      </c>
    </row>
    <row r="2202" spans="1:45" x14ac:dyDescent="0.25">
      <c r="A2202">
        <v>2090</v>
      </c>
      <c r="B2202" s="11">
        <f t="shared" si="34"/>
        <v>25176</v>
      </c>
      <c r="C2202" s="12">
        <v>251760</v>
      </c>
      <c r="D2202" s="13">
        <v>1</v>
      </c>
      <c r="E2202" s="13">
        <v>1</v>
      </c>
      <c r="F2202" s="13">
        <v>79</v>
      </c>
      <c r="G2202" s="13">
        <v>44</v>
      </c>
      <c r="H2202" s="13" t="str" cm="1">
        <f t="array" ref="H2202">_xlfn.IFS(G2202&lt;=20,"0-20",G2202&lt;=30,"20-30",G2202&lt;=40,"30-40",G2202&lt;=50,"50-60",G2202&lt;=60,"60-70",G2202&lt;=70,"70-80",G2202&lt;=80,"80-90")</f>
        <v>50-60</v>
      </c>
      <c r="I2202" s="13">
        <v>2482</v>
      </c>
      <c r="J2202" s="13" t="str" cm="1">
        <f t="array" ref="J2202">_xlfn.IFS(K2202=1,"Divorciado",L2202=1,"Casado",M2202=1,"Solteiro",N2202=1,"Juntos",O2202=1,"Viuvo")</f>
        <v>Juntos</v>
      </c>
      <c r="K2202" s="13">
        <v>0</v>
      </c>
      <c r="L2202" s="13">
        <v>0</v>
      </c>
      <c r="M2202" s="13">
        <v>0</v>
      </c>
      <c r="N2202" s="13">
        <v>1</v>
      </c>
      <c r="O2202" s="13">
        <v>0</v>
      </c>
      <c r="P2202" s="13">
        <v>1</v>
      </c>
      <c r="Q2202" s="13">
        <v>0</v>
      </c>
      <c r="R2202" s="13">
        <v>0</v>
      </c>
      <c r="S2202" s="13">
        <v>0</v>
      </c>
      <c r="T2202" s="13">
        <v>0</v>
      </c>
      <c r="U2202" s="13">
        <v>4</v>
      </c>
      <c r="V2202" s="13" t="str" cm="1">
        <f t="array" ref="V2202">_xlfn.IFS(U2202&lt;=250,"0-R$250",U2202&lt;=500,"251-R$500",U2202&lt;=750,"501-R$750",U2202&lt;=1000,"751-R$1000",U2202&lt;=1250,"1001-R$1250",U2202&lt;=1500,"1251-R$1500")</f>
        <v>0-R$250</v>
      </c>
      <c r="W2202" s="13">
        <v>0</v>
      </c>
      <c r="X2202" s="13" t="str" cm="1">
        <f t="array" ref="X2202">_xlfn.IFS(W2202 = 0, "0", W2202&lt;=20, "até R$20",W2202&lt;=40, "21 - R$40",W2202&lt;=60, "41- R$60",W2202&lt;=80, "61 - R$80", W2202&lt;=100, "81 - R$100",W2202&lt;=120, "101 - R$120",W2202&lt;=140, "121 - R$140", W2202&lt;=160, "141- R$160", W2202&lt;=180, "161 - R$180", W2202&lt;=200, "181-R$194")</f>
        <v>0</v>
      </c>
      <c r="Y2202" s="13">
        <v>4</v>
      </c>
      <c r="Z2202" s="13">
        <v>0</v>
      </c>
      <c r="AA2202" s="13">
        <v>0</v>
      </c>
      <c r="AB2202" s="13">
        <v>5</v>
      </c>
      <c r="AC2202" s="13">
        <v>1</v>
      </c>
      <c r="AD2202" s="13">
        <v>1</v>
      </c>
      <c r="AE2202" s="13">
        <v>0</v>
      </c>
      <c r="AF2202" s="13">
        <v>2</v>
      </c>
      <c r="AG2202" s="13">
        <v>7</v>
      </c>
      <c r="AH2202" s="13">
        <v>0</v>
      </c>
      <c r="AI2202" s="13">
        <v>0</v>
      </c>
      <c r="AJ2202" s="13">
        <v>0</v>
      </c>
      <c r="AK2202" s="13">
        <v>0</v>
      </c>
      <c r="AL2202" s="13">
        <v>0</v>
      </c>
      <c r="AM2202" s="13">
        <v>0</v>
      </c>
      <c r="AN2202" s="13">
        <v>0</v>
      </c>
      <c r="AO2202" s="14">
        <v>0</v>
      </c>
      <c r="AP2202" s="13">
        <v>3</v>
      </c>
      <c r="AQ2202" s="13">
        <v>11</v>
      </c>
      <c r="AR2202" s="15">
        <v>3</v>
      </c>
      <c r="AS2202" s="15">
        <v>8</v>
      </c>
    </row>
    <row r="2203" spans="1:45" x14ac:dyDescent="0.25">
      <c r="A2203">
        <v>1226</v>
      </c>
      <c r="B2203" s="11">
        <f t="shared" si="34"/>
        <v>1730</v>
      </c>
      <c r="C2203" s="12">
        <v>17300</v>
      </c>
      <c r="D2203" s="13">
        <v>0</v>
      </c>
      <c r="E2203" s="13">
        <v>0</v>
      </c>
      <c r="F2203" s="13">
        <v>65</v>
      </c>
      <c r="G2203" s="13">
        <v>49</v>
      </c>
      <c r="H2203" s="13" t="str" cm="1">
        <f t="array" ref="H2203">_xlfn.IFS(G2203&lt;=20,"0-20",G2203&lt;=30,"20-30",G2203&lt;=40,"30-40",G2203&lt;=50,"50-60",G2203&lt;=60,"60-70",G2203&lt;=70,"70-80",G2203&lt;=80,"80-90")</f>
        <v>50-60</v>
      </c>
      <c r="I2203" s="13">
        <v>2201</v>
      </c>
      <c r="J2203" s="13" t="str" cm="1">
        <f t="array" ref="J2203">_xlfn.IFS(K2203=1,"Divorciado",L2203=1,"Casado",M2203=1,"Solteiro",N2203=1,"Juntos",O2203=1,"Viuvo")</f>
        <v>Divorciado</v>
      </c>
      <c r="K2203" s="13">
        <v>1</v>
      </c>
      <c r="L2203" s="13">
        <v>0</v>
      </c>
      <c r="M2203" s="13">
        <v>0</v>
      </c>
      <c r="N2203" s="13">
        <v>0</v>
      </c>
      <c r="O2203" s="13">
        <v>0</v>
      </c>
      <c r="P2203" s="13">
        <v>0</v>
      </c>
      <c r="Q2203" s="13">
        <v>0</v>
      </c>
      <c r="R2203" s="13">
        <v>1</v>
      </c>
      <c r="S2203" s="13">
        <v>0</v>
      </c>
      <c r="T2203" s="13">
        <v>0</v>
      </c>
      <c r="U2203" s="13">
        <v>1</v>
      </c>
      <c r="V2203" s="13" t="str" cm="1">
        <f t="array" ref="V2203">_xlfn.IFS(U2203&lt;=250,"0-R$250",U2203&lt;=500,"251-R$500",U2203&lt;=750,"501-R$750",U2203&lt;=1000,"751-R$1000",U2203&lt;=1250,"1001-R$1250",U2203&lt;=1500,"1251-R$1500")</f>
        <v>0-R$250</v>
      </c>
      <c r="W2203" s="13">
        <v>1</v>
      </c>
      <c r="X2203" s="13" t="str" cm="1">
        <f t="array" ref="X2203">_xlfn.IFS(W2203 = 0, "0", W2203&lt;=20, "até R$20",W2203&lt;=40, "21 - R$40",W2203&lt;=60, "41- R$60",W2203&lt;=80, "61 - R$80", W2203&lt;=100, "81 - R$100",W2203&lt;=120, "101 - R$120",W2203&lt;=140, "121 - R$140", W2203&lt;=160, "141- R$160", W2203&lt;=180, "161 - R$180", W2203&lt;=200, "181-R$194")</f>
        <v>até R$20</v>
      </c>
      <c r="Y2203" s="13">
        <v>3</v>
      </c>
      <c r="Z2203" s="13">
        <v>1</v>
      </c>
      <c r="AA2203" s="13">
        <v>1</v>
      </c>
      <c r="AB2203" s="13">
        <v>1</v>
      </c>
      <c r="AC2203" s="13">
        <v>15</v>
      </c>
      <c r="AD2203" s="13">
        <v>0</v>
      </c>
      <c r="AE2203" s="13">
        <v>0</v>
      </c>
      <c r="AF2203" s="13">
        <v>0</v>
      </c>
      <c r="AG2203" s="13">
        <v>20</v>
      </c>
      <c r="AH2203" s="13">
        <v>0</v>
      </c>
      <c r="AI2203" s="13">
        <v>0</v>
      </c>
      <c r="AJ2203" s="13">
        <v>0</v>
      </c>
      <c r="AK2203" s="13">
        <v>0</v>
      </c>
      <c r="AL2203" s="13">
        <v>0</v>
      </c>
      <c r="AM2203" s="13">
        <v>0</v>
      </c>
      <c r="AN2203" s="13">
        <v>0</v>
      </c>
      <c r="AO2203" s="14">
        <v>0</v>
      </c>
      <c r="AP2203" s="13">
        <v>3</v>
      </c>
      <c r="AQ2203" s="13">
        <v>11</v>
      </c>
      <c r="AR2203" s="15">
        <v>6</v>
      </c>
      <c r="AS2203" s="15">
        <v>7</v>
      </c>
    </row>
    <row r="2204" spans="1:45" x14ac:dyDescent="0.25">
      <c r="A2204">
        <v>2098</v>
      </c>
      <c r="B2204" s="11">
        <f t="shared" si="34"/>
        <v>33590</v>
      </c>
      <c r="C2204" s="12">
        <v>335900</v>
      </c>
      <c r="D2204" s="13">
        <v>2</v>
      </c>
      <c r="E2204" s="13">
        <v>1</v>
      </c>
      <c r="F2204" s="13">
        <v>65</v>
      </c>
      <c r="G2204" s="13">
        <v>46</v>
      </c>
      <c r="H2204" s="13" t="str" cm="1">
        <f t="array" ref="H2204">_xlfn.IFS(G2204&lt;=20,"0-20",G2204&lt;=30,"20-30",G2204&lt;=40,"30-40",G2204&lt;=50,"50-60",G2204&lt;=60,"60-70",G2204&lt;=70,"70-80",G2204&lt;=80,"80-90")</f>
        <v>50-60</v>
      </c>
      <c r="I2204" s="13">
        <v>2397</v>
      </c>
      <c r="J2204" s="13" t="str" cm="1">
        <f t="array" ref="J2204">_xlfn.IFS(K2204=1,"Divorciado",L2204=1,"Casado",M2204=1,"Solteiro",N2204=1,"Juntos",O2204=1,"Viuvo")</f>
        <v>Juntos</v>
      </c>
      <c r="K2204" s="13">
        <v>0</v>
      </c>
      <c r="L2204" s="13">
        <v>0</v>
      </c>
      <c r="M2204" s="13">
        <v>0</v>
      </c>
      <c r="N2204" s="13">
        <v>1</v>
      </c>
      <c r="O2204" s="13">
        <v>0</v>
      </c>
      <c r="P2204" s="13">
        <v>0</v>
      </c>
      <c r="Q2204" s="13">
        <v>0</v>
      </c>
      <c r="R2204" s="13">
        <v>1</v>
      </c>
      <c r="S2204" s="13">
        <v>0</v>
      </c>
      <c r="T2204" s="13">
        <v>0</v>
      </c>
      <c r="U2204" s="13">
        <v>4</v>
      </c>
      <c r="V2204" s="13" t="str" cm="1">
        <f t="array" ref="V2204">_xlfn.IFS(U2204&lt;=250,"0-R$250",U2204&lt;=500,"251-R$500",U2204&lt;=750,"501-R$750",U2204&lt;=1000,"751-R$1000",U2204&lt;=1250,"1001-R$1250",U2204&lt;=1500,"1251-R$1500")</f>
        <v>0-R$250</v>
      </c>
      <c r="W2204" s="13">
        <v>0</v>
      </c>
      <c r="X2204" s="13" t="str" cm="1">
        <f t="array" ref="X2204">_xlfn.IFS(W2204 = 0, "0", W2204&lt;=20, "até R$20",W2204&lt;=40, "21 - R$40",W2204&lt;=60, "41- R$60",W2204&lt;=80, "61 - R$80", W2204&lt;=100, "81 - R$100",W2204&lt;=120, "101 - R$120",W2204&lt;=140, "121 - R$140", W2204&lt;=160, "141- R$160", W2204&lt;=180, "161 - R$180", W2204&lt;=200, "181-R$194")</f>
        <v>0</v>
      </c>
      <c r="Y2204" s="13">
        <v>2</v>
      </c>
      <c r="Z2204" s="13">
        <v>0</v>
      </c>
      <c r="AA2204" s="13">
        <v>0</v>
      </c>
      <c r="AB2204" s="13">
        <v>2</v>
      </c>
      <c r="AC2204" s="13">
        <v>1</v>
      </c>
      <c r="AD2204" s="13">
        <v>1</v>
      </c>
      <c r="AE2204" s="13">
        <v>0</v>
      </c>
      <c r="AF2204" s="13">
        <v>2</v>
      </c>
      <c r="AG2204" s="13">
        <v>7</v>
      </c>
      <c r="AH2204" s="13">
        <v>0</v>
      </c>
      <c r="AI2204" s="13">
        <v>0</v>
      </c>
      <c r="AJ2204" s="13">
        <v>0</v>
      </c>
      <c r="AK2204" s="13">
        <v>0</v>
      </c>
      <c r="AL2204" s="13">
        <v>0</v>
      </c>
      <c r="AM2204" s="13">
        <v>0</v>
      </c>
      <c r="AN2204" s="13">
        <v>0</v>
      </c>
      <c r="AO2204" s="14">
        <v>0</v>
      </c>
      <c r="AP2204" s="13">
        <v>3</v>
      </c>
      <c r="AQ2204" s="13">
        <v>11</v>
      </c>
      <c r="AR2204" s="15">
        <v>4</v>
      </c>
      <c r="AS2204" s="15">
        <v>6</v>
      </c>
    </row>
    <row r="2205" spans="1:45" x14ac:dyDescent="0.25">
      <c r="A2205">
        <v>962</v>
      </c>
      <c r="B2205" s="11">
        <f t="shared" si="34"/>
        <v>4861</v>
      </c>
      <c r="C2205" s="12">
        <v>48610</v>
      </c>
      <c r="D2205" s="13">
        <v>0</v>
      </c>
      <c r="E2205" s="13">
        <v>0</v>
      </c>
      <c r="F2205" s="13">
        <v>20</v>
      </c>
      <c r="G2205" s="13">
        <v>55</v>
      </c>
      <c r="H2205" s="13" t="str" cm="1">
        <f t="array" ref="H2205">_xlfn.IFS(G2205&lt;=20,"0-20",G2205&lt;=30,"20-30",G2205&lt;=40,"30-40",G2205&lt;=50,"50-60",G2205&lt;=60,"60-70",G2205&lt;=70,"70-80",G2205&lt;=80,"80-90")</f>
        <v>60-70</v>
      </c>
      <c r="I2205" s="13">
        <v>2166</v>
      </c>
      <c r="J2205" s="13" t="str" cm="1">
        <f t="array" ref="J2205">_xlfn.IFS(K2205=1,"Divorciado",L2205=1,"Casado",M2205=1,"Solteiro",N2205=1,"Juntos",O2205=1,"Viuvo")</f>
        <v>Divorciado</v>
      </c>
      <c r="K2205" s="13">
        <v>1</v>
      </c>
      <c r="L2205" s="13">
        <v>0</v>
      </c>
      <c r="M2205" s="13">
        <v>0</v>
      </c>
      <c r="N2205" s="13">
        <v>0</v>
      </c>
      <c r="O2205" s="13">
        <v>0</v>
      </c>
      <c r="P2205" s="13">
        <v>0</v>
      </c>
      <c r="Q2205" s="13">
        <v>0</v>
      </c>
      <c r="R2205" s="13">
        <v>1</v>
      </c>
      <c r="S2205" s="13">
        <v>0</v>
      </c>
      <c r="T2205" s="13">
        <v>0</v>
      </c>
      <c r="U2205" s="13">
        <v>2</v>
      </c>
      <c r="V2205" s="13" t="str" cm="1">
        <f t="array" ref="V2205">_xlfn.IFS(U2205&lt;=250,"0-R$250",U2205&lt;=500,"251-R$500",U2205&lt;=750,"501-R$750",U2205&lt;=1000,"751-R$1000",U2205&lt;=1250,"1001-R$1250",U2205&lt;=1500,"1251-R$1500")</f>
        <v>0-R$250</v>
      </c>
      <c r="W2205" s="13">
        <v>1</v>
      </c>
      <c r="X2205" s="13" t="str" cm="1">
        <f t="array" ref="X2205">_xlfn.IFS(W2205 = 0, "0", W2205&lt;=20, "até R$20",W2205&lt;=40, "21 - R$40",W2205&lt;=60, "41- R$60",W2205&lt;=80, "61 - R$80", W2205&lt;=100, "81 - R$100",W2205&lt;=120, "101 - R$120",W2205&lt;=140, "121 - R$140", W2205&lt;=160, "141- R$160", W2205&lt;=180, "161 - R$180", W2205&lt;=200, "181-R$194")</f>
        <v>até R$20</v>
      </c>
      <c r="Y2205" s="13">
        <v>1</v>
      </c>
      <c r="Z2205" s="13">
        <v>1</v>
      </c>
      <c r="AA2205" s="13">
        <v>0</v>
      </c>
      <c r="AB2205" s="13">
        <v>1</v>
      </c>
      <c r="AC2205" s="13">
        <v>0</v>
      </c>
      <c r="AD2205" s="13">
        <v>0</v>
      </c>
      <c r="AE2205" s="13">
        <v>0</v>
      </c>
      <c r="AF2205" s="13">
        <v>0</v>
      </c>
      <c r="AG2205" s="13">
        <v>14</v>
      </c>
      <c r="AH2205" s="13">
        <v>0</v>
      </c>
      <c r="AI2205" s="13">
        <v>0</v>
      </c>
      <c r="AJ2205" s="13">
        <v>0</v>
      </c>
      <c r="AK2205" s="13">
        <v>0</v>
      </c>
      <c r="AL2205" s="13">
        <v>0</v>
      </c>
      <c r="AM2205" s="13">
        <v>0</v>
      </c>
      <c r="AN2205" s="13">
        <v>0</v>
      </c>
      <c r="AO2205" s="14">
        <v>0</v>
      </c>
      <c r="AP2205" s="13">
        <v>3</v>
      </c>
      <c r="AQ2205" s="13">
        <v>11</v>
      </c>
      <c r="AR2205" s="15">
        <v>4</v>
      </c>
      <c r="AS2205" s="15">
        <v>5</v>
      </c>
    </row>
    <row r="2206" spans="1:45" x14ac:dyDescent="0.25">
      <c r="A2206">
        <v>1500</v>
      </c>
      <c r="B2206" s="11">
        <f t="shared" si="34"/>
        <v>3502</v>
      </c>
      <c r="C2206" s="21">
        <v>35020</v>
      </c>
      <c r="D2206" s="22">
        <v>1</v>
      </c>
      <c r="E2206" s="22">
        <v>0</v>
      </c>
      <c r="F2206" s="22">
        <v>56</v>
      </c>
      <c r="G2206" s="22">
        <v>47</v>
      </c>
      <c r="H2206" s="13" t="str" cm="1">
        <f t="array" ref="H2206">_xlfn.IFS(G2206&lt;=20,"0-20",G2206&lt;=30,"20-30",G2206&lt;=40,"30-40",G2206&lt;=50,"50-60",G2206&lt;=60,"60-70",G2206&lt;=70,"70-80",G2206&lt;=80,"80-90")</f>
        <v>50-60</v>
      </c>
      <c r="I2206" s="22">
        <v>2601</v>
      </c>
      <c r="J2206" s="13" t="str" cm="1">
        <f t="array" ref="J2206">_xlfn.IFS(K2206=1,"Divorciado",L2206=1,"Casado",M2206=1,"Solteiro",N2206=1,"Juntos",O2206=1,"Viuvo")</f>
        <v>Solteiro</v>
      </c>
      <c r="K2206" s="22">
        <v>0</v>
      </c>
      <c r="L2206" s="22">
        <v>0</v>
      </c>
      <c r="M2206" s="22">
        <v>1</v>
      </c>
      <c r="N2206" s="22">
        <v>0</v>
      </c>
      <c r="O2206" s="22">
        <v>0</v>
      </c>
      <c r="P2206" s="22">
        <v>0</v>
      </c>
      <c r="Q2206" s="22">
        <v>0</v>
      </c>
      <c r="R2206" s="22">
        <v>1</v>
      </c>
      <c r="S2206" s="22">
        <v>0</v>
      </c>
      <c r="T2206" s="22">
        <v>0</v>
      </c>
      <c r="U2206" s="22">
        <v>2</v>
      </c>
      <c r="V2206" s="13" t="str" cm="1">
        <f t="array" ref="V2206">_xlfn.IFS(U2206&lt;=250,"0-R$250",U2206&lt;=500,"251-R$500",U2206&lt;=750,"501-R$750",U2206&lt;=1000,"751-R$1000",U2206&lt;=1250,"1001-R$1250",U2206&lt;=1500,"1251-R$1500")</f>
        <v>0-R$250</v>
      </c>
      <c r="W2206" s="22">
        <v>1</v>
      </c>
      <c r="X2206" s="13" t="str" cm="1">
        <f t="array" ref="X2206">_xlfn.IFS(W2206 = 0, "0", W2206&lt;=20, "até R$20",W2206&lt;=40, "21 - R$40",W2206&lt;=60, "41- R$60",W2206&lt;=80, "61 - R$80", W2206&lt;=100, "81 - R$100",W2206&lt;=120, "101 - R$120",W2206&lt;=140, "121 - R$140", W2206&lt;=160, "141- R$160", W2206&lt;=180, "161 - R$180", W2206&lt;=200, "181-R$194")</f>
        <v>até R$20</v>
      </c>
      <c r="Y2206" s="22">
        <v>1</v>
      </c>
      <c r="Z2206" s="22">
        <v>0</v>
      </c>
      <c r="AA2206" s="22">
        <v>0</v>
      </c>
      <c r="AB2206" s="22">
        <v>1</v>
      </c>
      <c r="AC2206" s="22">
        <v>0</v>
      </c>
      <c r="AD2206" s="22">
        <v>0</v>
      </c>
      <c r="AE2206" s="22">
        <v>0</v>
      </c>
      <c r="AF2206" s="22">
        <v>0</v>
      </c>
      <c r="AG2206" s="22">
        <v>14</v>
      </c>
      <c r="AH2206" s="22">
        <v>0</v>
      </c>
      <c r="AI2206" s="22">
        <v>0</v>
      </c>
      <c r="AJ2206" s="22">
        <v>0</v>
      </c>
      <c r="AK2206" s="22">
        <v>0</v>
      </c>
      <c r="AL2206" s="22">
        <v>0</v>
      </c>
      <c r="AM2206" s="22">
        <v>0</v>
      </c>
      <c r="AN2206" s="22">
        <v>0</v>
      </c>
      <c r="AO2206" s="23">
        <v>0</v>
      </c>
      <c r="AP2206" s="22">
        <v>3</v>
      </c>
      <c r="AQ2206" s="22">
        <v>11</v>
      </c>
      <c r="AR2206" s="24">
        <v>3</v>
      </c>
      <c r="AS2206" s="24">
        <v>4</v>
      </c>
    </row>
  </sheetData>
  <autoFilter ref="A1:AS2206" xr:uid="{E869BD9E-ED97-4CE2-ADB0-9AE50A59D5AA}">
    <sortState xmlns:xlrd2="http://schemas.microsoft.com/office/spreadsheetml/2017/richdata2" ref="A2:AS2206">
      <sortCondition descending="1" ref="AS1:AS2206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2026-02-18T14:10:18Z</dcterms:created>
  <dcterms:modified xsi:type="dcterms:W3CDTF">2026-02-19T12:31:48Z</dcterms:modified>
</cp:coreProperties>
</file>